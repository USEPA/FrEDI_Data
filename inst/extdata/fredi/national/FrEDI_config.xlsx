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updateLinks="never" codeName="ThisWorkbook" defaultThemeVersion="166925"/>
  <xr:revisionPtr revIDLastSave="0" documentId="13_ncr:1_{D91DE60B-0F56-40B0-B073-ECBDC5B00A65}" xr6:coauthVersionLast="47" xr6:coauthVersionMax="47" xr10:uidLastSave="{00000000-0000-0000-0000-000000000000}"/>
  <bookViews>
    <workbookView xWindow="-120" yWindow="-120" windowWidth="29040" windowHeight="15720" tabRatio="764" activeTab="2" xr2:uid="{00000000-000D-0000-FFFF-FFFF00000000}"/>
  </bookViews>
  <sheets>
    <sheet name="ReadMe" sheetId="48" r:id="rId1"/>
    <sheet name="tableNames" sheetId="43" r:id="rId2"/>
    <sheet name="controlTables" sheetId="24" r:id="rId3"/>
    <sheet name="slrReadMe" sheetId="50" state="hidden" r:id="rId4"/>
    <sheet name="testDev" sheetId="52" r:id="rId5"/>
    <sheet name="slr_cm" sheetId="49" r:id="rId6"/>
  </sheets>
  <definedNames>
    <definedName name="k_coBillions">controlTables!$D$297</definedName>
    <definedName name="k_coMillions">controlTables!$D$298</definedName>
    <definedName name="k_coThousands">controlTables!$D$299</definedName>
    <definedName name="list_co_gcms">co_models[model_id]</definedName>
    <definedName name="list_coimpactYearOptions" xml:space="preserve"> OFFSET( INDIRECT( ADDRESS( ROW( co_impactYears[[#Headers],[row_id]] ), COLUMN(co_impactYears[[#Headers],[2090]]), , , "DropDownMenus" ) ), 1, 0, mv_coNum_impactYears, 1 )</definedName>
    <definedName name="loc_coAdaptations">co_variants[[#Headers],[row_id]]</definedName>
    <definedName name="loc_coConstants">co_constants[[#Headers],[row_id]]</definedName>
    <definedName name="loc_coImpactTypes">co_impactTypes[[#Headers],[row_id]]</definedName>
    <definedName name="loc_coImpactYears">co_impactYears[[#Headers],[row_id]]</definedName>
    <definedName name="loc_coInputScenarioInfo">co_inputInfo[[#Headers],[row_id]]</definedName>
    <definedName name="loc_colorLegend">controlTables!$C$16</definedName>
    <definedName name="loc_coModels">co_models[[#Headers],[row_id]]</definedName>
    <definedName name="loc_coModelTypes">co_modelTypes[[#Headers],[row_id]]</definedName>
    <definedName name="loc_controlTOC">controlTables!$B$1</definedName>
    <definedName name="loc_coRegions">co_regions[[#Headers],[row_id]]</definedName>
    <definedName name="loc_coScalars">co_scalarInfo[[#Headers],[row_id]]</definedName>
    <definedName name="loc_coSectors">co_sectors[[#Headers],[row_id]]</definedName>
    <definedName name="loc_coStates">co_impactYears[[#Headers],[row_id]]</definedName>
    <definedName name="loc_econMultipliers">co_econMultipliers[[#Headers],[row_id]]</definedName>
    <definedName name="num_gcms">MAX(co_models[row_id])</definedName>
    <definedName name="SectorDropDown">controlTables!$D$21:$D$33</definedName>
    <definedName name="SectorDropDown_1">controlTables!$D$21:$D$43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9" i="24" l="1"/>
  <c r="B276" i="24"/>
  <c r="B277" i="24"/>
  <c r="B278" i="24"/>
  <c r="B280" i="24"/>
  <c r="B274" i="24"/>
  <c r="B269" i="24"/>
  <c r="B273" i="24"/>
  <c r="B272" i="24"/>
  <c r="B251" i="24"/>
  <c r="B235" i="24"/>
  <c r="B268" i="24"/>
  <c r="B270" i="24"/>
  <c r="B271" i="24"/>
  <c r="B256" i="24"/>
  <c r="B237" i="24"/>
  <c r="B238" i="24"/>
  <c r="B239" i="24"/>
  <c r="B236" i="24"/>
  <c r="B221" i="24"/>
  <c r="B222" i="24"/>
  <c r="B223" i="24"/>
  <c r="B224" i="24"/>
  <c r="B225" i="24"/>
  <c r="B199" i="24"/>
  <c r="P199" i="24"/>
  <c r="B211" i="24"/>
  <c r="P211" i="24"/>
  <c r="B156" i="24"/>
  <c r="P156" i="24"/>
  <c r="B157" i="24"/>
  <c r="P157" i="24"/>
  <c r="B154" i="24"/>
  <c r="P154" i="24"/>
  <c r="B155" i="24"/>
  <c r="P155" i="24"/>
  <c r="B158" i="24"/>
  <c r="P158" i="24"/>
  <c r="B275" i="24"/>
  <c r="B177" i="24"/>
  <c r="P177" i="24"/>
  <c r="B178" i="24"/>
  <c r="P178" i="24"/>
  <c r="B121" i="24"/>
  <c r="H121" i="24"/>
  <c r="I121" i="24" a="1"/>
  <c r="I121" i="24" s="1"/>
  <c r="B122" i="24"/>
  <c r="H122" i="24"/>
  <c r="I122" i="24" a="1"/>
  <c r="I122" i="24" s="1"/>
  <c r="B70" i="24"/>
  <c r="B35" i="24"/>
  <c r="K35" i="24" a="1"/>
  <c r="K35" i="24" s="1"/>
  <c r="M35" i="24" a="1"/>
  <c r="M35" i="24" s="1"/>
  <c r="N35" i="24" a="1"/>
  <c r="N35" i="24" s="1"/>
  <c r="O35" i="24" a="1"/>
  <c r="O35" i="24" s="1"/>
  <c r="B307" i="24"/>
  <c r="K21" i="24" a="1"/>
  <c r="K21" i="24" s="1"/>
  <c r="K22" i="24" a="1"/>
  <c r="K22" i="24" s="1"/>
  <c r="K23" i="24" a="1"/>
  <c r="K23" i="24" s="1"/>
  <c r="K24" i="24" a="1"/>
  <c r="K24" i="24" s="1"/>
  <c r="K25" i="24" a="1"/>
  <c r="K25" i="24" s="1"/>
  <c r="K26" i="24" a="1"/>
  <c r="K26" i="24" s="1"/>
  <c r="K27" i="24" a="1"/>
  <c r="K27" i="24" s="1"/>
  <c r="K28" i="24" a="1"/>
  <c r="K28" i="24" s="1"/>
  <c r="K29" i="24" a="1"/>
  <c r="K29" i="24" s="1"/>
  <c r="K30" i="24" a="1"/>
  <c r="K30" i="24" s="1"/>
  <c r="K31" i="24" a="1"/>
  <c r="K31" i="24" s="1"/>
  <c r="K32" i="24" a="1"/>
  <c r="K32" i="24" s="1"/>
  <c r="K33" i="24" a="1"/>
  <c r="K33" i="24" s="1"/>
  <c r="K34" i="24" a="1"/>
  <c r="K34" i="24" s="1"/>
  <c r="K36" i="24" a="1"/>
  <c r="K36" i="24" s="1"/>
  <c r="K37" i="24" a="1"/>
  <c r="K37" i="24" s="1"/>
  <c r="K38" i="24" a="1"/>
  <c r="K38" i="24" s="1"/>
  <c r="K39" i="24" a="1"/>
  <c r="K39" i="24" s="1"/>
  <c r="K40" i="24" a="1"/>
  <c r="K40" i="24" s="1"/>
  <c r="K41" i="24" a="1"/>
  <c r="K41" i="24" s="1"/>
  <c r="K42" i="24" a="1"/>
  <c r="K42" i="24" s="1"/>
  <c r="K43" i="24" a="1"/>
  <c r="K43" i="24" s="1"/>
  <c r="K44" i="24" a="1"/>
  <c r="K44" i="24" s="1"/>
  <c r="K45" i="24" a="1"/>
  <c r="K45" i="24" s="1"/>
  <c r="K46" i="24" a="1"/>
  <c r="K46" i="24" s="1"/>
  <c r="K47" i="24" a="1"/>
  <c r="K47" i="24" s="1"/>
  <c r="K48" i="24" a="1"/>
  <c r="K48" i="24" s="1"/>
  <c r="K49" i="24" a="1"/>
  <c r="K49" i="24" s="1"/>
  <c r="K50" i="24" a="1"/>
  <c r="K50" i="24" s="1"/>
  <c r="K51" i="24" a="1"/>
  <c r="K51" i="24" s="1"/>
  <c r="B242" i="24"/>
  <c r="H93" i="24"/>
  <c r="H94" i="24"/>
  <c r="H95" i="24"/>
  <c r="H96" i="24"/>
  <c r="H97" i="24"/>
  <c r="H98" i="24"/>
  <c r="H99" i="24"/>
  <c r="H100" i="24"/>
  <c r="H101" i="24"/>
  <c r="H102" i="24"/>
  <c r="H103" i="24"/>
  <c r="H104" i="24"/>
  <c r="H105" i="24"/>
  <c r="H106" i="24"/>
  <c r="H107" i="24"/>
  <c r="H108" i="24"/>
  <c r="H109" i="24"/>
  <c r="H110" i="24"/>
  <c r="H111" i="24"/>
  <c r="H112" i="24"/>
  <c r="H113" i="24"/>
  <c r="H114" i="24"/>
  <c r="H115" i="24"/>
  <c r="H116" i="24"/>
  <c r="H117" i="24"/>
  <c r="H118" i="24"/>
  <c r="H119" i="24"/>
  <c r="H120" i="24"/>
  <c r="H123" i="24"/>
  <c r="H124" i="24"/>
  <c r="H125" i="24"/>
  <c r="H126" i="24"/>
  <c r="H127" i="24"/>
  <c r="H128" i="24"/>
  <c r="H129" i="24"/>
  <c r="H130" i="24"/>
  <c r="H131" i="24"/>
  <c r="H132" i="24"/>
  <c r="H133" i="24"/>
  <c r="H134" i="24"/>
  <c r="H135" i="24"/>
  <c r="H136" i="24"/>
  <c r="H137" i="24"/>
  <c r="H138" i="24"/>
  <c r="H139" i="24"/>
  <c r="H140" i="24"/>
  <c r="H141" i="24"/>
  <c r="H142" i="24"/>
  <c r="H143" i="24"/>
  <c r="H144" i="24"/>
  <c r="H145" i="24"/>
  <c r="H146" i="24"/>
  <c r="H147" i="24"/>
  <c r="B228" i="24"/>
  <c r="B229" i="24"/>
  <c r="B173" i="24"/>
  <c r="P173" i="24"/>
  <c r="B114" i="24"/>
  <c r="I114" i="24" a="1"/>
  <c r="I114" i="24" s="1"/>
  <c r="B115" i="24"/>
  <c r="I115" i="24" a="1"/>
  <c r="I115" i="24" s="1"/>
  <c r="B66" i="24"/>
  <c r="B31" i="24"/>
  <c r="M31" i="24" a="1"/>
  <c r="M31" i="24" s="1"/>
  <c r="N31" i="24" a="1"/>
  <c r="N31" i="24" s="1"/>
  <c r="O31" i="24" a="1"/>
  <c r="O31" i="24" s="1"/>
  <c r="B255" i="24"/>
  <c r="B250" i="24"/>
  <c r="B241" i="24"/>
  <c r="B186" i="24"/>
  <c r="P186" i="24"/>
  <c r="B187" i="24"/>
  <c r="P187" i="24"/>
  <c r="B188" i="24"/>
  <c r="P188" i="24"/>
  <c r="B189" i="24"/>
  <c r="P189" i="24"/>
  <c r="B190" i="24"/>
  <c r="P190" i="24"/>
  <c r="B131" i="24"/>
  <c r="I131" i="24" a="1"/>
  <c r="I131" i="24" s="1"/>
  <c r="B132" i="24"/>
  <c r="I132" i="24" a="1"/>
  <c r="I132" i="24" s="1"/>
  <c r="B75" i="24"/>
  <c r="B40" i="24"/>
  <c r="M40" i="24" a="1"/>
  <c r="M40" i="24" s="1"/>
  <c r="N40" i="24" a="1"/>
  <c r="N40" i="24" s="1"/>
  <c r="O40" i="24" a="1"/>
  <c r="O40" i="24" s="1"/>
  <c r="O21" i="24" a="1"/>
  <c r="O21" i="24" s="1"/>
  <c r="O22" i="24" a="1"/>
  <c r="O22" i="24" s="1"/>
  <c r="O23" i="24" a="1"/>
  <c r="O23" i="24" s="1"/>
  <c r="O24" i="24" a="1"/>
  <c r="O24" i="24" s="1"/>
  <c r="O25" i="24" a="1"/>
  <c r="O25" i="24" s="1"/>
  <c r="O26" i="24" a="1"/>
  <c r="O26" i="24" s="1"/>
  <c r="O27" i="24" a="1"/>
  <c r="O27" i="24" s="1"/>
  <c r="O28" i="24" a="1"/>
  <c r="O28" i="24" s="1"/>
  <c r="O29" i="24" a="1"/>
  <c r="O29" i="24" s="1"/>
  <c r="O30" i="24" a="1"/>
  <c r="O30" i="24" s="1"/>
  <c r="O32" i="24" a="1"/>
  <c r="O32" i="24" s="1"/>
  <c r="O33" i="24" a="1"/>
  <c r="O33" i="24" s="1"/>
  <c r="O34" i="24" a="1"/>
  <c r="O34" i="24" s="1"/>
  <c r="O36" i="24" a="1"/>
  <c r="O36" i="24" s="1"/>
  <c r="O37" i="24" a="1"/>
  <c r="O37" i="24" s="1"/>
  <c r="O38" i="24" a="1"/>
  <c r="O38" i="24" s="1"/>
  <c r="O39" i="24" a="1"/>
  <c r="O39" i="24" s="1"/>
  <c r="O41" i="24" a="1"/>
  <c r="O41" i="24" s="1"/>
  <c r="O42" i="24" a="1"/>
  <c r="O42" i="24" s="1"/>
  <c r="O43" i="24" a="1"/>
  <c r="O43" i="24" s="1"/>
  <c r="O44" i="24" a="1"/>
  <c r="O44" i="24" s="1"/>
  <c r="O45" i="24" a="1"/>
  <c r="O45" i="24" s="1"/>
  <c r="O46" i="24" a="1"/>
  <c r="O46" i="24" s="1"/>
  <c r="O47" i="24" a="1"/>
  <c r="O47" i="24" s="1"/>
  <c r="O48" i="24" a="1"/>
  <c r="O48" i="24" s="1"/>
  <c r="O49" i="24" a="1"/>
  <c r="O49" i="24" s="1"/>
  <c r="O50" i="24" a="1"/>
  <c r="O50" i="24" s="1"/>
  <c r="O51" i="24" a="1"/>
  <c r="O51" i="24" s="1"/>
  <c r="B247" i="24"/>
  <c r="H40" i="24"/>
  <c r="H35" i="24"/>
  <c r="H31" i="24"/>
  <c r="J35" i="24" l="1"/>
  <c r="J31" i="24"/>
  <c r="J40" i="24"/>
  <c r="B179" i="24"/>
  <c r="P179" i="24"/>
  <c r="B123" i="24"/>
  <c r="I123" i="24" a="1"/>
  <c r="I123" i="24" s="1"/>
  <c r="B71" i="24"/>
  <c r="B36" i="24"/>
  <c r="M36" i="24" a="1"/>
  <c r="M36" i="24" s="1"/>
  <c r="N36" i="24" a="1"/>
  <c r="N36" i="24" s="1"/>
  <c r="I93" i="24" a="1"/>
  <c r="I93" i="24" s="1"/>
  <c r="I94" i="24" a="1"/>
  <c r="I94" i="24" s="1"/>
  <c r="I95" i="24" a="1"/>
  <c r="I95" i="24" s="1"/>
  <c r="I96" i="24" a="1"/>
  <c r="I96" i="24" s="1"/>
  <c r="I97" i="24" a="1"/>
  <c r="I97" i="24" s="1"/>
  <c r="I98" i="24" a="1"/>
  <c r="I98" i="24" s="1"/>
  <c r="I99" i="24" a="1"/>
  <c r="I99" i="24" s="1"/>
  <c r="I100" i="24" a="1"/>
  <c r="I100" i="24" s="1"/>
  <c r="I101" i="24" a="1"/>
  <c r="I101" i="24" s="1"/>
  <c r="I102" i="24" a="1"/>
  <c r="I102" i="24" s="1"/>
  <c r="I103" i="24" a="1"/>
  <c r="I103" i="24" s="1"/>
  <c r="I104" i="24" a="1"/>
  <c r="I104" i="24" s="1"/>
  <c r="I105" i="24" a="1"/>
  <c r="I105" i="24" s="1"/>
  <c r="I106" i="24" a="1"/>
  <c r="I106" i="24" s="1"/>
  <c r="I107" i="24" a="1"/>
  <c r="I107" i="24" s="1"/>
  <c r="I108" i="24" a="1"/>
  <c r="I108" i="24" s="1"/>
  <c r="I109" i="24" a="1"/>
  <c r="I109" i="24" s="1"/>
  <c r="I110" i="24" a="1"/>
  <c r="I110" i="24" s="1"/>
  <c r="I111" i="24" a="1"/>
  <c r="I111" i="24" s="1"/>
  <c r="I112" i="24" a="1"/>
  <c r="I112" i="24" s="1"/>
  <c r="I113" i="24" a="1"/>
  <c r="I113" i="24" s="1"/>
  <c r="I116" i="24" a="1"/>
  <c r="I116" i="24" s="1"/>
  <c r="I117" i="24" a="1"/>
  <c r="I117" i="24" s="1"/>
  <c r="I118" i="24" a="1"/>
  <c r="I118" i="24" s="1"/>
  <c r="I119" i="24" a="1"/>
  <c r="I119" i="24" s="1"/>
  <c r="I120" i="24" a="1"/>
  <c r="I120" i="24" s="1"/>
  <c r="I124" i="24" a="1"/>
  <c r="I124" i="24" s="1"/>
  <c r="I125" i="24" a="1"/>
  <c r="I125" i="24" s="1"/>
  <c r="I126" i="24" a="1"/>
  <c r="I126" i="24" s="1"/>
  <c r="I127" i="24" a="1"/>
  <c r="I127" i="24" s="1"/>
  <c r="I128" i="24" a="1"/>
  <c r="I128" i="24" s="1"/>
  <c r="I129" i="24" a="1"/>
  <c r="I129" i="24" s="1"/>
  <c r="I130" i="24" a="1"/>
  <c r="I130" i="24" s="1"/>
  <c r="I133" i="24" a="1"/>
  <c r="I133" i="24" s="1"/>
  <c r="I134" i="24" a="1"/>
  <c r="I134" i="24" s="1"/>
  <c r="I135" i="24" a="1"/>
  <c r="I135" i="24" s="1"/>
  <c r="I136" i="24" a="1"/>
  <c r="I136" i="24" s="1"/>
  <c r="I137" i="24" a="1"/>
  <c r="I137" i="24" s="1"/>
  <c r="I138" i="24" a="1"/>
  <c r="I138" i="24" s="1"/>
  <c r="I139" i="24" a="1"/>
  <c r="I139" i="24" s="1"/>
  <c r="I140" i="24" a="1"/>
  <c r="I140" i="24" s="1"/>
  <c r="I141" i="24" a="1"/>
  <c r="I141" i="24" s="1"/>
  <c r="I142" i="24" a="1"/>
  <c r="I142" i="24" s="1"/>
  <c r="I143" i="24" a="1"/>
  <c r="I143" i="24" s="1"/>
  <c r="I144" i="24" a="1"/>
  <c r="I144" i="24" s="1"/>
  <c r="I145" i="24" a="1"/>
  <c r="I145" i="24" s="1"/>
  <c r="I146" i="24" a="1"/>
  <c r="I146" i="24" s="1"/>
  <c r="I147" i="24" a="1"/>
  <c r="I147" i="24" s="1"/>
  <c r="B128" i="24"/>
  <c r="B129" i="24"/>
  <c r="B130" i="24"/>
  <c r="B74" i="24"/>
  <c r="B38" i="24"/>
  <c r="M38" i="24" a="1"/>
  <c r="M38" i="24" s="1"/>
  <c r="N38" i="24" a="1"/>
  <c r="N38" i="24" s="1"/>
  <c r="B181" i="24"/>
  <c r="P181" i="24"/>
  <c r="B182" i="24"/>
  <c r="P182" i="24"/>
  <c r="B183" i="24"/>
  <c r="P183" i="24"/>
  <c r="B184" i="24"/>
  <c r="P184" i="24"/>
  <c r="B185" i="24"/>
  <c r="P185" i="24"/>
  <c r="B125" i="24"/>
  <c r="B126" i="24"/>
  <c r="B127" i="24"/>
  <c r="B73" i="24"/>
  <c r="B39" i="24"/>
  <c r="M39" i="24" a="1"/>
  <c r="M39" i="24" s="1"/>
  <c r="N39" i="24" a="1"/>
  <c r="N39" i="24" s="1"/>
  <c r="C319" i="24"/>
  <c r="C320" i="24"/>
  <c r="C321" i="24"/>
  <c r="C322" i="24"/>
  <c r="C323" i="24"/>
  <c r="C324" i="24"/>
  <c r="C325" i="24"/>
  <c r="C326" i="24"/>
  <c r="C327" i="24"/>
  <c r="C328" i="24"/>
  <c r="C329" i="24"/>
  <c r="C330" i="24"/>
  <c r="C331" i="24"/>
  <c r="C332" i="24"/>
  <c r="F17" i="43"/>
  <c r="D347" i="24"/>
  <c r="D348" i="24"/>
  <c r="D349" i="24"/>
  <c r="D350" i="24"/>
  <c r="D351" i="24"/>
  <c r="D352" i="24"/>
  <c r="D353" i="24"/>
  <c r="B281" i="24"/>
  <c r="H39" i="24"/>
  <c r="H36" i="24"/>
  <c r="H38" i="24"/>
  <c r="J38" i="24" l="1"/>
  <c r="J39" i="24"/>
  <c r="J36" i="24"/>
  <c r="B233" i="24" l="1"/>
  <c r="B234" i="24"/>
  <c r="B17" i="43" l="1"/>
  <c r="B306" i="24"/>
  <c r="F16" i="43"/>
  <c r="B16" i="43"/>
  <c r="B359" i="24"/>
  <c r="B360" i="24"/>
  <c r="B361" i="24"/>
  <c r="B362" i="24"/>
  <c r="B363" i="24"/>
  <c r="B364" i="24"/>
  <c r="B365" i="24"/>
  <c r="B366" i="24"/>
  <c r="B367" i="24"/>
  <c r="B368" i="24"/>
  <c r="B369" i="24"/>
  <c r="B370" i="24"/>
  <c r="B371" i="24"/>
  <c r="B372" i="24"/>
  <c r="B373" i="24"/>
  <c r="B374" i="24"/>
  <c r="B375" i="24"/>
  <c r="B376" i="24"/>
  <c r="B377" i="24"/>
  <c r="B378" i="24"/>
  <c r="B379" i="24"/>
  <c r="B380" i="24"/>
  <c r="B381" i="24"/>
  <c r="B382" i="24"/>
  <c r="B383" i="24"/>
  <c r="B384" i="24"/>
  <c r="B385" i="24"/>
  <c r="B386" i="24"/>
  <c r="B387" i="24"/>
  <c r="B388" i="24"/>
  <c r="B389" i="24"/>
  <c r="B390" i="24"/>
  <c r="B391" i="24"/>
  <c r="B392" i="24"/>
  <c r="B393" i="24"/>
  <c r="B394" i="24"/>
  <c r="B395" i="24"/>
  <c r="B396" i="24"/>
  <c r="B397" i="24"/>
  <c r="B398" i="24"/>
  <c r="B399" i="24"/>
  <c r="B400" i="24"/>
  <c r="B401" i="24"/>
  <c r="B402" i="24"/>
  <c r="B403" i="24"/>
  <c r="B404" i="24"/>
  <c r="B405" i="24"/>
  <c r="B406" i="24"/>
  <c r="B407" i="24"/>
  <c r="B283" i="24"/>
  <c r="K16" i="43" a="1"/>
  <c r="C14" i="24"/>
  <c r="H16" i="43"/>
  <c r="G17" i="43" a="1"/>
  <c r="J17" i="43" a="1"/>
  <c r="C13" i="24"/>
  <c r="K17" i="43" a="1"/>
  <c r="H17" i="43"/>
  <c r="K17" i="43" l="1"/>
  <c r="J17" i="43"/>
  <c r="G17" i="43"/>
  <c r="I17" i="43" s="1"/>
  <c r="K16" i="43"/>
  <c r="B282" i="24"/>
  <c r="B191" i="24"/>
  <c r="P191" i="24"/>
  <c r="B76" i="24"/>
  <c r="B41" i="24"/>
  <c r="M41" i="24" a="1"/>
  <c r="M41" i="24" s="1"/>
  <c r="N41" i="24" a="1"/>
  <c r="N41" i="24" s="1"/>
  <c r="B133" i="24"/>
  <c r="G16" i="43" a="1"/>
  <c r="J16" i="43" a="1"/>
  <c r="H41" i="24"/>
  <c r="J41" i="24" l="1"/>
  <c r="G16" i="43"/>
  <c r="I16" i="43" s="1"/>
  <c r="J16" i="43"/>
  <c r="L16" i="43" s="1"/>
  <c r="L17" i="43"/>
  <c r="B204" i="24" l="1"/>
  <c r="P204" i="24"/>
  <c r="B205" i="24"/>
  <c r="P205" i="24"/>
  <c r="B206" i="24"/>
  <c r="P206" i="24"/>
  <c r="B143" i="24"/>
  <c r="B82" i="24"/>
  <c r="B47" i="24"/>
  <c r="M47" i="24" a="1"/>
  <c r="M47" i="24" s="1"/>
  <c r="N47" i="24" a="1"/>
  <c r="N47" i="24" s="1"/>
  <c r="B46" i="24"/>
  <c r="H47" i="24"/>
  <c r="J47" i="24" l="1"/>
  <c r="B15" i="43"/>
  <c r="F15" i="43"/>
  <c r="B28" i="52"/>
  <c r="B27" i="52"/>
  <c r="B26" i="52"/>
  <c r="B25" i="52"/>
  <c r="B24" i="52"/>
  <c r="B23" i="52"/>
  <c r="B22" i="52"/>
  <c r="B21" i="52"/>
  <c r="B20" i="52"/>
  <c r="B19" i="52"/>
  <c r="B18" i="52"/>
  <c r="B17" i="52"/>
  <c r="B16" i="52"/>
  <c r="B15" i="52"/>
  <c r="B14" i="52"/>
  <c r="B13" i="52"/>
  <c r="B12" i="52"/>
  <c r="B11" i="52"/>
  <c r="B10" i="52"/>
  <c r="B9" i="52"/>
  <c r="B8" i="52"/>
  <c r="B7" i="52"/>
  <c r="B6" i="52"/>
  <c r="B5" i="52"/>
  <c r="B4" i="52"/>
  <c r="K15" i="43" a="1"/>
  <c r="G15" i="43" a="1"/>
  <c r="G15" i="43" l="1"/>
  <c r="K15" i="43"/>
  <c r="M23" i="24" a="1"/>
  <c r="M23" i="24" s="1"/>
  <c r="B103" i="24"/>
  <c r="B104" i="24"/>
  <c r="B24" i="24"/>
  <c r="B21" i="24"/>
  <c r="B22" i="24"/>
  <c r="B26" i="24"/>
  <c r="B27" i="24"/>
  <c r="B28" i="24"/>
  <c r="B29" i="24"/>
  <c r="B30" i="24"/>
  <c r="B23" i="24"/>
  <c r="B32" i="24"/>
  <c r="B33" i="24"/>
  <c r="B34" i="24"/>
  <c r="B37" i="24"/>
  <c r="B42" i="24"/>
  <c r="B43" i="24"/>
  <c r="B44" i="24"/>
  <c r="B45" i="24"/>
  <c r="B48" i="24"/>
  <c r="B49" i="24"/>
  <c r="B50" i="24"/>
  <c r="B51" i="24"/>
  <c r="B25" i="24"/>
  <c r="B160" i="24"/>
  <c r="P160" i="24"/>
  <c r="B96" i="24"/>
  <c r="B97" i="24"/>
  <c r="B98" i="24"/>
  <c r="B58" i="24"/>
  <c r="N23" i="24" a="1"/>
  <c r="N23" i="24" s="1"/>
  <c r="J15" i="43" a="1"/>
  <c r="H23" i="24"/>
  <c r="H15" i="43"/>
  <c r="J23" i="24" l="1"/>
  <c r="I15" i="43"/>
  <c r="J15" i="43"/>
  <c r="L15" i="43" s="1"/>
  <c r="B253" i="24"/>
  <c r="B249" i="24"/>
  <c r="B166" i="24"/>
  <c r="P166" i="24"/>
  <c r="B165" i="24"/>
  <c r="P165" i="24"/>
  <c r="B101" i="24"/>
  <c r="B60" i="24"/>
  <c r="H25" i="24"/>
  <c r="C4" i="24"/>
  <c r="J25" i="24" l="1"/>
  <c r="M25" i="24" a="1"/>
  <c r="M25" i="24" s="1"/>
  <c r="N25" i="24" a="1"/>
  <c r="N25" i="24" s="1"/>
  <c r="M37" i="24" a="1"/>
  <c r="M37" i="24" s="1"/>
  <c r="N37" i="24" a="1"/>
  <c r="N37" i="24" s="1"/>
  <c r="M24" i="24" a="1"/>
  <c r="M24" i="24" s="1"/>
  <c r="N24" i="24" a="1"/>
  <c r="N24" i="24" s="1"/>
  <c r="P161" i="24"/>
  <c r="P162" i="24"/>
  <c r="P163" i="24"/>
  <c r="P164" i="24"/>
  <c r="B161" i="24"/>
  <c r="B162" i="24"/>
  <c r="B163" i="24"/>
  <c r="B164" i="24"/>
  <c r="B100" i="24"/>
  <c r="B99" i="24"/>
  <c r="B59" i="24"/>
  <c r="B167" i="24"/>
  <c r="P167" i="24"/>
  <c r="B102" i="24"/>
  <c r="B61" i="24"/>
  <c r="B72" i="24"/>
  <c r="B124" i="24"/>
  <c r="B180" i="24"/>
  <c r="P180" i="24"/>
  <c r="M26" i="24" a="1"/>
  <c r="M26" i="24" s="1"/>
  <c r="N26" i="24" a="1"/>
  <c r="N26" i="24" s="1"/>
  <c r="B14" i="43"/>
  <c r="F14" i="43"/>
  <c r="A102" i="49"/>
  <c r="A101" i="49"/>
  <c r="A100" i="49"/>
  <c r="A99" i="49"/>
  <c r="A98" i="49"/>
  <c r="A97" i="49"/>
  <c r="A96" i="49"/>
  <c r="A95" i="49"/>
  <c r="A94" i="49"/>
  <c r="A93" i="49"/>
  <c r="A92" i="49"/>
  <c r="A91" i="49"/>
  <c r="A90" i="49"/>
  <c r="A89" i="49"/>
  <c r="A88" i="49"/>
  <c r="A87" i="49"/>
  <c r="A86" i="49"/>
  <c r="A85" i="49"/>
  <c r="A84" i="49"/>
  <c r="A83" i="49"/>
  <c r="A82" i="49"/>
  <c r="A81" i="49"/>
  <c r="A80" i="49"/>
  <c r="A79" i="49"/>
  <c r="A78" i="49"/>
  <c r="A77" i="49"/>
  <c r="A76" i="49"/>
  <c r="A75" i="49"/>
  <c r="A74" i="49"/>
  <c r="A73" i="49"/>
  <c r="A72" i="49"/>
  <c r="A71" i="49"/>
  <c r="A70" i="49"/>
  <c r="A69" i="49"/>
  <c r="A68" i="49"/>
  <c r="A67" i="49"/>
  <c r="A66" i="49"/>
  <c r="A65" i="49"/>
  <c r="A64" i="49"/>
  <c r="A63" i="49"/>
  <c r="A62" i="49"/>
  <c r="A61" i="49"/>
  <c r="A60" i="49"/>
  <c r="A59" i="49"/>
  <c r="A58" i="49"/>
  <c r="A57" i="49"/>
  <c r="A56" i="49"/>
  <c r="A55" i="49"/>
  <c r="A54" i="49"/>
  <c r="A53" i="49"/>
  <c r="A52" i="49"/>
  <c r="A51" i="49"/>
  <c r="A50" i="49"/>
  <c r="A49" i="49"/>
  <c r="A48" i="49"/>
  <c r="A47" i="49"/>
  <c r="A46" i="49"/>
  <c r="A45" i="49"/>
  <c r="A44" i="49"/>
  <c r="A43" i="49"/>
  <c r="A42" i="49"/>
  <c r="A41" i="49"/>
  <c r="A40" i="49"/>
  <c r="A39" i="49"/>
  <c r="A38" i="49"/>
  <c r="A37" i="49"/>
  <c r="A36" i="49"/>
  <c r="A35" i="49"/>
  <c r="A34" i="49"/>
  <c r="A33" i="49"/>
  <c r="A32" i="49"/>
  <c r="A31" i="49"/>
  <c r="A30" i="49"/>
  <c r="A29" i="49"/>
  <c r="A28" i="49"/>
  <c r="A27" i="49"/>
  <c r="A26" i="49"/>
  <c r="A25" i="49"/>
  <c r="A24" i="49"/>
  <c r="A23" i="49"/>
  <c r="A22" i="49"/>
  <c r="A21" i="49"/>
  <c r="A20" i="49"/>
  <c r="A19" i="49"/>
  <c r="A18" i="49"/>
  <c r="A17" i="49"/>
  <c r="A16" i="49"/>
  <c r="A15" i="49"/>
  <c r="A14" i="49"/>
  <c r="A13" i="49"/>
  <c r="A12" i="49"/>
  <c r="A11" i="49"/>
  <c r="A10" i="49"/>
  <c r="A9" i="49"/>
  <c r="A8" i="49"/>
  <c r="A7" i="49"/>
  <c r="A6" i="49"/>
  <c r="A5" i="49"/>
  <c r="A4" i="49"/>
  <c r="A3" i="49"/>
  <c r="A2" i="49"/>
  <c r="B15" i="50"/>
  <c r="B14" i="50"/>
  <c r="B13" i="50"/>
  <c r="B12" i="50"/>
  <c r="B11" i="50"/>
  <c r="B10" i="50"/>
  <c r="B5" i="50"/>
  <c r="B4" i="50"/>
  <c r="G14" i="43" a="1"/>
  <c r="K14" i="43" a="1"/>
  <c r="H26" i="24"/>
  <c r="H24" i="24"/>
  <c r="H37" i="24"/>
  <c r="J37" i="24" l="1"/>
  <c r="J26" i="24"/>
  <c r="J24" i="24"/>
  <c r="G14" i="43"/>
  <c r="K14" i="43"/>
  <c r="H14" i="43"/>
  <c r="J14" i="43" a="1"/>
  <c r="I14" i="43" l="1"/>
  <c r="J14" i="43"/>
  <c r="L14" i="43" s="1"/>
  <c r="N50" i="24" a="1"/>
  <c r="N50" i="24" s="1"/>
  <c r="M50" i="24" a="1"/>
  <c r="M50" i="24" s="1"/>
  <c r="B325" i="24"/>
  <c r="B212" i="24"/>
  <c r="P212" i="24"/>
  <c r="B146" i="24"/>
  <c r="B85" i="24"/>
  <c r="H50" i="24"/>
  <c r="J50" i="24" l="1"/>
  <c r="N33" i="24" a="1"/>
  <c r="N33" i="24" s="1"/>
  <c r="N34" i="24" a="1"/>
  <c r="N34" i="24" s="1"/>
  <c r="N42" i="24" a="1"/>
  <c r="N42" i="24" s="1"/>
  <c r="N43" i="24" a="1"/>
  <c r="N43" i="24" s="1"/>
  <c r="N44" i="24" a="1"/>
  <c r="N44" i="24" s="1"/>
  <c r="N45" i="24" a="1"/>
  <c r="N45" i="24" s="1"/>
  <c r="N46" i="24" a="1"/>
  <c r="N46" i="24" s="1"/>
  <c r="N48" i="24" a="1"/>
  <c r="N48" i="24" s="1"/>
  <c r="N49" i="24" a="1"/>
  <c r="N49" i="24" s="1"/>
  <c r="N51" i="24" a="1"/>
  <c r="N51" i="24" s="1"/>
  <c r="M33" i="24" a="1"/>
  <c r="M33" i="24" s="1"/>
  <c r="B326" i="24"/>
  <c r="B175" i="24"/>
  <c r="P175" i="24"/>
  <c r="B119" i="24"/>
  <c r="B68" i="24"/>
  <c r="H33" i="24"/>
  <c r="J33" i="24" l="1"/>
  <c r="B13" i="43"/>
  <c r="F13" i="43"/>
  <c r="H340" i="24"/>
  <c r="H341" i="24"/>
  <c r="B341" i="24"/>
  <c r="B340" i="24"/>
  <c r="B339" i="24"/>
  <c r="B338" i="24"/>
  <c r="C3" i="24"/>
  <c r="C10" i="24"/>
  <c r="C6" i="24"/>
  <c r="C7" i="24"/>
  <c r="C9" i="24"/>
  <c r="C12" i="24"/>
  <c r="C11" i="24"/>
  <c r="C8" i="24"/>
  <c r="K13" i="43" a="1"/>
  <c r="G13" i="43" a="1"/>
  <c r="K13" i="43" l="1"/>
  <c r="G13" i="43"/>
  <c r="J13" i="43" a="1"/>
  <c r="H13" i="43"/>
  <c r="C2" i="24"/>
  <c r="I13" i="43" l="1"/>
  <c r="J13" i="43"/>
  <c r="L13" i="43" s="1"/>
  <c r="B262" i="24" l="1"/>
  <c r="B159" i="24"/>
  <c r="P159" i="24"/>
  <c r="B57" i="24"/>
  <c r="B95" i="24"/>
  <c r="M22" i="24" a="1"/>
  <c r="M22" i="24" s="1"/>
  <c r="N22" i="24" a="1"/>
  <c r="N22" i="24" s="1"/>
  <c r="H22" i="24"/>
  <c r="J22" i="24" l="1"/>
  <c r="B81" i="24"/>
  <c r="B240" i="24"/>
  <c r="B252" i="24"/>
  <c r="B202" i="24"/>
  <c r="B201" i="24"/>
  <c r="P202" i="24"/>
  <c r="P201" i="24"/>
  <c r="B260" i="24"/>
  <c r="B259" i="24"/>
  <c r="B261" i="24"/>
  <c r="B203" i="24"/>
  <c r="P203" i="24"/>
  <c r="M46" i="24" a="1"/>
  <c r="M46" i="24" s="1"/>
  <c r="B142" i="24"/>
  <c r="H46" i="24"/>
  <c r="J46" i="24" l="1"/>
  <c r="P209" i="24"/>
  <c r="N21" i="24" l="1" a="1"/>
  <c r="N21" i="24" s="1"/>
  <c r="N27" i="24" a="1"/>
  <c r="N27" i="24" s="1"/>
  <c r="N28" i="24" a="1"/>
  <c r="N28" i="24" s="1"/>
  <c r="N30" i="24" a="1"/>
  <c r="N30" i="24" s="1"/>
  <c r="N29" i="24" a="1"/>
  <c r="N29" i="24" s="1"/>
  <c r="N32" i="24" a="1"/>
  <c r="N32" i="24" s="1"/>
  <c r="M21" i="24" a="1"/>
  <c r="M21" i="24" s="1"/>
  <c r="M27" i="24" a="1"/>
  <c r="M27" i="24" s="1"/>
  <c r="M28" i="24" a="1"/>
  <c r="M28" i="24" s="1"/>
  <c r="M30" i="24" a="1"/>
  <c r="M30" i="24" s="1"/>
  <c r="M29" i="24" a="1"/>
  <c r="M29" i="24" s="1"/>
  <c r="M32" i="24" a="1"/>
  <c r="M32" i="24" s="1"/>
  <c r="M34" i="24" a="1"/>
  <c r="M34" i="24" s="1"/>
  <c r="M42" i="24" a="1"/>
  <c r="M42" i="24" s="1"/>
  <c r="M43" i="24" a="1"/>
  <c r="M43" i="24" s="1"/>
  <c r="M44" i="24" a="1"/>
  <c r="M44" i="24" s="1"/>
  <c r="M45" i="24" a="1"/>
  <c r="M45" i="24" s="1"/>
  <c r="M48" i="24" a="1"/>
  <c r="M48" i="24" s="1"/>
  <c r="M49" i="24" a="1"/>
  <c r="M49" i="24" s="1"/>
  <c r="M51" i="24" a="1"/>
  <c r="M51" i="24" s="1"/>
  <c r="B12" i="43" l="1"/>
  <c r="F12" i="43"/>
  <c r="K12" i="43" a="1"/>
  <c r="J12" i="43" a="1"/>
  <c r="J12" i="43" l="1"/>
  <c r="K12" i="43"/>
  <c r="B327" i="24"/>
  <c r="B328" i="24"/>
  <c r="B329" i="24"/>
  <c r="B330" i="24"/>
  <c r="B331" i="24"/>
  <c r="B332" i="24"/>
  <c r="G12" i="43" a="1"/>
  <c r="G12" i="43" l="1"/>
  <c r="L12" i="43"/>
  <c r="B94" i="24" l="1"/>
  <c r="B11" i="43"/>
  <c r="F11" i="43"/>
  <c r="B291" i="24"/>
  <c r="B290" i="24"/>
  <c r="B289" i="24"/>
  <c r="K11" i="43" a="1"/>
  <c r="J11" i="43" a="1"/>
  <c r="J11" i="43" l="1"/>
  <c r="M11" i="43" s="1"/>
  <c r="K11" i="43"/>
  <c r="B230" i="24"/>
  <c r="B258" i="24"/>
  <c r="B264" i="24"/>
  <c r="B248" i="24"/>
  <c r="H11" i="43"/>
  <c r="G11" i="43" a="1"/>
  <c r="G11" i="43" l="1"/>
  <c r="I11" i="43" s="1"/>
  <c r="L11" i="43"/>
  <c r="B10" i="43"/>
  <c r="F10" i="43"/>
  <c r="B9" i="43"/>
  <c r="F9" i="43"/>
  <c r="B64" i="24"/>
  <c r="B67" i="24"/>
  <c r="B69" i="24"/>
  <c r="B77" i="24"/>
  <c r="B78" i="24"/>
  <c r="B79" i="24"/>
  <c r="B80" i="24"/>
  <c r="B83" i="24"/>
  <c r="B84" i="24"/>
  <c r="B86" i="24"/>
  <c r="B232" i="24"/>
  <c r="G10" i="43" a="1"/>
  <c r="H27" i="24"/>
  <c r="H45" i="24"/>
  <c r="H32" i="24"/>
  <c r="H30" i="24"/>
  <c r="H49" i="24"/>
  <c r="H44" i="24"/>
  <c r="K9" i="43" a="1"/>
  <c r="J9" i="43" a="1"/>
  <c r="H51" i="24"/>
  <c r="H43" i="24"/>
  <c r="H34" i="24"/>
  <c r="C5" i="24"/>
  <c r="K10" i="43" a="1"/>
  <c r="H21" i="24"/>
  <c r="H28" i="24"/>
  <c r="H42" i="24"/>
  <c r="H48" i="24"/>
  <c r="H29" i="24"/>
  <c r="J27" i="24" l="1"/>
  <c r="J42" i="24"/>
  <c r="J32" i="24"/>
  <c r="J49" i="24"/>
  <c r="J44" i="24"/>
  <c r="J28" i="24"/>
  <c r="J48" i="24"/>
  <c r="J34" i="24"/>
  <c r="J43" i="24"/>
  <c r="J45" i="24"/>
  <c r="J21" i="24"/>
  <c r="J51" i="24"/>
  <c r="J30" i="24"/>
  <c r="J29" i="24"/>
  <c r="K10" i="43"/>
  <c r="G10" i="43"/>
  <c r="K9" i="43"/>
  <c r="J9" i="43"/>
  <c r="G9" i="43" a="1"/>
  <c r="J10" i="43" a="1"/>
  <c r="G9" i="43" l="1"/>
  <c r="L9" i="43"/>
  <c r="J10" i="43"/>
  <c r="L10" i="43" s="1"/>
  <c r="B105" i="24" l="1"/>
  <c r="B106" i="24"/>
  <c r="B107" i="24"/>
  <c r="B112" i="24"/>
  <c r="B113" i="24"/>
  <c r="B108" i="24"/>
  <c r="B109" i="24"/>
  <c r="B110" i="24"/>
  <c r="B111" i="24"/>
  <c r="B116" i="24"/>
  <c r="B117" i="24"/>
  <c r="B118" i="24"/>
  <c r="B120" i="24"/>
  <c r="B134" i="24"/>
  <c r="B135" i="24"/>
  <c r="B136" i="24"/>
  <c r="B137" i="24"/>
  <c r="B138" i="24"/>
  <c r="B139" i="24"/>
  <c r="B140" i="24"/>
  <c r="B141" i="24"/>
  <c r="B144" i="24"/>
  <c r="B145" i="24"/>
  <c r="B147" i="24"/>
  <c r="B93" i="24"/>
  <c r="G28" i="24" a="1"/>
  <c r="G50" i="24" a="1"/>
  <c r="G42" i="24" a="1"/>
  <c r="G46" i="24" a="1"/>
  <c r="G39" i="24" a="1"/>
  <c r="G33" i="24" a="1"/>
  <c r="G47" i="24" a="1"/>
  <c r="G38" i="24" a="1"/>
  <c r="G26" i="24" a="1"/>
  <c r="G51" i="24" a="1"/>
  <c r="G40" i="24" a="1"/>
  <c r="G23" i="24" a="1"/>
  <c r="G36" i="24" a="1"/>
  <c r="G24" i="24" a="1"/>
  <c r="G25" i="24" a="1"/>
  <c r="G48" i="24" a="1"/>
  <c r="G21" i="24" a="1"/>
  <c r="G30" i="24" a="1"/>
  <c r="G22" i="24" a="1"/>
  <c r="G41" i="24" a="1"/>
  <c r="G49" i="24" a="1"/>
  <c r="G27" i="24" a="1"/>
  <c r="G45" i="24" a="1"/>
  <c r="G31" i="24" a="1"/>
  <c r="G37" i="24" a="1"/>
  <c r="G34" i="24" a="1"/>
  <c r="G32" i="24" a="1"/>
  <c r="G29" i="24" a="1"/>
  <c r="G35" i="24" a="1"/>
  <c r="G44" i="24" a="1"/>
  <c r="G43" i="24" a="1"/>
  <c r="G35" i="24" l="1"/>
  <c r="G31" i="24"/>
  <c r="G40" i="24"/>
  <c r="G36" i="24"/>
  <c r="G38" i="24"/>
  <c r="G39" i="24"/>
  <c r="G41" i="24"/>
  <c r="G47" i="24"/>
  <c r="G23" i="24"/>
  <c r="G25" i="24"/>
  <c r="G37" i="24"/>
  <c r="G24" i="24"/>
  <c r="G26" i="24"/>
  <c r="G50" i="24"/>
  <c r="G33" i="24"/>
  <c r="G22" i="24"/>
  <c r="G46" i="24"/>
  <c r="G49" i="24"/>
  <c r="G28" i="24"/>
  <c r="G34" i="24"/>
  <c r="G45" i="24"/>
  <c r="G30" i="24"/>
  <c r="G48" i="24"/>
  <c r="G51" i="24"/>
  <c r="G42" i="24"/>
  <c r="G21" i="24"/>
  <c r="G29" i="24"/>
  <c r="G43" i="24"/>
  <c r="G27" i="24"/>
  <c r="G32" i="24"/>
  <c r="G44" i="24"/>
  <c r="B8" i="43"/>
  <c r="F8" i="43"/>
  <c r="B7" i="43"/>
  <c r="F7" i="43"/>
  <c r="B6" i="43"/>
  <c r="F6" i="43"/>
  <c r="B5" i="43"/>
  <c r="F5" i="43"/>
  <c r="B227" i="24"/>
  <c r="B231" i="24"/>
  <c r="B266" i="24"/>
  <c r="B263" i="24"/>
  <c r="B265" i="24"/>
  <c r="B267" i="24"/>
  <c r="F4" i="43"/>
  <c r="K5" i="43" a="1"/>
  <c r="K8" i="43" a="1"/>
  <c r="K7" i="43" a="1"/>
  <c r="K6" i="43" a="1"/>
  <c r="G7" i="43" a="1"/>
  <c r="G6" i="43" a="1"/>
  <c r="G5" i="43" a="1"/>
  <c r="G8" i="43" a="1"/>
  <c r="G4" i="43" a="1"/>
  <c r="G5" i="43" l="1"/>
  <c r="G8" i="43"/>
  <c r="K8" i="43"/>
  <c r="G7" i="43"/>
  <c r="K7" i="43"/>
  <c r="G6" i="43"/>
  <c r="K6" i="43"/>
  <c r="K5" i="43"/>
  <c r="G4" i="43"/>
  <c r="J5" i="43" a="1"/>
  <c r="J4" i="43" a="1"/>
  <c r="J8" i="43" a="1"/>
  <c r="J7" i="43" a="1"/>
  <c r="J6" i="43" a="1"/>
  <c r="J4" i="43" l="1"/>
  <c r="M4" i="43" s="1" a="1"/>
  <c r="M4" i="43" s="1"/>
  <c r="J5" i="43"/>
  <c r="M5" i="43" s="1"/>
  <c r="J8" i="43"/>
  <c r="J7" i="43"/>
  <c r="J6" i="43"/>
  <c r="L6" i="43" s="1"/>
  <c r="L5" i="43" l="1"/>
  <c r="L8" i="43"/>
  <c r="L7" i="43"/>
  <c r="P152" i="24"/>
  <c r="P153" i="24"/>
  <c r="P168" i="24"/>
  <c r="P169" i="24"/>
  <c r="P171" i="24"/>
  <c r="P172" i="24"/>
  <c r="P170" i="24"/>
  <c r="P174" i="24"/>
  <c r="P176" i="24"/>
  <c r="P192" i="24"/>
  <c r="P193" i="24"/>
  <c r="P194" i="24"/>
  <c r="P195" i="24"/>
  <c r="P196" i="24"/>
  <c r="P197" i="24"/>
  <c r="P198" i="24"/>
  <c r="P200" i="24"/>
  <c r="P207" i="24"/>
  <c r="P208" i="24"/>
  <c r="P210" i="24"/>
  <c r="P213" i="24"/>
  <c r="P214" i="24"/>
  <c r="P215" i="24"/>
  <c r="N200" i="24"/>
  <c r="L35" i="24" s="1" a="1"/>
  <c r="L35" i="24" s="1"/>
  <c r="B257" i="24"/>
  <c r="B200" i="24"/>
  <c r="B207" i="24"/>
  <c r="B170" i="24"/>
  <c r="B174" i="24"/>
  <c r="B176" i="24"/>
  <c r="B192" i="24"/>
  <c r="B193" i="24"/>
  <c r="B169" i="24"/>
  <c r="B168" i="24"/>
  <c r="L21" i="24" l="1" a="1"/>
  <c r="L21" i="24" s="1"/>
  <c r="L27" i="24" a="1"/>
  <c r="L27" i="24" s="1"/>
  <c r="L39" i="24" a="1"/>
  <c r="L39" i="24" s="1"/>
  <c r="L33" i="24" a="1"/>
  <c r="L33" i="24" s="1"/>
  <c r="L22" i="24" a="1"/>
  <c r="L22" i="24" s="1"/>
  <c r="L28" i="24" a="1"/>
  <c r="L28" i="24" s="1"/>
  <c r="L23" i="24" a="1"/>
  <c r="L23" i="24" s="1"/>
  <c r="L34" i="24" a="1"/>
  <c r="L34" i="24" s="1"/>
  <c r="L46" i="24" a="1"/>
  <c r="L46" i="24" s="1"/>
  <c r="L37" i="24" a="1"/>
  <c r="L37" i="24" s="1"/>
  <c r="L29" i="24" a="1"/>
  <c r="L29" i="24" s="1"/>
  <c r="L36" i="24" a="1"/>
  <c r="L36" i="24" s="1"/>
  <c r="L41" i="24" a="1"/>
  <c r="L41" i="24" s="1"/>
  <c r="L47" i="24" a="1"/>
  <c r="L47" i="24" s="1"/>
  <c r="L31" i="24" a="1"/>
  <c r="L31" i="24" s="1"/>
  <c r="L24" i="24" a="1"/>
  <c r="L24" i="24" s="1"/>
  <c r="L30" i="24" a="1"/>
  <c r="L30" i="24" s="1"/>
  <c r="L48" i="24" a="1"/>
  <c r="L48" i="24" s="1"/>
  <c r="L42" i="24" a="1"/>
  <c r="L42" i="24" s="1"/>
  <c r="L25" i="24" a="1"/>
  <c r="L25" i="24" s="1"/>
  <c r="L43" i="24" a="1"/>
  <c r="L43" i="24" s="1"/>
  <c r="L50" i="24" a="1"/>
  <c r="L50" i="24" s="1"/>
  <c r="L45" i="24" a="1"/>
  <c r="L45" i="24" s="1"/>
  <c r="L26" i="24" a="1"/>
  <c r="L26" i="24" s="1"/>
  <c r="L32" i="24" a="1"/>
  <c r="L32" i="24" s="1"/>
  <c r="L38" i="24" a="1"/>
  <c r="L38" i="24" s="1"/>
  <c r="L44" i="24" a="1"/>
  <c r="L44" i="24" s="1"/>
  <c r="L51" i="24" a="1"/>
  <c r="L51" i="24" s="1"/>
  <c r="L40" i="24" a="1"/>
  <c r="L40" i="24" s="1"/>
  <c r="L49" i="24" a="1"/>
  <c r="L49" i="24" s="1"/>
  <c r="B210" i="24"/>
  <c r="B208" i="24"/>
  <c r="B209" i="24"/>
  <c r="B153" i="24"/>
  <c r="B152" i="24"/>
  <c r="B244" i="24"/>
  <c r="B246" i="24"/>
  <c r="B245" i="24"/>
  <c r="H5" i="43"/>
  <c r="I5" i="43" l="1"/>
  <c r="D297" i="24" l="1"/>
  <c r="D298" i="24"/>
  <c r="B299" i="24"/>
  <c r="B298" i="24"/>
  <c r="B297" i="24"/>
  <c r="B254" i="24" l="1"/>
  <c r="B243" i="24"/>
  <c r="B226" i="24"/>
  <c r="H8" i="43"/>
  <c r="I8" i="43" l="1"/>
  <c r="B215" i="24" l="1"/>
  <c r="B213" i="24"/>
  <c r="B214" i="24"/>
  <c r="B195" i="24"/>
  <c r="B198" i="24"/>
  <c r="B194" i="24"/>
  <c r="B197" i="24"/>
  <c r="B196" i="24"/>
  <c r="B171" i="24"/>
  <c r="B172" i="24"/>
  <c r="I36" i="24" a="1"/>
  <c r="I28" i="24" a="1"/>
  <c r="I22" i="24" a="1"/>
  <c r="I24" i="24" a="1"/>
  <c r="I29" i="24" a="1"/>
  <c r="I21" i="24" a="1"/>
  <c r="I38" i="24" a="1"/>
  <c r="I50" i="24" a="1"/>
  <c r="H7" i="43"/>
  <c r="I40" i="24" a="1"/>
  <c r="I46" i="24" a="1"/>
  <c r="I44" i="24" a="1"/>
  <c r="I41" i="24" a="1"/>
  <c r="I31" i="24" a="1"/>
  <c r="I32" i="24" a="1"/>
  <c r="I42" i="24" a="1"/>
  <c r="I48" i="24" a="1"/>
  <c r="I39" i="24" a="1"/>
  <c r="I25" i="24" a="1"/>
  <c r="I37" i="24" a="1"/>
  <c r="I30" i="24" a="1"/>
  <c r="I35" i="24" a="1"/>
  <c r="I51" i="24" a="1"/>
  <c r="I49" i="24" a="1"/>
  <c r="I47" i="24" a="1"/>
  <c r="I34" i="24" a="1"/>
  <c r="I43" i="24" a="1"/>
  <c r="I33" i="24" a="1"/>
  <c r="I27" i="24" a="1"/>
  <c r="I26" i="24" a="1"/>
  <c r="I45" i="24" a="1"/>
  <c r="I35" i="24" l="1"/>
  <c r="I31" i="24"/>
  <c r="I40" i="24"/>
  <c r="I36" i="24"/>
  <c r="I38" i="24"/>
  <c r="I39" i="24"/>
  <c r="I41" i="24"/>
  <c r="I47" i="24"/>
  <c r="I25" i="24"/>
  <c r="I37" i="24"/>
  <c r="I24" i="24"/>
  <c r="I26" i="24"/>
  <c r="I50" i="24"/>
  <c r="I33" i="24"/>
  <c r="I22" i="24"/>
  <c r="I46" i="24"/>
  <c r="I42" i="24"/>
  <c r="I30" i="24"/>
  <c r="I45" i="24"/>
  <c r="I28" i="24"/>
  <c r="I48" i="24"/>
  <c r="I34" i="24"/>
  <c r="I51" i="24"/>
  <c r="I27" i="24"/>
  <c r="I49" i="24"/>
  <c r="I44" i="24"/>
  <c r="I32" i="24"/>
  <c r="I43" i="24"/>
  <c r="I29" i="24"/>
  <c r="I21" i="24"/>
  <c r="I7" i="43"/>
  <c r="I23" i="24" a="1"/>
  <c r="I23" i="24" l="1"/>
  <c r="B4" i="43"/>
  <c r="K4" i="43" a="1"/>
  <c r="K4" i="43" l="1"/>
  <c r="L4" i="43" s="1"/>
  <c r="B56" i="24"/>
  <c r="B62" i="24"/>
  <c r="B63" i="24"/>
  <c r="B65" i="24"/>
  <c r="B312" i="24"/>
  <c r="B313" i="24"/>
  <c r="B319" i="24"/>
  <c r="B320" i="24"/>
  <c r="B321" i="24"/>
  <c r="B322" i="24"/>
  <c r="B323" i="24"/>
  <c r="B324" i="24"/>
  <c r="B347" i="24"/>
  <c r="B348" i="24"/>
  <c r="B349" i="24"/>
  <c r="B350" i="24"/>
  <c r="B351" i="24"/>
  <c r="B352" i="24"/>
  <c r="B353" i="24"/>
  <c r="H10" i="43"/>
  <c r="H6" i="43"/>
  <c r="H12" i="43"/>
  <c r="H4" i="43"/>
  <c r="H9" i="43"/>
  <c r="I12" i="43" l="1"/>
  <c r="I9" i="43"/>
  <c r="I10" i="43"/>
  <c r="I6" i="43"/>
  <c r="I4" i="4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tc={CA6ADEB5-11BE-4132-A47A-25C518BB628C}</author>
    <author>tc={CF09B496-89B2-4E5E-8028-11313809749B}</author>
    <author>tc={548015E0-C233-447D-B530-1C0B3C21F640}</author>
    <author>tc={EF28D3A0-EE92-45D0-B99E-D3E043085B5F}</author>
    <author>tc={F3CD5873-CE76-472C-A04C-257704E0D773}</author>
  </authors>
  <commentList>
    <comment ref="I3" authorId="0" shapeId="0" xr:uid="{CA6ADEB5-11BE-4132-A47A-25C518BB628C}">
      <text>
        <t>[Threaded comment]
Your version of Excel allows you to read this threaded comment; however, any edits to it will get removed if the file is opened in a newer version of Excel. Learn more: https://go.microsoft.com/fwlink/?linkid=870924
Comment:
    Last row to import</t>
      </text>
    </comment>
    <comment ref="J3" authorId="1" shapeId="0" xr:uid="{CF09B496-89B2-4E5E-8028-11313809749B}">
      <text>
        <t>[Threaded comment]
Your version of Excel allows you to read this threaded comment; however, any edits to it will get removed if the file is opened in a newer version of Excel. Learn more: https://go.microsoft.com/fwlink/?linkid=870924
Comment:
    column index for the row id</t>
      </text>
    </comment>
    <comment ref="K3" authorId="2" shapeId="0" xr:uid="{548015E0-C233-447D-B530-1C0B3C21F640}">
      <text>
        <t>[Threaded comment]
Your version of Excel allows you to read this threaded comment; however, any edits to it will get removed if the file is opened in a newer version of Excel. Learn more: https://go.microsoft.com/fwlink/?linkid=870924
Comment:
    column index for the last column</t>
      </text>
    </comment>
    <comment ref="L3" authorId="3" shapeId="0" xr:uid="{EF28D3A0-EE92-45D0-B99E-D3E043085B5F}">
      <text>
        <t>[Threaded comment]
Your version of Excel allows you to read this threaded comment; however, any edits to it will get removed if the file is opened in a newer version of Excel. Learn more: https://go.microsoft.com/fwlink/?linkid=870924
Comment:
    Total number of table columns, including the row index</t>
      </text>
    </comment>
    <comment ref="M3" authorId="4" shapeId="0" xr:uid="{F3CD5873-CE76-472C-A04C-257704E0D773}">
      <text>
        <t>[Threaded comment]
Your version of Excel allows you to read this threaded comment; however, any edits to it will get removed if the file is opened in a newer version of Excel. Learn more: https://go.microsoft.com/fwlink/?linkid=870924
Comment:
    Which columns to exclude (relative to id_colIndex)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tc={B1227AEC-55F2-4D4B-9D62-D8081C156293}</author>
    <author>tc={492F094F-8801-4499-80C3-4610B2EB4C3B}</author>
    <author>tc={40274E0A-9A04-480D-A5E8-2C38F8B3CAD3}</author>
    <author>tc={61FF9366-C253-4143-8900-DE7FDB924463}</author>
    <author>tc={7C7D377F-2B53-48B7-807A-23CFCBC48B83}</author>
    <author>tc={3962DDEC-520D-4477-AB4D-6A758B04F9CC}</author>
    <author>tc={B944EC01-36D0-40EC-99E6-BA8270B055AE}</author>
    <author>tc={EF83C059-A623-47AC-AFC4-40246F6AF9B2}</author>
    <author>tc={74E8C379-DF77-4FAE-8C13-4D0000C68271}</author>
    <author>tc={984021BA-DD3F-4758-AAFF-698CBFB1E97F}</author>
    <author>tc={A0D64BDD-1681-4C8F-9929-C1898D0603B0}</author>
    <author>tc={A5816E78-F7FA-40E3-ACC3-4CDB677E4DA9}</author>
  </authors>
  <commentList>
    <comment ref="E20" authorId="0" shapeId="0" xr:uid="{B1227AEC-55F2-4D4B-9D62-D8081C156293}">
      <text>
        <t>[Threaded comment]
Your version of Excel allows you to read this threaded comment; however, any edits to it will get removed if the file is opened in a newer version of Excel. Learn more: https://go.microsoft.com/fwlink/?linkid=870924
Comment:
    Boolean field -- indicates if sector is included in run of R script.</t>
      </text>
    </comment>
    <comment ref="J20" authorId="1" shapeId="0" xr:uid="{492F094F-8801-4499-80C3-4610B2EB4C3B}">
      <text>
        <t>[Threaded comment]
Your version of Excel allows you to read this threaded comment; however, any edits to it will get removed if the file is opened in a newer version of Excel. Learn more: https://go.microsoft.com/fwlink/?linkid=870924
Comment:
    Boolean field -- indicates if sector has 2010 and 2090 impact esimates. Corresponds to impact year table below.</t>
      </text>
    </comment>
    <comment ref="D55" authorId="2" shapeId="0" xr:uid="{40274E0A-9A04-480D-A5E8-2C38F8B3CAD3}">
      <text>
        <t>[Threaded comment]
Your version of Excel allows you to read this threaded comment; however, any edits to it will get removed if the file is opened in a newer version of Excel. Learn more: https://go.microsoft.com/fwlink/?linkid=870924
Comment:
    Empty values are replaced with "NA" in the R tool.</t>
      </text>
    </comment>
    <comment ref="E92" authorId="3" shapeId="0" xr:uid="{61FF9366-C253-4143-8900-DE7FDB924463}">
      <text>
        <t>[Threaded comment]
Your version of Excel allows you to read this threaded comment; however, any edits to it will get removed if the file is opened in a newer version of Excel. Learn more: https://go.microsoft.com/fwlink/?linkid=870924
Comment:
    No spaces in this ID!</t>
      </text>
    </comment>
    <comment ref="F92" authorId="4" shapeId="0" xr:uid="{7C7D377F-2B53-48B7-807A-23CFCBC48B83}">
      <text>
        <t>[Threaded comment]
Your version of Excel allows you to read this threaded comment; however, any edits to it will get removed if the file is opened in a newer version of Excel. Learn more: https://go.microsoft.com/fwlink/?linkid=870924
Comment:
    For sectors with multiple variants, one variant is considered the "primary" variant -- e.g., as used in when aggregating across sectors.</t>
      </text>
    </comment>
    <comment ref="G92" authorId="5" shapeId="0" xr:uid="{3962DDEC-520D-4477-AB4D-6A758B04F9CC}">
      <text>
        <t>[Threaded comment]
Your version of Excel allows you to read this threaded comment; however, any edits to it will get removed if the file is opened in a newer version of Excel. Learn more: https://go.microsoft.com/fwlink/?linkid=870924
Comment:
    Numeric field -- indicates whether a sector should be included when aggregating over sectors. Sectors with a flag &gt;= 1 are generally included in aggregation. Flags &gt; 1 may have different treatments</t>
      </text>
    </comment>
    <comment ref="H175" authorId="6" shapeId="0" xr:uid="{B944EC01-36D0-40EC-99E6-BA8270B055AE}">
      <text>
        <t>[Threaded comment]
Your version of Excel allows you to read this threaded comment; however, any edits to it will get removed if the file is opened in a newer version of Excel. Learn more: https://go.microsoft.com/fwlink/?linkid=870924
Comment:
    May add a physical scalar in the future - total regional property value
Reply:
    For now keeping it without, for consistency with coastal properties</t>
      </text>
    </comment>
    <comment ref="F220" authorId="7" shapeId="0" xr:uid="{EF83C059-A623-47AC-AFC4-40246F6AF9B2}">
      <text>
        <t>[Threaded comment]
Your version of Excel allows you to read this threaded comment; however, any edits to it will get removed if the file is opened in a newer version of Excel. Learn more: https://go.microsoft.com/fwlink/?linkid=870924
Comment:
    This field tracks whether the input scalar is a time series of scalars, or a single input used to calculate a trajectory of the scalar in R. "Dynamic" scalars are a full series; "constant" are a single value from which a series is calculated in the R script.</t>
      </text>
    </comment>
    <comment ref="J311" authorId="8" shapeId="0" xr:uid="{74E8C379-DF77-4FAE-8C13-4D0000C68271}">
      <text>
        <t>[Threaded comment]
Your version of Excel allows you to read this threaded comment; however, any edits to it will get removed if the file is opened in a newer version of Excel. Learn more: https://go.microsoft.com/fwlink/?linkid=870924
Comment:
    Year when change and impacts are zero</t>
      </text>
    </comment>
    <comment ref="L311" authorId="9" shapeId="0" xr:uid="{984021BA-DD3F-4758-AAFF-698CBFB1E97F}">
      <text>
        <t>[Threaded comment]
Your version of Excel allows you to read this threaded comment; however, any edits to it will get removed if the file is opened in a newer version of Excel. Learn more: https://go.microsoft.com/fwlink/?linkid=870924
Comment:
    Maximum value to extrapolate to, for models that go up to the maximum output value.</t>
      </text>
    </comment>
    <comment ref="D318" authorId="10" shapeId="0" xr:uid="{A0D64BDD-1681-4C8F-9929-C1898D0603B0}">
      <text>
        <t>[Threaded comment]
Your version of Excel allows you to read this threaded comment; however, any edits to it will get removed if the file is opened in a newer version of Excel. Learn more: https://go.microsoft.com/fwlink/?linkid=870924
Comment:
    Max extrapolation temperature</t>
      </text>
    </comment>
    <comment ref="J337" authorId="11" shapeId="0" xr:uid="{A5816E78-F7FA-40E3-ACC3-4CDB677E4DA9}">
      <text>
        <t>[Threaded comment]
Your version of Excel allows you to read this threaded comment; however, any edits to it will get removed if the file is opened in a newer version of Excel. Learn more: https://go.microsoft.com/fwlink/?linkid=870924
Comment:
    Whether region is a dimension of the input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<sst xmlns="http://schemas.openxmlformats.org/spreadsheetml/2006/main" count="2035" uniqueCount="754">
  <si>
    <t>CanESM2</t>
  </si>
  <si>
    <t>CCSM4</t>
  </si>
  <si>
    <t>GISS-E2-R</t>
  </si>
  <si>
    <t>HadGEM2-ES</t>
  </si>
  <si>
    <t>MIROC5</t>
  </si>
  <si>
    <t>GFDL-CM3</t>
  </si>
  <si>
    <t>Midwest</t>
  </si>
  <si>
    <t>Northeast</t>
  </si>
  <si>
    <t>Northern Plains</t>
  </si>
  <si>
    <t>Northwest</t>
  </si>
  <si>
    <t>Southeast</t>
  </si>
  <si>
    <t>Southern Plains</t>
  </si>
  <si>
    <t>Southwest</t>
  </si>
  <si>
    <t>hot</t>
  </si>
  <si>
    <t>cold</t>
  </si>
  <si>
    <t>ExtremeTemp</t>
  </si>
  <si>
    <t>VSL</t>
  </si>
  <si>
    <t/>
  </si>
  <si>
    <t>Labor</t>
  </si>
  <si>
    <t>InlandFlooding</t>
  </si>
  <si>
    <t>SouthwestDust</t>
  </si>
  <si>
    <t>CoastalProperties</t>
  </si>
  <si>
    <t>NoAdapt</t>
  </si>
  <si>
    <t>Reactive</t>
  </si>
  <si>
    <t>WinterRec</t>
  </si>
  <si>
    <t>Alpine</t>
  </si>
  <si>
    <t>XC</t>
  </si>
  <si>
    <t>Snowmobiling</t>
  </si>
  <si>
    <t>AllMort</t>
  </si>
  <si>
    <t>AsthmaER</t>
  </si>
  <si>
    <t>AllResp</t>
  </si>
  <si>
    <t>AllCardiovasc</t>
  </si>
  <si>
    <t>ACMI</t>
  </si>
  <si>
    <t>Winter Recreation</t>
  </si>
  <si>
    <t>Southwest Dust</t>
  </si>
  <si>
    <t>Coastal Properties</t>
  </si>
  <si>
    <t>Extreme Temperature</t>
  </si>
  <si>
    <t>Impact Types</t>
  </si>
  <si>
    <t>N/A</t>
  </si>
  <si>
    <t>Hot</t>
  </si>
  <si>
    <t>Cold</t>
  </si>
  <si>
    <t>All Mortality</t>
  </si>
  <si>
    <t>All Respiratory</t>
  </si>
  <si>
    <t>Alpine Skiing</t>
  </si>
  <si>
    <t>Cross-Country Skiing</t>
  </si>
  <si>
    <t>Proactive</t>
  </si>
  <si>
    <t>Rail</t>
  </si>
  <si>
    <t>ID</t>
  </si>
  <si>
    <t>Regional Population</t>
  </si>
  <si>
    <t>Hospitalization (Respiratory)</t>
  </si>
  <si>
    <t>Hospitalization (Cardiovascular)</t>
  </si>
  <si>
    <t>Hospitalization (Acute Myocardial Infarction)</t>
  </si>
  <si>
    <t>Rail Miles</t>
  </si>
  <si>
    <t>Roads</t>
  </si>
  <si>
    <t>All Cardiovascular</t>
  </si>
  <si>
    <t>region</t>
  </si>
  <si>
    <t>sector_id</t>
  </si>
  <si>
    <t>ElecSD</t>
  </si>
  <si>
    <t>HTF</t>
  </si>
  <si>
    <t>MarineFisheries</t>
  </si>
  <si>
    <t>Traffic delays and adaptation costs due to high tide flooding</t>
  </si>
  <si>
    <t>UrbanDrainage</t>
  </si>
  <si>
    <t>Urban Drainage</t>
  </si>
  <si>
    <t>WaterQuality</t>
  </si>
  <si>
    <t>Water Quality</t>
  </si>
  <si>
    <t>Notes</t>
  </si>
  <si>
    <t>Reasonable</t>
  </si>
  <si>
    <t>Direct</t>
  </si>
  <si>
    <t>year</t>
  </si>
  <si>
    <t>Regions</t>
  </si>
  <si>
    <t>region_label</t>
  </si>
  <si>
    <t>output_lookupID</t>
  </si>
  <si>
    <t>Sectors Table</t>
  </si>
  <si>
    <t>Table Name</t>
  </si>
  <si>
    <t>Worksheet</t>
  </si>
  <si>
    <t>Number of Data Rows</t>
  </si>
  <si>
    <t>co_regions</t>
  </si>
  <si>
    <t>co_sectors</t>
  </si>
  <si>
    <t>ID_columnName</t>
  </si>
  <si>
    <t>tableNames</t>
  </si>
  <si>
    <t>This worksheet contains the names of data tables to import into R</t>
  </si>
  <si>
    <t>sector_label</t>
  </si>
  <si>
    <t>Import</t>
  </si>
  <si>
    <t>Asthma ER</t>
  </si>
  <si>
    <t>reg_pop</t>
  </si>
  <si>
    <t>scalarLabel</t>
  </si>
  <si>
    <t>scalarName</t>
  </si>
  <si>
    <t>value</t>
  </si>
  <si>
    <t>none</t>
  </si>
  <si>
    <t>gdp_percap</t>
  </si>
  <si>
    <t>Electricity Supply and Demand Reference Costs</t>
  </si>
  <si>
    <t>econScalarName</t>
  </si>
  <si>
    <t>Last Row</t>
  </si>
  <si>
    <t>Header Row</t>
  </si>
  <si>
    <t>AirQuality</t>
  </si>
  <si>
    <t>High Risk Worker Population</t>
  </si>
  <si>
    <t>include</t>
  </si>
  <si>
    <t>Wildfire</t>
  </si>
  <si>
    <t>c0</t>
  </si>
  <si>
    <t>c1</t>
  </si>
  <si>
    <t>exp0</t>
  </si>
  <si>
    <t>year0</t>
  </si>
  <si>
    <t>High-Risk Worker Wages</t>
  </si>
  <si>
    <t>Mortality</t>
  </si>
  <si>
    <t>Morbidity</t>
  </si>
  <si>
    <t>Wildfire Response Costs</t>
  </si>
  <si>
    <t>ResponseCosts</t>
  </si>
  <si>
    <t>2011 Emissions</t>
  </si>
  <si>
    <t>Adaptation</t>
  </si>
  <si>
    <t>Direct Adaptation</t>
  </si>
  <si>
    <t>No Adaptation</t>
  </si>
  <si>
    <t>Proactive Adaptation</t>
  </si>
  <si>
    <t>Reactive Adaptation</t>
  </si>
  <si>
    <t>Reasonably Anticipated Adaptation</t>
  </si>
  <si>
    <t>row_id</t>
  </si>
  <si>
    <t>billion</t>
  </si>
  <si>
    <t>million</t>
  </si>
  <si>
    <t>thousand</t>
  </si>
  <si>
    <t>constant</t>
  </si>
  <si>
    <t>vsl_usd</t>
  </si>
  <si>
    <t>Hospitalization Costs (All Cardiovascular and ACMI)</t>
  </si>
  <si>
    <t>Hospitalization Costs (Respiratory)</t>
  </si>
  <si>
    <t>Hospitalization Costs (Asthma ER)</t>
  </si>
  <si>
    <t>physScalarName</t>
  </si>
  <si>
    <t>physAdjName</t>
  </si>
  <si>
    <t>damageAdjName</t>
  </si>
  <si>
    <t>Road Miles</t>
  </si>
  <si>
    <t>Population-Driven Demand Growth Factor for Grid Reliability</t>
  </si>
  <si>
    <t>Rail Traffic Growth Factor</t>
  </si>
  <si>
    <t>Response Costs</t>
  </si>
  <si>
    <t>Coastal Property Damage</t>
  </si>
  <si>
    <t>LostWages</t>
  </si>
  <si>
    <t>Rail Impacts</t>
  </si>
  <si>
    <t>Water Quality Impacts</t>
  </si>
  <si>
    <t>Lost Wages for High-Risk Occupations</t>
  </si>
  <si>
    <t>Road Impacts</t>
  </si>
  <si>
    <t>Asthma ED Visits</t>
  </si>
  <si>
    <t>Extreme Cold</t>
  </si>
  <si>
    <t>Extreme Heat</t>
  </si>
  <si>
    <t>scalarType</t>
  </si>
  <si>
    <t>econScalar</t>
  </si>
  <si>
    <t>damageAdj</t>
  </si>
  <si>
    <t>physScalar</t>
  </si>
  <si>
    <t>valueYear</t>
  </si>
  <si>
    <t>slr</t>
  </si>
  <si>
    <t>gcm</t>
  </si>
  <si>
    <t>temp_C_conus</t>
  </si>
  <si>
    <t>pop_Midwest</t>
  </si>
  <si>
    <t>pop_Northeast</t>
  </si>
  <si>
    <t>pop_Northwest</t>
  </si>
  <si>
    <t>pop_Southeast</t>
  </si>
  <si>
    <t>pop_Southwest</t>
  </si>
  <si>
    <t>co_defaultScenario</t>
  </si>
  <si>
    <t>defaultScenario</t>
  </si>
  <si>
    <t>impactYears</t>
  </si>
  <si>
    <t>impactTypes</t>
  </si>
  <si>
    <t>notes</t>
  </si>
  <si>
    <t>physAdj</t>
  </si>
  <si>
    <t>scalarData</t>
  </si>
  <si>
    <t>scalarDataframe</t>
  </si>
  <si>
    <t>co_impactYears</t>
  </si>
  <si>
    <t>co_impactTypes</t>
  </si>
  <si>
    <t>co_scalarInfo</t>
  </si>
  <si>
    <t>modelType</t>
  </si>
  <si>
    <t>constant_or_dynamic</t>
  </si>
  <si>
    <t>national_or_regional</t>
  </si>
  <si>
    <t>national</t>
  </si>
  <si>
    <t>dynamic</t>
  </si>
  <si>
    <t>2010</t>
  </si>
  <si>
    <t>2090</t>
  </si>
  <si>
    <t>gdp_usd</t>
  </si>
  <si>
    <t>model_id</t>
  </si>
  <si>
    <t>data_scaledImpacts</t>
  </si>
  <si>
    <t>dataType</t>
  </si>
  <si>
    <t>In data</t>
  </si>
  <si>
    <t>Calculated or input</t>
  </si>
  <si>
    <t>Calculated</t>
  </si>
  <si>
    <t>U.S. National GDP</t>
  </si>
  <si>
    <t>GDP per capita (national)</t>
  </si>
  <si>
    <t>None</t>
  </si>
  <si>
    <t>Has value of 1</t>
  </si>
  <si>
    <t>econMultiplierName</t>
  </si>
  <si>
    <t>co_econMultipliers</t>
  </si>
  <si>
    <t>sector</t>
  </si>
  <si>
    <t>impactYear</t>
  </si>
  <si>
    <t>adaptation</t>
  </si>
  <si>
    <t>outputRowID</t>
  </si>
  <si>
    <t>id_colIndex</t>
  </si>
  <si>
    <t>last_colIndex</t>
  </si>
  <si>
    <t>num_tableCols</t>
  </si>
  <si>
    <t>NA</t>
  </si>
  <si>
    <t>Adapt</t>
  </si>
  <si>
    <t>impactType</t>
  </si>
  <si>
    <t>model</t>
  </si>
  <si>
    <t>impactType_label</t>
  </si>
  <si>
    <t>impactType_id</t>
  </si>
  <si>
    <t>impactType_description</t>
  </si>
  <si>
    <t>excludeCol_ids</t>
  </si>
  <si>
    <t>Table with impact type information</t>
  </si>
  <si>
    <t>Table with impact year information</t>
  </si>
  <si>
    <t>Table with information about scalars</t>
  </si>
  <si>
    <t>Table with information about regions</t>
  </si>
  <si>
    <t>Table with information about GCMs</t>
  </si>
  <si>
    <t>Table with information about economic multipliers</t>
  </si>
  <si>
    <t>pop_Northern.Plains</t>
  </si>
  <si>
    <t>pop_Southern.Plains</t>
  </si>
  <si>
    <t>econMultiplierDescription</t>
  </si>
  <si>
    <t>2040 Emissions</t>
  </si>
  <si>
    <t>--</t>
  </si>
  <si>
    <t>scaledImpacts</t>
  </si>
  <si>
    <t>model_label</t>
  </si>
  <si>
    <t>temperature</t>
  </si>
  <si>
    <t>Temperature</t>
  </si>
  <si>
    <t>GCM</t>
  </si>
  <si>
    <t>modelType_id</t>
  </si>
  <si>
    <t>modelType_label</t>
  </si>
  <si>
    <t>SLR</t>
  </si>
  <si>
    <t>degrees Celsius</t>
  </si>
  <si>
    <t>cm</t>
  </si>
  <si>
    <t>modelUnitDesc</t>
  </si>
  <si>
    <t>modelUnit_id</t>
  </si>
  <si>
    <t>celsius</t>
  </si>
  <si>
    <t>modelUnit_label</t>
  </si>
  <si>
    <t>co_models</t>
  </si>
  <si>
    <t>co_modelTypes</t>
  </si>
  <si>
    <t>controlTables</t>
  </si>
  <si>
    <t>modelUnitValue</t>
  </si>
  <si>
    <t>modelRefYear</t>
  </si>
  <si>
    <t>modelUnitScale</t>
  </si>
  <si>
    <t>Number of impact types</t>
  </si>
  <si>
    <t>Number of impact years</t>
  </si>
  <si>
    <t>modelMaxOutput</t>
  </si>
  <si>
    <t>modelMaxExtrap</t>
  </si>
  <si>
    <t>Electricity Transmission Impacts</t>
  </si>
  <si>
    <t>Acute Myocardial Infarction</t>
  </si>
  <si>
    <t>ValleyFever</t>
  </si>
  <si>
    <t>Valley Fever</t>
  </si>
  <si>
    <t>Valley Fever Mortality Outcome Probability</t>
  </si>
  <si>
    <t>Valley Fever Morbidity Outcome Probability</t>
  </si>
  <si>
    <t>Valley Fever Lost Wages Outcome Probability</t>
  </si>
  <si>
    <t>Daily Wages</t>
  </si>
  <si>
    <t>Valley Fever Average Cost of Illness</t>
  </si>
  <si>
    <t>Lost Wages</t>
  </si>
  <si>
    <t>Proactive costs of improving urban drainage infrastructure</t>
  </si>
  <si>
    <t>Change in power sector costs from reference scenario</t>
  </si>
  <si>
    <t>Lost ticket sales from alpine skiing</t>
  </si>
  <si>
    <t>Lost ticket sales from cross-country skiing</t>
  </si>
  <si>
    <t>Lost ticket sales from snowmobiling</t>
  </si>
  <si>
    <t>Table with information about model types (GCM vs SLR)</t>
  </si>
  <si>
    <t>Electricity Transmission and Distribution</t>
  </si>
  <si>
    <t>ElecTD</t>
  </si>
  <si>
    <t>Electricity Demand and Supply</t>
  </si>
  <si>
    <t>AsphaltRoads</t>
  </si>
  <si>
    <t>Damages per lane mile</t>
  </si>
  <si>
    <t>Asphalt Roads</t>
  </si>
  <si>
    <t>Asphalt Lane Miles</t>
  </si>
  <si>
    <t>Calculated value</t>
  </si>
  <si>
    <t>sectorprimary</t>
  </si>
  <si>
    <t>includeaggregate</t>
  </si>
  <si>
    <t>physicalmeasure</t>
  </si>
  <si>
    <t>Premature Mortality</t>
  </si>
  <si>
    <t>Acres Burned</t>
  </si>
  <si>
    <t>Column used for record-keeping of data checks</t>
  </si>
  <si>
    <t>Color Legend</t>
  </si>
  <si>
    <t>Table of Contents</t>
  </si>
  <si>
    <t>Model Types</t>
  </si>
  <si>
    <t>Impact Year Estimates</t>
  </si>
  <si>
    <t>Economic Multipliers</t>
  </si>
  <si>
    <t>Constants</t>
  </si>
  <si>
    <t>Hard-coded value/included in model</t>
  </si>
  <si>
    <t>Named constants</t>
  </si>
  <si>
    <t>Temperature and SLR-binning model types</t>
  </si>
  <si>
    <t>Temperature and SLR-binning models (GCMs and SLR scenarios)</t>
  </si>
  <si>
    <t>interpolateEstimateYears</t>
  </si>
  <si>
    <t>Overview of sectors included in the model</t>
  </si>
  <si>
    <t>Overview of impact estimate years associated with each sector</t>
  </si>
  <si>
    <t>Overview of sector-adaptation combinations</t>
  </si>
  <si>
    <t>Overview of sector-impact type combinations</t>
  </si>
  <si>
    <t>Overview of physical scalars, physical adjustments, damage adjustments, economic scalars, and economic multipliers.</t>
  </si>
  <si>
    <t>Overview of economic multipliers</t>
  </si>
  <si>
    <t>List of regions</t>
  </si>
  <si>
    <t>Input Scenario Information</t>
  </si>
  <si>
    <t>inputName</t>
  </si>
  <si>
    <t>temp</t>
  </si>
  <si>
    <t>gdp</t>
  </si>
  <si>
    <t>pop</t>
  </si>
  <si>
    <t>inputType</t>
  </si>
  <si>
    <t>GDP</t>
  </si>
  <si>
    <t>inputUnit</t>
  </si>
  <si>
    <t>2015$</t>
  </si>
  <si>
    <t>capita</t>
  </si>
  <si>
    <t>inputDesc</t>
  </si>
  <si>
    <t>Temperature (Celsius)</t>
  </si>
  <si>
    <t>GMSL (cm)</t>
  </si>
  <si>
    <t>GDP (2015$)</t>
  </si>
  <si>
    <t>Population (capita)</t>
  </si>
  <si>
    <t>inputMin</t>
  </si>
  <si>
    <t>inputMax</t>
  </si>
  <si>
    <t>GMSL (SLR)</t>
  </si>
  <si>
    <t>valueCol</t>
  </si>
  <si>
    <t>temp_C</t>
  </si>
  <si>
    <t>slr_cm</t>
  </si>
  <si>
    <t>co_inputScenarioInfo</t>
  </si>
  <si>
    <t>Table with information about input scenarios</t>
  </si>
  <si>
    <t>Information about input scenarios</t>
  </si>
  <si>
    <t>Description</t>
  </si>
  <si>
    <t>Field</t>
  </si>
  <si>
    <t>Worksheet for user inputs to R tool. Expand group (see “+” to right) for field descriptions</t>
  </si>
  <si>
    <r>
      <t xml:space="preserve">Table for tracking of tables in "controlTables" tab, which is </t>
    </r>
    <r>
      <rPr>
        <sz val="11"/>
        <rFont val="Calibri"/>
        <family val="2"/>
        <scheme val="minor"/>
      </rPr>
      <t>used by the R package to import function inputs.</t>
    </r>
    <r>
      <rPr>
        <sz val="11"/>
        <color theme="1"/>
        <rFont val="Calibri"/>
        <family val="2"/>
        <scheme val="minor"/>
      </rPr>
      <t xml:space="preserve"> Additional notes are provided in the "notes" field.</t>
    </r>
  </si>
  <si>
    <r>
      <t>Temperature or GMSL-binned data. Impacts estimates are scaled where appropriate to remove time-dependencies. Expand group (see “+” to right) for field descriptions.</t>
    </r>
    <r>
      <rPr>
        <sz val="11"/>
        <rFont val="Calibri"/>
        <family val="2"/>
        <scheme val="minor"/>
      </rPr>
      <t xml:space="preserve"> See Appendix A of the Documentation Report for more information on these values.</t>
    </r>
  </si>
  <si>
    <t>Scalars and adjustment factors applied to temperature or GMSL-binned data for inclusion of socioeconomic impact drivers or other time dependent factors. Expand group (see “+” to right) for field descriptions. See Appendix A of the Documentation Report for more information on these values.</t>
  </si>
  <si>
    <r>
      <t>Tables used for documentation of secto</t>
    </r>
    <r>
      <rPr>
        <sz val="11"/>
        <rFont val="Calibri"/>
        <family val="2"/>
        <scheme val="minor"/>
      </rPr>
      <t>rs parameters and to define sector processing in the R package</t>
    </r>
    <r>
      <rPr>
        <sz val="11"/>
        <color theme="1"/>
        <rFont val="Calibri"/>
        <family val="2"/>
        <scheme val="minor"/>
      </rPr>
      <t>. The table of contents at the top of the worksheet lists all of the tables included in the worksheet. Narrative information for each sector and for general framework setup can be found in the Temperature Binning Framework documentation.</t>
    </r>
  </si>
  <si>
    <t>Inland Flooding</t>
  </si>
  <si>
    <t>Expected annual damage (property damage valuation)</t>
  </si>
  <si>
    <t>GCM Ensemble</t>
  </si>
  <si>
    <t>WindDamage</t>
  </si>
  <si>
    <t>MRI-CGCM3</t>
  </si>
  <si>
    <t>Wind Damage</t>
  </si>
  <si>
    <t>Cost of wind damage</t>
  </si>
  <si>
    <t>Sectors Info</t>
  </si>
  <si>
    <t>adapt_id</t>
  </si>
  <si>
    <t>adapt_label</t>
  </si>
  <si>
    <t>NCPM costs with GDP/capita property adjustment, dated 09 2018. 11-year moving average, with using financial smoothing technique. Costs are $2015 dollars / year. Costs include abandonment, storm surge damage, nourishment, armor, and elevate .</t>
  </si>
  <si>
    <t>High Tide Flooding and Traffic with GDP and population growth, dated 04 2020. 11-year moving average for temp binning. Costs are $2015 dollars / year.</t>
  </si>
  <si>
    <t>Adaptations Info</t>
  </si>
  <si>
    <t>co_defaultTemps</t>
  </si>
  <si>
    <t>slrImpacts</t>
  </si>
  <si>
    <t>Scalar Information</t>
  </si>
  <si>
    <t>Marine Fisheries</t>
  </si>
  <si>
    <t>Decrease in revenue</t>
  </si>
  <si>
    <t>Without CO2 Fertilization</t>
  </si>
  <si>
    <t>With CO2 Fertilization</t>
  </si>
  <si>
    <t>Cotton</t>
  </si>
  <si>
    <t>Maize</t>
  </si>
  <si>
    <t>Soybean</t>
  </si>
  <si>
    <t>Wheat</t>
  </si>
  <si>
    <t>Lost Production Value</t>
  </si>
  <si>
    <t>withCO2</t>
  </si>
  <si>
    <t>withoutCO2</t>
  </si>
  <si>
    <t>"impactType_id" should have no spaces</t>
  </si>
  <si>
    <t>Property</t>
  </si>
  <si>
    <t>Violent</t>
  </si>
  <si>
    <t>Property Crime Costs</t>
  </si>
  <si>
    <t>Violent Crime Costs</t>
  </si>
  <si>
    <t>CILAgriculture</t>
  </si>
  <si>
    <t>CILCrime</t>
  </si>
  <si>
    <t>CIL Agriculture</t>
  </si>
  <si>
    <t>CIL Crime</t>
  </si>
  <si>
    <t>Cost of crime</t>
  </si>
  <si>
    <t>Crimes</t>
  </si>
  <si>
    <t>co_variants</t>
  </si>
  <si>
    <t>Table with variant information</t>
  </si>
  <si>
    <t>Table of sector names and labels. Added variants impact years, and impact types list (columns 7-9), which the R Tool filters out.</t>
  </si>
  <si>
    <t>Variants Table</t>
  </si>
  <si>
    <t>If the sector only has one variant, "variant_id_excel" should be "N/A"</t>
  </si>
  <si>
    <t>When adding a new sector, check that "variant_id_excel" matches the value in the associated scaled impacts table ("scaledImpacts" or "slrImpacts").</t>
  </si>
  <si>
    <t>"variant_id" should have no spaces</t>
  </si>
  <si>
    <t>variant_label</t>
  </si>
  <si>
    <t>variant_id</t>
  </si>
  <si>
    <t>variants</t>
  </si>
  <si>
    <t>Number of variants</t>
  </si>
  <si>
    <t>mean</t>
  </si>
  <si>
    <t>Mean</t>
  </si>
  <si>
    <t>Low Confidence Interval</t>
  </si>
  <si>
    <t>High Confidence Interval</t>
  </si>
  <si>
    <t>median</t>
  </si>
  <si>
    <t>Median</t>
  </si>
  <si>
    <t>Net mortality (heat and cold)</t>
  </si>
  <si>
    <t>Changes if new sector added</t>
  </si>
  <si>
    <t>New sector changes</t>
  </si>
  <si>
    <t>Yes</t>
  </si>
  <si>
    <t>New rows for each new sector</t>
  </si>
  <si>
    <t>Maybe</t>
  </si>
  <si>
    <t>New rows if a new sector uses a new type of scalar. Can check if the new `co_impactTypes` has any scalars that aren't in the reference `co_scalarInfo` and, if so, we expect the new `scalarDataframe` to have new rows. Each new scalar will have at least one new row. Minimum number of new rows depends on the attributes of the scalar (e.g., whether national or regional, etc.)</t>
  </si>
  <si>
    <t>New rows associated with the new sector if a sector is temperature-driven. Can check info from `co_sectors` to see if sector is temperature-driven (in which case, scaled impacts added to `data_scaledImpacts`) or SLR-driven (in which case, scaled impacts added to `slrImpacts`). Number of new rows will equal: Number of variants * Number of impact types * Number of impact years * Number of GCM models * Number of degrees (6)</t>
  </si>
  <si>
    <t>No</t>
  </si>
  <si>
    <t>No changes expected for a new sector</t>
  </si>
  <si>
    <t>New rows for each new sector for each variant type (a sector without a named variant will still add a new row in this table)</t>
  </si>
  <si>
    <t>New rows for each new sector (a sector without specific impact years will still add a new row in this table)</t>
  </si>
  <si>
    <t>New rows for each new sector, impact type, and variant (a sector without specific impact years will still add least one new row in this table)</t>
  </si>
  <si>
    <t>New rows if a new sector uses a new type of scalar. Can check if the new `co_impactTypes` has any scalars that aren't in the reference `co_scalarInfo` and, if so, we expect the new `co_scalarInfo` to have new rows (number of new rows = number of new scalars).</t>
  </si>
  <si>
    <t>Sometimes new sectors have new models. We could specific the new model(s) at the time we run the "new sector" test</t>
  </si>
  <si>
    <t>In theory, yes, but generally, no. We haven't added a new econMultiplier in ages. So let's assume it is no for the purposes of developing the test and revisit this if there is a special case</t>
  </si>
  <si>
    <t>GCM or SLR. That's it. Other changes would not be a "new sector" test…it would be a much larger model update.</t>
  </si>
  <si>
    <t>Only updates if there is an update to the SLR method</t>
  </si>
  <si>
    <t>New rows associated with the new sector if a sector is SLR-driven. Can check info from `co_sectors` to see if sector is temperature-driven (in which case, scaled impacts added to `data_scaledImpacts`) or SLR-driven (in which case, scaled impacts added to `slrImpacts`). Number of new rows will equal: Number of variants * Number of impact types * Number of impact years * Number of GCM models * Number of degrees (6)</t>
  </si>
  <si>
    <t>co_sectorsRef</t>
  </si>
  <si>
    <t>Reference info about sectors. Will have new rows for the new sector</t>
  </si>
  <si>
    <t>co_impactYearLevels</t>
  </si>
  <si>
    <t xml:space="preserve">In theory, yes, but generally, no. We haven't added a new impact year in ages. So let's assume it is no for the purposes of developing the test and revisit this if there is a special case. </t>
  </si>
  <si>
    <t>df_sectorsInfo</t>
  </si>
  <si>
    <t>Info about sectors, reshaped</t>
  </si>
  <si>
    <t>slrExtremes</t>
  </si>
  <si>
    <t>gdp_default</t>
  </si>
  <si>
    <t>pop_default</t>
  </si>
  <si>
    <t>national_pop_default</t>
  </si>
  <si>
    <t>df_mainScalars</t>
  </si>
  <si>
    <t>Only if new scalars are added. See checks for other scalar data frames (e.g., `co_scalarInfo`). Can check if the new `co_impactTypes` has any scalars that aren't in the reference `co_scalarInfo` and, if so, we expect the new `scalarDataframe` to have new rows. Each new scalar will have at least one new row. Minimum number of new rows depends on the attributes of the scalar (e.g., whether national or regional, etc.)</t>
  </si>
  <si>
    <t>df_results0</t>
  </si>
  <si>
    <t>New rows for each new sector, impact type,  variant, region, GCM model (including new models),  etc. Will also add rows for any new GCM model for all other combinations</t>
  </si>
  <si>
    <t>testDev</t>
  </si>
  <si>
    <t>Table with information about tests</t>
  </si>
  <si>
    <t>Table with heights in cm of SLR scenarios</t>
  </si>
  <si>
    <t>Vibrio</t>
  </si>
  <si>
    <t>Direct Medical Cost</t>
  </si>
  <si>
    <t>Lost Days</t>
  </si>
  <si>
    <t>DirectMedCost</t>
  </si>
  <si>
    <t>LostDays</t>
  </si>
  <si>
    <t>Mortality from suicide</t>
  </si>
  <si>
    <t>MH Demographic Proportion Adjustment Factor</t>
  </si>
  <si>
    <t>MH 5+ Population Proportion Adjustment Factor</t>
  </si>
  <si>
    <t>No Additional Adaptation</t>
  </si>
  <si>
    <t>States</t>
  </si>
  <si>
    <t>state</t>
  </si>
  <si>
    <t>postal</t>
  </si>
  <si>
    <t>fips</t>
  </si>
  <si>
    <t>Alabama</t>
  </si>
  <si>
    <t>AL</t>
  </si>
  <si>
    <t>Arizona</t>
  </si>
  <si>
    <t>AZ</t>
  </si>
  <si>
    <t>Arkansas</t>
  </si>
  <si>
    <t>AR</t>
  </si>
  <si>
    <t>California</t>
  </si>
  <si>
    <t>CA</t>
  </si>
  <si>
    <t>Colorado</t>
  </si>
  <si>
    <t>CO</t>
  </si>
  <si>
    <t>Connecticut</t>
  </si>
  <si>
    <t>CT</t>
  </si>
  <si>
    <t>Delaware</t>
  </si>
  <si>
    <t>DE</t>
  </si>
  <si>
    <t>District of Columbia</t>
  </si>
  <si>
    <t>DC</t>
  </si>
  <si>
    <t>Florida</t>
  </si>
  <si>
    <t>FL</t>
  </si>
  <si>
    <t>Georgia</t>
  </si>
  <si>
    <t>GA</t>
  </si>
  <si>
    <t>Idaho</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</si>
  <si>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</si>
  <si>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</si>
  <si>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</si>
  <si>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</si>
  <si>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</si>
  <si>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</si>
  <si>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</si>
  <si>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</si>
  <si>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</si>
  <si>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</si>
  <si>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</si>
  <si>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</si>
  <si>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</si>
  <si>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</si>
  <si>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</si>
  <si>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</si>
  <si>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</si>
  <si>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</si>
  <si>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</si>
  <si>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</si>
  <si>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</si>
  <si>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</si>
  <si>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</si>
  <si>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</si>
  <si>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</si>
  <si>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</si>
  <si>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</si>
  <si>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</si>
  <si>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</si>
  <si>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</si>
  <si>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</si>
  <si>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</si>
  <si>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</si>
  <si>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</si>
  <si>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</si>
  <si>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</si>
  <si>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</si>
  <si>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</si>
  <si>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</si>
  <si>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</si>
  <si>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</si>
  <si>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</si>
  <si>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</si>
  <si>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</si>
  <si>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</si>
  <si>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</si>
  <si>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</si>
  <si>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</si>
  <si>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</si>
  <si>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</si>
  <si>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</si>
  <si>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</si>
  <si>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</si>
  <si>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</si>
  <si>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</si>
  <si>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</si>
  <si>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</si>
  <si>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</si>
  <si>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</si>
  <si>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</si>
  <si>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</si>
  <si>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</si>
  <si>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</si>
  <si>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</si>
  <si>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</si>
  <si>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</si>
  <si>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</si>
  <si>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</si>
  <si>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</si>
  <si>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</si>
  <si>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</si>
  <si>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</si>
  <si>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</si>
  <si>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</si>
  <si>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</si>
  <si>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</si>
  <si>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List of states</t>
  </si>
  <si>
    <t>co_states</t>
  </si>
  <si>
    <t>Table with information about states</t>
  </si>
  <si>
    <t>maxUnitValue</t>
  </si>
  <si>
    <t>SLR Scalars</t>
  </si>
  <si>
    <t>Scalars for SLR sectors past 2090</t>
  </si>
  <si>
    <t>c2</t>
  </si>
  <si>
    <t>refYear</t>
  </si>
  <si>
    <t>Info on SLR scalars past 2090</t>
  </si>
  <si>
    <t>co_slrScalars</t>
  </si>
  <si>
    <t>Table with info about SLR scalars past 2090</t>
  </si>
  <si>
    <t>ATSTemp</t>
  </si>
  <si>
    <t>CILTemp</t>
  </si>
  <si>
    <t>Suicide</t>
  </si>
  <si>
    <t>ATS Temperature-Related Mortality</t>
  </si>
  <si>
    <t>CIL Temperature-Related Mortality</t>
  </si>
  <si>
    <t>Transportation Impacts from High Tide Flooding</t>
  </si>
  <si>
    <t>Climate-Driven Changes in Air Quality</t>
  </si>
  <si>
    <t>Vibriosis</t>
  </si>
  <si>
    <t>Lane Miles</t>
  </si>
  <si>
    <t>Lost Work Hours</t>
  </si>
  <si>
    <t>Hospitalization</t>
  </si>
  <si>
    <t>Emergency Department Visits</t>
  </si>
  <si>
    <t>Lost Work Days</t>
  </si>
  <si>
    <t>Non-Fatal Illness</t>
  </si>
  <si>
    <t>Road Miles and Population Adjustment Factor (No Adaptation)</t>
  </si>
  <si>
    <t>Road Miles and Population Adjustment Factor (Proactive Adaptation)</t>
  </si>
  <si>
    <t>Road Miles and Population Adjustment Factor (Reactive Adaptation)</t>
  </si>
  <si>
    <t>population</t>
  </si>
  <si>
    <t>GCM Models &amp; SLR Scenarios</t>
  </si>
  <si>
    <t>30 cm</t>
  </si>
  <si>
    <t>50 cm</t>
  </si>
  <si>
    <t>100 cm</t>
  </si>
  <si>
    <t>150 cm</t>
  </si>
  <si>
    <t>200 cm</t>
  </si>
  <si>
    <t>250 cm</t>
  </si>
  <si>
    <t>0cm</t>
  </si>
  <si>
    <t>30cm</t>
  </si>
  <si>
    <t>50cm</t>
  </si>
  <si>
    <t>100cm</t>
  </si>
  <si>
    <t>150cm</t>
  </si>
  <si>
    <t>200cm</t>
  </si>
  <si>
    <t>250cm</t>
  </si>
  <si>
    <t>hasImpacts</t>
  </si>
  <si>
    <t>For the no adaptation scenario</t>
  </si>
  <si>
    <t>For the proactive adaptation scenario</t>
  </si>
  <si>
    <t>For the reactive adaptation scenario</t>
  </si>
  <si>
    <t>lowCI</t>
  </si>
  <si>
    <t>highCI</t>
  </si>
  <si>
    <t>region_id</t>
  </si>
  <si>
    <t>co_inputInfo</t>
  </si>
  <si>
    <t>High</t>
  </si>
  <si>
    <t>Medium</t>
  </si>
  <si>
    <t>Low</t>
  </si>
  <si>
    <t>CSeq</t>
  </si>
  <si>
    <t>MSeq</t>
  </si>
  <si>
    <t>PropProtecAreaLost</t>
  </si>
  <si>
    <t>PropProtecCosts</t>
  </si>
  <si>
    <t>RestoreCosts</t>
  </si>
  <si>
    <t>Net marsh area lost</t>
  </si>
  <si>
    <t>Costs of property protection</t>
  </si>
  <si>
    <t>Costs of restoration</t>
  </si>
  <si>
    <t>Lost carbon sequestration (CO2 in metric tonnes per year)</t>
  </si>
  <si>
    <t>Lost methane sequestration (CH4 in metric tonnes per year)</t>
  </si>
  <si>
    <t>Lost Carbon Sequestration</t>
  </si>
  <si>
    <t>Lost Methane Sequestration</t>
  </si>
  <si>
    <t>Lost Marsh Area</t>
  </si>
  <si>
    <t>Property Protection Costs</t>
  </si>
  <si>
    <t>Restoration Costs</t>
  </si>
  <si>
    <t>Acres of Lost Marsh Area</t>
  </si>
  <si>
    <t>Metric Tonnes per Year of Carbon</t>
  </si>
  <si>
    <t>Metric Tonnes per Year of Methane</t>
  </si>
  <si>
    <t>MarshMigrationS</t>
  </si>
  <si>
    <t>MarshMigrationP</t>
  </si>
  <si>
    <t>Low Accretion Scenario</t>
  </si>
  <si>
    <t>Medium Accretion Scenario</t>
  </si>
  <si>
    <t>High Accretion Scenario</t>
  </si>
  <si>
    <t>Marsh Migration (Primary)</t>
  </si>
  <si>
    <t>Marsh Migration (Secondary)</t>
  </si>
  <si>
    <t>Lyme</t>
  </si>
  <si>
    <t>Lyme Disease</t>
  </si>
  <si>
    <t>Additional Lyme Disease cases</t>
  </si>
  <si>
    <t>Lyme Disease Cases</t>
  </si>
  <si>
    <t>Medical Costs per Lyme Disease Case</t>
  </si>
  <si>
    <t>OutdoorRecreation</t>
  </si>
  <si>
    <t>NoAdaptation</t>
  </si>
  <si>
    <t>Fishing Activity</t>
  </si>
  <si>
    <t>fishpercap</t>
  </si>
  <si>
    <t>Snow Sport Activity</t>
  </si>
  <si>
    <t>snowpercap</t>
  </si>
  <si>
    <t>Water Sport Activity</t>
  </si>
  <si>
    <t>waterpercap</t>
  </si>
  <si>
    <t>othervalpercap</t>
  </si>
  <si>
    <t>Other Activity</t>
  </si>
  <si>
    <t>Other Activity Trips</t>
  </si>
  <si>
    <t>otherpercap</t>
  </si>
  <si>
    <t>Lost fishing trip value</t>
  </si>
  <si>
    <t>Lost snow sport trip value</t>
  </si>
  <si>
    <t>Lost water sport value</t>
  </si>
  <si>
    <t>Lost value other activities</t>
  </si>
  <si>
    <t>Other activities lost trips</t>
  </si>
  <si>
    <t>Lost Non Water/Fishing/Snow Trips</t>
  </si>
  <si>
    <t>Value per Fish Trip</t>
  </si>
  <si>
    <t>Value per Snow Trip</t>
  </si>
  <si>
    <t>Value per Water Trip</t>
  </si>
  <si>
    <t>OutRec 15+ Population Proportion Adjustment Factor</t>
  </si>
  <si>
    <t>Outdoor Recreation</t>
  </si>
  <si>
    <t>ForestryLoss</t>
  </si>
  <si>
    <t>Forestry Surplus Loss</t>
  </si>
  <si>
    <t>SSP2</t>
  </si>
  <si>
    <t>SSP5</t>
  </si>
  <si>
    <t>SSP2 Pathway</t>
  </si>
  <si>
    <t>SSP5 Pathway</t>
  </si>
  <si>
    <t>Economic Surplus</t>
  </si>
  <si>
    <t>SSP2  Socioeconomic Growth</t>
  </si>
  <si>
    <t>SSP5  Socioeconomic Growth</t>
  </si>
  <si>
    <t>For scaling forestry losses</t>
  </si>
  <si>
    <t>GDP per capita</t>
  </si>
  <si>
    <t>hasPhysicalImpacts</t>
  </si>
  <si>
    <t>hasEconomicImpacts</t>
  </si>
  <si>
    <t>LearningLoss</t>
  </si>
  <si>
    <t>Learning Loss</t>
  </si>
  <si>
    <t>ProactiveAdaptation</t>
  </si>
  <si>
    <t>LostFutureEarnings</t>
  </si>
  <si>
    <t>AdaptationCost</t>
  </si>
  <si>
    <t>Lost Future Earnings</t>
  </si>
  <si>
    <t>Adaptation Costs</t>
  </si>
  <si>
    <t>Lost future earnings of high school students</t>
  </si>
  <si>
    <t>Learning Loss 14-17 Population Proportion Adjustment Factor</t>
  </si>
  <si>
    <t>A.C. purchase and O&amp;M costs to school system</t>
  </si>
  <si>
    <t>O3_Mortality</t>
  </si>
  <si>
    <t>PM_Mortality</t>
  </si>
  <si>
    <t>Ozone Mortality</t>
  </si>
  <si>
    <t>PM2.5 Mortality</t>
  </si>
  <si>
    <t>O3_NewChildAsthma</t>
  </si>
  <si>
    <t>O3_SLD</t>
  </si>
  <si>
    <t>PM_NewChildAsthma</t>
  </si>
  <si>
    <t>Ozone School Loss Days</t>
  </si>
  <si>
    <t>O3_EDVisits_Asthma</t>
  </si>
  <si>
    <t>PM_EDVisits_Asthma</t>
  </si>
  <si>
    <t>ED Vists from Asthma</t>
  </si>
  <si>
    <t>0-17 Asthma Incidence</t>
  </si>
  <si>
    <t>School Loss Days</t>
  </si>
  <si>
    <t>Child Asthma Incidence</t>
  </si>
  <si>
    <t>Population-Driven Demographic Composition O3 Asthma Incidence</t>
  </si>
  <si>
    <t>Population-Driven Demographic Composition O3 School Loss Days</t>
  </si>
  <si>
    <t>Population-Driven Demographic Composition O3 ED Visits</t>
  </si>
  <si>
    <t>Population-Driven Demographic Composition PM ED Visits</t>
  </si>
  <si>
    <t>Population-Driven Demographic Composition PM Asthma Incidence</t>
  </si>
  <si>
    <t>not a population</t>
  </si>
  <si>
    <t>Population-Driven Demographic Composition Wildfire Asthma Incidence</t>
  </si>
  <si>
    <t xml:space="preserve">Unit Cost Asthma ED Visit AQ </t>
  </si>
  <si>
    <t>Unit Cost Asthma Incidence AQ</t>
  </si>
  <si>
    <t>Unit Cost School Loss Days AQ</t>
  </si>
  <si>
    <t>Unit Cost Asthma ED Visit Wildfire</t>
  </si>
  <si>
    <t>Population-Driven Demographic Composition SW Dust Asthma Incidence</t>
  </si>
  <si>
    <t>New Asthma Cases</t>
  </si>
  <si>
    <t>0-18 Population Proportion Adjustment Factor BenMAP</t>
  </si>
  <si>
    <t>5-18 Population Proportion Adjustment Factor BenMAP</t>
  </si>
  <si>
    <t>Unit Cost Asthma ED Visit SW Dust</t>
  </si>
  <si>
    <t>Ozone New Childhood Asthma</t>
  </si>
  <si>
    <t xml:space="preserve">PM2.5 Childhood Asthma ED Vists </t>
  </si>
  <si>
    <t>PM2.5 New Childhood Asthma</t>
  </si>
  <si>
    <t>PM2.5 New Childhood Asthma Incidence</t>
  </si>
  <si>
    <t xml:space="preserve">Ozone Childhood Asthma ED Vists </t>
  </si>
  <si>
    <t>Ozone  New Childhood Asthma Incidence</t>
  </si>
  <si>
    <t>New Childhood Asthma Incidence</t>
  </si>
  <si>
    <t>Other Morbidity</t>
  </si>
  <si>
    <t>Morbidity (other than new childhood asthma)</t>
  </si>
  <si>
    <t>New Childhood Asthma Cases</t>
  </si>
  <si>
    <t>aq_O3EDvisitspop_nat</t>
  </si>
  <si>
    <t>aq_O3newAsthmapop_nat</t>
  </si>
  <si>
    <t>aq_O3SLDpop_nat</t>
  </si>
  <si>
    <t>aq_PMEDvisitspop_nat</t>
  </si>
  <si>
    <t>aq_PMnewAsthmapop_nat</t>
  </si>
  <si>
    <t>elecSD_refCosts_nat</t>
  </si>
  <si>
    <t>elecTD_growthFactor_nat</t>
  </si>
  <si>
    <t>forestryLoss_growthFactor_SSP2_nat</t>
  </si>
  <si>
    <t>forestryLoss_growthFactor_SSP5_nat</t>
  </si>
  <si>
    <t>rail_growth_factor_nat</t>
  </si>
  <si>
    <t>road_miles_and_pop_NoAdapt_nat</t>
  </si>
  <si>
    <t>road_miles_and_pop_Proactive_nat</t>
  </si>
  <si>
    <t>road_miles_and_pop_Reactive_nat</t>
  </si>
  <si>
    <t>SouthwestDust_pop_nat</t>
  </si>
  <si>
    <t>wildfire_pop_nat</t>
  </si>
  <si>
    <t>aq_EDcostpervisit_nat</t>
  </si>
  <si>
    <t>aq_newAsthmacost_nat</t>
  </si>
  <si>
    <t>aq_SLDcostperday_nat</t>
  </si>
  <si>
    <t>daily_wages_nat</t>
  </si>
  <si>
    <t>fishpertripvalue_nat</t>
  </si>
  <si>
    <t>gdp_percap_nat</t>
  </si>
  <si>
    <t>highRiskWages_usd_nat</t>
  </si>
  <si>
    <t>hospCosts_asthma_nat</t>
  </si>
  <si>
    <t>hospCosts_cardio_nat</t>
  </si>
  <si>
    <t>hospCosts_resp_nat</t>
  </si>
  <si>
    <t>lyme_unitCost_nat</t>
  </si>
  <si>
    <t>property_crime_costs_usd_nat</t>
  </si>
  <si>
    <t>snowpertripvalue_nat</t>
  </si>
  <si>
    <t>SouthwestDust_newAsthmacost_nat</t>
  </si>
  <si>
    <t>vfever_illness_costs_nat</t>
  </si>
  <si>
    <t>violent_crime_costs_usd_nat</t>
  </si>
  <si>
    <t>vsl_usd_nat</t>
  </si>
  <si>
    <t>waterpertripvalue_nat</t>
  </si>
  <si>
    <t>wildfire_newAsthmacost_nat</t>
  </si>
  <si>
    <t>wildfire_ResponseCosts_nat</t>
  </si>
  <si>
    <t>vfever_morbidity_prob_nat</t>
  </si>
  <si>
    <t>vfever_prob_mortality_nat</t>
  </si>
  <si>
    <t>vfever_prob_wages_nat</t>
  </si>
  <si>
    <t>asphaltRoads_laneMiles_nat</t>
  </si>
  <si>
    <t>highRiskLabor_pop_nat</t>
  </si>
  <si>
    <t>rail_miles_nat</t>
  </si>
  <si>
    <t>reg_pop_nat</t>
  </si>
  <si>
    <t>road_miles_nat</t>
  </si>
  <si>
    <t>0TO18_pop_nat</t>
  </si>
  <si>
    <t>5TO18_pop_nat</t>
  </si>
  <si>
    <t>loss_Pop1417_nat</t>
  </si>
  <si>
    <t>rec_adultPop_nat</t>
  </si>
  <si>
    <t>MH_popDemoAdj_nat</t>
  </si>
  <si>
    <t>MH_popSliceAdj_nat</t>
  </si>
  <si>
    <t>0TO17_pop_conus_nat</t>
  </si>
  <si>
    <t>0-17 Population Proportion Adjustment Factor BenMAP CONUS</t>
  </si>
  <si>
    <t>lyme_state_pop_nat</t>
  </si>
  <si>
    <t>sw_state_pop_nat</t>
  </si>
  <si>
    <t>vf_state_pop_nat</t>
  </si>
  <si>
    <t>wr_alpine_state_pop_nat</t>
  </si>
  <si>
    <t>wr_xc_sm_state_pop_nat</t>
  </si>
  <si>
    <t>State Population (weight) Lyme states</t>
  </si>
  <si>
    <t>State Population (weight) SW States</t>
  </si>
  <si>
    <t>State Population (weight) Valley Fever states</t>
  </si>
  <si>
    <t>State Population (weight) Winter Rec Alpine states</t>
  </si>
  <si>
    <t>State Population (weight) Winter Rec XC/Snowmobiling states</t>
  </si>
  <si>
    <t>forestryLoss_growthFactor_nat</t>
  </si>
  <si>
    <t>road_miles_and_pop_nat</t>
  </si>
  <si>
    <t>State Population (weight) Extreme Temp states combined with City Population weight</t>
  </si>
  <si>
    <t>et_pop_adjustments_nat</t>
  </si>
  <si>
    <t>0-17 Population Proportion Adjustment Factor BenMAP SW (AZ, UT, CO, NM) combined with state population adjustment</t>
  </si>
  <si>
    <t>sw_pop_adjustments_0_17_nat</t>
  </si>
  <si>
    <t>sw_pop_adjustments_30_99_nat</t>
  </si>
  <si>
    <t>30-99 Population Proportion Adjustment Factor BenMAP combined with SW state population subset</t>
  </si>
  <si>
    <t>sw_pop_adjustments_65_99_nat</t>
  </si>
  <si>
    <t>65-99 Population Proportion Adjustment Factor BenMAP combined with SW state population subset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</si>
</sst>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35" x14ac:knownFonts="1">
    <font>
      <sz val="11"/>
      <color theme="1"/>
      <name val="Calibri"/>
      <family val="2"/>
      <scheme val="minor"/>
    </font>
    <font>
      <b/>
      <sz val="11"/>
      <color theme="1"/>
      <name val="Calibri"/>
      <family val="2"/>
      <scheme val="minor"/>
    </font>
    <font>
      <sz val="11"/>
      <color theme="1"/>
      <name val="Calibri"/>
      <family val="2"/>
      <scheme val="minor"/>
    </font>
    <font>
      <sz val="11"/>
      <color theme="0"/>
      <name val="Calibri"/>
      <family val="2"/>
      <scheme val="minor"/>
    </font>
    <font>
      <sz val="17"/>
      <color theme="0"/>
      <name val="Calibri"/>
      <family val="2"/>
      <scheme val="minor"/>
    </font>
    <font>
      <sz val="11"/>
      <color rgb="FF0B744D"/>
      <name val="Calibri"/>
      <family val="2"/>
      <scheme val="minor"/>
    </font>
    <font>
      <sz val="72"/>
      <color theme="0"/>
      <name val="Calibri Light"/>
      <family val="2"/>
      <scheme val="major"/>
    </font>
    <font>
      <sz val="11"/>
      <color theme="1"/>
      <name val="Calibri"/>
      <family val="2"/>
    </font>
    <font>
      <sz val="8"/>
      <name val="Calibri"/>
      <family val="2"/>
      <scheme val="minor"/>
    </font>
    <font>
      <sz val="10"/>
      <color theme="1"/>
      <name val="Calibri"/>
      <family val="2"/>
      <scheme val="minor"/>
    </font>
    <font>
      <b/>
      <sz val="10"/>
      <color theme="1"/>
      <name val="Calibri"/>
      <family val="2"/>
      <scheme val="minor"/>
    </font>
    <font>
      <sz val="10"/>
      <color indexed="8"/>
      <name val="Calibri"/>
      <family val="2"/>
    </font>
    <font>
      <b/>
      <sz val="10"/>
      <color theme="0"/>
      <name val="Calibri"/>
      <family val="2"/>
    </font>
    <font>
      <sz val="10"/>
      <color theme="0"/>
      <name val="Calibri"/>
      <family val="2"/>
    </font>
    <font>
      <b/>
      <sz val="11"/>
      <color theme="0"/>
      <name val="Calibri"/>
      <family val="2"/>
      <scheme val="minor"/>
    </font>
    <font>
      <sz val="8"/>
      <color theme="1"/>
      <name val="Calibri"/>
      <family val="2"/>
      <scheme val="minor"/>
    </font>
    <font>
      <b/>
      <u/>
      <sz val="10"/>
      <color theme="4" tint="-0.499984740745262"/>
      <name val="Calibri"/>
      <family val="2"/>
      <scheme val="minor"/>
    </font>
    <font>
      <sz val="8"/>
      <color indexed="8"/>
      <name val="Calibri"/>
      <family val="2"/>
    </font>
    <font>
      <sz val="11"/>
      <color rgb="FFFF0000"/>
      <name val="Calibri"/>
      <family val="2"/>
      <scheme val="minor"/>
    </font>
    <font>
      <sz val="1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0"/>
      <name val="Arial"/>
      <family val="2"/>
    </font>
    <font>
      <sz val="11"/>
      <color indexed="8"/>
      <name val="Calibri"/>
      <family val="2"/>
      <scheme val="minor"/>
    </font>
    <font>
      <sz val="11"/>
      <color rgb="FF000000"/>
      <name val="Calibri"/>
      <family val="2"/>
      <scheme val="minor"/>
    </font>
  </fonts>
  <fills count="47">
    <fill>
      <patternFill patternType="none"/>
    </fill>
    <fill>
      <patternFill patternType="gray125"/>
    </fill>
    <fill>
      <patternFill patternType="solid">
        <fgColor theme="0" tint="-4.9989318521683403E-2"/>
        <bgColor indexed="64"/>
      </patternFill>
    </fill>
    <fill>
      <patternFill patternType="solid">
        <fgColor rgb="FF217346"/>
        <bgColor indexed="64"/>
      </patternFill>
    </fill>
    <fill>
      <patternFill patternType="solid">
        <fgColor rgb="FFFFFF99"/>
        <bgColor indexed="64"/>
      </patternFill>
    </fill>
    <fill>
      <patternFill patternType="solid">
        <fgColor rgb="FF339966"/>
        <bgColor indexed="64"/>
      </patternFill>
    </fill>
    <fill>
      <patternFill patternType="solid">
        <fgColor theme="8" tint="0.79998168889431442"/>
        <bgColor indexed="64"/>
      </patternFill>
    </fill>
    <fill>
      <patternFill patternType="solid">
        <fgColor theme="2"/>
        <bgColor indexed="64"/>
      </patternFill>
    </fill>
    <fill>
      <patternFill patternType="solid">
        <fgColor theme="2" tint="-0.249977111117893"/>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3"/>
        <bgColor indexed="64"/>
      </patternFill>
    </fill>
    <fill>
      <patternFill patternType="solid">
        <fgColor theme="3" tint="0.39997558519241921"/>
        <bgColor indexed="64"/>
      </patternFill>
    </fill>
    <fill>
      <patternFill patternType="solid">
        <fgColor rgb="FFFFFF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AEAAAA"/>
        <bgColor indexed="64"/>
      </patternFill>
    </fill>
  </fills>
  <borders count="19">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style="thin">
        <color indexed="64"/>
      </left>
      <right style="thin">
        <color indexed="64"/>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4">
    <xf numFmtId="0" fontId="0" fillId="0" borderId="0"/>
    <xf numFmtId="0" fontId="2" fillId="0" borderId="0"/>
    <xf numFmtId="43" fontId="2" fillId="0" borderId="0" applyFont="0" applyFill="0" applyBorder="0" applyAlignment="0" applyProtection="0"/>
    <xf numFmtId="0" fontId="4" fillId="3" borderId="0" applyNumberFormat="0" applyProtection="0">
      <alignment horizontal="left" wrapText="1" indent="4"/>
    </xf>
    <xf numFmtId="0" fontId="5" fillId="3" borderId="0" applyNumberFormat="0" applyProtection="0">
      <alignment horizontal="left" wrapText="1" indent="4"/>
    </xf>
    <xf numFmtId="0" fontId="6" fillId="3" borderId="0" applyNumberFormat="0" applyBorder="0" applyProtection="0">
      <alignment horizontal="left" indent="1"/>
    </xf>
    <xf numFmtId="0" fontId="7" fillId="0" borderId="0"/>
    <xf numFmtId="0" fontId="2" fillId="4" borderId="1"/>
    <xf numFmtId="0" fontId="2" fillId="2" borderId="0"/>
    <xf numFmtId="0" fontId="3" fillId="5" borderId="0" applyNumberFormat="0" applyBorder="0" applyProtection="0"/>
    <xf numFmtId="0" fontId="2" fillId="2" borderId="2"/>
    <xf numFmtId="0" fontId="2" fillId="0" borderId="0"/>
    <xf numFmtId="0" fontId="3" fillId="0" borderId="0"/>
    <xf numFmtId="0" fontId="2" fillId="0" borderId="0"/>
    <xf numFmtId="0" fontId="16" fillId="0" borderId="0" applyNumberFormat="0" applyFill="0" applyBorder="0" applyAlignment="0" applyProtection="0"/>
    <xf numFmtId="0" fontId="16" fillId="0" borderId="0" applyNumberFormat="0" applyFill="0" applyBorder="0" applyAlignment="0" applyProtection="0"/>
    <xf numFmtId="0" fontId="20" fillId="0" borderId="0" applyNumberFormat="0" applyFill="0" applyBorder="0" applyAlignment="0" applyProtection="0"/>
    <xf numFmtId="0" fontId="21" fillId="0" borderId="11" applyNumberFormat="0" applyFill="0" applyAlignment="0" applyProtection="0"/>
    <xf numFmtId="0" fontId="22" fillId="0" borderId="12" applyNumberFormat="0" applyFill="0" applyAlignment="0" applyProtection="0"/>
    <xf numFmtId="0" fontId="23" fillId="0" borderId="13" applyNumberFormat="0" applyFill="0" applyAlignment="0" applyProtection="0"/>
    <xf numFmtId="0" fontId="23" fillId="0" borderId="0" applyNumberFormat="0" applyFill="0" applyBorder="0" applyAlignment="0" applyProtection="0"/>
    <xf numFmtId="0" fontId="24" fillId="15" borderId="0" applyNumberFormat="0" applyBorder="0" applyAlignment="0" applyProtection="0"/>
    <xf numFmtId="0" fontId="25" fillId="16" borderId="0" applyNumberFormat="0" applyBorder="0" applyAlignment="0" applyProtection="0"/>
    <xf numFmtId="0" fontId="26" fillId="17" borderId="0" applyNumberFormat="0" applyBorder="0" applyAlignment="0" applyProtection="0"/>
    <xf numFmtId="0" fontId="27" fillId="18" borderId="14" applyNumberFormat="0" applyAlignment="0" applyProtection="0"/>
    <xf numFmtId="0" fontId="28" fillId="19" borderId="15" applyNumberFormat="0" applyAlignment="0" applyProtection="0"/>
    <xf numFmtId="0" fontId="29" fillId="19" borderId="14" applyNumberFormat="0" applyAlignment="0" applyProtection="0"/>
    <xf numFmtId="0" fontId="30" fillId="0" borderId="16" applyNumberFormat="0" applyFill="0" applyAlignment="0" applyProtection="0"/>
    <xf numFmtId="0" fontId="14" fillId="20" borderId="17" applyNumberFormat="0" applyAlignment="0" applyProtection="0"/>
    <xf numFmtId="0" fontId="18" fillId="0" borderId="0" applyNumberFormat="0" applyFill="0" applyBorder="0" applyAlignment="0" applyProtection="0"/>
    <xf numFmtId="0" fontId="2" fillId="21" borderId="1" applyNumberFormat="0" applyFont="0" applyAlignment="0" applyProtection="0"/>
    <xf numFmtId="0" fontId="31" fillId="0" borderId="0" applyNumberFormat="0" applyFill="0" applyBorder="0" applyAlignment="0" applyProtection="0"/>
    <xf numFmtId="0" fontId="1" fillId="0" borderId="18" applyNumberFormat="0" applyFill="0" applyAlignment="0" applyProtection="0"/>
    <xf numFmtId="0" fontId="3"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3"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3"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1" borderId="0" applyNumberFormat="0" applyBorder="0" applyAlignment="0" applyProtection="0"/>
    <xf numFmtId="0" fontId="3"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2" fillId="45" borderId="0" applyNumberFormat="0" applyBorder="0" applyAlignment="0" applyProtection="0"/>
    <xf numFmtId="0" fontId="32" fillId="0" borderId="0"/>
    <xf numFmtId="0" fontId="32" fillId="0" borderId="0"/>
    <xf numFmtId="0" fontId="33" fillId="0" borderId="0"/>
    <xf numFmtId="0" fontId="2" fillId="0" borderId="0"/>
    <xf numFmtId="0" fontId="7" fillId="0" borderId="0"/>
    <xf numFmtId="0" fontId="16" fillId="0" borderId="0" applyNumberFormat="0" applyFill="0" applyBorder="0" applyAlignment="0" applyProtection="0"/>
    <xf numFmtId="0" fontId="34" fillId="0" borderId="0"/>
  </cellStyleXfs>
  <cellXfs count="92">
    <xf numFmtId="0" fontId="0" fillId="0" borderId="0" xfId="0"/>
    <xf numFmtId="0" fontId="0" fillId="0" borderId="0" xfId="0" applyAlignment="1">
      <alignment horizontal="left"/>
    </xf>
    <xf numFmtId="0" fontId="9" fillId="0" borderId="0" xfId="0" applyFont="1"/>
    <xf numFmtId="0" fontId="10" fillId="0" borderId="0" xfId="0" applyFont="1"/>
    <xf numFmtId="0" fontId="9" fillId="0" borderId="0" xfId="0" applyFont="1" applyAlignment="1">
      <alignment horizontal="left" vertical="center"/>
    </xf>
    <xf numFmtId="0" fontId="1" fillId="0" borderId="0" xfId="0" applyFont="1"/>
    <xf numFmtId="0" fontId="9" fillId="0" borderId="0" xfId="0" applyFont="1" applyAlignment="1">
      <alignment horizontal="left" vertical="center" wrapText="1"/>
    </xf>
    <xf numFmtId="0" fontId="9" fillId="6" borderId="0" xfId="0" applyFont="1" applyFill="1" applyAlignment="1">
      <alignment horizontal="left" vertical="center"/>
    </xf>
    <xf numFmtId="0" fontId="0" fillId="0" borderId="0" xfId="0" applyAlignment="1">
      <alignment wrapText="1"/>
    </xf>
    <xf numFmtId="0" fontId="9" fillId="0" borderId="0" xfId="0" applyFont="1" applyAlignment="1">
      <alignment wrapText="1"/>
    </xf>
    <xf numFmtId="0" fontId="10" fillId="0" borderId="0" xfId="0" applyFont="1" applyAlignment="1">
      <alignment wrapText="1"/>
    </xf>
    <xf numFmtId="0" fontId="11" fillId="0" borderId="3"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0" xfId="0" applyFont="1" applyAlignment="1">
      <alignment horizontal="center" vertical="center" wrapText="1"/>
    </xf>
    <xf numFmtId="0" fontId="9" fillId="0" borderId="0" xfId="0" applyFont="1" applyAlignment="1">
      <alignment horizontal="center" vertical="center" wrapText="1"/>
    </xf>
    <xf numFmtId="0" fontId="0" fillId="9" borderId="0" xfId="0" applyFill="1"/>
    <xf numFmtId="0" fontId="14" fillId="10" borderId="0" xfId="0" applyFont="1" applyFill="1" applyAlignment="1">
      <alignment horizontal="left" indent="1"/>
    </xf>
    <xf numFmtId="0" fontId="10" fillId="0" borderId="5" xfId="0" applyFont="1" applyBorder="1" applyAlignment="1">
      <alignment vertical="center" wrapText="1"/>
    </xf>
    <xf numFmtId="0" fontId="10" fillId="0" borderId="4" xfId="0" applyFont="1" applyBorder="1" applyAlignment="1">
      <alignment vertical="center" wrapText="1"/>
    </xf>
    <xf numFmtId="0" fontId="10" fillId="0" borderId="5" xfId="0" applyFont="1" applyBorder="1" applyAlignment="1">
      <alignment horizontal="center" vertical="center" wrapText="1"/>
    </xf>
    <xf numFmtId="0" fontId="11" fillId="8" borderId="0" xfId="0" applyFont="1" applyFill="1" applyAlignment="1">
      <alignment horizontal="center" vertical="center" wrapText="1"/>
    </xf>
    <xf numFmtId="0" fontId="9" fillId="8" borderId="0" xfId="0" applyFont="1" applyFill="1" applyAlignment="1">
      <alignment horizontal="center" vertical="center" wrapText="1"/>
    </xf>
    <xf numFmtId="0" fontId="17" fillId="0" borderId="3" xfId="0" applyFont="1" applyBorder="1" applyAlignment="1">
      <alignment vertical="center" wrapText="1"/>
    </xf>
    <xf numFmtId="0" fontId="17" fillId="0" borderId="7" xfId="0" applyFont="1" applyBorder="1" applyAlignment="1">
      <alignment vertical="center" wrapText="1"/>
    </xf>
    <xf numFmtId="0" fontId="17" fillId="6" borderId="0" xfId="0" applyFont="1" applyFill="1" applyAlignment="1">
      <alignment vertical="center"/>
    </xf>
    <xf numFmtId="0" fontId="17" fillId="6" borderId="0" xfId="0" applyFont="1" applyFill="1" applyAlignment="1">
      <alignment vertical="center" wrapText="1"/>
    </xf>
    <xf numFmtId="0" fontId="9" fillId="6" borderId="0" xfId="0" applyFont="1" applyFill="1" applyAlignment="1">
      <alignment horizontal="center" vertical="center"/>
    </xf>
    <xf numFmtId="0" fontId="17" fillId="6" borderId="0" xfId="0" applyFont="1" applyFill="1" applyAlignment="1">
      <alignment horizontal="left" vertical="center"/>
    </xf>
    <xf numFmtId="0" fontId="9" fillId="0" borderId="0" xfId="0" applyFont="1" applyAlignment="1">
      <alignment vertical="center"/>
    </xf>
    <xf numFmtId="0" fontId="9" fillId="0" borderId="0" xfId="0" applyFont="1" applyAlignment="1">
      <alignment vertical="center" wrapText="1"/>
    </xf>
    <xf numFmtId="0" fontId="9" fillId="0" borderId="0" xfId="0" applyFont="1" applyAlignment="1">
      <alignment horizontal="center" vertical="center"/>
    </xf>
    <xf numFmtId="0" fontId="17" fillId="6" borderId="0" xfId="0" applyFont="1" applyFill="1" applyAlignment="1">
      <alignment horizontal="left" vertical="center" wrapText="1"/>
    </xf>
    <xf numFmtId="0" fontId="9" fillId="7" borderId="0" xfId="0" applyFont="1" applyFill="1" applyAlignment="1">
      <alignment horizontal="center" vertical="center"/>
    </xf>
    <xf numFmtId="0" fontId="9" fillId="8" borderId="0" xfId="0" applyFont="1" applyFill="1" applyAlignment="1">
      <alignment horizontal="center" vertical="center"/>
    </xf>
    <xf numFmtId="0" fontId="17" fillId="6" borderId="0" xfId="0" quotePrefix="1" applyFont="1" applyFill="1" applyAlignment="1">
      <alignment horizontal="left" vertical="center" wrapText="1"/>
    </xf>
    <xf numFmtId="0" fontId="12" fillId="0" borderId="0" xfId="0" applyFont="1" applyAlignment="1">
      <alignment horizontal="left" vertical="center"/>
    </xf>
    <xf numFmtId="0" fontId="13" fillId="0" borderId="0" xfId="0" applyFont="1" applyAlignment="1">
      <alignment vertical="center"/>
    </xf>
    <xf numFmtId="0" fontId="12" fillId="0" borderId="0" xfId="0" applyFont="1" applyAlignment="1">
      <alignment vertical="center" wrapText="1"/>
    </xf>
    <xf numFmtId="0" fontId="12" fillId="0" borderId="0" xfId="0" applyFont="1" applyAlignment="1">
      <alignment vertical="center"/>
    </xf>
    <xf numFmtId="0" fontId="11" fillId="6" borderId="0" xfId="0" applyFont="1" applyFill="1" applyAlignment="1">
      <alignment vertical="center" wrapText="1"/>
    </xf>
    <xf numFmtId="0" fontId="11" fillId="6" borderId="0" xfId="0" applyFont="1" applyFill="1" applyAlignment="1">
      <alignment vertical="center"/>
    </xf>
    <xf numFmtId="0" fontId="11" fillId="6" borderId="0" xfId="0" applyFont="1" applyFill="1" applyAlignment="1">
      <alignment horizontal="left" vertical="center"/>
    </xf>
    <xf numFmtId="0" fontId="10" fillId="0" borderId="0" xfId="0" applyFont="1" applyAlignment="1">
      <alignment vertical="center"/>
    </xf>
    <xf numFmtId="0" fontId="9" fillId="6" borderId="0" xfId="0" applyFont="1" applyFill="1" applyAlignment="1">
      <alignment vertical="center"/>
    </xf>
    <xf numFmtId="0" fontId="9" fillId="6" borderId="0" xfId="0" applyFont="1" applyFill="1" applyAlignment="1">
      <alignment horizontal="right" vertical="center" wrapText="1"/>
    </xf>
    <xf numFmtId="0" fontId="17" fillId="0" borderId="0" xfId="0" applyFont="1" applyAlignment="1">
      <alignment vertical="center"/>
    </xf>
    <xf numFmtId="0" fontId="15" fillId="6" borderId="0" xfId="0" applyFont="1" applyFill="1" applyAlignment="1">
      <alignment horizontal="left" vertical="center" wrapText="1"/>
    </xf>
    <xf numFmtId="0" fontId="15" fillId="6" borderId="0" xfId="0" applyFont="1" applyFill="1" applyAlignment="1">
      <alignment horizontal="center" vertical="center" wrapText="1"/>
    </xf>
    <xf numFmtId="0" fontId="16" fillId="0" borderId="0" xfId="14" applyAlignment="1">
      <alignment vertical="center"/>
    </xf>
    <xf numFmtId="0" fontId="15" fillId="6" borderId="9" xfId="0" applyFont="1" applyFill="1" applyBorder="1" applyAlignment="1">
      <alignment horizontal="center" vertical="center" wrapText="1"/>
    </xf>
    <xf numFmtId="0" fontId="15" fillId="7" borderId="9" xfId="0" applyFont="1" applyFill="1" applyBorder="1" applyAlignment="1">
      <alignment horizontal="center" vertical="center" wrapText="1"/>
    </xf>
    <xf numFmtId="0" fontId="15" fillId="8" borderId="9" xfId="0" applyFont="1" applyFill="1" applyBorder="1" applyAlignment="1">
      <alignment horizontal="center" vertical="center" wrapText="1"/>
    </xf>
    <xf numFmtId="0" fontId="14" fillId="10" borderId="0" xfId="0" applyFont="1" applyFill="1" applyAlignment="1">
      <alignment horizontal="left" vertical="center" indent="1"/>
    </xf>
    <xf numFmtId="0" fontId="0" fillId="11" borderId="0" xfId="0" applyFill="1"/>
    <xf numFmtId="0" fontId="0" fillId="11" borderId="0" xfId="0" applyFill="1" applyAlignment="1">
      <alignment wrapText="1"/>
    </xf>
    <xf numFmtId="0" fontId="14" fillId="12" borderId="0" xfId="0" applyFont="1" applyFill="1"/>
    <xf numFmtId="0" fontId="1" fillId="13" borderId="0" xfId="0" applyFont="1" applyFill="1"/>
    <xf numFmtId="0" fontId="1" fillId="11" borderId="0" xfId="0" applyFont="1" applyFill="1"/>
    <xf numFmtId="0" fontId="0" fillId="11" borderId="10" xfId="0" applyFill="1" applyBorder="1"/>
    <xf numFmtId="0" fontId="11" fillId="6" borderId="0" xfId="0" applyFont="1" applyFill="1" applyAlignment="1">
      <alignment horizontal="center" vertical="center"/>
    </xf>
    <xf numFmtId="0" fontId="0" fillId="0" borderId="0" xfId="0" applyAlignment="1">
      <alignment vertical="center"/>
    </xf>
    <xf numFmtId="0" fontId="0" fillId="0" borderId="0" xfId="0" applyAlignment="1">
      <alignment horizontal="left" vertical="center"/>
    </xf>
    <xf numFmtId="0" fontId="0" fillId="0" borderId="0" xfId="0" applyAlignment="1">
      <alignment vertical="center" wrapText="1"/>
    </xf>
    <xf numFmtId="0" fontId="9" fillId="14" borderId="0" xfId="0" applyFont="1" applyFill="1" applyAlignment="1">
      <alignment horizontal="center" vertical="center" wrapText="1"/>
    </xf>
    <xf numFmtId="0" fontId="15" fillId="6" borderId="0" xfId="0" applyFont="1" applyFill="1" applyAlignment="1">
      <alignment vertical="center" wrapText="1"/>
    </xf>
    <xf numFmtId="0" fontId="17" fillId="14" borderId="3" xfId="0" applyFont="1" applyFill="1" applyBorder="1" applyAlignment="1">
      <alignment vertical="center" wrapText="1"/>
    </xf>
    <xf numFmtId="0" fontId="11" fillId="14" borderId="3" xfId="0" applyFont="1" applyFill="1" applyBorder="1" applyAlignment="1">
      <alignment horizontal="center" vertical="center" wrapText="1"/>
    </xf>
    <xf numFmtId="0" fontId="15" fillId="6" borderId="0" xfId="0" applyFont="1" applyFill="1" applyAlignment="1">
      <alignment horizontal="left" vertical="center"/>
    </xf>
    <xf numFmtId="0" fontId="11" fillId="7" borderId="5" xfId="0" applyFont="1" applyFill="1" applyBorder="1" applyAlignment="1">
      <alignment horizontal="left" vertical="center" wrapText="1"/>
    </xf>
    <xf numFmtId="0" fontId="11" fillId="0" borderId="6" xfId="0" applyFont="1" applyBorder="1" applyAlignment="1">
      <alignment vertical="center" wrapText="1"/>
    </xf>
    <xf numFmtId="0" fontId="11" fillId="7" borderId="7" xfId="0" applyFont="1" applyFill="1" applyBorder="1" applyAlignment="1">
      <alignment horizontal="left" vertical="center" wrapText="1"/>
    </xf>
    <xf numFmtId="0" fontId="11" fillId="0" borderId="7" xfId="0" applyFont="1" applyBorder="1" applyAlignment="1">
      <alignment vertical="center" wrapText="1"/>
    </xf>
    <xf numFmtId="0" fontId="11" fillId="7" borderId="3" xfId="0" applyFont="1" applyFill="1" applyBorder="1" applyAlignment="1">
      <alignment horizontal="left" vertical="center" wrapText="1"/>
    </xf>
    <xf numFmtId="0" fontId="11" fillId="14" borderId="6" xfId="0" applyFont="1" applyFill="1" applyBorder="1" applyAlignment="1">
      <alignment vertical="center" wrapText="1"/>
    </xf>
    <xf numFmtId="0" fontId="11" fillId="0" borderId="3" xfId="0" applyFont="1" applyBorder="1" applyAlignment="1">
      <alignment vertical="center" wrapText="1"/>
    </xf>
    <xf numFmtId="0" fontId="17" fillId="6" borderId="3" xfId="0" applyFont="1" applyFill="1" applyBorder="1" applyAlignment="1">
      <alignment horizontal="left" vertical="center"/>
    </xf>
    <xf numFmtId="0" fontId="0" fillId="0" borderId="0" xfId="0" applyAlignment="1">
      <alignment vertical="top" wrapText="1"/>
    </xf>
    <xf numFmtId="0" fontId="1" fillId="11" borderId="0" xfId="0" applyFont="1" applyFill="1" applyAlignment="1">
      <alignment vertical="center"/>
    </xf>
    <xf numFmtId="0" fontId="1" fillId="0" borderId="0" xfId="0" applyFont="1" applyAlignment="1">
      <alignment vertical="center"/>
    </xf>
    <xf numFmtId="0" fontId="9" fillId="6" borderId="0" xfId="0" applyFont="1" applyFill="1" applyAlignment="1">
      <alignment horizontal="center" vertical="center" wrapText="1"/>
    </xf>
    <xf numFmtId="0" fontId="9" fillId="6" borderId="0" xfId="0" quotePrefix="1" applyFont="1" applyFill="1" applyAlignment="1">
      <alignment horizontal="center" vertical="center" wrapText="1"/>
    </xf>
    <xf numFmtId="0" fontId="9" fillId="6" borderId="0" xfId="0" applyFont="1" applyFill="1"/>
    <xf numFmtId="1" fontId="9" fillId="6" borderId="0" xfId="0" applyNumberFormat="1" applyFont="1" applyFill="1"/>
    <xf numFmtId="164" fontId="9" fillId="6" borderId="0" xfId="2" applyNumberFormat="1" applyFont="1" applyFill="1" applyAlignment="1">
      <alignment vertical="center"/>
    </xf>
    <xf numFmtId="0" fontId="0" fillId="6" borderId="0" xfId="0" applyFill="1"/>
    <xf numFmtId="0" fontId="9" fillId="6" borderId="0" xfId="0" applyFont="1" applyFill="1" applyAlignment="1">
      <alignment vertical="center" wrapText="1"/>
    </xf>
    <xf numFmtId="2" fontId="0" fillId="6" borderId="0" xfId="0" applyNumberFormat="1" applyFill="1"/>
    <xf numFmtId="0" fontId="17" fillId="0" borderId="0" xfId="0" applyFont="1" applyAlignment="1">
      <alignment horizontal="center" vertical="center" wrapText="1"/>
    </xf>
    <xf numFmtId="0" fontId="9" fillId="2" borderId="0" xfId="0" applyFont="1" applyFill="1" applyAlignment="1">
      <alignment vertical="center"/>
    </xf>
    <xf numFmtId="0" fontId="17" fillId="46" borderId="0" xfId="0" applyFont="1" applyFill="1" applyAlignment="1">
      <alignment horizontal="center" vertical="center" wrapText="1"/>
    </xf>
    <xf numFmtId="0" fontId="17" fillId="8" borderId="0" xfId="0" applyFont="1" applyFill="1" applyAlignment="1">
      <alignment horizontal="center" vertical="center" wrapText="1"/>
    </xf>
  </cellXfs>
  <cellStyles count="64">
    <cellStyle name="20% - Accent1" xfId="34" builtinId="30" customBuiltin="1"/>
    <cellStyle name="20% - Accent2" xfId="38" builtinId="34" customBuiltin="1"/>
    <cellStyle name="20% - Accent3" xfId="42" builtinId="38" customBuiltin="1"/>
    <cellStyle name="20% - Accent4" xfId="46" builtinId="42" customBuiltin="1"/>
    <cellStyle name="20% - Accent5" xfId="50" builtinId="46" customBuiltin="1"/>
    <cellStyle name="20% - Accent6" xfId="54" builtinId="50" customBuiltin="1"/>
    <cellStyle name="40% - Accent1" xfId="35" builtinId="31" customBuiltin="1"/>
    <cellStyle name="40% - Accent2" xfId="39" builtinId="35" customBuiltin="1"/>
    <cellStyle name="40% - Accent3" xfId="43" builtinId="39" customBuiltin="1"/>
    <cellStyle name="40% - Accent4" xfId="47" builtinId="43" customBuiltin="1"/>
    <cellStyle name="40% - Accent5" xfId="51" builtinId="47" customBuiltin="1"/>
    <cellStyle name="40% - Accent6" xfId="55" builtinId="51" customBuiltin="1"/>
    <cellStyle name="60% - Accent1" xfId="36" builtinId="32" customBuiltin="1"/>
    <cellStyle name="60% - Accent2" xfId="40" builtinId="36" customBuiltin="1"/>
    <cellStyle name="60% - Accent3" xfId="44" builtinId="40" customBuiltin="1"/>
    <cellStyle name="60% - Accent4" xfId="48" builtinId="44" customBuiltin="1"/>
    <cellStyle name="60% - Accent5" xfId="52" builtinId="48" customBuiltin="1"/>
    <cellStyle name="60% - Accent6" xfId="56" builtinId="52" customBuiltin="1"/>
    <cellStyle name="Accent1" xfId="33" builtinId="29" customBuiltin="1"/>
    <cellStyle name="Accent2" xfId="37" builtinId="33" customBuiltin="1"/>
    <cellStyle name="Accent3" xfId="41" builtinId="37" customBuiltin="1"/>
    <cellStyle name="Accent4" xfId="45" builtinId="41" customBuiltin="1"/>
    <cellStyle name="Accent5" xfId="49" builtinId="45" customBuiltin="1"/>
    <cellStyle name="Accent6" xfId="53" builtinId="49" customBuiltin="1"/>
    <cellStyle name="Bad" xfId="22" builtinId="27" customBuiltin="1"/>
    <cellStyle name="Calculation" xfId="26" builtinId="22" customBuiltin="1"/>
    <cellStyle name="Check Cell" xfId="28" builtinId="23" customBuiltin="1"/>
    <cellStyle name="Comma" xfId="2" builtinId="3"/>
    <cellStyle name="Explanatory Text" xfId="31" builtinId="53" customBuiltin="1"/>
    <cellStyle name="Followed Hyperlink" xfId="15" builtinId="9" customBuiltin="1"/>
    <cellStyle name="Good" xfId="21" builtinId="26" customBuiltin="1"/>
    <cellStyle name="GrayCell 2 2" xfId="8" xr:uid="{00000000-0005-0000-0000-000002000000}"/>
    <cellStyle name="Heading 1" xfId="17" builtinId="16" customBuiltin="1"/>
    <cellStyle name="Heading 1 2" xfId="3" xr:uid="{00000000-0005-0000-0000-000003000000}"/>
    <cellStyle name="Heading 2" xfId="18" builtinId="17" customBuiltin="1"/>
    <cellStyle name="Heading 2 2" xfId="4" xr:uid="{00000000-0005-0000-0000-000004000000}"/>
    <cellStyle name="Heading 3" xfId="19" builtinId="18" customBuiltin="1"/>
    <cellStyle name="Heading 3 2" xfId="9" xr:uid="{00000000-0005-0000-0000-000005000000}"/>
    <cellStyle name="Heading 4" xfId="20" builtinId="19" customBuiltin="1"/>
    <cellStyle name="Hyperlink" xfId="14" builtinId="8" customBuiltin="1"/>
    <cellStyle name="Hyperlink 2" xfId="62" xr:uid="{741CD510-4DE3-40BE-A73B-EF6CC90FD2E5}"/>
    <cellStyle name="Input" xfId="24" builtinId="20" customBuiltin="1"/>
    <cellStyle name="Linked Cell" xfId="27" builtinId="24" customBuiltin="1"/>
    <cellStyle name="Neutral" xfId="23" builtinId="28" customBuiltin="1"/>
    <cellStyle name="Normal" xfId="0" builtinId="0"/>
    <cellStyle name="Normal 2" xfId="1" xr:uid="{00000000-0005-0000-0000-000008000000}"/>
    <cellStyle name="Normal 2 2" xfId="13" xr:uid="{00000000-0005-0000-0000-000009000000}"/>
    <cellStyle name="Normal 2 3" xfId="60" xr:uid="{84216A98-AB9B-44F1-8930-D406487F4642}"/>
    <cellStyle name="Normal 2 4" xfId="58" xr:uid="{080748F1-1551-4C19-8810-20ED05754348}"/>
    <cellStyle name="Normal 3" xfId="6" xr:uid="{00000000-0005-0000-0000-00000A000000}"/>
    <cellStyle name="Normal 3 2" xfId="11" xr:uid="{00000000-0005-0000-0000-00000B000000}"/>
    <cellStyle name="Normal 3 3" xfId="61" xr:uid="{53AC47BC-8EBE-438C-872D-312E7D65C071}"/>
    <cellStyle name="Normal 3 4" xfId="59" xr:uid="{D0956BCD-016D-4A1B-AC6D-E2B4220550A6}"/>
    <cellStyle name="Normal 4" xfId="57" xr:uid="{7C69384A-DF67-456F-8C33-B781FE304D4E}"/>
    <cellStyle name="Normal 5" xfId="63" xr:uid="{43354EC1-7F2F-45A3-9735-D7EDE57CEAD7}"/>
    <cellStyle name="Note" xfId="30" builtinId="10" customBuiltin="1"/>
    <cellStyle name="OrangeBorder 2" xfId="10" xr:uid="{00000000-0005-0000-0000-00000C000000}"/>
    <cellStyle name="Output" xfId="25" builtinId="21" customBuiltin="1"/>
    <cellStyle name="Title" xfId="16" builtinId="15" customBuiltin="1"/>
    <cellStyle name="Title 2" xfId="5" xr:uid="{00000000-0005-0000-0000-00000E000000}"/>
    <cellStyle name="Total" xfId="32" builtinId="25" customBuiltin="1"/>
    <cellStyle name="Warning Text" xfId="29" builtinId="11" customBuiltin="1"/>
    <cellStyle name="YellowCell 2 2" xfId="7" xr:uid="{00000000-0005-0000-0000-00000F000000}"/>
    <cellStyle name="z A Column text" xfId="12" xr:uid="{00000000-0005-0000-0000-000010000000}"/>
  </cellStyles>
  <dxfs count="201">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numFmt numFmtId="2" formatCode="0.00"/>
      <fill>
        <patternFill patternType="solid">
          <fgColor indexed="64"/>
          <bgColor theme="8" tint="0.79998168889431442"/>
        </patternFill>
      </fill>
    </dxf>
    <dxf>
      <fill>
        <patternFill patternType="solid">
          <fgColor indexed="64"/>
          <bgColor theme="8" tint="0.79998168889431442"/>
        </patternFill>
      </fill>
    </dxf>
    <dxf>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fill>
        <patternFill>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alignment vertical="center" textRotation="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vertical="center" textRotation="0" indent="0" justifyLastLine="0" shrinkToFit="0" readingOrder="0"/>
    </dxf>
    <dxf>
      <alignment vertical="center" textRotation="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color theme="1"/>
        <name val="Calibri"/>
        <family val="2"/>
        <scheme val="minor"/>
      </font>
      <numFmt numFmtId="1" formatCode="0"/>
      <fill>
        <patternFill patternType="solid">
          <fgColor indexed="64"/>
          <bgColor theme="8" tint="0.79998168889431442"/>
        </patternFill>
      </fill>
    </dxf>
    <dxf>
      <font>
        <strike val="0"/>
        <outline val="0"/>
        <shadow val="0"/>
        <u val="none"/>
        <vertAlign val="baseline"/>
        <sz val="10"/>
        <color theme="1"/>
        <name val="Calibri"/>
        <family val="2"/>
        <scheme val="minor"/>
      </font>
      <fill>
        <patternFill patternType="solid">
          <fgColor indexed="64"/>
          <bgColor theme="8" tint="0.79998168889431442"/>
        </patternFill>
      </fill>
    </dxf>
    <dxf>
      <font>
        <strike val="0"/>
        <outline val="0"/>
        <shadow val="0"/>
        <u val="none"/>
        <vertAlign val="baseline"/>
        <sz val="10"/>
        <color theme="1"/>
        <name val="Calibri"/>
        <family val="2"/>
        <scheme val="minor"/>
      </font>
      <fill>
        <patternFill patternType="solid">
          <fgColor indexed="64"/>
          <bgColor theme="8" tint="0.79998168889431442"/>
        </patternFill>
      </fill>
    </dxf>
    <dxf>
      <font>
        <strike val="0"/>
        <outline val="0"/>
        <shadow val="0"/>
        <u val="none"/>
        <vertAlign val="baseline"/>
        <sz val="10"/>
        <color theme="1"/>
        <name val="Calibri"/>
        <family val="2"/>
        <scheme val="minor"/>
      </font>
      <fill>
        <patternFill patternType="solid">
          <fgColor indexed="64"/>
          <bgColor theme="8" tint="0.79998168889431442"/>
        </patternFill>
      </fill>
    </dxf>
    <dxf>
      <font>
        <b val="0"/>
        <i val="0"/>
        <strike val="0"/>
        <condense val="0"/>
        <extend val="0"/>
        <outline val="0"/>
        <shadow val="0"/>
        <u val="none"/>
        <vertAlign val="baseline"/>
        <sz val="10"/>
        <color theme="1"/>
        <name val="Calibri"/>
        <family val="2"/>
        <scheme val="minor"/>
      </font>
      <numFmt numFmtId="0" formatCode="General"/>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2"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numFmt numFmtId="0" formatCode="General"/>
      <alignment vertical="center" textRotation="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164" formatCode="_(* #,##0_);_(* \(#,##0\);_(* &quot;-&quot;??_);_(@_)"/>
      <fill>
        <patternFill patternType="solid">
          <fgColor indexed="64"/>
          <bgColor theme="8" tint="0.79998168889431442"/>
        </patternFill>
      </fill>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numFmt numFmtId="0" formatCode="General"/>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strike val="0"/>
        <outline val="0"/>
        <shadow val="0"/>
        <u val="none"/>
        <vertAlign val="baseline"/>
        <sz val="10"/>
        <name val="Calibri"/>
        <family val="2"/>
      </font>
      <numFmt numFmtId="0" formatCode="General"/>
      <fill>
        <patternFill patternType="solid">
          <fgColor indexed="64"/>
          <bgColor theme="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center" vertical="center" textRotation="0" wrapText="0" indent="0" justifyLastLine="0" shrinkToFit="0" readingOrder="0"/>
    </dxf>
    <dxf>
      <font>
        <strike val="0"/>
        <outline val="0"/>
        <shadow val="0"/>
        <u val="none"/>
        <vertAlign val="baseline"/>
        <sz val="8"/>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1" indent="0" justifyLastLine="0" shrinkToFit="0" readingOrder="0"/>
    </dxf>
    <dxf>
      <font>
        <strike val="0"/>
        <outline val="0"/>
        <shadow val="0"/>
        <u val="none"/>
        <vertAlign val="baseline"/>
        <sz val="8"/>
        <name val="Calibri"/>
        <family val="2"/>
      </font>
      <fill>
        <patternFill patternType="solid">
          <fgColor indexed="64"/>
          <bgColor theme="8" tint="0.79998168889431442"/>
        </patternFill>
      </fill>
      <alignment horizontal="left" vertical="center" textRotation="0" wrapText="1" indent="0" justifyLastLine="0" shrinkToFit="0" readingOrder="0"/>
    </dxf>
    <dxf>
      <font>
        <strike val="0"/>
        <outline val="0"/>
        <shadow val="0"/>
        <u val="none"/>
        <vertAlign val="baseline"/>
        <sz val="8"/>
        <color indexed="8"/>
        <name val="Calibri"/>
        <family val="2"/>
        <scheme val="none"/>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1"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patternType="solid">
          <fgColor indexed="64"/>
          <bgColor theme="8" tint="0.79998168889431442"/>
        </patternFill>
      </fill>
      <alignment horizontal="general" vertical="center" textRotation="0" wrapText="1"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general" vertical="center" textRotation="0" wrapText="0" indent="0" justifyLastLine="0" shrinkToFit="0" readingOrder="0"/>
    </dxf>
    <dxf>
      <font>
        <strike val="0"/>
        <outline val="0"/>
        <shadow val="0"/>
        <u val="none"/>
        <vertAlign val="baseline"/>
        <sz val="10"/>
        <name val="Calibri"/>
        <family val="2"/>
      </font>
      <numFmt numFmtId="0" formatCode="General"/>
      <fill>
        <patternFill patternType="solid">
          <fgColor indexed="64"/>
          <bgColor theme="0" tint="-4.9989318521683403E-2"/>
        </patternFill>
      </fill>
      <alignment vertical="center" textRotation="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numFmt numFmtId="0" formatCode="General"/>
      <alignment vertical="center" textRotation="0" wrapText="1"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vertical="center" textRotation="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strike val="0"/>
        <outline val="0"/>
        <shadow val="0"/>
        <u val="none"/>
        <vertAlign val="baseline"/>
        <sz val="10"/>
        <name val="Calibri"/>
        <family val="2"/>
      </font>
      <alignment vertical="center" textRotation="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left"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8" tint="0.79998168889431442"/>
        </patternFill>
      </fill>
      <alignment horizontal="general" vertical="center" textRotation="0" wrapText="0" indent="0" justifyLastLine="0" shrinkToFit="0" readingOrder="0"/>
      <protection locked="1" hidden="0"/>
    </dxf>
    <dxf>
      <font>
        <strike val="0"/>
        <outline val="0"/>
        <shadow val="0"/>
        <u val="none"/>
        <vertAlign val="baseline"/>
        <sz val="10"/>
        <name val="Calibri"/>
        <family val="2"/>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fill>
        <patternFill patternType="solid">
          <fgColor indexed="64"/>
          <bgColor theme="8" tint="0.79998168889431442"/>
        </patternFill>
      </fill>
      <alignment horizontal="left" vertical="center" textRotation="0" wrapText="0" indent="0" justifyLastLine="0" shrinkToFit="0" readingOrder="0"/>
    </dxf>
    <dxf>
      <font>
        <strike val="0"/>
        <outline val="0"/>
        <shadow val="0"/>
        <u val="none"/>
        <vertAlign val="baseline"/>
        <sz val="10"/>
        <name val="Calibri"/>
        <family val="2"/>
      </font>
      <numFmt numFmtId="0" formatCode="General"/>
      <alignment horizontal="left" vertical="center" textRotation="0" wrapText="0"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i val="0"/>
        <strike val="0"/>
        <condense val="0"/>
        <extend val="0"/>
        <outline val="0"/>
        <shadow val="0"/>
        <u val="none"/>
        <vertAlign val="baseline"/>
        <sz val="10"/>
        <color theme="0"/>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rgb="FFAEAAAA"/>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rgb="FFAEAAAA"/>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rgb="FFAEAAAA"/>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solid">
          <fgColor indexed="64"/>
          <bgColor rgb="FFAEAAAA"/>
        </patternFill>
      </fill>
      <alignment horizontal="center" vertical="center" textRotation="0" wrapText="1"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solid">
          <fgColor indexed="64"/>
          <bgColor rgb="FFAEAAAA"/>
        </patternFill>
      </fill>
      <alignment horizontal="center" vertical="center" textRotation="0" wrapText="1"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tint="-0.249977111117893"/>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outline="0">
        <left/>
        <right/>
        <top/>
        <bottom/>
      </border>
    </dxf>
    <dxf>
      <font>
        <b val="0"/>
        <i val="0"/>
        <strike val="0"/>
        <condense val="0"/>
        <extend val="0"/>
        <outline val="0"/>
        <shadow val="0"/>
        <u val="none"/>
        <vertAlign val="baseline"/>
        <sz val="10"/>
        <color theme="1"/>
        <name val="Calibri"/>
        <family val="2"/>
        <scheme val="minor"/>
      </font>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theme="1" tint="0.499984740745262"/>
        </left>
        <right/>
        <top style="thin">
          <color theme="1" tint="0.499984740745262"/>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theme="1" tint="0.499984740745262"/>
        </left>
        <right/>
        <top style="thin">
          <color theme="1" tint="0.499984740745262"/>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border>
      <protection locked="1" hidden="0"/>
    </dxf>
    <dxf>
      <font>
        <b val="0"/>
        <i val="0"/>
        <strike val="0"/>
        <condense val="0"/>
        <extend val="0"/>
        <outline val="0"/>
        <shadow val="0"/>
        <u val="none"/>
        <vertAlign val="baseline"/>
        <sz val="8"/>
        <color indexed="8"/>
        <name val="Calibri"/>
        <family val="2"/>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indexed="65"/>
        </patternFill>
      </fill>
      <alignment horizontal="general" vertical="center" textRotation="0" wrapText="0" indent="0" justifyLastLine="0" shrinkToFit="0" readingOrder="0"/>
      <border diagonalUp="0" diagonalDown="0" outline="0">
        <left style="thin">
          <color theme="1" tint="0.499984740745262"/>
        </left>
        <right style="thin">
          <color theme="1" tint="0.499984740745262"/>
        </right>
        <top style="thin">
          <color theme="1" tint="0.499984740745262"/>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none">
          <fgColor indexed="64"/>
          <bgColor auto="1"/>
        </patternFill>
      </fill>
      <alignment horizontal="general"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patternFill>
      </fill>
      <alignment horizontal="left" vertical="center" textRotation="0" wrapText="0" indent="0" justifyLastLine="0" shrinkToFit="0" readingOrder="0"/>
      <border diagonalUp="0" diagonalDown="0" outline="0">
        <left style="thin">
          <color theme="1" tint="0.499984740745262"/>
        </left>
        <right style="thin">
          <color theme="1" tint="0.499984740745262"/>
        </right>
        <top style="thin">
          <color theme="1" tint="0.499984740745262"/>
        </top>
        <bottom/>
      </border>
      <protection locked="1" hidden="0"/>
    </dxf>
    <dxf>
      <font>
        <b val="0"/>
        <i val="0"/>
        <strike val="0"/>
        <condense val="0"/>
        <extend val="0"/>
        <outline val="0"/>
        <shadow val="0"/>
        <u val="none"/>
        <vertAlign val="baseline"/>
        <sz val="10"/>
        <color indexed="8"/>
        <name val="Calibri"/>
        <family val="2"/>
        <scheme val="none"/>
      </font>
      <numFmt numFmtId="0" formatCode="General"/>
      <fill>
        <patternFill patternType="solid">
          <fgColor indexed="64"/>
          <bgColor theme="2"/>
        </patternFill>
      </fill>
      <alignment horizontal="left" vertical="center" textRotation="0" wrapText="1" indent="0" justifyLastLine="0" shrinkToFit="0" readingOrder="0"/>
      <border diagonalUp="0" diagonalDown="0" outline="0">
        <left style="thin">
          <color theme="1" tint="0.499984740745262"/>
        </left>
        <right style="thin">
          <color theme="1" tint="0.499984740745262"/>
        </right>
        <top style="thin">
          <color theme="1" tint="0.499984740745262"/>
        </top>
        <bottom style="thin">
          <color theme="1" tint="0.499984740745262"/>
        </bottom>
      </border>
      <protection locked="1" hidden="0"/>
    </dxf>
    <dxf>
      <border>
        <top style="thin">
          <color theme="1" tint="0.499984740745262"/>
        </top>
      </border>
    </dxf>
    <dxf>
      <border diagonalUp="0" diagonalDown="0">
        <left style="thin">
          <color theme="1" tint="0.499984740745262"/>
        </left>
        <right style="thin">
          <color theme="1" tint="0.499984740745262"/>
        </right>
        <top style="thin">
          <color theme="1" tint="0.499984740745262"/>
        </top>
        <bottom style="thin">
          <color theme="1" tint="0.499984740745262"/>
        </bottom>
      </border>
    </dxf>
    <dxf>
      <font>
        <b val="0"/>
        <i val="0"/>
        <strike val="0"/>
        <condense val="0"/>
        <extend val="0"/>
        <outline val="0"/>
        <shadow val="0"/>
        <u val="none"/>
        <vertAlign val="baseline"/>
        <sz val="10"/>
        <color indexed="8"/>
        <name val="Calibri"/>
        <family val="2"/>
        <scheme val="none"/>
      </font>
      <fill>
        <patternFill patternType="none">
          <fgColor indexed="64"/>
          <bgColor indexed="65"/>
        </patternFill>
      </fill>
      <alignment horizontal="general" vertical="center" textRotation="0" wrapText="1" indent="0" justifyLastLine="0" shrinkToFit="0" readingOrder="0"/>
      <protection locked="1" hidden="0"/>
    </dxf>
    <dxf>
      <border>
        <bottom style="thin">
          <color theme="1" tint="0.499984740745262"/>
        </bottom>
      </border>
    </dxf>
    <dxf>
      <font>
        <b/>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thin">
          <color theme="1" tint="0.499984740745262"/>
        </left>
        <right style="thin">
          <color theme="1" tint="0.499984740745262"/>
        </right>
        <top/>
        <bottom/>
      </border>
    </dxf>
    <dxf>
      <font>
        <b val="0"/>
        <i val="0"/>
        <strike val="0"/>
        <condense val="0"/>
        <extend val="0"/>
        <outline val="0"/>
        <shadow val="0"/>
        <u val="none"/>
        <vertAlign val="baseline"/>
        <sz val="8"/>
        <color theme="1"/>
        <name val="Calibri"/>
        <family val="2"/>
        <scheme val="minor"/>
      </font>
      <numFmt numFmtId="0" formatCode="General"/>
      <fill>
        <patternFill>
          <fgColor indexed="64"/>
          <bgColor theme="8" tint="0.79998168889431442"/>
        </patternFill>
      </fill>
      <alignment horizontal="left" vertical="center" textRotation="0" wrapText="1" indent="0" justifyLastLine="0" shrinkToFit="0" readingOrder="0"/>
    </dxf>
    <dxf>
      <font>
        <b val="0"/>
        <i val="0"/>
        <strike val="0"/>
        <condense val="0"/>
        <extend val="0"/>
        <outline val="0"/>
        <shadow val="0"/>
        <u val="none"/>
        <vertAlign val="baseline"/>
        <sz val="8"/>
        <color theme="1"/>
        <name val="Calibri"/>
        <family val="2"/>
        <scheme val="minor"/>
      </font>
      <fill>
        <patternFill>
          <fgColor indexed="64"/>
          <bgColor theme="8" tint="0.79998168889431442"/>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numFmt numFmtId="0" formatCode="General"/>
      <fill>
        <patternFill>
          <fgColor indexed="64"/>
          <bgColor theme="8" tint="0.79998168889431442"/>
        </patternFill>
      </fill>
      <alignment horizontal="center"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fill>
        <patternFill>
          <fgColor indexed="64"/>
          <bgColor theme="8" tint="0.79998168889431442"/>
        </patternFill>
      </fill>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font>
      <alignment horizontal="general"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dxf>
    <dxf>
      <font>
        <b/>
        <i val="0"/>
        <color theme="0"/>
      </font>
      <fill>
        <patternFill>
          <bgColor theme="4" tint="-0.499984740745262"/>
        </patternFill>
      </fill>
    </dxf>
    <dxf>
      <font>
        <b val="0"/>
        <i val="0"/>
        <color theme="1"/>
      </font>
      <fill>
        <patternFill>
          <bgColor theme="2"/>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
      <font>
        <b val="0"/>
        <i val="0"/>
        <color theme="1"/>
      </font>
      <fill>
        <patternFill>
          <bgColor theme="2"/>
        </patternFill>
      </fill>
      <border>
        <left style="thin">
          <color theme="1" tint="0.499984740745262"/>
        </left>
        <right style="thin">
          <color theme="1" tint="0.499984740745262"/>
        </right>
        <top style="thin">
          <color theme="1" tint="0.499984740745262"/>
        </top>
        <bottom style="thin">
          <color theme="1" tint="0.499984740745262"/>
        </bottom>
        <vertical style="thin">
          <color theme="1" tint="0.499984740745262"/>
        </vertical>
        <horizontal style="thin">
          <color theme="1" tint="0.499984740745262"/>
        </horizontal>
      </border>
    </dxf>
  </dxfs>
  <tableStyles count="2" defaultTableStyle="Table Style 2" defaultPivotStyle="PivotStyleLight16">
    <tableStyle name="Table Style 1" pivot="0" count="1" xr9:uid="{03CADF67-A835-4D43-81C5-75376CF934E2}">
      <tableStyleElement type="wholeTable" dxfId="200"/>
    </tableStyle>
    <tableStyle name="Table Style 2" pivot="0" count="2" xr9:uid="{5906E8DD-1157-4888-9A27-3B2DB57DF7A2}">
      <tableStyleElement type="wholeTable" dxfId="199"/>
      <tableStyleElement type="headerRow" dxfId="198"/>
    </tableStyle>
  </tableStyles>
  <colors>
    <mruColors>
      <color rgb="FFAEAAAA"/>
      <color rgb="FFFFFFFF"/>
      <color rgb="FFCBAD8F"/>
      <color rgb="FFD2B89E"/>
      <color rgb="FFFFFFE7"/>
      <color rgb="FFFFFFCC"/>
      <color rgb="FFFFCCCC"/>
      <color rgb="FF9FBDE1"/>
      <color rgb="FFA9BDE1"/>
      <color rgb="FFC7E9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xdr:colOff>
      <xdr:row>1</xdr:row>
      <xdr:rowOff>0</xdr:rowOff>
    </xdr:from>
    <xdr:to>
      <xdr:col>2</xdr:col>
      <xdr:colOff>9086851</xdr:colOff>
      <xdr:row>5</xdr:row>
      <xdr:rowOff>19050</xdr:rowOff>
    </xdr:to>
    <xdr:sp macro="" textlink="">
      <xdr:nvSpPr>
        <xdr:cNvPr id="2" name="TextBox 1">
          <a:extLst>
            <a:ext uri="{FF2B5EF4-FFF2-40B4-BE49-F238E27FC236}">
              <a16:creationId xmlns:a16="http://schemas.microsoft.com/office/drawing/2014/main" id="{0AA701E7-1229-4319-A283-2BA943461D49}"/>
            </a:ext>
          </a:extLst>
        </xdr:cNvPr>
        <xdr:cNvSpPr txBox="1"/>
      </xdr:nvSpPr>
      <xdr:spPr>
        <a:xfrm>
          <a:off x="609601" y="190500"/>
          <a:ext cx="10096500"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Data</a:t>
          </a:r>
          <a:r>
            <a:rPr lang="en-US" sz="1100" b="1" baseline="0"/>
            <a:t> in this workbook: </a:t>
          </a:r>
          <a:r>
            <a:rPr lang="en-US" sz="1100" baseline="0"/>
            <a:t>The data in this workbook underly the Temperature Binning tool. This version of the data correspond to impact estimates presented in the Temperature Binning Framework documentation. T</a:t>
          </a:r>
          <a:r>
            <a:rPr lang="en-US" sz="1100" baseline="0">
              <a:solidFill>
                <a:sysClr val="windowText" lastClr="000000"/>
              </a:solidFill>
            </a:rPr>
            <a:t>his workbook can be read into the R script documented in Appendix B in the ciraTempBin function.</a:t>
          </a:r>
          <a:endParaRPr lang="en-US" sz="11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47625</xdr:colOff>
      <xdr:row>18</xdr:row>
      <xdr:rowOff>149225</xdr:rowOff>
    </xdr:from>
    <xdr:ext cx="2089150" cy="984250"/>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838200" y="3806825"/>
          <a:ext cx="2089150" cy="984250"/>
        </a:xfrm>
        <a:prstGeom prst="rect">
          <a:avLst/>
        </a:prstGeom>
        <a:solidFill>
          <a:schemeClr val="bg1"/>
        </a:solidFill>
        <a:ln w="19050">
          <a:solidFill>
            <a:schemeClr val="bg2">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This worksheet contains lists</a:t>
          </a:r>
          <a:r>
            <a:rPr lang="en-US" sz="1100" baseline="0"/>
            <a:t> used throughout the database for data standardization, validation, and control purposes.</a:t>
          </a:r>
          <a:endParaRPr lang="en-US" sz="1100"/>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BDF25E7-D35C-4344-9B72-491345FCBF34}" name="Table19" displayName="Table19" ref="B9:C34" totalsRowShown="0" headerRowDxfId="197">
  <autoFilter ref="B9:C34" xr:uid="{DBDF25E7-D35C-4344-9B72-491345FCBF34}"/>
  <tableColumns count="2">
    <tableColumn id="1" xr3:uid="{306AD3FA-EE0B-4D9C-828A-C0B76198AE0B}" name="Worksheet" dataDxfId="196"/>
    <tableColumn id="2" xr3:uid="{873A529C-ADE9-47CF-B36A-585DA33D7B04}" name="Description"/>
  </tableColumns>
  <tableStyleInfo name="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F7C1DD-F7B4-486D-93FC-71528609946F}" name="doc_tablesList" displayName="doc_tablesList" ref="B3:N17" totalsRowShown="0" headerRowDxfId="195" dataDxfId="194">
  <autoFilter ref="B3:N17" xr:uid="{AD244AAD-EF2A-4E3D-905E-7CC1947F3F1F}"/>
  <sortState xmlns:xlrd2="http://schemas.microsoft.com/office/spreadsheetml/2017/richdata2" ref="B4:N4">
    <sortCondition descending="1" ref="D4"/>
    <sortCondition ref="E4"/>
    <sortCondition ref="C4"/>
  </sortState>
  <tableColumns count="13">
    <tableColumn id="1" xr3:uid="{6892DC4A-A19B-418A-9799-A326D8EAC317}" name="ID" dataDxfId="193">
      <calculatedColumnFormula xml:space="preserve"> ROW( doc_tablesList[[#This Row],[ID]] ) - ROW(doc_tablesList[[#Headers],[ID]] )</calculatedColumnFormula>
    </tableColumn>
    <tableColumn id="2" xr3:uid="{238E4D6F-DBDF-41A4-8350-E77587A7D4B3}" name="Table Name" dataDxfId="192"/>
    <tableColumn id="8" xr3:uid="{D46F7497-B3FD-485E-91E8-C8117D6673FA}" name="Import" dataDxfId="191"/>
    <tableColumn id="3" xr3:uid="{39F2BFBD-30E6-473D-B9E5-9F407D5928C3}" name="Worksheet" dataDxfId="190"/>
    <tableColumn id="9" xr3:uid="{507E67A6-0C2B-4342-A04B-6A8E615993E3}" name="ID_columnName" dataDxfId="189">
      <calculatedColumnFormula xml:space="preserve"> "row_id"</calculatedColumnFormula>
    </tableColumn>
    <tableColumn id="4" xr3:uid="{961C935C-163D-4860-BA16-6CB492916203}" name="Header Row" dataDxfId="188">
      <calculatedColumnFormula array="1" xml:space="preserve"> INDEX( ROW( INDIRECT( _xlfn.TEXTJOIN( "", , doc_tablesList[[#This Row],[Table Name]], "[[#Headers],[", doc_tablesList[[#This Row],[ID_columnName]], "]]" ) ) ), 1 )</calculatedColumnFormula>
    </tableColumn>
    <tableColumn id="5" xr3:uid="{DD236923-3140-4EC8-BB36-1598D08E868D}" name="Number of Data Rows" dataDxfId="187">
      <calculatedColumnFormula xml:space="preserve"> MAX( INDIRECT( _xlfn.TEXTJOIN( "", , doc_tablesList[[#This Row],[Table Name]], "[", doc_tablesList[[#This Row],[ID_columnName]], "]" ) ) )</calculatedColumnFormula>
    </tableColumn>
    <tableColumn id="13" xr3:uid="{F53E64F1-7445-4927-A376-2FB765265648}" name="Last Row" dataDxfId="186">
      <calculatedColumnFormula xml:space="preserve"> doc_tablesList[[#This Row],[Number of Data Rows]] + doc_tablesList[[#This Row],[Header Row]]</calculatedColumnFormula>
    </tableColumn>
    <tableColumn id="6" xr3:uid="{86A51CF5-A3BA-4019-9C90-7A94C7FBA534}" name="id_colIndex" dataDxfId="185">
      <calculatedColumnFormula array="1" xml:space="preserve"> INDEX( COLUMN( INDIRECT( doc_tablesList[[#This Row],[Table Name]] &amp; "[" &amp; doc_tablesList[[#This Row],[ID_columnName]] &amp; "]" ) ), 1 )</calculatedColumnFormula>
    </tableColumn>
    <tableColumn id="7" xr3:uid="{DD29767F-0B22-4C97-9012-467EF6380323}" name="last_colIndex" dataDxfId="184">
      <calculatedColumnFormula array="1" xml:space="preserve"> MAX( COLUMN( INDIRECT( doc_tablesList[[#This Row],[Table Name]] ) ) )</calculatedColumnFormula>
    </tableColumn>
    <tableColumn id="12" xr3:uid="{7F09C7E5-85E6-4334-8C65-926F0EE13A13}" name="num_tableCols" dataDxfId="183">
      <calculatedColumnFormula xml:space="preserve"> doc_tablesList[[#This Row],[last_colIndex]] - doc_tablesList[[#This Row],[id_colIndex]] + 1</calculatedColumnFormula>
    </tableColumn>
    <tableColumn id="11" xr3:uid="{C4016964-772D-4CB1-A4CA-7E815387BA94}" name="excludeCol_ids" dataDxfId="182"/>
    <tableColumn id="10" xr3:uid="{1AD286DF-FF1E-4EA7-92C2-04966DE58B94}" name="Notes" dataDxfId="181"/>
  </tableColumns>
  <tableStyleInfo name="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B08D13-3C4C-4BB6-9ED3-E44A55D938B0}" name="co_sectors" displayName="co_sectors" ref="B20:O51" totalsRowShown="0" headerRowDxfId="180" dataDxfId="178" headerRowBorderDxfId="179" tableBorderDxfId="177" totalsRowBorderDxfId="176">
  <autoFilter ref="B20:O51" xr:uid="{4FB08D13-3C4C-4BB6-9ED3-E44A55D938B0}"/>
  <sortState xmlns:xlrd2="http://schemas.microsoft.com/office/spreadsheetml/2017/richdata2" ref="B21:O51">
    <sortCondition ref="D21:D51"/>
  </sortState>
  <tableColumns count="14">
    <tableColumn id="14" xr3:uid="{60C3EA8F-72E0-495B-8B73-6D682443C60B}" name="row_id" dataDxfId="175" totalsRowDxfId="174">
      <calculatedColumnFormula xml:space="preserve"> ROW( co_sectors[[#This Row],[row_id]] ) - ROW( co_sectors[[#Headers],[row_id]] )</calculatedColumnFormula>
    </tableColumn>
    <tableColumn id="1" xr3:uid="{05E901B8-39C9-4448-8C69-F1824616C5B3}" name="sector_id" dataDxfId="173" totalsRowDxfId="172"/>
    <tableColumn id="2" xr3:uid="{8435BE36-75E6-4124-BCAF-A700C82839D8}" name="sector_label" dataDxfId="171" totalsRowDxfId="170"/>
    <tableColumn id="6" xr3:uid="{2BB914B0-56FF-4336-B8AD-DDDF5E8FE532}" name="include" dataDxfId="169" totalsRowDxfId="168"/>
    <tableColumn id="8" xr3:uid="{18B4827C-060D-4556-903A-BB8A82781CB7}" name="modelType" dataDxfId="167" totalsRowDxfId="166"/>
    <tableColumn id="4" xr3:uid="{60EA29EE-87DF-48ED-AC00-5DE87371BD83}" name="variants" dataDxfId="165" totalsRowDxfId="164">
      <calculatedColumnFormula array="1" xml:space="preserve"> _xlfn.TEXTJOIN( ", ", 1,
  IF( OFFSET( INDIRECT( ADDRESS( ROW( co_variants[[#Headers],[row_id]] ),  COLUMN( co_variants[[#Headers],[sector_id]] ), , , "controlTables" ) ), 1, 0, MAX( co_variants[row_id] ), 1 ) = co_sectors[[#This Row],[sector_id]], co_variants[variant_label], "" )
)</calculatedColumnFormula>
    </tableColumn>
    <tableColumn id="5" xr3:uid="{037FAF60-CB1C-4C29-A873-6D3C321F2480}" name="impactYears" dataDxfId="163" totalsRowDxfId="162">
      <calculatedColumnFormula xml:space="preserve"> _xlfn.TEXTJOIN( ", ", 1,
  OFFSET( INDIRECT( ADDRESS( ROW( INDEX( co_impactYears[sector_id], MATCH( co_sectors[[#This Row],[sector_id]], co_impactYears[sector_id], 0 ) ) ),  COLUMN( co_impactYears[[#Headers],[sector_id]] ), , , "controlTables" ) ), 0, 1, 1, 4 )
)</calculatedColumnFormula>
    </tableColumn>
    <tableColumn id="7" xr3:uid="{28F0B34D-48CC-469A-9D3C-5A943883A167}" name="impactTypes" dataDxfId="161" totalsRowDxfId="160">
      <calculatedColumnFormula array="1" xml:space="preserve">  _xlfn.TEXTJOIN( ", ", 1,
  IF( OFFSET( INDIRECT( ADDRESS( ROW( co_impactTypes[[#Headers],[row_id]] ),  COLUMN( co_impactTypes[[#Headers],[sector_id]] ), , , "controlTables" ) ), 1, 0, MAX( co_impactTypes[row_id] ), 1 ) = co_sectors[[#This Row],[sector_id]], co_impactTypes[impactType_label], "" )
)</calculatedColumnFormula>
    </tableColumn>
    <tableColumn id="9" xr3:uid="{031B452A-F7AD-42C2-B528-CC3050A26AA0}" name="interpolateEstimateYears" dataDxfId="159" totalsRowDxfId="158">
      <calculatedColumnFormula xml:space="preserve"> IF( co_sectors[[#This Row],[impactYears]] = "NA", 0, 1)</calculatedColumnFormula>
    </tableColumn>
    <tableColumn id="3" xr3:uid="{131F4380-0D81-4321-BEC8-8F7D57B7E216}" name="hasPhysicalImpacts" dataDxfId="157" totalsRowDxfId="156">
      <calculatedColumnFormula array="1" xml:space="preserve"> SUMPRODUCT( --( co_sectors[[#This Row],[sector_id]] = co_impactTypes[sector_id] ), --IF( co_impactTypes[physicalmeasure] = "N/A", 0, 1) ) &gt;= 1</calculatedColumnFormula>
    </tableColumn>
    <tableColumn id="12" xr3:uid="{B7C2D68F-C2A9-4F34-BC0E-46157710709A}" name="hasEconomicImpacts" dataDxfId="155" totalsRowDxfId="154">
      <calculatedColumnFormula array="1" xml:space="preserve"> OR( SUMPRODUCT( --( co_sectors[[#This Row],[sector_id]] = co_impactTypes[sector_id] ), --IF( co_impactTypes[c0] &lt;&gt; 0, 1, 0) ) &gt;= 1,
      SUMPRODUCT( --( co_sectors[[#This Row],[sector_id]] = co_impactTypes[sector_id] ), --IF( co_impactTypes[c1] &lt;&gt; 0, 1, 0) ) &gt;= 1 )</calculatedColumnFormula>
    </tableColumn>
    <tableColumn id="10" xr3:uid="{C86349E6-E4A5-4E4F-8866-5A0EC09E18B2}" name="Number of variants" dataDxfId="153" totalsRowDxfId="152">
      <calculatedColumnFormula array="1" xml:space="preserve"> SUMPRODUCT( --( co_sectors[[#This Row],[sector_id]] = co_variants[sector_id] ) )</calculatedColumnFormula>
    </tableColumn>
    <tableColumn id="11" xr3:uid="{5F0E2743-320C-46C8-BF83-E0748C4ED15D}" name="Number of impact types" dataDxfId="151" totalsRowDxfId="150">
      <calculatedColumnFormula array="1" xml:space="preserve"> SUMPRODUCT( --( co_sectors[[#This Row],[sector_id]] = co_impactTypes[sector_id] ) )</calculatedColumnFormula>
    </tableColumn>
    <tableColumn id="13" xr3:uid="{39CDE92C-BE84-47A0-A80A-EB0EC7367742}" name="Number of impact years" dataDxfId="149" totalsRowDxfId="148">
      <calculatedColumnFormula array="1" xml:space="preserve"> IF( INDEX( co_impactYears[NA], MATCH( 1, --( co_sectors[[#This Row],[sector_id]] = co_impactYears[sector_id] ), 0 ) ) = "NA", 1, 2 )</calculatedColumnFormula>
    </tableColumn>
  </tableColumns>
  <tableStyleInfo name="Table Sty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0839C52-E413-4982-A35C-46B477F75688}" name="co_modelTypes" displayName="co_modelTypes" ref="B311:L313" totalsRowShown="0" headerRowDxfId="147" dataDxfId="146">
  <tableColumns count="11">
    <tableColumn id="1" xr3:uid="{11DFD282-93A9-4795-9369-6627D14BB282}" name="row_id" dataDxfId="145">
      <calculatedColumnFormula xml:space="preserve"> ROW( co_modelTypes[[#This Row],[row_id]] ) - ROW( co_modelTypes[[#Headers],[row_id]] )</calculatedColumnFormula>
    </tableColumn>
    <tableColumn id="5" xr3:uid="{083A43A4-471A-4911-84CB-93A1DE17EDC1}" name="modelType_id" dataDxfId="144"/>
    <tableColumn id="6" xr3:uid="{5A95B322-31B8-49BE-B215-52BB75258F9F}" name="modelType_label" dataDxfId="143"/>
    <tableColumn id="3" xr3:uid="{540088D4-3239-4E2E-B19D-9DEA7196BB93}" name="inputName" dataDxfId="142"/>
    <tableColumn id="7" xr3:uid="{EDB25577-4E2B-4262-9DF5-F68DC828D4E8}" name="modelUnitDesc" dataDxfId="141"/>
    <tableColumn id="2" xr3:uid="{7172DDAD-67EF-469B-A2DF-E5E2773966BC}" name="modelUnit_id" dataDxfId="140"/>
    <tableColumn id="8" xr3:uid="{0E585296-9334-4F27-8B15-1B944CD33E6C}" name="modelUnit_label" dataDxfId="139"/>
    <tableColumn id="10" xr3:uid="{5F1496AF-7FEE-4618-AAE6-2E8C8F5433BE}" name="modelUnitScale" dataDxfId="138"/>
    <tableColumn id="4" xr3:uid="{72573958-4C31-41E8-A620-C05E0EAD6C20}" name="modelRefYear" dataDxfId="137"/>
    <tableColumn id="14" xr3:uid="{24E03EC5-2F20-4779-B9C9-9AA4430B9341}" name="modelMaxOutput" dataDxfId="136"/>
    <tableColumn id="9" xr3:uid="{537B6620-4A1F-465E-B24B-88B4E9CB99EF}" name="modelMaxExtrap" dataDxfId="135"/>
  </tableColumns>
  <tableStyleInfo name="Table Sty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BCED586-17E1-4B5C-A781-976D1E5A11BF}" name="co_regions" displayName="co_regions" ref="B346:D353" totalsRowShown="0" headerRowDxfId="134" dataDxfId="133">
  <tableColumns count="3">
    <tableColumn id="1" xr3:uid="{18599272-3810-42BA-A220-485AFB1D6807}" name="row_id" dataDxfId="132">
      <calculatedColumnFormula xml:space="preserve"> ROW( co_regions[[#This Row],[row_id]] ) - ROW( co_regions[[#Headers],[row_id]] )</calculatedColumnFormula>
    </tableColumn>
    <tableColumn id="3" xr3:uid="{56B07D04-3458-4687-B04E-181849066DB3}" name="region_label" dataDxfId="131"/>
    <tableColumn id="5" xr3:uid="{FFA64F27-24E0-4D92-8E8A-6A4675CEB856}" name="region_id" dataDxfId="130">
      <calculatedColumnFormula xml:space="preserve"> SUBSTITUTE( co_regions[[#This Row],[region_label]], " ", "" )</calculatedColumnFormula>
    </tableColumn>
  </tableColumns>
  <tableStyleInfo name="Table Sty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29BCDB-B6F2-4FB9-B21C-6B30EFCFDCE7}" name="co_models" displayName="co_models" ref="B318:F332" totalsRowShown="0" headerRowDxfId="129" dataDxfId="128">
  <tableColumns count="5">
    <tableColumn id="1" xr3:uid="{BF1485BD-F9FE-4F5B-9D9F-D9CB3D918F44}" name="row_id" dataDxfId="127">
      <calculatedColumnFormula xml:space="preserve"> ROW( co_models[[#This Row],[row_id]] ) - ROW( co_models[[#Headers],[row_id]] )</calculatedColumnFormula>
    </tableColumn>
    <tableColumn id="2" xr3:uid="{A209304D-718C-45BB-922A-A83B3EC89858}" name="model_id" dataDxfId="126">
      <calculatedColumnFormula xml:space="preserve"> SUBSTITUTE( SUBSTITUTE( co_models[[#This Row],[model_label]], " ", "" ), "-", "" )</calculatedColumnFormula>
    </tableColumn>
    <tableColumn id="5" xr3:uid="{CBC70E09-D146-4CF4-911F-60EB221755C0}" name="maxUnitValue" dataDxfId="125"/>
    <tableColumn id="20" xr3:uid="{A1F83970-3B0E-4464-8376-1B37DBE20974}" name="modelType" dataDxfId="124"/>
    <tableColumn id="3" xr3:uid="{F9DE0808-4FD0-4FB6-9363-B580ED760D5C}" name="model_label" dataDxfId="123"/>
  </tableColumns>
  <tableStyleInfo name="Table Style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BBCD2EA-5DCC-406C-B109-DA7E04AF91C0}" name="co_impactYears" displayName="co_impactYears" ref="B55:F86" totalsRowShown="0" headerRowDxfId="122" dataDxfId="121">
  <autoFilter ref="B55:F86" xr:uid="{965CD6B2-887D-46C8-9D98-6C6AECBC7B1A}"/>
  <sortState xmlns:xlrd2="http://schemas.microsoft.com/office/spreadsheetml/2017/richdata2" ref="B56:F86">
    <sortCondition ref="C56:C86"/>
  </sortState>
  <tableColumns count="5">
    <tableColumn id="1" xr3:uid="{CDF8B6C0-3166-4A5F-954A-6DD921A48F0D}" name="row_id" dataDxfId="120" totalsRowDxfId="119">
      <calculatedColumnFormula xml:space="preserve"> ROW( co_impactYears[[#This Row],[row_id]] ) - ROW(co_impactYears[[#Headers],[row_id]] )</calculatedColumnFormula>
    </tableColumn>
    <tableColumn id="2" xr3:uid="{CE04D22F-F326-49F0-9B89-F7BBAC07F272}" name="sector_id" dataDxfId="118" totalsRowDxfId="117"/>
    <tableColumn id="4" xr3:uid="{D085A6D5-2B6A-46B4-9638-D837648BB08B}" name="NA" dataDxfId="116" totalsRowDxfId="115"/>
    <tableColumn id="5" xr3:uid="{EB302892-BCFD-4CA5-B470-8D81C8E73DDE}" name="2010" dataDxfId="114" totalsRowDxfId="113"/>
    <tableColumn id="6" xr3:uid="{FADA0A2C-2C06-4E27-9064-B329CB26787D}" name="2090" dataDxfId="112" totalsRowDxfId="111"/>
  </tableColumns>
  <tableStyleInfo name="Table Style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AD307D6-4C07-4313-AAAB-5A0F25B0CD27}" name="co_impactTypes" displayName="co_impactTypes" ref="B151:P215" totalsRowShown="0" headerRowDxfId="110" dataDxfId="109">
  <autoFilter ref="B151:P215" xr:uid="{E446364F-959A-4BFF-80B5-CD65050C4865}"/>
  <sortState xmlns:xlrd2="http://schemas.microsoft.com/office/spreadsheetml/2017/richdata2" ref="B152:P215">
    <sortCondition ref="C152:C215"/>
    <sortCondition ref="D152:D215"/>
  </sortState>
  <tableColumns count="15">
    <tableColumn id="1" xr3:uid="{3C0C87EC-3301-4189-A438-330FBC0C23CE}" name="row_id" dataDxfId="108">
      <calculatedColumnFormula xml:space="preserve"> ROW( co_impactTypes[[#This Row],[row_id]] ) - ROW(co_impactTypes[[#Headers],[row_id]] )</calculatedColumnFormula>
    </tableColumn>
    <tableColumn id="5" xr3:uid="{695E7B0A-9CCF-4B48-8FB4-7B2C8AC23CA2}" name="sector_id" dataDxfId="107"/>
    <tableColumn id="3" xr3:uid="{AC7D2590-5F6F-4E8A-8395-3ACC925DD65E}" name="impactType_label" dataDxfId="106"/>
    <tableColumn id="2" xr3:uid="{389F4E81-E357-4437-B986-87606739FD52}" name="impactType_id" dataDxfId="105"/>
    <tableColumn id="7" xr3:uid="{252ECC08-A081-4155-A2E4-6E6953775245}" name="impactType_description" dataDxfId="104"/>
    <tableColumn id="18" xr3:uid="{20E67458-91EF-4192-9F05-0BEE3F89945B}" name="physicalmeasure" dataDxfId="103"/>
    <tableColumn id="6" xr3:uid="{3CFD45D4-B79B-4F80-92FC-337937E46944}" name="physScalarName" dataDxfId="102"/>
    <tableColumn id="9" xr3:uid="{40E9B945-11EE-47C9-B5D8-A41A8FC63734}" name="physAdjName" dataDxfId="101"/>
    <tableColumn id="16" xr3:uid="{5C5AE37A-2086-491F-BF3C-F22CC928E516}" name="damageAdjName" dataDxfId="100"/>
    <tableColumn id="10" xr3:uid="{2A5B466E-A990-49E9-92E3-0103059D4863}" name="econScalarName" dataDxfId="99"/>
    <tableColumn id="11" xr3:uid="{74F77DB7-A970-4C19-A8F9-04E79FC664FD}" name="econMultiplierName" dataDxfId="98"/>
    <tableColumn id="12" xr3:uid="{DA200B1A-95FB-4000-933E-BC048A1E0631}" name="c0" dataDxfId="97"/>
    <tableColumn id="13" xr3:uid="{F6CED4C7-F96B-4766-BD90-7B52A49FAABA}" name="c1" dataDxfId="96"/>
    <tableColumn id="14" xr3:uid="{E36983CA-3DF1-4DD8-A727-E60C1D905346}" name="exp0" dataDxfId="95"/>
    <tableColumn id="15" xr3:uid="{861014FE-4437-4D17-8CED-BC8B72417DD9}" name="year0" dataDxfId="94">
      <calculatedColumnFormula xml:space="preserve"> IF(co_impactTypes[[#This Row],[econMultiplierName]]="None", "N/A", 2010)</calculatedColumnFormula>
    </tableColumn>
  </tableColumns>
  <tableStyleInfo name="Table Style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F79E836-A486-4549-B875-6F873C0BCABB}" name="co_scalarInfo" displayName="co_scalarInfo" ref="B220:J283" totalsRowShown="0" headerRowDxfId="93" dataDxfId="92">
  <autoFilter ref="B220:J283" xr:uid="{7F79E836-A486-4549-B875-6F873C0BCABB}"/>
  <sortState xmlns:xlrd2="http://schemas.microsoft.com/office/spreadsheetml/2017/richdata2" ref="B221:J267">
    <sortCondition ref="E226:E267"/>
    <sortCondition ref="C226:C267"/>
  </sortState>
  <tableColumns count="9">
    <tableColumn id="1" xr3:uid="{B5AB138C-E49F-456B-8F7B-6A701BD94314}" name="row_id" dataDxfId="91">
      <calculatedColumnFormula xml:space="preserve"> ROW( co_scalarInfo[[#This Row],[row_id]] ) - ROW( co_scalarInfo[[#Headers],[row_id]] )</calculatedColumnFormula>
    </tableColumn>
    <tableColumn id="4" xr3:uid="{057C556C-4A5B-41BF-9EA5-CD5D06EC20A3}" name="scalarName" dataDxfId="90"/>
    <tableColumn id="2" xr3:uid="{11586BC8-9866-411F-AFB1-B54CDBE58BC8}" name="scalarLabel" dataDxfId="89"/>
    <tableColumn id="3" xr3:uid="{59273865-10D7-4E58-A34B-98B12FD27367}" name="scalarType" dataDxfId="88"/>
    <tableColumn id="6" xr3:uid="{44722630-DE32-4127-9D36-E5716D7B6FB1}" name="constant_or_dynamic" dataDxfId="87"/>
    <tableColumn id="7" xr3:uid="{06B55EB3-A830-4A09-BCEF-732F610DB775}" name="national_or_regional" dataDxfId="86"/>
    <tableColumn id="12" xr3:uid="{DA5FA732-C673-49CC-B393-EEDF239C5944}" name="valueYear" dataDxfId="85"/>
    <tableColumn id="9" xr3:uid="{072DFA28-3A99-48D9-9F87-0B9663CC8EBE}" name="dataType" dataDxfId="84"/>
    <tableColumn id="8" xr3:uid="{083C27B7-8723-4638-8D25-C880E916AEB0}" name="notes" dataDxfId="83"/>
  </tableColumns>
  <tableStyleInfo name="Table Style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2C1689B-D9D6-412A-917F-C64CA7854F7C}" name="co_constants" displayName="co_constants" ref="B296:D299" totalsRowShown="0" headerRowDxfId="82" dataDxfId="81">
  <tableColumns count="3">
    <tableColumn id="1" xr3:uid="{D7815580-A46D-4035-AF95-6DFB7EDC1C86}" name="row_id" dataDxfId="80">
      <calculatedColumnFormula xml:space="preserve"> ROW( co_constants[[#This Row],[row_id]] ) - ROW( co_constants[[#Headers],[row_id]] )</calculatedColumnFormula>
    </tableColumn>
    <tableColumn id="4" xr3:uid="{7CEFD3F0-E79C-4BEE-B910-4D600E302386}" name="constant" dataDxfId="79"/>
    <tableColumn id="3" xr3:uid="{DB7DDBBB-C95A-4211-819C-B05A5C2E7319}" name="value" dataDxfId="78" dataCellStyle="Comma"/>
  </tableColumns>
  <tableStyleInfo name="Table Style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C2AD6E-F129-4852-8BB5-5A249C234872}" name="co_variants" displayName="co_variants" ref="B92:I147" totalsRowShown="0" headerRowDxfId="77" dataDxfId="76">
  <sortState xmlns:xlrd2="http://schemas.microsoft.com/office/spreadsheetml/2017/richdata2" ref="B93:I147">
    <sortCondition ref="C93:C147"/>
  </sortState>
  <tableColumns count="8">
    <tableColumn id="1" xr3:uid="{1BCFA006-CF85-4F3A-AC79-60916A48ED39}" name="row_id" dataDxfId="75" totalsRowDxfId="74">
      <calculatedColumnFormula xml:space="preserve"> ROW( co_variants[[#This Row],[row_id]] ) - ROW( co_variants[[#Headers],[row_id]] )</calculatedColumnFormula>
    </tableColumn>
    <tableColumn id="18" xr3:uid="{11CBE921-72AF-48C1-82DE-27D30284B810}" name="sector_id" dataDxfId="73" totalsRowDxfId="72"/>
    <tableColumn id="3" xr3:uid="{1A31D87B-CDD5-4D8C-A4C9-8892B2B2C1E8}" name="variant_label" dataDxfId="71" totalsRowDxfId="70"/>
    <tableColumn id="4" xr3:uid="{BD980D22-60C8-4EA5-878C-1F6646D73814}" name="variant_id" dataDxfId="69" totalsRowDxfId="68"/>
    <tableColumn id="7" xr3:uid="{77C8D2EF-4466-45BD-90C6-9DB11F371760}" name="sectorprimary" dataDxfId="67" totalsRowDxfId="66"/>
    <tableColumn id="6" xr3:uid="{677E6396-DB82-43C2-B1C8-9CF8A385BC06}" name="includeaggregate" dataDxfId="65" totalsRowDxfId="64"/>
    <tableColumn id="19" xr3:uid="{C16D6C81-A98D-4F3D-B812-6AFD7158219C}" name="damageAdjName" dataDxfId="63" totalsRowDxfId="62">
      <calculatedColumnFormula xml:space="preserve"> INDEX( co_impactTypes[damageAdjName], MATCH( co_variants[[#This Row],[sector_id]], co_impactTypes[sector_id], 0 ) ) &amp;
   IF( OR(co_variants[[#This Row],[sector_id]] = "Roads", co_variants[[#This Row],[sector_id]] = "ForestryLoss"),"_" &amp; co_variants[[#This Row],[variant_id]], "" )</calculatedColumnFormula>
    </tableColumn>
    <tableColumn id="8" xr3:uid="{DBDAE92A-E63D-41B7-BD88-AE325DF1F4FE}" name="hasImpacts" dataDxfId="61">
      <calculatedColumnFormula array="1" xml:space="preserve"> --( SUMPRODUCT( --( co_impactTypes[sector_id] = co_variants[[#This Row],[sector_id]] ) ) &gt;= 1 )</calculatedColumnFormula>
    </tableColumn>
  </tableColumns>
  <tableStyleInfo name="Table Style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208A9D-6726-48D1-84E7-1F3146AFFCB6}" name="co_econMultipliers" displayName="co_econMultipliers" ref="B288:E291" totalsRowShown="0" headerRowDxfId="60" dataDxfId="59">
  <tableColumns count="4">
    <tableColumn id="1" xr3:uid="{B5687CDE-96CA-4DF3-A45A-B2EDE1CC9A93}" name="row_id" dataDxfId="58">
      <calculatedColumnFormula xml:space="preserve"> ROW( co_econMultipliers[[#This Row],[row_id]] ) - ROW( co_econMultipliers[[#Headers],[row_id]] )</calculatedColumnFormula>
    </tableColumn>
    <tableColumn id="4" xr3:uid="{76AF9F40-EEBA-4ABF-82CC-7580151C94E2}" name="econMultiplierName" dataDxfId="57"/>
    <tableColumn id="3" xr3:uid="{BB4C0E23-5864-41DA-8215-7C526A80B49B}" name="econMultiplierDescription" dataDxfId="56"/>
    <tableColumn id="2" xr3:uid="{013806BA-C4E3-46FD-AD7B-D198CFA696CD}" name="valueYear" dataDxfId="55"/>
  </tableColumns>
  <tableStyleInfo name="Table Style 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0989828-E88F-4E7D-9FFC-173F0C723DE9}" name="co_inputInfo" displayName="co_inputInfo" ref="B337:J341" totalsRowShown="0" headerRowDxfId="54" dataDxfId="53">
  <tableColumns count="9">
    <tableColumn id="1" xr3:uid="{66AD6D28-7A41-4AD2-93FD-110433F1C5A5}" name="row_id" dataDxfId="52">
      <calculatedColumnFormula xml:space="preserve"> ROW( co_inputInfo[[#This Row],[row_id]] ) - ROW( co_inputInfo[[#Headers],[row_id]] )</calculatedColumnFormula>
    </tableColumn>
    <tableColumn id="4" xr3:uid="{45198473-3D48-41CD-B663-D0AF13813C66}" name="inputName" dataDxfId="51"/>
    <tableColumn id="3" xr3:uid="{E3847F4D-6384-49D5-8156-9EC8E8221B62}" name="inputType" dataDxfId="50"/>
    <tableColumn id="5" xr3:uid="{98CB64F8-23F0-4402-9CE1-03695A07036B}" name="inputDesc" dataDxfId="49"/>
    <tableColumn id="2" xr3:uid="{F9249B62-F8E8-46B3-88F1-E8E0903FDD4A}" name="inputUnit" dataDxfId="48"/>
    <tableColumn id="6" xr3:uid="{48BBD66A-C5AD-477C-84C9-E5FFE0D43B87}" name="inputMin" dataDxfId="47"/>
    <tableColumn id="7" xr3:uid="{05D78FF1-5FB5-4CB5-AB55-8F3089B354DC}" name="inputMax" dataDxfId="46">
      <calculatedColumnFormula xml:space="preserve"> IF( ISNA( MATCH( co_inputInfo[[#This Row],[inputType]], co_modelTypes[inputName], 0 ) ), "", INDEX( co_modelTypes[modelMaxExtrap], MATCH( co_inputInfo[[#This Row],[inputType]], co_modelTypes[inputName], 0 ) ) )</calculatedColumnFormula>
    </tableColumn>
    <tableColumn id="8" xr3:uid="{1C94F8DC-2CA2-47FD-A5E1-761F8E67704A}" name="valueCol" dataDxfId="45"/>
    <tableColumn id="9" xr3:uid="{AAA49909-67E1-4978-90ED-573C388A520B}" name="region" dataDxfId="44"/>
  </tableColumns>
  <tableStyleInfo name="Table Style 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60FF6F7-3417-4AB0-990E-0C31BC977851}" name="co_states" displayName="co_states" ref="B358:F407" totalsRowShown="0" headerRowDxfId="43">
  <autoFilter ref="B358:F407" xr:uid="{260FF6F7-3417-4AB0-990E-0C31BC977851}"/>
  <tableColumns count="5">
    <tableColumn id="1" xr3:uid="{B802A69B-2E07-40A2-ADE9-DCABCB2E04A6}" name="row_id" dataDxfId="42">
      <calculatedColumnFormula xml:space="preserve"> ROW( co_states[[#This Row],[row_id]] ) - ROW( co_states[[#Headers],[row_id]] )</calculatedColumnFormula>
    </tableColumn>
    <tableColumn id="2" xr3:uid="{5B715195-2EAE-439A-84CF-1C26F65065E0}" name="state" dataDxfId="41"/>
    <tableColumn id="3" xr3:uid="{42CA1BFA-BDCF-464B-91DB-4C9663461C1C}" name="postal" dataDxfId="40"/>
    <tableColumn id="4" xr3:uid="{F4F2D0D4-82EF-41DF-B43B-E23CB36CF080}" name="region" dataDxfId="39"/>
    <tableColumn id="5" xr3:uid="{5807F5A8-31A9-4CC5-8FA0-243CB9917CD4}" name="fips" dataDxfId="38"/>
  </tableColumns>
  <tableStyleInfo name="Table Style 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A7C1084-4BD5-408B-BBB5-2FC0F198D7F4}" name="co_slrScalars" displayName="co_slrScalars" ref="B305:J307" totalsRowShown="0" headerRowDxfId="37" dataDxfId="36">
  <tableColumns count="9">
    <tableColumn id="1" xr3:uid="{39608CCF-EBE2-4EFA-BA66-990DD890C7D3}" name="row_id" dataDxfId="35">
      <calculatedColumnFormula xml:space="preserve"> ROW( co_slrScalars[[#This Row],[row_id]] ) - ROW( co_slrScalars[[#Headers],[row_id]] )</calculatedColumnFormula>
    </tableColumn>
    <tableColumn id="3" xr3:uid="{24491F20-89B9-4A6B-A87E-CDB3D398E1DA}" name="sector" dataDxfId="34"/>
    <tableColumn id="5" xr3:uid="{6AB21964-D6DD-4BA3-BDFD-E851D5F956FF}" name="impactType"/>
    <tableColumn id="2" xr3:uid="{60DDD337-313C-431F-83CE-788A259B2B14}" name="physScalarName" dataDxfId="33"/>
    <tableColumn id="6" xr3:uid="{AB34CD40-6627-470D-9B2F-2360E9A41A63}" name="econMultiplierName" dataDxfId="32"/>
    <tableColumn id="7" xr3:uid="{774FF8C9-540D-4647-BB5C-0F27D92917EB}" name="c1" dataDxfId="31"/>
    <tableColumn id="8" xr3:uid="{6D77C177-ACD8-474A-9CEF-58627396E0D5}" name="exp0" dataDxfId="30"/>
    <tableColumn id="9" xr3:uid="{45D5B794-1A45-47DA-8A77-45C881CC1B29}" name="c2" dataDxfId="29"/>
    <tableColumn id="4" xr3:uid="{07C4CFF2-DEE6-4176-813C-12CE016805C3}" name="refYear" dataDxfId="28"/>
  </tableColumns>
  <tableStyleInfo name="Table Style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D47D4A9-4D0B-4BD8-9445-F4282AA644C2}" name="Readme_adaptations" displayName="Readme_adaptations" ref="B9:E15" totalsRowShown="0">
  <autoFilter ref="B9:E15" xr:uid="{0D47D4A9-4D0B-4BD8-9445-F4282AA644C2}"/>
  <tableColumns count="4">
    <tableColumn id="1" xr3:uid="{F4BD4BA2-1D8F-424B-9A8C-E20589922BC9}" name="row_id" dataDxfId="27">
      <calculatedColumnFormula xml:space="preserve"> ROW( Readme_adaptations[[#This Row],[row_id]] ) - ROW( Readme_adaptations[[#Headers],[row_id]] )</calculatedColumnFormula>
    </tableColumn>
    <tableColumn id="4" xr3:uid="{8F8CD713-0ECF-4957-8E94-F3FC5C746031}" name="sector_id" dataDxfId="26"/>
    <tableColumn id="2" xr3:uid="{13712644-0D89-49D5-9571-32BD03BF1BD3}" name="adapt_id"/>
    <tableColumn id="3" xr3:uid="{B89736B7-3040-4F82-B2CC-EB15F47F50B3}" name="adapt_label"/>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8C7AF19-DB28-47F8-BE56-AE985DF1009B}" name="Readme_sectors" displayName="Readme_sectors" ref="B3:F5" totalsRowShown="0" headerRowDxfId="25" dataDxfId="24">
  <autoFilter ref="B3:F5" xr:uid="{58C7AF19-DB28-47F8-BE56-AE985DF1009B}"/>
  <tableColumns count="5">
    <tableColumn id="1" xr3:uid="{055BC283-B8DC-4F37-B787-CE15D79337AE}" name="row_id" dataDxfId="23">
      <calculatedColumnFormula xml:space="preserve"> ROW( Readme_sectors[[#This Row],[row_id]] ) - ROW( Readme_sectors[[#Headers],[row_id]] )</calculatedColumnFormula>
    </tableColumn>
    <tableColumn id="4" xr3:uid="{F1DE1E87-7416-4EC2-83F4-443E818D69E2}" name="sector_id" dataDxfId="22"/>
    <tableColumn id="2" xr3:uid="{69F42C58-EA29-416E-A03E-490DCD1DAC6F}" name="adapt_id" dataDxfId="21"/>
    <tableColumn id="3" xr3:uid="{995768DD-996C-4A25-A331-EA651CF80A08}" name="adapt_label" dataDxfId="20"/>
    <tableColumn id="5" xr3:uid="{B607221E-C635-413E-A992-7E4B369F50F2}" name="Description" dataDxfId="19"/>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F872F1E-6955-405B-B61A-5AA538BA1B9E}" name="testDev" displayName="testDev" ref="B3:E28" totalsRowShown="0" headerRowDxfId="18" dataDxfId="17">
  <autoFilter ref="B3:E28" xr:uid="{EF872F1E-6955-405B-B61A-5AA538BA1B9E}"/>
  <sortState xmlns:xlrd2="http://schemas.microsoft.com/office/spreadsheetml/2017/richdata2" ref="B4:E6">
    <sortCondition descending="1" ref="D4:D6"/>
    <sortCondition ref="E4:E6"/>
    <sortCondition ref="C4:C6"/>
  </sortState>
  <tableColumns count="4">
    <tableColumn id="1" xr3:uid="{F4105D57-2925-402A-AD59-A6C04C18DAF5}" name="row_id" dataDxfId="16">
      <calculatedColumnFormula xml:space="preserve"> ROW( testDev[[#This Row],[row_id]] ) - ROW(testDev[[#Headers],[row_id]] )</calculatedColumnFormula>
    </tableColumn>
    <tableColumn id="2" xr3:uid="{724C3667-B22B-4E0E-A26D-84EB27DA32DC}" name="Table Name" dataDxfId="15"/>
    <tableColumn id="8" xr3:uid="{2DE33227-E2C9-4F8F-BDC2-7C7EB619B32B}" name="Changes if new sector added" dataDxfId="14"/>
    <tableColumn id="3" xr3:uid="{91AE5770-239D-41B2-B469-E73127600B2A}" name="New sector changes" dataDxfId="13"/>
  </tableColumns>
  <tableStyleInfo name="Table Style 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F6E1C40-0D2A-408F-87EE-36A6B84C2F85}" name="slr_cm" displayName="slr_cm" ref="A1:I102" totalsRowShown="0">
  <autoFilter ref="A1:I102" xr:uid="{1F6E1C40-0D2A-408F-87EE-36A6B84C2F85}"/>
  <tableColumns count="9">
    <tableColumn id="9" xr3:uid="{F80AE68D-CB1F-4EA7-B8F9-94BBA2F3B4C7}" name="row_id" dataDxfId="12">
      <calculatedColumnFormula xml:space="preserve"> ROW( slr_cm[[#This Row],[row_id]] ) - ROW( slr_cm[[#Headers],[row_id]] )</calculatedColumnFormula>
    </tableColumn>
    <tableColumn id="1" xr3:uid="{FA4EDD13-4E7E-45A3-BAE3-E9197F3C6F46}" name="year" dataDxfId="11"/>
    <tableColumn id="2" xr3:uid="{8C03079C-35A7-401C-8DAF-080D8590CAF6}" name="0cm" dataDxfId="10"/>
    <tableColumn id="8" xr3:uid="{BF06645C-1E6B-49DC-BFF3-41DC055BA794}" name="30cm" dataDxfId="9"/>
    <tableColumn id="7" xr3:uid="{A579CC42-A3A8-4F15-AA9F-71AF71D9FC92}" name="50cm" dataDxfId="8"/>
    <tableColumn id="6" xr3:uid="{3B78BF10-85AF-4256-B6E0-8C448D28F844}" name="100cm" dataDxfId="7"/>
    <tableColumn id="5" xr3:uid="{B9B22AB8-C0E3-43FA-8E5B-D07A4AB2C538}" name="150cm" dataDxfId="6"/>
    <tableColumn id="4" xr3:uid="{763A0097-0CCB-4D1D-A0D6-FDF4FE810AFE}" name="200cm" dataDxfId="5"/>
    <tableColumn id="3" xr3:uid="{FB0A96A9-E5BF-4003-9D05-D514A5B55CB9}" name="250cm" dataDxfId="4"/>
  </tableColumns>
  <tableStyleInfo name="Table Style 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 dT="2020-12-02T16:07:31.92" personId="{00000000-0000-0000-0000-000000000000}" id="{CA6ADEB5-11BE-4132-A47A-25C518BB628C}">
    <text>Last row to import</text>
  </threadedComment>
  <threadedComment ref="J3" dT="2021-01-25T18:15:12.77" personId="{00000000-0000-0000-0000-000000000000}" id="{CF09B496-89B2-4E5E-8028-11313809749B}">
    <text>column index for the row id</text>
  </threadedComment>
  <threadedComment ref="K3" dT="2021-01-25T18:15:27.55" personId="{00000000-0000-0000-0000-000000000000}" id="{548015E0-C233-447D-B530-1C0B3C21F640}">
    <text>column index for the last column</text>
  </threadedComment>
  <threadedComment ref="L3" dT="2020-12-02T16:12:27.85" personId="{00000000-0000-0000-0000-000000000000}" id="{EF28D3A0-EE92-45D0-B99E-D3E043085B5F}">
    <text>Total number of table columns, including the row index</text>
  </threadedComment>
  <threadedComment ref="M3" dT="2020-11-24T20:55:43.68" personId="{00000000-0000-0000-0000-000000000000}" id="{F3CD5873-CE76-472C-A04C-257704E0D773}">
    <text>Which columns to exclude (relative to id_colIndex)</text>
  </threadedComment>
</ThreadedComments>
</file>

<file path=xl/threadedComments/threadedComment2.xml><?xml version="1.0" encoding="utf-8"?>
<ThreadedComments xmlns="http://schemas.microsoft.com/office/spreadsheetml/2018/threadedcomments" xmlns:x="http://schemas.openxmlformats.org/spreadsheetml/2006/main">
  <threadedComment ref="E20" dT="2021-04-02T15:07:48.34" personId="{00000000-0000-0000-0000-000000000000}" id="{B1227AEC-55F2-4D4B-9D62-D8081C156293}">
    <text>Boolean field -- indicates if sector is included in run of R script.</text>
  </threadedComment>
  <threadedComment ref="J20" dT="2021-04-02T15:08:18.98" personId="{00000000-0000-0000-0000-000000000000}" id="{492F094F-8801-4499-80C3-4610B2EB4C3B}">
    <text>Boolean field -- indicates if sector has 2010 and 2090 impact esimates. Corresponds to impact year table below.</text>
  </threadedComment>
  <threadedComment ref="D55" dT="2021-01-25T18:27:33.65" personId="{00000000-0000-0000-0000-000000000000}" id="{40274E0A-9A04-480D-A5E8-2C38F8B3CAD3}">
    <text>Empty values are replaced with "NA" in the R tool.</text>
  </threadedComment>
  <threadedComment ref="E92" dT="2022-09-13T14:35:47.65" personId="{00000000-0000-0000-0000-000000000000}" id="{61FF9366-C253-4143-8900-DE7FDB924463}">
    <text>No spaces in this ID!</text>
  </threadedComment>
  <threadedComment ref="F92" dT="2021-04-02T15:18:13.84" personId="{00000000-0000-0000-0000-000000000000}" id="{7C7D377F-2B53-48B7-807A-23CFCBC48B83}">
    <text>For sectors with multiple variants, one variant is considered the "primary" variant -- e.g., as used in when aggregating across sectors.</text>
  </threadedComment>
  <threadedComment ref="G92" dT="2021-04-02T15:33:36.18" personId="{00000000-0000-0000-0000-000000000000}" id="{3962DDEC-520D-4477-AB4D-6A758B04F9CC}">
    <text>Numeric field -- indicates whether a sector should be included when aggregating over sectors. Sectors with a flag &gt;= 1 are generally included in aggregation. Flags &gt; 1 may have different treatments</text>
  </threadedComment>
  <threadedComment ref="H175" dT="2021-04-29T18:53:19.81" personId="{00000000-0000-0000-0000-000000000000}" id="{B944EC01-36D0-40EC-99E6-BA8270B055AE}">
    <text>May add a physical scalar in the future - total regional property value</text>
  </threadedComment>
  <threadedComment ref="H175" dT="2021-04-29T18:53:45.21" personId="{00000000-0000-0000-0000-000000000000}" id="{D0F6E8CF-0610-4E7B-8A56-BC47CE157016}" parentId="{B944EC01-36D0-40EC-99E6-BA8270B055AE}">
    <text>For now keeping it without, for consistency with coastal properties</text>
  </threadedComment>
  <threadedComment ref="F220" dT="2021-04-02T15:36:58.50" personId="{00000000-0000-0000-0000-000000000000}" id="{EF83C059-A623-47AC-AFC4-40246F6AF9B2}">
    <text>This field tracks whether the input scalar is a time series of scalars, or a single input used to calculate a trajectory of the scalar in R. "Dynamic" scalars are a full series; "constant" are a single value from which a series is calculated in the R script.</text>
  </threadedComment>
  <threadedComment ref="J311" dT="2021-02-11T17:01:11.40" personId="{00000000-0000-0000-0000-000000000000}" id="{74E8C379-DF77-4FAE-8C13-4D0000C68271}">
    <text>Year when change and impacts are zero</text>
  </threadedComment>
  <threadedComment ref="L311" dT="2021-02-15T18:58:52.31" personId="{00000000-0000-0000-0000-000000000000}" id="{984021BA-DD3F-4758-AAFF-698CBFB1E97F}">
    <text>Maximum value to extrapolate to, for models that go up to the maximum output value.</text>
  </threadedComment>
  <threadedComment ref="D318" dT="2023-12-08T22:41:08.83" personId="{00000000-0000-0000-0000-000000000000}" id="{A0D64BDD-1681-4C8F-9929-C1898D0603B0}">
    <text>Max extrapolation temperature</text>
  </threadedComment>
  <threadedComment ref="J337" dT="2021-03-30T17:10:38.36" personId="{00000000-0000-0000-0000-000000000000}" id="{A5816E78-F7FA-40E3-ACC3-4CDB677E4DA9}">
    <text>Whether region is a dimension of the input</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microsoft.com/office/2017/10/relationships/threadedComment" Target="../threadedComments/threadedComment2.xml"/><Relationship Id="rId2" Type="http://schemas.openxmlformats.org/officeDocument/2006/relationships/vmlDrawing" Target="../drawings/vmlDrawing2.vml"/><Relationship Id="rId16" Type="http://schemas.openxmlformats.org/officeDocument/2006/relationships/comments" Target="../comments2.xml"/><Relationship Id="rId1" Type="http://schemas.openxmlformats.org/officeDocument/2006/relationships/printerSettings" Target="../printerSettings/printerSettings3.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9DCCD-31D5-4E57-B847-7CAFC2742EA8}">
  <sheetPr>
    <outlinePr summaryBelow="0"/>
  </sheetPr>
  <dimension ref="B9:C51"/>
  <sheetViews>
    <sheetView workbookViewId="0">
      <selection activeCell="C7" sqref="C7"/>
    </sheetView>
  </sheetViews>
  <sheetFormatPr defaultRowHeight="15" outlineLevelRow="1" x14ac:dyDescent="0.25"/>
  <cols>
    <col min="2" max="2" width="15.140625" bestFit="1" customWidth="1"/>
    <col min="3" max="3" width="137.28515625" customWidth="1"/>
  </cols>
  <sheetData>
    <row r="9" spans="2:3" x14ac:dyDescent="0.25">
      <c r="B9" s="56" t="s">
        <v>74</v>
      </c>
      <c r="C9" s="56" t="s">
        <v>305</v>
      </c>
    </row>
    <row r="10" spans="2:3" ht="29.25" customHeight="1" x14ac:dyDescent="0.25">
      <c r="B10" s="78" t="s">
        <v>79</v>
      </c>
      <c r="C10" s="55" t="s">
        <v>308</v>
      </c>
    </row>
    <row r="11" spans="2:3" ht="32.25" customHeight="1" x14ac:dyDescent="0.25">
      <c r="B11" s="79" t="s">
        <v>225</v>
      </c>
      <c r="C11" s="77" t="s">
        <v>311</v>
      </c>
    </row>
    <row r="12" spans="2:3" ht="15" customHeight="1" collapsed="1" x14ac:dyDescent="0.25">
      <c r="B12" s="78" t="s">
        <v>153</v>
      </c>
      <c r="C12" s="55" t="s">
        <v>307</v>
      </c>
    </row>
    <row r="13" spans="2:3" ht="15" hidden="1" customHeight="1" outlineLevel="1" collapsed="1" x14ac:dyDescent="0.25">
      <c r="B13" s="78"/>
      <c r="C13" s="57" t="s">
        <v>306</v>
      </c>
    </row>
    <row r="14" spans="2:3" ht="15" hidden="1" customHeight="1" outlineLevel="1" x14ac:dyDescent="0.25">
      <c r="B14" s="79"/>
      <c r="C14" s="54" t="s">
        <v>114</v>
      </c>
    </row>
    <row r="15" spans="2:3" ht="15" hidden="1" customHeight="1" outlineLevel="1" x14ac:dyDescent="0.25">
      <c r="B15" s="79"/>
      <c r="C15" t="s">
        <v>68</v>
      </c>
    </row>
    <row r="16" spans="2:3" ht="45" hidden="1" customHeight="1" outlineLevel="1" x14ac:dyDescent="0.25">
      <c r="B16" s="79"/>
      <c r="C16" s="54" t="s">
        <v>146</v>
      </c>
    </row>
    <row r="17" spans="2:3" ht="45" hidden="1" customHeight="1" outlineLevel="1" x14ac:dyDescent="0.25">
      <c r="B17" s="79"/>
      <c r="C17" t="s">
        <v>170</v>
      </c>
    </row>
    <row r="18" spans="2:3" ht="45" hidden="1" customHeight="1" outlineLevel="1" x14ac:dyDescent="0.25">
      <c r="B18" s="79"/>
      <c r="C18" s="54" t="s">
        <v>147</v>
      </c>
    </row>
    <row r="19" spans="2:3" ht="45" hidden="1" customHeight="1" outlineLevel="1" x14ac:dyDescent="0.25">
      <c r="B19" s="79"/>
      <c r="C19" t="s">
        <v>148</v>
      </c>
    </row>
    <row r="20" spans="2:3" ht="45" hidden="1" customHeight="1" outlineLevel="1" x14ac:dyDescent="0.25">
      <c r="B20" s="79"/>
      <c r="C20" s="54" t="s">
        <v>204</v>
      </c>
    </row>
    <row r="21" spans="2:3" ht="45" hidden="1" customHeight="1" outlineLevel="1" x14ac:dyDescent="0.25">
      <c r="B21" s="79"/>
      <c r="C21" t="s">
        <v>149</v>
      </c>
    </row>
    <row r="22" spans="2:3" ht="45" hidden="1" customHeight="1" outlineLevel="1" x14ac:dyDescent="0.25">
      <c r="B22" s="79"/>
      <c r="C22" s="54" t="s">
        <v>150</v>
      </c>
    </row>
    <row r="23" spans="2:3" ht="45" hidden="1" customHeight="1" outlineLevel="1" x14ac:dyDescent="0.25">
      <c r="B23" s="79"/>
      <c r="C23" t="s">
        <v>205</v>
      </c>
    </row>
    <row r="24" spans="2:3" ht="45" hidden="1" customHeight="1" outlineLevel="1" x14ac:dyDescent="0.25">
      <c r="B24" s="79"/>
      <c r="C24" s="54" t="s">
        <v>151</v>
      </c>
    </row>
    <row r="25" spans="2:3" ht="30.75" customHeight="1" collapsed="1" x14ac:dyDescent="0.25">
      <c r="B25" s="79" t="s">
        <v>158</v>
      </c>
      <c r="C25" s="8" t="s">
        <v>310</v>
      </c>
    </row>
    <row r="26" spans="2:3" ht="15" hidden="1" customHeight="1" outlineLevel="1" collapsed="1" x14ac:dyDescent="0.25">
      <c r="B26" s="79"/>
      <c r="C26" s="57" t="s">
        <v>306</v>
      </c>
    </row>
    <row r="27" spans="2:3" ht="15" hidden="1" customHeight="1" outlineLevel="1" x14ac:dyDescent="0.25">
      <c r="B27" s="79"/>
      <c r="C27" s="54" t="s">
        <v>114</v>
      </c>
    </row>
    <row r="28" spans="2:3" ht="15" hidden="1" customHeight="1" outlineLevel="1" x14ac:dyDescent="0.25">
      <c r="B28" s="79"/>
      <c r="C28" t="s">
        <v>139</v>
      </c>
    </row>
    <row r="29" spans="2:3" ht="15" hidden="1" customHeight="1" outlineLevel="1" x14ac:dyDescent="0.25">
      <c r="B29" s="79"/>
      <c r="C29" s="54" t="s">
        <v>85</v>
      </c>
    </row>
    <row r="30" spans="2:3" ht="15" hidden="1" customHeight="1" outlineLevel="1" x14ac:dyDescent="0.25">
      <c r="B30" s="79"/>
      <c r="C30" t="s">
        <v>86</v>
      </c>
    </row>
    <row r="31" spans="2:3" ht="15" hidden="1" customHeight="1" outlineLevel="1" x14ac:dyDescent="0.25">
      <c r="B31" s="79"/>
      <c r="C31" s="54" t="s">
        <v>55</v>
      </c>
    </row>
    <row r="32" spans="2:3" ht="15" hidden="1" customHeight="1" outlineLevel="1" x14ac:dyDescent="0.25">
      <c r="B32" s="79"/>
      <c r="C32" t="s">
        <v>68</v>
      </c>
    </row>
    <row r="33" spans="2:3" ht="15" hidden="1" customHeight="1" outlineLevel="1" x14ac:dyDescent="0.25">
      <c r="B33" s="79"/>
      <c r="C33" s="58" t="s">
        <v>87</v>
      </c>
    </row>
    <row r="34" spans="2:3" ht="31.5" customHeight="1" collapsed="1" x14ac:dyDescent="0.25">
      <c r="B34" s="78" t="s">
        <v>209</v>
      </c>
      <c r="C34" s="55" t="s">
        <v>309</v>
      </c>
    </row>
    <row r="35" spans="2:3" hidden="1" outlineLevel="1" collapsed="1" x14ac:dyDescent="0.25">
      <c r="B35" s="54"/>
      <c r="C35" s="57" t="s">
        <v>306</v>
      </c>
    </row>
    <row r="36" spans="2:3" hidden="1" outlineLevel="1" x14ac:dyDescent="0.25">
      <c r="C36" s="54" t="s">
        <v>114</v>
      </c>
    </row>
    <row r="37" spans="2:3" hidden="1" outlineLevel="1" x14ac:dyDescent="0.25">
      <c r="C37" t="s">
        <v>71</v>
      </c>
    </row>
    <row r="38" spans="2:3" hidden="1" outlineLevel="1" x14ac:dyDescent="0.25">
      <c r="C38" s="54" t="s">
        <v>183</v>
      </c>
    </row>
    <row r="39" spans="2:3" hidden="1" outlineLevel="1" x14ac:dyDescent="0.25">
      <c r="C39" t="s">
        <v>193</v>
      </c>
    </row>
    <row r="40" spans="2:3" hidden="1" outlineLevel="1" x14ac:dyDescent="0.25">
      <c r="C40" s="54" t="s">
        <v>226</v>
      </c>
    </row>
    <row r="41" spans="2:3" hidden="1" outlineLevel="1" x14ac:dyDescent="0.25">
      <c r="C41" t="s">
        <v>184</v>
      </c>
    </row>
    <row r="42" spans="2:3" hidden="1" outlineLevel="1" x14ac:dyDescent="0.25">
      <c r="C42" s="59" t="s">
        <v>185</v>
      </c>
    </row>
    <row r="43" spans="2:3" hidden="1" outlineLevel="1" x14ac:dyDescent="0.25">
      <c r="C43" t="s">
        <v>192</v>
      </c>
    </row>
    <row r="44" spans="2:3" hidden="1" outlineLevel="1" x14ac:dyDescent="0.25">
      <c r="C44" s="54" t="s">
        <v>186</v>
      </c>
    </row>
    <row r="45" spans="2:3" hidden="1" outlineLevel="1" x14ac:dyDescent="0.25">
      <c r="C45" t="s">
        <v>6</v>
      </c>
    </row>
    <row r="46" spans="2:3" hidden="1" outlineLevel="1" x14ac:dyDescent="0.25">
      <c r="C46" s="54" t="s">
        <v>7</v>
      </c>
    </row>
    <row r="47" spans="2:3" hidden="1" outlineLevel="1" x14ac:dyDescent="0.25">
      <c r="C47" t="s">
        <v>8</v>
      </c>
    </row>
    <row r="48" spans="2:3" hidden="1" outlineLevel="1" x14ac:dyDescent="0.25">
      <c r="C48" s="54" t="s">
        <v>9</v>
      </c>
    </row>
    <row r="49" spans="3:3" hidden="1" outlineLevel="1" x14ac:dyDescent="0.25">
      <c r="C49" t="s">
        <v>10</v>
      </c>
    </row>
    <row r="50" spans="3:3" hidden="1" outlineLevel="1" x14ac:dyDescent="0.25">
      <c r="C50" s="54" t="s">
        <v>11</v>
      </c>
    </row>
    <row r="51" spans="3:3" hidden="1" outlineLevel="1" x14ac:dyDescent="0.25">
      <c r="C51" t="s">
        <v>12</v>
      </c>
    </row>
  </sheetData>
  <pageMargins left="0.7" right="0.7" top="0.75" bottom="0.75" header="0.3" footer="0.3"/>
  <pageSetup orientation="portrait" horizontalDpi="1200" verticalDpi="120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58833-B4B3-4B26-967D-EE9A13947EEE}">
  <sheetPr codeName="Sheet7">
    <tabColor theme="5" tint="0.39997558519241921"/>
  </sheetPr>
  <dimension ref="A1:N17"/>
  <sheetViews>
    <sheetView topLeftCell="B1" workbookViewId="0">
      <pane xSplit="2" topLeftCell="D1" activePane="topRight" state="frozen"/>
      <selection activeCell="B1" sqref="B1"/>
      <selection pane="topRight" activeCell="H7" sqref="H7"/>
    </sheetView>
  </sheetViews>
  <sheetFormatPr defaultRowHeight="15" x14ac:dyDescent="0.25"/>
  <cols>
    <col min="1" max="1" width="11.85546875" customWidth="1"/>
    <col min="3" max="3" width="22.85546875" customWidth="1"/>
    <col min="4" max="13" width="14.5703125" customWidth="1"/>
    <col min="14" max="14" width="60.5703125" style="8" customWidth="1"/>
    <col min="15" max="15" width="14.5703125" customWidth="1"/>
    <col min="16" max="16" width="60.5703125" customWidth="1"/>
    <col min="17" max="17" width="15.7109375" customWidth="1"/>
  </cols>
  <sheetData>
    <row r="1" spans="1:14" x14ac:dyDescent="0.25">
      <c r="A1" t="s">
        <v>79</v>
      </c>
      <c r="B1" s="2" t="s">
        <v>80</v>
      </c>
    </row>
    <row r="2" spans="1:14" x14ac:dyDescent="0.25">
      <c r="B2" s="2"/>
    </row>
    <row r="3" spans="1:14" ht="25.5" x14ac:dyDescent="0.25">
      <c r="B3" s="6" t="s">
        <v>47</v>
      </c>
      <c r="C3" s="6" t="s">
        <v>73</v>
      </c>
      <c r="D3" s="15" t="s">
        <v>82</v>
      </c>
      <c r="E3" s="6" t="s">
        <v>74</v>
      </c>
      <c r="F3" s="15" t="s">
        <v>78</v>
      </c>
      <c r="G3" s="15" t="s">
        <v>93</v>
      </c>
      <c r="H3" s="15" t="s">
        <v>75</v>
      </c>
      <c r="I3" s="15" t="s">
        <v>92</v>
      </c>
      <c r="J3" s="15" t="s">
        <v>187</v>
      </c>
      <c r="K3" s="15" t="s">
        <v>188</v>
      </c>
      <c r="L3" s="15" t="s">
        <v>189</v>
      </c>
      <c r="M3" s="15" t="s">
        <v>197</v>
      </c>
      <c r="N3" s="6" t="s">
        <v>65</v>
      </c>
    </row>
    <row r="4" spans="1:14" ht="22.5" x14ac:dyDescent="0.25">
      <c r="B4" s="4">
        <f xml:space="preserve"> ROW( doc_tablesList[[#This Row],[ID]] ) - ROW(doc_tablesList[[#Headers],[ID]] )</f>
        <v>1</v>
      </c>
      <c r="C4" s="7" t="s">
        <v>77</v>
      </c>
      <c r="D4" s="27">
        <v>1</v>
      </c>
      <c r="E4" s="7" t="s">
        <v>225</v>
      </c>
      <c r="F4" s="27" t="str">
        <f t="shared" ref="F4" si="0" xml:space="preserve"> "row_id"</f>
        <v>row_id</v>
      </c>
      <c r="G4" s="31" cm="1">
        <f t="array" aca="1" ref="G4" ca="1" xml:space="preserve"> INDEX( ROW( INDIRECT( _xlfn.TEXTJOIN( "", , doc_tablesList[[#This Row],[Table Name]], "[[#Headers],[", doc_tablesList[[#This Row],[ID_columnName]], "]]" ) ) ), 1 )</f>
        <v>20</v>
      </c>
      <c r="H4" s="31">
        <f ca="1" xml:space="preserve"> MAX( INDIRECT( _xlfn.TEXTJOIN( "", , doc_tablesList[[#This Row],[Table Name]], "[", doc_tablesList[[#This Row],[ID_columnName]], "]" ) ) )</f>
        <v>31</v>
      </c>
      <c r="I4" s="31">
        <f ca="1" xml:space="preserve"> doc_tablesList[[#This Row],[Number of Data Rows]] + doc_tablesList[[#This Row],[Header Row]]</f>
        <v>51</v>
      </c>
      <c r="J4" s="31" cm="1">
        <f t="array" aca="1" ref="J4" ca="1" xml:space="preserve"> INDEX( COLUMN( INDIRECT( doc_tablesList[[#This Row],[Table Name]] &amp; "[" &amp; doc_tablesList[[#This Row],[ID_columnName]] &amp; "]" ) ), 1 )</f>
        <v>2</v>
      </c>
      <c r="K4" s="31" cm="1">
        <f t="array" aca="1" ref="K4" ca="1" xml:space="preserve"> MAX( COLUMN( INDIRECT( doc_tablesList[[#This Row],[Table Name]] ) ) )</f>
        <v>15</v>
      </c>
      <c r="L4" s="31">
        <f ca="1" xml:space="preserve"> doc_tablesList[[#This Row],[last_colIndex]] - doc_tablesList[[#This Row],[id_colIndex]] + 1</f>
        <v>14</v>
      </c>
      <c r="M4" s="48" t="str" cm="1">
        <f t="array" aca="1" ref="M4" ca="1" xml:space="preserve"> _xlfn.TEXTJOIN( ", ", ,  COLUMN( co_sectors[[#Headers],[hasPhysicalImpacts]:[Number of impact years]] )  - doc_tablesList[[#This Row],[id_colIndex]] + 1 )</f>
        <v>10, 11, 12, 13, 14</v>
      </c>
      <c r="N4" s="47" t="s">
        <v>352</v>
      </c>
    </row>
    <row r="5" spans="1:14" x14ac:dyDescent="0.25">
      <c r="B5" s="4">
        <f xml:space="preserve"> ROW( doc_tablesList[[#This Row],[ID]] ) - ROW(doc_tablesList[[#Headers],[ID]] )</f>
        <v>2</v>
      </c>
      <c r="C5" s="7" t="s">
        <v>350</v>
      </c>
      <c r="D5" s="27">
        <v>1</v>
      </c>
      <c r="E5" s="7" t="s">
        <v>225</v>
      </c>
      <c r="F5" s="27" t="str">
        <f t="shared" ref="F5:F10" si="1" xml:space="preserve"> "row_id"</f>
        <v>row_id</v>
      </c>
      <c r="G5" s="31" cm="1">
        <f t="array" aca="1" ref="G5" ca="1" xml:space="preserve"> INDEX( ROW( INDIRECT( _xlfn.TEXTJOIN( "", , doc_tablesList[[#This Row],[Table Name]], "[[#Headers],[", doc_tablesList[[#This Row],[ID_columnName]], "]]" ) ) ), 1 )</f>
        <v>92</v>
      </c>
      <c r="H5" s="31">
        <f ca="1" xml:space="preserve"> MAX( INDIRECT( _xlfn.TEXTJOIN( "", , doc_tablesList[[#This Row],[Table Name]], "[", doc_tablesList[[#This Row],[ID_columnName]], "]" ) ) )</f>
        <v>55</v>
      </c>
      <c r="I5" s="31">
        <f ca="1" xml:space="preserve"> doc_tablesList[[#This Row],[Number of Data Rows]] + doc_tablesList[[#This Row],[Header Row]]</f>
        <v>147</v>
      </c>
      <c r="J5" s="31" cm="1">
        <f t="array" aca="1" ref="J5" ca="1" xml:space="preserve"> INDEX( COLUMN( INDIRECT( doc_tablesList[[#This Row],[Table Name]] &amp; "[" &amp; doc_tablesList[[#This Row],[ID_columnName]] &amp; "]" ) ), 1 )</f>
        <v>2</v>
      </c>
      <c r="K5" s="31" cm="1">
        <f t="array" aca="1" ref="K5" ca="1" xml:space="preserve"> MAX( COLUMN( INDIRECT( doc_tablesList[[#This Row],[Table Name]] ) ) )</f>
        <v>9</v>
      </c>
      <c r="L5" s="31">
        <f ca="1" xml:space="preserve"> doc_tablesList[[#This Row],[last_colIndex]] - doc_tablesList[[#This Row],[id_colIndex]] + 1</f>
        <v>8</v>
      </c>
      <c r="M5" s="48" t="str">
        <f ca="1" xml:space="preserve"> _xlfn.TEXTJOIN( ", ", ,
COLUMN( co_variants[[#Headers],[hasImpacts]] )  - doc_tablesList[[#This Row],[id_colIndex]] + 1
 )</f>
        <v>8</v>
      </c>
      <c r="N5" s="47" t="s">
        <v>351</v>
      </c>
    </row>
    <row r="6" spans="1:14" x14ac:dyDescent="0.25">
      <c r="B6" s="4">
        <f xml:space="preserve"> ROW( doc_tablesList[[#This Row],[ID]] ) - ROW(doc_tablesList[[#Headers],[ID]] )</f>
        <v>3</v>
      </c>
      <c r="C6" s="7" t="s">
        <v>160</v>
      </c>
      <c r="D6" s="27">
        <v>1</v>
      </c>
      <c r="E6" s="7" t="s">
        <v>225</v>
      </c>
      <c r="F6" s="27" t="str">
        <f t="shared" si="1"/>
        <v>row_id</v>
      </c>
      <c r="G6" s="31" cm="1">
        <f t="array" aca="1" ref="G6" ca="1" xml:space="preserve"> INDEX( ROW( INDIRECT( _xlfn.TEXTJOIN( "", , doc_tablesList[[#This Row],[Table Name]], "[[#Headers],[", doc_tablesList[[#This Row],[ID_columnName]], "]]" ) ) ), 1 )</f>
        <v>55</v>
      </c>
      <c r="H6" s="31">
        <f ca="1" xml:space="preserve"> MAX( INDIRECT( _xlfn.TEXTJOIN( "", , doc_tablesList[[#This Row],[Table Name]], "[", doc_tablesList[[#This Row],[ID_columnName]], "]" ) ) )</f>
        <v>31</v>
      </c>
      <c r="I6" s="31">
        <f ca="1" xml:space="preserve"> doc_tablesList[[#This Row],[Number of Data Rows]] + doc_tablesList[[#This Row],[Header Row]]</f>
        <v>86</v>
      </c>
      <c r="J6" s="31" cm="1">
        <f t="array" aca="1" ref="J6" ca="1" xml:space="preserve"> INDEX( COLUMN( INDIRECT( doc_tablesList[[#This Row],[Table Name]] &amp; "[" &amp; doc_tablesList[[#This Row],[ID_columnName]] &amp; "]" ) ), 1 )</f>
        <v>2</v>
      </c>
      <c r="K6" s="31" cm="1">
        <f t="array" aca="1" ref="K6" ca="1" xml:space="preserve"> MAX( COLUMN( INDIRECT( doc_tablesList[[#This Row],[Table Name]] ) ) )</f>
        <v>6</v>
      </c>
      <c r="L6" s="31">
        <f ca="1" xml:space="preserve"> doc_tablesList[[#This Row],[last_colIndex]] - doc_tablesList[[#This Row],[id_colIndex]] + 1</f>
        <v>5</v>
      </c>
      <c r="M6" s="48"/>
      <c r="N6" s="47" t="s">
        <v>199</v>
      </c>
    </row>
    <row r="7" spans="1:14" x14ac:dyDescent="0.25">
      <c r="B7" s="4">
        <f xml:space="preserve"> ROW( doc_tablesList[[#This Row],[ID]] ) - ROW(doc_tablesList[[#Headers],[ID]] )</f>
        <v>4</v>
      </c>
      <c r="C7" s="7" t="s">
        <v>161</v>
      </c>
      <c r="D7" s="27">
        <v>1</v>
      </c>
      <c r="E7" s="7" t="s">
        <v>225</v>
      </c>
      <c r="F7" s="27" t="str">
        <f t="shared" si="1"/>
        <v>row_id</v>
      </c>
      <c r="G7" s="31" cm="1">
        <f t="array" aca="1" ref="G7" ca="1" xml:space="preserve"> INDEX( ROW( INDIRECT( _xlfn.TEXTJOIN( "", , doc_tablesList[[#This Row],[Table Name]], "[[#Headers],[", doc_tablesList[[#This Row],[ID_columnName]], "]]" ) ) ), 1 )</f>
        <v>151</v>
      </c>
      <c r="H7" s="31">
        <f ca="1" xml:space="preserve"> MAX( INDIRECT( _xlfn.TEXTJOIN( "", , doc_tablesList[[#This Row],[Table Name]], "[", doc_tablesList[[#This Row],[ID_columnName]], "]" ) ) )</f>
        <v>64</v>
      </c>
      <c r="I7" s="31">
        <f ca="1" xml:space="preserve"> doc_tablesList[[#This Row],[Number of Data Rows]] + doc_tablesList[[#This Row],[Header Row]]</f>
        <v>215</v>
      </c>
      <c r="J7" s="31" cm="1">
        <f t="array" aca="1" ref="J7" ca="1" xml:space="preserve"> INDEX( COLUMN( INDIRECT( doc_tablesList[[#This Row],[Table Name]] &amp; "[" &amp; doc_tablesList[[#This Row],[ID_columnName]] &amp; "]" ) ), 1 )</f>
        <v>2</v>
      </c>
      <c r="K7" s="31" cm="1">
        <f t="array" aca="1" ref="K7" ca="1" xml:space="preserve"> MAX( COLUMN( INDIRECT( doc_tablesList[[#This Row],[Table Name]] ) ) )</f>
        <v>16</v>
      </c>
      <c r="L7" s="31">
        <f ca="1" xml:space="preserve"> doc_tablesList[[#This Row],[last_colIndex]] - doc_tablesList[[#This Row],[id_colIndex]] + 1</f>
        <v>15</v>
      </c>
      <c r="M7" s="48"/>
      <c r="N7" s="47" t="s">
        <v>198</v>
      </c>
    </row>
    <row r="8" spans="1:14" x14ac:dyDescent="0.25">
      <c r="B8" s="4">
        <f xml:space="preserve"> ROW( doc_tablesList[[#This Row],[ID]] ) - ROW(doc_tablesList[[#Headers],[ID]] )</f>
        <v>5</v>
      </c>
      <c r="C8" s="7" t="s">
        <v>162</v>
      </c>
      <c r="D8" s="27">
        <v>1</v>
      </c>
      <c r="E8" s="7" t="s">
        <v>225</v>
      </c>
      <c r="F8" s="27" t="str">
        <f t="shared" si="1"/>
        <v>row_id</v>
      </c>
      <c r="G8" s="31" cm="1">
        <f t="array" aca="1" ref="G8" ca="1" xml:space="preserve"> INDEX( ROW( INDIRECT( _xlfn.TEXTJOIN( "", , doc_tablesList[[#This Row],[Table Name]], "[[#Headers],[", doc_tablesList[[#This Row],[ID_columnName]], "]]" ) ) ), 1 )</f>
        <v>220</v>
      </c>
      <c r="H8" s="31">
        <f ca="1" xml:space="preserve"> MAX( INDIRECT( _xlfn.TEXTJOIN( "", , doc_tablesList[[#This Row],[Table Name]], "[", doc_tablesList[[#This Row],[ID_columnName]], "]" ) ) )</f>
        <v>63</v>
      </c>
      <c r="I8" s="31">
        <f ca="1" xml:space="preserve"> doc_tablesList[[#This Row],[Number of Data Rows]] + doc_tablesList[[#This Row],[Header Row]]</f>
        <v>283</v>
      </c>
      <c r="J8" s="31" cm="1">
        <f t="array" aca="1" ref="J8" ca="1" xml:space="preserve"> INDEX( COLUMN( INDIRECT( doc_tablesList[[#This Row],[Table Name]] &amp; "[" &amp; doc_tablesList[[#This Row],[ID_columnName]] &amp; "]" ) ), 1 )</f>
        <v>2</v>
      </c>
      <c r="K8" s="31" cm="1">
        <f t="array" aca="1" ref="K8" ca="1" xml:space="preserve"> MAX( COLUMN( INDIRECT( doc_tablesList[[#This Row],[Table Name]] ) ) )</f>
        <v>10</v>
      </c>
      <c r="L8" s="31">
        <f ca="1" xml:space="preserve"> doc_tablesList[[#This Row],[last_colIndex]] - doc_tablesList[[#This Row],[id_colIndex]] + 1</f>
        <v>9</v>
      </c>
      <c r="M8" s="48"/>
      <c r="N8" s="47" t="s">
        <v>200</v>
      </c>
    </row>
    <row r="9" spans="1:14" x14ac:dyDescent="0.25">
      <c r="B9" s="4">
        <f xml:space="preserve"> ROW( doc_tablesList[[#This Row],[ID]] ) - ROW(doc_tablesList[[#Headers],[ID]] )</f>
        <v>6</v>
      </c>
      <c r="C9" s="7" t="s">
        <v>76</v>
      </c>
      <c r="D9" s="27">
        <v>1</v>
      </c>
      <c r="E9" s="7" t="s">
        <v>225</v>
      </c>
      <c r="F9" s="27" t="str">
        <f t="shared" si="1"/>
        <v>row_id</v>
      </c>
      <c r="G9" s="31" cm="1">
        <f t="array" aca="1" ref="G9" ca="1" xml:space="preserve"> INDEX( ROW( INDIRECT( _xlfn.TEXTJOIN( "", , doc_tablesList[[#This Row],[Table Name]], "[[#Headers],[", doc_tablesList[[#This Row],[ID_columnName]], "]]" ) ) ), 1 )</f>
        <v>346</v>
      </c>
      <c r="H9" s="31">
        <f ca="1" xml:space="preserve"> MAX( INDIRECT( _xlfn.TEXTJOIN( "", , doc_tablesList[[#This Row],[Table Name]], "[", doc_tablesList[[#This Row],[ID_columnName]], "]" ) ) )</f>
        <v>7</v>
      </c>
      <c r="I9" s="31">
        <f ca="1" xml:space="preserve"> doc_tablesList[[#This Row],[Number of Data Rows]] + doc_tablesList[[#This Row],[Header Row]]</f>
        <v>353</v>
      </c>
      <c r="J9" s="31" cm="1">
        <f t="array" aca="1" ref="J9" ca="1" xml:space="preserve"> INDEX( COLUMN( INDIRECT( doc_tablesList[[#This Row],[Table Name]] &amp; "[" &amp; doc_tablesList[[#This Row],[ID_columnName]] &amp; "]" ) ), 1 )</f>
        <v>2</v>
      </c>
      <c r="K9" s="31" cm="1">
        <f t="array" aca="1" ref="K9" ca="1" xml:space="preserve"> MAX( COLUMN( INDIRECT( doc_tablesList[[#This Row],[Table Name]] ) ) )</f>
        <v>4</v>
      </c>
      <c r="L9" s="31">
        <f ca="1" xml:space="preserve"> doc_tablesList[[#This Row],[last_colIndex]] - doc_tablesList[[#This Row],[id_colIndex]] + 1</f>
        <v>3</v>
      </c>
      <c r="M9" s="48"/>
      <c r="N9" s="47" t="s">
        <v>201</v>
      </c>
    </row>
    <row r="10" spans="1:14" x14ac:dyDescent="0.25">
      <c r="B10" s="4">
        <f xml:space="preserve"> ROW( doc_tablesList[[#This Row],[ID]] ) - ROW(doc_tablesList[[#Headers],[ID]] )</f>
        <v>7</v>
      </c>
      <c r="C10" s="7" t="s">
        <v>223</v>
      </c>
      <c r="D10" s="27">
        <v>1</v>
      </c>
      <c r="E10" s="7" t="s">
        <v>225</v>
      </c>
      <c r="F10" s="27" t="str">
        <f t="shared" si="1"/>
        <v>row_id</v>
      </c>
      <c r="G10" s="31" cm="1">
        <f t="array" aca="1" ref="G10" ca="1" xml:space="preserve"> INDEX( ROW( INDIRECT( _xlfn.TEXTJOIN( "", , doc_tablesList[[#This Row],[Table Name]], "[[#Headers],[", doc_tablesList[[#This Row],[ID_columnName]], "]]" ) ) ), 1 )</f>
        <v>318</v>
      </c>
      <c r="H10" s="31">
        <f ca="1" xml:space="preserve"> MAX( INDIRECT( _xlfn.TEXTJOIN( "", , doc_tablesList[[#This Row],[Table Name]], "[", doc_tablesList[[#This Row],[ID_columnName]], "]" ) ) )</f>
        <v>14</v>
      </c>
      <c r="I10" s="31">
        <f ca="1" xml:space="preserve"> doc_tablesList[[#This Row],[Number of Data Rows]] + doc_tablesList[[#This Row],[Header Row]]</f>
        <v>332</v>
      </c>
      <c r="J10" s="31" cm="1">
        <f t="array" aca="1" ref="J10" ca="1" xml:space="preserve"> INDEX( COLUMN( INDIRECT( doc_tablesList[[#This Row],[Table Name]] &amp; "[" &amp; doc_tablesList[[#This Row],[ID_columnName]] &amp; "]" ) ), 1 )</f>
        <v>2</v>
      </c>
      <c r="K10" s="31" cm="1">
        <f t="array" aca="1" ref="K10" ca="1" xml:space="preserve"> MAX( COLUMN( INDIRECT( doc_tablesList[[#This Row],[Table Name]] ) ) )</f>
        <v>6</v>
      </c>
      <c r="L10" s="31">
        <f ca="1" xml:space="preserve"> doc_tablesList[[#This Row],[last_colIndex]] - doc_tablesList[[#This Row],[id_colIndex]] + 1</f>
        <v>5</v>
      </c>
      <c r="M10" s="48"/>
      <c r="N10" s="47" t="s">
        <v>202</v>
      </c>
    </row>
    <row r="11" spans="1:14" x14ac:dyDescent="0.25">
      <c r="B11" s="4">
        <f xml:space="preserve"> ROW( doc_tablesList[[#This Row],[ID]] ) - ROW(doc_tablesList[[#Headers],[ID]] )</f>
        <v>8</v>
      </c>
      <c r="C11" s="7" t="s">
        <v>182</v>
      </c>
      <c r="D11" s="27">
        <v>1</v>
      </c>
      <c r="E11" s="7" t="s">
        <v>225</v>
      </c>
      <c r="F11" s="27" t="str">
        <f t="shared" ref="F11:F15" si="2" xml:space="preserve"> "row_id"</f>
        <v>row_id</v>
      </c>
      <c r="G11" s="31" cm="1">
        <f t="array" aca="1" ref="G11" ca="1" xml:space="preserve"> INDEX( ROW( INDIRECT( _xlfn.TEXTJOIN( "", , doc_tablesList[[#This Row],[Table Name]], "[[#Headers],[", doc_tablesList[[#This Row],[ID_columnName]], "]]" ) ) ), 1 )</f>
        <v>288</v>
      </c>
      <c r="H11" s="31">
        <f ca="1" xml:space="preserve"> MAX( INDIRECT( _xlfn.TEXTJOIN( "", , doc_tablesList[[#This Row],[Table Name]], "[", doc_tablesList[[#This Row],[ID_columnName]], "]" ) ) )</f>
        <v>3</v>
      </c>
      <c r="I11" s="31">
        <f ca="1" xml:space="preserve"> doc_tablesList[[#This Row],[Number of Data Rows]] + doc_tablesList[[#This Row],[Header Row]]</f>
        <v>291</v>
      </c>
      <c r="J11" s="31" cm="1">
        <f t="array" aca="1" ref="J11" ca="1" xml:space="preserve"> INDEX( COLUMN( INDIRECT( doc_tablesList[[#This Row],[Table Name]] &amp; "[" &amp; doc_tablesList[[#This Row],[ID_columnName]] &amp; "]" ) ), 1 )</f>
        <v>2</v>
      </c>
      <c r="K11" s="31" cm="1">
        <f t="array" aca="1" ref="K11" ca="1" xml:space="preserve"> MAX( COLUMN( INDIRECT( doc_tablesList[[#This Row],[Table Name]] ) ) )</f>
        <v>5</v>
      </c>
      <c r="L11" s="31">
        <f ca="1" xml:space="preserve"> doc_tablesList[[#This Row],[last_colIndex]] - doc_tablesList[[#This Row],[id_colIndex]] + 1</f>
        <v>4</v>
      </c>
      <c r="M11" s="48" t="str">
        <f ca="1" xml:space="preserve"> _xlfn.TEXTJOIN( ", ", , COLUMN( co_econMultipliers[[#Headers],[valueYear]] )  - doc_tablesList[[#This Row],[id_colIndex]] + 1 )</f>
        <v>4</v>
      </c>
      <c r="N11" s="47" t="s">
        <v>203</v>
      </c>
    </row>
    <row r="12" spans="1:14" x14ac:dyDescent="0.25">
      <c r="B12" s="4">
        <f xml:space="preserve"> ROW( doc_tablesList[[#This Row],[ID]] ) - ROW(doc_tablesList[[#Headers],[ID]] )</f>
        <v>9</v>
      </c>
      <c r="C12" s="7" t="s">
        <v>224</v>
      </c>
      <c r="D12" s="27">
        <v>1</v>
      </c>
      <c r="E12" s="7" t="s">
        <v>225</v>
      </c>
      <c r="F12" s="27" t="str">
        <f t="shared" si="2"/>
        <v>row_id</v>
      </c>
      <c r="G12" s="31" cm="1">
        <f t="array" aca="1" ref="G12" ca="1" xml:space="preserve"> INDEX( ROW( INDIRECT( _xlfn.TEXTJOIN( "", , doc_tablesList[[#This Row],[Table Name]], "[[#Headers],[", doc_tablesList[[#This Row],[ID_columnName]], "]]" ) ) ), 1 )</f>
        <v>311</v>
      </c>
      <c r="H12" s="31">
        <f ca="1" xml:space="preserve"> MAX( INDIRECT( _xlfn.TEXTJOIN( "", , doc_tablesList[[#This Row],[Table Name]], "[", doc_tablesList[[#This Row],[ID_columnName]], "]" ) ) )</f>
        <v>2</v>
      </c>
      <c r="I12" s="31">
        <f ca="1" xml:space="preserve"> doc_tablesList[[#This Row],[Number of Data Rows]] + doc_tablesList[[#This Row],[Header Row]]</f>
        <v>313</v>
      </c>
      <c r="J12" s="31" cm="1">
        <f t="array" aca="1" ref="J12" ca="1" xml:space="preserve"> INDEX( COLUMN( INDIRECT( doc_tablesList[[#This Row],[Table Name]] &amp; "[" &amp; doc_tablesList[[#This Row],[ID_columnName]] &amp; "]" ) ), 1 )</f>
        <v>2</v>
      </c>
      <c r="K12" s="31" cm="1">
        <f t="array" aca="1" ref="K12" ca="1" xml:space="preserve"> MAX( COLUMN( INDIRECT( doc_tablesList[[#This Row],[Table Name]] ) ) )</f>
        <v>12</v>
      </c>
      <c r="L12" s="31">
        <f ca="1" xml:space="preserve"> doc_tablesList[[#This Row],[last_colIndex]] - doc_tablesList[[#This Row],[id_colIndex]] + 1</f>
        <v>11</v>
      </c>
      <c r="M12" s="48"/>
      <c r="N12" s="47" t="s">
        <v>248</v>
      </c>
    </row>
    <row r="13" spans="1:14" x14ac:dyDescent="0.25">
      <c r="B13" s="4">
        <f xml:space="preserve"> ROW( doc_tablesList[[#This Row],[ID]] ) - ROW(doc_tablesList[[#Headers],[ID]] )</f>
        <v>10</v>
      </c>
      <c r="C13" s="7" t="s">
        <v>563</v>
      </c>
      <c r="D13" s="27">
        <v>1</v>
      </c>
      <c r="E13" s="7" t="s">
        <v>225</v>
      </c>
      <c r="F13" s="27" t="str">
        <f t="shared" si="2"/>
        <v>row_id</v>
      </c>
      <c r="G13" s="31" cm="1">
        <f t="array" aca="1" ref="G13" ca="1" xml:space="preserve"> INDEX( ROW( INDIRECT( _xlfn.TEXTJOIN( "", , doc_tablesList[[#This Row],[Table Name]], "[[#Headers],[", doc_tablesList[[#This Row],[ID_columnName]], "]]" ) ) ), 1 )</f>
        <v>337</v>
      </c>
      <c r="H13" s="31">
        <f ca="1" xml:space="preserve"> MAX( INDIRECT( _xlfn.TEXTJOIN( "", , doc_tablesList[[#This Row],[Table Name]], "[", doc_tablesList[[#This Row],[ID_columnName]], "]" ) ) )</f>
        <v>4</v>
      </c>
      <c r="I13" s="31">
        <f ca="1" xml:space="preserve"> doc_tablesList[[#This Row],[Number of Data Rows]] + doc_tablesList[[#This Row],[Header Row]]</f>
        <v>341</v>
      </c>
      <c r="J13" s="31" cm="1">
        <f t="array" aca="1" ref="J13" ca="1" xml:space="preserve"> INDEX( COLUMN( INDIRECT( doc_tablesList[[#This Row],[Table Name]] &amp; "[" &amp; doc_tablesList[[#This Row],[ID_columnName]] &amp; "]" ) ), 1 )</f>
        <v>2</v>
      </c>
      <c r="K13" s="31" cm="1">
        <f t="array" aca="1" ref="K13" ca="1" xml:space="preserve"> MAX( COLUMN( INDIRECT( doc_tablesList[[#This Row],[Table Name]] ) ) )</f>
        <v>10</v>
      </c>
      <c r="L13" s="31">
        <f ca="1" xml:space="preserve"> doc_tablesList[[#This Row],[last_colIndex]] - doc_tablesList[[#This Row],[id_colIndex]] + 1</f>
        <v>9</v>
      </c>
      <c r="M13" s="48"/>
      <c r="N13" s="47" t="s">
        <v>303</v>
      </c>
    </row>
    <row r="14" spans="1:14" x14ac:dyDescent="0.25">
      <c r="B14" s="4">
        <f xml:space="preserve"> ROW( doc_tablesList[[#This Row],[ID]] ) - ROW(doc_tablesList[[#Headers],[ID]] )</f>
        <v>11</v>
      </c>
      <c r="C14" s="7" t="s">
        <v>301</v>
      </c>
      <c r="D14" s="27">
        <v>1</v>
      </c>
      <c r="E14" s="7" t="s">
        <v>301</v>
      </c>
      <c r="F14" s="27" t="str">
        <f t="shared" si="2"/>
        <v>row_id</v>
      </c>
      <c r="G14" s="31" cm="1">
        <f t="array" aca="1" ref="G14" ca="1" xml:space="preserve"> INDEX( ROW( INDIRECT( _xlfn.TEXTJOIN( "", , doc_tablesList[[#This Row],[Table Name]], "[[#Headers],[", doc_tablesList[[#This Row],[ID_columnName]], "]]" ) ) ), 1 )</f>
        <v>1</v>
      </c>
      <c r="H14" s="31">
        <f ca="1" xml:space="preserve"> MAX( INDIRECT( _xlfn.TEXTJOIN( "", , doc_tablesList[[#This Row],[Table Name]], "[", doc_tablesList[[#This Row],[ID_columnName]], "]" ) ) )</f>
        <v>101</v>
      </c>
      <c r="I14" s="31">
        <f ca="1" xml:space="preserve"> doc_tablesList[[#This Row],[Number of Data Rows]] + doc_tablesList[[#This Row],[Header Row]]</f>
        <v>102</v>
      </c>
      <c r="J14" s="31" cm="1">
        <f t="array" aca="1" ref="J14" ca="1" xml:space="preserve"> INDEX( COLUMN( INDIRECT( doc_tablesList[[#This Row],[Table Name]] &amp; "[" &amp; doc_tablesList[[#This Row],[ID_columnName]] &amp; "]" ) ), 1 )</f>
        <v>1</v>
      </c>
      <c r="K14" s="31" cm="1">
        <f t="array" aca="1" ref="K14" ca="1" xml:space="preserve"> MAX( COLUMN( INDIRECT( doc_tablesList[[#This Row],[Table Name]] ) ) )</f>
        <v>9</v>
      </c>
      <c r="L14" s="31">
        <f ca="1" xml:space="preserve"> doc_tablesList[[#This Row],[last_colIndex]] - doc_tablesList[[#This Row],[id_colIndex]] + 1</f>
        <v>9</v>
      </c>
      <c r="M14" s="48"/>
      <c r="N14" s="47" t="s">
        <v>402</v>
      </c>
    </row>
    <row r="15" spans="1:14" x14ac:dyDescent="0.25">
      <c r="B15" s="4">
        <f xml:space="preserve"> ROW( doc_tablesList[[#This Row],[ID]] ) - ROW(doc_tablesList[[#Headers],[ID]] )</f>
        <v>12</v>
      </c>
      <c r="C15" s="7" t="s">
        <v>400</v>
      </c>
      <c r="D15" s="27">
        <v>1</v>
      </c>
      <c r="E15" s="7" t="s">
        <v>400</v>
      </c>
      <c r="F15" s="27" t="str">
        <f t="shared" si="2"/>
        <v>row_id</v>
      </c>
      <c r="G15" s="31" cm="1">
        <f t="array" aca="1" ref="G15" ca="1" xml:space="preserve"> INDEX( ROW( INDIRECT( _xlfn.TEXTJOIN( "", , doc_tablesList[[#This Row],[Table Name]], "[[#Headers],[", doc_tablesList[[#This Row],[ID_columnName]], "]]" ) ) ), 1 )</f>
        <v>3</v>
      </c>
      <c r="H15" s="31">
        <f ca="1" xml:space="preserve"> MAX( INDIRECT( _xlfn.TEXTJOIN( "", , doc_tablesList[[#This Row],[Table Name]], "[", doc_tablesList[[#This Row],[ID_columnName]], "]" ) ) )</f>
        <v>25</v>
      </c>
      <c r="I15" s="31">
        <f ca="1" xml:space="preserve"> doc_tablesList[[#This Row],[Number of Data Rows]] + doc_tablesList[[#This Row],[Header Row]]</f>
        <v>28</v>
      </c>
      <c r="J15" s="31" cm="1">
        <f t="array" aca="1" ref="J15" ca="1" xml:space="preserve"> INDEX( COLUMN( INDIRECT( doc_tablesList[[#This Row],[Table Name]] &amp; "[" &amp; doc_tablesList[[#This Row],[ID_columnName]] &amp; "]" ) ), 1 )</f>
        <v>2</v>
      </c>
      <c r="K15" s="31" cm="1">
        <f t="array" aca="1" ref="K15" ca="1" xml:space="preserve"> MAX( COLUMN( INDIRECT( doc_tablesList[[#This Row],[Table Name]] ) ) )</f>
        <v>5</v>
      </c>
      <c r="L15" s="31">
        <f ca="1" xml:space="preserve"> doc_tablesList[[#This Row],[last_colIndex]] - doc_tablesList[[#This Row],[id_colIndex]] + 1</f>
        <v>4</v>
      </c>
      <c r="M15" s="48"/>
      <c r="N15" s="47" t="s">
        <v>401</v>
      </c>
    </row>
    <row r="16" spans="1:14" x14ac:dyDescent="0.25">
      <c r="B16" s="4">
        <f xml:space="preserve"> ROW( doc_tablesList[[#This Row],[ID]] ) - ROW(doc_tablesList[[#Headers],[ID]] )</f>
        <v>13</v>
      </c>
      <c r="C16" s="7" t="s">
        <v>514</v>
      </c>
      <c r="D16" s="27">
        <v>1</v>
      </c>
      <c r="E16" s="7" t="s">
        <v>225</v>
      </c>
      <c r="F16" s="27" t="str">
        <f xml:space="preserve"> "row_id"</f>
        <v>row_id</v>
      </c>
      <c r="G16" s="31" cm="1">
        <f t="array" aca="1" ref="G16" ca="1" xml:space="preserve"> INDEX( ROW( INDIRECT( _xlfn.TEXTJOIN( "", , doc_tablesList[[#This Row],[Table Name]], "[[#Headers],[", doc_tablesList[[#This Row],[ID_columnName]], "]]" ) ) ), 1 )</f>
        <v>358</v>
      </c>
      <c r="H16" s="31">
        <f ca="1" xml:space="preserve"> MAX( INDIRECT( _xlfn.TEXTJOIN( "", , doc_tablesList[[#This Row],[Table Name]], "[", doc_tablesList[[#This Row],[ID_columnName]], "]" ) ) )</f>
        <v>49</v>
      </c>
      <c r="I16" s="31">
        <f ca="1" xml:space="preserve"> doc_tablesList[[#This Row],[Number of Data Rows]] + doc_tablesList[[#This Row],[Header Row]]</f>
        <v>407</v>
      </c>
      <c r="J16" s="31" cm="1">
        <f t="array" aca="1" ref="J16" ca="1" xml:space="preserve"> INDEX( COLUMN( INDIRECT( doc_tablesList[[#This Row],[Table Name]] &amp; "[" &amp; doc_tablesList[[#This Row],[ID_columnName]] &amp; "]" ) ), 1 )</f>
        <v>2</v>
      </c>
      <c r="K16" s="31" cm="1">
        <f t="array" aca="1" ref="K16" ca="1" xml:space="preserve"> MAX( COLUMN( INDIRECT( doc_tablesList[[#This Row],[Table Name]] ) ) )</f>
        <v>6</v>
      </c>
      <c r="L16" s="31">
        <f ca="1" xml:space="preserve"> doc_tablesList[[#This Row],[last_colIndex]] - doc_tablesList[[#This Row],[id_colIndex]] + 1</f>
        <v>5</v>
      </c>
      <c r="M16" s="48"/>
      <c r="N16" s="47" t="s">
        <v>515</v>
      </c>
    </row>
    <row r="17" spans="2:14" x14ac:dyDescent="0.25">
      <c r="B17" s="4">
        <f xml:space="preserve"> ROW( doc_tablesList[[#This Row],[ID]] ) - ROW(doc_tablesList[[#Headers],[ID]] )</f>
        <v>14</v>
      </c>
      <c r="C17" s="7" t="s">
        <v>522</v>
      </c>
      <c r="D17" s="27">
        <v>1</v>
      </c>
      <c r="E17" s="7" t="s">
        <v>225</v>
      </c>
      <c r="F17" s="27" t="str">
        <f xml:space="preserve"> "row_id"</f>
        <v>row_id</v>
      </c>
      <c r="G17" s="31" cm="1">
        <f t="array" aca="1" ref="G17" ca="1" xml:space="preserve"> INDEX( ROW( INDIRECT( _xlfn.TEXTJOIN( "", , doc_tablesList[[#This Row],[Table Name]], "[[#Headers],[", doc_tablesList[[#This Row],[ID_columnName]], "]]" ) ) ), 1 )</f>
        <v>305</v>
      </c>
      <c r="H17" s="31">
        <f ca="1" xml:space="preserve"> MAX( INDIRECT( _xlfn.TEXTJOIN( "", , doc_tablesList[[#This Row],[Table Name]], "[", doc_tablesList[[#This Row],[ID_columnName]], "]" ) ) )</f>
        <v>2</v>
      </c>
      <c r="I17" s="31">
        <f ca="1" xml:space="preserve"> doc_tablesList[[#This Row],[Number of Data Rows]] + doc_tablesList[[#This Row],[Header Row]]</f>
        <v>307</v>
      </c>
      <c r="J17" s="31" cm="1">
        <f t="array" aca="1" ref="J17" ca="1" xml:space="preserve"> INDEX( COLUMN( INDIRECT( doc_tablesList[[#This Row],[Table Name]] &amp; "[" &amp; doc_tablesList[[#This Row],[ID_columnName]] &amp; "]" ) ), 1 )</f>
        <v>2</v>
      </c>
      <c r="K17" s="31" cm="1">
        <f t="array" aca="1" ref="K17" ca="1" xml:space="preserve"> MAX( COLUMN( INDIRECT( doc_tablesList[[#This Row],[Table Name]] ) ) )</f>
        <v>10</v>
      </c>
      <c r="L17" s="31">
        <f ca="1" xml:space="preserve"> doc_tablesList[[#This Row],[last_colIndex]] - doc_tablesList[[#This Row],[id_colIndex]] + 1</f>
        <v>9</v>
      </c>
      <c r="M17" s="48"/>
      <c r="N17" s="47" t="s">
        <v>523</v>
      </c>
    </row>
  </sheetData>
  <pageMargins left="0.7" right="0.7" top="0.75" bottom="0.75" header="0.3" footer="0.3"/>
  <pageSetup orientation="portrait" horizontalDpi="90" verticalDpi="90"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5">
    <tabColor theme="5" tint="0.39997558519241921"/>
  </sheetPr>
  <dimension ref="A1:U407"/>
  <sheetViews>
    <sheetView tabSelected="1" topLeftCell="A205" zoomScaleNormal="100" workbookViewId="0">
      <pane xSplit="3" topLeftCell="D1" activePane="topRight" state="frozen"/>
      <selection pane="topRight" activeCell="H221" sqref="H221"/>
    </sheetView>
  </sheetViews>
  <sheetFormatPr defaultColWidth="8.7109375" defaultRowHeight="12.75" x14ac:dyDescent="0.2"/>
  <cols>
    <col min="1" max="1" width="8.7109375" style="2"/>
    <col min="2" max="2" width="11.140625" style="2" customWidth="1"/>
    <col min="3" max="3" width="23.85546875" style="2" bestFit="1" customWidth="1"/>
    <col min="4" max="4" width="20.5703125" style="2" customWidth="1"/>
    <col min="5" max="5" width="20.5703125" style="9" customWidth="1"/>
    <col min="6" max="7" width="20.5703125" style="2" customWidth="1"/>
    <col min="8" max="8" width="27.28515625" style="2" customWidth="1"/>
    <col min="9" max="21" width="18.5703125" style="2" customWidth="1"/>
    <col min="22" max="22" width="17" style="2" customWidth="1"/>
    <col min="23" max="16384" width="8.7109375" style="2"/>
  </cols>
  <sheetData>
    <row r="1" spans="1:21" ht="15" x14ac:dyDescent="0.25">
      <c r="A1" s="16"/>
      <c r="B1" s="17" t="s">
        <v>264</v>
      </c>
      <c r="C1" s="17"/>
      <c r="D1" s="17"/>
      <c r="E1" s="17"/>
      <c r="F1" s="17"/>
      <c r="G1" s="17"/>
      <c r="H1" s="17"/>
      <c r="I1" s="17"/>
      <c r="J1" s="17"/>
      <c r="K1" s="17"/>
      <c r="L1" s="17"/>
      <c r="M1" s="17"/>
      <c r="N1" s="17"/>
      <c r="O1" s="17"/>
      <c r="P1" s="17"/>
      <c r="Q1" s="17"/>
      <c r="R1" s="17"/>
      <c r="S1" s="17"/>
      <c r="T1" s="17"/>
      <c r="U1" s="17"/>
    </row>
    <row r="2" spans="1:21" x14ac:dyDescent="0.2">
      <c r="C2" s="49" t="str">
        <f ca="1" xml:space="preserve"> OFFSET( INDIRECT( ADDRESS( ROW( co_sectors[[#Headers],[row_id]] ), COLUMN( co_sectors[[#Headers],[row_id]] ), , , ) ), -2, , 1, 1 )</f>
        <v>Sectors Table</v>
      </c>
      <c r="D2" s="2" t="s">
        <v>274</v>
      </c>
    </row>
    <row r="3" spans="1:21" x14ac:dyDescent="0.2">
      <c r="C3" s="49" t="str">
        <f ca="1" xml:space="preserve"> OFFSET( INDIRECT( ADDRESS( ROW( co_impactYears[[#Headers],[row_id]] ), COLUMN( co_impactYears[[#Headers],[row_id]] ), , , ) ), -2, , 1, 1 )</f>
        <v>Impact Year Estimates</v>
      </c>
      <c r="D3" s="2" t="s">
        <v>275</v>
      </c>
    </row>
    <row r="4" spans="1:21" x14ac:dyDescent="0.2">
      <c r="C4" s="49" t="str">
        <f ca="1" xml:space="preserve"> OFFSET( INDIRECT( ADDRESS( ROW( co_variants[[#Headers],[row_id]] ), COLUMN( co_variants[[#Headers],[row_id]] ), , , ) ), -4, , 1, 1 )</f>
        <v>Variants Table</v>
      </c>
      <c r="D4" s="2" t="s">
        <v>276</v>
      </c>
    </row>
    <row r="5" spans="1:21" x14ac:dyDescent="0.2">
      <c r="C5" s="49" t="str">
        <f ca="1" xml:space="preserve"> OFFSET( INDIRECT( ADDRESS( ROW( co_impactTypes[[#Headers],[row_id]] ), COLUMN( co_impactTypes[[#Headers],[row_id]] ), , , ) ), -2, , 1, 1 )</f>
        <v>Impact Types</v>
      </c>
      <c r="D5" s="2" t="s">
        <v>277</v>
      </c>
    </row>
    <row r="6" spans="1:21" x14ac:dyDescent="0.2">
      <c r="C6" s="49" t="str">
        <f ca="1" xml:space="preserve"> OFFSET( INDIRECT( ADDRESS( ROW( co_scalarInfo[[#Headers],[row_id]] ), COLUMN( co_scalarInfo[[#Headers],[row_id]] ), , , ) ), -2, , 1, 1 )</f>
        <v>Scalar Information</v>
      </c>
      <c r="D6" s="2" t="s">
        <v>278</v>
      </c>
    </row>
    <row r="7" spans="1:21" x14ac:dyDescent="0.2">
      <c r="C7" s="49" t="str">
        <f ca="1" xml:space="preserve"> OFFSET( INDIRECT( ADDRESS( ROW( co_econMultipliers[[#Headers],[row_id]] ), COLUMN( co_econMultipliers[[#Headers],[row_id]] ), , , ) ), -2, , 1, 1 )</f>
        <v>Economic Multipliers</v>
      </c>
      <c r="D7" s="2" t="s">
        <v>279</v>
      </c>
    </row>
    <row r="8" spans="1:21" x14ac:dyDescent="0.2">
      <c r="C8" s="49" t="str">
        <f ca="1" xml:space="preserve"> OFFSET( INDIRECT( ADDRESS( ROW( co_constants[[#Headers],[row_id]] ), COLUMN( co_constants[[#Headers],[row_id]] ), , , ) ), -2, , 1, 1 )</f>
        <v>Constants</v>
      </c>
      <c r="D8" s="2" t="s">
        <v>270</v>
      </c>
    </row>
    <row r="9" spans="1:21" x14ac:dyDescent="0.2">
      <c r="C9" s="49" t="str">
        <f ca="1" xml:space="preserve"> OFFSET( INDIRECT( ADDRESS( ROW( co_modelTypes[[#Headers],[row_id]] ), COLUMN( co_modelTypes[[#Headers],[row_id]] ), , , ) ), -2, , 1, 1 )</f>
        <v>Model Types</v>
      </c>
      <c r="D9" s="2" t="s">
        <v>271</v>
      </c>
    </row>
    <row r="10" spans="1:21" x14ac:dyDescent="0.2">
      <c r="C10" s="49" t="str">
        <f ca="1" xml:space="preserve"> OFFSET( INDIRECT( ADDRESS( ROW( co_models[[#Headers],[row_id]] ), COLUMN( co_models[[#Headers],[row_id]] ), , , ) ), -2, , 1, 1 )</f>
        <v>GCM Models &amp; SLR Scenarios</v>
      </c>
      <c r="D10" s="2" t="s">
        <v>272</v>
      </c>
    </row>
    <row r="11" spans="1:21" x14ac:dyDescent="0.2">
      <c r="C11" s="49" t="str">
        <f ca="1" xml:space="preserve"> OFFSET( INDIRECT( ADDRESS( ROW( co_regions[[#Headers],[row_id]] ), COLUMN( co_regions[[#Headers],[row_id]] ), , , ) ), -2, , 1, 1 )</f>
        <v>Regions</v>
      </c>
      <c r="D11" s="2" t="s">
        <v>280</v>
      </c>
    </row>
    <row r="12" spans="1:21" x14ac:dyDescent="0.2">
      <c r="C12" s="49" t="str">
        <f ca="1" xml:space="preserve"> OFFSET( INDIRECT( ADDRESS( ROW( co_inputInfo[[#Headers],[row_id]] ), COLUMN( co_inputInfo[[#Headers],[row_id]] ), , , ) ), -2, , 1, 1 )</f>
        <v>Input Scenario Information</v>
      </c>
      <c r="D12" s="2" t="s">
        <v>304</v>
      </c>
    </row>
    <row r="13" spans="1:21" x14ac:dyDescent="0.2">
      <c r="C13" s="49" t="str">
        <f ca="1" xml:space="preserve"> OFFSET( INDIRECT( ADDRESS( ROW( co_states[[#Headers],[row_id]] ), COLUMN( co_states[[#Headers],[row_id]] ), , , ) ), -2, , 1, 1 )</f>
        <v>States</v>
      </c>
      <c r="D13" s="2" t="s">
        <v>513</v>
      </c>
    </row>
    <row r="14" spans="1:21" x14ac:dyDescent="0.2">
      <c r="C14" s="49" t="str">
        <f ca="1" xml:space="preserve"> OFFSET( INDIRECT( ADDRESS( ROW( co_slrScalars[[#Headers],[row_id]] ), COLUMN( co_slrScalars[[#Headers],[row_id]] ), , , ) ), -3, , 1, 1 )</f>
        <v>SLR Scalars</v>
      </c>
      <c r="D14" s="2" t="s">
        <v>521</v>
      </c>
    </row>
    <row r="16" spans="1:21" ht="22.5" x14ac:dyDescent="0.2">
      <c r="C16" s="53" t="s">
        <v>263</v>
      </c>
      <c r="D16" s="50" t="s">
        <v>269</v>
      </c>
      <c r="E16" s="51" t="s">
        <v>256</v>
      </c>
      <c r="F16" s="52" t="s">
        <v>262</v>
      </c>
    </row>
    <row r="18" spans="1:21" ht="15" x14ac:dyDescent="0.25">
      <c r="A18" s="16"/>
      <c r="B18" s="17" t="s">
        <v>72</v>
      </c>
      <c r="C18" s="17"/>
      <c r="D18" s="17"/>
      <c r="E18" s="17"/>
      <c r="F18" s="17"/>
      <c r="G18" s="17"/>
      <c r="H18" s="17"/>
      <c r="I18" s="17"/>
      <c r="J18" s="17"/>
      <c r="K18" s="17"/>
      <c r="L18" s="17"/>
      <c r="M18" s="17"/>
      <c r="N18" s="17"/>
      <c r="O18" s="17"/>
      <c r="P18" s="17"/>
      <c r="Q18" s="17"/>
      <c r="R18" s="17"/>
      <c r="S18" s="17"/>
      <c r="T18" s="17"/>
      <c r="U18" s="17"/>
    </row>
    <row r="20" spans="1:21" ht="25.5" x14ac:dyDescent="0.2">
      <c r="B20" s="18" t="s">
        <v>114</v>
      </c>
      <c r="C20" s="19" t="s">
        <v>56</v>
      </c>
      <c r="D20" s="18" t="s">
        <v>81</v>
      </c>
      <c r="E20" s="20" t="s">
        <v>96</v>
      </c>
      <c r="F20" s="20" t="s">
        <v>163</v>
      </c>
      <c r="G20" s="20" t="s">
        <v>359</v>
      </c>
      <c r="H20" s="20" t="s">
        <v>154</v>
      </c>
      <c r="I20" s="20" t="s">
        <v>155</v>
      </c>
      <c r="J20" s="20" t="s">
        <v>273</v>
      </c>
      <c r="K20" s="20" t="s">
        <v>631</v>
      </c>
      <c r="L20" s="20" t="s">
        <v>632</v>
      </c>
      <c r="M20" s="20" t="s">
        <v>360</v>
      </c>
      <c r="N20" s="20" t="s">
        <v>229</v>
      </c>
      <c r="O20" s="20" t="s">
        <v>230</v>
      </c>
    </row>
    <row r="21" spans="1:21" ht="32.25" customHeight="1" x14ac:dyDescent="0.2">
      <c r="B21" s="69">
        <f xml:space="preserve"> ROW( co_sectors[[#This Row],[row_id]] ) - ROW( co_sectors[[#Headers],[row_id]] )</f>
        <v>1</v>
      </c>
      <c r="C21" s="70" t="s">
        <v>94</v>
      </c>
      <c r="D21" s="23" t="s">
        <v>530</v>
      </c>
      <c r="E21" s="11">
        <v>1</v>
      </c>
      <c r="F21" s="14" t="s">
        <v>145</v>
      </c>
      <c r="G21" s="88" t="str" cm="1">
        <f t="array" aca="1" ref="G21" ca="1" xml:space="preserve"> _xlfn.TEXTJOIN( ", ", 1,
  IF( OFFSET( INDIRECT( ADDRESS( ROW( co_variants[[#Headers],[row_id]] ),  COLUMN( co_variants[[#Headers],[sector_id]] ), , , "controlTables" ) ), 1, 0, MAX( co_variants[row_id] ), 1 ) = co_sectors[[#This Row],[sector_id]], co_variants[variant_label], "" )
)</f>
        <v>2011 Emissions, 2040 Emissions</v>
      </c>
      <c r="H21" s="88" t="str">
        <f ca="1" xml:space="preserve"> _xlfn.TEXTJOIN( ", ", 1,
  OFFSET( INDIRECT( ADDRESS( ROW( INDEX( co_impactYears[sector_id], MATCH( co_sectors[[#This Row],[sector_id]], co_impactYears[sector_id], 0 ) ) ),  COLUMN( co_impactYears[[#Headers],[sector_id]] ), , , "controlTables" ) ), 0, 1, 1, 4 )
)</f>
        <v>NA</v>
      </c>
      <c r="I21" s="88" t="str" cm="1">
        <f t="array" aca="1" ref="I21" ca="1" xml:space="preserve">  _xlfn.TEXTJOIN( ", ", 1,
  IF( OFFSET( INDIRECT( ADDRESS( ROW( co_impactTypes[[#Headers],[row_id]] ),  COLUMN( co_impactTypes[[#Headers],[sector_id]] ), , , "controlTables" ) ), 1, 0, MAX( co_impactTypes[row_id] ), 1 ) = co_sectors[[#This Row],[sector_id]], co_impactTypes[impactType_label], "" )
)</f>
        <v>Ozone Mortality, PM2.5 Mortality, Ozone Childhood Asthma ED Vists , Ozone New Childhood Asthma, Ozone School Loss Days, PM2.5 Childhood Asthma ED Vists , PM2.5 New Childhood Asthma</v>
      </c>
      <c r="J21" s="21">
        <f ca="1" xml:space="preserve"> IF( co_sectors[[#This Row],[impactYears]] = "NA", 0, 1)</f>
        <v>0</v>
      </c>
      <c r="K21" s="90" t="b" cm="1">
        <f t="array" ref="K21" xml:space="preserve"> SUMPRODUCT( --( co_sectors[[#This Row],[sector_id]] = co_impactTypes[sector_id] ), --IF( co_impactTypes[physicalmeasure] = "N/A", 0, 1) ) &gt;= 1</f>
        <v>1</v>
      </c>
      <c r="L21" s="90" t="b" cm="1">
        <f t="array" ref="L21" xml:space="preserve"> OR( SUMPRODUCT( --( co_sectors[[#This Row],[sector_id]] = co_impactTypes[sector_id] ), --IF( co_impactTypes[c0] &lt;&gt; 0, 1, 0) ) &gt;= 1,
      SUMPRODUCT( --( co_sectors[[#This Row],[sector_id]] = co_impactTypes[sector_id] ), --IF( co_impactTypes[c1] &lt;&gt; 0, 1, 0) ) &gt;= 1 )</f>
        <v>1</v>
      </c>
      <c r="M21" s="90" cm="1">
        <f t="array" ref="M21" xml:space="preserve"> SUMPRODUCT( --( co_sectors[[#This Row],[sector_id]] = co_variants[sector_id] ) )</f>
        <v>2</v>
      </c>
      <c r="N21" s="90" cm="1">
        <f t="array" ref="N21" xml:space="preserve"> SUMPRODUCT( --( co_sectors[[#This Row],[sector_id]] = co_impactTypes[sector_id] ) )</f>
        <v>7</v>
      </c>
      <c r="O21" s="90" cm="1">
        <f t="array" ref="O21" xml:space="preserve"> IF( INDEX( co_impactYears[NA], MATCH( 1, --( co_sectors[[#This Row],[sector_id]] = co_impactYears[sector_id] ), 0 ) ) = "NA", 1, 2 )</f>
        <v>1</v>
      </c>
    </row>
    <row r="22" spans="1:21" x14ac:dyDescent="0.2">
      <c r="B22" s="71">
        <f xml:space="preserve"> ROW( co_sectors[[#This Row],[row_id]] ) - ROW( co_sectors[[#Headers],[row_id]] )</f>
        <v>2</v>
      </c>
      <c r="C22" s="72" t="s">
        <v>252</v>
      </c>
      <c r="D22" s="24" t="s">
        <v>254</v>
      </c>
      <c r="E22" s="12">
        <v>1</v>
      </c>
      <c r="F22" s="15" t="s">
        <v>145</v>
      </c>
      <c r="G22" s="88" t="str" cm="1">
        <f t="array" aca="1" ref="G22" ca="1" xml:space="preserve"> _xlfn.TEXTJOIN( ", ", 1,
  IF( OFFSET( INDIRECT( ADDRESS( ROW( co_variants[[#Headers],[row_id]] ),  COLUMN( co_variants[[#Headers],[sector_id]] ), , , "controlTables" ) ), 1, 0, MAX( co_variants[row_id] ), 1 ) = co_sectors[[#This Row],[sector_id]], co_variants[variant_label], "" )
)</f>
        <v>N/A</v>
      </c>
      <c r="H22" s="88" t="str">
        <f ca="1" xml:space="preserve"> _xlfn.TEXTJOIN( ", ", 1,
  OFFSET( INDIRECT( ADDRESS( ROW( INDEX( co_impactYears[sector_id], MATCH( co_sectors[[#This Row],[sector_id]], co_impactYears[sector_id], 0 ) ) ),  COLUMN( co_impactYears[[#Headers],[sector_id]] ), , , "controlTables" ) ), 0, 1, 1, 4 )
)</f>
        <v>NA</v>
      </c>
      <c r="I22" s="88" t="str" cm="1">
        <f t="array" aca="1" ref="I22" ca="1" xml:space="preserve">  _xlfn.TEXTJOIN( ", ", 1,
  IF( OFFSET( INDIRECT( ADDRESS( ROW( co_impactTypes[[#Headers],[row_id]] ),  COLUMN( co_impactTypes[[#Headers],[sector_id]] ), , , "controlTables" ) ), 1, 0, MAX( co_impactTypes[row_id] ), 1 ) = co_sectors[[#This Row],[sector_id]], co_impactTypes[impactType_label], "" )
)</f>
        <v>N/A</v>
      </c>
      <c r="J22" s="21">
        <f ca="1" xml:space="preserve"> IF( co_sectors[[#This Row],[impactYears]] = "NA", 0, 1)</f>
        <v>0</v>
      </c>
      <c r="K22" s="90" t="b" cm="1">
        <f t="array" ref="K22" xml:space="preserve"> SUMPRODUCT( --( co_sectors[[#This Row],[sector_id]] = co_impactTypes[sector_id] ), --IF( co_impactTypes[physicalmeasure] = "N/A", 0, 1) ) &gt;= 1</f>
        <v>1</v>
      </c>
      <c r="L22" s="90" t="b" cm="1">
        <f t="array" ref="L22" xml:space="preserve"> OR( SUMPRODUCT( --( co_sectors[[#This Row],[sector_id]] = co_impactTypes[sector_id] ), --IF( co_impactTypes[c0] &lt;&gt; 0, 1, 0) ) &gt;= 1,
      SUMPRODUCT( --( co_sectors[[#This Row],[sector_id]] = co_impactTypes[sector_id] ), --IF( co_impactTypes[c1] &lt;&gt; 0, 1, 0) ) &gt;= 1 )</f>
        <v>1</v>
      </c>
      <c r="M22" s="90" cm="1">
        <f t="array" ref="M22" xml:space="preserve"> SUMPRODUCT( --( co_sectors[[#This Row],[sector_id]] = co_variants[sector_id] ) )</f>
        <v>1</v>
      </c>
      <c r="N22" s="90" cm="1">
        <f t="array" ref="N22" xml:space="preserve"> SUMPRODUCT( --( co_sectors[[#This Row],[sector_id]] = co_impactTypes[sector_id] ) )</f>
        <v>1</v>
      </c>
      <c r="O22" s="90" cm="1">
        <f t="array" ref="O22" xml:space="preserve"> IF( INDEX( co_impactYears[NA], MATCH( 1, --( co_sectors[[#This Row],[sector_id]] = co_impactYears[sector_id] ), 0 ) ) = "NA", 1, 2 )</f>
        <v>1</v>
      </c>
    </row>
    <row r="23" spans="1:21" ht="33.75" x14ac:dyDescent="0.2">
      <c r="B23" s="73">
        <f xml:space="preserve"> ROW( co_sectors[[#This Row],[row_id]] ) - ROW( co_sectors[[#Headers],[row_id]] )</f>
        <v>3</v>
      </c>
      <c r="C23" s="70" t="s">
        <v>524</v>
      </c>
      <c r="D23" s="23" t="s">
        <v>527</v>
      </c>
      <c r="E23" s="11">
        <v>1</v>
      </c>
      <c r="F23" s="15" t="s">
        <v>145</v>
      </c>
      <c r="G23" s="88" t="str" cm="1">
        <f t="array" aca="1" ref="G23" ca="1" xml:space="preserve"> _xlfn.TEXTJOIN( ", ", 1,
  IF( OFFSET( INDIRECT( ADDRESS( ROW( co_variants[[#Headers],[row_id]] ),  COLUMN( co_variants[[#Headers],[sector_id]] ), , , "controlTables" ) ), 1, 0, MAX( co_variants[row_id] ), 1 ) = co_sectors[[#This Row],[sector_id]], co_variants[variant_label], "" )
)</f>
        <v>Mean, Low Confidence Interval, High Confidence Interval</v>
      </c>
      <c r="H23" s="88" t="str">
        <f ca="1" xml:space="preserve"> _xlfn.TEXTJOIN( ", ", 1,
  OFFSET( INDIRECT( ADDRESS( ROW( INDEX( co_impactYears[sector_id], MATCH( co_sectors[[#This Row],[sector_id]], co_impactYears[sector_id], 0 ) ) ),  COLUMN( co_impactYears[[#Headers],[sector_id]] ), , , "controlTables" ) ), 0, 1, 1, 4 )
)</f>
        <v>NA</v>
      </c>
      <c r="I23" s="88" t="str" cm="1">
        <f t="array" aca="1" ref="I23" ca="1" xml:space="preserve">  _xlfn.TEXTJOIN( ", ", 1,
  IF( OFFSET( INDIRECT( ADDRESS( ROW( co_impactTypes[[#Headers],[row_id]] ),  COLUMN( co_impactTypes[[#Headers],[sector_id]] ), , , "controlTables" ) ), 1, 0, MAX( co_impactTypes[row_id] ), 1 ) = co_sectors[[#This Row],[sector_id]], co_impactTypes[impactType_label], "" )
)</f>
        <v>N/A</v>
      </c>
      <c r="J23" s="21">
        <f ca="1" xml:space="preserve"> IF( co_sectors[[#This Row],[impactYears]] = "NA", 0, 1)</f>
        <v>0</v>
      </c>
      <c r="K23" s="90" t="b" cm="1">
        <f t="array" ref="K23" xml:space="preserve"> SUMPRODUCT( --( co_sectors[[#This Row],[sector_id]] = co_impactTypes[sector_id] ), --IF( co_impactTypes[physicalmeasure] = "N/A", 0, 1) ) &gt;= 1</f>
        <v>1</v>
      </c>
      <c r="L23" s="90" t="b" cm="1">
        <f t="array" ref="L23" xml:space="preserve"> OR( SUMPRODUCT( --( co_sectors[[#This Row],[sector_id]] = co_impactTypes[sector_id] ), --IF( co_impactTypes[c0] &lt;&gt; 0, 1, 0) ) &gt;= 1,
      SUMPRODUCT( --( co_sectors[[#This Row],[sector_id]] = co_impactTypes[sector_id] ), --IF( co_impactTypes[c1] &lt;&gt; 0, 1, 0) ) &gt;= 1 )</f>
        <v>1</v>
      </c>
      <c r="M23" s="90" cm="1">
        <f t="array" ref="M23" xml:space="preserve"> SUMPRODUCT( --( co_sectors[[#This Row],[sector_id]] = co_variants[sector_id] ) )</f>
        <v>3</v>
      </c>
      <c r="N23" s="90" cm="1">
        <f t="array" ref="N23" xml:space="preserve"> SUMPRODUCT( --( co_sectors[[#This Row],[sector_id]] = co_impactTypes[sector_id] ) )</f>
        <v>1</v>
      </c>
      <c r="O23" s="90" cm="1">
        <f t="array" ref="O23" xml:space="preserve"> IF( INDEX( co_impactYears[NA], MATCH( 1, --( co_sectors[[#This Row],[sector_id]] = co_impactYears[sector_id] ), 0 ) ) = "NA", 1, 2 )</f>
        <v>1</v>
      </c>
    </row>
    <row r="24" spans="1:21" ht="22.5" x14ac:dyDescent="0.2">
      <c r="B24" s="73">
        <f xml:space="preserve"> ROW( co_sectors[[#This Row],[row_id]] ) - ROW( co_sectors[[#Headers],[row_id]] )</f>
        <v>4</v>
      </c>
      <c r="C24" s="70" t="s">
        <v>344</v>
      </c>
      <c r="D24" s="23" t="s">
        <v>346</v>
      </c>
      <c r="E24" s="11">
        <v>1</v>
      </c>
      <c r="F24" s="15" t="s">
        <v>145</v>
      </c>
      <c r="G24" s="88" t="str" cm="1">
        <f t="array" aca="1" ref="G24" ca="1" xml:space="preserve"> _xlfn.TEXTJOIN( ", ", 1,
  IF( OFFSET( INDIRECT( ADDRESS( ROW( co_variants[[#Headers],[row_id]] ),  COLUMN( co_variants[[#Headers],[sector_id]] ), , , "controlTables" ) ), 1, 0, MAX( co_variants[row_id] ), 1 ) = co_sectors[[#This Row],[sector_id]], co_variants[variant_label], "" )
)</f>
        <v>With CO2 Fertilization, Without CO2 Fertilization</v>
      </c>
      <c r="H24" s="88" t="str">
        <f ca="1" xml:space="preserve"> _xlfn.TEXTJOIN( ", ", 1,
  OFFSET( INDIRECT( ADDRESS( ROW( INDEX( co_impactYears[sector_id], MATCH( co_sectors[[#This Row],[sector_id]], co_impactYears[sector_id], 0 ) ) ),  COLUMN( co_impactYears[[#Headers],[sector_id]] ), , , "controlTables" ) ), 0, 1, 1, 4 )
)</f>
        <v>NA</v>
      </c>
      <c r="I24" s="88" t="str" cm="1">
        <f t="array" aca="1" ref="I24" ca="1" xml:space="preserve">  _xlfn.TEXTJOIN( ", ", 1,
  IF( OFFSET( INDIRECT( ADDRESS( ROW( co_impactTypes[[#Headers],[row_id]] ),  COLUMN( co_impactTypes[[#Headers],[sector_id]] ), , , "controlTables" ) ), 1, 0, MAX( co_impactTypes[row_id] ), 1 ) = co_sectors[[#This Row],[sector_id]], co_impactTypes[impactType_label], "" )
)</f>
        <v>Cotton, Maize, Soybean, Wheat</v>
      </c>
      <c r="J24" s="21">
        <f ca="1" xml:space="preserve"> IF( co_sectors[[#This Row],[impactYears]] = "NA", 0, 1)</f>
        <v>0</v>
      </c>
      <c r="K24" s="90" t="b" cm="1">
        <f t="array" ref="K24" xml:space="preserve"> SUMPRODUCT( --( co_sectors[[#This Row],[sector_id]] = co_impactTypes[sector_id] ), --IF( co_impactTypes[physicalmeasure] = "N/A", 0, 1) ) &gt;= 1</f>
        <v>0</v>
      </c>
      <c r="L24" s="90" t="b" cm="1">
        <f t="array" ref="L24" xml:space="preserve"> OR( SUMPRODUCT( --( co_sectors[[#This Row],[sector_id]] = co_impactTypes[sector_id] ), --IF( co_impactTypes[c0] &lt;&gt; 0, 1, 0) ) &gt;= 1,
      SUMPRODUCT( --( co_sectors[[#This Row],[sector_id]] = co_impactTypes[sector_id] ), --IF( co_impactTypes[c1] &lt;&gt; 0, 1, 0) ) &gt;= 1 )</f>
        <v>1</v>
      </c>
      <c r="M24" s="90" cm="1">
        <f t="array" ref="M24" xml:space="preserve"> SUMPRODUCT( --( co_sectors[[#This Row],[sector_id]] = co_variants[sector_id] ) )</f>
        <v>2</v>
      </c>
      <c r="N24" s="90" cm="1">
        <f t="array" ref="N24" xml:space="preserve"> SUMPRODUCT( --( co_sectors[[#This Row],[sector_id]] = co_impactTypes[sector_id] ) )</f>
        <v>4</v>
      </c>
      <c r="O24" s="90" cm="1">
        <f t="array" ref="O24" xml:space="preserve"> IF( INDEX( co_impactYears[NA], MATCH( 1, --( co_sectors[[#This Row],[sector_id]] = co_impactYears[sector_id] ), 0 ) ) = "NA", 1, 2 )</f>
        <v>1</v>
      </c>
    </row>
    <row r="25" spans="1:21" x14ac:dyDescent="0.2">
      <c r="B25" s="73">
        <f xml:space="preserve"> ROW( co_sectors[[#This Row],[row_id]] ) - ROW( co_sectors[[#Headers],[row_id]] )</f>
        <v>5</v>
      </c>
      <c r="C25" s="70" t="s">
        <v>345</v>
      </c>
      <c r="D25" s="23" t="s">
        <v>347</v>
      </c>
      <c r="E25" s="11">
        <v>1</v>
      </c>
      <c r="F25" s="14" t="s">
        <v>145</v>
      </c>
      <c r="G25" s="88" t="str" cm="1">
        <f t="array" aca="1" ref="G25" ca="1" xml:space="preserve"> _xlfn.TEXTJOIN( ", ", 1,
  IF( OFFSET( INDIRECT( ADDRESS( ROW( co_variants[[#Headers],[row_id]] ),  COLUMN( co_variants[[#Headers],[sector_id]] ), , , "controlTables" ) ), 1, 0, MAX( co_variants[row_id] ), 1 ) = co_sectors[[#This Row],[sector_id]], co_variants[variant_label], "" )
)</f>
        <v>N/A</v>
      </c>
      <c r="H25" s="88" t="str">
        <f ca="1" xml:space="preserve"> _xlfn.TEXTJOIN( ", ", 1,
  OFFSET( INDIRECT( ADDRESS( ROW( INDEX( co_impactYears[sector_id], MATCH( co_sectors[[#This Row],[sector_id]], co_impactYears[sector_id], 0 ) ) ),  COLUMN( co_impactYears[[#Headers],[sector_id]] ), , , "controlTables" ) ), 0, 1, 1, 4 )
)</f>
        <v>NA</v>
      </c>
      <c r="I25" s="88" t="str" cm="1">
        <f t="array" aca="1" ref="I25" ca="1" xml:space="preserve">  _xlfn.TEXTJOIN( ", ", 1,
  IF( OFFSET( INDIRECT( ADDRESS( ROW( co_impactTypes[[#Headers],[row_id]] ),  COLUMN( co_impactTypes[[#Headers],[sector_id]] ), , , "controlTables" ) ), 1, 0, MAX( co_impactTypes[row_id] ), 1 ) = co_sectors[[#This Row],[sector_id]], co_impactTypes[impactType_label], "" )
)</f>
        <v>Property, Violent</v>
      </c>
      <c r="J25" s="21">
        <f ca="1" xml:space="preserve"> IF( co_sectors[[#This Row],[impactYears]] = "NA", 0, 1)</f>
        <v>0</v>
      </c>
      <c r="K25" s="90" t="b" cm="1">
        <f t="array" ref="K25" xml:space="preserve"> SUMPRODUCT( --( co_sectors[[#This Row],[sector_id]] = co_impactTypes[sector_id] ), --IF( co_impactTypes[physicalmeasure] = "N/A", 0, 1) ) &gt;= 1</f>
        <v>1</v>
      </c>
      <c r="L25" s="90" t="b" cm="1">
        <f t="array" ref="L25" xml:space="preserve"> OR( SUMPRODUCT( --( co_sectors[[#This Row],[sector_id]] = co_impactTypes[sector_id] ), --IF( co_impactTypes[c0] &lt;&gt; 0, 1, 0) ) &gt;= 1,
      SUMPRODUCT( --( co_sectors[[#This Row],[sector_id]] = co_impactTypes[sector_id] ), --IF( co_impactTypes[c1] &lt;&gt; 0, 1, 0) ) &gt;= 1 )</f>
        <v>1</v>
      </c>
      <c r="M25" s="90" cm="1">
        <f t="array" ref="M25" xml:space="preserve"> SUMPRODUCT( --( co_sectors[[#This Row],[sector_id]] = co_variants[sector_id] ) )</f>
        <v>1</v>
      </c>
      <c r="N25" s="90" cm="1">
        <f t="array" ref="N25" xml:space="preserve"> SUMPRODUCT( --( co_sectors[[#This Row],[sector_id]] = co_impactTypes[sector_id] ) )</f>
        <v>2</v>
      </c>
      <c r="O25" s="90" cm="1">
        <f t="array" ref="O25" xml:space="preserve"> IF( INDEX( co_impactYears[NA], MATCH( 1, --( co_sectors[[#This Row],[sector_id]] = co_impactYears[sector_id] ), 0 ) ) = "NA", 1, 2 )</f>
        <v>1</v>
      </c>
    </row>
    <row r="26" spans="1:21" ht="33.75" x14ac:dyDescent="0.2">
      <c r="B26" s="73">
        <f xml:space="preserve"> ROW( co_sectors[[#This Row],[row_id]] ) - ROW( co_sectors[[#Headers],[row_id]] )</f>
        <v>6</v>
      </c>
      <c r="C26" s="74" t="s">
        <v>525</v>
      </c>
      <c r="D26" s="66" t="s">
        <v>528</v>
      </c>
      <c r="E26" s="67">
        <v>1</v>
      </c>
      <c r="F26" s="64" t="s">
        <v>145</v>
      </c>
      <c r="G26" s="88" t="str" cm="1">
        <f t="array" aca="1" ref="G26" ca="1" xml:space="preserve"> _xlfn.TEXTJOIN( ", ", 1,
  IF( OFFSET( INDIRECT( ADDRESS( ROW( co_variants[[#Headers],[row_id]] ),  COLUMN( co_variants[[#Headers],[sector_id]] ), , , "controlTables" ) ), 1, 0, MAX( co_variants[row_id] ), 1 ) = co_sectors[[#This Row],[sector_id]], co_variants[variant_label], "" )
)</f>
        <v>Median, Low Confidence Interval, High Confidence Interval</v>
      </c>
      <c r="H26" s="88" t="str">
        <f ca="1" xml:space="preserve"> _xlfn.TEXTJOIN( ", ", 1,
  OFFSET( INDIRECT( ADDRESS( ROW( INDEX( co_impactYears[sector_id], MATCH( co_sectors[[#This Row],[sector_id]], co_impactYears[sector_id], 0 ) ) ),  COLUMN( co_impactYears[[#Headers],[sector_id]] ), , , "controlTables" ) ), 0, 1, 1, 4 )
)</f>
        <v>NA</v>
      </c>
      <c r="I26" s="88" t="str" cm="1">
        <f t="array" aca="1" ref="I26" ca="1" xml:space="preserve">  _xlfn.TEXTJOIN( ", ", 1,
  IF( OFFSET( INDIRECT( ADDRESS( ROW( co_impactTypes[[#Headers],[row_id]] ),  COLUMN( co_impactTypes[[#Headers],[sector_id]] ), , , "controlTables" ) ), 1, 0, MAX( co_impactTypes[row_id] ), 1 ) = co_sectors[[#This Row],[sector_id]], co_impactTypes[impactType_label], "" )
)</f>
        <v>N/A</v>
      </c>
      <c r="J26" s="21">
        <f ca="1" xml:space="preserve"> IF( co_sectors[[#This Row],[impactYears]] = "NA", 0, 1)</f>
        <v>0</v>
      </c>
      <c r="K26" s="90" t="b" cm="1">
        <f t="array" ref="K26" xml:space="preserve"> SUMPRODUCT( --( co_sectors[[#This Row],[sector_id]] = co_impactTypes[sector_id] ), --IF( co_impactTypes[physicalmeasure] = "N/A", 0, 1) ) &gt;= 1</f>
        <v>1</v>
      </c>
      <c r="L26" s="90" t="b" cm="1">
        <f t="array" ref="L26" xml:space="preserve"> OR( SUMPRODUCT( --( co_sectors[[#This Row],[sector_id]] = co_impactTypes[sector_id] ), --IF( co_impactTypes[c0] &lt;&gt; 0, 1, 0) ) &gt;= 1,
      SUMPRODUCT( --( co_sectors[[#This Row],[sector_id]] = co_impactTypes[sector_id] ), --IF( co_impactTypes[c1] &lt;&gt; 0, 1, 0) ) &gt;= 1 )</f>
        <v>1</v>
      </c>
      <c r="M26" s="90" cm="1">
        <f t="array" ref="M26" xml:space="preserve"> SUMPRODUCT( --( co_sectors[[#This Row],[sector_id]] = co_variants[sector_id] ) )</f>
        <v>3</v>
      </c>
      <c r="N26" s="90" cm="1">
        <f t="array" ref="N26" xml:space="preserve"> SUMPRODUCT( --( co_sectors[[#This Row],[sector_id]] = co_impactTypes[sector_id] ) )</f>
        <v>1</v>
      </c>
      <c r="O26" s="90" cm="1">
        <f t="array" ref="O26" xml:space="preserve"> IF( INDEX( co_impactYears[NA], MATCH( 1, --( co_sectors[[#This Row],[sector_id]] = co_impactYears[sector_id] ), 0 ) ) = "NA", 1, 2 )</f>
        <v>1</v>
      </c>
    </row>
    <row r="27" spans="1:21" ht="33.75" x14ac:dyDescent="0.2">
      <c r="B27" s="73">
        <f xml:space="preserve"> ROW( co_sectors[[#This Row],[row_id]] ) - ROW( co_sectors[[#Headers],[row_id]] )</f>
        <v>7</v>
      </c>
      <c r="C27" s="70" t="s">
        <v>21</v>
      </c>
      <c r="D27" s="23" t="s">
        <v>35</v>
      </c>
      <c r="E27" s="11">
        <v>1</v>
      </c>
      <c r="F27" s="15" t="s">
        <v>144</v>
      </c>
      <c r="G27" s="88" t="str" cm="1">
        <f t="array" aca="1" ref="G27"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H27" s="88" t="str">
        <f ca="1" xml:space="preserve"> _xlfn.TEXTJOIN( ", ", 1,
  OFFSET( INDIRECT( ADDRESS( ROW( INDEX( co_impactYears[sector_id], MATCH( co_sectors[[#This Row],[sector_id]], co_impactYears[sector_id], 0 ) ) ),  COLUMN( co_impactYears[[#Headers],[sector_id]] ), , , "controlTables" ) ), 0, 1, 1, 4 )
)</f>
        <v>NA</v>
      </c>
      <c r="I27" s="88" t="str" cm="1">
        <f t="array" aca="1" ref="I27" ca="1" xml:space="preserve">  _xlfn.TEXTJOIN( ", ", 1,
  IF( OFFSET( INDIRECT( ADDRESS( ROW( co_impactTypes[[#Headers],[row_id]] ),  COLUMN( co_impactTypes[[#Headers],[sector_id]] ), , , "controlTables" ) ), 1, 0, MAX( co_impactTypes[row_id] ), 1 ) = co_sectors[[#This Row],[sector_id]], co_impactTypes[impactType_label], "" )
)</f>
        <v>N/A</v>
      </c>
      <c r="J27" s="22">
        <f ca="1" xml:space="preserve"> IF( co_sectors[[#This Row],[impactYears]] = "NA", 0, 1)</f>
        <v>0</v>
      </c>
      <c r="K27" s="90" t="b" cm="1">
        <f t="array" ref="K27" xml:space="preserve"> SUMPRODUCT( --( co_sectors[[#This Row],[sector_id]] = co_impactTypes[sector_id] ), --IF( co_impactTypes[physicalmeasure] = "N/A", 0, 1) ) &gt;= 1</f>
        <v>0</v>
      </c>
      <c r="L27" s="90" t="b" cm="1">
        <f t="array" ref="L27" xml:space="preserve"> OR( SUMPRODUCT( --( co_sectors[[#This Row],[sector_id]] = co_impactTypes[sector_id] ), --IF( co_impactTypes[c0] &lt;&gt; 0, 1, 0) ) &gt;= 1,
      SUMPRODUCT( --( co_sectors[[#This Row],[sector_id]] = co_impactTypes[sector_id] ), --IF( co_impactTypes[c1] &lt;&gt; 0, 1, 0) ) &gt;= 1 )</f>
        <v>1</v>
      </c>
      <c r="M27" s="90" cm="1">
        <f t="array" ref="M27" xml:space="preserve"> SUMPRODUCT( --( co_sectors[[#This Row],[sector_id]] = co_variants[sector_id] ) )</f>
        <v>3</v>
      </c>
      <c r="N27" s="90" cm="1">
        <f t="array" ref="N27" xml:space="preserve"> SUMPRODUCT( --( co_sectors[[#This Row],[sector_id]] = co_impactTypes[sector_id] ) )</f>
        <v>1</v>
      </c>
      <c r="O27" s="90" cm="1">
        <f t="array" ref="O27" xml:space="preserve"> IF( INDEX( co_impactYears[NA], MATCH( 1, --( co_sectors[[#This Row],[sector_id]] = co_impactYears[sector_id] ), 0 ) ) = "NA", 1, 2 )</f>
        <v>1</v>
      </c>
    </row>
    <row r="28" spans="1:21" ht="22.5" x14ac:dyDescent="0.2">
      <c r="B28" s="73">
        <f xml:space="preserve"> ROW( co_sectors[[#This Row],[row_id]] ) - ROW( co_sectors[[#Headers],[row_id]] )</f>
        <v>8</v>
      </c>
      <c r="C28" s="75" t="s">
        <v>57</v>
      </c>
      <c r="D28" s="23" t="s">
        <v>251</v>
      </c>
      <c r="E28" s="12">
        <v>1</v>
      </c>
      <c r="F28" s="14" t="s">
        <v>145</v>
      </c>
      <c r="G28" s="88" t="str" cm="1">
        <f t="array" aca="1" ref="G28" ca="1" xml:space="preserve"> _xlfn.TEXTJOIN( ", ", 1,
  IF( OFFSET( INDIRECT( ADDRESS( ROW( co_variants[[#Headers],[row_id]] ),  COLUMN( co_variants[[#Headers],[sector_id]] ), , , "controlTables" ) ), 1, 0, MAX( co_variants[row_id] ), 1 ) = co_sectors[[#This Row],[sector_id]], co_variants[variant_label], "" )
)</f>
        <v>N/A</v>
      </c>
      <c r="H28" s="88" t="str">
        <f ca="1" xml:space="preserve"> _xlfn.TEXTJOIN( ", ", 1,
  OFFSET( INDIRECT( ADDRESS( ROW( INDEX( co_impactYears[sector_id], MATCH( co_sectors[[#This Row],[sector_id]], co_impactYears[sector_id], 0 ) ) ),  COLUMN( co_impactYears[[#Headers],[sector_id]] ), , , "controlTables" ) ), 0, 1, 1, 4 )
)</f>
        <v>NA</v>
      </c>
      <c r="I28" s="88" t="str" cm="1">
        <f t="array" aca="1" ref="I28" ca="1" xml:space="preserve">  _xlfn.TEXTJOIN( ", ", 1,
  IF( OFFSET( INDIRECT( ADDRESS( ROW( co_impactTypes[[#Headers],[row_id]] ),  COLUMN( co_impactTypes[[#Headers],[sector_id]] ), , , "controlTables" ) ), 1, 0, MAX( co_impactTypes[row_id] ), 1 ) = co_sectors[[#This Row],[sector_id]], co_impactTypes[impactType_label], "" )
)</f>
        <v>N/A</v>
      </c>
      <c r="J28" s="21">
        <f ca="1" xml:space="preserve"> IF( co_sectors[[#This Row],[impactYears]] = "NA", 0, 1)</f>
        <v>0</v>
      </c>
      <c r="K28" s="90" t="b" cm="1">
        <f t="array" ref="K28" xml:space="preserve"> SUMPRODUCT( --( co_sectors[[#This Row],[sector_id]] = co_impactTypes[sector_id] ), --IF( co_impactTypes[physicalmeasure] = "N/A", 0, 1) ) &gt;= 1</f>
        <v>0</v>
      </c>
      <c r="L28" s="90" t="b" cm="1">
        <f t="array" ref="L28" xml:space="preserve"> OR( SUMPRODUCT( --( co_sectors[[#This Row],[sector_id]] = co_impactTypes[sector_id] ), --IF( co_impactTypes[c0] &lt;&gt; 0, 1, 0) ) &gt;= 1,
      SUMPRODUCT( --( co_sectors[[#This Row],[sector_id]] = co_impactTypes[sector_id] ), --IF( co_impactTypes[c1] &lt;&gt; 0, 1, 0) ) &gt;= 1 )</f>
        <v>1</v>
      </c>
      <c r="M28" s="90" cm="1">
        <f t="array" ref="M28" xml:space="preserve"> SUMPRODUCT( --( co_sectors[[#This Row],[sector_id]] = co_variants[sector_id] ) )</f>
        <v>1</v>
      </c>
      <c r="N28" s="90" cm="1">
        <f t="array" ref="N28" xml:space="preserve"> SUMPRODUCT( --( co_sectors[[#This Row],[sector_id]] = co_impactTypes[sector_id] ) )</f>
        <v>1</v>
      </c>
      <c r="O28" s="90" cm="1">
        <f t="array" ref="O28" xml:space="preserve"> IF( INDEX( co_impactYears[NA], MATCH( 1, --( co_sectors[[#This Row],[sector_id]] = co_impactYears[sector_id] ), 0 ) ) = "NA", 1, 2 )</f>
        <v>1</v>
      </c>
    </row>
    <row r="29" spans="1:21" ht="33.75" x14ac:dyDescent="0.2">
      <c r="B29" s="73">
        <f xml:space="preserve"> ROW( co_sectors[[#This Row],[row_id]] ) - ROW( co_sectors[[#Headers],[row_id]] )</f>
        <v>9</v>
      </c>
      <c r="C29" s="75" t="s">
        <v>250</v>
      </c>
      <c r="D29" s="23" t="s">
        <v>249</v>
      </c>
      <c r="E29" s="12">
        <v>1</v>
      </c>
      <c r="F29" s="14" t="s">
        <v>145</v>
      </c>
      <c r="G29" s="88" t="str" cm="1">
        <f t="array" aca="1" ref="G29"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H29" s="88" t="str">
        <f ca="1" xml:space="preserve"> _xlfn.TEXTJOIN( ", ", 1,
  OFFSET( INDIRECT( ADDRESS( ROW( INDEX( co_impactYears[sector_id], MATCH( co_sectors[[#This Row],[sector_id]], co_impactYears[sector_id], 0 ) ) ),  COLUMN( co_impactYears[[#Headers],[sector_id]] ), , , "controlTables" ) ), 0, 1, 1, 4 )
)</f>
        <v>NA</v>
      </c>
      <c r="I29" s="88" t="str" cm="1">
        <f t="array" aca="1" ref="I29" ca="1" xml:space="preserve">  _xlfn.TEXTJOIN( ", ", 1,
  IF( OFFSET( INDIRECT( ADDRESS( ROW( co_impactTypes[[#Headers],[row_id]] ),  COLUMN( co_impactTypes[[#Headers],[sector_id]] ), , , "controlTables" ) ), 1, 0, MAX( co_impactTypes[row_id] ), 1 ) = co_sectors[[#This Row],[sector_id]], co_impactTypes[impactType_label], "" )
)</f>
        <v>N/A</v>
      </c>
      <c r="J29" s="21">
        <f ca="1" xml:space="preserve"> IF( co_sectors[[#This Row],[impactYears]] = "NA", 0, 1)</f>
        <v>0</v>
      </c>
      <c r="K29" s="90" t="b" cm="1">
        <f t="array" ref="K29" xml:space="preserve"> SUMPRODUCT( --( co_sectors[[#This Row],[sector_id]] = co_impactTypes[sector_id] ), --IF( co_impactTypes[physicalmeasure] = "N/A", 0, 1) ) &gt;= 1</f>
        <v>0</v>
      </c>
      <c r="L29" s="90" t="b" cm="1">
        <f t="array" ref="L29" xml:space="preserve"> OR( SUMPRODUCT( --( co_sectors[[#This Row],[sector_id]] = co_impactTypes[sector_id] ), --IF( co_impactTypes[c0] &lt;&gt; 0, 1, 0) ) &gt;= 1,
      SUMPRODUCT( --( co_sectors[[#This Row],[sector_id]] = co_impactTypes[sector_id] ), --IF( co_impactTypes[c1] &lt;&gt; 0, 1, 0) ) &gt;= 1 )</f>
        <v>1</v>
      </c>
      <c r="M29" s="90" cm="1">
        <f t="array" ref="M29" xml:space="preserve"> SUMPRODUCT( --( co_sectors[[#This Row],[sector_id]] = co_variants[sector_id] ) )</f>
        <v>3</v>
      </c>
      <c r="N29" s="90" cm="1">
        <f t="array" ref="N29" xml:space="preserve"> SUMPRODUCT( --( co_sectors[[#This Row],[sector_id]] = co_impactTypes[sector_id] ) )</f>
        <v>1</v>
      </c>
      <c r="O29" s="90" cm="1">
        <f t="array" ref="O29" xml:space="preserve"> IF( INDEX( co_impactYears[NA], MATCH( 1, --( co_sectors[[#This Row],[sector_id]] = co_impactYears[sector_id] ), 0 ) ) = "NA", 1, 2 )</f>
        <v>1</v>
      </c>
    </row>
    <row r="30" spans="1:21" ht="22.5" x14ac:dyDescent="0.2">
      <c r="B30" s="73">
        <f xml:space="preserve"> ROW( co_sectors[[#This Row],[row_id]] ) - ROW( co_sectors[[#Headers],[row_id]] )</f>
        <v>10</v>
      </c>
      <c r="C30" s="70" t="s">
        <v>15</v>
      </c>
      <c r="D30" s="23" t="s">
        <v>36</v>
      </c>
      <c r="E30" s="11">
        <v>1</v>
      </c>
      <c r="F30" s="14" t="s">
        <v>145</v>
      </c>
      <c r="G30" s="88" t="str" cm="1">
        <f t="array" aca="1" ref="G30" ca="1" xml:space="preserve"> _xlfn.TEXTJOIN( ", ", 1,
  IF( OFFSET( INDIRECT( ADDRESS( ROW( co_variants[[#Headers],[row_id]] ),  COLUMN( co_variants[[#Headers],[sector_id]] ), , , "controlTables" ) ), 1, 0, MAX( co_variants[row_id] ), 1 ) = co_sectors[[#This Row],[sector_id]], co_variants[variant_label], "" )
)</f>
        <v>Adaptation, No Additional Adaptation</v>
      </c>
      <c r="H30" s="88" t="str">
        <f ca="1" xml:space="preserve"> _xlfn.TEXTJOIN( ", ", 1,
  OFFSET( INDIRECT( ADDRESS( ROW( INDEX( co_impactYears[sector_id], MATCH( co_sectors[[#This Row],[sector_id]], co_impactYears[sector_id], 0 ) ) ),  COLUMN( co_impactYears[[#Headers],[sector_id]] ), , , "controlTables" ) ), 0, 1, 1, 4 )
)</f>
        <v>2010, 2090</v>
      </c>
      <c r="I30" s="88" t="str" cm="1">
        <f t="array" aca="1" ref="I30" ca="1" xml:space="preserve">  _xlfn.TEXTJOIN( ", ", 1,
  IF( OFFSET( INDIRECT( ADDRESS( ROW( co_impactTypes[[#Headers],[row_id]] ),  COLUMN( co_impactTypes[[#Headers],[sector_id]] ), , , "controlTables" ) ), 1, 0, MAX( co_impactTypes[row_id] ), 1 ) = co_sectors[[#This Row],[sector_id]], co_impactTypes[impactType_label], "" )
)</f>
        <v>Cold, Hot</v>
      </c>
      <c r="J30" s="21">
        <f ca="1" xml:space="preserve"> IF( co_sectors[[#This Row],[impactYears]] = "NA", 0, 1)</f>
        <v>1</v>
      </c>
      <c r="K30" s="90" t="b" cm="1">
        <f t="array" ref="K30" xml:space="preserve"> SUMPRODUCT( --( co_sectors[[#This Row],[sector_id]] = co_impactTypes[sector_id] ), --IF( co_impactTypes[physicalmeasure] = "N/A", 0, 1) ) &gt;= 1</f>
        <v>1</v>
      </c>
      <c r="L30" s="90" t="b" cm="1">
        <f t="array" ref="L30" xml:space="preserve"> OR( SUMPRODUCT( --( co_sectors[[#This Row],[sector_id]] = co_impactTypes[sector_id] ), --IF( co_impactTypes[c0] &lt;&gt; 0, 1, 0) ) &gt;= 1,
      SUMPRODUCT( --( co_sectors[[#This Row],[sector_id]] = co_impactTypes[sector_id] ), --IF( co_impactTypes[c1] &lt;&gt; 0, 1, 0) ) &gt;= 1 )</f>
        <v>1</v>
      </c>
      <c r="M30" s="90" cm="1">
        <f t="array" ref="M30" xml:space="preserve"> SUMPRODUCT( --( co_sectors[[#This Row],[sector_id]] = co_variants[sector_id] ) )</f>
        <v>2</v>
      </c>
      <c r="N30" s="90" cm="1">
        <f t="array" ref="N30" xml:space="preserve"> SUMPRODUCT( --( co_sectors[[#This Row],[sector_id]] = co_impactTypes[sector_id] ) )</f>
        <v>2</v>
      </c>
      <c r="O30" s="90" cm="1">
        <f t="array" ref="O30" xml:space="preserve"> IF( INDEX( co_impactYears[NA], MATCH( 1, --( co_sectors[[#This Row],[sector_id]] = co_impactYears[sector_id] ), 0 ) ) = "NA", 1, 2 )</f>
        <v>2</v>
      </c>
    </row>
    <row r="31" spans="1:21" x14ac:dyDescent="0.2">
      <c r="B31" s="73">
        <f xml:space="preserve"> ROW( co_sectors[[#This Row],[row_id]] ) - ROW( co_sectors[[#Headers],[row_id]] )</f>
        <v>11</v>
      </c>
      <c r="C31" s="75" t="s">
        <v>620</v>
      </c>
      <c r="D31" s="23" t="s">
        <v>621</v>
      </c>
      <c r="E31" s="12">
        <v>1</v>
      </c>
      <c r="F31" s="15" t="s">
        <v>145</v>
      </c>
      <c r="G31" s="88" t="str" cm="1">
        <f t="array" aca="1" ref="G31" ca="1" xml:space="preserve"> _xlfn.TEXTJOIN( ", ", 1,
  IF( OFFSET( INDIRECT( ADDRESS( ROW( co_variants[[#Headers],[row_id]] ),  COLUMN( co_variants[[#Headers],[sector_id]] ), , , "controlTables" ) ), 1, 0, MAX( co_variants[row_id] ), 1 ) = co_sectors[[#This Row],[sector_id]], co_variants[variant_label], "" )
)</f>
        <v>SSP2 Pathway, SSP5 Pathway</v>
      </c>
      <c r="H31" s="88" t="str">
        <f ca="1" xml:space="preserve"> _xlfn.TEXTJOIN( ", ", 1,
  OFFSET( INDIRECT( ADDRESS( ROW( INDEX( co_impactYears[sector_id], MATCH( co_sectors[[#This Row],[sector_id]], co_impactYears[sector_id], 0 ) ) ),  COLUMN( co_impactYears[[#Headers],[sector_id]] ), , , "controlTables" ) ), 0, 1, 1, 4 )
)</f>
        <v>NA</v>
      </c>
      <c r="I31" s="88" t="str" cm="1">
        <f t="array" aca="1" ref="I31" ca="1" xml:space="preserve">  _xlfn.TEXTJOIN( ", ", 1,
  IF( OFFSET( INDIRECT( ADDRESS( ROW( co_impactTypes[[#Headers],[row_id]] ),  COLUMN( co_impactTypes[[#Headers],[sector_id]] ), , , "controlTables" ) ), 1, 0, MAX( co_impactTypes[row_id] ), 1 ) = co_sectors[[#This Row],[sector_id]], co_impactTypes[impactType_label], "" )
)</f>
        <v>N/A</v>
      </c>
      <c r="J31" s="21">
        <f ca="1" xml:space="preserve"> IF( co_sectors[[#This Row],[impactYears]] = "NA", 0, 1)</f>
        <v>0</v>
      </c>
      <c r="K31" s="90" t="b" cm="1">
        <f t="array" ref="K31" xml:space="preserve"> SUMPRODUCT( --( co_sectors[[#This Row],[sector_id]] = co_impactTypes[sector_id] ), --IF( co_impactTypes[physicalmeasure] = "N/A", 0, 1) ) &gt;= 1</f>
        <v>0</v>
      </c>
      <c r="L31" s="90" t="b" cm="1">
        <f t="array" ref="L31" xml:space="preserve"> OR( SUMPRODUCT( --( co_sectors[[#This Row],[sector_id]] = co_impactTypes[sector_id] ), --IF( co_impactTypes[c0] &lt;&gt; 0, 1, 0) ) &gt;= 1,
      SUMPRODUCT( --( co_sectors[[#This Row],[sector_id]] = co_impactTypes[sector_id] ), --IF( co_impactTypes[c1] &lt;&gt; 0, 1, 0) ) &gt;= 1 )</f>
        <v>1</v>
      </c>
      <c r="M31" s="90" cm="1">
        <f t="array" ref="M31" xml:space="preserve"> SUMPRODUCT( --( co_sectors[[#This Row],[sector_id]] = co_variants[sector_id] ) )</f>
        <v>2</v>
      </c>
      <c r="N31" s="90" cm="1">
        <f t="array" ref="N31" xml:space="preserve"> SUMPRODUCT( --( co_sectors[[#This Row],[sector_id]] = co_impactTypes[sector_id] ) )</f>
        <v>1</v>
      </c>
      <c r="O31" s="90" cm="1">
        <f t="array" ref="O31" xml:space="preserve"> IF( INDEX( co_impactYears[NA], MATCH( 1, --( co_sectors[[#This Row],[sector_id]] = co_impactYears[sector_id] ), 0 ) ) = "NA", 1, 2 )</f>
        <v>1</v>
      </c>
    </row>
    <row r="32" spans="1:21" ht="45" x14ac:dyDescent="0.2">
      <c r="B32" s="73">
        <f xml:space="preserve"> ROW( co_sectors[[#This Row],[row_id]] ) - ROW( co_sectors[[#Headers],[row_id]] )</f>
        <v>12</v>
      </c>
      <c r="C32" s="70" t="s">
        <v>58</v>
      </c>
      <c r="D32" s="23" t="s">
        <v>529</v>
      </c>
      <c r="E32" s="11">
        <v>1</v>
      </c>
      <c r="F32" s="15" t="s">
        <v>144</v>
      </c>
      <c r="G32" s="88" t="str" cm="1">
        <f t="array" aca="1" ref="G32" ca="1" xml:space="preserve"> _xlfn.TEXTJOIN( ", ", 1,
  IF( OFFSET( INDIRECT( ADDRESS( ROW( co_variants[[#Headers],[row_id]] ),  COLUMN( co_variants[[#Headers],[sector_id]] ), , , "controlTables" ) ), 1, 0, MAX( co_variants[row_id] ), 1 ) = co_sectors[[#This Row],[sector_id]], co_variants[variant_label], "" )
)</f>
        <v>Direct Adaptation, No Additional Adaptation, Reasonably Anticipated Adaptation</v>
      </c>
      <c r="H32" s="88" t="str">
        <f ca="1" xml:space="preserve"> _xlfn.TEXTJOIN( ", ", 1,
  OFFSET( INDIRECT( ADDRESS( ROW( INDEX( co_impactYears[sector_id], MATCH( co_sectors[[#This Row],[sector_id]], co_impactYears[sector_id], 0 ) ) ),  COLUMN( co_impactYears[[#Headers],[sector_id]] ), , , "controlTables" ) ), 0, 1, 1, 4 )
)</f>
        <v>NA</v>
      </c>
      <c r="I32" s="88" t="str" cm="1">
        <f t="array" aca="1" ref="I32" ca="1" xml:space="preserve">  _xlfn.TEXTJOIN( ", ", 1,
  IF( OFFSET( INDIRECT( ADDRESS( ROW( co_impactTypes[[#Headers],[row_id]] ),  COLUMN( co_impactTypes[[#Headers],[sector_id]] ), , , "controlTables" ) ), 1, 0, MAX( co_impactTypes[row_id] ), 1 ) = co_sectors[[#This Row],[sector_id]], co_impactTypes[impactType_label], "" )
)</f>
        <v>N/A</v>
      </c>
      <c r="J32" s="22">
        <f ca="1" xml:space="preserve"> IF( co_sectors[[#This Row],[impactYears]] = "NA", 0, 1)</f>
        <v>0</v>
      </c>
      <c r="K32" s="90" t="b" cm="1">
        <f t="array" ref="K32" xml:space="preserve"> SUMPRODUCT( --( co_sectors[[#This Row],[sector_id]] = co_impactTypes[sector_id] ), --IF( co_impactTypes[physicalmeasure] = "N/A", 0, 1) ) &gt;= 1</f>
        <v>0</v>
      </c>
      <c r="L32" s="90" t="b" cm="1">
        <f t="array" ref="L32" xml:space="preserve"> OR( SUMPRODUCT( --( co_sectors[[#This Row],[sector_id]] = co_impactTypes[sector_id] ), --IF( co_impactTypes[c0] &lt;&gt; 0, 1, 0) ) &gt;= 1,
      SUMPRODUCT( --( co_sectors[[#This Row],[sector_id]] = co_impactTypes[sector_id] ), --IF( co_impactTypes[c1] &lt;&gt; 0, 1, 0) ) &gt;= 1 )</f>
        <v>1</v>
      </c>
      <c r="M32" s="90" cm="1">
        <f t="array" ref="M32" xml:space="preserve"> SUMPRODUCT( --( co_sectors[[#This Row],[sector_id]] = co_variants[sector_id] ) )</f>
        <v>3</v>
      </c>
      <c r="N32" s="90" cm="1">
        <f t="array" ref="N32" xml:space="preserve"> SUMPRODUCT( --( co_sectors[[#This Row],[sector_id]] = co_impactTypes[sector_id] ) )</f>
        <v>1</v>
      </c>
      <c r="O32" s="90" cm="1">
        <f t="array" ref="O32" xml:space="preserve"> IF( INDEX( co_impactYears[NA], MATCH( 1, --( co_sectors[[#This Row],[sector_id]] = co_impactYears[sector_id] ), 0 ) ) = "NA", 1, 2 )</f>
        <v>1</v>
      </c>
    </row>
    <row r="33" spans="2:15" x14ac:dyDescent="0.2">
      <c r="B33" s="73">
        <f xml:space="preserve"> ROW( co_sectors[[#This Row],[row_id]] ) - ROW( co_sectors[[#Headers],[row_id]] )</f>
        <v>13</v>
      </c>
      <c r="C33" s="70" t="s">
        <v>19</v>
      </c>
      <c r="D33" s="23" t="s">
        <v>312</v>
      </c>
      <c r="E33" s="11">
        <v>1</v>
      </c>
      <c r="F33" s="15" t="s">
        <v>145</v>
      </c>
      <c r="G33" s="88" t="str" cm="1">
        <f t="array" aca="1" ref="G33" ca="1" xml:space="preserve"> _xlfn.TEXTJOIN( ", ", 1,
  IF( OFFSET( INDIRECT( ADDRESS( ROW( co_variants[[#Headers],[row_id]] ),  COLUMN( co_variants[[#Headers],[sector_id]] ), , , "controlTables" ) ), 1, 0, MAX( co_variants[row_id] ), 1 ) = co_sectors[[#This Row],[sector_id]], co_variants[variant_label], "" )
)</f>
        <v>N/A</v>
      </c>
      <c r="H33" s="88" t="str">
        <f ca="1" xml:space="preserve"> _xlfn.TEXTJOIN( ", ", 1,
  OFFSET( INDIRECT( ADDRESS( ROW( INDEX( co_impactYears[sector_id], MATCH( co_sectors[[#This Row],[sector_id]], co_impactYears[sector_id], 0 ) ) ),  COLUMN( co_impactYears[[#Headers],[sector_id]] ), , , "controlTables" ) ), 0, 1, 1, 4 )
)</f>
        <v>NA</v>
      </c>
      <c r="I33" s="88" t="str" cm="1">
        <f t="array" aca="1" ref="I33" ca="1" xml:space="preserve">  _xlfn.TEXTJOIN( ", ", 1,
  IF( OFFSET( INDIRECT( ADDRESS( ROW( co_impactTypes[[#Headers],[row_id]] ),  COLUMN( co_impactTypes[[#Headers],[sector_id]] ), , , "controlTables" ) ), 1, 0, MAX( co_impactTypes[row_id] ), 1 ) = co_sectors[[#This Row],[sector_id]], co_impactTypes[impactType_label], "" )
)</f>
        <v>N/A</v>
      </c>
      <c r="J33" s="21">
        <f ca="1" xml:space="preserve"> IF( co_sectors[[#This Row],[impactYears]] = "NA", 0, 1)</f>
        <v>0</v>
      </c>
      <c r="K33" s="90" t="b" cm="1">
        <f t="array" ref="K33" xml:space="preserve"> SUMPRODUCT( --( co_sectors[[#This Row],[sector_id]] = co_impactTypes[sector_id] ), --IF( co_impactTypes[physicalmeasure] = "N/A", 0, 1) ) &gt;= 1</f>
        <v>0</v>
      </c>
      <c r="L33" s="90" t="b" cm="1">
        <f t="array" ref="L33" xml:space="preserve"> OR( SUMPRODUCT( --( co_sectors[[#This Row],[sector_id]] = co_impactTypes[sector_id] ), --IF( co_impactTypes[c0] &lt;&gt; 0, 1, 0) ) &gt;= 1,
      SUMPRODUCT( --( co_sectors[[#This Row],[sector_id]] = co_impactTypes[sector_id] ), --IF( co_impactTypes[c1] &lt;&gt; 0, 1, 0) ) &gt;= 1 )</f>
        <v>1</v>
      </c>
      <c r="M33" s="90" cm="1">
        <f t="array" ref="M33" xml:space="preserve"> SUMPRODUCT( --( co_sectors[[#This Row],[sector_id]] = co_variants[sector_id] ) )</f>
        <v>1</v>
      </c>
      <c r="N33" s="90" cm="1">
        <f t="array" ref="N33" xml:space="preserve"> SUMPRODUCT( --( co_sectors[[#This Row],[sector_id]] = co_impactTypes[sector_id] ) )</f>
        <v>1</v>
      </c>
      <c r="O33" s="90" cm="1">
        <f t="array" ref="O33" xml:space="preserve"> IF( INDEX( co_impactYears[NA], MATCH( 1, --( co_sectors[[#This Row],[sector_id]] = co_impactYears[sector_id] ), 0 ) ) = "NA", 1, 2 )</f>
        <v>1</v>
      </c>
    </row>
    <row r="34" spans="2:15" x14ac:dyDescent="0.2">
      <c r="B34" s="73">
        <f xml:space="preserve"> ROW( co_sectors[[#This Row],[row_id]] ) - ROW( co_sectors[[#Headers],[row_id]] )</f>
        <v>14</v>
      </c>
      <c r="C34" s="70" t="s">
        <v>18</v>
      </c>
      <c r="D34" s="23" t="s">
        <v>18</v>
      </c>
      <c r="E34" s="11">
        <v>1</v>
      </c>
      <c r="F34" s="14" t="s">
        <v>145</v>
      </c>
      <c r="G34" s="88" t="str" cm="1">
        <f t="array" aca="1" ref="G34" ca="1" xml:space="preserve"> _xlfn.TEXTJOIN( ", ", 1,
  IF( OFFSET( INDIRECT( ADDRESS( ROW( co_variants[[#Headers],[row_id]] ),  COLUMN( co_variants[[#Headers],[sector_id]] ), , , "controlTables" ) ), 1, 0, MAX( co_variants[row_id] ), 1 ) = co_sectors[[#This Row],[sector_id]], co_variants[variant_label], "" )
)</f>
        <v>N/A</v>
      </c>
      <c r="H34" s="88" t="str">
        <f ca="1" xml:space="preserve"> _xlfn.TEXTJOIN( ", ", 1,
  OFFSET( INDIRECT( ADDRESS( ROW( INDEX( co_impactYears[sector_id], MATCH( co_sectors[[#This Row],[sector_id]], co_impactYears[sector_id], 0 ) ) ),  COLUMN( co_impactYears[[#Headers],[sector_id]] ), , , "controlTables" ) ), 0, 1, 1, 4 )
)</f>
        <v>NA</v>
      </c>
      <c r="I34" s="88" t="str" cm="1">
        <f t="array" aca="1" ref="I34" ca="1" xml:space="preserve">  _xlfn.TEXTJOIN( ", ", 1,
  IF( OFFSET( INDIRECT( ADDRESS( ROW( co_impactTypes[[#Headers],[row_id]] ),  COLUMN( co_impactTypes[[#Headers],[sector_id]] ), , , "controlTables" ) ), 1, 0, MAX( co_impactTypes[row_id] ), 1 ) = co_sectors[[#This Row],[sector_id]], co_impactTypes[impactType_label], "" )
)</f>
        <v>N/A</v>
      </c>
      <c r="J34" s="21">
        <f ca="1" xml:space="preserve"> IF( co_sectors[[#This Row],[impactYears]] = "NA", 0, 1)</f>
        <v>0</v>
      </c>
      <c r="K34" s="90" t="b" cm="1">
        <f t="array" ref="K34" xml:space="preserve"> SUMPRODUCT( --( co_sectors[[#This Row],[sector_id]] = co_impactTypes[sector_id] ), --IF( co_impactTypes[physicalmeasure] = "N/A", 0, 1) ) &gt;= 1</f>
        <v>1</v>
      </c>
      <c r="L34" s="90" t="b" cm="1">
        <f t="array" ref="L34" xml:space="preserve"> OR( SUMPRODUCT( --( co_sectors[[#This Row],[sector_id]] = co_impactTypes[sector_id] ), --IF( co_impactTypes[c0] &lt;&gt; 0, 1, 0) ) &gt;= 1,
      SUMPRODUCT( --( co_sectors[[#This Row],[sector_id]] = co_impactTypes[sector_id] ), --IF( co_impactTypes[c1] &lt;&gt; 0, 1, 0) ) &gt;= 1 )</f>
        <v>1</v>
      </c>
      <c r="M34" s="90" cm="1">
        <f t="array" ref="M34" xml:space="preserve"> SUMPRODUCT( --( co_sectors[[#This Row],[sector_id]] = co_variants[sector_id] ) )</f>
        <v>1</v>
      </c>
      <c r="N34" s="90" cm="1">
        <f t="array" ref="N34" xml:space="preserve"> SUMPRODUCT( --( co_sectors[[#This Row],[sector_id]] = co_impactTypes[sector_id] ) )</f>
        <v>1</v>
      </c>
      <c r="O34" s="90" cm="1">
        <f t="array" ref="O34" xml:space="preserve"> IF( INDEX( co_impactYears[NA], MATCH( 1, --( co_sectors[[#This Row],[sector_id]] = co_impactYears[sector_id] ), 0 ) ) = "NA", 1, 2 )</f>
        <v>1</v>
      </c>
    </row>
    <row r="35" spans="2:15" ht="30" customHeight="1" x14ac:dyDescent="0.2">
      <c r="B35" s="73">
        <f xml:space="preserve"> ROW( co_sectors[[#This Row],[row_id]] ) - ROW( co_sectors[[#Headers],[row_id]] )</f>
        <v>15</v>
      </c>
      <c r="C35" s="75" t="s">
        <v>633</v>
      </c>
      <c r="D35" s="23" t="s">
        <v>634</v>
      </c>
      <c r="E35" s="12">
        <v>1</v>
      </c>
      <c r="F35" s="15" t="s">
        <v>145</v>
      </c>
      <c r="G35" s="88" t="str" cm="1">
        <f t="array" aca="1" ref="G35" ca="1" xml:space="preserve"> _xlfn.TEXTJOIN( ", ", 1,
  IF( OFFSET( INDIRECT( ADDRESS( ROW( co_variants[[#Headers],[row_id]] ),  COLUMN( co_variants[[#Headers],[sector_id]] ), , , "controlTables" ) ), 1, 0, MAX( co_variants[row_id] ), 1 ) = co_sectors[[#This Row],[sector_id]], co_variants[variant_label], "" )
)</f>
        <v>No Adaptation, Proactive Adaptation</v>
      </c>
      <c r="H35" s="88" t="str">
        <f ca="1" xml:space="preserve"> _xlfn.TEXTJOIN( ", ", 1,
  OFFSET( INDIRECT( ADDRESS( ROW( INDEX( co_impactYears[sector_id], MATCH( co_sectors[[#This Row],[sector_id]], co_impactYears[sector_id], 0 ) ) ),  COLUMN( co_impactYears[[#Headers],[sector_id]] ), , , "controlTables" ) ), 0, 1, 1, 4 )
)</f>
        <v>NA</v>
      </c>
      <c r="I35" s="88" t="str" cm="1">
        <f t="array" aca="1" ref="I35" ca="1" xml:space="preserve">  _xlfn.TEXTJOIN( ", ", 1,
  IF( OFFSET( INDIRECT( ADDRESS( ROW( co_impactTypes[[#Headers],[row_id]] ),  COLUMN( co_impactTypes[[#Headers],[sector_id]] ), , , "controlTables" ) ), 1, 0, MAX( co_impactTypes[row_id] ), 1 ) = co_sectors[[#This Row],[sector_id]], co_impactTypes[impactType_label], "" )
)</f>
        <v>Lost Future Earnings, Adaptation Costs</v>
      </c>
      <c r="J35" s="21">
        <f ca="1" xml:space="preserve"> IF( co_sectors[[#This Row],[impactYears]] = "NA", 0, 1)</f>
        <v>0</v>
      </c>
      <c r="K35" s="90" t="b" cm="1">
        <f t="array" ref="K35" xml:space="preserve"> SUMPRODUCT( --( co_sectors[[#This Row],[sector_id]] = co_impactTypes[sector_id] ), --IF( co_impactTypes[physicalmeasure] = "N/A", 0, 1) ) &gt;= 1</f>
        <v>0</v>
      </c>
      <c r="L35" s="90" t="b" cm="1">
        <f t="array" ref="L35" xml:space="preserve"> OR( SUMPRODUCT( --( co_sectors[[#This Row],[sector_id]] = co_impactTypes[sector_id] ), --IF( co_impactTypes[c0] &lt;&gt; 0, 1, 0) ) &gt;= 1,
      SUMPRODUCT( --( co_sectors[[#This Row],[sector_id]] = co_impactTypes[sector_id] ), --IF( co_impactTypes[c1] &lt;&gt; 0, 1, 0) ) &gt;= 1 )</f>
        <v>1</v>
      </c>
      <c r="M35" s="91" cm="1">
        <f t="array" ref="M35" xml:space="preserve"> SUMPRODUCT( --( co_sectors[[#This Row],[sector_id]] = co_variants[sector_id] ) )</f>
        <v>2</v>
      </c>
      <c r="N35" s="91" cm="1">
        <f t="array" ref="N35" xml:space="preserve"> SUMPRODUCT( --( co_sectors[[#This Row],[sector_id]] = co_impactTypes[sector_id] ) )</f>
        <v>2</v>
      </c>
      <c r="O35" s="91" cm="1">
        <f t="array" ref="O35" xml:space="preserve"> IF( INDEX( co_impactYears[NA], MATCH( 1, --( co_sectors[[#This Row],[sector_id]] = co_impactYears[sector_id] ), 0 ) ) = "NA", 1, 2 )</f>
        <v>1</v>
      </c>
    </row>
    <row r="36" spans="2:15" x14ac:dyDescent="0.2">
      <c r="B36" s="73">
        <f xml:space="preserve"> ROW( co_sectors[[#This Row],[row_id]] ) - ROW( co_sectors[[#Headers],[row_id]] )</f>
        <v>16</v>
      </c>
      <c r="C36" s="75" t="s">
        <v>592</v>
      </c>
      <c r="D36" s="23" t="s">
        <v>593</v>
      </c>
      <c r="E36" s="12">
        <v>1</v>
      </c>
      <c r="F36" s="15" t="s">
        <v>145</v>
      </c>
      <c r="G36" s="88" t="str" cm="1">
        <f t="array" aca="1" ref="G36" ca="1" xml:space="preserve"> _xlfn.TEXTJOIN( ", ", 1,
  IF( OFFSET( INDIRECT( ADDRESS( ROW( co_variants[[#Headers],[row_id]] ),  COLUMN( co_variants[[#Headers],[sector_id]] ), , , "controlTables" ) ), 1, 0, MAX( co_variants[row_id] ), 1 ) = co_sectors[[#This Row],[sector_id]], co_variants[variant_label], "" )
)</f>
        <v>N/A</v>
      </c>
      <c r="H36" s="88" t="str">
        <f ca="1" xml:space="preserve"> _xlfn.TEXTJOIN( ", ", 1,
  OFFSET( INDIRECT( ADDRESS( ROW( INDEX( co_impactYears[sector_id], MATCH( co_sectors[[#This Row],[sector_id]], co_impactYears[sector_id], 0 ) ) ),  COLUMN( co_impactYears[[#Headers],[sector_id]] ), , , "controlTables" ) ), 0, 1, 1, 4 )
)</f>
        <v>NA</v>
      </c>
      <c r="I36" s="88" t="str" cm="1">
        <f t="array" aca="1" ref="I36" ca="1" xml:space="preserve">  _xlfn.TEXTJOIN( ", ", 1,
  IF( OFFSET( INDIRECT( ADDRESS( ROW( co_impactTypes[[#Headers],[row_id]] ),  COLUMN( co_impactTypes[[#Headers],[sector_id]] ), , , "controlTables" ) ), 1, 0, MAX( co_impactTypes[row_id] ), 1 ) = co_sectors[[#This Row],[sector_id]], co_impactTypes[impactType_label], "" )
)</f>
        <v>N/A</v>
      </c>
      <c r="J36" s="21">
        <f ca="1" xml:space="preserve"> IF( co_sectors[[#This Row],[impactYears]] = "NA", 0, 1)</f>
        <v>0</v>
      </c>
      <c r="K36" s="90" t="b" cm="1">
        <f t="array" ref="K36" xml:space="preserve"> SUMPRODUCT( --( co_sectors[[#This Row],[sector_id]] = co_impactTypes[sector_id] ), --IF( co_impactTypes[physicalmeasure] = "N/A", 0, 1) ) &gt;= 1</f>
        <v>1</v>
      </c>
      <c r="L36" s="90" t="b" cm="1">
        <f t="array" ref="L36" xml:space="preserve"> OR( SUMPRODUCT( --( co_sectors[[#This Row],[sector_id]] = co_impactTypes[sector_id] ), --IF( co_impactTypes[c0] &lt;&gt; 0, 1, 0) ) &gt;= 1,
      SUMPRODUCT( --( co_sectors[[#This Row],[sector_id]] = co_impactTypes[sector_id] ), --IF( co_impactTypes[c1] &lt;&gt; 0, 1, 0) ) &gt;= 1 )</f>
        <v>1</v>
      </c>
      <c r="M36" s="90" cm="1">
        <f t="array" ref="M36" xml:space="preserve"> SUMPRODUCT( --( co_sectors[[#This Row],[sector_id]] = co_variants[sector_id] ) )</f>
        <v>1</v>
      </c>
      <c r="N36" s="90" cm="1">
        <f t="array" ref="N36" xml:space="preserve"> SUMPRODUCT( --( co_sectors[[#This Row],[sector_id]] = co_impactTypes[sector_id] ) )</f>
        <v>1</v>
      </c>
      <c r="O36" s="90" cm="1">
        <f t="array" ref="O36" xml:space="preserve"> IF( INDEX( co_impactYears[NA], MATCH( 1, --( co_sectors[[#This Row],[sector_id]] = co_impactYears[sector_id] ), 0 ) ) = "NA", 1, 2 )</f>
        <v>1</v>
      </c>
    </row>
    <row r="37" spans="2:15" x14ac:dyDescent="0.2">
      <c r="B37" s="73">
        <f xml:space="preserve"> ROW( co_sectors[[#This Row],[row_id]] ) - ROW( co_sectors[[#Headers],[row_id]] )</f>
        <v>17</v>
      </c>
      <c r="C37" s="74" t="s">
        <v>59</v>
      </c>
      <c r="D37" s="66" t="s">
        <v>328</v>
      </c>
      <c r="E37" s="67">
        <v>1</v>
      </c>
      <c r="F37" s="64" t="s">
        <v>145</v>
      </c>
      <c r="G37" s="88" t="str" cm="1">
        <f t="array" aca="1" ref="G37" ca="1" xml:space="preserve"> _xlfn.TEXTJOIN( ", ", 1,
  IF( OFFSET( INDIRECT( ADDRESS( ROW( co_variants[[#Headers],[row_id]] ),  COLUMN( co_variants[[#Headers],[sector_id]] ), , , "controlTables" ) ), 1, 0, MAX( co_variants[row_id] ), 1 ) = co_sectors[[#This Row],[sector_id]], co_variants[variant_label], "" )
)</f>
        <v>N/A</v>
      </c>
      <c r="H37" s="88" t="str">
        <f ca="1" xml:space="preserve"> _xlfn.TEXTJOIN( ", ", 1,
  OFFSET( INDIRECT( ADDRESS( ROW( INDEX( co_impactYears[sector_id], MATCH( co_sectors[[#This Row],[sector_id]], co_impactYears[sector_id], 0 ) ) ),  COLUMN( co_impactYears[[#Headers],[sector_id]] ), , , "controlTables" ) ), 0, 1, 1, 4 )
)</f>
        <v>NA</v>
      </c>
      <c r="I37" s="88" t="str" cm="1">
        <f t="array" aca="1" ref="I37" ca="1" xml:space="preserve">  _xlfn.TEXTJOIN( ", ", 1,
  IF( OFFSET( INDIRECT( ADDRESS( ROW( co_impactTypes[[#Headers],[row_id]] ),  COLUMN( co_impactTypes[[#Headers],[sector_id]] ), , , "controlTables" ) ), 1, 0, MAX( co_impactTypes[row_id] ), 1 ) = co_sectors[[#This Row],[sector_id]], co_impactTypes[impactType_label], "" )
)</f>
        <v>N/A</v>
      </c>
      <c r="J37" s="21">
        <f ca="1" xml:space="preserve"> IF( co_sectors[[#This Row],[impactYears]] = "NA", 0, 1)</f>
        <v>0</v>
      </c>
      <c r="K37" s="90" t="b" cm="1">
        <f t="array" ref="K37" xml:space="preserve"> SUMPRODUCT( --( co_sectors[[#This Row],[sector_id]] = co_impactTypes[sector_id] ), --IF( co_impactTypes[physicalmeasure] = "N/A", 0, 1) ) &gt;= 1</f>
        <v>0</v>
      </c>
      <c r="L37" s="90" t="b" cm="1">
        <f t="array" ref="L37" xml:space="preserve"> OR( SUMPRODUCT( --( co_sectors[[#This Row],[sector_id]] = co_impactTypes[sector_id] ), --IF( co_impactTypes[c0] &lt;&gt; 0, 1, 0) ) &gt;= 1,
      SUMPRODUCT( --( co_sectors[[#This Row],[sector_id]] = co_impactTypes[sector_id] ), --IF( co_impactTypes[c1] &lt;&gt; 0, 1, 0) ) &gt;= 1 )</f>
        <v>1</v>
      </c>
      <c r="M37" s="90" cm="1">
        <f t="array" ref="M37" xml:space="preserve"> SUMPRODUCT( --( co_sectors[[#This Row],[sector_id]] = co_variants[sector_id] ) )</f>
        <v>1</v>
      </c>
      <c r="N37" s="90" cm="1">
        <f t="array" ref="N37" xml:space="preserve"> SUMPRODUCT( --( co_sectors[[#This Row],[sector_id]] = co_impactTypes[sector_id] ) )</f>
        <v>1</v>
      </c>
      <c r="O37" s="90" cm="1">
        <f t="array" ref="O37" xml:space="preserve"> IF( INDEX( co_impactYears[NA], MATCH( 1, --( co_sectors[[#This Row],[sector_id]] = co_impactYears[sector_id] ), 0 ) ) = "NA", 1, 2 )</f>
        <v>1</v>
      </c>
    </row>
    <row r="38" spans="2:15" ht="33.75" x14ac:dyDescent="0.2">
      <c r="B38" s="73">
        <f xml:space="preserve"> ROW( co_sectors[[#This Row],[row_id]] ) - ROW( co_sectors[[#Headers],[row_id]] )</f>
        <v>18</v>
      </c>
      <c r="C38" s="75" t="s">
        <v>586</v>
      </c>
      <c r="D38" s="23" t="s">
        <v>590</v>
      </c>
      <c r="E38" s="12">
        <v>1</v>
      </c>
      <c r="F38" s="15" t="s">
        <v>144</v>
      </c>
      <c r="G38" s="88" t="str" cm="1">
        <f t="array" aca="1" ref="G38" ca="1" xml:space="preserve"> _xlfn.TEXTJOIN( ", ", 1,
  IF( OFFSET( INDIRECT( ADDRESS( ROW( co_variants[[#Headers],[row_id]] ),  COLUMN( co_variants[[#Headers],[sector_id]] ), , , "controlTables" ) ), 1, 0, MAX( co_variants[row_id] ), 1 ) = co_sectors[[#This Row],[sector_id]], co_variants[variant_label], "" )
)</f>
        <v>Low Accretion Scenario, Medium Accretion Scenario, High Accretion Scenario</v>
      </c>
      <c r="H38" s="88" t="str">
        <f ca="1" xml:space="preserve"> _xlfn.TEXTJOIN( ", ", 1,
  OFFSET( INDIRECT( ADDRESS( ROW( INDEX( co_impactYears[sector_id], MATCH( co_sectors[[#This Row],[sector_id]], co_impactYears[sector_id], 0 ) ) ),  COLUMN( co_impactYears[[#Headers],[sector_id]] ), , , "controlTables" ) ), 0, 1, 1, 4 )
)</f>
        <v>NA</v>
      </c>
      <c r="I38" s="88" t="str" cm="1">
        <f t="array" aca="1" ref="I38" ca="1" xml:space="preserve">  _xlfn.TEXTJOIN( ", ", 1,
  IF( OFFSET( INDIRECT( ADDRESS( ROW( co_impactTypes[[#Headers],[row_id]] ),  COLUMN( co_impactTypes[[#Headers],[sector_id]] ), , , "controlTables" ) ), 1, 0, MAX( co_impactTypes[row_id] ), 1 ) = co_sectors[[#This Row],[sector_id]], co_impactTypes[impactType_label], "" )
)</f>
        <v>Restoration Costs</v>
      </c>
      <c r="J38" s="21">
        <f ca="1" xml:space="preserve"> IF( co_sectors[[#This Row],[impactYears]] = "NA", 0, 1)</f>
        <v>0</v>
      </c>
      <c r="K38" s="90" t="b" cm="1">
        <f t="array" ref="K38" xml:space="preserve"> SUMPRODUCT( --( co_sectors[[#This Row],[sector_id]] = co_impactTypes[sector_id] ), --IF( co_impactTypes[physicalmeasure] = "N/A", 0, 1) ) &gt;= 1</f>
        <v>0</v>
      </c>
      <c r="L38" s="90" t="b" cm="1">
        <f t="array" ref="L38" xml:space="preserve"> OR( SUMPRODUCT( --( co_sectors[[#This Row],[sector_id]] = co_impactTypes[sector_id] ), --IF( co_impactTypes[c0] &lt;&gt; 0, 1, 0) ) &gt;= 1,
      SUMPRODUCT( --( co_sectors[[#This Row],[sector_id]] = co_impactTypes[sector_id] ), --IF( co_impactTypes[c1] &lt;&gt; 0, 1, 0) ) &gt;= 1 )</f>
        <v>1</v>
      </c>
      <c r="M38" s="90" cm="1">
        <f t="array" ref="M38" xml:space="preserve"> SUMPRODUCT( --( co_sectors[[#This Row],[sector_id]] = co_variants[sector_id] ) )</f>
        <v>3</v>
      </c>
      <c r="N38" s="90" cm="1">
        <f t="array" ref="N38" xml:space="preserve"> SUMPRODUCT( --( co_sectors[[#This Row],[sector_id]] = co_impactTypes[sector_id] ) )</f>
        <v>1</v>
      </c>
      <c r="O38" s="90" cm="1">
        <f t="array" ref="O38" xml:space="preserve"> IF( INDEX( co_impactYears[NA], MATCH( 1, --( co_sectors[[#This Row],[sector_id]] = co_impactYears[sector_id] ), 0 ) ) = "NA", 1, 2 )</f>
        <v>1</v>
      </c>
    </row>
    <row r="39" spans="2:15" ht="56.25" x14ac:dyDescent="0.2">
      <c r="B39" s="73">
        <f xml:space="preserve"> ROW( co_sectors[[#This Row],[row_id]] ) - ROW( co_sectors[[#Headers],[row_id]] )</f>
        <v>19</v>
      </c>
      <c r="C39" s="75" t="s">
        <v>585</v>
      </c>
      <c r="D39" s="23" t="s">
        <v>591</v>
      </c>
      <c r="E39" s="12">
        <v>1</v>
      </c>
      <c r="F39" s="15" t="s">
        <v>144</v>
      </c>
      <c r="G39" s="88" t="str" cm="1">
        <f t="array" aca="1" ref="G39" ca="1" xml:space="preserve"> _xlfn.TEXTJOIN( ", ", 1,
  IF( OFFSET( INDIRECT( ADDRESS( ROW( co_variants[[#Headers],[row_id]] ),  COLUMN( co_variants[[#Headers],[sector_id]] ), , , "controlTables" ) ), 1, 0, MAX( co_variants[row_id] ), 1 ) = co_sectors[[#This Row],[sector_id]], co_variants[variant_label], "" )
)</f>
        <v>Low Accretion Scenario, Medium Accretion Scenario, High Accretion Scenario</v>
      </c>
      <c r="H39" s="88" t="str">
        <f ca="1" xml:space="preserve"> _xlfn.TEXTJOIN( ", ", 1,
  OFFSET( INDIRECT( ADDRESS( ROW( INDEX( co_impactYears[sector_id], MATCH( co_sectors[[#This Row],[sector_id]], co_impactYears[sector_id], 0 ) ) ),  COLUMN( co_impactYears[[#Headers],[sector_id]] ), , , "controlTables" ) ), 0, 1, 1, 4 )
)</f>
        <v>NA</v>
      </c>
      <c r="I39" s="88" t="str" cm="1">
        <f t="array" aca="1" ref="I39" ca="1" xml:space="preserve">  _xlfn.TEXTJOIN( ", ", 1,
  IF( OFFSET( INDIRECT( ADDRESS( ROW( co_impactTypes[[#Headers],[row_id]] ),  COLUMN( co_impactTypes[[#Headers],[sector_id]] ), , , "controlTables" ) ), 1, 0, MAX( co_impactTypes[row_id] ), 1 ) = co_sectors[[#This Row],[sector_id]], co_impactTypes[impactType_label], "" )
)</f>
        <v>Lost Carbon Sequestration, Lost Methane Sequestration, Lost Marsh Area, Property Protection Costs</v>
      </c>
      <c r="J39" s="21">
        <f ca="1" xml:space="preserve"> IF( co_sectors[[#This Row],[impactYears]] = "NA", 0, 1)</f>
        <v>0</v>
      </c>
      <c r="K39" s="90" t="b" cm="1">
        <f t="array" ref="K39" xml:space="preserve"> SUMPRODUCT( --( co_sectors[[#This Row],[sector_id]] = co_impactTypes[sector_id] ), --IF( co_impactTypes[physicalmeasure] = "N/A", 0, 1) ) &gt;= 1</f>
        <v>1</v>
      </c>
      <c r="L39" s="90" t="b" cm="1">
        <f t="array" ref="L39" xml:space="preserve"> OR( SUMPRODUCT( --( co_sectors[[#This Row],[sector_id]] = co_impactTypes[sector_id] ), --IF( co_impactTypes[c0] &lt;&gt; 0, 1, 0) ) &gt;= 1,
      SUMPRODUCT( --( co_sectors[[#This Row],[sector_id]] = co_impactTypes[sector_id] ), --IF( co_impactTypes[c1] &lt;&gt; 0, 1, 0) ) &gt;= 1 )</f>
        <v>1</v>
      </c>
      <c r="M39" s="90" cm="1">
        <f t="array" ref="M39" xml:space="preserve"> SUMPRODUCT( --( co_sectors[[#This Row],[sector_id]] = co_variants[sector_id] ) )</f>
        <v>3</v>
      </c>
      <c r="N39" s="90" cm="1">
        <f t="array" ref="N39" xml:space="preserve"> SUMPRODUCT( --( co_sectors[[#This Row],[sector_id]] = co_impactTypes[sector_id] ) )</f>
        <v>4</v>
      </c>
      <c r="O39" s="90" cm="1">
        <f t="array" ref="O39" xml:space="preserve"> IF( INDEX( co_impactYears[NA], MATCH( 1, --( co_sectors[[#This Row],[sector_id]] = co_impactYears[sector_id] ), 0 ) ) = "NA", 1, 2 )</f>
        <v>1</v>
      </c>
    </row>
    <row r="40" spans="2:15" ht="56.25" x14ac:dyDescent="0.2">
      <c r="B40" s="73">
        <f xml:space="preserve"> ROW( co_sectors[[#This Row],[row_id]] ) - ROW( co_sectors[[#Headers],[row_id]] )</f>
        <v>20</v>
      </c>
      <c r="C40" s="75" t="s">
        <v>597</v>
      </c>
      <c r="D40" s="23" t="s">
        <v>619</v>
      </c>
      <c r="E40" s="12">
        <v>1</v>
      </c>
      <c r="F40" s="15" t="s">
        <v>145</v>
      </c>
      <c r="G40" s="88" t="str" cm="1">
        <f t="array" aca="1" ref="G40" ca="1" xml:space="preserve"> _xlfn.TEXTJOIN( ", ", 1,
  IF( OFFSET( INDIRECT( ADDRESS( ROW( co_variants[[#Headers],[row_id]] ),  COLUMN( co_variants[[#Headers],[sector_id]] ), , , "controlTables" ) ), 1, 0, MAX( co_variants[row_id] ), 1 ) = co_sectors[[#This Row],[sector_id]], co_variants[variant_label], "" )
)</f>
        <v>Proactive Adaptation, No Adaptation</v>
      </c>
      <c r="H40" s="88" t="str">
        <f ca="1" xml:space="preserve"> _xlfn.TEXTJOIN( ", ", 1,
  OFFSET( INDIRECT( ADDRESS( ROW( INDEX( co_impactYears[sector_id], MATCH( co_sectors[[#This Row],[sector_id]], co_impactYears[sector_id], 0 ) ) ),  COLUMN( co_impactYears[[#Headers],[sector_id]] ), , , "controlTables" ) ), 0, 1, 1, 4 )
)</f>
        <v>NA</v>
      </c>
      <c r="I40" s="88" t="str" cm="1">
        <f t="array" aca="1" ref="I40" ca="1" xml:space="preserve">  _xlfn.TEXTJOIN( ", ", 1,
  IF( OFFSET( INDIRECT( ADDRESS( ROW( co_impactTypes[[#Headers],[row_id]] ),  COLUMN( co_impactTypes[[#Headers],[sector_id]] ), , , "controlTables" ) ), 1, 0, MAX( co_impactTypes[row_id] ), 1 ) = co_sectors[[#This Row],[sector_id]], co_impactTypes[impactType_label], "" )
)</f>
        <v>Fishing Activity, Snow Sport Activity, Water Sport Activity, Other Activity, Other Activity Trips</v>
      </c>
      <c r="J40" s="21">
        <f ca="1" xml:space="preserve"> IF( co_sectors[[#This Row],[impactYears]] = "NA", 0, 1)</f>
        <v>0</v>
      </c>
      <c r="K40" s="90" t="b" cm="1">
        <f t="array" ref="K40" xml:space="preserve"> SUMPRODUCT( --( co_sectors[[#This Row],[sector_id]] = co_impactTypes[sector_id] ), --IF( co_impactTypes[physicalmeasure] = "N/A", 0, 1) ) &gt;= 1</f>
        <v>1</v>
      </c>
      <c r="L40" s="90" t="b" cm="1">
        <f t="array" ref="L40" xml:space="preserve"> OR( SUMPRODUCT( --( co_sectors[[#This Row],[sector_id]] = co_impactTypes[sector_id] ), --IF( co_impactTypes[c0] &lt;&gt; 0, 1, 0) ) &gt;= 1,
      SUMPRODUCT( --( co_sectors[[#This Row],[sector_id]] = co_impactTypes[sector_id] ), --IF( co_impactTypes[c1] &lt;&gt; 0, 1, 0) ) &gt;= 1 )</f>
        <v>1</v>
      </c>
      <c r="M40" s="90" cm="1">
        <f t="array" ref="M40" xml:space="preserve"> SUMPRODUCT( --( co_sectors[[#This Row],[sector_id]] = co_variants[sector_id] ) )</f>
        <v>2</v>
      </c>
      <c r="N40" s="90" cm="1">
        <f t="array" ref="N40" xml:space="preserve"> SUMPRODUCT( --( co_sectors[[#This Row],[sector_id]] = co_impactTypes[sector_id] ) )</f>
        <v>5</v>
      </c>
      <c r="O40" s="90" cm="1">
        <f t="array" ref="O40" xml:space="preserve"> IF( INDEX( co_impactYears[NA], MATCH( 1, --( co_sectors[[#This Row],[sector_id]] = co_impactYears[sector_id] ), 0 ) ) = "NA", 1, 2 )</f>
        <v>1</v>
      </c>
    </row>
    <row r="41" spans="2:15" x14ac:dyDescent="0.2">
      <c r="B41" s="73">
        <f xml:space="preserve"> ROW( co_sectors[[#This Row],[row_id]] ) - ROW( co_sectors[[#Headers],[row_id]] )</f>
        <v>21</v>
      </c>
      <c r="C41" s="75" t="s">
        <v>526</v>
      </c>
      <c r="D41" s="23" t="s">
        <v>526</v>
      </c>
      <c r="E41" s="12">
        <v>1</v>
      </c>
      <c r="F41" s="15" t="s">
        <v>145</v>
      </c>
      <c r="G41" s="88" t="str" cm="1">
        <f t="array" aca="1" ref="G41" ca="1" xml:space="preserve"> _xlfn.TEXTJOIN( ", ", 1,
  IF( OFFSET( INDIRECT( ADDRESS( ROW( co_variants[[#Headers],[row_id]] ),  COLUMN( co_variants[[#Headers],[sector_id]] ), , , "controlTables" ) ), 1, 0, MAX( co_variants[row_id] ), 1 ) = co_sectors[[#This Row],[sector_id]], co_variants[variant_label], "" )
)</f>
        <v>N/A</v>
      </c>
      <c r="H41" s="88" t="str">
        <f ca="1" xml:space="preserve"> _xlfn.TEXTJOIN( ", ", 1,
  OFFSET( INDIRECT( ADDRESS( ROW( INDEX( co_impactYears[sector_id], MATCH( co_sectors[[#This Row],[sector_id]], co_impactYears[sector_id], 0 ) ) ),  COLUMN( co_impactYears[[#Headers],[sector_id]] ), , , "controlTables" ) ), 0, 1, 1, 4 )
)</f>
        <v>NA</v>
      </c>
      <c r="I41" s="88" t="str" cm="1">
        <f t="array" aca="1" ref="I41" ca="1" xml:space="preserve">  _xlfn.TEXTJOIN( ", ", 1,
  IF( OFFSET( INDIRECT( ADDRESS( ROW( co_impactTypes[[#Headers],[row_id]] ),  COLUMN( co_impactTypes[[#Headers],[sector_id]] ), , , "controlTables" ) ), 1, 0, MAX( co_impactTypes[row_id] ), 1 ) = co_sectors[[#This Row],[sector_id]], co_impactTypes[impactType_label], "" )
)</f>
        <v>N/A</v>
      </c>
      <c r="J41" s="21">
        <f ca="1" xml:space="preserve"> IF( co_sectors[[#This Row],[impactYears]] = "NA", 0, 1)</f>
        <v>0</v>
      </c>
      <c r="K41" s="90" t="b" cm="1">
        <f t="array" ref="K41" xml:space="preserve"> SUMPRODUCT( --( co_sectors[[#This Row],[sector_id]] = co_impactTypes[sector_id] ), --IF( co_impactTypes[physicalmeasure] = "N/A", 0, 1) ) &gt;= 1</f>
        <v>1</v>
      </c>
      <c r="L41" s="90" t="b" cm="1">
        <f t="array" ref="L41" xml:space="preserve"> OR( SUMPRODUCT( --( co_sectors[[#This Row],[sector_id]] = co_impactTypes[sector_id] ), --IF( co_impactTypes[c0] &lt;&gt; 0, 1, 0) ) &gt;= 1,
      SUMPRODUCT( --( co_sectors[[#This Row],[sector_id]] = co_impactTypes[sector_id] ), --IF( co_impactTypes[c1] &lt;&gt; 0, 1, 0) ) &gt;= 1 )</f>
        <v>1</v>
      </c>
      <c r="M41" s="90" cm="1">
        <f t="array" ref="M41" xml:space="preserve"> SUMPRODUCT( --( co_sectors[[#This Row],[sector_id]] = co_variants[sector_id] ) )</f>
        <v>1</v>
      </c>
      <c r="N41" s="90" cm="1">
        <f t="array" ref="N41" xml:space="preserve"> SUMPRODUCT( --( co_sectors[[#This Row],[sector_id]] = co_impactTypes[sector_id] ) )</f>
        <v>1</v>
      </c>
      <c r="O41" s="90" cm="1">
        <f t="array" ref="O41" xml:space="preserve"> IF( INDEX( co_impactYears[NA], MATCH( 1, --( co_sectors[[#This Row],[sector_id]] = co_impactYears[sector_id] ), 0 ) ) = "NA", 1, 2 )</f>
        <v>1</v>
      </c>
    </row>
    <row r="42" spans="2:15" ht="33.75" x14ac:dyDescent="0.2">
      <c r="B42" s="71">
        <f xml:space="preserve"> ROW( co_sectors[[#This Row],[row_id]] ) - ROW( co_sectors[[#Headers],[row_id]] )</f>
        <v>22</v>
      </c>
      <c r="C42" s="72" t="s">
        <v>46</v>
      </c>
      <c r="D42" s="24" t="s">
        <v>46</v>
      </c>
      <c r="E42" s="12">
        <v>1</v>
      </c>
      <c r="F42" s="14" t="s">
        <v>145</v>
      </c>
      <c r="G42" s="88" t="str" cm="1">
        <f t="array" aca="1" ref="G42"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H42" s="88" t="str">
        <f ca="1" xml:space="preserve"> _xlfn.TEXTJOIN( ", ", 1,
  OFFSET( INDIRECT( ADDRESS( ROW( INDEX( co_impactYears[sector_id], MATCH( co_sectors[[#This Row],[sector_id]], co_impactYears[sector_id], 0 ) ) ),  COLUMN( co_impactYears[[#Headers],[sector_id]] ), , , "controlTables" ) ), 0, 1, 1, 4 )
)</f>
        <v>NA</v>
      </c>
      <c r="I42" s="88" t="str" cm="1">
        <f t="array" aca="1" ref="I42" ca="1" xml:space="preserve">  _xlfn.TEXTJOIN( ", ", 1,
  IF( OFFSET( INDIRECT( ADDRESS( ROW( co_impactTypes[[#Headers],[row_id]] ),  COLUMN( co_impactTypes[[#Headers],[sector_id]] ), , , "controlTables" ) ), 1, 0, MAX( co_impactTypes[row_id] ), 1 ) = co_sectors[[#This Row],[sector_id]], co_impactTypes[impactType_label], "" )
)</f>
        <v>N/A</v>
      </c>
      <c r="J42" s="21">
        <f ca="1" xml:space="preserve"> IF( co_sectors[[#This Row],[impactYears]] = "NA", 0, 1)</f>
        <v>0</v>
      </c>
      <c r="K42" s="90" t="b" cm="1">
        <f t="array" ref="K42" xml:space="preserve"> SUMPRODUCT( --( co_sectors[[#This Row],[sector_id]] = co_impactTypes[sector_id] ), --IF( co_impactTypes[physicalmeasure] = "N/A", 0, 1) ) &gt;= 1</f>
        <v>1</v>
      </c>
      <c r="L42" s="90" t="b" cm="1">
        <f t="array" ref="L42" xml:space="preserve"> OR( SUMPRODUCT( --( co_sectors[[#This Row],[sector_id]] = co_impactTypes[sector_id] ), --IF( co_impactTypes[c0] &lt;&gt; 0, 1, 0) ) &gt;= 1,
      SUMPRODUCT( --( co_sectors[[#This Row],[sector_id]] = co_impactTypes[sector_id] ), --IF( co_impactTypes[c1] &lt;&gt; 0, 1, 0) ) &gt;= 1 )</f>
        <v>1</v>
      </c>
      <c r="M42" s="90" cm="1">
        <f t="array" ref="M42" xml:space="preserve"> SUMPRODUCT( --( co_sectors[[#This Row],[sector_id]] = co_variants[sector_id] ) )</f>
        <v>3</v>
      </c>
      <c r="N42" s="90" cm="1">
        <f t="array" ref="N42" xml:space="preserve"> SUMPRODUCT( --( co_sectors[[#This Row],[sector_id]] = co_impactTypes[sector_id] ) )</f>
        <v>1</v>
      </c>
      <c r="O42" s="90" cm="1">
        <f t="array" ref="O42" xml:space="preserve"> IF( INDEX( co_impactYears[NA], MATCH( 1, --( co_sectors[[#This Row],[sector_id]] = co_impactYears[sector_id] ), 0 ) ) = "NA", 1, 2 )</f>
        <v>1</v>
      </c>
    </row>
    <row r="43" spans="2:15" ht="33.75" x14ac:dyDescent="0.2">
      <c r="B43" s="73">
        <f xml:space="preserve"> ROW( co_sectors[[#This Row],[row_id]] ) - ROW( co_sectors[[#Headers],[row_id]] )</f>
        <v>23</v>
      </c>
      <c r="C43" s="70" t="s">
        <v>53</v>
      </c>
      <c r="D43" s="23" t="s">
        <v>53</v>
      </c>
      <c r="E43" s="13">
        <v>1</v>
      </c>
      <c r="F43" s="14" t="s">
        <v>145</v>
      </c>
      <c r="G43" s="88" t="str" cm="1">
        <f t="array" aca="1" ref="G43" ca="1" xml:space="preserve"> _xlfn.TEXTJOIN( ", ", 1,
  IF( OFFSET( INDIRECT( ADDRESS( ROW( co_variants[[#Headers],[row_id]] ),  COLUMN( co_variants[[#Headers],[sector_id]] ), , , "controlTables" ) ), 1, 0, MAX( co_variants[row_id] ), 1 ) = co_sectors[[#This Row],[sector_id]], co_variants[variant_label], "" )
)</f>
        <v>No Additional Adaptation, Proactive Adaptation, Reactive Adaptation</v>
      </c>
      <c r="H43" s="88" t="str">
        <f ca="1" xml:space="preserve"> _xlfn.TEXTJOIN( ", ", 1,
  OFFSET( INDIRECT( ADDRESS( ROW( INDEX( co_impactYears[sector_id], MATCH( co_sectors[[#This Row],[sector_id]], co_impactYears[sector_id], 0 ) ) ),  COLUMN( co_impactYears[[#Headers],[sector_id]] ), , , "controlTables" ) ), 0, 1, 1, 4 )
)</f>
        <v>NA</v>
      </c>
      <c r="I43" s="88" t="str" cm="1">
        <f t="array" aca="1" ref="I43" ca="1" xml:space="preserve">  _xlfn.TEXTJOIN( ", ", 1,
  IF( OFFSET( INDIRECT( ADDRESS( ROW( co_impactTypes[[#Headers],[row_id]] ),  COLUMN( co_impactTypes[[#Headers],[sector_id]] ), , , "controlTables" ) ), 1, 0, MAX( co_impactTypes[row_id] ), 1 ) = co_sectors[[#This Row],[sector_id]], co_impactTypes[impactType_label], "" )
)</f>
        <v>N/A</v>
      </c>
      <c r="J43" s="21">
        <f ca="1" xml:space="preserve"> IF( co_sectors[[#This Row],[impactYears]] = "NA", 0, 1)</f>
        <v>0</v>
      </c>
      <c r="K43" s="90" t="b" cm="1">
        <f t="array" ref="K43" xml:space="preserve"> SUMPRODUCT( --( co_sectors[[#This Row],[sector_id]] = co_impactTypes[sector_id] ), --IF( co_impactTypes[physicalmeasure] = "N/A", 0, 1) ) &gt;= 1</f>
        <v>1</v>
      </c>
      <c r="L43" s="90" t="b" cm="1">
        <f t="array" ref="L43" xml:space="preserve"> OR( SUMPRODUCT( --( co_sectors[[#This Row],[sector_id]] = co_impactTypes[sector_id] ), --IF( co_impactTypes[c0] &lt;&gt; 0, 1, 0) ) &gt;= 1,
      SUMPRODUCT( --( co_sectors[[#This Row],[sector_id]] = co_impactTypes[sector_id] ), --IF( co_impactTypes[c1] &lt;&gt; 0, 1, 0) ) &gt;= 1 )</f>
        <v>1</v>
      </c>
      <c r="M43" s="90" cm="1">
        <f t="array" ref="M43" xml:space="preserve"> SUMPRODUCT( --( co_sectors[[#This Row],[sector_id]] = co_variants[sector_id] ) )</f>
        <v>3</v>
      </c>
      <c r="N43" s="90" cm="1">
        <f t="array" ref="N43" xml:space="preserve"> SUMPRODUCT( --( co_sectors[[#This Row],[sector_id]] = co_impactTypes[sector_id] ) )</f>
        <v>1</v>
      </c>
      <c r="O43" s="90" cm="1">
        <f t="array" ref="O43" xml:space="preserve"> IF( INDEX( co_impactYears[NA], MATCH( 1, --( co_sectors[[#This Row],[sector_id]] = co_impactYears[sector_id] ), 0 ) ) = "NA", 1, 2 )</f>
        <v>1</v>
      </c>
    </row>
    <row r="44" spans="2:15" ht="36.75" customHeight="1" x14ac:dyDescent="0.2">
      <c r="B44" s="71">
        <f xml:space="preserve"> ROW( co_sectors[[#This Row],[row_id]] ) - ROW( co_sectors[[#Headers],[row_id]] )</f>
        <v>24</v>
      </c>
      <c r="C44" s="72" t="s">
        <v>20</v>
      </c>
      <c r="D44" s="24" t="s">
        <v>34</v>
      </c>
      <c r="E44" s="13">
        <v>1</v>
      </c>
      <c r="F44" s="14" t="s">
        <v>145</v>
      </c>
      <c r="G44" s="88" t="str" cm="1">
        <f t="array" aca="1" ref="G44" ca="1" xml:space="preserve"> _xlfn.TEXTJOIN( ", ", 1,
  IF( OFFSET( INDIRECT( ADDRESS( ROW( co_variants[[#Headers],[row_id]] ),  COLUMN( co_variants[[#Headers],[sector_id]] ), , , "controlTables" ) ), 1, 0, MAX( co_variants[row_id] ), 1 ) = co_sectors[[#This Row],[sector_id]], co_variants[variant_label], "" )
)</f>
        <v>N/A</v>
      </c>
      <c r="H44" s="88" t="str">
        <f ca="1" xml:space="preserve"> _xlfn.TEXTJOIN( ", ", 1,
  OFFSET( INDIRECT( ADDRESS( ROW( INDEX( co_impactYears[sector_id], MATCH( co_sectors[[#This Row],[sector_id]], co_impactYears[sector_id], 0 ) ) ),  COLUMN( co_impactYears[[#Headers],[sector_id]] ), , , "controlTables" ) ), 0, 1, 1, 4 )
)</f>
        <v>NA</v>
      </c>
      <c r="I44" s="88" t="str" cm="1">
        <f t="array" aca="1" ref="I44" ca="1" xml:space="preserve">  _xlfn.TEXTJOIN( ", ", 1,
  IF( OFFSET( INDIRECT( ADDRESS( ROW( co_impactTypes[[#Headers],[row_id]] ),  COLUMN( co_impactTypes[[#Headers],[sector_id]] ), , , "controlTables" ) ), 1, 0, MAX( co_impactTypes[row_id] ), 1 ) = co_sectors[[#This Row],[sector_id]], co_impactTypes[impactType_label], "" )
)</f>
        <v>Acute Myocardial Infarction, All Cardiovascular, All Mortality, All Respiratory, Asthma ER, PM2.5 New Childhood Asthma</v>
      </c>
      <c r="J44" s="21">
        <f ca="1" xml:space="preserve"> IF( co_sectors[[#This Row],[impactYears]] = "NA", 0, 1)</f>
        <v>0</v>
      </c>
      <c r="K44" s="90" t="b" cm="1">
        <f t="array" ref="K44" xml:space="preserve"> SUMPRODUCT( --( co_sectors[[#This Row],[sector_id]] = co_impactTypes[sector_id] ), --IF( co_impactTypes[physicalmeasure] = "N/A", 0, 1) ) &gt;= 1</f>
        <v>1</v>
      </c>
      <c r="L44" s="90" t="b" cm="1">
        <f t="array" ref="L44" xml:space="preserve"> OR( SUMPRODUCT( --( co_sectors[[#This Row],[sector_id]] = co_impactTypes[sector_id] ), --IF( co_impactTypes[c0] &lt;&gt; 0, 1, 0) ) &gt;= 1,
      SUMPRODUCT( --( co_sectors[[#This Row],[sector_id]] = co_impactTypes[sector_id] ), --IF( co_impactTypes[c1] &lt;&gt; 0, 1, 0) ) &gt;= 1 )</f>
        <v>1</v>
      </c>
      <c r="M44" s="90" cm="1">
        <f t="array" ref="M44" xml:space="preserve"> SUMPRODUCT( --( co_sectors[[#This Row],[sector_id]] = co_variants[sector_id] ) )</f>
        <v>1</v>
      </c>
      <c r="N44" s="90" cm="1">
        <f t="array" ref="N44" xml:space="preserve"> SUMPRODUCT( --( co_sectors[[#This Row],[sector_id]] = co_impactTypes[sector_id] ) )</f>
        <v>6</v>
      </c>
      <c r="O44" s="90" cm="1">
        <f t="array" ref="O44" xml:space="preserve"> IF( INDEX( co_impactYears[NA], MATCH( 1, --( co_sectors[[#This Row],[sector_id]] = co_impactYears[sector_id] ), 0 ) ) = "NA", 1, 2 )</f>
        <v>1</v>
      </c>
    </row>
    <row r="45" spans="2:15" x14ac:dyDescent="0.2">
      <c r="B45" s="73">
        <f xml:space="preserve"> ROW( co_sectors[[#This Row],[row_id]] ) - ROW( co_sectors[[#Headers],[row_id]] )</f>
        <v>25</v>
      </c>
      <c r="C45" s="75" t="s">
        <v>61</v>
      </c>
      <c r="D45" s="23" t="s">
        <v>62</v>
      </c>
      <c r="E45" s="12">
        <v>1</v>
      </c>
      <c r="F45" s="14" t="s">
        <v>145</v>
      </c>
      <c r="G45" s="88" t="str" cm="1">
        <f t="array" aca="1" ref="G45" ca="1" xml:space="preserve"> _xlfn.TEXTJOIN( ", ", 1,
  IF( OFFSET( INDIRECT( ADDRESS( ROW( co_variants[[#Headers],[row_id]] ),  COLUMN( co_variants[[#Headers],[sector_id]] ), , , "controlTables" ) ), 1, 0, MAX( co_variants[row_id] ), 1 ) = co_sectors[[#This Row],[sector_id]], co_variants[variant_label], "" )
)</f>
        <v>N/A</v>
      </c>
      <c r="H45" s="88" t="str">
        <f ca="1" xml:space="preserve"> _xlfn.TEXTJOIN( ", ", 1,
  OFFSET( INDIRECT( ADDRESS( ROW( INDEX( co_impactYears[sector_id], MATCH( co_sectors[[#This Row],[sector_id]], co_impactYears[sector_id], 0 ) ) ),  COLUMN( co_impactYears[[#Headers],[sector_id]] ), , , "controlTables" ) ), 0, 1, 1, 4 )
)</f>
        <v>NA</v>
      </c>
      <c r="I45" s="88" t="str" cm="1">
        <f t="array" aca="1" ref="I45" ca="1" xml:space="preserve">  _xlfn.TEXTJOIN( ", ", 1,
  IF( OFFSET( INDIRECT( ADDRESS( ROW( co_impactTypes[[#Headers],[row_id]] ),  COLUMN( co_impactTypes[[#Headers],[sector_id]] ), , , "controlTables" ) ), 1, 0, MAX( co_impactTypes[row_id] ), 1 ) = co_sectors[[#This Row],[sector_id]], co_impactTypes[impactType_label], "" )
)</f>
        <v>N/A</v>
      </c>
      <c r="J45" s="21">
        <f ca="1" xml:space="preserve"> IF( co_sectors[[#This Row],[impactYears]] = "NA", 0, 1)</f>
        <v>0</v>
      </c>
      <c r="K45" s="90" t="b" cm="1">
        <f t="array" ref="K45" xml:space="preserve"> SUMPRODUCT( --( co_sectors[[#This Row],[sector_id]] = co_impactTypes[sector_id] ), --IF( co_impactTypes[physicalmeasure] = "N/A", 0, 1) ) &gt;= 1</f>
        <v>0</v>
      </c>
      <c r="L45" s="90" t="b" cm="1">
        <f t="array" ref="L45" xml:space="preserve"> OR( SUMPRODUCT( --( co_sectors[[#This Row],[sector_id]] = co_impactTypes[sector_id] ), --IF( co_impactTypes[c0] &lt;&gt; 0, 1, 0) ) &gt;= 1,
      SUMPRODUCT( --( co_sectors[[#This Row],[sector_id]] = co_impactTypes[sector_id] ), --IF( co_impactTypes[c1] &lt;&gt; 0, 1, 0) ) &gt;= 1 )</f>
        <v>1</v>
      </c>
      <c r="M45" s="90" cm="1">
        <f t="array" ref="M45" xml:space="preserve"> SUMPRODUCT( --( co_sectors[[#This Row],[sector_id]] = co_variants[sector_id] ) )</f>
        <v>1</v>
      </c>
      <c r="N45" s="90" cm="1">
        <f t="array" ref="N45" xml:space="preserve"> SUMPRODUCT( --( co_sectors[[#This Row],[sector_id]] = co_impactTypes[sector_id] ) )</f>
        <v>1</v>
      </c>
      <c r="O45" s="90" cm="1">
        <f t="array" ref="O45" xml:space="preserve"> IF( INDEX( co_impactYears[NA], MATCH( 1, --( co_sectors[[#This Row],[sector_id]] = co_impactYears[sector_id] ), 0 ) ) = "NA", 1, 2 )</f>
        <v>1</v>
      </c>
    </row>
    <row r="46" spans="2:15" ht="22.5" x14ac:dyDescent="0.2">
      <c r="B46" s="71">
        <f xml:space="preserve"> ROW( co_sectors[[#This Row],[row_id]] ) - ROW( co_sectors[[#Headers],[row_id]] )</f>
        <v>26</v>
      </c>
      <c r="C46" s="72" t="s">
        <v>235</v>
      </c>
      <c r="D46" s="24" t="s">
        <v>236</v>
      </c>
      <c r="E46" s="13">
        <v>1</v>
      </c>
      <c r="F46" s="15" t="s">
        <v>145</v>
      </c>
      <c r="G46" s="88" t="str" cm="1">
        <f t="array" aca="1" ref="G46" ca="1" xml:space="preserve"> _xlfn.TEXTJOIN( ", ", 1,
  IF( OFFSET( INDIRECT( ADDRESS( ROW( co_variants[[#Headers],[row_id]] ),  COLUMN( co_variants[[#Headers],[sector_id]] ), , , "controlTables" ) ), 1, 0, MAX( co_variants[row_id] ), 1 ) = co_sectors[[#This Row],[sector_id]], co_variants[variant_label], "" )
)</f>
        <v>N/A</v>
      </c>
      <c r="H46" s="88" t="str">
        <f ca="1" xml:space="preserve"> _xlfn.TEXTJOIN( ", ", 1,
  OFFSET( INDIRECT( ADDRESS( ROW( INDEX( co_impactYears[sector_id], MATCH( co_sectors[[#This Row],[sector_id]], co_impactYears[sector_id], 0 ) ) ),  COLUMN( co_impactYears[[#Headers],[sector_id]] ), , , "controlTables" ) ), 0, 1, 1, 4 )
)</f>
        <v>NA</v>
      </c>
      <c r="I46" s="88" t="str" cm="1">
        <f t="array" aca="1" ref="I46" ca="1" xml:space="preserve">  _xlfn.TEXTJOIN( ", ", 1,
  IF( OFFSET( INDIRECT( ADDRESS( ROW( co_impactTypes[[#Headers],[row_id]] ),  COLUMN( co_impactTypes[[#Headers],[sector_id]] ), , , "controlTables" ) ), 1, 0, MAX( co_impactTypes[row_id] ), 1 ) = co_sectors[[#This Row],[sector_id]], co_impactTypes[impactType_label], "" )
)</f>
        <v>Lost Wages, Morbidity, Mortality</v>
      </c>
      <c r="J46" s="21">
        <f ca="1" xml:space="preserve"> IF( co_sectors[[#This Row],[impactYears]] = "NA", 0, 1)</f>
        <v>0</v>
      </c>
      <c r="K46" s="90" t="b" cm="1">
        <f t="array" ref="K46" xml:space="preserve"> SUMPRODUCT( --( co_sectors[[#This Row],[sector_id]] = co_impactTypes[sector_id] ), --IF( co_impactTypes[physicalmeasure] = "N/A", 0, 1) ) &gt;= 1</f>
        <v>1</v>
      </c>
      <c r="L46" s="90" t="b" cm="1">
        <f t="array" ref="L46" xml:space="preserve"> OR( SUMPRODUCT( --( co_sectors[[#This Row],[sector_id]] = co_impactTypes[sector_id] ), --IF( co_impactTypes[c0] &lt;&gt; 0, 1, 0) ) &gt;= 1,
      SUMPRODUCT( --( co_sectors[[#This Row],[sector_id]] = co_impactTypes[sector_id] ), --IF( co_impactTypes[c1] &lt;&gt; 0, 1, 0) ) &gt;= 1 )</f>
        <v>1</v>
      </c>
      <c r="M46" s="90" cm="1">
        <f t="array" ref="M46" xml:space="preserve"> SUMPRODUCT( --( co_sectors[[#This Row],[sector_id]] = co_variants[sector_id] ) )</f>
        <v>1</v>
      </c>
      <c r="N46" s="90" cm="1">
        <f t="array" ref="N46" xml:space="preserve"> SUMPRODUCT( --( co_sectors[[#This Row],[sector_id]] = co_impactTypes[sector_id] ) )</f>
        <v>3</v>
      </c>
      <c r="O46" s="90" cm="1">
        <f t="array" ref="O46" xml:space="preserve"> IF( INDEX( co_impactYears[NA], MATCH( 1, --( co_sectors[[#This Row],[sector_id]] = co_impactYears[sector_id] ), 0 ) ) = "NA", 1, 2 )</f>
        <v>1</v>
      </c>
    </row>
    <row r="47" spans="2:15" ht="22.5" x14ac:dyDescent="0.2">
      <c r="B47" s="73">
        <f xml:space="preserve"> ROW( co_sectors[[#This Row],[row_id]] ) - ROW( co_sectors[[#Headers],[row_id]] )</f>
        <v>27</v>
      </c>
      <c r="C47" s="75" t="s">
        <v>403</v>
      </c>
      <c r="D47" s="23" t="s">
        <v>531</v>
      </c>
      <c r="E47" s="12">
        <v>1</v>
      </c>
      <c r="F47" s="15" t="s">
        <v>145</v>
      </c>
      <c r="G47" s="88" t="str" cm="1">
        <f t="array" aca="1" ref="G47" ca="1" xml:space="preserve"> _xlfn.TEXTJOIN( ", ", 1,
  IF( OFFSET( INDIRECT( ADDRESS( ROW( co_variants[[#Headers],[row_id]] ),  COLUMN( co_variants[[#Headers],[sector_id]] ), , , "controlTables" ) ), 1, 0, MAX( co_variants[row_id] ), 1 ) = co_sectors[[#This Row],[sector_id]], co_variants[variant_label], "" )
)</f>
        <v>N/A</v>
      </c>
      <c r="H47" s="88" t="str">
        <f ca="1" xml:space="preserve"> _xlfn.TEXTJOIN( ", ", 1,
  OFFSET( INDIRECT( ADDRESS( ROW( INDEX( co_impactYears[sector_id], MATCH( co_sectors[[#This Row],[sector_id]], co_impactYears[sector_id], 0 ) ) ),  COLUMN( co_impactYears[[#Headers],[sector_id]] ), , , "controlTables" ) ), 0, 1, 1, 4 )
)</f>
        <v>NA</v>
      </c>
      <c r="I47" s="88" t="str" cm="1">
        <f t="array" aca="1" ref="I47" ca="1" xml:space="preserve">  _xlfn.TEXTJOIN( ", ", 1,
  IF( OFFSET( INDIRECT( ADDRESS( ROW( co_impactTypes[[#Headers],[row_id]] ),  COLUMN( co_impactTypes[[#Headers],[sector_id]] ), , , "controlTables" ) ), 1, 0, MAX( co_impactTypes[row_id] ), 1 ) = co_sectors[[#This Row],[sector_id]], co_impactTypes[impactType_label], "" )
)</f>
        <v>Direct Medical Cost, Lost Days, Mortality</v>
      </c>
      <c r="J47" s="21">
        <f ca="1" xml:space="preserve"> IF( co_sectors[[#This Row],[impactYears]] = "NA", 0, 1)</f>
        <v>0</v>
      </c>
      <c r="K47" s="90" t="b" cm="1">
        <f t="array" ref="K47" xml:space="preserve"> SUMPRODUCT( --( co_sectors[[#This Row],[sector_id]] = co_impactTypes[sector_id] ), --IF( co_impactTypes[physicalmeasure] = "N/A", 0, 1) ) &gt;= 1</f>
        <v>1</v>
      </c>
      <c r="L47" s="90" t="b" cm="1">
        <f t="array" ref="L47" xml:space="preserve"> OR( SUMPRODUCT( --( co_sectors[[#This Row],[sector_id]] = co_impactTypes[sector_id] ), --IF( co_impactTypes[c0] &lt;&gt; 0, 1, 0) ) &gt;= 1,
      SUMPRODUCT( --( co_sectors[[#This Row],[sector_id]] = co_impactTypes[sector_id] ), --IF( co_impactTypes[c1] &lt;&gt; 0, 1, 0) ) &gt;= 1 )</f>
        <v>1</v>
      </c>
      <c r="M47" s="90" cm="1">
        <f t="array" ref="M47" xml:space="preserve"> SUMPRODUCT( --( co_sectors[[#This Row],[sector_id]] = co_variants[sector_id] ) )</f>
        <v>1</v>
      </c>
      <c r="N47" s="90" cm="1">
        <f t="array" ref="N47" xml:space="preserve"> SUMPRODUCT( --( co_sectors[[#This Row],[sector_id]] = co_impactTypes[sector_id] ) )</f>
        <v>3</v>
      </c>
      <c r="O47" s="90" cm="1">
        <f t="array" ref="O47" xml:space="preserve"> IF( INDEX( co_impactYears[NA], MATCH( 1, --( co_sectors[[#This Row],[sector_id]] = co_impactYears[sector_id] ), 0 ) ) = "NA", 1, 2 )</f>
        <v>1</v>
      </c>
    </row>
    <row r="48" spans="2:15" x14ac:dyDescent="0.2">
      <c r="B48" s="71">
        <f xml:space="preserve"> ROW( co_sectors[[#This Row],[row_id]] ) - ROW( co_sectors[[#Headers],[row_id]] )</f>
        <v>28</v>
      </c>
      <c r="C48" s="72" t="s">
        <v>63</v>
      </c>
      <c r="D48" s="24" t="s">
        <v>64</v>
      </c>
      <c r="E48" s="12">
        <v>1</v>
      </c>
      <c r="F48" s="14" t="s">
        <v>145</v>
      </c>
      <c r="G48" s="88" t="str" cm="1">
        <f t="array" aca="1" ref="G48" ca="1" xml:space="preserve"> _xlfn.TEXTJOIN( ", ", 1,
  IF( OFFSET( INDIRECT( ADDRESS( ROW( co_variants[[#Headers],[row_id]] ),  COLUMN( co_variants[[#Headers],[sector_id]] ), , , "controlTables" ) ), 1, 0, MAX( co_variants[row_id] ), 1 ) = co_sectors[[#This Row],[sector_id]], co_variants[variant_label], "" )
)</f>
        <v>N/A</v>
      </c>
      <c r="H48" s="88" t="str">
        <f ca="1" xml:space="preserve"> _xlfn.TEXTJOIN( ", ", 1,
  OFFSET( INDIRECT( ADDRESS( ROW( INDEX( co_impactYears[sector_id], MATCH( co_sectors[[#This Row],[sector_id]], co_impactYears[sector_id], 0 ) ) ),  COLUMN( co_impactYears[[#Headers],[sector_id]] ), , , "controlTables" ) ), 0, 1, 1, 4 )
)</f>
        <v>NA</v>
      </c>
      <c r="I48" s="88" t="str" cm="1">
        <f t="array" aca="1" ref="I48" ca="1" xml:space="preserve">  _xlfn.TEXTJOIN( ", ", 1,
  IF( OFFSET( INDIRECT( ADDRESS( ROW( co_impactTypes[[#Headers],[row_id]] ),  COLUMN( co_impactTypes[[#Headers],[sector_id]] ), , , "controlTables" ) ), 1, 0, MAX( co_impactTypes[row_id] ), 1 ) = co_sectors[[#This Row],[sector_id]], co_impactTypes[impactType_label], "" )
)</f>
        <v>N/A</v>
      </c>
      <c r="J48" s="21">
        <f ca="1" xml:space="preserve"> IF( co_sectors[[#This Row],[impactYears]] = "NA", 0, 1)</f>
        <v>0</v>
      </c>
      <c r="K48" s="90" t="b" cm="1">
        <f t="array" ref="K48" xml:space="preserve"> SUMPRODUCT( --( co_sectors[[#This Row],[sector_id]] = co_impactTypes[sector_id] ), --IF( co_impactTypes[physicalmeasure] = "N/A", 0, 1) ) &gt;= 1</f>
        <v>0</v>
      </c>
      <c r="L48" s="90" t="b" cm="1">
        <f t="array" ref="L48" xml:space="preserve"> OR( SUMPRODUCT( --( co_sectors[[#This Row],[sector_id]] = co_impactTypes[sector_id] ), --IF( co_impactTypes[c0] &lt;&gt; 0, 1, 0) ) &gt;= 1,
      SUMPRODUCT( --( co_sectors[[#This Row],[sector_id]] = co_impactTypes[sector_id] ), --IF( co_impactTypes[c1] &lt;&gt; 0, 1, 0) ) &gt;= 1 )</f>
        <v>1</v>
      </c>
      <c r="M48" s="90" cm="1">
        <f t="array" ref="M48" xml:space="preserve"> SUMPRODUCT( --( co_sectors[[#This Row],[sector_id]] = co_variants[sector_id] ) )</f>
        <v>1</v>
      </c>
      <c r="N48" s="90" cm="1">
        <f t="array" ref="N48" xml:space="preserve"> SUMPRODUCT( --( co_sectors[[#This Row],[sector_id]] = co_impactTypes[sector_id] ) )</f>
        <v>1</v>
      </c>
      <c r="O48" s="90" cm="1">
        <f t="array" ref="O48" xml:space="preserve"> IF( INDEX( co_impactYears[NA], MATCH( 1, --( co_sectors[[#This Row],[sector_id]] = co_impactYears[sector_id] ), 0 ) ) = "NA", 1, 2 )</f>
        <v>1</v>
      </c>
    </row>
    <row r="49" spans="1:21" ht="44.25" customHeight="1" x14ac:dyDescent="0.2">
      <c r="B49" s="71">
        <f xml:space="preserve"> ROW( co_sectors[[#This Row],[row_id]] ) - ROW( co_sectors[[#Headers],[row_id]] )</f>
        <v>29</v>
      </c>
      <c r="C49" s="72" t="s">
        <v>97</v>
      </c>
      <c r="D49" s="24" t="s">
        <v>97</v>
      </c>
      <c r="E49" s="12">
        <v>1</v>
      </c>
      <c r="F49" s="14" t="s">
        <v>145</v>
      </c>
      <c r="G49" s="88" t="str" cm="1">
        <f t="array" aca="1" ref="G49" ca="1" xml:space="preserve"> _xlfn.TEXTJOIN( ", ", 1,
  IF( OFFSET( INDIRECT( ADDRESS( ROW( co_variants[[#Headers],[row_id]] ),  COLUMN( co_variants[[#Headers],[sector_id]] ), , , "controlTables" ) ), 1, 0, MAX( co_variants[row_id] ), 1 ) = co_sectors[[#This Row],[sector_id]], co_variants[variant_label], "" )
)</f>
        <v>N/A</v>
      </c>
      <c r="H49" s="88" t="str">
        <f ca="1" xml:space="preserve"> _xlfn.TEXTJOIN( ", ", 1,
  OFFSET( INDIRECT( ADDRESS( ROW( INDEX( co_impactYears[sector_id], MATCH( co_sectors[[#This Row],[sector_id]], co_impactYears[sector_id], 0 ) ) ),  COLUMN( co_impactYears[[#Headers],[sector_id]] ), , , "controlTables" ) ), 0, 1, 1, 4 )
)</f>
        <v>NA</v>
      </c>
      <c r="I49" s="88" t="str" cm="1">
        <f t="array" aca="1" ref="I49" ca="1" xml:space="preserve">  _xlfn.TEXTJOIN( ", ", 1,
  IF( OFFSET( INDIRECT( ADDRESS( ROW( co_impactTypes[[#Headers],[row_id]] ),  COLUMN( co_impactTypes[[#Headers],[sector_id]] ), , , "controlTables" ) ), 1, 0, MAX( co_impactTypes[row_id] ), 1 ) = co_sectors[[#This Row],[sector_id]], co_impactTypes[impactType_label], "" )
)</f>
        <v>Other Morbidity, Mortality, Response Costs, PM2.5 New Childhood Asthma</v>
      </c>
      <c r="J49" s="21">
        <f ca="1" xml:space="preserve"> IF( co_sectors[[#This Row],[impactYears]] = "NA", 0, 1)</f>
        <v>0</v>
      </c>
      <c r="K49" s="90" t="b" cm="1">
        <f t="array" ref="K49" xml:space="preserve"> SUMPRODUCT( --( co_sectors[[#This Row],[sector_id]] = co_impactTypes[sector_id] ), --IF( co_impactTypes[physicalmeasure] = "N/A", 0, 1) ) &gt;= 1</f>
        <v>1</v>
      </c>
      <c r="L49" s="90" t="b" cm="1">
        <f t="array" ref="L49" xml:space="preserve"> OR( SUMPRODUCT( --( co_sectors[[#This Row],[sector_id]] = co_impactTypes[sector_id] ), --IF( co_impactTypes[c0] &lt;&gt; 0, 1, 0) ) &gt;= 1,
      SUMPRODUCT( --( co_sectors[[#This Row],[sector_id]] = co_impactTypes[sector_id] ), --IF( co_impactTypes[c1] &lt;&gt; 0, 1, 0) ) &gt;= 1 )</f>
        <v>1</v>
      </c>
      <c r="M49" s="90" cm="1">
        <f t="array" ref="M49" xml:space="preserve"> SUMPRODUCT( --( co_sectors[[#This Row],[sector_id]] = co_variants[sector_id] ) )</f>
        <v>1</v>
      </c>
      <c r="N49" s="90" cm="1">
        <f t="array" ref="N49" xml:space="preserve"> SUMPRODUCT( --( co_sectors[[#This Row],[sector_id]] = co_impactTypes[sector_id] ) )</f>
        <v>4</v>
      </c>
      <c r="O49" s="90" cm="1">
        <f t="array" ref="O49" xml:space="preserve"> IF( INDEX( co_impactYears[NA], MATCH( 1, --( co_sectors[[#This Row],[sector_id]] = co_impactYears[sector_id] ), 0 ) ) = "NA", 1, 2 )</f>
        <v>1</v>
      </c>
    </row>
    <row r="50" spans="1:21" x14ac:dyDescent="0.2">
      <c r="B50" s="71">
        <f xml:space="preserve"> ROW( co_sectors[[#This Row],[row_id]] ) - ROW( co_sectors[[#Headers],[row_id]] )</f>
        <v>30</v>
      </c>
      <c r="C50" s="75" t="s">
        <v>315</v>
      </c>
      <c r="D50" s="23" t="s">
        <v>317</v>
      </c>
      <c r="E50" s="12">
        <v>1</v>
      </c>
      <c r="F50" s="15" t="s">
        <v>145</v>
      </c>
      <c r="G50" s="88" t="str" cm="1">
        <f t="array" aca="1" ref="G50" ca="1" xml:space="preserve"> _xlfn.TEXTJOIN( ", ", 1,
  IF( OFFSET( INDIRECT( ADDRESS( ROW( co_variants[[#Headers],[row_id]] ),  COLUMN( co_variants[[#Headers],[sector_id]] ), , , "controlTables" ) ), 1, 0, MAX( co_variants[row_id] ), 1 ) = co_sectors[[#This Row],[sector_id]], co_variants[variant_label], "" )
)</f>
        <v>N/A</v>
      </c>
      <c r="H50" s="88" t="str">
        <f ca="1" xml:space="preserve"> _xlfn.TEXTJOIN( ", ", 1,
  OFFSET( INDIRECT( ADDRESS( ROW( INDEX( co_impactYears[sector_id], MATCH( co_sectors[[#This Row],[sector_id]], co_impactYears[sector_id], 0 ) ) ),  COLUMN( co_impactYears[[#Headers],[sector_id]] ), , , "controlTables" ) ), 0, 1, 1, 4 )
)</f>
        <v>NA</v>
      </c>
      <c r="I50" s="88" t="str" cm="1">
        <f t="array" aca="1" ref="I50" ca="1" xml:space="preserve">  _xlfn.TEXTJOIN( ", ", 1,
  IF( OFFSET( INDIRECT( ADDRESS( ROW( co_impactTypes[[#Headers],[row_id]] ),  COLUMN( co_impactTypes[[#Headers],[sector_id]] ), , , "controlTables" ) ), 1, 0, MAX( co_impactTypes[row_id] ), 1 ) = co_sectors[[#This Row],[sector_id]], co_impactTypes[impactType_label], "" )
)</f>
        <v>N/A</v>
      </c>
      <c r="J50" s="21">
        <f ca="1" xml:space="preserve"> IF( co_sectors[[#This Row],[impactYears]] = "NA", 0, 1)</f>
        <v>0</v>
      </c>
      <c r="K50" s="90" t="b" cm="1">
        <f t="array" ref="K50" xml:space="preserve"> SUMPRODUCT( --( co_sectors[[#This Row],[sector_id]] = co_impactTypes[sector_id] ), --IF( co_impactTypes[physicalmeasure] = "N/A", 0, 1) ) &gt;= 1</f>
        <v>0</v>
      </c>
      <c r="L50" s="90" t="b" cm="1">
        <f t="array" ref="L50" xml:space="preserve"> OR( SUMPRODUCT( --( co_sectors[[#This Row],[sector_id]] = co_impactTypes[sector_id] ), --IF( co_impactTypes[c0] &lt;&gt; 0, 1, 0) ) &gt;= 1,
      SUMPRODUCT( --( co_sectors[[#This Row],[sector_id]] = co_impactTypes[sector_id] ), --IF( co_impactTypes[c1] &lt;&gt; 0, 1, 0) ) &gt;= 1 )</f>
        <v>1</v>
      </c>
      <c r="M50" s="90" cm="1">
        <f t="array" ref="M50" xml:space="preserve"> SUMPRODUCT( --( co_sectors[[#This Row],[sector_id]] = co_variants[sector_id] ) )</f>
        <v>1</v>
      </c>
      <c r="N50" s="90" cm="1">
        <f t="array" ref="N50" xml:space="preserve"> SUMPRODUCT( --( co_sectors[[#This Row],[sector_id]] = co_impactTypes[sector_id] ) )</f>
        <v>1</v>
      </c>
      <c r="O50" s="90" cm="1">
        <f t="array" ref="O50" xml:space="preserve"> IF( INDEX( co_impactYears[NA], MATCH( 1, --( co_sectors[[#This Row],[sector_id]] = co_impactYears[sector_id] ), 0 ) ) = "NA", 1, 2 )</f>
        <v>1</v>
      </c>
    </row>
    <row r="51" spans="1:21" ht="33.75" x14ac:dyDescent="0.2">
      <c r="B51" s="71">
        <f xml:space="preserve"> ROW( co_sectors[[#This Row],[row_id]] ) - ROW( co_sectors[[#Headers],[row_id]] )</f>
        <v>31</v>
      </c>
      <c r="C51" s="75" t="s">
        <v>24</v>
      </c>
      <c r="D51" s="23" t="s">
        <v>33</v>
      </c>
      <c r="E51" s="12">
        <v>1</v>
      </c>
      <c r="F51" s="14" t="s">
        <v>145</v>
      </c>
      <c r="G51" s="88" t="str" cm="1">
        <f t="array" aca="1" ref="G51" ca="1" xml:space="preserve"> _xlfn.TEXTJOIN( ", ", 1,
  IF( OFFSET( INDIRECT( ADDRESS( ROW( co_variants[[#Headers],[row_id]] ),  COLUMN( co_variants[[#Headers],[sector_id]] ), , , "controlTables" ) ), 1, 0, MAX( co_variants[row_id] ), 1 ) = co_sectors[[#This Row],[sector_id]], co_variants[variant_label], "" )
)</f>
        <v>N/A</v>
      </c>
      <c r="H51" s="88" t="str">
        <f ca="1" xml:space="preserve"> _xlfn.TEXTJOIN( ", ", 1,
  OFFSET( INDIRECT( ADDRESS( ROW( INDEX( co_impactYears[sector_id], MATCH( co_sectors[[#This Row],[sector_id]], co_impactYears[sector_id], 0 ) ) ),  COLUMN( co_impactYears[[#Headers],[sector_id]] ), , , "controlTables" ) ), 0, 1, 1, 4 )
)</f>
        <v>2010, 2090</v>
      </c>
      <c r="I51" s="88" t="str" cm="1">
        <f t="array" aca="1" ref="I51" ca="1" xml:space="preserve">  _xlfn.TEXTJOIN( ", ", 1,
  IF( OFFSET( INDIRECT( ADDRESS( ROW( co_impactTypes[[#Headers],[row_id]] ),  COLUMN( co_impactTypes[[#Headers],[sector_id]] ), , , "controlTables" ) ), 1, 0, MAX( co_impactTypes[row_id] ), 1 ) = co_sectors[[#This Row],[sector_id]], co_impactTypes[impactType_label], "" )
)</f>
        <v>Alpine Skiing, Cross-Country Skiing, Snowmobiling</v>
      </c>
      <c r="J51" s="21">
        <f ca="1" xml:space="preserve"> IF( co_sectors[[#This Row],[impactYears]] = "NA", 0, 1)</f>
        <v>1</v>
      </c>
      <c r="K51" s="90" t="b" cm="1">
        <f t="array" ref="K51" xml:space="preserve"> SUMPRODUCT( --( co_sectors[[#This Row],[sector_id]] = co_impactTypes[sector_id] ), --IF( co_impactTypes[physicalmeasure] = "N/A", 0, 1) ) &gt;= 1</f>
        <v>0</v>
      </c>
      <c r="L51" s="90" t="b" cm="1">
        <f t="array" ref="L51" xml:space="preserve"> OR( SUMPRODUCT( --( co_sectors[[#This Row],[sector_id]] = co_impactTypes[sector_id] ), --IF( co_impactTypes[c0] &lt;&gt; 0, 1, 0) ) &gt;= 1,
      SUMPRODUCT( --( co_sectors[[#This Row],[sector_id]] = co_impactTypes[sector_id] ), --IF( co_impactTypes[c1] &lt;&gt; 0, 1, 0) ) &gt;= 1 )</f>
        <v>1</v>
      </c>
      <c r="M51" s="90" cm="1">
        <f t="array" ref="M51" xml:space="preserve"> SUMPRODUCT( --( co_sectors[[#This Row],[sector_id]] = co_variants[sector_id] ) )</f>
        <v>1</v>
      </c>
      <c r="N51" s="90" cm="1">
        <f t="array" ref="N51" xml:space="preserve"> SUMPRODUCT( --( co_sectors[[#This Row],[sector_id]] = co_impactTypes[sector_id] ) )</f>
        <v>3</v>
      </c>
      <c r="O51" s="90" cm="1">
        <f t="array" ref="O51" xml:space="preserve"> IF( INDEX( co_impactYears[NA], MATCH( 1, --( co_sectors[[#This Row],[sector_id]] = co_impactYears[sector_id] ), 0 ) ) = "NA", 1, 2 )</f>
        <v>2</v>
      </c>
    </row>
    <row r="53" spans="1:21" ht="15" x14ac:dyDescent="0.25">
      <c r="A53" s="16"/>
      <c r="B53" s="17" t="s">
        <v>266</v>
      </c>
      <c r="C53" s="17"/>
      <c r="D53" s="17"/>
      <c r="E53" s="17"/>
      <c r="F53" s="17"/>
      <c r="G53" s="17"/>
      <c r="H53" s="17"/>
      <c r="I53" s="17"/>
      <c r="J53" s="17"/>
      <c r="K53" s="17"/>
      <c r="L53" s="17"/>
      <c r="M53" s="17"/>
      <c r="N53" s="17"/>
      <c r="O53" s="17"/>
      <c r="P53" s="17"/>
      <c r="Q53" s="17"/>
      <c r="R53" s="17"/>
      <c r="S53" s="17"/>
      <c r="T53" s="17"/>
      <c r="U53" s="17"/>
    </row>
    <row r="55" spans="1:21" x14ac:dyDescent="0.2">
      <c r="B55" s="29" t="s">
        <v>114</v>
      </c>
      <c r="C55" s="29" t="s">
        <v>56</v>
      </c>
      <c r="D55" s="31" t="s">
        <v>190</v>
      </c>
      <c r="E55" s="15" t="s">
        <v>168</v>
      </c>
      <c r="F55" s="31" t="s">
        <v>169</v>
      </c>
    </row>
    <row r="56" spans="1:21" x14ac:dyDescent="0.2">
      <c r="B56" s="4">
        <f xml:space="preserve"> ROW( co_impactYears[[#This Row],[row_id]] ) - ROW(co_impactYears[[#Headers],[row_id]] )</f>
        <v>1</v>
      </c>
      <c r="C56" s="7" t="s">
        <v>94</v>
      </c>
      <c r="D56" s="27" t="s">
        <v>190</v>
      </c>
      <c r="E56" s="80" t="s">
        <v>17</v>
      </c>
      <c r="F56" s="27" t="s">
        <v>17</v>
      </c>
    </row>
    <row r="57" spans="1:21" x14ac:dyDescent="0.2">
      <c r="B57" s="4">
        <f xml:space="preserve"> ROW( co_impactYears[[#This Row],[row_id]] ) - ROW(co_impactYears[[#Headers],[row_id]] )</f>
        <v>2</v>
      </c>
      <c r="C57" s="7" t="s">
        <v>252</v>
      </c>
      <c r="D57" s="27" t="s">
        <v>190</v>
      </c>
      <c r="E57" s="80" t="s">
        <v>17</v>
      </c>
      <c r="F57" s="27" t="s">
        <v>17</v>
      </c>
    </row>
    <row r="58" spans="1:21" x14ac:dyDescent="0.2">
      <c r="B58" s="4">
        <f xml:space="preserve"> ROW( co_impactYears[[#This Row],[row_id]] ) - ROW(co_impactYears[[#Headers],[row_id]] )</f>
        <v>3</v>
      </c>
      <c r="C58" s="7" t="s">
        <v>524</v>
      </c>
      <c r="D58" s="27" t="s">
        <v>190</v>
      </c>
      <c r="E58" s="80" t="s">
        <v>17</v>
      </c>
      <c r="F58" s="27" t="s">
        <v>17</v>
      </c>
    </row>
    <row r="59" spans="1:21" x14ac:dyDescent="0.2">
      <c r="B59" s="4">
        <f xml:space="preserve"> ROW( co_impactYears[[#This Row],[row_id]] ) - ROW(co_impactYears[[#Headers],[row_id]] )</f>
        <v>4</v>
      </c>
      <c r="C59" s="7" t="s">
        <v>344</v>
      </c>
      <c r="D59" s="27" t="s">
        <v>190</v>
      </c>
      <c r="E59" s="80" t="s">
        <v>17</v>
      </c>
      <c r="F59" s="27" t="s">
        <v>17</v>
      </c>
    </row>
    <row r="60" spans="1:21" x14ac:dyDescent="0.2">
      <c r="B60" s="4">
        <f xml:space="preserve"> ROW( co_impactYears[[#This Row],[row_id]] ) - ROW(co_impactYears[[#Headers],[row_id]] )</f>
        <v>5</v>
      </c>
      <c r="C60" s="7" t="s">
        <v>345</v>
      </c>
      <c r="D60" s="27" t="s">
        <v>190</v>
      </c>
      <c r="E60" s="80" t="s">
        <v>17</v>
      </c>
      <c r="F60" s="27" t="s">
        <v>17</v>
      </c>
    </row>
    <row r="61" spans="1:21" x14ac:dyDescent="0.2">
      <c r="B61" s="4">
        <f xml:space="preserve"> ROW( co_impactYears[[#This Row],[row_id]] ) - ROW(co_impactYears[[#Headers],[row_id]] )</f>
        <v>6</v>
      </c>
      <c r="C61" s="7" t="s">
        <v>525</v>
      </c>
      <c r="D61" s="27" t="s">
        <v>190</v>
      </c>
      <c r="E61" s="80" t="s">
        <v>17</v>
      </c>
      <c r="F61" s="27" t="s">
        <v>17</v>
      </c>
    </row>
    <row r="62" spans="1:21" x14ac:dyDescent="0.2">
      <c r="B62" s="4">
        <f xml:space="preserve"> ROW( co_impactYears[[#This Row],[row_id]] ) - ROW(co_impactYears[[#Headers],[row_id]] )</f>
        <v>7</v>
      </c>
      <c r="C62" s="7" t="s">
        <v>21</v>
      </c>
      <c r="D62" s="27" t="s">
        <v>190</v>
      </c>
      <c r="E62" s="80" t="s">
        <v>17</v>
      </c>
      <c r="F62" s="27" t="s">
        <v>17</v>
      </c>
    </row>
    <row r="63" spans="1:21" x14ac:dyDescent="0.2">
      <c r="B63" s="4">
        <f xml:space="preserve"> ROW( co_impactYears[[#This Row],[row_id]] ) - ROW(co_impactYears[[#Headers],[row_id]] )</f>
        <v>8</v>
      </c>
      <c r="C63" s="7" t="s">
        <v>57</v>
      </c>
      <c r="D63" s="27" t="s">
        <v>190</v>
      </c>
      <c r="E63" s="80" t="s">
        <v>17</v>
      </c>
      <c r="F63" s="27" t="s">
        <v>17</v>
      </c>
    </row>
    <row r="64" spans="1:21" x14ac:dyDescent="0.2">
      <c r="B64" s="4">
        <f xml:space="preserve"> ROW( co_impactYears[[#This Row],[row_id]] ) - ROW(co_impactYears[[#Headers],[row_id]] )</f>
        <v>9</v>
      </c>
      <c r="C64" s="7" t="s">
        <v>250</v>
      </c>
      <c r="D64" s="27" t="s">
        <v>190</v>
      </c>
      <c r="E64" s="80" t="s">
        <v>17</v>
      </c>
      <c r="F64" s="27" t="s">
        <v>17</v>
      </c>
    </row>
    <row r="65" spans="2:6" x14ac:dyDescent="0.2">
      <c r="B65" s="4">
        <f xml:space="preserve"> ROW( co_impactYears[[#This Row],[row_id]] ) - ROW(co_impactYears[[#Headers],[row_id]] )</f>
        <v>10</v>
      </c>
      <c r="C65" s="7" t="s">
        <v>15</v>
      </c>
      <c r="D65" s="27" t="s">
        <v>17</v>
      </c>
      <c r="E65" s="80">
        <v>2010</v>
      </c>
      <c r="F65" s="27">
        <v>2090</v>
      </c>
    </row>
    <row r="66" spans="2:6" x14ac:dyDescent="0.2">
      <c r="B66" s="4">
        <f xml:space="preserve"> ROW( co_impactYears[[#This Row],[row_id]] ) - ROW(co_impactYears[[#Headers],[row_id]] )</f>
        <v>11</v>
      </c>
      <c r="C66" s="7" t="s">
        <v>620</v>
      </c>
      <c r="D66" s="27" t="s">
        <v>190</v>
      </c>
      <c r="E66" s="80"/>
      <c r="F66" s="27"/>
    </row>
    <row r="67" spans="2:6" x14ac:dyDescent="0.2">
      <c r="B67" s="4">
        <f xml:space="preserve"> ROW( co_impactYears[[#This Row],[row_id]] ) - ROW(co_impactYears[[#Headers],[row_id]] )</f>
        <v>12</v>
      </c>
      <c r="C67" s="7" t="s">
        <v>58</v>
      </c>
      <c r="D67" s="27" t="s">
        <v>190</v>
      </c>
      <c r="E67" s="80" t="s">
        <v>17</v>
      </c>
      <c r="F67" s="27" t="s">
        <v>17</v>
      </c>
    </row>
    <row r="68" spans="2:6" x14ac:dyDescent="0.2">
      <c r="B68" s="4">
        <f xml:space="preserve"> ROW( co_impactYears[[#This Row],[row_id]] ) - ROW(co_impactYears[[#Headers],[row_id]] )</f>
        <v>13</v>
      </c>
      <c r="C68" s="7" t="s">
        <v>19</v>
      </c>
      <c r="D68" s="27" t="s">
        <v>190</v>
      </c>
      <c r="E68" s="80" t="s">
        <v>17</v>
      </c>
      <c r="F68" s="27" t="s">
        <v>17</v>
      </c>
    </row>
    <row r="69" spans="2:6" x14ac:dyDescent="0.2">
      <c r="B69" s="4">
        <f xml:space="preserve"> ROW( co_impactYears[[#This Row],[row_id]] ) - ROW(co_impactYears[[#Headers],[row_id]] )</f>
        <v>14</v>
      </c>
      <c r="C69" s="7" t="s">
        <v>18</v>
      </c>
      <c r="D69" s="27" t="s">
        <v>190</v>
      </c>
      <c r="E69" s="80" t="s">
        <v>17</v>
      </c>
      <c r="F69" s="27" t="s">
        <v>17</v>
      </c>
    </row>
    <row r="70" spans="2:6" x14ac:dyDescent="0.2">
      <c r="B70" s="4">
        <f xml:space="preserve"> ROW( co_impactYears[[#This Row],[row_id]] ) - ROW(co_impactYears[[#Headers],[row_id]] )</f>
        <v>15</v>
      </c>
      <c r="C70" s="7" t="s">
        <v>633</v>
      </c>
      <c r="D70" s="27" t="s">
        <v>190</v>
      </c>
      <c r="E70" s="80"/>
      <c r="F70" s="27"/>
    </row>
    <row r="71" spans="2:6" x14ac:dyDescent="0.2">
      <c r="B71" s="4">
        <f xml:space="preserve"> ROW( co_impactYears[[#This Row],[row_id]] ) - ROW(co_impactYears[[#Headers],[row_id]] )</f>
        <v>16</v>
      </c>
      <c r="C71" s="7" t="s">
        <v>592</v>
      </c>
      <c r="D71" s="27" t="s">
        <v>190</v>
      </c>
      <c r="E71" s="80"/>
      <c r="F71" s="27"/>
    </row>
    <row r="72" spans="2:6" x14ac:dyDescent="0.2">
      <c r="B72" s="4">
        <f xml:space="preserve"> ROW( co_impactYears[[#This Row],[row_id]] ) - ROW(co_impactYears[[#Headers],[row_id]] )</f>
        <v>17</v>
      </c>
      <c r="C72" s="7" t="s">
        <v>59</v>
      </c>
      <c r="D72" s="27" t="s">
        <v>190</v>
      </c>
      <c r="E72" s="80" t="s">
        <v>17</v>
      </c>
      <c r="F72" s="27" t="s">
        <v>17</v>
      </c>
    </row>
    <row r="73" spans="2:6" x14ac:dyDescent="0.2">
      <c r="B73" s="4">
        <f xml:space="preserve"> ROW( co_impactYears[[#This Row],[row_id]] ) - ROW(co_impactYears[[#Headers],[row_id]] )</f>
        <v>18</v>
      </c>
      <c r="C73" s="7" t="s">
        <v>586</v>
      </c>
      <c r="D73" s="27" t="s">
        <v>190</v>
      </c>
      <c r="E73" s="80"/>
      <c r="F73" s="27"/>
    </row>
    <row r="74" spans="2:6" x14ac:dyDescent="0.2">
      <c r="B74" s="4">
        <f xml:space="preserve"> ROW( co_impactYears[[#This Row],[row_id]] ) - ROW(co_impactYears[[#Headers],[row_id]] )</f>
        <v>19</v>
      </c>
      <c r="C74" s="7" t="s">
        <v>585</v>
      </c>
      <c r="D74" s="27" t="s">
        <v>190</v>
      </c>
      <c r="E74" s="80"/>
      <c r="F74" s="27"/>
    </row>
    <row r="75" spans="2:6" x14ac:dyDescent="0.2">
      <c r="B75" s="4">
        <f xml:space="preserve"> ROW( co_impactYears[[#This Row],[row_id]] ) - ROW(co_impactYears[[#Headers],[row_id]] )</f>
        <v>20</v>
      </c>
      <c r="C75" s="7" t="s">
        <v>597</v>
      </c>
      <c r="D75" s="27" t="s">
        <v>190</v>
      </c>
      <c r="E75" s="80"/>
      <c r="F75" s="27"/>
    </row>
    <row r="76" spans="2:6" x14ac:dyDescent="0.2">
      <c r="B76" s="4">
        <f xml:space="preserve"> ROW( co_impactYears[[#This Row],[row_id]] ) - ROW(co_impactYears[[#Headers],[row_id]] )</f>
        <v>21</v>
      </c>
      <c r="C76" s="7" t="s">
        <v>526</v>
      </c>
      <c r="D76" s="27" t="s">
        <v>190</v>
      </c>
      <c r="E76" s="80" t="s">
        <v>17</v>
      </c>
      <c r="F76" s="27" t="s">
        <v>17</v>
      </c>
    </row>
    <row r="77" spans="2:6" x14ac:dyDescent="0.2">
      <c r="B77" s="4">
        <f xml:space="preserve"> ROW( co_impactYears[[#This Row],[row_id]] ) - ROW(co_impactYears[[#Headers],[row_id]] )</f>
        <v>22</v>
      </c>
      <c r="C77" s="7" t="s">
        <v>46</v>
      </c>
      <c r="D77" s="27" t="s">
        <v>190</v>
      </c>
      <c r="E77" s="80" t="s">
        <v>17</v>
      </c>
      <c r="F77" s="27" t="s">
        <v>17</v>
      </c>
    </row>
    <row r="78" spans="2:6" x14ac:dyDescent="0.2">
      <c r="B78" s="4">
        <f xml:space="preserve"> ROW( co_impactYears[[#This Row],[row_id]] ) - ROW(co_impactYears[[#Headers],[row_id]] )</f>
        <v>23</v>
      </c>
      <c r="C78" s="7" t="s">
        <v>53</v>
      </c>
      <c r="D78" s="27" t="s">
        <v>190</v>
      </c>
      <c r="E78" s="80" t="s">
        <v>17</v>
      </c>
      <c r="F78" s="27" t="s">
        <v>17</v>
      </c>
    </row>
    <row r="79" spans="2:6" x14ac:dyDescent="0.2">
      <c r="B79" s="4">
        <f xml:space="preserve"> ROW( co_impactYears[[#This Row],[row_id]] ) - ROW(co_impactYears[[#Headers],[row_id]] )</f>
        <v>24</v>
      </c>
      <c r="C79" s="7" t="s">
        <v>20</v>
      </c>
      <c r="D79" s="27" t="s">
        <v>190</v>
      </c>
      <c r="E79" s="80"/>
      <c r="F79" s="27"/>
    </row>
    <row r="80" spans="2:6" x14ac:dyDescent="0.2">
      <c r="B80" s="4">
        <f xml:space="preserve"> ROW( co_impactYears[[#This Row],[row_id]] ) - ROW(co_impactYears[[#Headers],[row_id]] )</f>
        <v>25</v>
      </c>
      <c r="C80" s="7" t="s">
        <v>61</v>
      </c>
      <c r="D80" s="27" t="s">
        <v>190</v>
      </c>
      <c r="E80" s="80" t="s">
        <v>17</v>
      </c>
      <c r="F80" s="27" t="s">
        <v>17</v>
      </c>
    </row>
    <row r="81" spans="1:21" x14ac:dyDescent="0.2">
      <c r="B81" s="4">
        <f xml:space="preserve"> ROW( co_impactYears[[#This Row],[row_id]] ) - ROW(co_impactYears[[#Headers],[row_id]] )</f>
        <v>26</v>
      </c>
      <c r="C81" s="7" t="s">
        <v>235</v>
      </c>
      <c r="D81" s="27" t="s">
        <v>190</v>
      </c>
      <c r="E81" s="80" t="s">
        <v>17</v>
      </c>
      <c r="F81" s="27" t="s">
        <v>17</v>
      </c>
    </row>
    <row r="82" spans="1:21" x14ac:dyDescent="0.2">
      <c r="B82" s="4">
        <f xml:space="preserve"> ROW( co_impactYears[[#This Row],[row_id]] ) - ROW(co_impactYears[[#Headers],[row_id]] )</f>
        <v>27</v>
      </c>
      <c r="C82" s="7" t="s">
        <v>403</v>
      </c>
      <c r="D82" s="27" t="s">
        <v>190</v>
      </c>
      <c r="E82" s="80" t="s">
        <v>17</v>
      </c>
      <c r="F82" s="27" t="s">
        <v>17</v>
      </c>
    </row>
    <row r="83" spans="1:21" x14ac:dyDescent="0.2">
      <c r="B83" s="4">
        <f xml:space="preserve"> ROW( co_impactYears[[#This Row],[row_id]] ) - ROW(co_impactYears[[#Headers],[row_id]] )</f>
        <v>28</v>
      </c>
      <c r="C83" s="7" t="s">
        <v>63</v>
      </c>
      <c r="D83" s="27" t="s">
        <v>190</v>
      </c>
      <c r="E83" s="80" t="s">
        <v>17</v>
      </c>
      <c r="F83" s="27" t="s">
        <v>17</v>
      </c>
    </row>
    <row r="84" spans="1:21" x14ac:dyDescent="0.2">
      <c r="B84" s="4">
        <f xml:space="preserve"> ROW( co_impactYears[[#This Row],[row_id]] ) - ROW(co_impactYears[[#Headers],[row_id]] )</f>
        <v>29</v>
      </c>
      <c r="C84" s="7" t="s">
        <v>97</v>
      </c>
      <c r="D84" s="27" t="s">
        <v>190</v>
      </c>
      <c r="E84" s="80" t="s">
        <v>17</v>
      </c>
      <c r="F84" s="27" t="s">
        <v>17</v>
      </c>
    </row>
    <row r="85" spans="1:21" x14ac:dyDescent="0.2">
      <c r="B85" s="4">
        <f xml:space="preserve"> ROW( co_impactYears[[#This Row],[row_id]] ) - ROW(co_impactYears[[#Headers],[row_id]] )</f>
        <v>30</v>
      </c>
      <c r="C85" s="7" t="s">
        <v>315</v>
      </c>
      <c r="D85" s="27" t="s">
        <v>190</v>
      </c>
      <c r="E85" s="80" t="s">
        <v>17</v>
      </c>
      <c r="F85" s="27" t="s">
        <v>17</v>
      </c>
    </row>
    <row r="86" spans="1:21" x14ac:dyDescent="0.2">
      <c r="B86" s="4">
        <f xml:space="preserve"> ROW( co_impactYears[[#This Row],[row_id]] ) - ROW(co_impactYears[[#Headers],[row_id]] )</f>
        <v>31</v>
      </c>
      <c r="C86" s="7" t="s">
        <v>24</v>
      </c>
      <c r="D86" s="27" t="s">
        <v>17</v>
      </c>
      <c r="E86" s="80">
        <v>2010</v>
      </c>
      <c r="F86" s="27">
        <v>2090</v>
      </c>
    </row>
    <row r="88" spans="1:21" ht="15" x14ac:dyDescent="0.25">
      <c r="A88" s="16"/>
      <c r="B88" s="17" t="s">
        <v>353</v>
      </c>
      <c r="C88" s="17"/>
      <c r="D88" s="17"/>
      <c r="E88" s="17"/>
      <c r="F88" s="17"/>
      <c r="G88" s="17"/>
      <c r="H88" s="17"/>
      <c r="I88" s="17"/>
      <c r="J88" s="17"/>
      <c r="K88" s="17"/>
      <c r="L88" s="17"/>
      <c r="M88" s="17"/>
      <c r="N88" s="17"/>
      <c r="O88" s="17"/>
      <c r="P88" s="17"/>
      <c r="Q88" s="17"/>
      <c r="R88" s="17"/>
      <c r="S88" s="17"/>
      <c r="T88" s="17"/>
      <c r="U88" s="17"/>
    </row>
    <row r="89" spans="1:21" x14ac:dyDescent="0.2">
      <c r="B89" s="3" t="s">
        <v>354</v>
      </c>
      <c r="C89" s="3"/>
      <c r="D89" s="3"/>
      <c r="E89" s="10"/>
      <c r="F89" s="3"/>
      <c r="G89" s="3"/>
      <c r="H89" s="3"/>
      <c r="I89" s="3"/>
      <c r="J89" s="3"/>
      <c r="K89" s="3"/>
    </row>
    <row r="90" spans="1:21" x14ac:dyDescent="0.2">
      <c r="B90" s="3" t="s">
        <v>355</v>
      </c>
      <c r="C90" s="3"/>
      <c r="D90" s="3"/>
      <c r="E90" s="10"/>
      <c r="F90" s="3"/>
      <c r="G90" s="3"/>
      <c r="H90" s="3"/>
      <c r="I90" s="3"/>
      <c r="J90" s="3"/>
      <c r="K90" s="3"/>
    </row>
    <row r="91" spans="1:21" x14ac:dyDescent="0.2">
      <c r="B91" s="3" t="s">
        <v>356</v>
      </c>
      <c r="C91" s="3"/>
      <c r="D91" s="3"/>
      <c r="E91" s="10"/>
      <c r="F91" s="3"/>
      <c r="G91" s="3"/>
      <c r="H91" s="3"/>
      <c r="I91" s="3"/>
      <c r="J91" s="3"/>
      <c r="K91" s="3"/>
    </row>
    <row r="92" spans="1:21" ht="15" x14ac:dyDescent="0.25">
      <c r="B92" s="43" t="s">
        <v>114</v>
      </c>
      <c r="C92" s="43" t="s">
        <v>56</v>
      </c>
      <c r="D92" s="43" t="s">
        <v>357</v>
      </c>
      <c r="E92" s="43" t="s">
        <v>358</v>
      </c>
      <c r="F92" s="31" t="s">
        <v>257</v>
      </c>
      <c r="G92" s="31" t="s">
        <v>258</v>
      </c>
      <c r="H92" s="29" t="s">
        <v>125</v>
      </c>
      <c r="I92" s="29" t="s">
        <v>556</v>
      </c>
      <c r="J92" s="5"/>
      <c r="K92" s="5"/>
      <c r="L92" s="5"/>
      <c r="M92" s="5"/>
      <c r="N92" s="5"/>
      <c r="O92" s="5"/>
    </row>
    <row r="93" spans="1:21" ht="15" x14ac:dyDescent="0.25">
      <c r="B93" s="4">
        <f xml:space="preserve"> ROW( co_variants[[#This Row],[row_id]] ) - ROW( co_variants[[#Headers],[row_id]] )</f>
        <v>1</v>
      </c>
      <c r="C93" s="7" t="s">
        <v>94</v>
      </c>
      <c r="D93" s="26" t="s">
        <v>107</v>
      </c>
      <c r="E93" s="47">
        <v>2011</v>
      </c>
      <c r="F93" s="27">
        <v>1</v>
      </c>
      <c r="G93" s="27">
        <v>1</v>
      </c>
      <c r="H93" s="46" t="str">
        <f xml:space="preserve"> INDEX( co_impactTypes[damageAdjName], MATCH( co_variants[[#This Row],[sector_id]], co_impactTypes[sector_id], 0 ) ) &amp;
   IF( OR(co_variants[[#This Row],[sector_id]] = "Roads", co_variants[[#This Row],[sector_id]] = "ForestryLoss"),"_" &amp; co_variants[[#This Row],[variant_id]], "" )</f>
        <v>none</v>
      </c>
      <c r="I93" s="34" cm="1">
        <f t="array" ref="I93" xml:space="preserve"> --( SUMPRODUCT( --( co_impactTypes[sector_id] = co_variants[[#This Row],[sector_id]] ) ) &gt;= 1 )</f>
        <v>1</v>
      </c>
      <c r="J93"/>
      <c r="K93"/>
      <c r="L93"/>
      <c r="M93"/>
    </row>
    <row r="94" spans="1:21" ht="15" x14ac:dyDescent="0.25">
      <c r="B94" s="4">
        <f xml:space="preserve"> ROW( co_variants[[#This Row],[row_id]] ) - ROW( co_variants[[#Headers],[row_id]] )</f>
        <v>2</v>
      </c>
      <c r="C94" s="7" t="s">
        <v>94</v>
      </c>
      <c r="D94" s="26" t="s">
        <v>207</v>
      </c>
      <c r="E94" s="47">
        <v>2040</v>
      </c>
      <c r="F94" s="27">
        <v>0</v>
      </c>
      <c r="G94" s="27">
        <v>0</v>
      </c>
      <c r="H94" s="46" t="str">
        <f xml:space="preserve"> INDEX( co_impactTypes[damageAdjName], MATCH( co_variants[[#This Row],[sector_id]], co_impactTypes[sector_id], 0 ) ) &amp;
   IF( OR(co_variants[[#This Row],[sector_id]] = "Roads", co_variants[[#This Row],[sector_id]] = "ForestryLoss"),"_" &amp; co_variants[[#This Row],[variant_id]], "" )</f>
        <v>none</v>
      </c>
      <c r="I94" s="34" cm="1">
        <f t="array" ref="I94" xml:space="preserve"> --( SUMPRODUCT( --( co_impactTypes[sector_id] = co_variants[[#This Row],[sector_id]] ) ) &gt;= 1 )</f>
        <v>1</v>
      </c>
      <c r="J94"/>
      <c r="K94"/>
      <c r="L94"/>
      <c r="M94"/>
    </row>
    <row r="95" spans="1:21" ht="15" x14ac:dyDescent="0.25">
      <c r="B95" s="4">
        <f xml:space="preserve"> ROW( co_variants[[#This Row],[row_id]] ) - ROW( co_variants[[#Headers],[row_id]] )</f>
        <v>3</v>
      </c>
      <c r="C95" s="7" t="s">
        <v>252</v>
      </c>
      <c r="D95" s="26" t="s">
        <v>38</v>
      </c>
      <c r="E95" s="47" t="s">
        <v>190</v>
      </c>
      <c r="F95" s="27">
        <v>1</v>
      </c>
      <c r="G95" s="27">
        <v>0</v>
      </c>
      <c r="H95" s="46" t="str">
        <f xml:space="preserve"> INDEX( co_impactTypes[damageAdjName], MATCH( co_variants[[#This Row],[sector_id]], co_impactTypes[sector_id], 0 ) ) &amp;
   IF( OR(co_variants[[#This Row],[sector_id]] = "Roads", co_variants[[#This Row],[sector_id]] = "ForestryLoss"),"_" &amp; co_variants[[#This Row],[variant_id]], "" )</f>
        <v>none</v>
      </c>
      <c r="I95" s="34" cm="1">
        <f t="array" ref="I95" xml:space="preserve"> --( SUMPRODUCT( --( co_impactTypes[sector_id] = co_variants[[#This Row],[sector_id]] ) ) &gt;= 1 )</f>
        <v>1</v>
      </c>
      <c r="J95"/>
      <c r="K95"/>
      <c r="L95"/>
      <c r="M95"/>
    </row>
    <row r="96" spans="1:21" ht="15" x14ac:dyDescent="0.25">
      <c r="B96" s="4">
        <f xml:space="preserve"> ROW( co_variants[[#This Row],[row_id]] ) - ROW( co_variants[[#Headers],[row_id]] )</f>
        <v>4</v>
      </c>
      <c r="C96" s="7" t="s">
        <v>524</v>
      </c>
      <c r="D96" s="26" t="s">
        <v>362</v>
      </c>
      <c r="E96" s="47" t="s">
        <v>361</v>
      </c>
      <c r="F96" s="60">
        <v>1</v>
      </c>
      <c r="G96" s="60">
        <v>1</v>
      </c>
      <c r="H96" s="46" t="str">
        <f xml:space="preserve"> INDEX( co_impactTypes[damageAdjName], MATCH( co_variants[[#This Row],[sector_id]], co_impactTypes[sector_id], 0 ) ) &amp;
   IF( OR(co_variants[[#This Row],[sector_id]] = "Roads", co_variants[[#This Row],[sector_id]] = "ForestryLoss"),"_" &amp; co_variants[[#This Row],[variant_id]], "" )</f>
        <v>none</v>
      </c>
      <c r="I96" s="34" cm="1">
        <f t="array" ref="I96" xml:space="preserve"> --( SUMPRODUCT( --( co_impactTypes[sector_id] = co_variants[[#This Row],[sector_id]] ) ) &gt;= 1 )</f>
        <v>1</v>
      </c>
      <c r="J96"/>
      <c r="K96"/>
      <c r="L96"/>
      <c r="M96"/>
    </row>
    <row r="97" spans="2:13" ht="15" x14ac:dyDescent="0.25">
      <c r="B97" s="4">
        <f xml:space="preserve"> ROW( co_variants[[#This Row],[row_id]] ) - ROW( co_variants[[#Headers],[row_id]] )</f>
        <v>5</v>
      </c>
      <c r="C97" s="7" t="s">
        <v>524</v>
      </c>
      <c r="D97" s="26" t="s">
        <v>363</v>
      </c>
      <c r="E97" s="47" t="s">
        <v>560</v>
      </c>
      <c r="F97" s="60">
        <v>0</v>
      </c>
      <c r="G97" s="60">
        <v>0</v>
      </c>
      <c r="H97" s="46" t="str">
        <f xml:space="preserve"> INDEX( co_impactTypes[damageAdjName], MATCH( co_variants[[#This Row],[sector_id]], co_impactTypes[sector_id], 0 ) ) &amp;
   IF( OR(co_variants[[#This Row],[sector_id]] = "Roads", co_variants[[#This Row],[sector_id]] = "ForestryLoss"),"_" &amp; co_variants[[#This Row],[variant_id]], "" )</f>
        <v>none</v>
      </c>
      <c r="I97" s="34" cm="1">
        <f t="array" ref="I97" xml:space="preserve"> --( SUMPRODUCT( --( co_impactTypes[sector_id] = co_variants[[#This Row],[sector_id]] ) ) &gt;= 1 )</f>
        <v>1</v>
      </c>
      <c r="J97"/>
      <c r="K97"/>
      <c r="L97"/>
      <c r="M97"/>
    </row>
    <row r="98" spans="2:13" ht="15" x14ac:dyDescent="0.25">
      <c r="B98" s="4">
        <f xml:space="preserve"> ROW( co_variants[[#This Row],[row_id]] ) - ROW( co_variants[[#Headers],[row_id]] )</f>
        <v>6</v>
      </c>
      <c r="C98" s="7" t="s">
        <v>524</v>
      </c>
      <c r="D98" s="26" t="s">
        <v>364</v>
      </c>
      <c r="E98" s="47" t="s">
        <v>561</v>
      </c>
      <c r="F98" s="60">
        <v>0</v>
      </c>
      <c r="G98" s="60">
        <v>0</v>
      </c>
      <c r="H98" s="46" t="str">
        <f xml:space="preserve"> INDEX( co_impactTypes[damageAdjName], MATCH( co_variants[[#This Row],[sector_id]], co_impactTypes[sector_id], 0 ) ) &amp;
   IF( OR(co_variants[[#This Row],[sector_id]] = "Roads", co_variants[[#This Row],[sector_id]] = "ForestryLoss"),"_" &amp; co_variants[[#This Row],[variant_id]], "" )</f>
        <v>none</v>
      </c>
      <c r="I98" s="34" cm="1">
        <f t="array" ref="I98" xml:space="preserve"> --( SUMPRODUCT( --( co_impactTypes[sector_id] = co_variants[[#This Row],[sector_id]] ) ) &gt;= 1 )</f>
        <v>1</v>
      </c>
      <c r="J98"/>
      <c r="K98"/>
      <c r="L98"/>
      <c r="M98"/>
    </row>
    <row r="99" spans="2:13" ht="15" x14ac:dyDescent="0.25">
      <c r="B99" s="4">
        <f xml:space="preserve"> ROW( co_variants[[#This Row],[row_id]] ) - ROW( co_variants[[#Headers],[row_id]] )</f>
        <v>7</v>
      </c>
      <c r="C99" s="7" t="s">
        <v>344</v>
      </c>
      <c r="D99" s="47" t="s">
        <v>331</v>
      </c>
      <c r="E99" s="47" t="s">
        <v>337</v>
      </c>
      <c r="F99" s="60">
        <v>1</v>
      </c>
      <c r="G99" s="60">
        <v>1</v>
      </c>
      <c r="H99" s="46" t="str">
        <f xml:space="preserve"> INDEX( co_impactTypes[damageAdjName], MATCH( co_variants[[#This Row],[sector_id]], co_impactTypes[sector_id], 0 ) ) &amp;
   IF( OR(co_variants[[#This Row],[sector_id]] = "Roads", co_variants[[#This Row],[sector_id]] = "ForestryLoss"),"_" &amp; co_variants[[#This Row],[variant_id]], "" )</f>
        <v>none</v>
      </c>
      <c r="I99" s="34" cm="1">
        <f t="array" ref="I99" xml:space="preserve"> --( SUMPRODUCT( --( co_impactTypes[sector_id] = co_variants[[#This Row],[sector_id]] ) ) &gt;= 1 )</f>
        <v>1</v>
      </c>
      <c r="J99"/>
      <c r="K99"/>
      <c r="L99"/>
      <c r="M99"/>
    </row>
    <row r="100" spans="2:13" ht="15" x14ac:dyDescent="0.25">
      <c r="B100" s="4">
        <f xml:space="preserve"> ROW( co_variants[[#This Row],[row_id]] ) - ROW( co_variants[[#Headers],[row_id]] )</f>
        <v>8</v>
      </c>
      <c r="C100" s="7" t="s">
        <v>344</v>
      </c>
      <c r="D100" s="47" t="s">
        <v>330</v>
      </c>
      <c r="E100" s="47" t="s">
        <v>338</v>
      </c>
      <c r="F100" s="60">
        <v>0</v>
      </c>
      <c r="G100" s="60">
        <v>0</v>
      </c>
      <c r="H100" s="46" t="str">
        <f xml:space="preserve"> INDEX( co_impactTypes[damageAdjName], MATCH( co_variants[[#This Row],[sector_id]], co_impactTypes[sector_id], 0 ) ) &amp;
   IF( OR(co_variants[[#This Row],[sector_id]] = "Roads", co_variants[[#This Row],[sector_id]] = "ForestryLoss"),"_" &amp; co_variants[[#This Row],[variant_id]], "" )</f>
        <v>none</v>
      </c>
      <c r="I100" s="34" cm="1">
        <f t="array" ref="I100" xml:space="preserve"> --( SUMPRODUCT( --( co_impactTypes[sector_id] = co_variants[[#This Row],[sector_id]] ) ) &gt;= 1 )</f>
        <v>1</v>
      </c>
      <c r="J100"/>
      <c r="K100"/>
      <c r="L100"/>
      <c r="M100"/>
    </row>
    <row r="101" spans="2:13" ht="15" x14ac:dyDescent="0.25">
      <c r="B101" s="4">
        <f xml:space="preserve"> ROW( co_variants[[#This Row],[row_id]] ) - ROW( co_variants[[#Headers],[row_id]] )</f>
        <v>9</v>
      </c>
      <c r="C101" s="7" t="s">
        <v>345</v>
      </c>
      <c r="D101" s="26" t="s">
        <v>38</v>
      </c>
      <c r="E101" s="47" t="s">
        <v>190</v>
      </c>
      <c r="F101" s="60">
        <v>1</v>
      </c>
      <c r="G101" s="60">
        <v>1</v>
      </c>
      <c r="H101" s="46" t="str">
        <f xml:space="preserve"> INDEX( co_impactTypes[damageAdjName], MATCH( co_variants[[#This Row],[sector_id]], co_impactTypes[sector_id], 0 ) ) &amp;
   IF( OR(co_variants[[#This Row],[sector_id]] = "Roads", co_variants[[#This Row],[sector_id]] = "ForestryLoss"),"_" &amp; co_variants[[#This Row],[variant_id]], "" )</f>
        <v>none</v>
      </c>
      <c r="I101" s="34" cm="1">
        <f t="array" ref="I101" xml:space="preserve"> --( SUMPRODUCT( --( co_impactTypes[sector_id] = co_variants[[#This Row],[sector_id]] ) ) &gt;= 1 )</f>
        <v>1</v>
      </c>
      <c r="J101"/>
      <c r="K101"/>
      <c r="L101"/>
      <c r="M101"/>
    </row>
    <row r="102" spans="2:13" ht="15" x14ac:dyDescent="0.25">
      <c r="B102" s="4">
        <f xml:space="preserve"> ROW( co_variants[[#This Row],[row_id]] ) - ROW( co_variants[[#Headers],[row_id]] )</f>
        <v>10</v>
      </c>
      <c r="C102" s="7" t="s">
        <v>525</v>
      </c>
      <c r="D102" s="26" t="s">
        <v>366</v>
      </c>
      <c r="E102" s="47" t="s">
        <v>365</v>
      </c>
      <c r="F102" s="60">
        <v>1</v>
      </c>
      <c r="G102" s="60">
        <v>0</v>
      </c>
      <c r="H102" s="46" t="str">
        <f xml:space="preserve"> INDEX( co_impactTypes[damageAdjName], MATCH( co_variants[[#This Row],[sector_id]], co_impactTypes[sector_id], 0 ) ) &amp;
   IF( OR(co_variants[[#This Row],[sector_id]] = "Roads", co_variants[[#This Row],[sector_id]] = "ForestryLoss"),"_" &amp; co_variants[[#This Row],[variant_id]], "" )</f>
        <v>none</v>
      </c>
      <c r="I102" s="34" cm="1">
        <f t="array" ref="I102" xml:space="preserve"> --( SUMPRODUCT( --( co_impactTypes[sector_id] = co_variants[[#This Row],[sector_id]] ) ) &gt;= 1 )</f>
        <v>1</v>
      </c>
      <c r="J102"/>
      <c r="K102"/>
      <c r="L102"/>
      <c r="M102"/>
    </row>
    <row r="103" spans="2:13" ht="15" x14ac:dyDescent="0.25">
      <c r="B103" s="4">
        <f xml:space="preserve"> ROW( co_variants[[#This Row],[row_id]] ) - ROW( co_variants[[#Headers],[row_id]] )</f>
        <v>11</v>
      </c>
      <c r="C103" s="7" t="s">
        <v>525</v>
      </c>
      <c r="D103" s="26" t="s">
        <v>363</v>
      </c>
      <c r="E103" s="47" t="s">
        <v>560</v>
      </c>
      <c r="F103" s="60">
        <v>0</v>
      </c>
      <c r="G103" s="60">
        <v>0</v>
      </c>
      <c r="H103" s="46" t="str">
        <f xml:space="preserve"> INDEX( co_impactTypes[damageAdjName], MATCH( co_variants[[#This Row],[sector_id]], co_impactTypes[sector_id], 0 ) ) &amp;
   IF( OR(co_variants[[#This Row],[sector_id]] = "Roads", co_variants[[#This Row],[sector_id]] = "ForestryLoss"),"_" &amp; co_variants[[#This Row],[variant_id]], "" )</f>
        <v>none</v>
      </c>
      <c r="I103" s="34" cm="1">
        <f t="array" ref="I103" xml:space="preserve"> --( SUMPRODUCT( --( co_impactTypes[sector_id] = co_variants[[#This Row],[sector_id]] ) ) &gt;= 1 )</f>
        <v>1</v>
      </c>
      <c r="J103"/>
      <c r="K103"/>
      <c r="L103"/>
      <c r="M103"/>
    </row>
    <row r="104" spans="2:13" ht="15" x14ac:dyDescent="0.25">
      <c r="B104" s="4">
        <f xml:space="preserve"> ROW( co_variants[[#This Row],[row_id]] ) - ROW( co_variants[[#Headers],[row_id]] )</f>
        <v>12</v>
      </c>
      <c r="C104" s="7" t="s">
        <v>525</v>
      </c>
      <c r="D104" s="26" t="s">
        <v>364</v>
      </c>
      <c r="E104" s="47" t="s">
        <v>561</v>
      </c>
      <c r="F104" s="60">
        <v>0</v>
      </c>
      <c r="G104" s="60">
        <v>0</v>
      </c>
      <c r="H104" s="46" t="str">
        <f xml:space="preserve"> INDEX( co_impactTypes[damageAdjName], MATCH( co_variants[[#This Row],[sector_id]], co_impactTypes[sector_id], 0 ) ) &amp;
   IF( OR(co_variants[[#This Row],[sector_id]] = "Roads", co_variants[[#This Row],[sector_id]] = "ForestryLoss"),"_" &amp; co_variants[[#This Row],[variant_id]], "" )</f>
        <v>none</v>
      </c>
      <c r="I104" s="34" cm="1">
        <f t="array" ref="I104" xml:space="preserve"> --( SUMPRODUCT( --( co_impactTypes[sector_id] = co_variants[[#This Row],[sector_id]] ) ) &gt;= 1 )</f>
        <v>1</v>
      </c>
      <c r="J104"/>
      <c r="K104"/>
      <c r="L104"/>
      <c r="M104"/>
    </row>
    <row r="105" spans="2:13" ht="15" x14ac:dyDescent="0.25">
      <c r="B105" s="4">
        <f xml:space="preserve"> ROW( co_variants[[#This Row],[row_id]] ) - ROW( co_variants[[#Headers],[row_id]] )</f>
        <v>13</v>
      </c>
      <c r="C105" s="7" t="s">
        <v>21</v>
      </c>
      <c r="D105" s="26" t="s">
        <v>411</v>
      </c>
      <c r="E105" s="47" t="s">
        <v>22</v>
      </c>
      <c r="F105" s="27">
        <v>0</v>
      </c>
      <c r="G105" s="27">
        <v>0</v>
      </c>
      <c r="H105" s="46" t="str">
        <f xml:space="preserve"> INDEX( co_impactTypes[damageAdjName], MATCH( co_variants[[#This Row],[sector_id]], co_impactTypes[sector_id], 0 ) ) &amp;
   IF( OR(co_variants[[#This Row],[sector_id]] = "Roads", co_variants[[#This Row],[sector_id]] = "ForestryLoss"),"_" &amp; co_variants[[#This Row],[variant_id]], "" )</f>
        <v>none</v>
      </c>
      <c r="I105" s="34" cm="1">
        <f t="array" ref="I105" xml:space="preserve"> --( SUMPRODUCT( --( co_impactTypes[sector_id] = co_variants[[#This Row],[sector_id]] ) ) &gt;= 1 )</f>
        <v>1</v>
      </c>
      <c r="J105"/>
      <c r="K105"/>
      <c r="L105"/>
      <c r="M105"/>
    </row>
    <row r="106" spans="2:13" ht="15" x14ac:dyDescent="0.25">
      <c r="B106" s="4">
        <f xml:space="preserve"> ROW( co_variants[[#This Row],[row_id]] ) - ROW( co_variants[[#Headers],[row_id]] )</f>
        <v>14</v>
      </c>
      <c r="C106" s="7" t="s">
        <v>21</v>
      </c>
      <c r="D106" s="26" t="s">
        <v>111</v>
      </c>
      <c r="E106" s="65" t="s">
        <v>45</v>
      </c>
      <c r="F106" s="27">
        <v>0</v>
      </c>
      <c r="G106" s="27">
        <v>0</v>
      </c>
      <c r="H106" s="46" t="str">
        <f xml:space="preserve"> INDEX( co_impactTypes[damageAdjName], MATCH( co_variants[[#This Row],[sector_id]], co_impactTypes[sector_id], 0 ) ) &amp;
   IF( OR(co_variants[[#This Row],[sector_id]] = "Roads", co_variants[[#This Row],[sector_id]] = "ForestryLoss"),"_" &amp; co_variants[[#This Row],[variant_id]], "" )</f>
        <v>none</v>
      </c>
      <c r="I106" s="34" cm="1">
        <f t="array" ref="I106" xml:space="preserve"> --( SUMPRODUCT( --( co_impactTypes[sector_id] = co_variants[[#This Row],[sector_id]] ) ) &gt;= 1 )</f>
        <v>1</v>
      </c>
      <c r="J106"/>
      <c r="K106"/>
      <c r="L106"/>
      <c r="M106"/>
    </row>
    <row r="107" spans="2:13" ht="15" x14ac:dyDescent="0.25">
      <c r="B107" s="4">
        <f xml:space="preserve"> ROW( co_variants[[#This Row],[row_id]] ) - ROW( co_variants[[#Headers],[row_id]] )</f>
        <v>15</v>
      </c>
      <c r="C107" s="7" t="s">
        <v>21</v>
      </c>
      <c r="D107" s="26" t="s">
        <v>112</v>
      </c>
      <c r="E107" s="65" t="s">
        <v>23</v>
      </c>
      <c r="F107" s="27">
        <v>1</v>
      </c>
      <c r="G107" s="27">
        <v>1</v>
      </c>
      <c r="H107" s="46" t="str">
        <f xml:space="preserve"> INDEX( co_impactTypes[damageAdjName], MATCH( co_variants[[#This Row],[sector_id]], co_impactTypes[sector_id], 0 ) ) &amp;
   IF( OR(co_variants[[#This Row],[sector_id]] = "Roads", co_variants[[#This Row],[sector_id]] = "ForestryLoss"),"_" &amp; co_variants[[#This Row],[variant_id]], "" )</f>
        <v>none</v>
      </c>
      <c r="I107" s="34" cm="1">
        <f t="array" ref="I107" xml:space="preserve"> --( SUMPRODUCT( --( co_impactTypes[sector_id] = co_variants[[#This Row],[sector_id]] ) ) &gt;= 1 )</f>
        <v>1</v>
      </c>
      <c r="J107"/>
      <c r="K107"/>
      <c r="L107"/>
      <c r="M107"/>
    </row>
    <row r="108" spans="2:13" ht="15" x14ac:dyDescent="0.25">
      <c r="B108" s="4">
        <f xml:space="preserve"> ROW( co_variants[[#This Row],[row_id]] ) - ROW( co_variants[[#Headers],[row_id]] )</f>
        <v>16</v>
      </c>
      <c r="C108" s="7" t="s">
        <v>57</v>
      </c>
      <c r="D108" s="26" t="s">
        <v>38</v>
      </c>
      <c r="E108" s="47" t="s">
        <v>190</v>
      </c>
      <c r="F108" s="27">
        <v>1</v>
      </c>
      <c r="G108" s="27">
        <v>1</v>
      </c>
      <c r="H108" s="46" t="str">
        <f xml:space="preserve"> INDEX( co_impactTypes[damageAdjName], MATCH( co_variants[[#This Row],[sector_id]], co_impactTypes[sector_id], 0 ) ) &amp;
   IF( OR(co_variants[[#This Row],[sector_id]] = "Roads", co_variants[[#This Row],[sector_id]] = "ForestryLoss"),"_" &amp; co_variants[[#This Row],[variant_id]], "" )</f>
        <v>elecSD_refCosts_nat</v>
      </c>
      <c r="I108" s="34" cm="1">
        <f t="array" ref="I108" xml:space="preserve"> --( SUMPRODUCT( --( co_impactTypes[sector_id] = co_variants[[#This Row],[sector_id]] ) ) &gt;= 1 )</f>
        <v>1</v>
      </c>
      <c r="J108"/>
      <c r="K108"/>
      <c r="L108"/>
      <c r="M108"/>
    </row>
    <row r="109" spans="2:13" ht="15" x14ac:dyDescent="0.25">
      <c r="B109" s="4">
        <f xml:space="preserve"> ROW( co_variants[[#This Row],[row_id]] ) - ROW( co_variants[[#Headers],[row_id]] )</f>
        <v>17</v>
      </c>
      <c r="C109" s="7" t="s">
        <v>250</v>
      </c>
      <c r="D109" s="26" t="s">
        <v>411</v>
      </c>
      <c r="E109" s="47" t="s">
        <v>22</v>
      </c>
      <c r="F109" s="27">
        <v>0</v>
      </c>
      <c r="G109" s="27">
        <v>0</v>
      </c>
      <c r="H109" s="46" t="str">
        <f xml:space="preserve"> INDEX( co_impactTypes[damageAdjName], MATCH( co_variants[[#This Row],[sector_id]], co_impactTypes[sector_id], 0 ) ) &amp;
   IF( OR(co_variants[[#This Row],[sector_id]] = "Roads", co_variants[[#This Row],[sector_id]] = "ForestryLoss"),"_" &amp; co_variants[[#This Row],[variant_id]], "" )</f>
        <v>elecTD_growthFactor_nat</v>
      </c>
      <c r="I109" s="34" cm="1">
        <f t="array" ref="I109" xml:space="preserve"> --( SUMPRODUCT( --( co_impactTypes[sector_id] = co_variants[[#This Row],[sector_id]] ) ) &gt;= 1 )</f>
        <v>1</v>
      </c>
      <c r="J109"/>
      <c r="K109"/>
      <c r="L109"/>
      <c r="M109"/>
    </row>
    <row r="110" spans="2:13" ht="15" x14ac:dyDescent="0.25">
      <c r="B110" s="4">
        <f xml:space="preserve"> ROW( co_variants[[#This Row],[row_id]] ) - ROW( co_variants[[#Headers],[row_id]] )</f>
        <v>18</v>
      </c>
      <c r="C110" s="7" t="s">
        <v>250</v>
      </c>
      <c r="D110" s="26" t="s">
        <v>111</v>
      </c>
      <c r="E110" s="65" t="s">
        <v>45</v>
      </c>
      <c r="F110" s="27">
        <v>0</v>
      </c>
      <c r="G110" s="27">
        <v>0</v>
      </c>
      <c r="H110" s="46" t="str">
        <f xml:space="preserve"> INDEX( co_impactTypes[damageAdjName], MATCH( co_variants[[#This Row],[sector_id]], co_impactTypes[sector_id], 0 ) ) &amp;
   IF( OR(co_variants[[#This Row],[sector_id]] = "Roads", co_variants[[#This Row],[sector_id]] = "ForestryLoss"),"_" &amp; co_variants[[#This Row],[variant_id]], "" )</f>
        <v>elecTD_growthFactor_nat</v>
      </c>
      <c r="I110" s="34" cm="1">
        <f t="array" ref="I110" xml:space="preserve"> --( SUMPRODUCT( --( co_impactTypes[sector_id] = co_variants[[#This Row],[sector_id]] ) ) &gt;= 1 )</f>
        <v>1</v>
      </c>
      <c r="J110"/>
      <c r="K110"/>
      <c r="L110"/>
      <c r="M110"/>
    </row>
    <row r="111" spans="2:13" ht="15" x14ac:dyDescent="0.25">
      <c r="B111" s="4">
        <f xml:space="preserve"> ROW( co_variants[[#This Row],[row_id]] ) - ROW( co_variants[[#Headers],[row_id]] )</f>
        <v>19</v>
      </c>
      <c r="C111" s="7" t="s">
        <v>250</v>
      </c>
      <c r="D111" s="26" t="s">
        <v>112</v>
      </c>
      <c r="E111" s="65" t="s">
        <v>23</v>
      </c>
      <c r="F111" s="27">
        <v>1</v>
      </c>
      <c r="G111" s="27">
        <v>1</v>
      </c>
      <c r="H111" s="46" t="str">
        <f xml:space="preserve"> INDEX( co_impactTypes[damageAdjName], MATCH( co_variants[[#This Row],[sector_id]], co_impactTypes[sector_id], 0 ) ) &amp;
   IF( OR(co_variants[[#This Row],[sector_id]] = "Roads", co_variants[[#This Row],[sector_id]] = "ForestryLoss"),"_" &amp; co_variants[[#This Row],[variant_id]], "" )</f>
        <v>elecTD_growthFactor_nat</v>
      </c>
      <c r="I111" s="34" cm="1">
        <f t="array" ref="I111" xml:space="preserve"> --( SUMPRODUCT( --( co_impactTypes[sector_id] = co_variants[[#This Row],[sector_id]] ) ) &gt;= 1 )</f>
        <v>1</v>
      </c>
      <c r="J111"/>
      <c r="K111"/>
      <c r="L111"/>
      <c r="M111"/>
    </row>
    <row r="112" spans="2:13" ht="15" x14ac:dyDescent="0.25">
      <c r="B112" s="4">
        <f xml:space="preserve"> ROW( co_variants[[#This Row],[row_id]] ) - ROW( co_variants[[#Headers],[row_id]] )</f>
        <v>20</v>
      </c>
      <c r="C112" s="7" t="s">
        <v>15</v>
      </c>
      <c r="D112" s="26" t="s">
        <v>108</v>
      </c>
      <c r="E112" s="47" t="s">
        <v>191</v>
      </c>
      <c r="F112" s="27">
        <v>0</v>
      </c>
      <c r="G112" s="27">
        <v>0</v>
      </c>
      <c r="H112" s="46" t="str">
        <f xml:space="preserve"> INDEX( co_impactTypes[damageAdjName], MATCH( co_variants[[#This Row],[sector_id]], co_impactTypes[sector_id], 0 ) ) &amp;
   IF( OR(co_variants[[#This Row],[sector_id]] = "Roads", co_variants[[#This Row],[sector_id]] = "ForestryLoss"),"_" &amp; co_variants[[#This Row],[variant_id]], "" )</f>
        <v>none</v>
      </c>
      <c r="I112" s="34" cm="1">
        <f t="array" ref="I112" xml:space="preserve"> --( SUMPRODUCT( --( co_impactTypes[sector_id] = co_variants[[#This Row],[sector_id]] ) ) &gt;= 1 )</f>
        <v>1</v>
      </c>
      <c r="J112"/>
      <c r="K112"/>
      <c r="L112"/>
      <c r="M112"/>
    </row>
    <row r="113" spans="2:13" ht="15" x14ac:dyDescent="0.25">
      <c r="B113" s="4">
        <f xml:space="preserve"> ROW( co_variants[[#This Row],[row_id]] ) - ROW( co_variants[[#Headers],[row_id]] )</f>
        <v>21</v>
      </c>
      <c r="C113" s="7" t="s">
        <v>15</v>
      </c>
      <c r="D113" s="26" t="s">
        <v>411</v>
      </c>
      <c r="E113" s="47" t="s">
        <v>22</v>
      </c>
      <c r="F113" s="27">
        <v>1</v>
      </c>
      <c r="G113" s="27">
        <v>0</v>
      </c>
      <c r="H113" s="46" t="str">
        <f xml:space="preserve"> INDEX( co_impactTypes[damageAdjName], MATCH( co_variants[[#This Row],[sector_id]], co_impactTypes[sector_id], 0 ) ) &amp;
   IF( OR(co_variants[[#This Row],[sector_id]] = "Roads", co_variants[[#This Row],[sector_id]] = "ForestryLoss"),"_" &amp; co_variants[[#This Row],[variant_id]], "" )</f>
        <v>none</v>
      </c>
      <c r="I113" s="34" cm="1">
        <f t="array" ref="I113" xml:space="preserve"> --( SUMPRODUCT( --( co_impactTypes[sector_id] = co_variants[[#This Row],[sector_id]] ) ) &gt;= 1 )</f>
        <v>1</v>
      </c>
      <c r="J113"/>
      <c r="K113"/>
      <c r="L113"/>
      <c r="M113"/>
    </row>
    <row r="114" spans="2:13" ht="15" x14ac:dyDescent="0.25">
      <c r="B114" s="4">
        <f xml:space="preserve"> ROW( co_variants[[#This Row],[row_id]] ) - ROW( co_variants[[#Headers],[row_id]] )</f>
        <v>22</v>
      </c>
      <c r="C114" s="7" t="s">
        <v>620</v>
      </c>
      <c r="D114" s="26" t="s">
        <v>624</v>
      </c>
      <c r="E114" s="47" t="s">
        <v>622</v>
      </c>
      <c r="F114" s="60">
        <v>1</v>
      </c>
      <c r="G114" s="60">
        <v>1</v>
      </c>
      <c r="H114" s="46" t="str">
        <f xml:space="preserve"> INDEX( co_impactTypes[damageAdjName], MATCH( co_variants[[#This Row],[sector_id]], co_impactTypes[sector_id], 0 ) ) &amp;
   IF( OR(co_variants[[#This Row],[sector_id]] = "Roads", co_variants[[#This Row],[sector_id]] = "ForestryLoss"),"_" &amp; co_variants[[#This Row],[variant_id]], "" )</f>
        <v>forestryLoss_growthFactor_nat_SSP2</v>
      </c>
      <c r="I114" s="34" cm="1">
        <f t="array" ref="I114" xml:space="preserve"> --( SUMPRODUCT( --( co_impactTypes[sector_id] = co_variants[[#This Row],[sector_id]] ) ) &gt;= 1 )</f>
        <v>1</v>
      </c>
      <c r="J114"/>
      <c r="K114"/>
      <c r="L114"/>
      <c r="M114"/>
    </row>
    <row r="115" spans="2:13" ht="15" x14ac:dyDescent="0.25">
      <c r="B115" s="4">
        <f xml:space="preserve"> ROW( co_variants[[#This Row],[row_id]] ) - ROW( co_variants[[#Headers],[row_id]] )</f>
        <v>23</v>
      </c>
      <c r="C115" s="7" t="s">
        <v>620</v>
      </c>
      <c r="D115" s="26" t="s">
        <v>625</v>
      </c>
      <c r="E115" s="47" t="s">
        <v>623</v>
      </c>
      <c r="F115" s="60">
        <v>0</v>
      </c>
      <c r="G115" s="60">
        <v>0</v>
      </c>
      <c r="H115" s="46" t="str">
        <f xml:space="preserve"> INDEX( co_impactTypes[damageAdjName], MATCH( co_variants[[#This Row],[sector_id]], co_impactTypes[sector_id], 0 ) ) &amp;
   IF( OR(co_variants[[#This Row],[sector_id]] = "Roads", co_variants[[#This Row],[sector_id]] = "ForestryLoss"),"_" &amp; co_variants[[#This Row],[variant_id]], "" )</f>
        <v>forestryLoss_growthFactor_nat_SSP5</v>
      </c>
      <c r="I115" s="34" cm="1">
        <f t="array" ref="I115" xml:space="preserve"> --( SUMPRODUCT( --( co_impactTypes[sector_id] = co_variants[[#This Row],[sector_id]] ) ) &gt;= 1 )</f>
        <v>1</v>
      </c>
      <c r="J115"/>
      <c r="K115"/>
      <c r="L115"/>
      <c r="M115"/>
    </row>
    <row r="116" spans="2:13" ht="15" x14ac:dyDescent="0.25">
      <c r="B116" s="4">
        <f xml:space="preserve"> ROW( co_variants[[#This Row],[row_id]] ) - ROW( co_variants[[#Headers],[row_id]] )</f>
        <v>24</v>
      </c>
      <c r="C116" s="7" t="s">
        <v>58</v>
      </c>
      <c r="D116" s="26" t="s">
        <v>109</v>
      </c>
      <c r="E116" s="47" t="s">
        <v>67</v>
      </c>
      <c r="F116" s="27">
        <v>0</v>
      </c>
      <c r="G116" s="27">
        <v>0</v>
      </c>
      <c r="H116" s="46" t="str">
        <f xml:space="preserve"> INDEX( co_impactTypes[damageAdjName], MATCH( co_variants[[#This Row],[sector_id]], co_impactTypes[sector_id], 0 ) ) &amp;
   IF( OR(co_variants[[#This Row],[sector_id]] = "Roads", co_variants[[#This Row],[sector_id]] = "ForestryLoss"),"_" &amp; co_variants[[#This Row],[variant_id]], "" )</f>
        <v>none</v>
      </c>
      <c r="I116" s="34" cm="1">
        <f t="array" ref="I116" xml:space="preserve"> --( SUMPRODUCT( --( co_impactTypes[sector_id] = co_variants[[#This Row],[sector_id]] ) ) &gt;= 1 )</f>
        <v>1</v>
      </c>
      <c r="J116"/>
      <c r="K116"/>
      <c r="L116"/>
      <c r="M116"/>
    </row>
    <row r="117" spans="2:13" ht="15" x14ac:dyDescent="0.25">
      <c r="B117" s="4">
        <f xml:space="preserve"> ROW( co_variants[[#This Row],[row_id]] ) - ROW( co_variants[[#Headers],[row_id]] )</f>
        <v>25</v>
      </c>
      <c r="C117" s="7" t="s">
        <v>58</v>
      </c>
      <c r="D117" s="26" t="s">
        <v>411</v>
      </c>
      <c r="E117" s="47" t="s">
        <v>22</v>
      </c>
      <c r="F117" s="27">
        <v>0</v>
      </c>
      <c r="G117" s="27">
        <v>0</v>
      </c>
      <c r="H117" s="46" t="str">
        <f xml:space="preserve"> INDEX( co_impactTypes[damageAdjName], MATCH( co_variants[[#This Row],[sector_id]], co_impactTypes[sector_id], 0 ) ) &amp;
   IF( OR(co_variants[[#This Row],[sector_id]] = "Roads", co_variants[[#This Row],[sector_id]] = "ForestryLoss"),"_" &amp; co_variants[[#This Row],[variant_id]], "" )</f>
        <v>none</v>
      </c>
      <c r="I117" s="34" cm="1">
        <f t="array" ref="I117" xml:space="preserve"> --( SUMPRODUCT( --( co_impactTypes[sector_id] = co_variants[[#This Row],[sector_id]] ) ) &gt;= 1 )</f>
        <v>1</v>
      </c>
      <c r="J117"/>
      <c r="K117"/>
      <c r="L117"/>
      <c r="M117"/>
    </row>
    <row r="118" spans="2:13" ht="22.5" x14ac:dyDescent="0.25">
      <c r="B118" s="4">
        <f xml:space="preserve"> ROW( co_variants[[#This Row],[row_id]] ) - ROW( co_variants[[#Headers],[row_id]] )</f>
        <v>26</v>
      </c>
      <c r="C118" s="7" t="s">
        <v>58</v>
      </c>
      <c r="D118" s="26" t="s">
        <v>113</v>
      </c>
      <c r="E118" s="65" t="s">
        <v>66</v>
      </c>
      <c r="F118" s="27">
        <v>1</v>
      </c>
      <c r="G118" s="27">
        <v>1</v>
      </c>
      <c r="H118" s="46" t="str">
        <f xml:space="preserve"> INDEX( co_impactTypes[damageAdjName], MATCH( co_variants[[#This Row],[sector_id]], co_impactTypes[sector_id], 0 ) ) &amp;
   IF( OR(co_variants[[#This Row],[sector_id]] = "Roads", co_variants[[#This Row],[sector_id]] = "ForestryLoss"),"_" &amp; co_variants[[#This Row],[variant_id]], "" )</f>
        <v>none</v>
      </c>
      <c r="I118" s="34" cm="1">
        <f t="array" ref="I118" xml:space="preserve"> --( SUMPRODUCT( --( co_impactTypes[sector_id] = co_variants[[#This Row],[sector_id]] ) ) &gt;= 1 )</f>
        <v>1</v>
      </c>
      <c r="J118"/>
      <c r="K118"/>
      <c r="L118"/>
      <c r="M118"/>
    </row>
    <row r="119" spans="2:13" ht="15" x14ac:dyDescent="0.25">
      <c r="B119" s="4">
        <f xml:space="preserve"> ROW( co_variants[[#This Row],[row_id]] ) - ROW( co_variants[[#Headers],[row_id]] )</f>
        <v>27</v>
      </c>
      <c r="C119" s="7" t="s">
        <v>19</v>
      </c>
      <c r="D119" s="26" t="s">
        <v>38</v>
      </c>
      <c r="E119" s="47" t="s">
        <v>190</v>
      </c>
      <c r="F119" s="27">
        <v>1</v>
      </c>
      <c r="G119" s="27">
        <v>1</v>
      </c>
      <c r="H119" s="46" t="str">
        <f xml:space="preserve"> INDEX( co_impactTypes[damageAdjName], MATCH( co_variants[[#This Row],[sector_id]], co_impactTypes[sector_id], 0 ) ) &amp;
   IF( OR(co_variants[[#This Row],[sector_id]] = "Roads", co_variants[[#This Row],[sector_id]] = "ForestryLoss"),"_" &amp; co_variants[[#This Row],[variant_id]], "" )</f>
        <v>none</v>
      </c>
      <c r="I119" s="34" cm="1">
        <f t="array" ref="I119" xml:space="preserve"> --( SUMPRODUCT( --( co_impactTypes[sector_id] = co_variants[[#This Row],[sector_id]] ) ) &gt;= 1 )</f>
        <v>1</v>
      </c>
      <c r="J119"/>
      <c r="K119"/>
      <c r="L119"/>
      <c r="M119"/>
    </row>
    <row r="120" spans="2:13" ht="15" x14ac:dyDescent="0.25">
      <c r="B120" s="4">
        <f xml:space="preserve"> ROW( co_variants[[#This Row],[row_id]] ) - ROW( co_variants[[#Headers],[row_id]] )</f>
        <v>28</v>
      </c>
      <c r="C120" s="7" t="s">
        <v>18</v>
      </c>
      <c r="D120" s="26" t="s">
        <v>38</v>
      </c>
      <c r="E120" s="47" t="s">
        <v>190</v>
      </c>
      <c r="F120" s="27">
        <v>1</v>
      </c>
      <c r="G120" s="27">
        <v>1</v>
      </c>
      <c r="H120" s="46" t="str">
        <f xml:space="preserve"> INDEX( co_impactTypes[damageAdjName], MATCH( co_variants[[#This Row],[sector_id]], co_impactTypes[sector_id], 0 ) ) &amp;
   IF( OR(co_variants[[#This Row],[sector_id]] = "Roads", co_variants[[#This Row],[sector_id]] = "ForestryLoss"),"_" &amp; co_variants[[#This Row],[variant_id]], "" )</f>
        <v>none</v>
      </c>
      <c r="I120" s="34" cm="1">
        <f t="array" ref="I120" xml:space="preserve"> --( SUMPRODUCT( --( co_impactTypes[sector_id] = co_variants[[#This Row],[sector_id]] ) ) &gt;= 1 )</f>
        <v>1</v>
      </c>
      <c r="J120"/>
      <c r="K120"/>
      <c r="L120"/>
      <c r="M120"/>
    </row>
    <row r="121" spans="2:13" ht="15" x14ac:dyDescent="0.25">
      <c r="B121" s="4">
        <f xml:space="preserve"> ROW( co_variants[[#This Row],[row_id]] ) - ROW( co_variants[[#Headers],[row_id]] )</f>
        <v>29</v>
      </c>
      <c r="C121" s="7" t="s">
        <v>633</v>
      </c>
      <c r="D121" s="26" t="s">
        <v>110</v>
      </c>
      <c r="E121" s="26" t="s">
        <v>598</v>
      </c>
      <c r="F121" s="60">
        <v>1</v>
      </c>
      <c r="G121" s="60">
        <v>1</v>
      </c>
      <c r="H121" s="46" t="str">
        <f xml:space="preserve"> INDEX( co_impactTypes[damageAdjName], MATCH( co_variants[[#This Row],[sector_id]], co_impactTypes[sector_id], 0 ) ) &amp;
   IF( OR(co_variants[[#This Row],[sector_id]] = "Roads", co_variants[[#This Row],[sector_id]] = "ForestryLoss"),"_" &amp; co_variants[[#This Row],[variant_id]], "" )</f>
        <v>none</v>
      </c>
      <c r="I121" s="34" cm="1">
        <f t="array" ref="I121" xml:space="preserve"> --( SUMPRODUCT( --( co_impactTypes[sector_id] = co_variants[[#This Row],[sector_id]] ) ) &gt;= 1 )</f>
        <v>1</v>
      </c>
      <c r="J121"/>
      <c r="K121"/>
      <c r="L121"/>
      <c r="M121"/>
    </row>
    <row r="122" spans="2:13" ht="15" x14ac:dyDescent="0.25">
      <c r="B122" s="4">
        <f xml:space="preserve"> ROW( co_variants[[#This Row],[row_id]] ) - ROW( co_variants[[#Headers],[row_id]] )</f>
        <v>30</v>
      </c>
      <c r="C122" s="7" t="s">
        <v>633</v>
      </c>
      <c r="D122" s="26" t="s">
        <v>111</v>
      </c>
      <c r="E122" s="26" t="s">
        <v>635</v>
      </c>
      <c r="F122" s="60">
        <v>0</v>
      </c>
      <c r="G122" s="60">
        <v>0</v>
      </c>
      <c r="H122" s="46" t="str">
        <f xml:space="preserve"> INDEX( co_impactTypes[damageAdjName], MATCH( co_variants[[#This Row],[sector_id]], co_impactTypes[sector_id], 0 ) ) &amp;
   IF( OR(co_variants[[#This Row],[sector_id]] = "Roads", co_variants[[#This Row],[sector_id]] = "ForestryLoss"),"_" &amp; co_variants[[#This Row],[variant_id]], "" )</f>
        <v>none</v>
      </c>
      <c r="I122" s="34" cm="1">
        <f t="array" ref="I122" xml:space="preserve"> --( SUMPRODUCT( --( co_impactTypes[sector_id] = co_variants[[#This Row],[sector_id]] ) ) &gt;= 1 )</f>
        <v>1</v>
      </c>
      <c r="J122"/>
      <c r="K122"/>
      <c r="L122"/>
      <c r="M122"/>
    </row>
    <row r="123" spans="2:13" ht="15" x14ac:dyDescent="0.25">
      <c r="B123" s="4">
        <f xml:space="preserve"> ROW( co_variants[[#This Row],[row_id]] ) - ROW( co_variants[[#Headers],[row_id]] )</f>
        <v>31</v>
      </c>
      <c r="C123" s="7" t="s">
        <v>592</v>
      </c>
      <c r="D123" s="26" t="s">
        <v>38</v>
      </c>
      <c r="E123" s="47" t="s">
        <v>190</v>
      </c>
      <c r="F123" s="60">
        <v>1</v>
      </c>
      <c r="G123" s="60">
        <v>1</v>
      </c>
      <c r="H123" s="46" t="str">
        <f xml:space="preserve"> INDEX( co_impactTypes[damageAdjName], MATCH( co_variants[[#This Row],[sector_id]], co_impactTypes[sector_id], 0 ) ) &amp;
   IF( OR(co_variants[[#This Row],[sector_id]] = "Roads", co_variants[[#This Row],[sector_id]] = "ForestryLoss"),"_" &amp; co_variants[[#This Row],[variant_id]], "" )</f>
        <v>none</v>
      </c>
      <c r="I123" s="34" cm="1">
        <f t="array" ref="I123" xml:space="preserve"> --( SUMPRODUCT( --( co_impactTypes[sector_id] = co_variants[[#This Row],[sector_id]] ) ) &gt;= 1 )</f>
        <v>1</v>
      </c>
      <c r="J123"/>
      <c r="K123"/>
      <c r="L123"/>
      <c r="M123"/>
    </row>
    <row r="124" spans="2:13" ht="15" x14ac:dyDescent="0.25">
      <c r="B124" s="4">
        <f xml:space="preserve"> ROW( co_variants[[#This Row],[row_id]] ) - ROW( co_variants[[#Headers],[row_id]] )</f>
        <v>32</v>
      </c>
      <c r="C124" s="7" t="s">
        <v>59</v>
      </c>
      <c r="D124" s="26" t="s">
        <v>38</v>
      </c>
      <c r="E124" s="47" t="s">
        <v>190</v>
      </c>
      <c r="F124" s="60">
        <v>1</v>
      </c>
      <c r="G124" s="60">
        <v>1</v>
      </c>
      <c r="H124" s="46" t="str">
        <f xml:space="preserve"> INDEX( co_impactTypes[damageAdjName], MATCH( co_variants[[#This Row],[sector_id]], co_impactTypes[sector_id], 0 ) ) &amp;
   IF( OR(co_variants[[#This Row],[sector_id]] = "Roads", co_variants[[#This Row],[sector_id]] = "ForestryLoss"),"_" &amp; co_variants[[#This Row],[variant_id]], "" )</f>
        <v>none</v>
      </c>
      <c r="I124" s="34" cm="1">
        <f t="array" ref="I124" xml:space="preserve"> --( SUMPRODUCT( --( co_impactTypes[sector_id] = co_variants[[#This Row],[sector_id]] ) ) &gt;= 1 )</f>
        <v>1</v>
      </c>
      <c r="J124"/>
      <c r="K124"/>
      <c r="L124"/>
      <c r="M124"/>
    </row>
    <row r="125" spans="2:13" ht="15" x14ac:dyDescent="0.25">
      <c r="B125" s="4">
        <f xml:space="preserve"> ROW( co_variants[[#This Row],[row_id]] ) - ROW( co_variants[[#Headers],[row_id]] )</f>
        <v>33</v>
      </c>
      <c r="C125" s="7" t="s">
        <v>586</v>
      </c>
      <c r="D125" s="26" t="s">
        <v>587</v>
      </c>
      <c r="E125" s="47" t="s">
        <v>566</v>
      </c>
      <c r="F125" s="60">
        <v>0</v>
      </c>
      <c r="G125" s="60">
        <v>0</v>
      </c>
      <c r="H125" s="46" t="str">
        <f xml:space="preserve"> INDEX( co_impactTypes[damageAdjName], MATCH( co_variants[[#This Row],[sector_id]], co_impactTypes[sector_id], 0 ) ) &amp;
   IF( OR(co_variants[[#This Row],[sector_id]] = "Roads", co_variants[[#This Row],[sector_id]] = "ForestryLoss"),"_" &amp; co_variants[[#This Row],[variant_id]], "" )</f>
        <v>none</v>
      </c>
      <c r="I125" s="34" cm="1">
        <f t="array" ref="I125" xml:space="preserve"> --( SUMPRODUCT( --( co_impactTypes[sector_id] = co_variants[[#This Row],[sector_id]] ) ) &gt;= 1 )</f>
        <v>1</v>
      </c>
      <c r="J125"/>
      <c r="K125"/>
      <c r="L125"/>
      <c r="M125"/>
    </row>
    <row r="126" spans="2:13" ht="15" x14ac:dyDescent="0.25">
      <c r="B126" s="4">
        <f xml:space="preserve"> ROW( co_variants[[#This Row],[row_id]] ) - ROW( co_variants[[#Headers],[row_id]] )</f>
        <v>34</v>
      </c>
      <c r="C126" s="7" t="s">
        <v>586</v>
      </c>
      <c r="D126" s="26" t="s">
        <v>588</v>
      </c>
      <c r="E126" s="47" t="s">
        <v>565</v>
      </c>
      <c r="F126" s="60">
        <v>1</v>
      </c>
      <c r="G126" s="60">
        <v>1</v>
      </c>
      <c r="H126" s="46" t="str">
        <f xml:space="preserve"> INDEX( co_impactTypes[damageAdjName], MATCH( co_variants[[#This Row],[sector_id]], co_impactTypes[sector_id], 0 ) ) &amp;
   IF( OR(co_variants[[#This Row],[sector_id]] = "Roads", co_variants[[#This Row],[sector_id]] = "ForestryLoss"),"_" &amp; co_variants[[#This Row],[variant_id]], "" )</f>
        <v>none</v>
      </c>
      <c r="I126" s="34" cm="1">
        <f t="array" ref="I126" xml:space="preserve"> --( SUMPRODUCT( --( co_impactTypes[sector_id] = co_variants[[#This Row],[sector_id]] ) ) &gt;= 1 )</f>
        <v>1</v>
      </c>
      <c r="J126"/>
      <c r="K126"/>
      <c r="L126"/>
      <c r="M126"/>
    </row>
    <row r="127" spans="2:13" ht="15" x14ac:dyDescent="0.25">
      <c r="B127" s="4">
        <f xml:space="preserve"> ROW( co_variants[[#This Row],[row_id]] ) - ROW( co_variants[[#Headers],[row_id]] )</f>
        <v>35</v>
      </c>
      <c r="C127" s="7" t="s">
        <v>586</v>
      </c>
      <c r="D127" s="26" t="s">
        <v>589</v>
      </c>
      <c r="E127" s="47" t="s">
        <v>564</v>
      </c>
      <c r="F127" s="60">
        <v>0</v>
      </c>
      <c r="G127" s="60">
        <v>0</v>
      </c>
      <c r="H127" s="46" t="str">
        <f xml:space="preserve"> INDEX( co_impactTypes[damageAdjName], MATCH( co_variants[[#This Row],[sector_id]], co_impactTypes[sector_id], 0 ) ) &amp;
   IF( OR(co_variants[[#This Row],[sector_id]] = "Roads", co_variants[[#This Row],[sector_id]] = "ForestryLoss"),"_" &amp; co_variants[[#This Row],[variant_id]], "" )</f>
        <v>none</v>
      </c>
      <c r="I127" s="34" cm="1">
        <f t="array" ref="I127" xml:space="preserve"> --( SUMPRODUCT( --( co_impactTypes[sector_id] = co_variants[[#This Row],[sector_id]] ) ) &gt;= 1 )</f>
        <v>1</v>
      </c>
      <c r="J127"/>
      <c r="K127"/>
      <c r="L127"/>
      <c r="M127"/>
    </row>
    <row r="128" spans="2:13" ht="15" x14ac:dyDescent="0.25">
      <c r="B128" s="4">
        <f xml:space="preserve"> ROW( co_variants[[#This Row],[row_id]] ) - ROW( co_variants[[#Headers],[row_id]] )</f>
        <v>36</v>
      </c>
      <c r="C128" s="7" t="s">
        <v>585</v>
      </c>
      <c r="D128" s="26" t="s">
        <v>587</v>
      </c>
      <c r="E128" s="47" t="s">
        <v>566</v>
      </c>
      <c r="F128" s="60">
        <v>0</v>
      </c>
      <c r="G128" s="60">
        <v>0</v>
      </c>
      <c r="H128" s="46" t="str">
        <f xml:space="preserve"> INDEX( co_impactTypes[damageAdjName], MATCH( co_variants[[#This Row],[sector_id]], co_impactTypes[sector_id], 0 ) ) &amp;
   IF( OR(co_variants[[#This Row],[sector_id]] = "Roads", co_variants[[#This Row],[sector_id]] = "ForestryLoss"),"_" &amp; co_variants[[#This Row],[variant_id]], "" )</f>
        <v>none</v>
      </c>
      <c r="I128" s="34" cm="1">
        <f t="array" ref="I128" xml:space="preserve"> --( SUMPRODUCT( --( co_impactTypes[sector_id] = co_variants[[#This Row],[sector_id]] ) ) &gt;= 1 )</f>
        <v>1</v>
      </c>
      <c r="J128"/>
      <c r="K128"/>
      <c r="L128"/>
      <c r="M128"/>
    </row>
    <row r="129" spans="2:13" ht="15" x14ac:dyDescent="0.25">
      <c r="B129" s="4">
        <f xml:space="preserve"> ROW( co_variants[[#This Row],[row_id]] ) - ROW( co_variants[[#Headers],[row_id]] )</f>
        <v>37</v>
      </c>
      <c r="C129" s="7" t="s">
        <v>585</v>
      </c>
      <c r="D129" s="26" t="s">
        <v>588</v>
      </c>
      <c r="E129" s="47" t="s">
        <v>565</v>
      </c>
      <c r="F129" s="60">
        <v>1</v>
      </c>
      <c r="G129" s="60">
        <v>0</v>
      </c>
      <c r="H129" s="46" t="str">
        <f xml:space="preserve"> INDEX( co_impactTypes[damageAdjName], MATCH( co_variants[[#This Row],[sector_id]], co_impactTypes[sector_id], 0 ) ) &amp;
   IF( OR(co_variants[[#This Row],[sector_id]] = "Roads", co_variants[[#This Row],[sector_id]] = "ForestryLoss"),"_" &amp; co_variants[[#This Row],[variant_id]], "" )</f>
        <v>none</v>
      </c>
      <c r="I129" s="34" cm="1">
        <f t="array" ref="I129" xml:space="preserve"> --( SUMPRODUCT( --( co_impactTypes[sector_id] = co_variants[[#This Row],[sector_id]] ) ) &gt;= 1 )</f>
        <v>1</v>
      </c>
      <c r="J129"/>
      <c r="K129"/>
      <c r="L129"/>
      <c r="M129"/>
    </row>
    <row r="130" spans="2:13" ht="15" x14ac:dyDescent="0.25">
      <c r="B130" s="4">
        <f xml:space="preserve"> ROW( co_variants[[#This Row],[row_id]] ) - ROW( co_variants[[#Headers],[row_id]] )</f>
        <v>38</v>
      </c>
      <c r="C130" s="7" t="s">
        <v>585</v>
      </c>
      <c r="D130" s="26" t="s">
        <v>589</v>
      </c>
      <c r="E130" s="47" t="s">
        <v>564</v>
      </c>
      <c r="F130" s="60">
        <v>0</v>
      </c>
      <c r="G130" s="60">
        <v>0</v>
      </c>
      <c r="H130" s="46" t="str">
        <f xml:space="preserve"> INDEX( co_impactTypes[damageAdjName], MATCH( co_variants[[#This Row],[sector_id]], co_impactTypes[sector_id], 0 ) ) &amp;
   IF( OR(co_variants[[#This Row],[sector_id]] = "Roads", co_variants[[#This Row],[sector_id]] = "ForestryLoss"),"_" &amp; co_variants[[#This Row],[variant_id]], "" )</f>
        <v>none</v>
      </c>
      <c r="I130" s="34" cm="1">
        <f t="array" ref="I130" xml:space="preserve"> --( SUMPRODUCT( --( co_impactTypes[sector_id] = co_variants[[#This Row],[sector_id]] ) ) &gt;= 1 )</f>
        <v>1</v>
      </c>
      <c r="J130"/>
      <c r="K130"/>
      <c r="L130"/>
      <c r="M130"/>
    </row>
    <row r="131" spans="2:13" ht="15" x14ac:dyDescent="0.25">
      <c r="B131" s="4">
        <f xml:space="preserve"> ROW( co_variants[[#This Row],[row_id]] ) - ROW( co_variants[[#Headers],[row_id]] )</f>
        <v>39</v>
      </c>
      <c r="C131" s="7" t="s">
        <v>597</v>
      </c>
      <c r="D131" s="26" t="s">
        <v>111</v>
      </c>
      <c r="E131" s="47" t="s">
        <v>108</v>
      </c>
      <c r="F131" s="60">
        <v>0</v>
      </c>
      <c r="G131" s="60">
        <v>0</v>
      </c>
      <c r="H131" s="46" t="str">
        <f xml:space="preserve"> INDEX( co_impactTypes[damageAdjName], MATCH( co_variants[[#This Row],[sector_id]], co_impactTypes[sector_id], 0 ) ) &amp;
   IF( OR(co_variants[[#This Row],[sector_id]] = "Roads", co_variants[[#This Row],[sector_id]] = "ForestryLoss"),"_" &amp; co_variants[[#This Row],[variant_id]], "" )</f>
        <v>none</v>
      </c>
      <c r="I131" s="34" cm="1">
        <f t="array" ref="I131" xml:space="preserve"> --( SUMPRODUCT( --( co_impactTypes[sector_id] = co_variants[[#This Row],[sector_id]] ) ) &gt;= 1 )</f>
        <v>1</v>
      </c>
      <c r="J131"/>
      <c r="K131"/>
      <c r="L131"/>
      <c r="M131"/>
    </row>
    <row r="132" spans="2:13" ht="15" x14ac:dyDescent="0.25">
      <c r="B132" s="4">
        <f xml:space="preserve"> ROW( co_variants[[#This Row],[row_id]] ) - ROW( co_variants[[#Headers],[row_id]] )</f>
        <v>40</v>
      </c>
      <c r="C132" s="7" t="s">
        <v>597</v>
      </c>
      <c r="D132" s="26" t="s">
        <v>110</v>
      </c>
      <c r="E132" s="47" t="s">
        <v>598</v>
      </c>
      <c r="F132" s="60">
        <v>1</v>
      </c>
      <c r="G132" s="60">
        <v>1</v>
      </c>
      <c r="H132" s="46" t="str">
        <f xml:space="preserve"> INDEX( co_impactTypes[damageAdjName], MATCH( co_variants[[#This Row],[sector_id]], co_impactTypes[sector_id], 0 ) ) &amp;
   IF( OR(co_variants[[#This Row],[sector_id]] = "Roads", co_variants[[#This Row],[sector_id]] = "ForestryLoss"),"_" &amp; co_variants[[#This Row],[variant_id]], "" )</f>
        <v>none</v>
      </c>
      <c r="I132" s="34" cm="1">
        <f t="array" ref="I132" xml:space="preserve"> --( SUMPRODUCT( --( co_impactTypes[sector_id] = co_variants[[#This Row],[sector_id]] ) ) &gt;= 1 )</f>
        <v>1</v>
      </c>
      <c r="J132"/>
      <c r="K132"/>
      <c r="L132"/>
      <c r="M132"/>
    </row>
    <row r="133" spans="2:13" ht="15" x14ac:dyDescent="0.25">
      <c r="B133" s="4">
        <f xml:space="preserve"> ROW( co_variants[[#This Row],[row_id]] ) - ROW( co_variants[[#Headers],[row_id]] )</f>
        <v>41</v>
      </c>
      <c r="C133" s="7" t="s">
        <v>526</v>
      </c>
      <c r="D133" s="26" t="s">
        <v>38</v>
      </c>
      <c r="E133" s="47" t="s">
        <v>190</v>
      </c>
      <c r="F133" s="60">
        <v>1</v>
      </c>
      <c r="G133" s="60">
        <v>2</v>
      </c>
      <c r="H133" s="46" t="str">
        <f xml:space="preserve"> INDEX( co_impactTypes[damageAdjName], MATCH( co_variants[[#This Row],[sector_id]], co_impactTypes[sector_id], 0 ) ) &amp;
   IF( OR(co_variants[[#This Row],[sector_id]] = "Roads", co_variants[[#This Row],[sector_id]] = "ForestryLoss"),"_" &amp; co_variants[[#This Row],[variant_id]], "" )</f>
        <v>MH_popDemoAdj_nat</v>
      </c>
      <c r="I133" s="34" cm="1">
        <f t="array" ref="I133" xml:space="preserve"> --( SUMPRODUCT( --( co_impactTypes[sector_id] = co_variants[[#This Row],[sector_id]] ) ) &gt;= 1 )</f>
        <v>1</v>
      </c>
      <c r="J133"/>
      <c r="K133"/>
      <c r="L133"/>
      <c r="M133"/>
    </row>
    <row r="134" spans="2:13" ht="15" x14ac:dyDescent="0.25">
      <c r="B134" s="4">
        <f xml:space="preserve"> ROW( co_variants[[#This Row],[row_id]] ) - ROW( co_variants[[#Headers],[row_id]] )</f>
        <v>42</v>
      </c>
      <c r="C134" s="7" t="s">
        <v>46</v>
      </c>
      <c r="D134" s="26" t="s">
        <v>411</v>
      </c>
      <c r="E134" s="47" t="s">
        <v>22</v>
      </c>
      <c r="F134" s="27">
        <v>0</v>
      </c>
      <c r="G134" s="27">
        <v>0</v>
      </c>
      <c r="H134" s="46" t="str">
        <f xml:space="preserve"> INDEX( co_impactTypes[damageAdjName], MATCH( co_variants[[#This Row],[sector_id]], co_impactTypes[sector_id], 0 ) ) &amp;
   IF( OR(co_variants[[#This Row],[sector_id]] = "Roads", co_variants[[#This Row],[sector_id]] = "ForestryLoss"),"_" &amp; co_variants[[#This Row],[variant_id]], "" )</f>
        <v>rail_growth_factor_nat</v>
      </c>
      <c r="I134" s="34" cm="1">
        <f t="array" ref="I134" xml:space="preserve"> --( SUMPRODUCT( --( co_impactTypes[sector_id] = co_variants[[#This Row],[sector_id]] ) ) &gt;= 1 )</f>
        <v>1</v>
      </c>
      <c r="J134"/>
      <c r="K134"/>
      <c r="L134"/>
      <c r="M134"/>
    </row>
    <row r="135" spans="2:13" ht="15" x14ac:dyDescent="0.25">
      <c r="B135" s="4">
        <f xml:space="preserve"> ROW( co_variants[[#This Row],[row_id]] ) - ROW( co_variants[[#Headers],[row_id]] )</f>
        <v>43</v>
      </c>
      <c r="C135" s="7" t="s">
        <v>46</v>
      </c>
      <c r="D135" s="26" t="s">
        <v>111</v>
      </c>
      <c r="E135" s="65" t="s">
        <v>45</v>
      </c>
      <c r="F135" s="27">
        <v>0</v>
      </c>
      <c r="G135" s="27">
        <v>0</v>
      </c>
      <c r="H135" s="46" t="str">
        <f xml:space="preserve"> INDEX( co_impactTypes[damageAdjName], MATCH( co_variants[[#This Row],[sector_id]], co_impactTypes[sector_id], 0 ) ) &amp;
   IF( OR(co_variants[[#This Row],[sector_id]] = "Roads", co_variants[[#This Row],[sector_id]] = "ForestryLoss"),"_" &amp; co_variants[[#This Row],[variant_id]], "" )</f>
        <v>rail_growth_factor_nat</v>
      </c>
      <c r="I135" s="34" cm="1">
        <f t="array" ref="I135" xml:space="preserve"> --( SUMPRODUCT( --( co_impactTypes[sector_id] = co_variants[[#This Row],[sector_id]] ) ) &gt;= 1 )</f>
        <v>1</v>
      </c>
      <c r="J135"/>
      <c r="K135"/>
      <c r="L135"/>
      <c r="M135"/>
    </row>
    <row r="136" spans="2:13" ht="15" x14ac:dyDescent="0.25">
      <c r="B136" s="4">
        <f xml:space="preserve"> ROW( co_variants[[#This Row],[row_id]] ) - ROW( co_variants[[#Headers],[row_id]] )</f>
        <v>44</v>
      </c>
      <c r="C136" s="7" t="s">
        <v>46</v>
      </c>
      <c r="D136" s="26" t="s">
        <v>112</v>
      </c>
      <c r="E136" s="65" t="s">
        <v>23</v>
      </c>
      <c r="F136" s="27">
        <v>1</v>
      </c>
      <c r="G136" s="27">
        <v>1</v>
      </c>
      <c r="H136" s="46" t="str">
        <f xml:space="preserve"> INDEX( co_impactTypes[damageAdjName], MATCH( co_variants[[#This Row],[sector_id]], co_impactTypes[sector_id], 0 ) ) &amp;
   IF( OR(co_variants[[#This Row],[sector_id]] = "Roads", co_variants[[#This Row],[sector_id]] = "ForestryLoss"),"_" &amp; co_variants[[#This Row],[variant_id]], "" )</f>
        <v>rail_growth_factor_nat</v>
      </c>
      <c r="I136" s="34" cm="1">
        <f t="array" ref="I136" xml:space="preserve"> --( SUMPRODUCT( --( co_impactTypes[sector_id] = co_variants[[#This Row],[sector_id]] ) ) &gt;= 1 )</f>
        <v>1</v>
      </c>
      <c r="J136"/>
      <c r="K136"/>
      <c r="L136"/>
      <c r="M136"/>
    </row>
    <row r="137" spans="2:13" ht="15" x14ac:dyDescent="0.25">
      <c r="B137" s="4">
        <f xml:space="preserve"> ROW( co_variants[[#This Row],[row_id]] ) - ROW( co_variants[[#Headers],[row_id]] )</f>
        <v>45</v>
      </c>
      <c r="C137" s="7" t="s">
        <v>53</v>
      </c>
      <c r="D137" s="26" t="s">
        <v>411</v>
      </c>
      <c r="E137" s="47" t="s">
        <v>22</v>
      </c>
      <c r="F137" s="27">
        <v>0</v>
      </c>
      <c r="G137" s="27">
        <v>0</v>
      </c>
      <c r="H137" s="46" t="str">
        <f xml:space="preserve"> INDEX( co_impactTypes[damageAdjName], MATCH( co_variants[[#This Row],[sector_id]], co_impactTypes[sector_id], 0 ) ) &amp;
   IF( OR(co_variants[[#This Row],[sector_id]] = "Roads", co_variants[[#This Row],[sector_id]] = "ForestryLoss"),"_" &amp; co_variants[[#This Row],[variant_id]], "" )</f>
        <v>road_miles_and_pop_nat_NoAdapt</v>
      </c>
      <c r="I137" s="34" cm="1">
        <f t="array" ref="I137" xml:space="preserve"> --( SUMPRODUCT( --( co_impactTypes[sector_id] = co_variants[[#This Row],[sector_id]] ) ) &gt;= 1 )</f>
        <v>1</v>
      </c>
      <c r="J137"/>
      <c r="K137"/>
      <c r="L137"/>
      <c r="M137"/>
    </row>
    <row r="138" spans="2:13" ht="15" x14ac:dyDescent="0.25">
      <c r="B138" s="4">
        <f xml:space="preserve"> ROW( co_variants[[#This Row],[row_id]] ) - ROW( co_variants[[#Headers],[row_id]] )</f>
        <v>46</v>
      </c>
      <c r="C138" s="7" t="s">
        <v>53</v>
      </c>
      <c r="D138" s="26" t="s">
        <v>111</v>
      </c>
      <c r="E138" s="65" t="s">
        <v>45</v>
      </c>
      <c r="F138" s="27">
        <v>0</v>
      </c>
      <c r="G138" s="27">
        <v>0</v>
      </c>
      <c r="H138" s="46" t="str">
        <f xml:space="preserve"> INDEX( co_impactTypes[damageAdjName], MATCH( co_variants[[#This Row],[sector_id]], co_impactTypes[sector_id], 0 ) ) &amp;
   IF( OR(co_variants[[#This Row],[sector_id]] = "Roads", co_variants[[#This Row],[sector_id]] = "ForestryLoss"),"_" &amp; co_variants[[#This Row],[variant_id]], "" )</f>
        <v>road_miles_and_pop_nat_Proactive</v>
      </c>
      <c r="I138" s="34" cm="1">
        <f t="array" ref="I138" xml:space="preserve"> --( SUMPRODUCT( --( co_impactTypes[sector_id] = co_variants[[#This Row],[sector_id]] ) ) &gt;= 1 )</f>
        <v>1</v>
      </c>
      <c r="J138"/>
      <c r="K138"/>
      <c r="L138"/>
      <c r="M138"/>
    </row>
    <row r="139" spans="2:13" ht="15" x14ac:dyDescent="0.25">
      <c r="B139" s="4">
        <f xml:space="preserve"> ROW( co_variants[[#This Row],[row_id]] ) - ROW( co_variants[[#Headers],[row_id]] )</f>
        <v>47</v>
      </c>
      <c r="C139" s="7" t="s">
        <v>53</v>
      </c>
      <c r="D139" s="26" t="s">
        <v>112</v>
      </c>
      <c r="E139" s="65" t="s">
        <v>23</v>
      </c>
      <c r="F139" s="27">
        <v>1</v>
      </c>
      <c r="G139" s="27">
        <v>1</v>
      </c>
      <c r="H139" s="46" t="str">
        <f xml:space="preserve"> INDEX( co_impactTypes[damageAdjName], MATCH( co_variants[[#This Row],[sector_id]], co_impactTypes[sector_id], 0 ) ) &amp;
   IF( OR(co_variants[[#This Row],[sector_id]] = "Roads", co_variants[[#This Row],[sector_id]] = "ForestryLoss"),"_" &amp; co_variants[[#This Row],[variant_id]], "" )</f>
        <v>road_miles_and_pop_nat_Reactive</v>
      </c>
      <c r="I139" s="34" cm="1">
        <f t="array" ref="I139" xml:space="preserve"> --( SUMPRODUCT( --( co_impactTypes[sector_id] = co_variants[[#This Row],[sector_id]] ) ) &gt;= 1 )</f>
        <v>1</v>
      </c>
      <c r="J139"/>
      <c r="K139"/>
      <c r="L139"/>
      <c r="M139"/>
    </row>
    <row r="140" spans="2:13" ht="15" x14ac:dyDescent="0.25">
      <c r="B140" s="4">
        <f xml:space="preserve"> ROW( co_variants[[#This Row],[row_id]] ) - ROW( co_variants[[#Headers],[row_id]] )</f>
        <v>48</v>
      </c>
      <c r="C140" s="7" t="s">
        <v>20</v>
      </c>
      <c r="D140" s="26" t="s">
        <v>38</v>
      </c>
      <c r="E140" s="47" t="s">
        <v>190</v>
      </c>
      <c r="F140" s="27">
        <v>1</v>
      </c>
      <c r="G140" s="27">
        <v>1</v>
      </c>
      <c r="H140" s="46" t="str">
        <f xml:space="preserve"> INDEX( co_impactTypes[damageAdjName], MATCH( co_variants[[#This Row],[sector_id]], co_impactTypes[sector_id], 0 ) ) &amp;
   IF( OR(co_variants[[#This Row],[sector_id]] = "Roads", co_variants[[#This Row],[sector_id]] = "ForestryLoss"),"_" &amp; co_variants[[#This Row],[variant_id]], "" )</f>
        <v>none</v>
      </c>
      <c r="I140" s="34" cm="1">
        <f t="array" ref="I140" xml:space="preserve"> --( SUMPRODUCT( --( co_impactTypes[sector_id] = co_variants[[#This Row],[sector_id]] ) ) &gt;= 1 )</f>
        <v>1</v>
      </c>
      <c r="J140"/>
      <c r="K140"/>
      <c r="L140"/>
      <c r="M140"/>
    </row>
    <row r="141" spans="2:13" ht="15" x14ac:dyDescent="0.25">
      <c r="B141" s="4">
        <f xml:space="preserve"> ROW( co_variants[[#This Row],[row_id]] ) - ROW( co_variants[[#Headers],[row_id]] )</f>
        <v>49</v>
      </c>
      <c r="C141" s="7" t="s">
        <v>61</v>
      </c>
      <c r="D141" s="26" t="s">
        <v>38</v>
      </c>
      <c r="E141" s="47" t="s">
        <v>190</v>
      </c>
      <c r="F141" s="27">
        <v>1</v>
      </c>
      <c r="G141" s="27">
        <v>1</v>
      </c>
      <c r="H141" s="46" t="str">
        <f xml:space="preserve"> INDEX( co_impactTypes[damageAdjName], MATCH( co_variants[[#This Row],[sector_id]], co_impactTypes[sector_id], 0 ) ) &amp;
   IF( OR(co_variants[[#This Row],[sector_id]] = "Roads", co_variants[[#This Row],[sector_id]] = "ForestryLoss"),"_" &amp; co_variants[[#This Row],[variant_id]], "" )</f>
        <v>none</v>
      </c>
      <c r="I141" s="34" cm="1">
        <f t="array" ref="I141" xml:space="preserve"> --( SUMPRODUCT( --( co_impactTypes[sector_id] = co_variants[[#This Row],[sector_id]] ) ) &gt;= 1 )</f>
        <v>1</v>
      </c>
      <c r="J141"/>
      <c r="K141"/>
      <c r="L141"/>
      <c r="M141"/>
    </row>
    <row r="142" spans="2:13" ht="15" x14ac:dyDescent="0.25">
      <c r="B142" s="4">
        <f xml:space="preserve"> ROW( co_variants[[#This Row],[row_id]] ) - ROW( co_variants[[#Headers],[row_id]] )</f>
        <v>50</v>
      </c>
      <c r="C142" s="7" t="s">
        <v>235</v>
      </c>
      <c r="D142" s="26" t="s">
        <v>38</v>
      </c>
      <c r="E142" s="47" t="s">
        <v>190</v>
      </c>
      <c r="F142" s="27">
        <v>1</v>
      </c>
      <c r="G142" s="27">
        <v>1</v>
      </c>
      <c r="H142" s="46" t="str">
        <f xml:space="preserve"> INDEX( co_impactTypes[damageAdjName], MATCH( co_variants[[#This Row],[sector_id]], co_impactTypes[sector_id], 0 ) ) &amp;
   IF( OR(co_variants[[#This Row],[sector_id]] = "Roads", co_variants[[#This Row],[sector_id]] = "ForestryLoss"),"_" &amp; co_variants[[#This Row],[variant_id]], "" )</f>
        <v>vfever_prob_wages_nat</v>
      </c>
      <c r="I142" s="34" cm="1">
        <f t="array" ref="I142" xml:space="preserve"> --( SUMPRODUCT( --( co_impactTypes[sector_id] = co_variants[[#This Row],[sector_id]] ) ) &gt;= 1 )</f>
        <v>1</v>
      </c>
      <c r="J142"/>
      <c r="K142"/>
      <c r="L142"/>
      <c r="M142"/>
    </row>
    <row r="143" spans="2:13" ht="15" x14ac:dyDescent="0.25">
      <c r="B143" s="4">
        <f xml:space="preserve"> ROW( co_variants[[#This Row],[row_id]] ) - ROW( co_variants[[#Headers],[row_id]] )</f>
        <v>51</v>
      </c>
      <c r="C143" s="7" t="s">
        <v>403</v>
      </c>
      <c r="D143" s="26" t="s">
        <v>38</v>
      </c>
      <c r="E143" s="47" t="s">
        <v>190</v>
      </c>
      <c r="F143" s="60">
        <v>1</v>
      </c>
      <c r="G143" s="60">
        <v>1</v>
      </c>
      <c r="H143" s="46" t="str">
        <f xml:space="preserve"> INDEX( co_impactTypes[damageAdjName], MATCH( co_variants[[#This Row],[sector_id]], co_impactTypes[sector_id], 0 ) ) &amp;
   IF( OR(co_variants[[#This Row],[sector_id]] = "Roads", co_variants[[#This Row],[sector_id]] = "ForestryLoss"),"_" &amp; co_variants[[#This Row],[variant_id]], "" )</f>
        <v>none</v>
      </c>
      <c r="I143" s="34" cm="1">
        <f t="array" ref="I143" xml:space="preserve"> --( SUMPRODUCT( --( co_impactTypes[sector_id] = co_variants[[#This Row],[sector_id]] ) ) &gt;= 1 )</f>
        <v>1</v>
      </c>
      <c r="J143"/>
      <c r="K143"/>
      <c r="L143"/>
      <c r="M143"/>
    </row>
    <row r="144" spans="2:13" ht="15" x14ac:dyDescent="0.25">
      <c r="B144" s="4">
        <f xml:space="preserve"> ROW( co_variants[[#This Row],[row_id]] ) - ROW( co_variants[[#Headers],[row_id]] )</f>
        <v>52</v>
      </c>
      <c r="C144" s="7" t="s">
        <v>63</v>
      </c>
      <c r="D144" s="26" t="s">
        <v>38</v>
      </c>
      <c r="E144" s="47" t="s">
        <v>190</v>
      </c>
      <c r="F144" s="27">
        <v>1</v>
      </c>
      <c r="G144" s="27">
        <v>1</v>
      </c>
      <c r="H144" s="46" t="str">
        <f xml:space="preserve"> INDEX( co_impactTypes[damageAdjName], MATCH( co_variants[[#This Row],[sector_id]], co_impactTypes[sector_id], 0 ) ) &amp;
   IF( OR(co_variants[[#This Row],[sector_id]] = "Roads", co_variants[[#This Row],[sector_id]] = "ForestryLoss"),"_" &amp; co_variants[[#This Row],[variant_id]], "" )</f>
        <v>none</v>
      </c>
      <c r="I144" s="34" cm="1">
        <f t="array" ref="I144" xml:space="preserve"> --( SUMPRODUCT( --( co_impactTypes[sector_id] = co_variants[[#This Row],[sector_id]] ) ) &gt;= 1 )</f>
        <v>1</v>
      </c>
      <c r="J144"/>
      <c r="K144"/>
      <c r="L144"/>
      <c r="M144"/>
    </row>
    <row r="145" spans="1:21" ht="15" x14ac:dyDescent="0.25">
      <c r="B145" s="4">
        <f xml:space="preserve"> ROW( co_variants[[#This Row],[row_id]] ) - ROW( co_variants[[#Headers],[row_id]] )</f>
        <v>53</v>
      </c>
      <c r="C145" s="7" t="s">
        <v>97</v>
      </c>
      <c r="D145" s="26" t="s">
        <v>38</v>
      </c>
      <c r="E145" s="47" t="s">
        <v>190</v>
      </c>
      <c r="F145" s="27">
        <v>1</v>
      </c>
      <c r="G145" s="27">
        <v>1</v>
      </c>
      <c r="H145" s="46" t="str">
        <f xml:space="preserve"> INDEX( co_impactTypes[damageAdjName], MATCH( co_variants[[#This Row],[sector_id]], co_impactTypes[sector_id], 0 ) ) &amp;
   IF( OR(co_variants[[#This Row],[sector_id]] = "Roads", co_variants[[#This Row],[sector_id]] = "ForestryLoss"),"_" &amp; co_variants[[#This Row],[variant_id]], "" )</f>
        <v>none</v>
      </c>
      <c r="I145" s="34" cm="1">
        <f t="array" ref="I145" xml:space="preserve"> --( SUMPRODUCT( --( co_impactTypes[sector_id] = co_variants[[#This Row],[sector_id]] ) ) &gt;= 1 )</f>
        <v>1</v>
      </c>
      <c r="J145"/>
      <c r="K145"/>
      <c r="L145"/>
      <c r="M145"/>
    </row>
    <row r="146" spans="1:21" ht="15" x14ac:dyDescent="0.25">
      <c r="B146" s="4">
        <f xml:space="preserve"> ROW( co_variants[[#This Row],[row_id]] ) - ROW( co_variants[[#Headers],[row_id]] )</f>
        <v>54</v>
      </c>
      <c r="C146" s="7" t="s">
        <v>315</v>
      </c>
      <c r="D146" s="26" t="s">
        <v>38</v>
      </c>
      <c r="E146" s="47" t="s">
        <v>190</v>
      </c>
      <c r="F146" s="60">
        <v>1</v>
      </c>
      <c r="G146" s="60">
        <v>1</v>
      </c>
      <c r="H146" s="46" t="str">
        <f xml:space="preserve"> INDEX( co_impactTypes[damageAdjName], MATCH( co_variants[[#This Row],[sector_id]], co_impactTypes[sector_id], 0 ) ) &amp;
   IF( OR(co_variants[[#This Row],[sector_id]] = "Roads", co_variants[[#This Row],[sector_id]] = "ForestryLoss"),"_" &amp; co_variants[[#This Row],[variant_id]], "" )</f>
        <v>none</v>
      </c>
      <c r="I146" s="34" cm="1">
        <f t="array" ref="I146" xml:space="preserve"> --( SUMPRODUCT( --( co_impactTypes[sector_id] = co_variants[[#This Row],[sector_id]] ) ) &gt;= 1 )</f>
        <v>1</v>
      </c>
      <c r="J146"/>
      <c r="K146"/>
      <c r="L146"/>
      <c r="M146"/>
    </row>
    <row r="147" spans="1:21" ht="15" x14ac:dyDescent="0.25">
      <c r="B147" s="4">
        <f xml:space="preserve"> ROW( co_variants[[#This Row],[row_id]] ) - ROW( co_variants[[#Headers],[row_id]] )</f>
        <v>55</v>
      </c>
      <c r="C147" s="7" t="s">
        <v>24</v>
      </c>
      <c r="D147" s="26" t="s">
        <v>38</v>
      </c>
      <c r="E147" s="47" t="s">
        <v>190</v>
      </c>
      <c r="F147" s="27">
        <v>1</v>
      </c>
      <c r="G147" s="27">
        <v>0</v>
      </c>
      <c r="H147" s="46" t="str">
        <f xml:space="preserve"> INDEX( co_impactTypes[damageAdjName], MATCH( co_variants[[#This Row],[sector_id]], co_impactTypes[sector_id], 0 ) ) &amp;
   IF( OR(co_variants[[#This Row],[sector_id]] = "Roads", co_variants[[#This Row],[sector_id]] = "ForestryLoss"),"_" &amp; co_variants[[#This Row],[variant_id]], "" )</f>
        <v>none</v>
      </c>
      <c r="I147" s="34" cm="1">
        <f t="array" ref="I147" xml:space="preserve"> --( SUMPRODUCT( --( co_impactTypes[sector_id] = co_variants[[#This Row],[sector_id]] ) ) &gt;= 1 )</f>
        <v>1</v>
      </c>
      <c r="J147"/>
      <c r="K147"/>
      <c r="L147"/>
      <c r="M147"/>
    </row>
    <row r="149" spans="1:21" ht="15" x14ac:dyDescent="0.25">
      <c r="A149" s="16"/>
      <c r="B149" s="17" t="s">
        <v>37</v>
      </c>
      <c r="C149" s="17"/>
      <c r="D149" s="17"/>
      <c r="E149" s="17"/>
      <c r="F149" s="17"/>
      <c r="G149" s="17"/>
      <c r="H149" s="17"/>
      <c r="I149" s="17"/>
      <c r="J149" s="17"/>
      <c r="K149" s="17"/>
      <c r="L149" s="17"/>
      <c r="M149" s="17"/>
      <c r="N149" s="17"/>
      <c r="O149" s="17"/>
      <c r="P149" s="17"/>
      <c r="Q149" s="17"/>
      <c r="R149" s="17"/>
      <c r="S149" s="17"/>
      <c r="T149" s="17"/>
      <c r="U149" s="17"/>
    </row>
    <row r="150" spans="1:21" x14ac:dyDescent="0.2">
      <c r="B150" s="3" t="s">
        <v>339</v>
      </c>
    </row>
    <row r="151" spans="1:21" x14ac:dyDescent="0.2">
      <c r="B151" s="29" t="s">
        <v>114</v>
      </c>
      <c r="C151" s="29" t="s">
        <v>56</v>
      </c>
      <c r="D151" s="29" t="s">
        <v>194</v>
      </c>
      <c r="E151" s="30" t="s">
        <v>195</v>
      </c>
      <c r="F151" s="29" t="s">
        <v>196</v>
      </c>
      <c r="G151" s="29" t="s">
        <v>259</v>
      </c>
      <c r="H151" s="29" t="s">
        <v>123</v>
      </c>
      <c r="I151" s="29" t="s">
        <v>124</v>
      </c>
      <c r="J151" s="29" t="s">
        <v>125</v>
      </c>
      <c r="K151" s="29" t="s">
        <v>91</v>
      </c>
      <c r="L151" s="29" t="s">
        <v>181</v>
      </c>
      <c r="M151" s="31" t="s">
        <v>98</v>
      </c>
      <c r="N151" s="31" t="s">
        <v>99</v>
      </c>
      <c r="O151" s="31" t="s">
        <v>100</v>
      </c>
      <c r="P151" s="31" t="s">
        <v>101</v>
      </c>
    </row>
    <row r="152" spans="1:21" x14ac:dyDescent="0.2">
      <c r="B152" s="4">
        <f xml:space="preserve"> ROW( co_impactTypes[[#This Row],[row_id]] ) - ROW(co_impactTypes[[#Headers],[row_id]] )</f>
        <v>1</v>
      </c>
      <c r="C152" s="7" t="s">
        <v>94</v>
      </c>
      <c r="D152" s="28" t="s">
        <v>645</v>
      </c>
      <c r="E152" s="47" t="s">
        <v>643</v>
      </c>
      <c r="F152" s="32" t="s">
        <v>645</v>
      </c>
      <c r="G152" s="28" t="s">
        <v>260</v>
      </c>
      <c r="H152" s="28" t="s">
        <v>84</v>
      </c>
      <c r="I152" s="28" t="s">
        <v>88</v>
      </c>
      <c r="J152" s="28" t="s">
        <v>88</v>
      </c>
      <c r="K152" s="28" t="s">
        <v>119</v>
      </c>
      <c r="L152" s="28" t="s">
        <v>89</v>
      </c>
      <c r="M152" s="27">
        <v>0</v>
      </c>
      <c r="N152" s="27">
        <v>1</v>
      </c>
      <c r="O152" s="27">
        <v>0.4</v>
      </c>
      <c r="P152" s="33">
        <f xml:space="preserve"> IF(co_impactTypes[[#This Row],[econMultiplierName]]="None", "N/A", 2010)</f>
        <v>2010</v>
      </c>
    </row>
    <row r="153" spans="1:21" x14ac:dyDescent="0.2">
      <c r="B153" s="4">
        <f xml:space="preserve"> ROW( co_impactTypes[[#This Row],[row_id]] ) - ROW(co_impactTypes[[#Headers],[row_id]] )</f>
        <v>2</v>
      </c>
      <c r="C153" s="7" t="s">
        <v>94</v>
      </c>
      <c r="D153" s="28" t="s">
        <v>646</v>
      </c>
      <c r="E153" s="47" t="s">
        <v>644</v>
      </c>
      <c r="F153" s="32" t="s">
        <v>646</v>
      </c>
      <c r="G153" s="28" t="s">
        <v>260</v>
      </c>
      <c r="H153" s="28" t="s">
        <v>84</v>
      </c>
      <c r="I153" s="28" t="s">
        <v>88</v>
      </c>
      <c r="J153" s="28" t="s">
        <v>88</v>
      </c>
      <c r="K153" s="28" t="s">
        <v>119</v>
      </c>
      <c r="L153" s="28" t="s">
        <v>89</v>
      </c>
      <c r="M153" s="27">
        <v>0</v>
      </c>
      <c r="N153" s="27">
        <v>1</v>
      </c>
      <c r="O153" s="27">
        <v>0.4</v>
      </c>
      <c r="P153" s="33">
        <f xml:space="preserve"> IF(co_impactTypes[[#This Row],[econMultiplierName]]="None", "N/A", 2010)</f>
        <v>2010</v>
      </c>
    </row>
    <row r="154" spans="1:21" x14ac:dyDescent="0.2">
      <c r="B154" s="4">
        <f xml:space="preserve"> ROW( co_impactTypes[[#This Row],[row_id]] ) - ROW(co_impactTypes[[#Headers],[row_id]] )</f>
        <v>3</v>
      </c>
      <c r="C154" s="7" t="s">
        <v>94</v>
      </c>
      <c r="D154" s="28" t="s">
        <v>677</v>
      </c>
      <c r="E154" s="47" t="s">
        <v>651</v>
      </c>
      <c r="F154" s="28" t="s">
        <v>677</v>
      </c>
      <c r="G154" s="28" t="s">
        <v>653</v>
      </c>
      <c r="H154" s="28" t="s">
        <v>84</v>
      </c>
      <c r="I154" s="28" t="s">
        <v>732</v>
      </c>
      <c r="J154" s="32" t="s">
        <v>683</v>
      </c>
      <c r="K154" s="28" t="s">
        <v>698</v>
      </c>
      <c r="L154" s="28" t="s">
        <v>88</v>
      </c>
      <c r="M154" s="27">
        <v>0</v>
      </c>
      <c r="N154" s="27">
        <v>1</v>
      </c>
      <c r="O154" s="27">
        <v>1</v>
      </c>
      <c r="P154" s="33" t="str">
        <f xml:space="preserve"> IF(co_impactTypes[[#This Row],[econMultiplierName]]="None", "N/A", 2010)</f>
        <v>N/A</v>
      </c>
    </row>
    <row r="155" spans="1:21" ht="22.5" x14ac:dyDescent="0.2">
      <c r="B155" s="4">
        <f xml:space="preserve"> ROW( co_impactTypes[[#This Row],[row_id]] ) - ROW(co_impactTypes[[#Headers],[row_id]] )</f>
        <v>4</v>
      </c>
      <c r="C155" s="7" t="s">
        <v>94</v>
      </c>
      <c r="D155" s="28" t="s">
        <v>673</v>
      </c>
      <c r="E155" s="47" t="s">
        <v>647</v>
      </c>
      <c r="F155" s="28" t="s">
        <v>678</v>
      </c>
      <c r="G155" s="28" t="s">
        <v>654</v>
      </c>
      <c r="H155" s="28" t="s">
        <v>84</v>
      </c>
      <c r="I155" s="28" t="s">
        <v>732</v>
      </c>
      <c r="J155" s="32" t="s">
        <v>684</v>
      </c>
      <c r="K155" s="28" t="s">
        <v>699</v>
      </c>
      <c r="L155" s="28" t="s">
        <v>89</v>
      </c>
      <c r="M155" s="27">
        <v>0</v>
      </c>
      <c r="N155" s="27">
        <v>1</v>
      </c>
      <c r="O155" s="27">
        <v>0.06</v>
      </c>
      <c r="P155" s="33">
        <f xml:space="preserve"> IF(co_impactTypes[[#This Row],[econMultiplierName]]="None", "N/A", 2010)</f>
        <v>2010</v>
      </c>
    </row>
    <row r="156" spans="1:21" x14ac:dyDescent="0.2">
      <c r="B156" s="4">
        <f xml:space="preserve"> ROW( co_impactTypes[[#This Row],[row_id]] ) - ROW(co_impactTypes[[#Headers],[row_id]] )</f>
        <v>5</v>
      </c>
      <c r="C156" s="7" t="s">
        <v>94</v>
      </c>
      <c r="D156" s="28" t="s">
        <v>650</v>
      </c>
      <c r="E156" s="47" t="s">
        <v>648</v>
      </c>
      <c r="F156" s="28" t="s">
        <v>650</v>
      </c>
      <c r="G156" s="28" t="s">
        <v>655</v>
      </c>
      <c r="H156" s="28" t="s">
        <v>84</v>
      </c>
      <c r="I156" s="32" t="s">
        <v>727</v>
      </c>
      <c r="J156" s="32" t="s">
        <v>685</v>
      </c>
      <c r="K156" s="32" t="s">
        <v>700</v>
      </c>
      <c r="L156" s="28" t="s">
        <v>89</v>
      </c>
      <c r="M156" s="27">
        <v>0</v>
      </c>
      <c r="N156" s="27">
        <v>1</v>
      </c>
      <c r="O156" s="27">
        <v>1</v>
      </c>
      <c r="P156" s="33">
        <f xml:space="preserve"> IF(co_impactTypes[[#This Row],[econMultiplierName]]="None", "N/A", 2010)</f>
        <v>2010</v>
      </c>
    </row>
    <row r="157" spans="1:21" x14ac:dyDescent="0.2">
      <c r="B157" s="4">
        <f xml:space="preserve"> ROW( co_impactTypes[[#This Row],[row_id]] ) - ROW(co_impactTypes[[#Headers],[row_id]] )</f>
        <v>6</v>
      </c>
      <c r="C157" s="7" t="s">
        <v>94</v>
      </c>
      <c r="D157" s="28" t="s">
        <v>674</v>
      </c>
      <c r="E157" s="47" t="s">
        <v>652</v>
      </c>
      <c r="F157" s="28" t="s">
        <v>674</v>
      </c>
      <c r="G157" s="28" t="s">
        <v>653</v>
      </c>
      <c r="H157" s="28" t="s">
        <v>84</v>
      </c>
      <c r="I157" s="32" t="s">
        <v>726</v>
      </c>
      <c r="J157" s="32" t="s">
        <v>686</v>
      </c>
      <c r="K157" s="28" t="s">
        <v>698</v>
      </c>
      <c r="L157" s="28" t="s">
        <v>88</v>
      </c>
      <c r="M157" s="27">
        <v>0</v>
      </c>
      <c r="N157" s="27">
        <v>1</v>
      </c>
      <c r="O157" s="27">
        <v>1</v>
      </c>
      <c r="P157" s="33" t="str">
        <f xml:space="preserve"> IF(co_impactTypes[[#This Row],[econMultiplierName]]="None", "N/A", 2010)</f>
        <v>N/A</v>
      </c>
    </row>
    <row r="158" spans="1:21" ht="22.5" x14ac:dyDescent="0.2">
      <c r="B158" s="4">
        <f xml:space="preserve"> ROW( co_impactTypes[[#This Row],[row_id]] ) - ROW(co_impactTypes[[#Headers],[row_id]] )</f>
        <v>7</v>
      </c>
      <c r="C158" s="7" t="s">
        <v>94</v>
      </c>
      <c r="D158" s="28" t="s">
        <v>675</v>
      </c>
      <c r="E158" s="47" t="s">
        <v>649</v>
      </c>
      <c r="F158" s="28" t="s">
        <v>676</v>
      </c>
      <c r="G158" s="28" t="s">
        <v>656</v>
      </c>
      <c r="H158" s="28" t="s">
        <v>84</v>
      </c>
      <c r="I158" s="28" t="s">
        <v>732</v>
      </c>
      <c r="J158" s="32" t="s">
        <v>687</v>
      </c>
      <c r="K158" s="28" t="s">
        <v>699</v>
      </c>
      <c r="L158" s="28" t="s">
        <v>89</v>
      </c>
      <c r="M158" s="27">
        <v>0</v>
      </c>
      <c r="N158" s="27">
        <v>1</v>
      </c>
      <c r="O158" s="27">
        <v>0.06</v>
      </c>
      <c r="P158" s="33">
        <f xml:space="preserve"> IF(co_impactTypes[[#This Row],[econMultiplierName]]="None", "N/A", 2010)</f>
        <v>2010</v>
      </c>
    </row>
    <row r="159" spans="1:21" x14ac:dyDescent="0.2">
      <c r="B159" s="4">
        <f xml:space="preserve"> ROW( co_impactTypes[[#This Row],[row_id]] ) - ROW(co_impactTypes[[#Headers],[row_id]] )</f>
        <v>8</v>
      </c>
      <c r="C159" s="7" t="s">
        <v>252</v>
      </c>
      <c r="D159" s="28" t="s">
        <v>38</v>
      </c>
      <c r="E159" s="47" t="s">
        <v>190</v>
      </c>
      <c r="F159" s="32" t="s">
        <v>253</v>
      </c>
      <c r="G159" s="28" t="s">
        <v>532</v>
      </c>
      <c r="H159" s="28" t="s">
        <v>721</v>
      </c>
      <c r="I159" s="28" t="s">
        <v>88</v>
      </c>
      <c r="J159" s="28" t="s">
        <v>88</v>
      </c>
      <c r="K159" s="28" t="s">
        <v>88</v>
      </c>
      <c r="L159" s="28" t="s">
        <v>88</v>
      </c>
      <c r="M159" s="27">
        <v>0</v>
      </c>
      <c r="N159" s="27">
        <v>1</v>
      </c>
      <c r="O159" s="27">
        <v>1</v>
      </c>
      <c r="P159" s="33" t="str">
        <f xml:space="preserve"> IF(co_impactTypes[[#This Row],[econMultiplierName]]="None", "N/A", 2010)</f>
        <v>N/A</v>
      </c>
    </row>
    <row r="160" spans="1:21" x14ac:dyDescent="0.2">
      <c r="B160" s="4">
        <f xml:space="preserve"> ROW( co_impactTypes[[#This Row],[row_id]] ) - ROW(co_impactTypes[[#Headers],[row_id]] )</f>
        <v>9</v>
      </c>
      <c r="C160" s="7" t="s">
        <v>524</v>
      </c>
      <c r="D160" s="28" t="s">
        <v>38</v>
      </c>
      <c r="E160" s="47" t="s">
        <v>190</v>
      </c>
      <c r="F160" s="32" t="s">
        <v>367</v>
      </c>
      <c r="G160" s="28" t="s">
        <v>260</v>
      </c>
      <c r="H160" s="28" t="s">
        <v>84</v>
      </c>
      <c r="I160" s="28" t="s">
        <v>88</v>
      </c>
      <c r="J160" s="28" t="s">
        <v>88</v>
      </c>
      <c r="K160" s="28" t="s">
        <v>119</v>
      </c>
      <c r="L160" s="28" t="s">
        <v>89</v>
      </c>
      <c r="M160" s="27">
        <v>0</v>
      </c>
      <c r="N160" s="27">
        <v>1</v>
      </c>
      <c r="O160" s="27">
        <v>0.4</v>
      </c>
      <c r="P160" s="33">
        <f xml:space="preserve"> IF(co_impactTypes[[#This Row],[econMultiplierName]]="None", "N/A", 2010)</f>
        <v>2010</v>
      </c>
    </row>
    <row r="161" spans="2:16" x14ac:dyDescent="0.2">
      <c r="B161" s="4">
        <f xml:space="preserve"> ROW( co_impactTypes[[#This Row],[row_id]] ) - ROW(co_impactTypes[[#Headers],[row_id]] )</f>
        <v>10</v>
      </c>
      <c r="C161" s="7" t="s">
        <v>344</v>
      </c>
      <c r="D161" s="28" t="s">
        <v>332</v>
      </c>
      <c r="E161" s="28" t="s">
        <v>332</v>
      </c>
      <c r="F161" s="32" t="s">
        <v>336</v>
      </c>
      <c r="G161" s="28" t="s">
        <v>38</v>
      </c>
      <c r="H161" s="28" t="s">
        <v>88</v>
      </c>
      <c r="I161" s="28" t="s">
        <v>88</v>
      </c>
      <c r="J161" s="28" t="s">
        <v>88</v>
      </c>
      <c r="K161" s="28" t="s">
        <v>88</v>
      </c>
      <c r="L161" s="28" t="s">
        <v>88</v>
      </c>
      <c r="M161" s="27">
        <v>0</v>
      </c>
      <c r="N161" s="27">
        <v>1</v>
      </c>
      <c r="O161" s="27">
        <v>1</v>
      </c>
      <c r="P161" s="33" t="str">
        <f xml:space="preserve"> IF(co_impactTypes[[#This Row],[econMultiplierName]]="None", "N/A", 2010)</f>
        <v>N/A</v>
      </c>
    </row>
    <row r="162" spans="2:16" x14ac:dyDescent="0.2">
      <c r="B162" s="4">
        <f xml:space="preserve"> ROW( co_impactTypes[[#This Row],[row_id]] ) - ROW(co_impactTypes[[#Headers],[row_id]] )</f>
        <v>11</v>
      </c>
      <c r="C162" s="7" t="s">
        <v>344</v>
      </c>
      <c r="D162" s="28" t="s">
        <v>333</v>
      </c>
      <c r="E162" s="28" t="s">
        <v>333</v>
      </c>
      <c r="F162" s="32" t="s">
        <v>336</v>
      </c>
      <c r="G162" s="28" t="s">
        <v>38</v>
      </c>
      <c r="H162" s="28" t="s">
        <v>88</v>
      </c>
      <c r="I162" s="76" t="s">
        <v>88</v>
      </c>
      <c r="J162" s="76" t="s">
        <v>88</v>
      </c>
      <c r="K162" s="28" t="s">
        <v>88</v>
      </c>
      <c r="L162" s="28" t="s">
        <v>88</v>
      </c>
      <c r="M162" s="27">
        <v>0</v>
      </c>
      <c r="N162" s="27">
        <v>1</v>
      </c>
      <c r="O162" s="27">
        <v>1</v>
      </c>
      <c r="P162" s="33" t="str">
        <f xml:space="preserve"> IF(co_impactTypes[[#This Row],[econMultiplierName]]="None", "N/A", 2010)</f>
        <v>N/A</v>
      </c>
    </row>
    <row r="163" spans="2:16" x14ac:dyDescent="0.2">
      <c r="B163" s="4">
        <f xml:space="preserve"> ROW( co_impactTypes[[#This Row],[row_id]] ) - ROW(co_impactTypes[[#Headers],[row_id]] )</f>
        <v>12</v>
      </c>
      <c r="C163" s="7" t="s">
        <v>344</v>
      </c>
      <c r="D163" s="28" t="s">
        <v>334</v>
      </c>
      <c r="E163" s="28" t="s">
        <v>334</v>
      </c>
      <c r="F163" s="32" t="s">
        <v>336</v>
      </c>
      <c r="G163" s="28" t="s">
        <v>38</v>
      </c>
      <c r="H163" s="28" t="s">
        <v>88</v>
      </c>
      <c r="I163" s="28" t="s">
        <v>88</v>
      </c>
      <c r="J163" s="28" t="s">
        <v>88</v>
      </c>
      <c r="K163" s="28" t="s">
        <v>88</v>
      </c>
      <c r="L163" s="28" t="s">
        <v>88</v>
      </c>
      <c r="M163" s="27">
        <v>0</v>
      </c>
      <c r="N163" s="27">
        <v>1</v>
      </c>
      <c r="O163" s="27">
        <v>1</v>
      </c>
      <c r="P163" s="33" t="str">
        <f xml:space="preserve"> IF(co_impactTypes[[#This Row],[econMultiplierName]]="None", "N/A", 2010)</f>
        <v>N/A</v>
      </c>
    </row>
    <row r="164" spans="2:16" x14ac:dyDescent="0.2">
      <c r="B164" s="4">
        <f xml:space="preserve"> ROW( co_impactTypes[[#This Row],[row_id]] ) - ROW(co_impactTypes[[#Headers],[row_id]] )</f>
        <v>13</v>
      </c>
      <c r="C164" s="7" t="s">
        <v>344</v>
      </c>
      <c r="D164" s="28" t="s">
        <v>335</v>
      </c>
      <c r="E164" s="28" t="s">
        <v>335</v>
      </c>
      <c r="F164" s="32" t="s">
        <v>336</v>
      </c>
      <c r="G164" s="28" t="s">
        <v>38</v>
      </c>
      <c r="H164" s="28" t="s">
        <v>88</v>
      </c>
      <c r="I164" s="28" t="s">
        <v>88</v>
      </c>
      <c r="J164" s="28" t="s">
        <v>88</v>
      </c>
      <c r="K164" s="28" t="s">
        <v>88</v>
      </c>
      <c r="L164" s="28" t="s">
        <v>88</v>
      </c>
      <c r="M164" s="27">
        <v>0</v>
      </c>
      <c r="N164" s="27">
        <v>1</v>
      </c>
      <c r="O164" s="27">
        <v>1</v>
      </c>
      <c r="P164" s="33" t="str">
        <f xml:space="preserve"> IF(co_impactTypes[[#This Row],[econMultiplierName]]="None", "N/A", 2010)</f>
        <v>N/A</v>
      </c>
    </row>
    <row r="165" spans="2:16" x14ac:dyDescent="0.2">
      <c r="B165" s="4">
        <f xml:space="preserve"> ROW( co_impactTypes[[#This Row],[row_id]] ) - ROW(co_impactTypes[[#Headers],[row_id]] )</f>
        <v>14</v>
      </c>
      <c r="C165" s="7" t="s">
        <v>345</v>
      </c>
      <c r="D165" s="28" t="s">
        <v>340</v>
      </c>
      <c r="E165" s="32" t="s">
        <v>340</v>
      </c>
      <c r="F165" s="32" t="s">
        <v>348</v>
      </c>
      <c r="G165" s="28" t="s">
        <v>349</v>
      </c>
      <c r="H165" s="28" t="s">
        <v>88</v>
      </c>
      <c r="I165" s="28" t="s">
        <v>88</v>
      </c>
      <c r="J165" s="28" t="s">
        <v>88</v>
      </c>
      <c r="K165" s="28" t="s">
        <v>709</v>
      </c>
      <c r="L165" s="28" t="s">
        <v>88</v>
      </c>
      <c r="M165" s="27">
        <v>0</v>
      </c>
      <c r="N165" s="27">
        <v>1</v>
      </c>
      <c r="O165" s="27">
        <v>1</v>
      </c>
      <c r="P165" s="33" t="str">
        <f xml:space="preserve"> IF(co_impactTypes[[#This Row],[econMultiplierName]]="None", "N/A", 2010)</f>
        <v>N/A</v>
      </c>
    </row>
    <row r="166" spans="2:16" x14ac:dyDescent="0.2">
      <c r="B166" s="4">
        <f xml:space="preserve"> ROW( co_impactTypes[[#This Row],[row_id]] ) - ROW(co_impactTypes[[#Headers],[row_id]] )</f>
        <v>15</v>
      </c>
      <c r="C166" s="7" t="s">
        <v>345</v>
      </c>
      <c r="D166" s="28" t="s">
        <v>341</v>
      </c>
      <c r="E166" s="32" t="s">
        <v>341</v>
      </c>
      <c r="F166" s="32" t="s">
        <v>348</v>
      </c>
      <c r="G166" s="28" t="s">
        <v>349</v>
      </c>
      <c r="H166" s="28" t="s">
        <v>88</v>
      </c>
      <c r="I166" s="28" t="s">
        <v>88</v>
      </c>
      <c r="J166" s="28" t="s">
        <v>88</v>
      </c>
      <c r="K166" s="28" t="s">
        <v>713</v>
      </c>
      <c r="L166" s="28" t="s">
        <v>88</v>
      </c>
      <c r="M166" s="27">
        <v>0</v>
      </c>
      <c r="N166" s="27">
        <v>1</v>
      </c>
      <c r="O166" s="27">
        <v>1</v>
      </c>
      <c r="P166" s="33" t="str">
        <f xml:space="preserve"> IF(co_impactTypes[[#This Row],[econMultiplierName]]="None", "N/A", 2010)</f>
        <v>N/A</v>
      </c>
    </row>
    <row r="167" spans="2:16" x14ac:dyDescent="0.2">
      <c r="B167" s="4">
        <f xml:space="preserve"> ROW( co_impactTypes[[#This Row],[row_id]] ) - ROW(co_impactTypes[[#Headers],[row_id]] )</f>
        <v>16</v>
      </c>
      <c r="C167" s="7" t="s">
        <v>525</v>
      </c>
      <c r="D167" s="28" t="s">
        <v>38</v>
      </c>
      <c r="E167" s="47" t="s">
        <v>190</v>
      </c>
      <c r="F167" s="32" t="s">
        <v>103</v>
      </c>
      <c r="G167" s="28" t="s">
        <v>260</v>
      </c>
      <c r="H167" s="28" t="s">
        <v>84</v>
      </c>
      <c r="I167" s="28" t="s">
        <v>88</v>
      </c>
      <c r="J167" s="28" t="s">
        <v>88</v>
      </c>
      <c r="K167" s="28" t="s">
        <v>119</v>
      </c>
      <c r="L167" s="28" t="s">
        <v>89</v>
      </c>
      <c r="M167" s="27">
        <v>0</v>
      </c>
      <c r="N167" s="27">
        <v>1</v>
      </c>
      <c r="O167" s="27">
        <v>0.4</v>
      </c>
      <c r="P167" s="33">
        <f xml:space="preserve"> IF(co_impactTypes[[#This Row],[econMultiplierName]]="None", "N/A", 2010)</f>
        <v>2010</v>
      </c>
    </row>
    <row r="168" spans="2:16" x14ac:dyDescent="0.2">
      <c r="B168" s="4">
        <f xml:space="preserve"> ROW( co_impactTypes[[#This Row],[row_id]] ) - ROW(co_impactTypes[[#Headers],[row_id]] )</f>
        <v>17</v>
      </c>
      <c r="C168" s="7" t="s">
        <v>21</v>
      </c>
      <c r="D168" s="28" t="s">
        <v>38</v>
      </c>
      <c r="E168" s="47" t="s">
        <v>190</v>
      </c>
      <c r="F168" s="32" t="s">
        <v>130</v>
      </c>
      <c r="G168" s="28" t="s">
        <v>38</v>
      </c>
      <c r="H168" s="28" t="s">
        <v>88</v>
      </c>
      <c r="I168" s="28" t="s">
        <v>88</v>
      </c>
      <c r="J168" s="28" t="s">
        <v>88</v>
      </c>
      <c r="K168" s="28" t="s">
        <v>88</v>
      </c>
      <c r="L168" s="28" t="s">
        <v>88</v>
      </c>
      <c r="M168" s="27">
        <v>0</v>
      </c>
      <c r="N168" s="27">
        <v>1</v>
      </c>
      <c r="O168" s="27">
        <v>1</v>
      </c>
      <c r="P168" s="33" t="str">
        <f xml:space="preserve"> IF(co_impactTypes[[#This Row],[econMultiplierName]]="None", "N/A", 2010)</f>
        <v>N/A</v>
      </c>
    </row>
    <row r="169" spans="2:16" ht="33.75" x14ac:dyDescent="0.2">
      <c r="B169" s="4">
        <f xml:space="preserve"> ROW( co_impactTypes[[#This Row],[row_id]] ) - ROW(co_impactTypes[[#Headers],[row_id]] )</f>
        <v>18</v>
      </c>
      <c r="C169" s="7" t="s">
        <v>57</v>
      </c>
      <c r="D169" s="28" t="s">
        <v>38</v>
      </c>
      <c r="E169" s="47" t="s">
        <v>190</v>
      </c>
      <c r="F169" s="32" t="s">
        <v>244</v>
      </c>
      <c r="G169" s="28" t="s">
        <v>38</v>
      </c>
      <c r="H169" s="28" t="s">
        <v>88</v>
      </c>
      <c r="I169" s="28" t="s">
        <v>88</v>
      </c>
      <c r="J169" s="28" t="s">
        <v>688</v>
      </c>
      <c r="K169" s="28" t="s">
        <v>88</v>
      </c>
      <c r="L169" s="28" t="s">
        <v>88</v>
      </c>
      <c r="M169" s="27">
        <v>0</v>
      </c>
      <c r="N169" s="27">
        <v>1</v>
      </c>
      <c r="O169" s="27">
        <v>1</v>
      </c>
      <c r="P169" s="33" t="str">
        <f xml:space="preserve"> IF(co_impactTypes[[#This Row],[econMultiplierName]]="None", "N/A", 2010)</f>
        <v>N/A</v>
      </c>
    </row>
    <row r="170" spans="2:16" ht="22.5" x14ac:dyDescent="0.2">
      <c r="B170" s="4">
        <f xml:space="preserve"> ROW( co_impactTypes[[#This Row],[row_id]] ) - ROW(co_impactTypes[[#Headers],[row_id]] )</f>
        <v>19</v>
      </c>
      <c r="C170" s="7" t="s">
        <v>250</v>
      </c>
      <c r="D170" s="28" t="s">
        <v>38</v>
      </c>
      <c r="E170" s="47" t="s">
        <v>190</v>
      </c>
      <c r="F170" s="35" t="s">
        <v>233</v>
      </c>
      <c r="G170" s="28" t="s">
        <v>38</v>
      </c>
      <c r="H170" s="28" t="s">
        <v>88</v>
      </c>
      <c r="I170" s="25" t="s">
        <v>88</v>
      </c>
      <c r="J170" s="25" t="s">
        <v>689</v>
      </c>
      <c r="K170" s="28" t="s">
        <v>88</v>
      </c>
      <c r="L170" s="28" t="s">
        <v>88</v>
      </c>
      <c r="M170" s="27">
        <v>0</v>
      </c>
      <c r="N170" s="27">
        <v>1</v>
      </c>
      <c r="O170" s="27">
        <v>1</v>
      </c>
      <c r="P170" s="33" t="str">
        <f xml:space="preserve"> IF(co_impactTypes[[#This Row],[econMultiplierName]]="None", "N/A", 2010)</f>
        <v>N/A</v>
      </c>
    </row>
    <row r="171" spans="2:16" x14ac:dyDescent="0.2">
      <c r="B171" s="4">
        <f xml:space="preserve"> ROW( co_impactTypes[[#This Row],[row_id]] ) - ROW(co_impactTypes[[#Headers],[row_id]] )</f>
        <v>20</v>
      </c>
      <c r="C171" s="7" t="s">
        <v>15</v>
      </c>
      <c r="D171" s="28" t="s">
        <v>40</v>
      </c>
      <c r="E171" s="47" t="s">
        <v>14</v>
      </c>
      <c r="F171" s="32" t="s">
        <v>137</v>
      </c>
      <c r="G171" s="28" t="s">
        <v>260</v>
      </c>
      <c r="H171" s="28" t="s">
        <v>84</v>
      </c>
      <c r="I171" s="28" t="s">
        <v>747</v>
      </c>
      <c r="J171" s="28" t="s">
        <v>88</v>
      </c>
      <c r="K171" s="28" t="s">
        <v>119</v>
      </c>
      <c r="L171" s="28" t="s">
        <v>89</v>
      </c>
      <c r="M171" s="27">
        <v>0</v>
      </c>
      <c r="N171" s="27">
        <v>1</v>
      </c>
      <c r="O171" s="27">
        <v>0.4</v>
      </c>
      <c r="P171" s="33">
        <f xml:space="preserve"> IF(co_impactTypes[[#This Row],[econMultiplierName]]="None", "N/A", 2010)</f>
        <v>2010</v>
      </c>
    </row>
    <row r="172" spans="2:16" x14ac:dyDescent="0.2">
      <c r="B172" s="4">
        <f xml:space="preserve"> ROW( co_impactTypes[[#This Row],[row_id]] ) - ROW(co_impactTypes[[#Headers],[row_id]] )</f>
        <v>21</v>
      </c>
      <c r="C172" s="7" t="s">
        <v>15</v>
      </c>
      <c r="D172" s="28" t="s">
        <v>39</v>
      </c>
      <c r="E172" s="47" t="s">
        <v>13</v>
      </c>
      <c r="F172" s="32" t="s">
        <v>138</v>
      </c>
      <c r="G172" s="28" t="s">
        <v>260</v>
      </c>
      <c r="H172" s="28" t="s">
        <v>84</v>
      </c>
      <c r="I172" s="28" t="s">
        <v>747</v>
      </c>
      <c r="J172" s="28" t="s">
        <v>88</v>
      </c>
      <c r="K172" s="28" t="s">
        <v>119</v>
      </c>
      <c r="L172" s="28" t="s">
        <v>89</v>
      </c>
      <c r="M172" s="27">
        <v>0</v>
      </c>
      <c r="N172" s="27">
        <v>1</v>
      </c>
      <c r="O172" s="27">
        <v>0.4</v>
      </c>
      <c r="P172" s="33">
        <f xml:space="preserve"> IF(co_impactTypes[[#This Row],[econMultiplierName]]="None", "N/A", 2010)</f>
        <v>2010</v>
      </c>
    </row>
    <row r="173" spans="2:16" x14ac:dyDescent="0.2">
      <c r="B173" s="4">
        <f xml:space="preserve"> ROW( co_impactTypes[[#This Row],[row_id]] ) - ROW(co_impactTypes[[#Headers],[row_id]] )</f>
        <v>22</v>
      </c>
      <c r="C173" s="7" t="s">
        <v>620</v>
      </c>
      <c r="D173" s="28" t="s">
        <v>38</v>
      </c>
      <c r="E173" s="47" t="s">
        <v>190</v>
      </c>
      <c r="F173" s="32" t="s">
        <v>626</v>
      </c>
      <c r="G173" s="28" t="s">
        <v>38</v>
      </c>
      <c r="H173" s="28" t="s">
        <v>88</v>
      </c>
      <c r="I173" s="28" t="s">
        <v>88</v>
      </c>
      <c r="J173" s="28" t="s">
        <v>744</v>
      </c>
      <c r="K173" s="28" t="s">
        <v>89</v>
      </c>
      <c r="L173" s="28" t="s">
        <v>88</v>
      </c>
      <c r="M173" s="27">
        <v>0</v>
      </c>
      <c r="N173" s="27">
        <v>1</v>
      </c>
      <c r="O173" s="27">
        <v>1</v>
      </c>
      <c r="P173" s="33" t="str">
        <f xml:space="preserve"> IF(co_impactTypes[[#This Row],[econMultiplierName]]="None", "N/A", 2010)</f>
        <v>N/A</v>
      </c>
    </row>
    <row r="174" spans="2:16" ht="33.75" x14ac:dyDescent="0.2">
      <c r="B174" s="4">
        <f xml:space="preserve"> ROW( co_impactTypes[[#This Row],[row_id]] ) - ROW(co_impactTypes[[#Headers],[row_id]] )</f>
        <v>23</v>
      </c>
      <c r="C174" s="7" t="s">
        <v>58</v>
      </c>
      <c r="D174" s="28" t="s">
        <v>38</v>
      </c>
      <c r="E174" s="47" t="s">
        <v>190</v>
      </c>
      <c r="F174" s="32" t="s">
        <v>60</v>
      </c>
      <c r="G174" s="28" t="s">
        <v>38</v>
      </c>
      <c r="H174" s="28" t="s">
        <v>88</v>
      </c>
      <c r="I174" s="28" t="s">
        <v>88</v>
      </c>
      <c r="J174" s="28" t="s">
        <v>88</v>
      </c>
      <c r="K174" s="28" t="s">
        <v>88</v>
      </c>
      <c r="L174" s="28" t="s">
        <v>88</v>
      </c>
      <c r="M174" s="27">
        <v>0</v>
      </c>
      <c r="N174" s="27">
        <v>1</v>
      </c>
      <c r="O174" s="27">
        <v>1</v>
      </c>
      <c r="P174" s="33" t="str">
        <f xml:space="preserve"> IF(co_impactTypes[[#This Row],[econMultiplierName]]="None", "N/A", 2010)</f>
        <v>N/A</v>
      </c>
    </row>
    <row r="175" spans="2:16" ht="22.5" x14ac:dyDescent="0.2">
      <c r="B175" s="4">
        <f xml:space="preserve"> ROW( co_impactTypes[[#This Row],[row_id]] ) - ROW(co_impactTypes[[#Headers],[row_id]] )</f>
        <v>24</v>
      </c>
      <c r="C175" s="7" t="s">
        <v>19</v>
      </c>
      <c r="D175" s="28" t="s">
        <v>38</v>
      </c>
      <c r="E175" s="47" t="s">
        <v>190</v>
      </c>
      <c r="F175" s="32" t="s">
        <v>313</v>
      </c>
      <c r="G175" s="28" t="s">
        <v>38</v>
      </c>
      <c r="H175" s="28" t="s">
        <v>88</v>
      </c>
      <c r="I175" s="28" t="s">
        <v>88</v>
      </c>
      <c r="J175" s="28" t="s">
        <v>88</v>
      </c>
      <c r="K175" s="28" t="s">
        <v>88</v>
      </c>
      <c r="L175" s="28" t="s">
        <v>88</v>
      </c>
      <c r="M175" s="27">
        <v>0</v>
      </c>
      <c r="N175" s="27">
        <v>1</v>
      </c>
      <c r="O175" s="27">
        <v>1</v>
      </c>
      <c r="P175" s="33" t="str">
        <f xml:space="preserve"> IF(co_impactTypes[[#This Row],[econMultiplierName]]="None", "N/A", 2010)</f>
        <v>N/A</v>
      </c>
    </row>
    <row r="176" spans="2:16" ht="22.5" x14ac:dyDescent="0.2">
      <c r="B176" s="4">
        <f xml:space="preserve"> ROW( co_impactTypes[[#This Row],[row_id]] ) - ROW(co_impactTypes[[#Headers],[row_id]] )</f>
        <v>25</v>
      </c>
      <c r="C176" s="7" t="s">
        <v>18</v>
      </c>
      <c r="D176" s="28" t="s">
        <v>38</v>
      </c>
      <c r="E176" s="47" t="s">
        <v>190</v>
      </c>
      <c r="F176" s="32" t="s">
        <v>134</v>
      </c>
      <c r="G176" s="28" t="s">
        <v>533</v>
      </c>
      <c r="H176" s="28" t="s">
        <v>722</v>
      </c>
      <c r="I176" s="28" t="s">
        <v>88</v>
      </c>
      <c r="J176" s="28" t="s">
        <v>88</v>
      </c>
      <c r="K176" s="28" t="s">
        <v>704</v>
      </c>
      <c r="L176" s="28" t="s">
        <v>89</v>
      </c>
      <c r="M176" s="27">
        <v>0</v>
      </c>
      <c r="N176" s="27">
        <v>1</v>
      </c>
      <c r="O176" s="27">
        <v>1</v>
      </c>
      <c r="P176" s="33">
        <f xml:space="preserve"> IF(co_impactTypes[[#This Row],[econMultiplierName]]="None", "N/A", 2010)</f>
        <v>2010</v>
      </c>
    </row>
    <row r="177" spans="2:16" ht="22.5" x14ac:dyDescent="0.2">
      <c r="B177" s="4">
        <f xml:space="preserve"> ROW( co_impactTypes[[#This Row],[row_id]] ) - ROW(co_impactTypes[[#Headers],[row_id]] )</f>
        <v>26</v>
      </c>
      <c r="C177" s="7" t="s">
        <v>633</v>
      </c>
      <c r="D177" s="28" t="s">
        <v>638</v>
      </c>
      <c r="E177" s="28" t="s">
        <v>636</v>
      </c>
      <c r="F177" s="32" t="s">
        <v>640</v>
      </c>
      <c r="G177" s="28" t="s">
        <v>38</v>
      </c>
      <c r="H177" s="28" t="s">
        <v>84</v>
      </c>
      <c r="I177" s="28" t="s">
        <v>728</v>
      </c>
      <c r="J177" s="28" t="s">
        <v>88</v>
      </c>
      <c r="K177" s="28" t="s">
        <v>88</v>
      </c>
      <c r="L177" s="28" t="s">
        <v>88</v>
      </c>
      <c r="M177" s="27">
        <v>0</v>
      </c>
      <c r="N177" s="27">
        <v>1</v>
      </c>
      <c r="O177" s="27">
        <v>1</v>
      </c>
      <c r="P177" s="33" t="str">
        <f xml:space="preserve"> IF(co_impactTypes[[#This Row],[econMultiplierName]]="None", "N/A", 2010)</f>
        <v>N/A</v>
      </c>
    </row>
    <row r="178" spans="2:16" ht="22.5" x14ac:dyDescent="0.2">
      <c r="B178" s="4">
        <f xml:space="preserve"> ROW( co_impactTypes[[#This Row],[row_id]] ) - ROW(co_impactTypes[[#Headers],[row_id]] )</f>
        <v>27</v>
      </c>
      <c r="C178" s="7" t="s">
        <v>633</v>
      </c>
      <c r="D178" s="28" t="s">
        <v>639</v>
      </c>
      <c r="E178" s="28" t="s">
        <v>637</v>
      </c>
      <c r="F178" s="32" t="s">
        <v>642</v>
      </c>
      <c r="G178" s="28" t="s">
        <v>38</v>
      </c>
      <c r="H178" s="28" t="s">
        <v>84</v>
      </c>
      <c r="I178" s="28" t="s">
        <v>728</v>
      </c>
      <c r="J178" s="28" t="s">
        <v>88</v>
      </c>
      <c r="K178" s="28" t="s">
        <v>88</v>
      </c>
      <c r="L178" s="28" t="s">
        <v>88</v>
      </c>
      <c r="M178" s="27">
        <v>0</v>
      </c>
      <c r="N178" s="27">
        <v>1</v>
      </c>
      <c r="O178" s="27">
        <v>1</v>
      </c>
      <c r="P178" s="33" t="str">
        <f xml:space="preserve"> IF(co_impactTypes[[#This Row],[econMultiplierName]]="None", "N/A", 2010)</f>
        <v>N/A</v>
      </c>
    </row>
    <row r="179" spans="2:16" ht="22.5" x14ac:dyDescent="0.2">
      <c r="B179" s="4">
        <f xml:space="preserve"> ROW( co_impactTypes[[#This Row],[row_id]] ) - ROW(co_impactTypes[[#Headers],[row_id]] )</f>
        <v>28</v>
      </c>
      <c r="C179" s="7" t="s">
        <v>592</v>
      </c>
      <c r="D179" s="28" t="s">
        <v>38</v>
      </c>
      <c r="E179" s="47" t="s">
        <v>190</v>
      </c>
      <c r="F179" s="32" t="s">
        <v>594</v>
      </c>
      <c r="G179" s="28" t="s">
        <v>595</v>
      </c>
      <c r="H179" s="28" t="s">
        <v>84</v>
      </c>
      <c r="I179" s="32" t="s">
        <v>734</v>
      </c>
      <c r="J179" s="28" t="s">
        <v>88</v>
      </c>
      <c r="K179" s="28" t="s">
        <v>708</v>
      </c>
      <c r="L179" s="28" t="s">
        <v>88</v>
      </c>
      <c r="M179" s="27">
        <v>0</v>
      </c>
      <c r="N179" s="27">
        <v>1</v>
      </c>
      <c r="O179" s="27">
        <v>1</v>
      </c>
      <c r="P179" s="33" t="str">
        <f xml:space="preserve"> IF(co_impactTypes[[#This Row],[econMultiplierName]]="None", "N/A", 2010)</f>
        <v>N/A</v>
      </c>
    </row>
    <row r="180" spans="2:16" x14ac:dyDescent="0.2">
      <c r="B180" s="4">
        <f xml:space="preserve"> ROW( co_impactTypes[[#This Row],[row_id]] ) - ROW(co_impactTypes[[#Headers],[row_id]] )</f>
        <v>29</v>
      </c>
      <c r="C180" s="7" t="s">
        <v>59</v>
      </c>
      <c r="D180" s="28" t="s">
        <v>38</v>
      </c>
      <c r="E180" s="47" t="s">
        <v>190</v>
      </c>
      <c r="F180" s="32" t="s">
        <v>329</v>
      </c>
      <c r="G180" s="28" t="s">
        <v>38</v>
      </c>
      <c r="H180" s="28" t="s">
        <v>88</v>
      </c>
      <c r="I180" s="28" t="s">
        <v>88</v>
      </c>
      <c r="J180" s="28" t="s">
        <v>88</v>
      </c>
      <c r="K180" s="28" t="s">
        <v>88</v>
      </c>
      <c r="L180" s="28" t="s">
        <v>88</v>
      </c>
      <c r="M180" s="27">
        <v>0</v>
      </c>
      <c r="N180" s="27">
        <v>1000000</v>
      </c>
      <c r="O180" s="27">
        <v>1</v>
      </c>
      <c r="P180" s="33" t="str">
        <f xml:space="preserve"> IF(co_impactTypes[[#This Row],[econMultiplierName]]="None", "N/A", 2010)</f>
        <v>N/A</v>
      </c>
    </row>
    <row r="181" spans="2:16" ht="13.5" customHeight="1" x14ac:dyDescent="0.2">
      <c r="B181" s="4">
        <f xml:space="preserve"> ROW( co_impactTypes[[#This Row],[row_id]] ) - ROW(co_impactTypes[[#Headers],[row_id]] )</f>
        <v>30</v>
      </c>
      <c r="C181" s="7" t="s">
        <v>585</v>
      </c>
      <c r="D181" s="28" t="s">
        <v>577</v>
      </c>
      <c r="E181" s="47" t="s">
        <v>567</v>
      </c>
      <c r="F181" s="32" t="s">
        <v>575</v>
      </c>
      <c r="G181" s="28" t="s">
        <v>583</v>
      </c>
      <c r="H181" s="28" t="s">
        <v>88</v>
      </c>
      <c r="I181" s="28" t="s">
        <v>88</v>
      </c>
      <c r="J181" s="28" t="s">
        <v>88</v>
      </c>
      <c r="K181" s="28" t="s">
        <v>88</v>
      </c>
      <c r="L181" s="28" t="s">
        <v>88</v>
      </c>
      <c r="M181" s="27">
        <v>0</v>
      </c>
      <c r="N181" s="27">
        <v>0</v>
      </c>
      <c r="O181" s="27">
        <v>1</v>
      </c>
      <c r="P181" s="33" t="str">
        <f xml:space="preserve"> IF(co_impactTypes[[#This Row],[econMultiplierName]]="None", "N/A", 2010)</f>
        <v>N/A</v>
      </c>
    </row>
    <row r="182" spans="2:16" ht="33.75" x14ac:dyDescent="0.2">
      <c r="B182" s="4">
        <f xml:space="preserve"> ROW( co_impactTypes[[#This Row],[row_id]] ) - ROW(co_impactTypes[[#Headers],[row_id]] )</f>
        <v>31</v>
      </c>
      <c r="C182" s="7" t="s">
        <v>585</v>
      </c>
      <c r="D182" s="28" t="s">
        <v>578</v>
      </c>
      <c r="E182" s="47" t="s">
        <v>568</v>
      </c>
      <c r="F182" s="32" t="s">
        <v>576</v>
      </c>
      <c r="G182" s="28" t="s">
        <v>584</v>
      </c>
      <c r="H182" s="28" t="s">
        <v>88</v>
      </c>
      <c r="I182" s="28" t="s">
        <v>88</v>
      </c>
      <c r="J182" s="28" t="s">
        <v>88</v>
      </c>
      <c r="K182" s="28" t="s">
        <v>88</v>
      </c>
      <c r="L182" s="28" t="s">
        <v>88</v>
      </c>
      <c r="M182" s="27">
        <v>0</v>
      </c>
      <c r="N182" s="27">
        <v>0</v>
      </c>
      <c r="O182" s="27">
        <v>1</v>
      </c>
      <c r="P182" s="33" t="str">
        <f xml:space="preserve"> IF(co_impactTypes[[#This Row],[econMultiplierName]]="None", "N/A", 2010)</f>
        <v>N/A</v>
      </c>
    </row>
    <row r="183" spans="2:16" x14ac:dyDescent="0.2">
      <c r="B183" s="4">
        <f xml:space="preserve"> ROW( co_impactTypes[[#This Row],[row_id]] ) - ROW(co_impactTypes[[#Headers],[row_id]] )</f>
        <v>32</v>
      </c>
      <c r="C183" s="7" t="s">
        <v>585</v>
      </c>
      <c r="D183" s="28" t="s">
        <v>579</v>
      </c>
      <c r="E183" s="47" t="s">
        <v>569</v>
      </c>
      <c r="F183" s="32" t="s">
        <v>572</v>
      </c>
      <c r="G183" s="28" t="s">
        <v>582</v>
      </c>
      <c r="H183" s="28" t="s">
        <v>88</v>
      </c>
      <c r="I183" s="28" t="s">
        <v>88</v>
      </c>
      <c r="J183" s="28" t="s">
        <v>88</v>
      </c>
      <c r="K183" s="28" t="s">
        <v>88</v>
      </c>
      <c r="L183" s="28" t="s">
        <v>88</v>
      </c>
      <c r="M183" s="27">
        <v>0</v>
      </c>
      <c r="N183" s="27">
        <v>0</v>
      </c>
      <c r="O183" s="27">
        <v>1</v>
      </c>
      <c r="P183" s="33" t="str">
        <f xml:space="preserve"> IF(co_impactTypes[[#This Row],[econMultiplierName]]="None", "N/A", 2010)</f>
        <v>N/A</v>
      </c>
    </row>
    <row r="184" spans="2:16" ht="18.75" customHeight="1" x14ac:dyDescent="0.2">
      <c r="B184" s="4">
        <f xml:space="preserve"> ROW( co_impactTypes[[#This Row],[row_id]] ) - ROW(co_impactTypes[[#Headers],[row_id]] )</f>
        <v>33</v>
      </c>
      <c r="C184" s="7" t="s">
        <v>585</v>
      </c>
      <c r="D184" s="28" t="s">
        <v>580</v>
      </c>
      <c r="E184" s="47" t="s">
        <v>570</v>
      </c>
      <c r="F184" s="32" t="s">
        <v>573</v>
      </c>
      <c r="G184" s="28" t="s">
        <v>38</v>
      </c>
      <c r="H184" s="28" t="s">
        <v>88</v>
      </c>
      <c r="I184" s="28" t="s">
        <v>88</v>
      </c>
      <c r="J184" s="28" t="s">
        <v>88</v>
      </c>
      <c r="K184" s="28" t="s">
        <v>88</v>
      </c>
      <c r="L184" s="28" t="s">
        <v>88</v>
      </c>
      <c r="M184" s="27">
        <v>0</v>
      </c>
      <c r="N184" s="27">
        <v>1</v>
      </c>
      <c r="O184" s="27">
        <v>1</v>
      </c>
      <c r="P184" s="33" t="str">
        <f xml:space="preserve"> IF(co_impactTypes[[#This Row],[econMultiplierName]]="None", "N/A", 2010)</f>
        <v>N/A</v>
      </c>
    </row>
    <row r="185" spans="2:16" x14ac:dyDescent="0.2">
      <c r="B185" s="4">
        <f xml:space="preserve"> ROW( co_impactTypes[[#This Row],[row_id]] ) - ROW(co_impactTypes[[#Headers],[row_id]] )</f>
        <v>34</v>
      </c>
      <c r="C185" s="7" t="s">
        <v>586</v>
      </c>
      <c r="D185" s="28" t="s">
        <v>581</v>
      </c>
      <c r="E185" s="47" t="s">
        <v>571</v>
      </c>
      <c r="F185" s="32" t="s">
        <v>574</v>
      </c>
      <c r="G185" s="28" t="s">
        <v>38</v>
      </c>
      <c r="H185" s="28" t="s">
        <v>88</v>
      </c>
      <c r="I185" s="28" t="s">
        <v>88</v>
      </c>
      <c r="J185" s="28" t="s">
        <v>88</v>
      </c>
      <c r="K185" s="28" t="s">
        <v>88</v>
      </c>
      <c r="L185" s="28" t="s">
        <v>88</v>
      </c>
      <c r="M185" s="27">
        <v>0</v>
      </c>
      <c r="N185" s="27">
        <v>1</v>
      </c>
      <c r="O185" s="27">
        <v>1</v>
      </c>
      <c r="P185" s="33" t="str">
        <f xml:space="preserve"> IF(co_impactTypes[[#This Row],[econMultiplierName]]="None", "N/A", 2010)</f>
        <v>N/A</v>
      </c>
    </row>
    <row r="186" spans="2:16" x14ac:dyDescent="0.2">
      <c r="B186" s="4">
        <f xml:space="preserve"> ROW( co_impactTypes[[#This Row],[row_id]] ) - ROW(co_impactTypes[[#Headers],[row_id]] )</f>
        <v>35</v>
      </c>
      <c r="C186" s="7" t="s">
        <v>597</v>
      </c>
      <c r="D186" s="28" t="s">
        <v>599</v>
      </c>
      <c r="E186" s="47" t="s">
        <v>600</v>
      </c>
      <c r="F186" s="32" t="s">
        <v>609</v>
      </c>
      <c r="G186" s="28" t="s">
        <v>38</v>
      </c>
      <c r="H186" s="28" t="s">
        <v>84</v>
      </c>
      <c r="I186" s="28" t="s">
        <v>729</v>
      </c>
      <c r="J186" s="28" t="s">
        <v>88</v>
      </c>
      <c r="K186" s="28" t="s">
        <v>702</v>
      </c>
      <c r="L186" s="28" t="s">
        <v>88</v>
      </c>
      <c r="M186" s="27">
        <v>0</v>
      </c>
      <c r="N186" s="27">
        <v>1</v>
      </c>
      <c r="O186" s="27">
        <v>1</v>
      </c>
      <c r="P186" s="33" t="str">
        <f xml:space="preserve"> IF(co_impactTypes[[#This Row],[econMultiplierName]]="None", "N/A", 2010)</f>
        <v>N/A</v>
      </c>
    </row>
    <row r="187" spans="2:16" x14ac:dyDescent="0.2">
      <c r="B187" s="4">
        <f xml:space="preserve"> ROW( co_impactTypes[[#This Row],[row_id]] ) - ROW(co_impactTypes[[#Headers],[row_id]] )</f>
        <v>36</v>
      </c>
      <c r="C187" s="7" t="s">
        <v>597</v>
      </c>
      <c r="D187" s="28" t="s">
        <v>601</v>
      </c>
      <c r="E187" s="47" t="s">
        <v>602</v>
      </c>
      <c r="F187" s="32" t="s">
        <v>610</v>
      </c>
      <c r="G187" s="28" t="s">
        <v>38</v>
      </c>
      <c r="H187" s="28" t="s">
        <v>84</v>
      </c>
      <c r="I187" s="28" t="s">
        <v>729</v>
      </c>
      <c r="J187" s="28" t="s">
        <v>88</v>
      </c>
      <c r="K187" s="28" t="s">
        <v>710</v>
      </c>
      <c r="L187" s="28" t="s">
        <v>88</v>
      </c>
      <c r="M187" s="27">
        <v>0</v>
      </c>
      <c r="N187" s="27">
        <v>1</v>
      </c>
      <c r="O187" s="27">
        <v>1</v>
      </c>
      <c r="P187" s="33" t="str">
        <f xml:space="preserve"> IF(co_impactTypes[[#This Row],[econMultiplierName]]="None", "N/A", 2010)</f>
        <v>N/A</v>
      </c>
    </row>
    <row r="188" spans="2:16" x14ac:dyDescent="0.2">
      <c r="B188" s="4">
        <f xml:space="preserve"> ROW( co_impactTypes[[#This Row],[row_id]] ) - ROW(co_impactTypes[[#Headers],[row_id]] )</f>
        <v>37</v>
      </c>
      <c r="C188" s="7" t="s">
        <v>597</v>
      </c>
      <c r="D188" s="28" t="s">
        <v>603</v>
      </c>
      <c r="E188" s="47" t="s">
        <v>604</v>
      </c>
      <c r="F188" s="32" t="s">
        <v>611</v>
      </c>
      <c r="G188" s="28" t="s">
        <v>38</v>
      </c>
      <c r="H188" s="28" t="s">
        <v>84</v>
      </c>
      <c r="I188" s="28" t="s">
        <v>729</v>
      </c>
      <c r="J188" s="28" t="s">
        <v>88</v>
      </c>
      <c r="K188" s="28" t="s">
        <v>715</v>
      </c>
      <c r="L188" s="28" t="s">
        <v>88</v>
      </c>
      <c r="M188" s="27">
        <v>0</v>
      </c>
      <c r="N188" s="27">
        <v>1</v>
      </c>
      <c r="O188" s="27">
        <v>1</v>
      </c>
      <c r="P188" s="33" t="str">
        <f xml:space="preserve"> IF(co_impactTypes[[#This Row],[econMultiplierName]]="None", "N/A", 2010)</f>
        <v>N/A</v>
      </c>
    </row>
    <row r="189" spans="2:16" x14ac:dyDescent="0.2">
      <c r="B189" s="4">
        <f xml:space="preserve"> ROW( co_impactTypes[[#This Row],[row_id]] ) - ROW(co_impactTypes[[#Headers],[row_id]] )</f>
        <v>38</v>
      </c>
      <c r="C189" s="7" t="s">
        <v>597</v>
      </c>
      <c r="D189" s="28" t="s">
        <v>606</v>
      </c>
      <c r="E189" s="28" t="s">
        <v>605</v>
      </c>
      <c r="F189" s="32" t="s">
        <v>612</v>
      </c>
      <c r="G189" s="28" t="s">
        <v>38</v>
      </c>
      <c r="H189" s="28" t="s">
        <v>84</v>
      </c>
      <c r="I189" s="28" t="s">
        <v>729</v>
      </c>
      <c r="J189" s="28" t="s">
        <v>88</v>
      </c>
      <c r="K189" s="28" t="s">
        <v>88</v>
      </c>
      <c r="L189" s="28" t="s">
        <v>88</v>
      </c>
      <c r="M189" s="27">
        <v>0</v>
      </c>
      <c r="N189" s="27">
        <v>1</v>
      </c>
      <c r="O189" s="27">
        <v>1</v>
      </c>
      <c r="P189" s="33" t="str">
        <f xml:space="preserve"> IF(co_impactTypes[[#This Row],[econMultiplierName]]="None", "N/A", 2010)</f>
        <v>N/A</v>
      </c>
    </row>
    <row r="190" spans="2:16" x14ac:dyDescent="0.2">
      <c r="B190" s="4">
        <f xml:space="preserve"> ROW( co_impactTypes[[#This Row],[row_id]] ) - ROW(co_impactTypes[[#Headers],[row_id]] )</f>
        <v>39</v>
      </c>
      <c r="C190" s="7" t="s">
        <v>597</v>
      </c>
      <c r="D190" s="28" t="s">
        <v>607</v>
      </c>
      <c r="E190" s="47" t="s">
        <v>608</v>
      </c>
      <c r="F190" s="32" t="s">
        <v>613</v>
      </c>
      <c r="G190" s="28" t="s">
        <v>614</v>
      </c>
      <c r="H190" s="28" t="s">
        <v>84</v>
      </c>
      <c r="I190" s="28" t="s">
        <v>729</v>
      </c>
      <c r="J190" s="28" t="s">
        <v>88</v>
      </c>
      <c r="K190" s="28" t="s">
        <v>88</v>
      </c>
      <c r="L190" s="28" t="s">
        <v>88</v>
      </c>
      <c r="M190" s="27">
        <v>0</v>
      </c>
      <c r="N190" s="27">
        <v>0</v>
      </c>
      <c r="O190" s="27">
        <v>1</v>
      </c>
      <c r="P190" s="33" t="str">
        <f xml:space="preserve"> IF(co_impactTypes[[#This Row],[econMultiplierName]]="None", "N/A", 2010)</f>
        <v>N/A</v>
      </c>
    </row>
    <row r="191" spans="2:16" x14ac:dyDescent="0.2">
      <c r="B191" s="4">
        <f xml:space="preserve"> ROW( co_impactTypes[[#This Row],[row_id]] ) - ROW(co_impactTypes[[#Headers],[row_id]] )</f>
        <v>40</v>
      </c>
      <c r="C191" s="7" t="s">
        <v>526</v>
      </c>
      <c r="D191" s="28" t="s">
        <v>38</v>
      </c>
      <c r="E191" s="47" t="s">
        <v>190</v>
      </c>
      <c r="F191" s="32" t="s">
        <v>408</v>
      </c>
      <c r="G191" s="28" t="s">
        <v>260</v>
      </c>
      <c r="H191" s="28" t="s">
        <v>84</v>
      </c>
      <c r="I191" s="28" t="s">
        <v>731</v>
      </c>
      <c r="J191" s="28" t="s">
        <v>730</v>
      </c>
      <c r="K191" s="28" t="s">
        <v>119</v>
      </c>
      <c r="L191" s="28" t="s">
        <v>89</v>
      </c>
      <c r="M191" s="27">
        <v>0</v>
      </c>
      <c r="N191" s="27">
        <v>1</v>
      </c>
      <c r="O191" s="27">
        <v>0.4</v>
      </c>
      <c r="P191" s="33">
        <f xml:space="preserve"> IF(co_impactTypes[[#This Row],[econMultiplierName]]="None", "N/A", 2010)</f>
        <v>2010</v>
      </c>
    </row>
    <row r="192" spans="2:16" x14ac:dyDescent="0.2">
      <c r="B192" s="4">
        <f xml:space="preserve"> ROW( co_impactTypes[[#This Row],[row_id]] ) - ROW(co_impactTypes[[#Headers],[row_id]] )</f>
        <v>41</v>
      </c>
      <c r="C192" s="7" t="s">
        <v>46</v>
      </c>
      <c r="D192" s="28" t="s">
        <v>38</v>
      </c>
      <c r="E192" s="47" t="s">
        <v>190</v>
      </c>
      <c r="F192" s="35" t="s">
        <v>132</v>
      </c>
      <c r="G192" s="28" t="s">
        <v>52</v>
      </c>
      <c r="H192" s="28" t="s">
        <v>723</v>
      </c>
      <c r="I192" s="25" t="s">
        <v>88</v>
      </c>
      <c r="J192" s="25" t="s">
        <v>692</v>
      </c>
      <c r="K192" s="28" t="s">
        <v>88</v>
      </c>
      <c r="L192" s="28" t="s">
        <v>88</v>
      </c>
      <c r="M192" s="27">
        <v>0</v>
      </c>
      <c r="N192" s="27">
        <v>1</v>
      </c>
      <c r="O192" s="27">
        <v>1</v>
      </c>
      <c r="P192" s="33" t="str">
        <f xml:space="preserve"> IF(co_impactTypes[[#This Row],[econMultiplierName]]="None", "N/A", 2010)</f>
        <v>N/A</v>
      </c>
    </row>
    <row r="193" spans="2:16" x14ac:dyDescent="0.2">
      <c r="B193" s="4">
        <f xml:space="preserve"> ROW( co_impactTypes[[#This Row],[row_id]] ) - ROW(co_impactTypes[[#Headers],[row_id]] )</f>
        <v>42</v>
      </c>
      <c r="C193" s="7" t="s">
        <v>53</v>
      </c>
      <c r="D193" s="28" t="s">
        <v>38</v>
      </c>
      <c r="E193" s="47" t="s">
        <v>190</v>
      </c>
      <c r="F193" s="35" t="s">
        <v>135</v>
      </c>
      <c r="G193" s="28" t="s">
        <v>126</v>
      </c>
      <c r="H193" s="28" t="s">
        <v>725</v>
      </c>
      <c r="I193" s="25" t="s">
        <v>88</v>
      </c>
      <c r="J193" s="25" t="s">
        <v>745</v>
      </c>
      <c r="K193" s="28" t="s">
        <v>88</v>
      </c>
      <c r="L193" s="28" t="s">
        <v>88</v>
      </c>
      <c r="M193" s="27">
        <v>0</v>
      </c>
      <c r="N193" s="27">
        <v>1</v>
      </c>
      <c r="O193" s="27">
        <v>1</v>
      </c>
      <c r="P193" s="33" t="str">
        <f xml:space="preserve"> IF(co_impactTypes[[#This Row],[econMultiplierName]]="None", "N/A", 2010)</f>
        <v>N/A</v>
      </c>
    </row>
    <row r="194" spans="2:16" ht="22.5" x14ac:dyDescent="0.2">
      <c r="B194" s="4">
        <f xml:space="preserve"> ROW( co_impactTypes[[#This Row],[row_id]] ) - ROW(co_impactTypes[[#Headers],[row_id]] )</f>
        <v>43</v>
      </c>
      <c r="C194" s="7" t="s">
        <v>20</v>
      </c>
      <c r="D194" s="28" t="s">
        <v>234</v>
      </c>
      <c r="E194" s="47" t="s">
        <v>32</v>
      </c>
      <c r="F194" s="32" t="s">
        <v>51</v>
      </c>
      <c r="G194" s="28" t="s">
        <v>534</v>
      </c>
      <c r="H194" s="28" t="s">
        <v>84</v>
      </c>
      <c r="I194" s="32" t="s">
        <v>752</v>
      </c>
      <c r="J194" s="28" t="s">
        <v>88</v>
      </c>
      <c r="K194" s="28" t="s">
        <v>706</v>
      </c>
      <c r="L194" s="28" t="s">
        <v>88</v>
      </c>
      <c r="M194" s="27">
        <v>0</v>
      </c>
      <c r="N194" s="27">
        <v>1</v>
      </c>
      <c r="O194" s="27">
        <v>1</v>
      </c>
      <c r="P194" s="33" t="str">
        <f xml:space="preserve"> IF(co_impactTypes[[#This Row],[econMultiplierName]]="None", "N/A", 2010)</f>
        <v>N/A</v>
      </c>
    </row>
    <row r="195" spans="2:16" ht="22.5" x14ac:dyDescent="0.2">
      <c r="B195" s="4">
        <f xml:space="preserve"> ROW( co_impactTypes[[#This Row],[row_id]] ) - ROW(co_impactTypes[[#Headers],[row_id]] )</f>
        <v>44</v>
      </c>
      <c r="C195" s="7" t="s">
        <v>20</v>
      </c>
      <c r="D195" s="28" t="s">
        <v>54</v>
      </c>
      <c r="E195" s="47" t="s">
        <v>31</v>
      </c>
      <c r="F195" s="32" t="s">
        <v>50</v>
      </c>
      <c r="G195" s="28" t="s">
        <v>534</v>
      </c>
      <c r="H195" s="28" t="s">
        <v>84</v>
      </c>
      <c r="I195" s="32" t="s">
        <v>752</v>
      </c>
      <c r="J195" s="28" t="s">
        <v>88</v>
      </c>
      <c r="K195" s="28" t="s">
        <v>706</v>
      </c>
      <c r="L195" s="28" t="s">
        <v>88</v>
      </c>
      <c r="M195" s="27">
        <v>0</v>
      </c>
      <c r="N195" s="27">
        <v>1</v>
      </c>
      <c r="O195" s="27">
        <v>1</v>
      </c>
      <c r="P195" s="33" t="str">
        <f xml:space="preserve"> IF(co_impactTypes[[#This Row],[econMultiplierName]]="None", "N/A", 2010)</f>
        <v>N/A</v>
      </c>
    </row>
    <row r="196" spans="2:16" ht="22.5" x14ac:dyDescent="0.2">
      <c r="B196" s="4">
        <f xml:space="preserve"> ROW( co_impactTypes[[#This Row],[row_id]] ) - ROW(co_impactTypes[[#Headers],[row_id]] )</f>
        <v>45</v>
      </c>
      <c r="C196" s="7" t="s">
        <v>20</v>
      </c>
      <c r="D196" s="28" t="s">
        <v>41</v>
      </c>
      <c r="E196" s="47" t="s">
        <v>28</v>
      </c>
      <c r="F196" s="32" t="s">
        <v>41</v>
      </c>
      <c r="G196" s="28" t="s">
        <v>260</v>
      </c>
      <c r="H196" s="28" t="s">
        <v>84</v>
      </c>
      <c r="I196" s="32" t="s">
        <v>750</v>
      </c>
      <c r="J196" s="28" t="s">
        <v>88</v>
      </c>
      <c r="K196" s="28" t="s">
        <v>119</v>
      </c>
      <c r="L196" s="28" t="s">
        <v>89</v>
      </c>
      <c r="M196" s="27">
        <v>0</v>
      </c>
      <c r="N196" s="27">
        <v>1</v>
      </c>
      <c r="O196" s="27">
        <v>0.4</v>
      </c>
      <c r="P196" s="33">
        <f xml:space="preserve"> IF(co_impactTypes[[#This Row],[econMultiplierName]]="None", "N/A", 2010)</f>
        <v>2010</v>
      </c>
    </row>
    <row r="197" spans="2:16" ht="22.5" x14ac:dyDescent="0.2">
      <c r="B197" s="4">
        <f xml:space="preserve"> ROW( co_impactTypes[[#This Row],[row_id]] ) - ROW(co_impactTypes[[#Headers],[row_id]] )</f>
        <v>46</v>
      </c>
      <c r="C197" s="7" t="s">
        <v>20</v>
      </c>
      <c r="D197" s="28" t="s">
        <v>42</v>
      </c>
      <c r="E197" s="47" t="s">
        <v>30</v>
      </c>
      <c r="F197" s="32" t="s">
        <v>49</v>
      </c>
      <c r="G197" s="28" t="s">
        <v>534</v>
      </c>
      <c r="H197" s="28" t="s">
        <v>84</v>
      </c>
      <c r="I197" s="32" t="s">
        <v>752</v>
      </c>
      <c r="J197" s="28" t="s">
        <v>88</v>
      </c>
      <c r="K197" s="28" t="s">
        <v>707</v>
      </c>
      <c r="L197" s="28" t="s">
        <v>88</v>
      </c>
      <c r="M197" s="27">
        <v>0</v>
      </c>
      <c r="N197" s="27">
        <v>1</v>
      </c>
      <c r="O197" s="27">
        <v>1</v>
      </c>
      <c r="P197" s="33" t="str">
        <f xml:space="preserve"> IF(co_impactTypes[[#This Row],[econMultiplierName]]="None", "N/A", 2010)</f>
        <v>N/A</v>
      </c>
    </row>
    <row r="198" spans="2:16" x14ac:dyDescent="0.2">
      <c r="B198" s="4">
        <f xml:space="preserve"> ROW( co_impactTypes[[#This Row],[row_id]] ) - ROW(co_impactTypes[[#Headers],[row_id]] )</f>
        <v>47</v>
      </c>
      <c r="C198" s="7" t="s">
        <v>20</v>
      </c>
      <c r="D198" s="28" t="s">
        <v>83</v>
      </c>
      <c r="E198" s="47" t="s">
        <v>29</v>
      </c>
      <c r="F198" s="32" t="s">
        <v>136</v>
      </c>
      <c r="G198" s="28" t="s">
        <v>535</v>
      </c>
      <c r="H198" s="28" t="s">
        <v>84</v>
      </c>
      <c r="I198" s="28" t="s">
        <v>735</v>
      </c>
      <c r="J198" s="28" t="s">
        <v>88</v>
      </c>
      <c r="K198" s="28" t="s">
        <v>705</v>
      </c>
      <c r="L198" s="28" t="s">
        <v>88</v>
      </c>
      <c r="M198" s="27">
        <v>0</v>
      </c>
      <c r="N198" s="27">
        <v>1</v>
      </c>
      <c r="O198" s="27">
        <v>1</v>
      </c>
      <c r="P198" s="33" t="str">
        <f xml:space="preserve"> IF(co_impactTypes[[#This Row],[econMultiplierName]]="None", "N/A", 2010)</f>
        <v>N/A</v>
      </c>
    </row>
    <row r="199" spans="2:16" ht="22.5" x14ac:dyDescent="0.2">
      <c r="B199" s="4">
        <f xml:space="preserve"> ROW( co_impactTypes[[#This Row],[row_id]] ) - ROW(co_impactTypes[[#Headers],[row_id]] )</f>
        <v>48</v>
      </c>
      <c r="C199" s="7" t="s">
        <v>20</v>
      </c>
      <c r="D199" s="28" t="s">
        <v>675</v>
      </c>
      <c r="E199" s="47" t="s">
        <v>649</v>
      </c>
      <c r="F199" s="32" t="s">
        <v>679</v>
      </c>
      <c r="G199" s="28" t="s">
        <v>682</v>
      </c>
      <c r="H199" s="28" t="s">
        <v>84</v>
      </c>
      <c r="I199" s="32" t="s">
        <v>749</v>
      </c>
      <c r="J199" s="32" t="s">
        <v>696</v>
      </c>
      <c r="K199" s="32" t="s">
        <v>711</v>
      </c>
      <c r="L199" s="28" t="s">
        <v>89</v>
      </c>
      <c r="M199" s="27">
        <v>0</v>
      </c>
      <c r="N199" s="27">
        <v>1</v>
      </c>
      <c r="O199" s="27">
        <v>0.06</v>
      </c>
      <c r="P199" s="33">
        <f xml:space="preserve"> IF(co_impactTypes[[#This Row],[econMultiplierName]]="None", "N/A", 2010)</f>
        <v>2010</v>
      </c>
    </row>
    <row r="200" spans="2:16" ht="33.75" x14ac:dyDescent="0.2">
      <c r="B200" s="4">
        <f xml:space="preserve"> ROW( co_impactTypes[[#This Row],[row_id]] ) - ROW(co_impactTypes[[#Headers],[row_id]] )</f>
        <v>49</v>
      </c>
      <c r="C200" s="7" t="s">
        <v>61</v>
      </c>
      <c r="D200" s="28" t="s">
        <v>38</v>
      </c>
      <c r="E200" s="47" t="s">
        <v>190</v>
      </c>
      <c r="F200" s="32" t="s">
        <v>243</v>
      </c>
      <c r="G200" s="28" t="s">
        <v>38</v>
      </c>
      <c r="H200" s="28" t="s">
        <v>88</v>
      </c>
      <c r="I200" s="28" t="s">
        <v>88</v>
      </c>
      <c r="J200" s="28" t="s">
        <v>88</v>
      </c>
      <c r="K200" s="28" t="s">
        <v>88</v>
      </c>
      <c r="L200" s="28" t="s">
        <v>88</v>
      </c>
      <c r="M200" s="27">
        <v>0</v>
      </c>
      <c r="N200" s="27">
        <f>10^6</f>
        <v>1000000</v>
      </c>
      <c r="O200" s="27">
        <v>1</v>
      </c>
      <c r="P200" s="33" t="str">
        <f xml:space="preserve"> IF(co_impactTypes[[#This Row],[econMultiplierName]]="None", "N/A", 2010)</f>
        <v>N/A</v>
      </c>
    </row>
    <row r="201" spans="2:16" x14ac:dyDescent="0.2">
      <c r="B201" s="4">
        <f xml:space="preserve"> ROW( co_impactTypes[[#This Row],[row_id]] ) - ROW(co_impactTypes[[#Headers],[row_id]] )</f>
        <v>50</v>
      </c>
      <c r="C201" s="7" t="s">
        <v>235</v>
      </c>
      <c r="D201" s="28" t="s">
        <v>242</v>
      </c>
      <c r="E201" s="47" t="s">
        <v>131</v>
      </c>
      <c r="F201" s="32" t="s">
        <v>242</v>
      </c>
      <c r="G201" s="28" t="s">
        <v>536</v>
      </c>
      <c r="H201" s="28" t="s">
        <v>84</v>
      </c>
      <c r="I201" s="28" t="s">
        <v>736</v>
      </c>
      <c r="J201" s="28" t="s">
        <v>720</v>
      </c>
      <c r="K201" s="28" t="s">
        <v>701</v>
      </c>
      <c r="L201" s="28" t="s">
        <v>89</v>
      </c>
      <c r="M201" s="27">
        <v>0</v>
      </c>
      <c r="N201" s="27">
        <v>1</v>
      </c>
      <c r="O201" s="27">
        <v>1</v>
      </c>
      <c r="P201" s="33">
        <f xml:space="preserve"> IF(co_impactTypes[[#This Row],[econMultiplierName]]="None", "N/A", 2010)</f>
        <v>2010</v>
      </c>
    </row>
    <row r="202" spans="2:16" x14ac:dyDescent="0.2">
      <c r="B202" s="4">
        <f xml:space="preserve"> ROW( co_impactTypes[[#This Row],[row_id]] ) - ROW(co_impactTypes[[#Headers],[row_id]] )</f>
        <v>51</v>
      </c>
      <c r="C202" s="7" t="s">
        <v>235</v>
      </c>
      <c r="D202" s="28" t="s">
        <v>104</v>
      </c>
      <c r="E202" s="68" t="s">
        <v>104</v>
      </c>
      <c r="F202" s="32" t="s">
        <v>104</v>
      </c>
      <c r="G202" s="28" t="s">
        <v>537</v>
      </c>
      <c r="H202" s="28" t="s">
        <v>84</v>
      </c>
      <c r="I202" s="28" t="s">
        <v>736</v>
      </c>
      <c r="J202" s="28" t="s">
        <v>718</v>
      </c>
      <c r="K202" s="28" t="s">
        <v>712</v>
      </c>
      <c r="L202" s="28" t="s">
        <v>88</v>
      </c>
      <c r="M202" s="27">
        <v>0</v>
      </c>
      <c r="N202" s="27">
        <v>1</v>
      </c>
      <c r="O202" s="27">
        <v>1</v>
      </c>
      <c r="P202" s="33" t="str">
        <f xml:space="preserve"> IF(co_impactTypes[[#This Row],[econMultiplierName]]="None", "N/A", 2010)</f>
        <v>N/A</v>
      </c>
    </row>
    <row r="203" spans="2:16" x14ac:dyDescent="0.2">
      <c r="B203" s="4">
        <f xml:space="preserve"> ROW( co_impactTypes[[#This Row],[row_id]] ) - ROW(co_impactTypes[[#Headers],[row_id]] )</f>
        <v>52</v>
      </c>
      <c r="C203" s="7" t="s">
        <v>235</v>
      </c>
      <c r="D203" s="28" t="s">
        <v>103</v>
      </c>
      <c r="E203" s="68" t="s">
        <v>103</v>
      </c>
      <c r="F203" s="32" t="s">
        <v>103</v>
      </c>
      <c r="G203" s="28" t="s">
        <v>260</v>
      </c>
      <c r="H203" s="28" t="s">
        <v>84</v>
      </c>
      <c r="I203" s="28" t="s">
        <v>736</v>
      </c>
      <c r="J203" s="28" t="s">
        <v>719</v>
      </c>
      <c r="K203" s="28" t="s">
        <v>119</v>
      </c>
      <c r="L203" s="28" t="s">
        <v>89</v>
      </c>
      <c r="M203" s="27">
        <v>0</v>
      </c>
      <c r="N203" s="27">
        <v>1</v>
      </c>
      <c r="O203" s="27">
        <v>0.4</v>
      </c>
      <c r="P203" s="33">
        <f xml:space="preserve"> IF(co_impactTypes[[#This Row],[econMultiplierName]]="None", "N/A", 2010)</f>
        <v>2010</v>
      </c>
    </row>
    <row r="204" spans="2:16" x14ac:dyDescent="0.2">
      <c r="B204" s="4">
        <f xml:space="preserve"> ROW( co_impactTypes[[#This Row],[row_id]] ) - ROW(co_impactTypes[[#Headers],[row_id]] )</f>
        <v>53</v>
      </c>
      <c r="C204" s="7" t="s">
        <v>403</v>
      </c>
      <c r="D204" s="28" t="s">
        <v>404</v>
      </c>
      <c r="E204" s="47" t="s">
        <v>406</v>
      </c>
      <c r="F204" s="32" t="s">
        <v>404</v>
      </c>
      <c r="G204" s="28" t="s">
        <v>38</v>
      </c>
      <c r="H204" s="28" t="s">
        <v>88</v>
      </c>
      <c r="I204" s="28" t="s">
        <v>88</v>
      </c>
      <c r="J204" s="28" t="s">
        <v>88</v>
      </c>
      <c r="K204" s="28" t="s">
        <v>88</v>
      </c>
      <c r="L204" s="28" t="s">
        <v>88</v>
      </c>
      <c r="M204" s="27">
        <v>0</v>
      </c>
      <c r="N204" s="27">
        <v>1</v>
      </c>
      <c r="O204" s="27">
        <v>1</v>
      </c>
      <c r="P204" s="33" t="str">
        <f xml:space="preserve"> IF(co_impactTypes[[#This Row],[econMultiplierName]]="None", "N/A", 2010)</f>
        <v>N/A</v>
      </c>
    </row>
    <row r="205" spans="2:16" x14ac:dyDescent="0.2">
      <c r="B205" s="4">
        <f xml:space="preserve"> ROW( co_impactTypes[[#This Row],[row_id]] ) - ROW(co_impactTypes[[#Headers],[row_id]] )</f>
        <v>54</v>
      </c>
      <c r="C205" s="7" t="s">
        <v>403</v>
      </c>
      <c r="D205" s="28" t="s">
        <v>405</v>
      </c>
      <c r="E205" s="47" t="s">
        <v>407</v>
      </c>
      <c r="F205" s="32" t="s">
        <v>405</v>
      </c>
      <c r="G205" s="28" t="s">
        <v>536</v>
      </c>
      <c r="H205" s="28" t="s">
        <v>88</v>
      </c>
      <c r="I205" s="28" t="s">
        <v>88</v>
      </c>
      <c r="J205" s="28" t="s">
        <v>88</v>
      </c>
      <c r="K205" s="28" t="s">
        <v>701</v>
      </c>
      <c r="L205" s="28" t="s">
        <v>89</v>
      </c>
      <c r="M205" s="27">
        <v>0</v>
      </c>
      <c r="N205" s="27">
        <v>1</v>
      </c>
      <c r="O205" s="27">
        <v>1</v>
      </c>
      <c r="P205" s="33">
        <f xml:space="preserve"> IF(co_impactTypes[[#This Row],[econMultiplierName]]="None", "N/A", 2010)</f>
        <v>2010</v>
      </c>
    </row>
    <row r="206" spans="2:16" x14ac:dyDescent="0.2">
      <c r="B206" s="4">
        <f xml:space="preserve"> ROW( co_impactTypes[[#This Row],[row_id]] ) - ROW(co_impactTypes[[#Headers],[row_id]] )</f>
        <v>55</v>
      </c>
      <c r="C206" s="7" t="s">
        <v>403</v>
      </c>
      <c r="D206" s="28" t="s">
        <v>103</v>
      </c>
      <c r="E206" s="47" t="s">
        <v>103</v>
      </c>
      <c r="F206" s="32" t="s">
        <v>103</v>
      </c>
      <c r="G206" s="28" t="s">
        <v>260</v>
      </c>
      <c r="H206" s="28" t="s">
        <v>88</v>
      </c>
      <c r="I206" s="28" t="s">
        <v>88</v>
      </c>
      <c r="J206" s="28" t="s">
        <v>88</v>
      </c>
      <c r="K206" s="28" t="s">
        <v>119</v>
      </c>
      <c r="L206" s="28" t="s">
        <v>89</v>
      </c>
      <c r="M206" s="27">
        <v>0</v>
      </c>
      <c r="N206" s="27">
        <v>1</v>
      </c>
      <c r="O206" s="27">
        <v>0.4</v>
      </c>
      <c r="P206" s="33">
        <f xml:space="preserve"> IF(co_impactTypes[[#This Row],[econMultiplierName]]="None", "N/A", 2010)</f>
        <v>2010</v>
      </c>
    </row>
    <row r="207" spans="2:16" x14ac:dyDescent="0.2">
      <c r="B207" s="4">
        <f xml:space="preserve"> ROW( co_impactTypes[[#This Row],[row_id]] ) - ROW(co_impactTypes[[#Headers],[row_id]] )</f>
        <v>56</v>
      </c>
      <c r="C207" s="7" t="s">
        <v>63</v>
      </c>
      <c r="D207" s="28" t="s">
        <v>38</v>
      </c>
      <c r="E207" s="47" t="s">
        <v>190</v>
      </c>
      <c r="F207" s="32" t="s">
        <v>133</v>
      </c>
      <c r="G207" s="28" t="s">
        <v>38</v>
      </c>
      <c r="H207" s="28" t="s">
        <v>84</v>
      </c>
      <c r="I207" s="28" t="s">
        <v>88</v>
      </c>
      <c r="J207" s="28" t="s">
        <v>88</v>
      </c>
      <c r="K207" s="28" t="s">
        <v>88</v>
      </c>
      <c r="L207" s="28" t="s">
        <v>88</v>
      </c>
      <c r="M207" s="27">
        <v>0</v>
      </c>
      <c r="N207" s="27">
        <v>1</v>
      </c>
      <c r="O207" s="27">
        <v>1</v>
      </c>
      <c r="P207" s="33" t="str">
        <f xml:space="preserve"> IF(co_impactTypes[[#This Row],[econMultiplierName]]="None", "N/A", 2010)</f>
        <v>N/A</v>
      </c>
    </row>
    <row r="208" spans="2:16" ht="22.5" x14ac:dyDescent="0.2">
      <c r="B208" s="4">
        <f xml:space="preserve"> ROW( co_impactTypes[[#This Row],[row_id]] ) - ROW(co_impactTypes[[#Headers],[row_id]] )</f>
        <v>57</v>
      </c>
      <c r="C208" s="7" t="s">
        <v>97</v>
      </c>
      <c r="D208" s="28" t="s">
        <v>680</v>
      </c>
      <c r="E208" s="47" t="s">
        <v>104</v>
      </c>
      <c r="F208" s="32" t="s">
        <v>681</v>
      </c>
      <c r="G208" s="28" t="s">
        <v>537</v>
      </c>
      <c r="H208" s="28" t="s">
        <v>84</v>
      </c>
      <c r="I208" s="28" t="s">
        <v>88</v>
      </c>
      <c r="J208" s="28" t="s">
        <v>88</v>
      </c>
      <c r="K208" s="28" t="s">
        <v>88</v>
      </c>
      <c r="L208" s="28" t="s">
        <v>88</v>
      </c>
      <c r="M208" s="27">
        <v>0</v>
      </c>
      <c r="N208" s="27">
        <v>1</v>
      </c>
      <c r="O208" s="27">
        <v>1</v>
      </c>
      <c r="P208" s="33" t="str">
        <f xml:space="preserve"> IF(co_impactTypes[[#This Row],[econMultiplierName]]="None", "N/A", 2010)</f>
        <v>N/A</v>
      </c>
    </row>
    <row r="209" spans="1:21" x14ac:dyDescent="0.2">
      <c r="B209" s="4">
        <f xml:space="preserve"> ROW( co_impactTypes[[#This Row],[row_id]] ) - ROW(co_impactTypes[[#Headers],[row_id]] )</f>
        <v>58</v>
      </c>
      <c r="C209" s="7" t="s">
        <v>97</v>
      </c>
      <c r="D209" s="28" t="s">
        <v>103</v>
      </c>
      <c r="E209" s="47" t="s">
        <v>103</v>
      </c>
      <c r="F209" s="32" t="s">
        <v>103</v>
      </c>
      <c r="G209" s="28" t="s">
        <v>260</v>
      </c>
      <c r="H209" s="28" t="s">
        <v>84</v>
      </c>
      <c r="I209" s="28" t="s">
        <v>88</v>
      </c>
      <c r="J209" s="28" t="s">
        <v>88</v>
      </c>
      <c r="K209" s="28" t="s">
        <v>119</v>
      </c>
      <c r="L209" s="28" t="s">
        <v>89</v>
      </c>
      <c r="M209" s="27">
        <v>0</v>
      </c>
      <c r="N209" s="27">
        <v>1</v>
      </c>
      <c r="O209" s="27">
        <v>0.4</v>
      </c>
      <c r="P209" s="33">
        <f xml:space="preserve"> IF(co_impactTypes[[#This Row],[econMultiplierName]]="None", "N/A", 2010)</f>
        <v>2010</v>
      </c>
    </row>
    <row r="210" spans="1:21" x14ac:dyDescent="0.2">
      <c r="B210" s="4">
        <f xml:space="preserve"> ROW( co_impactTypes[[#This Row],[row_id]] ) - ROW(co_impactTypes[[#Headers],[row_id]] )</f>
        <v>59</v>
      </c>
      <c r="C210" s="7" t="s">
        <v>97</v>
      </c>
      <c r="D210" s="28" t="s">
        <v>129</v>
      </c>
      <c r="E210" s="47" t="s">
        <v>106</v>
      </c>
      <c r="F210" s="32" t="s">
        <v>129</v>
      </c>
      <c r="G210" s="28" t="s">
        <v>261</v>
      </c>
      <c r="H210" s="28" t="s">
        <v>88</v>
      </c>
      <c r="I210" s="28" t="s">
        <v>88</v>
      </c>
      <c r="J210" s="28" t="s">
        <v>88</v>
      </c>
      <c r="K210" s="28" t="s">
        <v>717</v>
      </c>
      <c r="L210" s="28" t="s">
        <v>88</v>
      </c>
      <c r="M210" s="27">
        <v>0</v>
      </c>
      <c r="N210" s="27">
        <v>1</v>
      </c>
      <c r="O210" s="27">
        <v>1</v>
      </c>
      <c r="P210" s="33" t="str">
        <f xml:space="preserve"> IF(co_impactTypes[[#This Row],[econMultiplierName]]="None", "N/A", 2010)</f>
        <v>N/A</v>
      </c>
    </row>
    <row r="211" spans="1:21" ht="22.5" x14ac:dyDescent="0.2">
      <c r="B211" s="4">
        <f xml:space="preserve"> ROW( co_impactTypes[[#This Row],[row_id]] ) - ROW(co_impactTypes[[#Headers],[row_id]] )</f>
        <v>60</v>
      </c>
      <c r="C211" s="7" t="s">
        <v>97</v>
      </c>
      <c r="D211" s="28" t="s">
        <v>675</v>
      </c>
      <c r="E211" s="47" t="s">
        <v>649</v>
      </c>
      <c r="F211" s="32" t="s">
        <v>679</v>
      </c>
      <c r="G211" s="28" t="s">
        <v>669</v>
      </c>
      <c r="H211" s="28" t="s">
        <v>84</v>
      </c>
      <c r="I211" s="28" t="s">
        <v>732</v>
      </c>
      <c r="J211" s="32" t="s">
        <v>697</v>
      </c>
      <c r="K211" s="28" t="s">
        <v>716</v>
      </c>
      <c r="L211" s="28" t="s">
        <v>89</v>
      </c>
      <c r="M211" s="27">
        <v>0</v>
      </c>
      <c r="N211" s="27">
        <v>1</v>
      </c>
      <c r="O211" s="27">
        <v>0.06</v>
      </c>
      <c r="P211" s="33">
        <f xml:space="preserve"> IF(co_impactTypes[[#This Row],[econMultiplierName]]="None", "N/A", 2010)</f>
        <v>2010</v>
      </c>
    </row>
    <row r="212" spans="1:21" x14ac:dyDescent="0.2">
      <c r="B212" s="4">
        <f xml:space="preserve"> ROW( co_impactTypes[[#This Row],[row_id]] ) - ROW(co_impactTypes[[#Headers],[row_id]] )</f>
        <v>61</v>
      </c>
      <c r="C212" s="7" t="s">
        <v>315</v>
      </c>
      <c r="D212" s="28" t="s">
        <v>38</v>
      </c>
      <c r="E212" s="47" t="s">
        <v>190</v>
      </c>
      <c r="F212" s="32" t="s">
        <v>318</v>
      </c>
      <c r="G212" s="28" t="s">
        <v>38</v>
      </c>
      <c r="H212" s="28" t="s">
        <v>88</v>
      </c>
      <c r="I212" s="28" t="s">
        <v>88</v>
      </c>
      <c r="J212" s="28" t="s">
        <v>88</v>
      </c>
      <c r="K212" s="28" t="s">
        <v>88</v>
      </c>
      <c r="L212" s="28" t="s">
        <v>88</v>
      </c>
      <c r="M212" s="27">
        <v>0</v>
      </c>
      <c r="N212" s="27">
        <v>1</v>
      </c>
      <c r="O212" s="27">
        <v>1</v>
      </c>
      <c r="P212" s="33" t="str">
        <f xml:space="preserve"> IF(co_impactTypes[[#This Row],[econMultiplierName]]="None", "N/A", 2010)</f>
        <v>N/A</v>
      </c>
    </row>
    <row r="213" spans="1:21" ht="22.5" x14ac:dyDescent="0.2">
      <c r="B213" s="4">
        <f xml:space="preserve"> ROW( co_impactTypes[[#This Row],[row_id]] ) - ROW(co_impactTypes[[#Headers],[row_id]] )</f>
        <v>62</v>
      </c>
      <c r="C213" s="7" t="s">
        <v>24</v>
      </c>
      <c r="D213" s="28" t="s">
        <v>43</v>
      </c>
      <c r="E213" s="47" t="s">
        <v>25</v>
      </c>
      <c r="F213" s="32" t="s">
        <v>245</v>
      </c>
      <c r="G213" s="28" t="s">
        <v>38</v>
      </c>
      <c r="H213" s="28" t="s">
        <v>84</v>
      </c>
      <c r="I213" s="32" t="s">
        <v>737</v>
      </c>
      <c r="J213" s="28" t="s">
        <v>88</v>
      </c>
      <c r="K213" s="28" t="s">
        <v>88</v>
      </c>
      <c r="L213" s="28" t="s">
        <v>88</v>
      </c>
      <c r="M213" s="27">
        <v>0</v>
      </c>
      <c r="N213" s="27">
        <v>1</v>
      </c>
      <c r="O213" s="27">
        <v>1</v>
      </c>
      <c r="P213" s="33" t="str">
        <f xml:space="preserve"> IF(co_impactTypes[[#This Row],[econMultiplierName]]="None", "N/A", 2010)</f>
        <v>N/A</v>
      </c>
    </row>
    <row r="214" spans="1:21" ht="22.5" x14ac:dyDescent="0.2">
      <c r="B214" s="4">
        <f xml:space="preserve"> ROW( co_impactTypes[[#This Row],[row_id]] ) - ROW(co_impactTypes[[#Headers],[row_id]] )</f>
        <v>63</v>
      </c>
      <c r="C214" s="7" t="s">
        <v>24</v>
      </c>
      <c r="D214" s="28" t="s">
        <v>44</v>
      </c>
      <c r="E214" s="47" t="s">
        <v>26</v>
      </c>
      <c r="F214" s="32" t="s">
        <v>246</v>
      </c>
      <c r="G214" s="28" t="s">
        <v>38</v>
      </c>
      <c r="H214" s="28" t="s">
        <v>84</v>
      </c>
      <c r="I214" s="32" t="s">
        <v>738</v>
      </c>
      <c r="J214" s="28" t="s">
        <v>88</v>
      </c>
      <c r="K214" s="28" t="s">
        <v>88</v>
      </c>
      <c r="L214" s="28" t="s">
        <v>88</v>
      </c>
      <c r="M214" s="27">
        <v>0</v>
      </c>
      <c r="N214" s="27">
        <v>1</v>
      </c>
      <c r="O214" s="27">
        <v>1</v>
      </c>
      <c r="P214" s="33" t="str">
        <f xml:space="preserve"> IF(co_impactTypes[[#This Row],[econMultiplierName]]="None", "N/A", 2010)</f>
        <v>N/A</v>
      </c>
    </row>
    <row r="215" spans="1:21" ht="22.5" x14ac:dyDescent="0.2">
      <c r="B215" s="4">
        <f xml:space="preserve"> ROW( co_impactTypes[[#This Row],[row_id]] ) - ROW(co_impactTypes[[#Headers],[row_id]] )</f>
        <v>64</v>
      </c>
      <c r="C215" s="7" t="s">
        <v>24</v>
      </c>
      <c r="D215" s="28" t="s">
        <v>27</v>
      </c>
      <c r="E215" s="47" t="s">
        <v>27</v>
      </c>
      <c r="F215" s="32" t="s">
        <v>247</v>
      </c>
      <c r="G215" s="28" t="s">
        <v>38</v>
      </c>
      <c r="H215" s="28" t="s">
        <v>84</v>
      </c>
      <c r="I215" s="32" t="s">
        <v>738</v>
      </c>
      <c r="J215" s="28" t="s">
        <v>88</v>
      </c>
      <c r="K215" s="28" t="s">
        <v>88</v>
      </c>
      <c r="L215" s="28" t="s">
        <v>88</v>
      </c>
      <c r="M215" s="27">
        <v>0</v>
      </c>
      <c r="N215" s="27">
        <v>1</v>
      </c>
      <c r="O215" s="27">
        <v>1</v>
      </c>
      <c r="P215" s="33" t="str">
        <f xml:space="preserve"> IF(co_impactTypes[[#This Row],[econMultiplierName]]="None", "N/A", 2010)</f>
        <v>N/A</v>
      </c>
    </row>
    <row r="218" spans="1:21" ht="15" x14ac:dyDescent="0.25">
      <c r="A218" s="16"/>
      <c r="B218" s="17" t="s">
        <v>327</v>
      </c>
      <c r="C218" s="17"/>
      <c r="D218" s="17"/>
      <c r="E218" s="17"/>
      <c r="F218" s="17"/>
      <c r="G218" s="17"/>
      <c r="H218" s="17"/>
      <c r="I218" s="17"/>
      <c r="J218" s="17"/>
      <c r="K218" s="17"/>
      <c r="L218" s="17"/>
      <c r="M218" s="17"/>
      <c r="N218" s="17"/>
      <c r="O218" s="17"/>
      <c r="P218" s="17"/>
      <c r="Q218" s="17"/>
      <c r="R218" s="17"/>
      <c r="S218" s="17"/>
      <c r="T218" s="17"/>
      <c r="U218" s="17"/>
    </row>
    <row r="220" spans="1:21" ht="15" x14ac:dyDescent="0.25">
      <c r="B220" s="29" t="s">
        <v>114</v>
      </c>
      <c r="C220" s="29" t="s">
        <v>86</v>
      </c>
      <c r="D220" s="29" t="s">
        <v>85</v>
      </c>
      <c r="E220" s="31" t="s">
        <v>139</v>
      </c>
      <c r="F220" s="31" t="s">
        <v>164</v>
      </c>
      <c r="G220" s="31" t="s">
        <v>165</v>
      </c>
      <c r="H220" s="31" t="s">
        <v>143</v>
      </c>
      <c r="I220" s="31" t="s">
        <v>173</v>
      </c>
      <c r="J220" s="29" t="s">
        <v>156</v>
      </c>
      <c r="P220" s="5"/>
      <c r="Q220" s="5"/>
      <c r="R220" s="5"/>
    </row>
    <row r="221" spans="1:21" ht="33.75" x14ac:dyDescent="0.25">
      <c r="B221" s="6">
        <f xml:space="preserve"> ROW( co_scalarInfo[[#This Row],[row_id]] ) - ROW( co_scalarInfo[[#Headers],[row_id]] )</f>
        <v>1</v>
      </c>
      <c r="C221" s="32" t="s">
        <v>683</v>
      </c>
      <c r="D221" s="26" t="s">
        <v>659</v>
      </c>
      <c r="E221" s="80" t="s">
        <v>141</v>
      </c>
      <c r="F221" s="80" t="s">
        <v>167</v>
      </c>
      <c r="G221" s="80" t="s">
        <v>166</v>
      </c>
      <c r="H221" s="81" t="s">
        <v>208</v>
      </c>
      <c r="I221" s="48" t="s">
        <v>174</v>
      </c>
      <c r="J221" s="65" t="s">
        <v>662</v>
      </c>
      <c r="P221" s="5"/>
      <c r="Q221" s="5"/>
      <c r="R221" s="5"/>
    </row>
    <row r="222" spans="1:21" ht="33.75" x14ac:dyDescent="0.25">
      <c r="B222" s="6">
        <f xml:space="preserve"> ROW( co_scalarInfo[[#This Row],[row_id]] ) - ROW( co_scalarInfo[[#Headers],[row_id]] )</f>
        <v>2</v>
      </c>
      <c r="C222" s="32" t="s">
        <v>684</v>
      </c>
      <c r="D222" s="26" t="s">
        <v>657</v>
      </c>
      <c r="E222" s="80" t="s">
        <v>141</v>
      </c>
      <c r="F222" s="80" t="s">
        <v>167</v>
      </c>
      <c r="G222" s="80" t="s">
        <v>166</v>
      </c>
      <c r="H222" s="81" t="s">
        <v>208</v>
      </c>
      <c r="I222" s="48" t="s">
        <v>174</v>
      </c>
      <c r="J222" s="65" t="s">
        <v>662</v>
      </c>
      <c r="P222" s="5"/>
      <c r="Q222" s="5"/>
      <c r="R222" s="5"/>
    </row>
    <row r="223" spans="1:21" ht="33.75" x14ac:dyDescent="0.25">
      <c r="B223" s="6">
        <f xml:space="preserve"> ROW( co_scalarInfo[[#This Row],[row_id]] ) - ROW( co_scalarInfo[[#Headers],[row_id]] )</f>
        <v>3</v>
      </c>
      <c r="C223" s="32" t="s">
        <v>685</v>
      </c>
      <c r="D223" s="26" t="s">
        <v>658</v>
      </c>
      <c r="E223" s="80" t="s">
        <v>141</v>
      </c>
      <c r="F223" s="80" t="s">
        <v>167</v>
      </c>
      <c r="G223" s="80" t="s">
        <v>166</v>
      </c>
      <c r="H223" s="81" t="s">
        <v>208</v>
      </c>
      <c r="I223" s="48" t="s">
        <v>174</v>
      </c>
      <c r="J223" s="65" t="s">
        <v>662</v>
      </c>
      <c r="P223" s="5"/>
      <c r="Q223" s="5"/>
      <c r="R223" s="5"/>
    </row>
    <row r="224" spans="1:21" ht="33.75" x14ac:dyDescent="0.25">
      <c r="B224" s="6">
        <f xml:space="preserve"> ROW( co_scalarInfo[[#This Row],[row_id]] ) - ROW( co_scalarInfo[[#Headers],[row_id]] )</f>
        <v>4</v>
      </c>
      <c r="C224" s="32" t="s">
        <v>686</v>
      </c>
      <c r="D224" s="26" t="s">
        <v>660</v>
      </c>
      <c r="E224" s="80" t="s">
        <v>141</v>
      </c>
      <c r="F224" s="80" t="s">
        <v>167</v>
      </c>
      <c r="G224" s="80" t="s">
        <v>166</v>
      </c>
      <c r="H224" s="81" t="s">
        <v>208</v>
      </c>
      <c r="I224" s="48" t="s">
        <v>174</v>
      </c>
      <c r="J224" s="65" t="s">
        <v>662</v>
      </c>
      <c r="P224" s="5"/>
      <c r="Q224" s="5"/>
      <c r="R224" s="5"/>
    </row>
    <row r="225" spans="2:18" ht="33.75" x14ac:dyDescent="0.25">
      <c r="B225" s="6">
        <f xml:space="preserve"> ROW( co_scalarInfo[[#This Row],[row_id]] ) - ROW( co_scalarInfo[[#Headers],[row_id]] )</f>
        <v>5</v>
      </c>
      <c r="C225" s="32" t="s">
        <v>687</v>
      </c>
      <c r="D225" s="26" t="s">
        <v>661</v>
      </c>
      <c r="E225" s="80" t="s">
        <v>141</v>
      </c>
      <c r="F225" s="80" t="s">
        <v>167</v>
      </c>
      <c r="G225" s="80" t="s">
        <v>166</v>
      </c>
      <c r="H225" s="81" t="s">
        <v>208</v>
      </c>
      <c r="I225" s="48" t="s">
        <v>174</v>
      </c>
      <c r="J225" s="65" t="s">
        <v>662</v>
      </c>
      <c r="P225" s="5"/>
      <c r="Q225" s="5"/>
      <c r="R225" s="5"/>
    </row>
    <row r="226" spans="2:18" ht="22.5" x14ac:dyDescent="0.25">
      <c r="B226" s="6">
        <f xml:space="preserve"> ROW( co_scalarInfo[[#This Row],[row_id]] ) - ROW( co_scalarInfo[[#Headers],[row_id]] )</f>
        <v>6</v>
      </c>
      <c r="C226" s="26" t="s">
        <v>688</v>
      </c>
      <c r="D226" s="26" t="s">
        <v>90</v>
      </c>
      <c r="E226" s="80" t="s">
        <v>141</v>
      </c>
      <c r="F226" s="80" t="s">
        <v>167</v>
      </c>
      <c r="G226" s="80" t="s">
        <v>166</v>
      </c>
      <c r="H226" s="80">
        <v>2015</v>
      </c>
      <c r="I226" s="48" t="s">
        <v>174</v>
      </c>
      <c r="J226" s="65" t="s">
        <v>662</v>
      </c>
      <c r="P226"/>
      <c r="Q226"/>
      <c r="R226"/>
    </row>
    <row r="227" spans="2:18" ht="33.75" x14ac:dyDescent="0.25">
      <c r="B227" s="6">
        <f xml:space="preserve"> ROW( co_scalarInfo[[#This Row],[row_id]] ) - ROW( co_scalarInfo[[#Headers],[row_id]] )</f>
        <v>7</v>
      </c>
      <c r="C227" s="32" t="s">
        <v>689</v>
      </c>
      <c r="D227" s="26" t="s">
        <v>127</v>
      </c>
      <c r="E227" s="80" t="s">
        <v>141</v>
      </c>
      <c r="F227" s="80" t="s">
        <v>167</v>
      </c>
      <c r="G227" s="80" t="s">
        <v>166</v>
      </c>
      <c r="H227" s="81" t="s">
        <v>208</v>
      </c>
      <c r="I227" s="48" t="s">
        <v>174</v>
      </c>
      <c r="J227" s="65"/>
      <c r="P227"/>
      <c r="Q227"/>
      <c r="R227"/>
    </row>
    <row r="228" spans="2:18" ht="22.5" x14ac:dyDescent="0.25">
      <c r="B228" s="6">
        <f xml:space="preserve"> ROW( co_scalarInfo[[#This Row],[row_id]] ) - ROW( co_scalarInfo[[#Headers],[row_id]] )</f>
        <v>8</v>
      </c>
      <c r="C228" s="32" t="s">
        <v>690</v>
      </c>
      <c r="D228" s="26" t="s">
        <v>627</v>
      </c>
      <c r="E228" s="80" t="s">
        <v>141</v>
      </c>
      <c r="F228" s="80" t="s">
        <v>167</v>
      </c>
      <c r="G228" s="80" t="s">
        <v>166</v>
      </c>
      <c r="H228" s="81" t="s">
        <v>208</v>
      </c>
      <c r="I228" s="48" t="s">
        <v>174</v>
      </c>
      <c r="J228" s="65"/>
      <c r="P228"/>
      <c r="Q228"/>
      <c r="R228"/>
    </row>
    <row r="229" spans="2:18" ht="22.5" x14ac:dyDescent="0.25">
      <c r="B229" s="6">
        <f xml:space="preserve"> ROW( co_scalarInfo[[#This Row],[row_id]] ) - ROW( co_scalarInfo[[#Headers],[row_id]] )</f>
        <v>9</v>
      </c>
      <c r="C229" s="32" t="s">
        <v>691</v>
      </c>
      <c r="D229" s="26" t="s">
        <v>628</v>
      </c>
      <c r="E229" s="80" t="s">
        <v>141</v>
      </c>
      <c r="F229" s="80" t="s">
        <v>167</v>
      </c>
      <c r="G229" s="80" t="s">
        <v>166</v>
      </c>
      <c r="H229" s="81" t="s">
        <v>208</v>
      </c>
      <c r="I229" s="48" t="s">
        <v>174</v>
      </c>
      <c r="J229" s="65"/>
      <c r="P229"/>
      <c r="Q229"/>
      <c r="R229"/>
    </row>
    <row r="230" spans="2:18" ht="15" x14ac:dyDescent="0.25">
      <c r="B230" s="6">
        <f xml:space="preserve"> ROW( co_scalarInfo[[#This Row],[row_id]] ) - ROW( co_scalarInfo[[#Headers],[row_id]] )</f>
        <v>10</v>
      </c>
      <c r="C230" s="32" t="s">
        <v>88</v>
      </c>
      <c r="D230" s="26" t="s">
        <v>179</v>
      </c>
      <c r="E230" s="80" t="s">
        <v>141</v>
      </c>
      <c r="F230" s="80" t="s">
        <v>118</v>
      </c>
      <c r="G230" s="80" t="s">
        <v>166</v>
      </c>
      <c r="H230" s="80" t="s">
        <v>38</v>
      </c>
      <c r="I230" s="48" t="s">
        <v>176</v>
      </c>
      <c r="J230" s="65" t="s">
        <v>180</v>
      </c>
      <c r="P230"/>
      <c r="Q230"/>
      <c r="R230"/>
    </row>
    <row r="231" spans="2:18" ht="15" x14ac:dyDescent="0.25">
      <c r="B231" s="6">
        <f xml:space="preserve"> ROW( co_scalarInfo[[#This Row],[row_id]] ) - ROW( co_scalarInfo[[#Headers],[row_id]] )</f>
        <v>11</v>
      </c>
      <c r="C231" s="32" t="s">
        <v>692</v>
      </c>
      <c r="D231" s="26" t="s">
        <v>128</v>
      </c>
      <c r="E231" s="80" t="s">
        <v>141</v>
      </c>
      <c r="F231" s="80" t="s">
        <v>167</v>
      </c>
      <c r="G231" s="80" t="s">
        <v>166</v>
      </c>
      <c r="H231" s="81" t="s">
        <v>208</v>
      </c>
      <c r="I231" s="48" t="s">
        <v>174</v>
      </c>
      <c r="J231" s="65"/>
      <c r="P231"/>
      <c r="Q231"/>
      <c r="R231"/>
    </row>
    <row r="232" spans="2:18" ht="33.75" x14ac:dyDescent="0.25">
      <c r="B232" s="6">
        <f xml:space="preserve"> ROW( co_scalarInfo[[#This Row],[row_id]] ) - ROW( co_scalarInfo[[#Headers],[row_id]] )</f>
        <v>12</v>
      </c>
      <c r="C232" s="32" t="s">
        <v>693</v>
      </c>
      <c r="D232" s="26" t="s">
        <v>538</v>
      </c>
      <c r="E232" s="80" t="s">
        <v>141</v>
      </c>
      <c r="F232" s="80" t="s">
        <v>167</v>
      </c>
      <c r="G232" s="80" t="s">
        <v>166</v>
      </c>
      <c r="H232" s="81" t="s">
        <v>208</v>
      </c>
      <c r="I232" s="48" t="s">
        <v>174</v>
      </c>
      <c r="J232" s="65" t="s">
        <v>557</v>
      </c>
      <c r="P232"/>
      <c r="Q232"/>
      <c r="R232"/>
    </row>
    <row r="233" spans="2:18" ht="33.75" x14ac:dyDescent="0.25">
      <c r="B233" s="6">
        <f xml:space="preserve"> ROW( co_scalarInfo[[#This Row],[row_id]] ) - ROW( co_scalarInfo[[#Headers],[row_id]] )</f>
        <v>13</v>
      </c>
      <c r="C233" s="32" t="s">
        <v>694</v>
      </c>
      <c r="D233" s="26" t="s">
        <v>539</v>
      </c>
      <c r="E233" s="80" t="s">
        <v>141</v>
      </c>
      <c r="F233" s="80" t="s">
        <v>167</v>
      </c>
      <c r="G233" s="80" t="s">
        <v>166</v>
      </c>
      <c r="H233" s="81" t="s">
        <v>208</v>
      </c>
      <c r="I233" s="48" t="s">
        <v>174</v>
      </c>
      <c r="J233" s="65" t="s">
        <v>558</v>
      </c>
      <c r="P233"/>
      <c r="Q233"/>
      <c r="R233"/>
    </row>
    <row r="234" spans="2:18" ht="33.75" x14ac:dyDescent="0.25">
      <c r="B234" s="6">
        <f xml:space="preserve"> ROW( co_scalarInfo[[#This Row],[row_id]] ) - ROW( co_scalarInfo[[#Headers],[row_id]] )</f>
        <v>14</v>
      </c>
      <c r="C234" s="32" t="s">
        <v>695</v>
      </c>
      <c r="D234" s="26" t="s">
        <v>540</v>
      </c>
      <c r="E234" s="80" t="s">
        <v>141</v>
      </c>
      <c r="F234" s="80" t="s">
        <v>167</v>
      </c>
      <c r="G234" s="80" t="s">
        <v>166</v>
      </c>
      <c r="H234" s="81" t="s">
        <v>208</v>
      </c>
      <c r="I234" s="48" t="s">
        <v>174</v>
      </c>
      <c r="J234" s="65" t="s">
        <v>559</v>
      </c>
      <c r="P234"/>
      <c r="Q234"/>
      <c r="R234"/>
    </row>
    <row r="235" spans="2:18" ht="33.75" x14ac:dyDescent="0.25">
      <c r="B235" s="6">
        <f xml:space="preserve"> ROW( co_scalarInfo[[#This Row],[row_id]] ) - ROW( co_scalarInfo[[#Headers],[row_id]] )</f>
        <v>15</v>
      </c>
      <c r="C235" s="32" t="s">
        <v>696</v>
      </c>
      <c r="D235" s="26" t="s">
        <v>668</v>
      </c>
      <c r="E235" s="80" t="s">
        <v>141</v>
      </c>
      <c r="F235" s="80" t="s">
        <v>167</v>
      </c>
      <c r="G235" s="80" t="s">
        <v>166</v>
      </c>
      <c r="H235" s="81" t="s">
        <v>208</v>
      </c>
      <c r="I235" s="48" t="s">
        <v>174</v>
      </c>
      <c r="J235" s="65" t="s">
        <v>662</v>
      </c>
      <c r="P235"/>
      <c r="Q235"/>
      <c r="R235"/>
    </row>
    <row r="236" spans="2:18" ht="33.75" x14ac:dyDescent="0.25">
      <c r="B236" s="6">
        <f xml:space="preserve"> ROW( co_scalarInfo[[#This Row],[row_id]] ) - ROW( co_scalarInfo[[#Headers],[row_id]] )</f>
        <v>16</v>
      </c>
      <c r="C236" s="32" t="s">
        <v>697</v>
      </c>
      <c r="D236" s="26" t="s">
        <v>663</v>
      </c>
      <c r="E236" s="80" t="s">
        <v>141</v>
      </c>
      <c r="F236" s="80" t="s">
        <v>167</v>
      </c>
      <c r="G236" s="80" t="s">
        <v>166</v>
      </c>
      <c r="H236" s="81" t="s">
        <v>208</v>
      </c>
      <c r="I236" s="48" t="s">
        <v>174</v>
      </c>
      <c r="J236" s="65" t="s">
        <v>662</v>
      </c>
      <c r="P236"/>
      <c r="Q236"/>
      <c r="R236"/>
    </row>
    <row r="237" spans="2:18" ht="15" x14ac:dyDescent="0.25">
      <c r="B237" s="6">
        <f xml:space="preserve"> ROW( co_scalarInfo[[#This Row],[row_id]] ) - ROW( co_scalarInfo[[#Headers],[row_id]] )</f>
        <v>17</v>
      </c>
      <c r="C237" s="32" t="s">
        <v>698</v>
      </c>
      <c r="D237" s="26" t="s">
        <v>664</v>
      </c>
      <c r="E237" s="80" t="s">
        <v>140</v>
      </c>
      <c r="F237" s="80" t="s">
        <v>118</v>
      </c>
      <c r="G237" s="80" t="s">
        <v>166</v>
      </c>
      <c r="H237" s="81">
        <v>2015</v>
      </c>
      <c r="I237" s="48" t="s">
        <v>174</v>
      </c>
      <c r="J237" s="65"/>
      <c r="P237"/>
      <c r="Q237"/>
      <c r="R237"/>
    </row>
    <row r="238" spans="2:18" ht="22.5" x14ac:dyDescent="0.25">
      <c r="B238" s="6">
        <f xml:space="preserve"> ROW( co_scalarInfo[[#This Row],[row_id]] ) - ROW( co_scalarInfo[[#Headers],[row_id]] )</f>
        <v>18</v>
      </c>
      <c r="C238" s="28" t="s">
        <v>699</v>
      </c>
      <c r="D238" s="26" t="s">
        <v>665</v>
      </c>
      <c r="E238" s="80" t="s">
        <v>140</v>
      </c>
      <c r="F238" s="80" t="s">
        <v>118</v>
      </c>
      <c r="G238" s="80" t="s">
        <v>166</v>
      </c>
      <c r="H238" s="81">
        <v>2015</v>
      </c>
      <c r="I238" s="48" t="s">
        <v>174</v>
      </c>
      <c r="J238" s="65"/>
      <c r="P238"/>
      <c r="Q238"/>
      <c r="R238"/>
    </row>
    <row r="239" spans="2:18" ht="22.5" x14ac:dyDescent="0.25">
      <c r="B239" s="6">
        <f xml:space="preserve"> ROW( co_scalarInfo[[#This Row],[row_id]] ) - ROW( co_scalarInfo[[#Headers],[row_id]] )</f>
        <v>19</v>
      </c>
      <c r="C239" s="32" t="s">
        <v>700</v>
      </c>
      <c r="D239" s="26" t="s">
        <v>666</v>
      </c>
      <c r="E239" s="80" t="s">
        <v>140</v>
      </c>
      <c r="F239" s="80" t="s">
        <v>118</v>
      </c>
      <c r="G239" s="80" t="s">
        <v>166</v>
      </c>
      <c r="H239" s="81">
        <v>2015</v>
      </c>
      <c r="I239" s="48" t="s">
        <v>174</v>
      </c>
      <c r="J239" s="65"/>
      <c r="P239"/>
      <c r="Q239"/>
      <c r="R239"/>
    </row>
    <row r="240" spans="2:18" ht="15" x14ac:dyDescent="0.25">
      <c r="B240" s="6">
        <f xml:space="preserve"> ROW( co_scalarInfo[[#This Row],[row_id]] ) - ROW( co_scalarInfo[[#Headers],[row_id]] )</f>
        <v>20</v>
      </c>
      <c r="C240" s="32" t="s">
        <v>701</v>
      </c>
      <c r="D240" s="26" t="s">
        <v>240</v>
      </c>
      <c r="E240" s="80" t="s">
        <v>140</v>
      </c>
      <c r="F240" s="80" t="s">
        <v>118</v>
      </c>
      <c r="G240" s="80" t="s">
        <v>166</v>
      </c>
      <c r="H240" s="81" t="s">
        <v>208</v>
      </c>
      <c r="I240" s="48" t="s">
        <v>174</v>
      </c>
      <c r="J240" s="65"/>
      <c r="P240"/>
      <c r="Q240"/>
      <c r="R240"/>
    </row>
    <row r="241" spans="2:18" ht="15" x14ac:dyDescent="0.25">
      <c r="B241" s="6">
        <f xml:space="preserve"> ROW( co_scalarInfo[[#This Row],[row_id]] ) - ROW( co_scalarInfo[[#Headers],[row_id]] )</f>
        <v>21</v>
      </c>
      <c r="C241" s="32" t="s">
        <v>702</v>
      </c>
      <c r="D241" s="26" t="s">
        <v>615</v>
      </c>
      <c r="E241" s="80" t="s">
        <v>140</v>
      </c>
      <c r="F241" s="80" t="s">
        <v>118</v>
      </c>
      <c r="G241" s="80" t="s">
        <v>166</v>
      </c>
      <c r="H241" s="81">
        <v>2015</v>
      </c>
      <c r="I241" s="48" t="s">
        <v>174</v>
      </c>
      <c r="J241" s="65"/>
      <c r="P241"/>
      <c r="Q241"/>
      <c r="R241"/>
    </row>
    <row r="242" spans="2:18" ht="15" x14ac:dyDescent="0.25">
      <c r="B242" s="6">
        <f xml:space="preserve"> ROW( co_scalarInfo[[#This Row],[row_id]] ) - ROW( co_scalarInfo[[#Headers],[row_id]] )</f>
        <v>22</v>
      </c>
      <c r="C242" s="32" t="s">
        <v>703</v>
      </c>
      <c r="D242" s="26" t="s">
        <v>630</v>
      </c>
      <c r="E242" s="80" t="s">
        <v>140</v>
      </c>
      <c r="F242" s="80" t="s">
        <v>167</v>
      </c>
      <c r="G242" s="80" t="s">
        <v>166</v>
      </c>
      <c r="H242" s="81"/>
      <c r="I242" s="48" t="s">
        <v>176</v>
      </c>
      <c r="J242" s="65" t="s">
        <v>629</v>
      </c>
      <c r="P242"/>
      <c r="Q242"/>
      <c r="R242"/>
    </row>
    <row r="243" spans="2:18" ht="15" x14ac:dyDescent="0.25">
      <c r="B243" s="6">
        <f xml:space="preserve"> ROW( co_scalarInfo[[#This Row],[row_id]] ) - ROW( co_scalarInfo[[#Headers],[row_id]] )</f>
        <v>23</v>
      </c>
      <c r="C243" s="26" t="s">
        <v>704</v>
      </c>
      <c r="D243" s="26" t="s">
        <v>102</v>
      </c>
      <c r="E243" s="80" t="s">
        <v>140</v>
      </c>
      <c r="F243" s="80" t="s">
        <v>118</v>
      </c>
      <c r="G243" s="80" t="s">
        <v>166</v>
      </c>
      <c r="H243" s="81">
        <v>2010</v>
      </c>
      <c r="I243" s="48" t="s">
        <v>174</v>
      </c>
      <c r="J243" s="65"/>
      <c r="P243"/>
      <c r="Q243"/>
      <c r="R243"/>
    </row>
    <row r="244" spans="2:18" ht="22.5" x14ac:dyDescent="0.25">
      <c r="B244" s="6">
        <f xml:space="preserve"> ROW( co_scalarInfo[[#This Row],[row_id]] ) - ROW( co_scalarInfo[[#Headers],[row_id]] )</f>
        <v>24</v>
      </c>
      <c r="C244" s="32" t="s">
        <v>705</v>
      </c>
      <c r="D244" s="26" t="s">
        <v>122</v>
      </c>
      <c r="E244" s="80" t="s">
        <v>140</v>
      </c>
      <c r="F244" s="80" t="s">
        <v>118</v>
      </c>
      <c r="G244" s="80" t="s">
        <v>166</v>
      </c>
      <c r="H244" s="80">
        <v>2010</v>
      </c>
      <c r="I244" s="48" t="s">
        <v>174</v>
      </c>
      <c r="J244" s="65"/>
      <c r="P244"/>
      <c r="Q244"/>
      <c r="R244"/>
    </row>
    <row r="245" spans="2:18" ht="22.5" x14ac:dyDescent="0.2">
      <c r="B245" s="6">
        <f xml:space="preserve"> ROW( co_scalarInfo[[#This Row],[row_id]] ) - ROW( co_scalarInfo[[#Headers],[row_id]] )</f>
        <v>25</v>
      </c>
      <c r="C245" s="32" t="s">
        <v>706</v>
      </c>
      <c r="D245" s="26" t="s">
        <v>120</v>
      </c>
      <c r="E245" s="80" t="s">
        <v>140</v>
      </c>
      <c r="F245" s="80" t="s">
        <v>118</v>
      </c>
      <c r="G245" s="80" t="s">
        <v>166</v>
      </c>
      <c r="H245" s="80">
        <v>2010</v>
      </c>
      <c r="I245" s="48" t="s">
        <v>174</v>
      </c>
      <c r="J245" s="65"/>
    </row>
    <row r="246" spans="2:18" ht="22.5" x14ac:dyDescent="0.2">
      <c r="B246" s="6">
        <f xml:space="preserve"> ROW( co_scalarInfo[[#This Row],[row_id]] ) - ROW( co_scalarInfo[[#Headers],[row_id]] )</f>
        <v>26</v>
      </c>
      <c r="C246" s="32" t="s">
        <v>707</v>
      </c>
      <c r="D246" s="26" t="s">
        <v>121</v>
      </c>
      <c r="E246" s="80" t="s">
        <v>140</v>
      </c>
      <c r="F246" s="80" t="s">
        <v>118</v>
      </c>
      <c r="G246" s="80" t="s">
        <v>166</v>
      </c>
      <c r="H246" s="80">
        <v>2010</v>
      </c>
      <c r="I246" s="48" t="s">
        <v>174</v>
      </c>
      <c r="J246" s="65"/>
    </row>
    <row r="247" spans="2:18" ht="22.5" x14ac:dyDescent="0.2">
      <c r="B247" s="6">
        <f xml:space="preserve"> ROW( co_scalarInfo[[#This Row],[row_id]] ) - ROW( co_scalarInfo[[#Headers],[row_id]] )</f>
        <v>27</v>
      </c>
      <c r="C247" s="32" t="s">
        <v>708</v>
      </c>
      <c r="D247" s="26" t="s">
        <v>596</v>
      </c>
      <c r="E247" s="80" t="s">
        <v>140</v>
      </c>
      <c r="F247" s="80" t="s">
        <v>118</v>
      </c>
      <c r="G247" s="80" t="s">
        <v>166</v>
      </c>
      <c r="H247" s="80">
        <v>2015</v>
      </c>
      <c r="I247" s="48" t="s">
        <v>174</v>
      </c>
      <c r="J247" s="65"/>
    </row>
    <row r="248" spans="2:18" x14ac:dyDescent="0.2">
      <c r="B248" s="6">
        <f xml:space="preserve"> ROW( co_scalarInfo[[#This Row],[row_id]] ) - ROW( co_scalarInfo[[#Headers],[row_id]] )</f>
        <v>28</v>
      </c>
      <c r="C248" s="32" t="s">
        <v>88</v>
      </c>
      <c r="D248" s="26" t="s">
        <v>179</v>
      </c>
      <c r="E248" s="80" t="s">
        <v>140</v>
      </c>
      <c r="F248" s="80" t="s">
        <v>118</v>
      </c>
      <c r="G248" s="80" t="s">
        <v>166</v>
      </c>
      <c r="H248" s="80" t="s">
        <v>38</v>
      </c>
      <c r="I248" s="48" t="s">
        <v>176</v>
      </c>
      <c r="J248" s="65" t="s">
        <v>180</v>
      </c>
    </row>
    <row r="249" spans="2:18" x14ac:dyDescent="0.2">
      <c r="B249" s="6">
        <f xml:space="preserve"> ROW( co_scalarInfo[[#This Row],[row_id]] ) - ROW( co_scalarInfo[[#Headers],[row_id]] )</f>
        <v>29</v>
      </c>
      <c r="C249" s="32" t="s">
        <v>709</v>
      </c>
      <c r="D249" s="26" t="s">
        <v>342</v>
      </c>
      <c r="E249" s="80" t="s">
        <v>140</v>
      </c>
      <c r="F249" s="80" t="s">
        <v>118</v>
      </c>
      <c r="G249" s="80" t="s">
        <v>166</v>
      </c>
      <c r="H249" s="81">
        <v>2015</v>
      </c>
      <c r="I249" s="48"/>
      <c r="J249" s="65"/>
    </row>
    <row r="250" spans="2:18" x14ac:dyDescent="0.2">
      <c r="B250" s="6">
        <f xml:space="preserve"> ROW( co_scalarInfo[[#This Row],[row_id]] ) - ROW( co_scalarInfo[[#Headers],[row_id]] )</f>
        <v>30</v>
      </c>
      <c r="C250" s="32" t="s">
        <v>710</v>
      </c>
      <c r="D250" s="26" t="s">
        <v>616</v>
      </c>
      <c r="E250" s="80" t="s">
        <v>140</v>
      </c>
      <c r="F250" s="80" t="s">
        <v>118</v>
      </c>
      <c r="G250" s="80" t="s">
        <v>166</v>
      </c>
      <c r="H250" s="81">
        <v>2015</v>
      </c>
      <c r="I250" s="48" t="s">
        <v>174</v>
      </c>
      <c r="J250" s="65"/>
    </row>
    <row r="251" spans="2:18" ht="22.5" x14ac:dyDescent="0.2">
      <c r="B251" s="6">
        <f xml:space="preserve"> ROW( co_scalarInfo[[#This Row],[row_id]] ) - ROW( co_scalarInfo[[#Headers],[row_id]] )</f>
        <v>31</v>
      </c>
      <c r="C251" s="28" t="s">
        <v>711</v>
      </c>
      <c r="D251" s="26" t="s">
        <v>672</v>
      </c>
      <c r="E251" s="80" t="s">
        <v>140</v>
      </c>
      <c r="F251" s="80" t="s">
        <v>118</v>
      </c>
      <c r="G251" s="80" t="s">
        <v>166</v>
      </c>
      <c r="H251" s="81">
        <v>2015</v>
      </c>
      <c r="I251" s="48" t="s">
        <v>174</v>
      </c>
      <c r="J251" s="65"/>
    </row>
    <row r="252" spans="2:18" ht="22.5" x14ac:dyDescent="0.2">
      <c r="B252" s="6">
        <f xml:space="preserve"> ROW( co_scalarInfo[[#This Row],[row_id]] ) - ROW( co_scalarInfo[[#Headers],[row_id]] )</f>
        <v>32</v>
      </c>
      <c r="C252" s="32" t="s">
        <v>712</v>
      </c>
      <c r="D252" s="26" t="s">
        <v>241</v>
      </c>
      <c r="E252" s="80" t="s">
        <v>140</v>
      </c>
      <c r="F252" s="80" t="s">
        <v>118</v>
      </c>
      <c r="G252" s="80" t="s">
        <v>166</v>
      </c>
      <c r="H252" s="81" t="s">
        <v>208</v>
      </c>
      <c r="I252" s="48" t="s">
        <v>174</v>
      </c>
      <c r="J252" s="65"/>
    </row>
    <row r="253" spans="2:18" x14ac:dyDescent="0.2">
      <c r="B253" s="6">
        <f xml:space="preserve"> ROW( co_scalarInfo[[#This Row],[row_id]] ) - ROW( co_scalarInfo[[#Headers],[row_id]] )</f>
        <v>33</v>
      </c>
      <c r="C253" s="32" t="s">
        <v>713</v>
      </c>
      <c r="D253" s="26" t="s">
        <v>343</v>
      </c>
      <c r="E253" s="80" t="s">
        <v>140</v>
      </c>
      <c r="F253" s="80" t="s">
        <v>118</v>
      </c>
      <c r="G253" s="80" t="s">
        <v>166</v>
      </c>
      <c r="H253" s="81">
        <v>2015</v>
      </c>
      <c r="I253" s="48"/>
      <c r="J253" s="65"/>
    </row>
    <row r="254" spans="2:18" x14ac:dyDescent="0.2">
      <c r="B254" s="6">
        <f xml:space="preserve"> ROW( co_scalarInfo[[#This Row],[row_id]] ) - ROW( co_scalarInfo[[#Headers],[row_id]] )</f>
        <v>34</v>
      </c>
      <c r="C254" s="26" t="s">
        <v>714</v>
      </c>
      <c r="D254" s="26" t="s">
        <v>16</v>
      </c>
      <c r="E254" s="80" t="s">
        <v>140</v>
      </c>
      <c r="F254" s="80" t="s">
        <v>118</v>
      </c>
      <c r="G254" s="80" t="s">
        <v>166</v>
      </c>
      <c r="H254" s="80">
        <v>2010</v>
      </c>
      <c r="I254" s="48" t="s">
        <v>174</v>
      </c>
      <c r="J254" s="65"/>
    </row>
    <row r="255" spans="2:18" x14ac:dyDescent="0.2">
      <c r="B255" s="6">
        <f xml:space="preserve"> ROW( co_scalarInfo[[#This Row],[row_id]] ) - ROW( co_scalarInfo[[#Headers],[row_id]] )</f>
        <v>35</v>
      </c>
      <c r="C255" s="32" t="s">
        <v>715</v>
      </c>
      <c r="D255" s="26" t="s">
        <v>617</v>
      </c>
      <c r="E255" s="80" t="s">
        <v>140</v>
      </c>
      <c r="F255" s="80" t="s">
        <v>118</v>
      </c>
      <c r="G255" s="80" t="s">
        <v>166</v>
      </c>
      <c r="H255" s="80">
        <v>2015</v>
      </c>
      <c r="I255" s="48" t="s">
        <v>174</v>
      </c>
      <c r="J255" s="65"/>
    </row>
    <row r="256" spans="2:18" ht="22.5" x14ac:dyDescent="0.2">
      <c r="B256" s="6">
        <f xml:space="preserve"> ROW( co_scalarInfo[[#This Row],[row_id]] ) - ROW( co_scalarInfo[[#Headers],[row_id]] )</f>
        <v>36</v>
      </c>
      <c r="C256" s="28" t="s">
        <v>716</v>
      </c>
      <c r="D256" s="26" t="s">
        <v>667</v>
      </c>
      <c r="E256" s="80" t="s">
        <v>140</v>
      </c>
      <c r="F256" s="80" t="s">
        <v>118</v>
      </c>
      <c r="G256" s="80" t="s">
        <v>166</v>
      </c>
      <c r="H256" s="81">
        <v>2015</v>
      </c>
      <c r="I256" s="48" t="s">
        <v>174</v>
      </c>
      <c r="J256" s="65"/>
    </row>
    <row r="257" spans="2:10" x14ac:dyDescent="0.2">
      <c r="B257" s="6">
        <f xml:space="preserve"> ROW( co_scalarInfo[[#This Row],[row_id]] ) - ROW( co_scalarInfo[[#Headers],[row_id]] )</f>
        <v>37</v>
      </c>
      <c r="C257" s="32" t="s">
        <v>717</v>
      </c>
      <c r="D257" s="26" t="s">
        <v>105</v>
      </c>
      <c r="E257" s="80" t="s">
        <v>140</v>
      </c>
      <c r="F257" s="80" t="s">
        <v>118</v>
      </c>
      <c r="G257" s="80" t="s">
        <v>166</v>
      </c>
      <c r="H257" s="81">
        <v>2010</v>
      </c>
      <c r="I257" s="48" t="s">
        <v>174</v>
      </c>
      <c r="J257" s="65"/>
    </row>
    <row r="258" spans="2:10" x14ac:dyDescent="0.2">
      <c r="B258" s="6">
        <f xml:space="preserve"> ROW( co_scalarInfo[[#This Row],[row_id]] ) - ROW( co_scalarInfo[[#Headers],[row_id]] )</f>
        <v>38</v>
      </c>
      <c r="C258" s="32" t="s">
        <v>88</v>
      </c>
      <c r="D258" s="26" t="s">
        <v>179</v>
      </c>
      <c r="E258" s="80" t="s">
        <v>157</v>
      </c>
      <c r="F258" s="80" t="s">
        <v>118</v>
      </c>
      <c r="G258" s="80" t="s">
        <v>166</v>
      </c>
      <c r="H258" s="80" t="s">
        <v>38</v>
      </c>
      <c r="I258" s="48" t="s">
        <v>176</v>
      </c>
      <c r="J258" s="65" t="s">
        <v>180</v>
      </c>
    </row>
    <row r="259" spans="2:10" ht="22.5" x14ac:dyDescent="0.2">
      <c r="B259" s="6">
        <f xml:space="preserve"> ROW( co_scalarInfo[[#This Row],[row_id]] ) - ROW( co_scalarInfo[[#Headers],[row_id]] )</f>
        <v>39</v>
      </c>
      <c r="C259" s="32" t="s">
        <v>718</v>
      </c>
      <c r="D259" s="26" t="s">
        <v>238</v>
      </c>
      <c r="E259" s="80" t="s">
        <v>141</v>
      </c>
      <c r="F259" s="80" t="s">
        <v>118</v>
      </c>
      <c r="G259" s="80" t="s">
        <v>166</v>
      </c>
      <c r="H259" s="81" t="s">
        <v>208</v>
      </c>
      <c r="I259" s="48" t="s">
        <v>174</v>
      </c>
      <c r="J259" s="65"/>
    </row>
    <row r="260" spans="2:10" ht="22.5" x14ac:dyDescent="0.2">
      <c r="B260" s="6">
        <f xml:space="preserve"> ROW( co_scalarInfo[[#This Row],[row_id]] ) - ROW( co_scalarInfo[[#Headers],[row_id]] )</f>
        <v>40</v>
      </c>
      <c r="C260" s="32" t="s">
        <v>719</v>
      </c>
      <c r="D260" s="26" t="s">
        <v>237</v>
      </c>
      <c r="E260" s="80" t="s">
        <v>141</v>
      </c>
      <c r="F260" s="80" t="s">
        <v>118</v>
      </c>
      <c r="G260" s="80" t="s">
        <v>166</v>
      </c>
      <c r="H260" s="81" t="s">
        <v>208</v>
      </c>
      <c r="I260" s="48" t="s">
        <v>174</v>
      </c>
      <c r="J260" s="65"/>
    </row>
    <row r="261" spans="2:10" ht="22.5" x14ac:dyDescent="0.2">
      <c r="B261" s="6">
        <f xml:space="preserve"> ROW( co_scalarInfo[[#This Row],[row_id]] ) - ROW( co_scalarInfo[[#Headers],[row_id]] )</f>
        <v>41</v>
      </c>
      <c r="C261" s="32" t="s">
        <v>720</v>
      </c>
      <c r="D261" s="26" t="s">
        <v>239</v>
      </c>
      <c r="E261" s="80" t="s">
        <v>141</v>
      </c>
      <c r="F261" s="80" t="s">
        <v>118</v>
      </c>
      <c r="G261" s="80" t="s">
        <v>166</v>
      </c>
      <c r="H261" s="81" t="s">
        <v>208</v>
      </c>
      <c r="I261" s="48" t="s">
        <v>174</v>
      </c>
      <c r="J261" s="65"/>
    </row>
    <row r="262" spans="2:10" x14ac:dyDescent="0.2">
      <c r="B262" s="6">
        <f xml:space="preserve"> ROW( co_scalarInfo[[#This Row],[row_id]] ) - ROW( co_scalarInfo[[#Headers],[row_id]] )</f>
        <v>42</v>
      </c>
      <c r="C262" s="32" t="s">
        <v>721</v>
      </c>
      <c r="D262" s="26" t="s">
        <v>255</v>
      </c>
      <c r="E262" s="80" t="s">
        <v>142</v>
      </c>
      <c r="F262" s="80" t="s">
        <v>167</v>
      </c>
      <c r="G262" s="80" t="s">
        <v>166</v>
      </c>
      <c r="H262" s="81" t="s">
        <v>208</v>
      </c>
      <c r="I262" s="48" t="s">
        <v>174</v>
      </c>
      <c r="J262" s="65"/>
    </row>
    <row r="263" spans="2:10" x14ac:dyDescent="0.2">
      <c r="B263" s="6">
        <f xml:space="preserve"> ROW( co_scalarInfo[[#This Row],[row_id]] ) - ROW( co_scalarInfo[[#Headers],[row_id]] )</f>
        <v>43</v>
      </c>
      <c r="C263" s="32" t="s">
        <v>722</v>
      </c>
      <c r="D263" s="26" t="s">
        <v>95</v>
      </c>
      <c r="E263" s="80" t="s">
        <v>142</v>
      </c>
      <c r="F263" s="80" t="s">
        <v>167</v>
      </c>
      <c r="G263" s="80" t="s">
        <v>166</v>
      </c>
      <c r="H263" s="81" t="s">
        <v>208</v>
      </c>
      <c r="I263" s="48" t="s">
        <v>174</v>
      </c>
      <c r="J263" s="65"/>
    </row>
    <row r="264" spans="2:10" x14ac:dyDescent="0.2">
      <c r="B264" s="6">
        <f xml:space="preserve"> ROW( co_scalarInfo[[#This Row],[row_id]] ) - ROW( co_scalarInfo[[#Headers],[row_id]] )</f>
        <v>44</v>
      </c>
      <c r="C264" s="32" t="s">
        <v>88</v>
      </c>
      <c r="D264" s="26" t="s">
        <v>179</v>
      </c>
      <c r="E264" s="80" t="s">
        <v>142</v>
      </c>
      <c r="F264" s="80" t="s">
        <v>118</v>
      </c>
      <c r="G264" s="80" t="s">
        <v>166</v>
      </c>
      <c r="H264" s="80" t="s">
        <v>38</v>
      </c>
      <c r="I264" s="48" t="s">
        <v>176</v>
      </c>
      <c r="J264" s="65" t="s">
        <v>180</v>
      </c>
    </row>
    <row r="265" spans="2:10" x14ac:dyDescent="0.2">
      <c r="B265" s="6">
        <f xml:space="preserve"> ROW( co_scalarInfo[[#This Row],[row_id]] ) - ROW( co_scalarInfo[[#Headers],[row_id]] )</f>
        <v>45</v>
      </c>
      <c r="C265" s="32" t="s">
        <v>723</v>
      </c>
      <c r="D265" s="26" t="s">
        <v>52</v>
      </c>
      <c r="E265" s="80" t="s">
        <v>142</v>
      </c>
      <c r="F265" s="80" t="s">
        <v>118</v>
      </c>
      <c r="G265" s="80" t="s">
        <v>166</v>
      </c>
      <c r="H265" s="81">
        <v>2010</v>
      </c>
      <c r="I265" s="48" t="s">
        <v>174</v>
      </c>
      <c r="J265" s="65"/>
    </row>
    <row r="266" spans="2:10" x14ac:dyDescent="0.2">
      <c r="B266" s="6">
        <f xml:space="preserve"> ROW( co_scalarInfo[[#This Row],[row_id]] ) - ROW( co_scalarInfo[[#Headers],[row_id]] )</f>
        <v>46</v>
      </c>
      <c r="C266" s="32" t="s">
        <v>724</v>
      </c>
      <c r="D266" s="26" t="s">
        <v>48</v>
      </c>
      <c r="E266" s="80" t="s">
        <v>142</v>
      </c>
      <c r="F266" s="80" t="s">
        <v>167</v>
      </c>
      <c r="G266" s="80" t="s">
        <v>166</v>
      </c>
      <c r="H266" s="81" t="s">
        <v>208</v>
      </c>
      <c r="I266" s="48" t="s">
        <v>175</v>
      </c>
      <c r="J266" s="65"/>
    </row>
    <row r="267" spans="2:10" x14ac:dyDescent="0.2">
      <c r="B267" s="6">
        <f xml:space="preserve"> ROW( co_scalarInfo[[#This Row],[row_id]] ) - ROW( co_scalarInfo[[#Headers],[row_id]] )</f>
        <v>47</v>
      </c>
      <c r="C267" s="32" t="s">
        <v>725</v>
      </c>
      <c r="D267" s="26" t="s">
        <v>126</v>
      </c>
      <c r="E267" s="80" t="s">
        <v>142</v>
      </c>
      <c r="F267" s="80" t="s">
        <v>118</v>
      </c>
      <c r="G267" s="80" t="s">
        <v>166</v>
      </c>
      <c r="H267" s="81">
        <v>2010</v>
      </c>
      <c r="I267" s="48" t="s">
        <v>174</v>
      </c>
      <c r="J267" s="65"/>
    </row>
    <row r="268" spans="2:10" ht="33.75" x14ac:dyDescent="0.2">
      <c r="B268" s="6">
        <f xml:space="preserve"> ROW( co_scalarInfo[[#This Row],[row_id]] ) - ROW( co_scalarInfo[[#Headers],[row_id]] )</f>
        <v>48</v>
      </c>
      <c r="C268" s="32" t="s">
        <v>732</v>
      </c>
      <c r="D268" s="26" t="s">
        <v>733</v>
      </c>
      <c r="E268" s="80" t="s">
        <v>157</v>
      </c>
      <c r="F268" s="80" t="s">
        <v>167</v>
      </c>
      <c r="G268" s="80" t="s">
        <v>166</v>
      </c>
      <c r="H268" s="81" t="s">
        <v>208</v>
      </c>
      <c r="I268" s="48" t="s">
        <v>174</v>
      </c>
      <c r="J268" s="65"/>
    </row>
    <row r="269" spans="2:10" ht="56.25" x14ac:dyDescent="0.2">
      <c r="B269" s="6">
        <f xml:space="preserve"> ROW( co_scalarInfo[[#This Row],[row_id]] ) - ROW( co_scalarInfo[[#Headers],[row_id]] )</f>
        <v>49</v>
      </c>
      <c r="C269" s="32" t="s">
        <v>749</v>
      </c>
      <c r="D269" s="26" t="s">
        <v>748</v>
      </c>
      <c r="E269" s="80" t="s">
        <v>157</v>
      </c>
      <c r="F269" s="80" t="s">
        <v>167</v>
      </c>
      <c r="G269" s="80" t="s">
        <v>166</v>
      </c>
      <c r="H269" s="81" t="s">
        <v>208</v>
      </c>
      <c r="I269" s="48" t="s">
        <v>174</v>
      </c>
      <c r="J269" s="65"/>
    </row>
    <row r="270" spans="2:10" ht="22.5" x14ac:dyDescent="0.2">
      <c r="B270" s="6">
        <f xml:space="preserve"> ROW( co_scalarInfo[[#This Row],[row_id]] ) - ROW( co_scalarInfo[[#Headers],[row_id]] )</f>
        <v>50</v>
      </c>
      <c r="C270" s="32" t="s">
        <v>726</v>
      </c>
      <c r="D270" s="26" t="s">
        <v>670</v>
      </c>
      <c r="E270" s="80" t="s">
        <v>157</v>
      </c>
      <c r="F270" s="80" t="s">
        <v>167</v>
      </c>
      <c r="G270" s="80" t="s">
        <v>166</v>
      </c>
      <c r="H270" s="81" t="s">
        <v>208</v>
      </c>
      <c r="I270" s="48" t="s">
        <v>174</v>
      </c>
      <c r="J270" s="65"/>
    </row>
    <row r="271" spans="2:10" ht="22.5" x14ac:dyDescent="0.2">
      <c r="B271" s="6">
        <f xml:space="preserve"> ROW( co_scalarInfo[[#This Row],[row_id]] ) - ROW( co_scalarInfo[[#Headers],[row_id]] )</f>
        <v>51</v>
      </c>
      <c r="C271" s="32" t="s">
        <v>727</v>
      </c>
      <c r="D271" s="26" t="s">
        <v>671</v>
      </c>
      <c r="E271" s="80" t="s">
        <v>157</v>
      </c>
      <c r="F271" s="80" t="s">
        <v>167</v>
      </c>
      <c r="G271" s="80" t="s">
        <v>166</v>
      </c>
      <c r="H271" s="81" t="s">
        <v>208</v>
      </c>
      <c r="I271" s="48" t="s">
        <v>174</v>
      </c>
      <c r="J271" s="65"/>
    </row>
    <row r="272" spans="2:10" ht="45" x14ac:dyDescent="0.2">
      <c r="B272" s="6">
        <f xml:space="preserve"> ROW( co_scalarInfo[[#This Row],[row_id]] ) - ROW( co_scalarInfo[[#Headers],[row_id]] )</f>
        <v>52</v>
      </c>
      <c r="C272" s="32" t="s">
        <v>750</v>
      </c>
      <c r="D272" s="26" t="s">
        <v>751</v>
      </c>
      <c r="E272" s="80" t="s">
        <v>157</v>
      </c>
      <c r="F272" s="80" t="s">
        <v>167</v>
      </c>
      <c r="G272" s="80" t="s">
        <v>166</v>
      </c>
      <c r="H272" s="81" t="s">
        <v>208</v>
      </c>
      <c r="I272" s="48" t="s">
        <v>174</v>
      </c>
      <c r="J272" s="65"/>
    </row>
    <row r="273" spans="1:21" ht="45" x14ac:dyDescent="0.2">
      <c r="B273" s="6">
        <f xml:space="preserve"> ROW( co_scalarInfo[[#This Row],[row_id]] ) - ROW( co_scalarInfo[[#Headers],[row_id]] )</f>
        <v>53</v>
      </c>
      <c r="C273" s="32" t="s">
        <v>752</v>
      </c>
      <c r="D273" s="26" t="s">
        <v>753</v>
      </c>
      <c r="E273" s="80" t="s">
        <v>157</v>
      </c>
      <c r="F273" s="80" t="s">
        <v>167</v>
      </c>
      <c r="G273" s="80" t="s">
        <v>166</v>
      </c>
      <c r="H273" s="81" t="s">
        <v>208</v>
      </c>
      <c r="I273" s="48" t="s">
        <v>174</v>
      </c>
      <c r="J273" s="65"/>
    </row>
    <row r="274" spans="1:21" ht="45" x14ac:dyDescent="0.2">
      <c r="B274" s="6">
        <f xml:space="preserve"> ROW( co_scalarInfo[[#This Row],[row_id]] ) - ROW( co_scalarInfo[[#Headers],[row_id]] )</f>
        <v>54</v>
      </c>
      <c r="C274" s="32" t="s">
        <v>747</v>
      </c>
      <c r="D274" s="26" t="s">
        <v>746</v>
      </c>
      <c r="E274" s="80" t="s">
        <v>157</v>
      </c>
      <c r="F274" s="80" t="s">
        <v>167</v>
      </c>
      <c r="G274" s="80" t="s">
        <v>166</v>
      </c>
      <c r="H274" s="81" t="s">
        <v>208</v>
      </c>
      <c r="I274" s="48" t="s">
        <v>174</v>
      </c>
      <c r="J274" s="65"/>
    </row>
    <row r="275" spans="1:21" ht="33.75" x14ac:dyDescent="0.2">
      <c r="B275" s="6">
        <f xml:space="preserve"> ROW( co_scalarInfo[[#This Row],[row_id]] ) - ROW( co_scalarInfo[[#Headers],[row_id]] )</f>
        <v>55</v>
      </c>
      <c r="C275" s="32" t="s">
        <v>728</v>
      </c>
      <c r="D275" s="26" t="s">
        <v>641</v>
      </c>
      <c r="E275" s="80" t="s">
        <v>157</v>
      </c>
      <c r="F275" s="80" t="s">
        <v>167</v>
      </c>
      <c r="G275" s="80" t="s">
        <v>166</v>
      </c>
      <c r="H275" s="81" t="s">
        <v>208</v>
      </c>
      <c r="I275" s="48" t="s">
        <v>174</v>
      </c>
      <c r="J275" s="65"/>
    </row>
    <row r="276" spans="1:21" ht="22.5" x14ac:dyDescent="0.2">
      <c r="B276" s="6">
        <f xml:space="preserve"> ROW( co_scalarInfo[[#This Row],[row_id]] ) - ROW( co_scalarInfo[[#Headers],[row_id]] )</f>
        <v>56</v>
      </c>
      <c r="C276" s="26" t="s">
        <v>734</v>
      </c>
      <c r="D276" s="26" t="s">
        <v>739</v>
      </c>
      <c r="E276" s="80" t="s">
        <v>157</v>
      </c>
      <c r="F276" s="80" t="s">
        <v>167</v>
      </c>
      <c r="G276" s="80" t="s">
        <v>166</v>
      </c>
      <c r="H276" s="81" t="s">
        <v>208</v>
      </c>
      <c r="I276" s="48" t="s">
        <v>174</v>
      </c>
      <c r="J276" s="65"/>
    </row>
    <row r="277" spans="1:21" ht="22.5" x14ac:dyDescent="0.2">
      <c r="B277" s="6">
        <f xml:space="preserve"> ROW( co_scalarInfo[[#This Row],[row_id]] ) - ROW( co_scalarInfo[[#Headers],[row_id]] )</f>
        <v>57</v>
      </c>
      <c r="C277" s="26" t="s">
        <v>735</v>
      </c>
      <c r="D277" s="26" t="s">
        <v>740</v>
      </c>
      <c r="E277" s="80" t="s">
        <v>157</v>
      </c>
      <c r="F277" s="80" t="s">
        <v>167</v>
      </c>
      <c r="G277" s="80" t="s">
        <v>166</v>
      </c>
      <c r="H277" s="81" t="s">
        <v>208</v>
      </c>
      <c r="I277" s="48" t="s">
        <v>174</v>
      </c>
      <c r="J277" s="65"/>
    </row>
    <row r="278" spans="1:21" ht="22.5" x14ac:dyDescent="0.2">
      <c r="B278" s="6">
        <f xml:space="preserve"> ROW( co_scalarInfo[[#This Row],[row_id]] ) - ROW( co_scalarInfo[[#Headers],[row_id]] )</f>
        <v>58</v>
      </c>
      <c r="C278" s="26" t="s">
        <v>736</v>
      </c>
      <c r="D278" s="26" t="s">
        <v>741</v>
      </c>
      <c r="E278" s="80" t="s">
        <v>157</v>
      </c>
      <c r="F278" s="80" t="s">
        <v>167</v>
      </c>
      <c r="G278" s="80" t="s">
        <v>166</v>
      </c>
      <c r="H278" s="81" t="s">
        <v>208</v>
      </c>
      <c r="I278" s="48" t="s">
        <v>174</v>
      </c>
      <c r="J278" s="65"/>
    </row>
    <row r="279" spans="1:21" ht="22.5" x14ac:dyDescent="0.2">
      <c r="B279" s="6">
        <f xml:space="preserve"> ROW( co_scalarInfo[[#This Row],[row_id]] ) - ROW( co_scalarInfo[[#Headers],[row_id]] )</f>
        <v>59</v>
      </c>
      <c r="C279" s="32" t="s">
        <v>737</v>
      </c>
      <c r="D279" s="26" t="s">
        <v>742</v>
      </c>
      <c r="E279" s="80" t="s">
        <v>157</v>
      </c>
      <c r="F279" s="80" t="s">
        <v>167</v>
      </c>
      <c r="G279" s="80" t="s">
        <v>166</v>
      </c>
      <c r="H279" s="81" t="s">
        <v>208</v>
      </c>
      <c r="I279" s="48" t="s">
        <v>174</v>
      </c>
      <c r="J279" s="65"/>
    </row>
    <row r="280" spans="1:21" ht="33.75" x14ac:dyDescent="0.2">
      <c r="B280" s="6">
        <f xml:space="preserve"> ROW( co_scalarInfo[[#This Row],[row_id]] ) - ROW( co_scalarInfo[[#Headers],[row_id]] )</f>
        <v>60</v>
      </c>
      <c r="C280" s="32" t="s">
        <v>738</v>
      </c>
      <c r="D280" s="26" t="s">
        <v>743</v>
      </c>
      <c r="E280" s="80" t="s">
        <v>157</v>
      </c>
      <c r="F280" s="80" t="s">
        <v>167</v>
      </c>
      <c r="G280" s="80" t="s">
        <v>166</v>
      </c>
      <c r="H280" s="81" t="s">
        <v>208</v>
      </c>
      <c r="I280" s="48" t="s">
        <v>174</v>
      </c>
      <c r="J280" s="65"/>
    </row>
    <row r="281" spans="1:21" ht="33.75" x14ac:dyDescent="0.2">
      <c r="B281" s="6">
        <f xml:space="preserve"> ROW( co_scalarInfo[[#This Row],[row_id]] ) - ROW( co_scalarInfo[[#Headers],[row_id]] )</f>
        <v>61</v>
      </c>
      <c r="C281" s="32" t="s">
        <v>729</v>
      </c>
      <c r="D281" s="26" t="s">
        <v>618</v>
      </c>
      <c r="E281" s="80" t="s">
        <v>157</v>
      </c>
      <c r="F281" s="80" t="s">
        <v>167</v>
      </c>
      <c r="G281" s="80" t="s">
        <v>166</v>
      </c>
      <c r="H281" s="81">
        <v>2015</v>
      </c>
      <c r="I281" s="48" t="s">
        <v>174</v>
      </c>
      <c r="J281" s="65"/>
    </row>
    <row r="282" spans="1:21" ht="22.5" x14ac:dyDescent="0.2">
      <c r="B282" s="6">
        <f xml:space="preserve"> ROW( co_scalarInfo[[#This Row],[row_id]] ) - ROW( co_scalarInfo[[#Headers],[row_id]] )</f>
        <v>62</v>
      </c>
      <c r="C282" s="32" t="s">
        <v>730</v>
      </c>
      <c r="D282" s="26" t="s">
        <v>409</v>
      </c>
      <c r="E282" s="80" t="s">
        <v>141</v>
      </c>
      <c r="F282" s="80" t="s">
        <v>167</v>
      </c>
      <c r="G282" s="80" t="s">
        <v>166</v>
      </c>
      <c r="H282" s="81" t="s">
        <v>208</v>
      </c>
      <c r="I282" s="48"/>
      <c r="J282" s="65"/>
    </row>
    <row r="283" spans="1:21" ht="33.75" x14ac:dyDescent="0.2">
      <c r="B283" s="6">
        <f xml:space="preserve"> ROW( co_scalarInfo[[#This Row],[row_id]] ) - ROW( co_scalarInfo[[#Headers],[row_id]] )</f>
        <v>63</v>
      </c>
      <c r="C283" s="32" t="s">
        <v>731</v>
      </c>
      <c r="D283" s="26" t="s">
        <v>410</v>
      </c>
      <c r="E283" s="80" t="s">
        <v>157</v>
      </c>
      <c r="F283" s="80" t="s">
        <v>167</v>
      </c>
      <c r="G283" s="80" t="s">
        <v>166</v>
      </c>
      <c r="H283" s="81" t="s">
        <v>208</v>
      </c>
      <c r="I283" s="48"/>
      <c r="J283" s="65"/>
    </row>
    <row r="286" spans="1:21" ht="15" x14ac:dyDescent="0.25">
      <c r="A286" s="16"/>
      <c r="B286" s="17" t="s">
        <v>267</v>
      </c>
      <c r="C286" s="17"/>
      <c r="D286" s="17"/>
      <c r="E286" s="17"/>
      <c r="F286" s="17"/>
      <c r="G286" s="17"/>
      <c r="H286" s="17"/>
      <c r="I286" s="17"/>
      <c r="J286" s="17"/>
      <c r="K286" s="17"/>
      <c r="L286" s="17"/>
      <c r="M286" s="17"/>
      <c r="N286" s="17"/>
      <c r="O286" s="17"/>
      <c r="P286" s="17"/>
      <c r="Q286" s="17"/>
      <c r="R286" s="17"/>
      <c r="S286" s="17"/>
      <c r="T286" s="17"/>
      <c r="U286" s="17"/>
    </row>
    <row r="288" spans="1:21" x14ac:dyDescent="0.2">
      <c r="B288" s="29" t="s">
        <v>114</v>
      </c>
      <c r="C288" s="29" t="s">
        <v>181</v>
      </c>
      <c r="D288" s="29" t="s">
        <v>206</v>
      </c>
      <c r="E288" s="30" t="s">
        <v>143</v>
      </c>
    </row>
    <row r="289" spans="1:21" x14ac:dyDescent="0.2">
      <c r="B289" s="4">
        <f xml:space="preserve"> ROW( co_econMultipliers[[#This Row],[row_id]] ) - ROW( co_econMultipliers[[#Headers],[row_id]] )</f>
        <v>1</v>
      </c>
      <c r="C289" s="7" t="s">
        <v>170</v>
      </c>
      <c r="D289" s="44" t="s">
        <v>177</v>
      </c>
      <c r="E289" s="45">
        <v>2015</v>
      </c>
    </row>
    <row r="290" spans="1:21" x14ac:dyDescent="0.2">
      <c r="B290" s="4">
        <f xml:space="preserve"> ROW( co_econMultipliers[[#This Row],[row_id]] ) - ROW( co_econMultipliers[[#Headers],[row_id]] )</f>
        <v>2</v>
      </c>
      <c r="C290" s="7" t="s">
        <v>89</v>
      </c>
      <c r="D290" s="44" t="s">
        <v>178</v>
      </c>
      <c r="E290" s="45" t="s">
        <v>38</v>
      </c>
    </row>
    <row r="291" spans="1:21" x14ac:dyDescent="0.2">
      <c r="B291" s="4">
        <f xml:space="preserve"> ROW( co_econMultipliers[[#This Row],[row_id]] ) - ROW( co_econMultipliers[[#Headers],[row_id]] )</f>
        <v>3</v>
      </c>
      <c r="C291" s="7" t="s">
        <v>88</v>
      </c>
      <c r="D291" s="44" t="s">
        <v>179</v>
      </c>
      <c r="E291" s="45" t="s">
        <v>38</v>
      </c>
    </row>
    <row r="294" spans="1:21" ht="15" x14ac:dyDescent="0.25">
      <c r="A294" s="16"/>
      <c r="B294" s="17" t="s">
        <v>268</v>
      </c>
      <c r="C294" s="17"/>
      <c r="D294" s="17"/>
      <c r="E294" s="17"/>
      <c r="F294" s="17"/>
      <c r="G294" s="17"/>
      <c r="H294" s="17"/>
      <c r="I294" s="17"/>
      <c r="J294" s="17"/>
      <c r="K294" s="17"/>
      <c r="L294" s="17"/>
      <c r="M294" s="17"/>
      <c r="N294" s="17"/>
      <c r="O294" s="17"/>
      <c r="P294" s="17"/>
      <c r="Q294" s="17"/>
      <c r="R294" s="17"/>
      <c r="S294" s="17"/>
      <c r="T294" s="17"/>
      <c r="U294" s="17"/>
    </row>
    <row r="296" spans="1:21" x14ac:dyDescent="0.2">
      <c r="B296" s="29" t="s">
        <v>114</v>
      </c>
      <c r="C296" s="29" t="s">
        <v>118</v>
      </c>
      <c r="D296" s="29" t="s">
        <v>87</v>
      </c>
    </row>
    <row r="297" spans="1:21" x14ac:dyDescent="0.2">
      <c r="B297" s="4">
        <f xml:space="preserve"> ROW( co_constants[[#This Row],[row_id]] ) - ROW( co_constants[[#Headers],[row_id]] )</f>
        <v>1</v>
      </c>
      <c r="C297" s="7" t="s">
        <v>115</v>
      </c>
      <c r="D297" s="84">
        <f xml:space="preserve"> 10^9</f>
        <v>1000000000</v>
      </c>
    </row>
    <row r="298" spans="1:21" x14ac:dyDescent="0.2">
      <c r="B298" s="4">
        <f xml:space="preserve"> ROW( co_constants[[#This Row],[row_id]] ) - ROW( co_constants[[#Headers],[row_id]] )</f>
        <v>2</v>
      </c>
      <c r="C298" s="7" t="s">
        <v>116</v>
      </c>
      <c r="D298" s="84">
        <f xml:space="preserve"> 10^6</f>
        <v>1000000</v>
      </c>
    </row>
    <row r="299" spans="1:21" x14ac:dyDescent="0.2">
      <c r="B299" s="4">
        <f xml:space="preserve"> ROW( co_constants[[#This Row],[row_id]] ) - ROW( co_constants[[#Headers],[row_id]] )</f>
        <v>3</v>
      </c>
      <c r="C299" s="7" t="s">
        <v>117</v>
      </c>
      <c r="D299" s="84">
        <v>1000</v>
      </c>
    </row>
    <row r="302" spans="1:21" ht="15" x14ac:dyDescent="0.25">
      <c r="A302" s="16"/>
      <c r="B302" s="17" t="s">
        <v>517</v>
      </c>
      <c r="C302" s="17"/>
      <c r="D302" s="17"/>
      <c r="E302" s="17"/>
      <c r="F302" s="17"/>
      <c r="G302" s="17"/>
      <c r="H302" s="17"/>
      <c r="I302" s="17"/>
      <c r="J302" s="17"/>
      <c r="K302" s="17"/>
      <c r="L302" s="17"/>
      <c r="M302" s="17"/>
      <c r="N302" s="17"/>
      <c r="O302" s="17"/>
      <c r="P302" s="17"/>
      <c r="Q302" s="17"/>
      <c r="R302" s="17"/>
      <c r="S302" s="17"/>
      <c r="T302" s="17"/>
      <c r="U302" s="17"/>
    </row>
    <row r="303" spans="1:21" x14ac:dyDescent="0.2">
      <c r="B303" s="2" t="s">
        <v>518</v>
      </c>
    </row>
    <row r="305" spans="1:21" x14ac:dyDescent="0.2">
      <c r="B305" s="43" t="s">
        <v>114</v>
      </c>
      <c r="C305" s="29" t="s">
        <v>183</v>
      </c>
      <c r="D305" s="30" t="s">
        <v>192</v>
      </c>
      <c r="E305" s="29" t="s">
        <v>123</v>
      </c>
      <c r="F305" s="29" t="s">
        <v>181</v>
      </c>
      <c r="G305" s="29" t="s">
        <v>99</v>
      </c>
      <c r="H305" s="29" t="s">
        <v>100</v>
      </c>
      <c r="I305" s="29" t="s">
        <v>519</v>
      </c>
      <c r="J305" s="29" t="s">
        <v>520</v>
      </c>
    </row>
    <row r="306" spans="1:21" x14ac:dyDescent="0.2">
      <c r="B306" s="4">
        <f xml:space="preserve"> ROW( co_slrScalars[[#This Row],[row_id]] ) - ROW( co_slrScalars[[#Headers],[row_id]] )</f>
        <v>1</v>
      </c>
      <c r="C306" s="44" t="s">
        <v>21</v>
      </c>
      <c r="D306" s="47" t="s">
        <v>190</v>
      </c>
      <c r="E306" s="44" t="s">
        <v>84</v>
      </c>
      <c r="F306" s="44" t="s">
        <v>89</v>
      </c>
      <c r="G306" s="44">
        <v>1</v>
      </c>
      <c r="H306" s="44">
        <v>0.45</v>
      </c>
      <c r="I306" s="44">
        <v>0</v>
      </c>
      <c r="J306" s="44">
        <v>2100</v>
      </c>
    </row>
    <row r="307" spans="1:21" x14ac:dyDescent="0.2">
      <c r="B307" s="4">
        <f xml:space="preserve"> ROW( co_slrScalars[[#This Row],[row_id]] ) - ROW( co_slrScalars[[#Headers],[row_id]] )</f>
        <v>2</v>
      </c>
      <c r="C307" s="44" t="s">
        <v>58</v>
      </c>
      <c r="D307" s="47" t="s">
        <v>190</v>
      </c>
      <c r="E307" s="44" t="s">
        <v>84</v>
      </c>
      <c r="F307" s="44" t="s">
        <v>170</v>
      </c>
      <c r="G307" s="44">
        <v>0.16250000000000001</v>
      </c>
      <c r="H307" s="44">
        <v>1</v>
      </c>
      <c r="I307" s="44">
        <v>0.83750000000000002</v>
      </c>
      <c r="J307" s="44">
        <v>2100</v>
      </c>
    </row>
    <row r="309" spans="1:21" ht="15" x14ac:dyDescent="0.25">
      <c r="A309" s="16"/>
      <c r="B309" s="17" t="s">
        <v>265</v>
      </c>
      <c r="C309" s="17"/>
      <c r="D309" s="17"/>
      <c r="E309" s="17"/>
      <c r="F309" s="17"/>
      <c r="G309" s="17"/>
      <c r="H309" s="17"/>
      <c r="I309" s="17"/>
      <c r="J309" s="17"/>
      <c r="K309" s="17"/>
      <c r="L309" s="17"/>
      <c r="M309" s="17"/>
      <c r="N309" s="17"/>
      <c r="O309" s="17"/>
      <c r="P309" s="17"/>
      <c r="Q309" s="17"/>
      <c r="R309" s="17"/>
      <c r="S309" s="17"/>
      <c r="T309" s="17"/>
      <c r="U309" s="17"/>
    </row>
    <row r="311" spans="1:21" x14ac:dyDescent="0.2">
      <c r="B311" s="37" t="s">
        <v>114</v>
      </c>
      <c r="C311" s="37" t="s">
        <v>214</v>
      </c>
      <c r="D311" s="37" t="s">
        <v>215</v>
      </c>
      <c r="E311" s="39" t="s">
        <v>282</v>
      </c>
      <c r="F311" s="39" t="s">
        <v>219</v>
      </c>
      <c r="G311" s="38" t="s">
        <v>220</v>
      </c>
      <c r="H311" s="38" t="s">
        <v>222</v>
      </c>
      <c r="I311" s="36" t="s">
        <v>228</v>
      </c>
      <c r="J311" s="36" t="s">
        <v>227</v>
      </c>
      <c r="K311" s="36" t="s">
        <v>231</v>
      </c>
      <c r="L311" s="36" t="s">
        <v>232</v>
      </c>
    </row>
    <row r="312" spans="1:21" x14ac:dyDescent="0.2">
      <c r="B312" s="4">
        <f xml:space="preserve"> ROW( co_modelTypes[[#This Row],[row_id]] ) - ROW( co_modelTypes[[#Headers],[row_id]] )</f>
        <v>1</v>
      </c>
      <c r="C312" s="7" t="s">
        <v>145</v>
      </c>
      <c r="D312" s="7" t="s">
        <v>213</v>
      </c>
      <c r="E312" s="41" t="s">
        <v>283</v>
      </c>
      <c r="F312" s="41" t="s">
        <v>212</v>
      </c>
      <c r="G312" s="40" t="s">
        <v>221</v>
      </c>
      <c r="H312" s="40" t="s">
        <v>217</v>
      </c>
      <c r="I312" s="42">
        <v>1</v>
      </c>
      <c r="J312" s="42">
        <v>1995</v>
      </c>
      <c r="K312" s="42">
        <v>6</v>
      </c>
      <c r="L312" s="42">
        <v>30</v>
      </c>
    </row>
    <row r="313" spans="1:21" x14ac:dyDescent="0.2">
      <c r="B313" s="4">
        <f xml:space="preserve"> ROW( co_modelTypes[[#This Row],[row_id]] ) - ROW( co_modelTypes[[#Headers],[row_id]] )</f>
        <v>2</v>
      </c>
      <c r="C313" s="7" t="s">
        <v>144</v>
      </c>
      <c r="D313" s="7" t="s">
        <v>216</v>
      </c>
      <c r="E313" s="41" t="s">
        <v>144</v>
      </c>
      <c r="F313" s="41" t="s">
        <v>298</v>
      </c>
      <c r="G313" s="40" t="s">
        <v>218</v>
      </c>
      <c r="H313" s="40" t="s">
        <v>218</v>
      </c>
      <c r="I313" s="42">
        <v>25</v>
      </c>
      <c r="J313" s="42">
        <v>2000</v>
      </c>
      <c r="K313" s="42">
        <v>250</v>
      </c>
      <c r="L313" s="42">
        <v>1000</v>
      </c>
    </row>
    <row r="316" spans="1:21" ht="15" x14ac:dyDescent="0.25">
      <c r="A316" s="16"/>
      <c r="B316" s="17" t="s">
        <v>542</v>
      </c>
      <c r="C316" s="17"/>
      <c r="D316" s="17"/>
      <c r="E316" s="17"/>
      <c r="F316" s="17"/>
      <c r="G316" s="17"/>
      <c r="H316" s="17"/>
      <c r="I316" s="17"/>
      <c r="J316" s="17"/>
      <c r="K316" s="17"/>
      <c r="L316" s="17"/>
      <c r="M316" s="17"/>
      <c r="N316" s="17"/>
      <c r="O316" s="17"/>
      <c r="P316" s="17"/>
      <c r="Q316" s="17"/>
      <c r="R316" s="17"/>
      <c r="S316" s="17"/>
      <c r="T316" s="17"/>
      <c r="U316" s="17"/>
    </row>
    <row r="318" spans="1:21" x14ac:dyDescent="0.2">
      <c r="B318" s="43" t="s">
        <v>114</v>
      </c>
      <c r="C318" s="29" t="s">
        <v>171</v>
      </c>
      <c r="D318" s="29" t="s">
        <v>516</v>
      </c>
      <c r="E318" s="29" t="s">
        <v>163</v>
      </c>
      <c r="F318" s="30" t="s">
        <v>210</v>
      </c>
    </row>
    <row r="319" spans="1:21" x14ac:dyDescent="0.2">
      <c r="B319" s="4">
        <f xml:space="preserve"> ROW( co_models[[#This Row],[row_id]] ) - ROW( co_models[[#Headers],[row_id]] )</f>
        <v>1</v>
      </c>
      <c r="C319" s="89" t="str">
        <f xml:space="preserve"> SUBSTITUTE( SUBSTITUTE( co_models[[#This Row],[model_label]], " ", "" ), "-", "" )</f>
        <v>CanESM2</v>
      </c>
      <c r="D319" s="44">
        <v>6</v>
      </c>
      <c r="E319" s="44" t="s">
        <v>145</v>
      </c>
      <c r="F319" s="86" t="s">
        <v>0</v>
      </c>
    </row>
    <row r="320" spans="1:21" x14ac:dyDescent="0.2">
      <c r="B320" s="4">
        <f xml:space="preserve"> ROW( co_models[[#This Row],[row_id]] ) - ROW( co_models[[#Headers],[row_id]] )</f>
        <v>2</v>
      </c>
      <c r="C320" s="89" t="str">
        <f xml:space="preserve"> SUBSTITUTE( SUBSTITUTE( co_models[[#This Row],[model_label]], " ", "" ), "-", "" )</f>
        <v>CCSM4</v>
      </c>
      <c r="D320" s="44">
        <v>5</v>
      </c>
      <c r="E320" s="44" t="s">
        <v>145</v>
      </c>
      <c r="F320" s="86" t="s">
        <v>1</v>
      </c>
    </row>
    <row r="321" spans="1:21" x14ac:dyDescent="0.2">
      <c r="B321" s="4">
        <f xml:space="preserve"> ROW( co_models[[#This Row],[row_id]] ) - ROW( co_models[[#Headers],[row_id]] )</f>
        <v>3</v>
      </c>
      <c r="C321" s="89" t="str">
        <f xml:space="preserve"> SUBSTITUTE( SUBSTITUTE( co_models[[#This Row],[model_label]], " ", "" ), "-", "" )</f>
        <v>GISSE2R</v>
      </c>
      <c r="D321" s="44">
        <v>3</v>
      </c>
      <c r="E321" s="44" t="s">
        <v>145</v>
      </c>
      <c r="F321" s="86" t="s">
        <v>2</v>
      </c>
    </row>
    <row r="322" spans="1:21" x14ac:dyDescent="0.2">
      <c r="B322" s="4">
        <f xml:space="preserve"> ROW( co_models[[#This Row],[row_id]] ) - ROW( co_models[[#Headers],[row_id]] )</f>
        <v>4</v>
      </c>
      <c r="C322" s="89" t="str">
        <f xml:space="preserve"> SUBSTITUTE( SUBSTITUTE( co_models[[#This Row],[model_label]], " ", "" ), "-", "" )</f>
        <v>HadGEM2ES</v>
      </c>
      <c r="D322" s="44">
        <v>6</v>
      </c>
      <c r="E322" s="44" t="s">
        <v>145</v>
      </c>
      <c r="F322" s="86" t="s">
        <v>3</v>
      </c>
    </row>
    <row r="323" spans="1:21" x14ac:dyDescent="0.2">
      <c r="B323" s="4">
        <f xml:space="preserve"> ROW( co_models[[#This Row],[row_id]] ) - ROW( co_models[[#Headers],[row_id]] )</f>
        <v>5</v>
      </c>
      <c r="C323" s="89" t="str">
        <f xml:space="preserve"> SUBSTITUTE( SUBSTITUTE( co_models[[#This Row],[model_label]], " ", "" ), "-", "" )</f>
        <v>MIROC5</v>
      </c>
      <c r="D323" s="44">
        <v>5</v>
      </c>
      <c r="E323" s="44" t="s">
        <v>145</v>
      </c>
      <c r="F323" s="86" t="s">
        <v>4</v>
      </c>
    </row>
    <row r="324" spans="1:21" x14ac:dyDescent="0.2">
      <c r="B324" s="4">
        <f xml:space="preserve"> ROW( co_models[[#This Row],[row_id]] ) - ROW( co_models[[#Headers],[row_id]] )</f>
        <v>6</v>
      </c>
      <c r="C324" s="89" t="str">
        <f xml:space="preserve"> SUBSTITUTE( SUBSTITUTE( co_models[[#This Row],[model_label]], " ", "" ), "-", "" )</f>
        <v>GFDLCM3</v>
      </c>
      <c r="D324" s="44">
        <v>6</v>
      </c>
      <c r="E324" s="44" t="s">
        <v>145</v>
      </c>
      <c r="F324" s="86" t="s">
        <v>5</v>
      </c>
    </row>
    <row r="325" spans="1:21" x14ac:dyDescent="0.2">
      <c r="B325" s="4">
        <f xml:space="preserve"> ROW( co_models[[#This Row],[row_id]] ) - ROW( co_models[[#Headers],[row_id]] )</f>
        <v>7</v>
      </c>
      <c r="C325" s="89" t="str">
        <f xml:space="preserve"> SUBSTITUTE( SUBSTITUTE( co_models[[#This Row],[model_label]], " ", "" ), "-", "" )</f>
        <v>MRICGCM3</v>
      </c>
      <c r="D325" s="44">
        <v>3</v>
      </c>
      <c r="E325" s="44" t="s">
        <v>145</v>
      </c>
      <c r="F325" s="86" t="s">
        <v>316</v>
      </c>
    </row>
    <row r="326" spans="1:21" x14ac:dyDescent="0.2">
      <c r="B326" s="4">
        <f xml:space="preserve"> ROW( co_models[[#This Row],[row_id]] ) - ROW( co_models[[#Headers],[row_id]] )</f>
        <v>8</v>
      </c>
      <c r="C326" s="89" t="str">
        <f xml:space="preserve"> SUBSTITUTE( SUBSTITUTE( co_models[[#This Row],[model_label]], " ", "" ), "-", "" )</f>
        <v>GCMEnsemble</v>
      </c>
      <c r="D326" s="44">
        <v>5</v>
      </c>
      <c r="E326" s="44" t="s">
        <v>145</v>
      </c>
      <c r="F326" s="86" t="s">
        <v>314</v>
      </c>
    </row>
    <row r="327" spans="1:21" x14ac:dyDescent="0.2">
      <c r="B327" s="4">
        <f xml:space="preserve"> ROW( co_models[[#This Row],[row_id]] ) - ROW( co_models[[#Headers],[row_id]] )</f>
        <v>9</v>
      </c>
      <c r="C327" s="89" t="str">
        <f xml:space="preserve"> SUBSTITUTE( SUBSTITUTE( co_models[[#This Row],[model_label]], " ", "" ), "-", "" )</f>
        <v>30cm</v>
      </c>
      <c r="D327" s="44">
        <v>250</v>
      </c>
      <c r="E327" s="44" t="s">
        <v>144</v>
      </c>
      <c r="F327" s="86" t="s">
        <v>543</v>
      </c>
    </row>
    <row r="328" spans="1:21" x14ac:dyDescent="0.2">
      <c r="B328" s="4">
        <f xml:space="preserve"> ROW( co_models[[#This Row],[row_id]] ) - ROW( co_models[[#Headers],[row_id]] )</f>
        <v>10</v>
      </c>
      <c r="C328" s="89" t="str">
        <f xml:space="preserve"> SUBSTITUTE( SUBSTITUTE( co_models[[#This Row],[model_label]], " ", "" ), "-", "" )</f>
        <v>50cm</v>
      </c>
      <c r="D328" s="44">
        <v>250</v>
      </c>
      <c r="E328" s="44" t="s">
        <v>144</v>
      </c>
      <c r="F328" s="86" t="s">
        <v>544</v>
      </c>
    </row>
    <row r="329" spans="1:21" x14ac:dyDescent="0.2">
      <c r="B329" s="4">
        <f xml:space="preserve"> ROW( co_models[[#This Row],[row_id]] ) - ROW( co_models[[#Headers],[row_id]] )</f>
        <v>11</v>
      </c>
      <c r="C329" s="89" t="str">
        <f xml:space="preserve"> SUBSTITUTE( SUBSTITUTE( co_models[[#This Row],[model_label]], " ", "" ), "-", "" )</f>
        <v>100cm</v>
      </c>
      <c r="D329" s="44">
        <v>250</v>
      </c>
      <c r="E329" s="44" t="s">
        <v>144</v>
      </c>
      <c r="F329" s="86" t="s">
        <v>545</v>
      </c>
    </row>
    <row r="330" spans="1:21" x14ac:dyDescent="0.2">
      <c r="B330" s="4">
        <f xml:space="preserve"> ROW( co_models[[#This Row],[row_id]] ) - ROW( co_models[[#Headers],[row_id]] )</f>
        <v>12</v>
      </c>
      <c r="C330" s="89" t="str">
        <f xml:space="preserve"> SUBSTITUTE( SUBSTITUTE( co_models[[#This Row],[model_label]], " ", "" ), "-", "" )</f>
        <v>150cm</v>
      </c>
      <c r="D330" s="44">
        <v>250</v>
      </c>
      <c r="E330" s="44" t="s">
        <v>144</v>
      </c>
      <c r="F330" s="86" t="s">
        <v>546</v>
      </c>
    </row>
    <row r="331" spans="1:21" x14ac:dyDescent="0.2">
      <c r="B331" s="4">
        <f xml:space="preserve"> ROW( co_models[[#This Row],[row_id]] ) - ROW( co_models[[#Headers],[row_id]] )</f>
        <v>13</v>
      </c>
      <c r="C331" s="89" t="str">
        <f xml:space="preserve"> SUBSTITUTE( SUBSTITUTE( co_models[[#This Row],[model_label]], " ", "" ), "-", "" )</f>
        <v>200cm</v>
      </c>
      <c r="D331" s="44">
        <v>250</v>
      </c>
      <c r="E331" s="44" t="s">
        <v>144</v>
      </c>
      <c r="F331" s="86" t="s">
        <v>547</v>
      </c>
    </row>
    <row r="332" spans="1:21" x14ac:dyDescent="0.2">
      <c r="B332" s="4">
        <f xml:space="preserve"> ROW( co_models[[#This Row],[row_id]] ) - ROW( co_models[[#Headers],[row_id]] )</f>
        <v>14</v>
      </c>
      <c r="C332" s="89" t="str">
        <f xml:space="preserve"> SUBSTITUTE( SUBSTITUTE( co_models[[#This Row],[model_label]], " ", "" ), "-", "" )</f>
        <v>250cm</v>
      </c>
      <c r="D332" s="44">
        <v>250</v>
      </c>
      <c r="E332" s="44" t="s">
        <v>144</v>
      </c>
      <c r="F332" s="86" t="s">
        <v>548</v>
      </c>
    </row>
    <row r="335" spans="1:21" ht="15" x14ac:dyDescent="0.25">
      <c r="A335" s="16"/>
      <c r="B335" s="17" t="s">
        <v>281</v>
      </c>
      <c r="C335" s="17"/>
      <c r="D335" s="17"/>
      <c r="E335" s="17"/>
      <c r="F335" s="17"/>
      <c r="G335" s="17"/>
      <c r="H335" s="17"/>
      <c r="I335" s="17"/>
      <c r="J335" s="17"/>
      <c r="K335" s="17"/>
      <c r="L335" s="17"/>
      <c r="M335" s="17"/>
      <c r="N335" s="17"/>
      <c r="O335" s="17"/>
      <c r="P335" s="17"/>
      <c r="Q335" s="17"/>
      <c r="R335" s="17"/>
      <c r="S335" s="17"/>
      <c r="T335" s="17"/>
      <c r="U335" s="17"/>
    </row>
    <row r="337" spans="1:21" x14ac:dyDescent="0.2">
      <c r="B337" s="29" t="s">
        <v>114</v>
      </c>
      <c r="C337" s="29" t="s">
        <v>282</v>
      </c>
      <c r="D337" s="29" t="s">
        <v>286</v>
      </c>
      <c r="E337" s="29" t="s">
        <v>291</v>
      </c>
      <c r="F337" s="31" t="s">
        <v>288</v>
      </c>
      <c r="G337" s="31" t="s">
        <v>296</v>
      </c>
      <c r="H337" s="31" t="s">
        <v>297</v>
      </c>
      <c r="I337" s="31" t="s">
        <v>299</v>
      </c>
      <c r="J337" s="31" t="s">
        <v>55</v>
      </c>
    </row>
    <row r="338" spans="1:21" x14ac:dyDescent="0.2">
      <c r="B338" s="4">
        <f xml:space="preserve"> ROW( co_inputInfo[[#This Row],[row_id]] ) - ROW( co_inputInfo[[#Headers],[row_id]] )</f>
        <v>1</v>
      </c>
      <c r="C338" s="7" t="s">
        <v>283</v>
      </c>
      <c r="D338" s="44" t="s">
        <v>211</v>
      </c>
      <c r="E338" s="44" t="s">
        <v>292</v>
      </c>
      <c r="F338" s="27" t="s">
        <v>217</v>
      </c>
      <c r="G338" s="27">
        <v>0</v>
      </c>
      <c r="H338" s="27"/>
      <c r="I338" s="27" t="s">
        <v>300</v>
      </c>
      <c r="J338" s="27">
        <v>0</v>
      </c>
    </row>
    <row r="339" spans="1:21" x14ac:dyDescent="0.2">
      <c r="B339" s="4">
        <f xml:space="preserve"> ROW( co_inputInfo[[#This Row],[row_id]] ) - ROW( co_inputInfo[[#Headers],[row_id]] )</f>
        <v>2</v>
      </c>
      <c r="C339" s="7" t="s">
        <v>144</v>
      </c>
      <c r="D339" s="44" t="s">
        <v>216</v>
      </c>
      <c r="E339" s="44" t="s">
        <v>293</v>
      </c>
      <c r="F339" s="27" t="s">
        <v>218</v>
      </c>
      <c r="G339" s="27">
        <v>0</v>
      </c>
      <c r="H339" s="27"/>
      <c r="I339" s="27" t="s">
        <v>301</v>
      </c>
      <c r="J339" s="27">
        <v>0</v>
      </c>
    </row>
    <row r="340" spans="1:21" x14ac:dyDescent="0.2">
      <c r="B340" s="4">
        <f xml:space="preserve"> ROW( co_inputInfo[[#This Row],[row_id]] ) - ROW( co_inputInfo[[#Headers],[row_id]] )</f>
        <v>3</v>
      </c>
      <c r="C340" s="7" t="s">
        <v>284</v>
      </c>
      <c r="D340" s="44" t="s">
        <v>287</v>
      </c>
      <c r="E340" s="44" t="s">
        <v>294</v>
      </c>
      <c r="F340" s="27" t="s">
        <v>289</v>
      </c>
      <c r="G340" s="27">
        <v>0</v>
      </c>
      <c r="H340" s="27" t="str">
        <f xml:space="preserve"> IF( ISNA( MATCH( co_inputInfo[[#This Row],[inputType]], co_modelTypes[inputName], 0 ) ), "", INDEX( co_modelTypes[modelMaxExtrap], MATCH( co_inputInfo[[#This Row],[inputType]], co_modelTypes[inputName], 0 ) ) )</f>
        <v/>
      </c>
      <c r="I340" s="27" t="s">
        <v>170</v>
      </c>
      <c r="J340" s="27">
        <v>0</v>
      </c>
    </row>
    <row r="341" spans="1:21" x14ac:dyDescent="0.2">
      <c r="B341" s="4">
        <f xml:space="preserve"> ROW( co_inputInfo[[#This Row],[row_id]] ) - ROW( co_inputInfo[[#Headers],[row_id]] )</f>
        <v>4</v>
      </c>
      <c r="C341" s="7" t="s">
        <v>285</v>
      </c>
      <c r="D341" s="44" t="s">
        <v>541</v>
      </c>
      <c r="E341" s="44" t="s">
        <v>295</v>
      </c>
      <c r="F341" s="27" t="s">
        <v>290</v>
      </c>
      <c r="G341" s="27">
        <v>0</v>
      </c>
      <c r="H341" s="27" t="str">
        <f xml:space="preserve"> IF( ISNA( MATCH( co_inputInfo[[#This Row],[inputType]], co_modelTypes[inputName], 0 ) ), "", INDEX( co_modelTypes[modelMaxExtrap], MATCH( co_inputInfo[[#This Row],[inputType]], co_modelTypes[inputName], 0 ) ) )</f>
        <v/>
      </c>
      <c r="I341" s="27" t="s">
        <v>285</v>
      </c>
      <c r="J341" s="27">
        <v>1</v>
      </c>
    </row>
    <row r="344" spans="1:21" ht="15" x14ac:dyDescent="0.25">
      <c r="A344" s="16"/>
      <c r="B344" s="17" t="s">
        <v>69</v>
      </c>
      <c r="C344" s="17"/>
      <c r="D344" s="17"/>
      <c r="E344" s="17"/>
      <c r="F344" s="17"/>
      <c r="G344" s="17"/>
      <c r="H344" s="17"/>
      <c r="I344" s="17"/>
      <c r="J344" s="17"/>
      <c r="K344" s="17"/>
      <c r="L344" s="17"/>
      <c r="M344" s="17"/>
      <c r="N344" s="17"/>
      <c r="O344" s="17"/>
      <c r="P344" s="17"/>
      <c r="Q344" s="17"/>
      <c r="R344" s="17"/>
      <c r="S344" s="17"/>
      <c r="T344" s="17"/>
      <c r="U344" s="17"/>
    </row>
    <row r="346" spans="1:21" x14ac:dyDescent="0.2">
      <c r="B346" s="43" t="s">
        <v>114</v>
      </c>
      <c r="C346" s="29" t="s">
        <v>70</v>
      </c>
      <c r="D346" s="30" t="s">
        <v>562</v>
      </c>
      <c r="E346" s="2"/>
    </row>
    <row r="347" spans="1:21" x14ac:dyDescent="0.2">
      <c r="B347" s="4">
        <f xml:space="preserve"> ROW( co_regions[[#This Row],[row_id]] ) - ROW( co_regions[[#Headers],[row_id]] )</f>
        <v>1</v>
      </c>
      <c r="C347" s="44" t="s">
        <v>6</v>
      </c>
      <c r="D347" s="30" t="str">
        <f xml:space="preserve"> SUBSTITUTE( co_regions[[#This Row],[region_label]], " ", "" )</f>
        <v>Midwest</v>
      </c>
      <c r="E347" s="2"/>
    </row>
    <row r="348" spans="1:21" x14ac:dyDescent="0.2">
      <c r="B348" s="4">
        <f xml:space="preserve"> ROW( co_regions[[#This Row],[row_id]] ) - ROW( co_regions[[#Headers],[row_id]] )</f>
        <v>2</v>
      </c>
      <c r="C348" s="44" t="s">
        <v>7</v>
      </c>
      <c r="D348" s="30" t="str">
        <f xml:space="preserve"> SUBSTITUTE( co_regions[[#This Row],[region_label]], " ", "" )</f>
        <v>Northeast</v>
      </c>
      <c r="E348" s="2"/>
    </row>
    <row r="349" spans="1:21" x14ac:dyDescent="0.2">
      <c r="B349" s="4">
        <f xml:space="preserve"> ROW( co_regions[[#This Row],[row_id]] ) - ROW( co_regions[[#Headers],[row_id]] )</f>
        <v>3</v>
      </c>
      <c r="C349" s="44" t="s">
        <v>8</v>
      </c>
      <c r="D349" s="30" t="str">
        <f xml:space="preserve"> SUBSTITUTE( co_regions[[#This Row],[region_label]], " ", "" )</f>
        <v>NorthernPlains</v>
      </c>
      <c r="E349" s="2"/>
    </row>
    <row r="350" spans="1:21" x14ac:dyDescent="0.2">
      <c r="B350" s="4">
        <f xml:space="preserve"> ROW( co_regions[[#This Row],[row_id]] ) - ROW( co_regions[[#Headers],[row_id]] )</f>
        <v>4</v>
      </c>
      <c r="C350" s="44" t="s">
        <v>9</v>
      </c>
      <c r="D350" s="30" t="str">
        <f xml:space="preserve"> SUBSTITUTE( co_regions[[#This Row],[region_label]], " ", "" )</f>
        <v>Northwest</v>
      </c>
      <c r="E350" s="2"/>
    </row>
    <row r="351" spans="1:21" x14ac:dyDescent="0.2">
      <c r="B351" s="4">
        <f xml:space="preserve"> ROW( co_regions[[#This Row],[row_id]] ) - ROW( co_regions[[#Headers],[row_id]] )</f>
        <v>5</v>
      </c>
      <c r="C351" s="44" t="s">
        <v>10</v>
      </c>
      <c r="D351" s="30" t="str">
        <f xml:space="preserve"> SUBSTITUTE( co_regions[[#This Row],[region_label]], " ", "" )</f>
        <v>Southeast</v>
      </c>
      <c r="E351" s="2"/>
    </row>
    <row r="352" spans="1:21" x14ac:dyDescent="0.2">
      <c r="B352" s="4">
        <f xml:space="preserve"> ROW( co_regions[[#This Row],[row_id]] ) - ROW( co_regions[[#Headers],[row_id]] )</f>
        <v>6</v>
      </c>
      <c r="C352" s="44" t="s">
        <v>11</v>
      </c>
      <c r="D352" s="30" t="str">
        <f xml:space="preserve"> SUBSTITUTE( co_regions[[#This Row],[region_label]], " ", "" )</f>
        <v>SouthernPlains</v>
      </c>
      <c r="E352" s="2"/>
    </row>
    <row r="353" spans="1:21" x14ac:dyDescent="0.2">
      <c r="B353" s="4">
        <f xml:space="preserve"> ROW( co_regions[[#This Row],[row_id]] ) - ROW( co_regions[[#Headers],[row_id]] )</f>
        <v>7</v>
      </c>
      <c r="C353" s="44" t="s">
        <v>12</v>
      </c>
      <c r="D353" s="30" t="str">
        <f xml:space="preserve"> SUBSTITUTE( co_regions[[#This Row],[region_label]], " ", "" )</f>
        <v>Southwest</v>
      </c>
      <c r="E353" s="2"/>
    </row>
    <row r="356" spans="1:21" ht="15" x14ac:dyDescent="0.25">
      <c r="A356" s="16"/>
      <c r="B356" s="17" t="s">
        <v>412</v>
      </c>
      <c r="C356" s="17"/>
      <c r="D356" s="17"/>
      <c r="E356" s="17"/>
      <c r="F356" s="17"/>
      <c r="G356" s="17"/>
      <c r="H356" s="17"/>
      <c r="I356" s="17"/>
      <c r="J356" s="17"/>
      <c r="K356" s="17"/>
      <c r="L356" s="17"/>
      <c r="M356" s="17"/>
      <c r="N356" s="17"/>
      <c r="O356" s="17"/>
      <c r="P356" s="17"/>
      <c r="Q356" s="17"/>
      <c r="R356" s="17"/>
      <c r="S356" s="17"/>
      <c r="T356" s="17"/>
      <c r="U356" s="17"/>
    </row>
    <row r="358" spans="1:21" x14ac:dyDescent="0.2">
      <c r="B358" s="2" t="s">
        <v>114</v>
      </c>
      <c r="C358" s="2" t="s">
        <v>413</v>
      </c>
      <c r="D358" s="2" t="s">
        <v>414</v>
      </c>
      <c r="E358" s="2" t="s">
        <v>55</v>
      </c>
      <c r="F358" s="9" t="s">
        <v>415</v>
      </c>
    </row>
    <row r="359" spans="1:21" x14ac:dyDescent="0.2">
      <c r="B359" s="2">
        <f xml:space="preserve"> ROW( co_states[[#This Row],[row_id]] ) - ROW( co_states[[#Headers],[row_id]] )</f>
        <v>1</v>
      </c>
      <c r="C359" s="82" t="s">
        <v>416</v>
      </c>
      <c r="D359" s="82" t="s">
        <v>417</v>
      </c>
      <c r="E359" s="82" t="s">
        <v>10</v>
      </c>
      <c r="F359" s="83">
        <v>1</v>
      </c>
    </row>
    <row r="360" spans="1:21" x14ac:dyDescent="0.2">
      <c r="B360" s="2">
        <f xml:space="preserve"> ROW( co_states[[#This Row],[row_id]] ) - ROW( co_states[[#Headers],[row_id]] )</f>
        <v>2</v>
      </c>
      <c r="C360" s="82" t="s">
        <v>418</v>
      </c>
      <c r="D360" s="82" t="s">
        <v>419</v>
      </c>
      <c r="E360" s="82" t="s">
        <v>12</v>
      </c>
      <c r="F360" s="83">
        <v>4</v>
      </c>
    </row>
    <row r="361" spans="1:21" x14ac:dyDescent="0.2">
      <c r="B361" s="2">
        <f xml:space="preserve"> ROW( co_states[[#This Row],[row_id]] ) - ROW( co_states[[#Headers],[row_id]] )</f>
        <v>3</v>
      </c>
      <c r="C361" s="82" t="s">
        <v>420</v>
      </c>
      <c r="D361" s="82" t="s">
        <v>421</v>
      </c>
      <c r="E361" s="82" t="s">
        <v>10</v>
      </c>
      <c r="F361" s="83">
        <v>5</v>
      </c>
    </row>
    <row r="362" spans="1:21" x14ac:dyDescent="0.2">
      <c r="B362" s="2">
        <f xml:space="preserve"> ROW( co_states[[#This Row],[row_id]] ) - ROW( co_states[[#Headers],[row_id]] )</f>
        <v>4</v>
      </c>
      <c r="C362" s="82" t="s">
        <v>422</v>
      </c>
      <c r="D362" s="82" t="s">
        <v>423</v>
      </c>
      <c r="E362" s="82" t="s">
        <v>12</v>
      </c>
      <c r="F362" s="83">
        <v>6</v>
      </c>
    </row>
    <row r="363" spans="1:21" x14ac:dyDescent="0.2">
      <c r="B363" s="2">
        <f xml:space="preserve"> ROW( co_states[[#This Row],[row_id]] ) - ROW( co_states[[#Headers],[row_id]] )</f>
        <v>5</v>
      </c>
      <c r="C363" s="82" t="s">
        <v>424</v>
      </c>
      <c r="D363" s="82" t="s">
        <v>425</v>
      </c>
      <c r="E363" s="82" t="s">
        <v>12</v>
      </c>
      <c r="F363" s="83">
        <v>8</v>
      </c>
    </row>
    <row r="364" spans="1:21" x14ac:dyDescent="0.2">
      <c r="B364" s="2">
        <f xml:space="preserve"> ROW( co_states[[#This Row],[row_id]] ) - ROW( co_states[[#Headers],[row_id]] )</f>
        <v>6</v>
      </c>
      <c r="C364" s="82" t="s">
        <v>426</v>
      </c>
      <c r="D364" s="82" t="s">
        <v>427</v>
      </c>
      <c r="E364" s="82" t="s">
        <v>7</v>
      </c>
      <c r="F364" s="83">
        <v>9</v>
      </c>
    </row>
    <row r="365" spans="1:21" x14ac:dyDescent="0.2">
      <c r="B365" s="2">
        <f xml:space="preserve"> ROW( co_states[[#This Row],[row_id]] ) - ROW( co_states[[#Headers],[row_id]] )</f>
        <v>7</v>
      </c>
      <c r="C365" s="82" t="s">
        <v>428</v>
      </c>
      <c r="D365" s="82" t="s">
        <v>429</v>
      </c>
      <c r="E365" s="82" t="s">
        <v>7</v>
      </c>
      <c r="F365" s="83">
        <v>10</v>
      </c>
    </row>
    <row r="366" spans="1:21" x14ac:dyDescent="0.2">
      <c r="B366" s="2">
        <f xml:space="preserve"> ROW( co_states[[#This Row],[row_id]] ) - ROW( co_states[[#Headers],[row_id]] )</f>
        <v>8</v>
      </c>
      <c r="C366" s="82" t="s">
        <v>430</v>
      </c>
      <c r="D366" s="82" t="s">
        <v>431</v>
      </c>
      <c r="E366" s="82" t="s">
        <v>7</v>
      </c>
      <c r="F366" s="83">
        <v>11</v>
      </c>
    </row>
    <row r="367" spans="1:21" x14ac:dyDescent="0.2">
      <c r="B367" s="2">
        <f xml:space="preserve"> ROW( co_states[[#This Row],[row_id]] ) - ROW( co_states[[#Headers],[row_id]] )</f>
        <v>9</v>
      </c>
      <c r="C367" s="82" t="s">
        <v>432</v>
      </c>
      <c r="D367" s="82" t="s">
        <v>433</v>
      </c>
      <c r="E367" s="82" t="s">
        <v>10</v>
      </c>
      <c r="F367" s="83">
        <v>12</v>
      </c>
    </row>
    <row r="368" spans="1:21" x14ac:dyDescent="0.2">
      <c r="B368" s="2">
        <f xml:space="preserve"> ROW( co_states[[#This Row],[row_id]] ) - ROW( co_states[[#Headers],[row_id]] )</f>
        <v>10</v>
      </c>
      <c r="C368" s="82" t="s">
        <v>434</v>
      </c>
      <c r="D368" s="82" t="s">
        <v>435</v>
      </c>
      <c r="E368" s="82" t="s">
        <v>10</v>
      </c>
      <c r="F368" s="83">
        <v>13</v>
      </c>
    </row>
    <row r="369" spans="2:6" x14ac:dyDescent="0.2">
      <c r="B369" s="2">
        <f xml:space="preserve"> ROW( co_states[[#This Row],[row_id]] ) - ROW( co_states[[#Headers],[row_id]] )</f>
        <v>11</v>
      </c>
      <c r="C369" s="82" t="s">
        <v>436</v>
      </c>
      <c r="D369" s="82" t="s">
        <v>47</v>
      </c>
      <c r="E369" s="82" t="s">
        <v>9</v>
      </c>
      <c r="F369" s="83">
        <v>16</v>
      </c>
    </row>
    <row r="370" spans="2:6" x14ac:dyDescent="0.2">
      <c r="B370" s="2">
        <f xml:space="preserve"> ROW( co_states[[#This Row],[row_id]] ) - ROW( co_states[[#Headers],[row_id]] )</f>
        <v>12</v>
      </c>
      <c r="C370" s="82" t="s">
        <v>437</v>
      </c>
      <c r="D370" s="82" t="s">
        <v>438</v>
      </c>
      <c r="E370" s="82" t="s">
        <v>6</v>
      </c>
      <c r="F370" s="83">
        <v>17</v>
      </c>
    </row>
    <row r="371" spans="2:6" x14ac:dyDescent="0.2">
      <c r="B371" s="2">
        <f xml:space="preserve"> ROW( co_states[[#This Row],[row_id]] ) - ROW( co_states[[#Headers],[row_id]] )</f>
        <v>13</v>
      </c>
      <c r="C371" s="82" t="s">
        <v>439</v>
      </c>
      <c r="D371" s="82" t="s">
        <v>440</v>
      </c>
      <c r="E371" s="82" t="s">
        <v>6</v>
      </c>
      <c r="F371" s="83">
        <v>18</v>
      </c>
    </row>
    <row r="372" spans="2:6" x14ac:dyDescent="0.2">
      <c r="B372" s="2">
        <f xml:space="preserve"> ROW( co_states[[#This Row],[row_id]] ) - ROW( co_states[[#Headers],[row_id]] )</f>
        <v>14</v>
      </c>
      <c r="C372" s="82" t="s">
        <v>441</v>
      </c>
      <c r="D372" s="82" t="s">
        <v>442</v>
      </c>
      <c r="E372" s="82" t="s">
        <v>6</v>
      </c>
      <c r="F372" s="83">
        <v>19</v>
      </c>
    </row>
    <row r="373" spans="2:6" x14ac:dyDescent="0.2">
      <c r="B373" s="2">
        <f xml:space="preserve"> ROW( co_states[[#This Row],[row_id]] ) - ROW( co_states[[#Headers],[row_id]] )</f>
        <v>15</v>
      </c>
      <c r="C373" s="82" t="s">
        <v>443</v>
      </c>
      <c r="D373" s="82" t="s">
        <v>444</v>
      </c>
      <c r="E373" s="82" t="s">
        <v>11</v>
      </c>
      <c r="F373" s="83">
        <v>20</v>
      </c>
    </row>
    <row r="374" spans="2:6" x14ac:dyDescent="0.2">
      <c r="B374" s="2">
        <f xml:space="preserve"> ROW( co_states[[#This Row],[row_id]] ) - ROW( co_states[[#Headers],[row_id]] )</f>
        <v>16</v>
      </c>
      <c r="C374" s="82" t="s">
        <v>445</v>
      </c>
      <c r="D374" s="82" t="s">
        <v>446</v>
      </c>
      <c r="E374" s="82" t="s">
        <v>10</v>
      </c>
      <c r="F374" s="83">
        <v>21</v>
      </c>
    </row>
    <row r="375" spans="2:6" x14ac:dyDescent="0.2">
      <c r="B375" s="2">
        <f xml:space="preserve"> ROW( co_states[[#This Row],[row_id]] ) - ROW( co_states[[#Headers],[row_id]] )</f>
        <v>17</v>
      </c>
      <c r="C375" s="82" t="s">
        <v>447</v>
      </c>
      <c r="D375" s="82" t="s">
        <v>448</v>
      </c>
      <c r="E375" s="82" t="s">
        <v>10</v>
      </c>
      <c r="F375" s="83">
        <v>22</v>
      </c>
    </row>
    <row r="376" spans="2:6" x14ac:dyDescent="0.2">
      <c r="B376" s="2">
        <f xml:space="preserve"> ROW( co_states[[#This Row],[row_id]] ) - ROW( co_states[[#Headers],[row_id]] )</f>
        <v>18</v>
      </c>
      <c r="C376" s="82" t="s">
        <v>449</v>
      </c>
      <c r="D376" s="82" t="s">
        <v>450</v>
      </c>
      <c r="E376" s="82" t="s">
        <v>7</v>
      </c>
      <c r="F376" s="83">
        <v>23</v>
      </c>
    </row>
    <row r="377" spans="2:6" x14ac:dyDescent="0.2">
      <c r="B377" s="2">
        <f xml:space="preserve"> ROW( co_states[[#This Row],[row_id]] ) - ROW( co_states[[#Headers],[row_id]] )</f>
        <v>19</v>
      </c>
      <c r="C377" s="82" t="s">
        <v>451</v>
      </c>
      <c r="D377" s="82" t="s">
        <v>452</v>
      </c>
      <c r="E377" s="82" t="s">
        <v>7</v>
      </c>
      <c r="F377" s="83">
        <v>24</v>
      </c>
    </row>
    <row r="378" spans="2:6" x14ac:dyDescent="0.2">
      <c r="B378" s="2">
        <f xml:space="preserve"> ROW( co_states[[#This Row],[row_id]] ) - ROW( co_states[[#Headers],[row_id]] )</f>
        <v>20</v>
      </c>
      <c r="C378" s="82" t="s">
        <v>453</v>
      </c>
      <c r="D378" s="82" t="s">
        <v>454</v>
      </c>
      <c r="E378" s="82" t="s">
        <v>7</v>
      </c>
      <c r="F378" s="83">
        <v>25</v>
      </c>
    </row>
    <row r="379" spans="2:6" x14ac:dyDescent="0.2">
      <c r="B379" s="2">
        <f xml:space="preserve"> ROW( co_states[[#This Row],[row_id]] ) - ROW( co_states[[#Headers],[row_id]] )</f>
        <v>21</v>
      </c>
      <c r="C379" s="82" t="s">
        <v>455</v>
      </c>
      <c r="D379" s="82" t="s">
        <v>456</v>
      </c>
      <c r="E379" s="82" t="s">
        <v>6</v>
      </c>
      <c r="F379" s="83">
        <v>26</v>
      </c>
    </row>
    <row r="380" spans="2:6" x14ac:dyDescent="0.2">
      <c r="B380" s="2">
        <f xml:space="preserve"> ROW( co_states[[#This Row],[row_id]] ) - ROW( co_states[[#Headers],[row_id]] )</f>
        <v>22</v>
      </c>
      <c r="C380" s="82" t="s">
        <v>457</v>
      </c>
      <c r="D380" s="82" t="s">
        <v>458</v>
      </c>
      <c r="E380" s="82" t="s">
        <v>6</v>
      </c>
      <c r="F380" s="83">
        <v>27</v>
      </c>
    </row>
    <row r="381" spans="2:6" x14ac:dyDescent="0.2">
      <c r="B381" s="2">
        <f xml:space="preserve"> ROW( co_states[[#This Row],[row_id]] ) - ROW( co_states[[#Headers],[row_id]] )</f>
        <v>23</v>
      </c>
      <c r="C381" s="82" t="s">
        <v>459</v>
      </c>
      <c r="D381" s="82" t="s">
        <v>460</v>
      </c>
      <c r="E381" s="82" t="s">
        <v>10</v>
      </c>
      <c r="F381" s="83">
        <v>28</v>
      </c>
    </row>
    <row r="382" spans="2:6" x14ac:dyDescent="0.2">
      <c r="B382" s="2">
        <f xml:space="preserve"> ROW( co_states[[#This Row],[row_id]] ) - ROW( co_states[[#Headers],[row_id]] )</f>
        <v>24</v>
      </c>
      <c r="C382" s="82" t="s">
        <v>461</v>
      </c>
      <c r="D382" s="82" t="s">
        <v>462</v>
      </c>
      <c r="E382" s="82" t="s">
        <v>6</v>
      </c>
      <c r="F382" s="83">
        <v>29</v>
      </c>
    </row>
    <row r="383" spans="2:6" x14ac:dyDescent="0.2">
      <c r="B383" s="2">
        <f xml:space="preserve"> ROW( co_states[[#This Row],[row_id]] ) - ROW( co_states[[#Headers],[row_id]] )</f>
        <v>25</v>
      </c>
      <c r="C383" s="82" t="s">
        <v>463</v>
      </c>
      <c r="D383" s="82" t="s">
        <v>464</v>
      </c>
      <c r="E383" s="82" t="s">
        <v>8</v>
      </c>
      <c r="F383" s="83">
        <v>30</v>
      </c>
    </row>
    <row r="384" spans="2:6" x14ac:dyDescent="0.2">
      <c r="B384" s="2">
        <f xml:space="preserve"> ROW( co_states[[#This Row],[row_id]] ) - ROW( co_states[[#Headers],[row_id]] )</f>
        <v>26</v>
      </c>
      <c r="C384" s="82" t="s">
        <v>465</v>
      </c>
      <c r="D384" s="82" t="s">
        <v>466</v>
      </c>
      <c r="E384" s="82" t="s">
        <v>8</v>
      </c>
      <c r="F384" s="83">
        <v>31</v>
      </c>
    </row>
    <row r="385" spans="2:6" x14ac:dyDescent="0.2">
      <c r="B385" s="2">
        <f xml:space="preserve"> ROW( co_states[[#This Row],[row_id]] ) - ROW( co_states[[#Headers],[row_id]] )</f>
        <v>27</v>
      </c>
      <c r="C385" s="82" t="s">
        <v>467</v>
      </c>
      <c r="D385" s="82" t="s">
        <v>468</v>
      </c>
      <c r="E385" s="82" t="s">
        <v>12</v>
      </c>
      <c r="F385" s="83">
        <v>32</v>
      </c>
    </row>
    <row r="386" spans="2:6" x14ac:dyDescent="0.2">
      <c r="B386" s="2">
        <f xml:space="preserve"> ROW( co_states[[#This Row],[row_id]] ) - ROW( co_states[[#Headers],[row_id]] )</f>
        <v>28</v>
      </c>
      <c r="C386" s="82" t="s">
        <v>469</v>
      </c>
      <c r="D386" s="82" t="s">
        <v>470</v>
      </c>
      <c r="E386" s="82" t="s">
        <v>7</v>
      </c>
      <c r="F386" s="83">
        <v>33</v>
      </c>
    </row>
    <row r="387" spans="2:6" x14ac:dyDescent="0.2">
      <c r="B387" s="2">
        <f xml:space="preserve"> ROW( co_states[[#This Row],[row_id]] ) - ROW( co_states[[#Headers],[row_id]] )</f>
        <v>29</v>
      </c>
      <c r="C387" s="82" t="s">
        <v>471</v>
      </c>
      <c r="D387" s="82" t="s">
        <v>472</v>
      </c>
      <c r="E387" s="82" t="s">
        <v>7</v>
      </c>
      <c r="F387" s="83">
        <v>34</v>
      </c>
    </row>
    <row r="388" spans="2:6" x14ac:dyDescent="0.2">
      <c r="B388" s="2">
        <f xml:space="preserve"> ROW( co_states[[#This Row],[row_id]] ) - ROW( co_states[[#Headers],[row_id]] )</f>
        <v>30</v>
      </c>
      <c r="C388" s="82" t="s">
        <v>473</v>
      </c>
      <c r="D388" s="82" t="s">
        <v>474</v>
      </c>
      <c r="E388" s="82" t="s">
        <v>12</v>
      </c>
      <c r="F388" s="83">
        <v>35</v>
      </c>
    </row>
    <row r="389" spans="2:6" x14ac:dyDescent="0.2">
      <c r="B389" s="2">
        <f xml:space="preserve"> ROW( co_states[[#This Row],[row_id]] ) - ROW( co_states[[#Headers],[row_id]] )</f>
        <v>31</v>
      </c>
      <c r="C389" s="82" t="s">
        <v>475</v>
      </c>
      <c r="D389" s="82" t="s">
        <v>476</v>
      </c>
      <c r="E389" s="82" t="s">
        <v>7</v>
      </c>
      <c r="F389" s="83">
        <v>36</v>
      </c>
    </row>
    <row r="390" spans="2:6" x14ac:dyDescent="0.2">
      <c r="B390" s="2">
        <f xml:space="preserve"> ROW( co_states[[#This Row],[row_id]] ) - ROW( co_states[[#Headers],[row_id]] )</f>
        <v>32</v>
      </c>
      <c r="C390" s="82" t="s">
        <v>477</v>
      </c>
      <c r="D390" s="82" t="s">
        <v>478</v>
      </c>
      <c r="E390" s="82" t="s">
        <v>10</v>
      </c>
      <c r="F390" s="83">
        <v>37</v>
      </c>
    </row>
    <row r="391" spans="2:6" x14ac:dyDescent="0.2">
      <c r="B391" s="2">
        <f xml:space="preserve"> ROW( co_states[[#This Row],[row_id]] ) - ROW( co_states[[#Headers],[row_id]] )</f>
        <v>33</v>
      </c>
      <c r="C391" s="82" t="s">
        <v>479</v>
      </c>
      <c r="D391" s="82" t="s">
        <v>480</v>
      </c>
      <c r="E391" s="82" t="s">
        <v>8</v>
      </c>
      <c r="F391" s="83">
        <v>38</v>
      </c>
    </row>
    <row r="392" spans="2:6" x14ac:dyDescent="0.2">
      <c r="B392" s="2">
        <f xml:space="preserve"> ROW( co_states[[#This Row],[row_id]] ) - ROW( co_states[[#Headers],[row_id]] )</f>
        <v>34</v>
      </c>
      <c r="C392" s="82" t="s">
        <v>481</v>
      </c>
      <c r="D392" s="82" t="s">
        <v>482</v>
      </c>
      <c r="E392" s="82" t="s">
        <v>6</v>
      </c>
      <c r="F392" s="83">
        <v>39</v>
      </c>
    </row>
    <row r="393" spans="2:6" x14ac:dyDescent="0.2">
      <c r="B393" s="2">
        <f xml:space="preserve"> ROW( co_states[[#This Row],[row_id]] ) - ROW( co_states[[#Headers],[row_id]] )</f>
        <v>35</v>
      </c>
      <c r="C393" s="82" t="s">
        <v>483</v>
      </c>
      <c r="D393" s="82" t="s">
        <v>484</v>
      </c>
      <c r="E393" s="82" t="s">
        <v>11</v>
      </c>
      <c r="F393" s="83">
        <v>40</v>
      </c>
    </row>
    <row r="394" spans="2:6" x14ac:dyDescent="0.2">
      <c r="B394" s="2">
        <f xml:space="preserve"> ROW( co_states[[#This Row],[row_id]] ) - ROW( co_states[[#Headers],[row_id]] )</f>
        <v>36</v>
      </c>
      <c r="C394" s="82" t="s">
        <v>485</v>
      </c>
      <c r="D394" s="82" t="s">
        <v>486</v>
      </c>
      <c r="E394" s="82" t="s">
        <v>9</v>
      </c>
      <c r="F394" s="83">
        <v>41</v>
      </c>
    </row>
    <row r="395" spans="2:6" x14ac:dyDescent="0.2">
      <c r="B395" s="2">
        <f xml:space="preserve"> ROW( co_states[[#This Row],[row_id]] ) - ROW( co_states[[#Headers],[row_id]] )</f>
        <v>37</v>
      </c>
      <c r="C395" s="82" t="s">
        <v>487</v>
      </c>
      <c r="D395" s="82" t="s">
        <v>488</v>
      </c>
      <c r="E395" s="82" t="s">
        <v>7</v>
      </c>
      <c r="F395" s="83">
        <v>42</v>
      </c>
    </row>
    <row r="396" spans="2:6" x14ac:dyDescent="0.2">
      <c r="B396" s="2">
        <f xml:space="preserve"> ROW( co_states[[#This Row],[row_id]] ) - ROW( co_states[[#Headers],[row_id]] )</f>
        <v>38</v>
      </c>
      <c r="C396" s="82" t="s">
        <v>489</v>
      </c>
      <c r="D396" s="82" t="s">
        <v>490</v>
      </c>
      <c r="E396" s="82" t="s">
        <v>7</v>
      </c>
      <c r="F396" s="83">
        <v>44</v>
      </c>
    </row>
    <row r="397" spans="2:6" x14ac:dyDescent="0.2">
      <c r="B397" s="2">
        <f xml:space="preserve"> ROW( co_states[[#This Row],[row_id]] ) - ROW( co_states[[#Headers],[row_id]] )</f>
        <v>39</v>
      </c>
      <c r="C397" s="82" t="s">
        <v>491</v>
      </c>
      <c r="D397" s="82" t="s">
        <v>492</v>
      </c>
      <c r="E397" s="82" t="s">
        <v>10</v>
      </c>
      <c r="F397" s="83">
        <v>45</v>
      </c>
    </row>
    <row r="398" spans="2:6" x14ac:dyDescent="0.2">
      <c r="B398" s="2">
        <f xml:space="preserve"> ROW( co_states[[#This Row],[row_id]] ) - ROW( co_states[[#Headers],[row_id]] )</f>
        <v>40</v>
      </c>
      <c r="C398" s="82" t="s">
        <v>493</v>
      </c>
      <c r="D398" s="82" t="s">
        <v>494</v>
      </c>
      <c r="E398" s="82" t="s">
        <v>8</v>
      </c>
      <c r="F398" s="83">
        <v>46</v>
      </c>
    </row>
    <row r="399" spans="2:6" x14ac:dyDescent="0.2">
      <c r="B399" s="2">
        <f xml:space="preserve"> ROW( co_states[[#This Row],[row_id]] ) - ROW( co_states[[#Headers],[row_id]] )</f>
        <v>41</v>
      </c>
      <c r="C399" s="82" t="s">
        <v>495</v>
      </c>
      <c r="D399" s="82" t="s">
        <v>496</v>
      </c>
      <c r="E399" s="82" t="s">
        <v>10</v>
      </c>
      <c r="F399" s="83">
        <v>47</v>
      </c>
    </row>
    <row r="400" spans="2:6" x14ac:dyDescent="0.2">
      <c r="B400" s="2">
        <f xml:space="preserve"> ROW( co_states[[#This Row],[row_id]] ) - ROW( co_states[[#Headers],[row_id]] )</f>
        <v>42</v>
      </c>
      <c r="C400" s="82" t="s">
        <v>497</v>
      </c>
      <c r="D400" s="82" t="s">
        <v>498</v>
      </c>
      <c r="E400" s="82" t="s">
        <v>11</v>
      </c>
      <c r="F400" s="83">
        <v>48</v>
      </c>
    </row>
    <row r="401" spans="2:6" x14ac:dyDescent="0.2">
      <c r="B401" s="2">
        <f xml:space="preserve"> ROW( co_states[[#This Row],[row_id]] ) - ROW( co_states[[#Headers],[row_id]] )</f>
        <v>43</v>
      </c>
      <c r="C401" s="82" t="s">
        <v>499</v>
      </c>
      <c r="D401" s="82" t="s">
        <v>500</v>
      </c>
      <c r="E401" s="82" t="s">
        <v>12</v>
      </c>
      <c r="F401" s="83">
        <v>49</v>
      </c>
    </row>
    <row r="402" spans="2:6" x14ac:dyDescent="0.2">
      <c r="B402" s="2">
        <f xml:space="preserve"> ROW( co_states[[#This Row],[row_id]] ) - ROW( co_states[[#Headers],[row_id]] )</f>
        <v>44</v>
      </c>
      <c r="C402" s="82" t="s">
        <v>501</v>
      </c>
      <c r="D402" s="82" t="s">
        <v>502</v>
      </c>
      <c r="E402" s="82" t="s">
        <v>7</v>
      </c>
      <c r="F402" s="83">
        <v>50</v>
      </c>
    </row>
    <row r="403" spans="2:6" x14ac:dyDescent="0.2">
      <c r="B403" s="2">
        <f xml:space="preserve"> ROW( co_states[[#This Row],[row_id]] ) - ROW( co_states[[#Headers],[row_id]] )</f>
        <v>45</v>
      </c>
      <c r="C403" s="82" t="s">
        <v>503</v>
      </c>
      <c r="D403" s="82" t="s">
        <v>504</v>
      </c>
      <c r="E403" s="82" t="s">
        <v>10</v>
      </c>
      <c r="F403" s="83">
        <v>51</v>
      </c>
    </row>
    <row r="404" spans="2:6" x14ac:dyDescent="0.2">
      <c r="B404" s="2">
        <f xml:space="preserve"> ROW( co_states[[#This Row],[row_id]] ) - ROW( co_states[[#Headers],[row_id]] )</f>
        <v>46</v>
      </c>
      <c r="C404" s="82" t="s">
        <v>505</v>
      </c>
      <c r="D404" s="82" t="s">
        <v>506</v>
      </c>
      <c r="E404" s="82" t="s">
        <v>9</v>
      </c>
      <c r="F404" s="83">
        <v>53</v>
      </c>
    </row>
    <row r="405" spans="2:6" x14ac:dyDescent="0.2">
      <c r="B405" s="2">
        <f xml:space="preserve"> ROW( co_states[[#This Row],[row_id]] ) - ROW( co_states[[#Headers],[row_id]] )</f>
        <v>47</v>
      </c>
      <c r="C405" s="82" t="s">
        <v>507</v>
      </c>
      <c r="D405" s="82" t="s">
        <v>508</v>
      </c>
      <c r="E405" s="82" t="s">
        <v>7</v>
      </c>
      <c r="F405" s="83">
        <v>54</v>
      </c>
    </row>
    <row r="406" spans="2:6" x14ac:dyDescent="0.2">
      <c r="B406" s="2">
        <f xml:space="preserve"> ROW( co_states[[#This Row],[row_id]] ) - ROW( co_states[[#Headers],[row_id]] )</f>
        <v>48</v>
      </c>
      <c r="C406" s="82" t="s">
        <v>509</v>
      </c>
      <c r="D406" s="82" t="s">
        <v>510</v>
      </c>
      <c r="E406" s="82" t="s">
        <v>6</v>
      </c>
      <c r="F406" s="83">
        <v>55</v>
      </c>
    </row>
    <row r="407" spans="2:6" x14ac:dyDescent="0.2">
      <c r="B407" s="2">
        <f xml:space="preserve"> ROW( co_states[[#This Row],[row_id]] ) - ROW( co_states[[#Headers],[row_id]] )</f>
        <v>49</v>
      </c>
      <c r="C407" s="82" t="s">
        <v>511</v>
      </c>
      <c r="D407" s="82" t="s">
        <v>512</v>
      </c>
      <c r="E407" s="82" t="s">
        <v>8</v>
      </c>
      <c r="F407" s="83">
        <v>56</v>
      </c>
    </row>
  </sheetData>
  <phoneticPr fontId="8" type="noConversion"/>
  <conditionalFormatting sqref="B41 B42:F51">
    <cfRule type="expression" dxfId="3" priority="7">
      <formula xml:space="preserve"> IF( $E41 = 1, 1, 0)</formula>
    </cfRule>
  </conditionalFormatting>
  <conditionalFormatting sqref="B21:F40">
    <cfRule type="expression" dxfId="2" priority="2">
      <formula xml:space="preserve"> IF( $E21 = 1, 1, 0)</formula>
    </cfRule>
  </conditionalFormatting>
  <conditionalFormatting sqref="C41:F41">
    <cfRule type="expression" dxfId="1" priority="1">
      <formula xml:space="preserve"> IF( $E41 = 1, 1, 0)</formula>
    </cfRule>
  </conditionalFormatting>
  <conditionalFormatting sqref="I162:J162">
    <cfRule type="expression" dxfId="0" priority="5">
      <formula xml:space="preserve"> IF( #REF! = 1, 1, 0)</formula>
    </cfRule>
  </conditionalFormatting>
  <hyperlinks>
    <hyperlink ref="C8" location="loc_coConstants" display="loc_coConstants" xr:uid="{CFEFD72E-F9ED-4608-B7DD-AFDCEAF6F41D}"/>
    <hyperlink ref="C10" location="loc_coModels" display="loc_coModels" xr:uid="{1AB1FA05-ED11-4F07-8B38-FA24CC6D4F4F}"/>
    <hyperlink ref="C9" location="loc_coModelTypes" display="loc_coModelTypes" xr:uid="{DCB9BCCC-30A5-4252-A90A-CD0112FF06A8}"/>
    <hyperlink ref="C6" location="loc_coScalars" display="loc_coScalars" xr:uid="{9B32F273-E2BC-47BF-A60E-7A67D15D4D38}"/>
    <hyperlink ref="C7" location="loc_econMultipliers" display="loc_econMultipliers" xr:uid="{718FB73A-562F-40A4-9DCC-F7B32D89CA2B}"/>
    <hyperlink ref="C2" location="loc_coSectors" display="loc_coSectors" xr:uid="{0561FE55-51F9-468F-AA02-79E8761039B2}"/>
    <hyperlink ref="C11" location="loc_coRegions" display="loc_coRegions" xr:uid="{A2DFA603-87D5-4136-9543-B92064985F7D}"/>
    <hyperlink ref="C3" location="loc_coImpactYears" display="loc_coImpactYears" xr:uid="{64F94EF8-131F-4A43-BC1A-C2AA36072515}"/>
    <hyperlink ref="C5" location="loc_coImpactTypes" display="loc_coImpactTypes" xr:uid="{114E9DA3-56F7-4D1E-B736-84EC6F366C11}"/>
    <hyperlink ref="C4" location="loc_coAdaptations" display="loc_coAdaptations" xr:uid="{7F53C6E9-E95F-4F38-8BCD-343D7DB6286E}"/>
    <hyperlink ref="C12" location="loc_coInputScenarioInfo" display="loc_coInputScenarioInfo" xr:uid="{DA18E986-20B5-4E54-BA62-B58518D13EF3}"/>
    <hyperlink ref="C13" location="loc_coStates" display="loc_coStates" xr:uid="{8BF3847D-2A5D-4A55-BC5A-0B347ED52535}"/>
  </hyperlinks>
  <pageMargins left="0.7" right="0.7" top="0.75" bottom="0.75" header="0.3" footer="0.3"/>
  <pageSetup orientation="portrait" horizontalDpi="1200" verticalDpi="1200" r:id="rId1"/>
  <legacyDrawing r:id="rId2"/>
  <tableParts count="13">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A677-80B7-4A1F-8551-EE691CBD86A4}">
  <sheetPr>
    <tabColor theme="2"/>
  </sheetPr>
  <dimension ref="B2:F15"/>
  <sheetViews>
    <sheetView workbookViewId="0">
      <selection activeCell="B2" sqref="B2:F15"/>
    </sheetView>
  </sheetViews>
  <sheetFormatPr defaultRowHeight="15" x14ac:dyDescent="0.25"/>
  <cols>
    <col min="3" max="4" width="16.7109375" customWidth="1"/>
    <col min="5" max="5" width="32.85546875" customWidth="1"/>
    <col min="6" max="6" width="60.7109375" customWidth="1"/>
  </cols>
  <sheetData>
    <row r="2" spans="2:6" x14ac:dyDescent="0.25">
      <c r="B2" t="s">
        <v>319</v>
      </c>
    </row>
    <row r="3" spans="2:6" x14ac:dyDescent="0.25">
      <c r="B3" s="61" t="s">
        <v>114</v>
      </c>
      <c r="C3" s="61" t="s">
        <v>56</v>
      </c>
      <c r="D3" s="61" t="s">
        <v>320</v>
      </c>
      <c r="E3" s="61" t="s">
        <v>321</v>
      </c>
      <c r="F3" s="61" t="s">
        <v>305</v>
      </c>
    </row>
    <row r="4" spans="2:6" ht="75" x14ac:dyDescent="0.25">
      <c r="B4" s="62">
        <f xml:space="preserve"> ROW( Readme_sectors[[#This Row],[row_id]] ) - ROW( Readme_sectors[[#Headers],[row_id]] )</f>
        <v>1</v>
      </c>
      <c r="C4" s="61" t="s">
        <v>21</v>
      </c>
      <c r="D4" s="61" t="s">
        <v>22</v>
      </c>
      <c r="E4" s="61" t="s">
        <v>110</v>
      </c>
      <c r="F4" s="63" t="s">
        <v>322</v>
      </c>
    </row>
    <row r="5" spans="2:6" ht="45" x14ac:dyDescent="0.25">
      <c r="B5" s="62">
        <f xml:space="preserve"> ROW( Readme_sectors[[#This Row],[row_id]] ) - ROW( Readme_sectors[[#Headers],[row_id]] )</f>
        <v>2</v>
      </c>
      <c r="C5" s="62" t="s">
        <v>58</v>
      </c>
      <c r="D5" s="61" t="s">
        <v>22</v>
      </c>
      <c r="E5" s="61" t="s">
        <v>110</v>
      </c>
      <c r="F5" s="63" t="s">
        <v>323</v>
      </c>
    </row>
    <row r="8" spans="2:6" x14ac:dyDescent="0.25">
      <c r="B8" t="s">
        <v>324</v>
      </c>
    </row>
    <row r="9" spans="2:6" x14ac:dyDescent="0.25">
      <c r="B9" t="s">
        <v>114</v>
      </c>
      <c r="C9" t="s">
        <v>56</v>
      </c>
      <c r="D9" t="s">
        <v>320</v>
      </c>
      <c r="E9" t="s">
        <v>321</v>
      </c>
    </row>
    <row r="10" spans="2:6" x14ac:dyDescent="0.25">
      <c r="B10" s="1">
        <f xml:space="preserve"> ROW( Readme_adaptations[[#This Row],[row_id]] ) - ROW( Readme_adaptations[[#Headers],[row_id]] )</f>
        <v>1</v>
      </c>
      <c r="C10" t="s">
        <v>21</v>
      </c>
      <c r="D10" t="s">
        <v>22</v>
      </c>
      <c r="E10" t="s">
        <v>110</v>
      </c>
    </row>
    <row r="11" spans="2:6" x14ac:dyDescent="0.25">
      <c r="B11" s="1">
        <f xml:space="preserve"> ROW( Readme_adaptations[[#This Row],[row_id]] ) - ROW( Readme_adaptations[[#Headers],[row_id]] )</f>
        <v>2</v>
      </c>
      <c r="C11" t="s">
        <v>21</v>
      </c>
      <c r="D11" t="s">
        <v>23</v>
      </c>
      <c r="E11" t="s">
        <v>112</v>
      </c>
    </row>
    <row r="12" spans="2:6" x14ac:dyDescent="0.25">
      <c r="B12" s="1">
        <f xml:space="preserve"> ROW( Readme_adaptations[[#This Row],[row_id]] ) - ROW( Readme_adaptations[[#Headers],[row_id]] )</f>
        <v>3</v>
      </c>
      <c r="C12" t="s">
        <v>21</v>
      </c>
      <c r="D12" t="s">
        <v>45</v>
      </c>
      <c r="E12" t="s">
        <v>111</v>
      </c>
    </row>
    <row r="13" spans="2:6" x14ac:dyDescent="0.25">
      <c r="B13" s="1">
        <f xml:space="preserve"> ROW( Readme_adaptations[[#This Row],[row_id]] ) - ROW( Readme_adaptations[[#Headers],[row_id]] )</f>
        <v>4</v>
      </c>
      <c r="C13" s="1" t="s">
        <v>58</v>
      </c>
      <c r="D13" t="s">
        <v>22</v>
      </c>
      <c r="E13" t="s">
        <v>110</v>
      </c>
    </row>
    <row r="14" spans="2:6" x14ac:dyDescent="0.25">
      <c r="B14" s="1">
        <f xml:space="preserve"> ROW( Readme_adaptations[[#This Row],[row_id]] ) - ROW( Readme_adaptations[[#Headers],[row_id]] )</f>
        <v>5</v>
      </c>
      <c r="C14" s="1" t="s">
        <v>58</v>
      </c>
      <c r="D14" t="s">
        <v>23</v>
      </c>
      <c r="E14" t="s">
        <v>113</v>
      </c>
    </row>
    <row r="15" spans="2:6" x14ac:dyDescent="0.25">
      <c r="B15" s="1">
        <f xml:space="preserve"> ROW( Readme_adaptations[[#This Row],[row_id]] ) - ROW( Readme_adaptations[[#Headers],[row_id]] )</f>
        <v>6</v>
      </c>
      <c r="C15" s="1" t="s">
        <v>58</v>
      </c>
      <c r="D15" t="s">
        <v>45</v>
      </c>
      <c r="E15" t="s">
        <v>109</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C7EF1-95B0-477B-A02D-086B6A131F7A}">
  <sheetPr>
    <tabColor theme="5" tint="0.39997558519241921"/>
  </sheetPr>
  <dimension ref="A1:E28"/>
  <sheetViews>
    <sheetView workbookViewId="0">
      <selection activeCell="N12" sqref="N12"/>
    </sheetView>
  </sheetViews>
  <sheetFormatPr defaultRowHeight="15" x14ac:dyDescent="0.25"/>
  <cols>
    <col min="1" max="1" width="11.85546875" customWidth="1"/>
    <col min="3" max="3" width="22.85546875" customWidth="1"/>
    <col min="4" max="4" width="14.5703125" customWidth="1"/>
    <col min="5" max="5" width="84.140625" customWidth="1"/>
  </cols>
  <sheetData>
    <row r="1" spans="1:5" x14ac:dyDescent="0.25">
      <c r="A1" t="s">
        <v>79</v>
      </c>
      <c r="B1" s="2" t="s">
        <v>80</v>
      </c>
    </row>
    <row r="2" spans="1:5" x14ac:dyDescent="0.25">
      <c r="B2" s="2"/>
    </row>
    <row r="3" spans="1:5" ht="25.5" x14ac:dyDescent="0.25">
      <c r="B3" s="6" t="s">
        <v>114</v>
      </c>
      <c r="C3" s="6" t="s">
        <v>73</v>
      </c>
      <c r="D3" s="15" t="s">
        <v>368</v>
      </c>
      <c r="E3" s="6" t="s">
        <v>369</v>
      </c>
    </row>
    <row r="4" spans="1:5" x14ac:dyDescent="0.25">
      <c r="B4" s="4">
        <f xml:space="preserve"> ROW( testDev[[#This Row],[row_id]] ) - ROW(testDev[[#Headers],[row_id]] )</f>
        <v>1</v>
      </c>
      <c r="C4" s="7" t="s">
        <v>77</v>
      </c>
      <c r="D4" s="27" t="s">
        <v>370</v>
      </c>
      <c r="E4" s="47" t="s">
        <v>371</v>
      </c>
    </row>
    <row r="5" spans="1:5" ht="45" x14ac:dyDescent="0.25">
      <c r="B5" s="4">
        <f xml:space="preserve"> ROW( testDev[[#This Row],[row_id]] ) - ROW(testDev[[#Headers],[row_id]] )</f>
        <v>2</v>
      </c>
      <c r="C5" s="7" t="s">
        <v>159</v>
      </c>
      <c r="D5" s="27" t="s">
        <v>372</v>
      </c>
      <c r="E5" s="47" t="s">
        <v>373</v>
      </c>
    </row>
    <row r="6" spans="1:5" ht="45" x14ac:dyDescent="0.25">
      <c r="B6" s="4">
        <f xml:space="preserve"> ROW( testDev[[#This Row],[row_id]] ) - ROW(testDev[[#Headers],[row_id]] )</f>
        <v>3</v>
      </c>
      <c r="C6" s="7" t="s">
        <v>172</v>
      </c>
      <c r="D6" s="27" t="s">
        <v>370</v>
      </c>
      <c r="E6" s="47" t="s">
        <v>374</v>
      </c>
    </row>
    <row r="7" spans="1:5" x14ac:dyDescent="0.25">
      <c r="B7" s="4">
        <f xml:space="preserve"> ROW( testDev[[#This Row],[row_id]] ) - ROW(testDev[[#Headers],[row_id]] )</f>
        <v>4</v>
      </c>
      <c r="C7" s="7" t="s">
        <v>152</v>
      </c>
      <c r="D7" s="27" t="s">
        <v>375</v>
      </c>
      <c r="E7" s="47" t="s">
        <v>376</v>
      </c>
    </row>
    <row r="8" spans="1:5" x14ac:dyDescent="0.25">
      <c r="B8" s="4">
        <f xml:space="preserve"> ROW( testDev[[#This Row],[row_id]] ) - ROW(testDev[[#Headers],[row_id]] )</f>
        <v>5</v>
      </c>
      <c r="C8" s="7" t="s">
        <v>325</v>
      </c>
      <c r="D8" s="27" t="s">
        <v>375</v>
      </c>
      <c r="E8" s="47" t="s">
        <v>376</v>
      </c>
    </row>
    <row r="9" spans="1:5" ht="22.5" x14ac:dyDescent="0.25">
      <c r="B9" s="4">
        <f xml:space="preserve"> ROW( testDev[[#This Row],[row_id]] ) - ROW(testDev[[#Headers],[row_id]] )</f>
        <v>6</v>
      </c>
      <c r="C9" s="7" t="s">
        <v>350</v>
      </c>
      <c r="D9" s="27" t="s">
        <v>370</v>
      </c>
      <c r="E9" s="47" t="s">
        <v>377</v>
      </c>
    </row>
    <row r="10" spans="1:5" x14ac:dyDescent="0.25">
      <c r="B10" s="4">
        <f xml:space="preserve"> ROW( testDev[[#This Row],[row_id]] ) - ROW(testDev[[#Headers],[row_id]] )</f>
        <v>7</v>
      </c>
      <c r="C10" s="7" t="s">
        <v>160</v>
      </c>
      <c r="D10" s="27" t="s">
        <v>370</v>
      </c>
      <c r="E10" s="47" t="s">
        <v>378</v>
      </c>
    </row>
    <row r="11" spans="1:5" ht="22.5" x14ac:dyDescent="0.25">
      <c r="B11" s="4">
        <f xml:space="preserve"> ROW( testDev[[#This Row],[row_id]] ) - ROW(testDev[[#Headers],[row_id]] )</f>
        <v>8</v>
      </c>
      <c r="C11" s="7" t="s">
        <v>161</v>
      </c>
      <c r="D11" s="27" t="s">
        <v>370</v>
      </c>
      <c r="E11" s="47" t="s">
        <v>379</v>
      </c>
    </row>
    <row r="12" spans="1:5" ht="33.75" x14ac:dyDescent="0.25">
      <c r="B12" s="4">
        <f xml:space="preserve"> ROW( testDev[[#This Row],[row_id]] ) - ROW(testDev[[#Headers],[row_id]] )</f>
        <v>9</v>
      </c>
      <c r="C12" s="7" t="s">
        <v>162</v>
      </c>
      <c r="D12" s="27" t="s">
        <v>372</v>
      </c>
      <c r="E12" s="47" t="s">
        <v>380</v>
      </c>
    </row>
    <row r="13" spans="1:5" x14ac:dyDescent="0.25">
      <c r="B13" s="4">
        <f xml:space="preserve"> ROW( testDev[[#This Row],[row_id]] ) - ROW(testDev[[#Headers],[row_id]] )</f>
        <v>10</v>
      </c>
      <c r="C13" s="7" t="s">
        <v>76</v>
      </c>
      <c r="D13" s="27" t="s">
        <v>375</v>
      </c>
      <c r="E13" s="47" t="s">
        <v>376</v>
      </c>
    </row>
    <row r="14" spans="1:5" x14ac:dyDescent="0.25">
      <c r="B14" s="4">
        <f xml:space="preserve"> ROW( testDev[[#This Row],[row_id]] ) - ROW(testDev[[#Headers],[row_id]] )</f>
        <v>11</v>
      </c>
      <c r="C14" s="7" t="s">
        <v>223</v>
      </c>
      <c r="D14" s="27" t="s">
        <v>372</v>
      </c>
      <c r="E14" s="47" t="s">
        <v>381</v>
      </c>
    </row>
    <row r="15" spans="1:5" ht="22.5" x14ac:dyDescent="0.25">
      <c r="B15" s="4">
        <f xml:space="preserve"> ROW( testDev[[#This Row],[row_id]] ) - ROW(testDev[[#Headers],[row_id]] )</f>
        <v>12</v>
      </c>
      <c r="C15" s="7" t="s">
        <v>182</v>
      </c>
      <c r="D15" s="27" t="s">
        <v>375</v>
      </c>
      <c r="E15" s="47" t="s">
        <v>382</v>
      </c>
    </row>
    <row r="16" spans="1:5" x14ac:dyDescent="0.25">
      <c r="B16" s="4">
        <f xml:space="preserve"> ROW( testDev[[#This Row],[row_id]] ) - ROW(testDev[[#Headers],[row_id]] )</f>
        <v>13</v>
      </c>
      <c r="C16" s="7" t="s">
        <v>224</v>
      </c>
      <c r="D16" s="27" t="s">
        <v>375</v>
      </c>
      <c r="E16" s="47" t="s">
        <v>383</v>
      </c>
    </row>
    <row r="17" spans="2:5" x14ac:dyDescent="0.25">
      <c r="B17" s="4">
        <f xml:space="preserve"> ROW( testDev[[#This Row],[row_id]] ) - ROW(testDev[[#Headers],[row_id]] )</f>
        <v>14</v>
      </c>
      <c r="C17" s="7" t="s">
        <v>302</v>
      </c>
      <c r="D17" s="27" t="s">
        <v>375</v>
      </c>
      <c r="E17" s="47" t="s">
        <v>376</v>
      </c>
    </row>
    <row r="18" spans="2:5" x14ac:dyDescent="0.25">
      <c r="B18" s="4">
        <f xml:space="preserve"> ROW( testDev[[#This Row],[row_id]] ) - ROW(testDev[[#Headers],[row_id]] )</f>
        <v>15</v>
      </c>
      <c r="C18" s="7" t="s">
        <v>301</v>
      </c>
      <c r="D18" s="27" t="s">
        <v>375</v>
      </c>
      <c r="E18" s="47" t="s">
        <v>384</v>
      </c>
    </row>
    <row r="19" spans="2:5" ht="45" x14ac:dyDescent="0.25">
      <c r="B19" s="4">
        <f xml:space="preserve"> ROW( testDev[[#This Row],[row_id]] ) - ROW(testDev[[#Headers],[row_id]] )</f>
        <v>16</v>
      </c>
      <c r="C19" s="7" t="s">
        <v>326</v>
      </c>
      <c r="D19" s="27" t="s">
        <v>372</v>
      </c>
      <c r="E19" s="47" t="s">
        <v>385</v>
      </c>
    </row>
    <row r="20" spans="2:5" x14ac:dyDescent="0.25">
      <c r="B20" s="4">
        <f xml:space="preserve"> ROW( testDev[[#This Row],[row_id]] ) - ROW(testDev[[#Headers],[row_id]] )</f>
        <v>17</v>
      </c>
      <c r="C20" s="7" t="s">
        <v>386</v>
      </c>
      <c r="D20" s="27" t="s">
        <v>370</v>
      </c>
      <c r="E20" s="47" t="s">
        <v>387</v>
      </c>
    </row>
    <row r="21" spans="2:5" ht="22.5" x14ac:dyDescent="0.25">
      <c r="B21" s="4">
        <f xml:space="preserve"> ROW( testDev[[#This Row],[row_id]] ) - ROW(testDev[[#Headers],[row_id]] )</f>
        <v>18</v>
      </c>
      <c r="C21" s="7" t="s">
        <v>388</v>
      </c>
      <c r="D21" s="27" t="s">
        <v>375</v>
      </c>
      <c r="E21" s="47" t="s">
        <v>389</v>
      </c>
    </row>
    <row r="22" spans="2:5" x14ac:dyDescent="0.25">
      <c r="B22" s="4">
        <f xml:space="preserve"> ROW( testDev[[#This Row],[row_id]] ) - ROW(testDev[[#Headers],[row_id]] )</f>
        <v>19</v>
      </c>
      <c r="C22" s="7" t="s">
        <v>390</v>
      </c>
      <c r="D22" s="27" t="s">
        <v>370</v>
      </c>
      <c r="E22" s="47" t="s">
        <v>391</v>
      </c>
    </row>
    <row r="23" spans="2:5" x14ac:dyDescent="0.25">
      <c r="B23" s="4">
        <f xml:space="preserve"> ROW( testDev[[#This Row],[row_id]] ) - ROW(testDev[[#Headers],[row_id]] )</f>
        <v>20</v>
      </c>
      <c r="C23" s="7" t="s">
        <v>392</v>
      </c>
      <c r="D23" s="27" t="s">
        <v>375</v>
      </c>
      <c r="E23" s="47" t="s">
        <v>376</v>
      </c>
    </row>
    <row r="24" spans="2:5" x14ac:dyDescent="0.25">
      <c r="B24" s="4">
        <f xml:space="preserve"> ROW( testDev[[#This Row],[row_id]] ) - ROW(testDev[[#Headers],[row_id]] )</f>
        <v>21</v>
      </c>
      <c r="C24" s="7" t="s">
        <v>393</v>
      </c>
      <c r="D24" s="27" t="s">
        <v>375</v>
      </c>
      <c r="E24" s="47" t="s">
        <v>376</v>
      </c>
    </row>
    <row r="25" spans="2:5" x14ac:dyDescent="0.25">
      <c r="B25" s="4">
        <f xml:space="preserve"> ROW( testDev[[#This Row],[row_id]] ) - ROW(testDev[[#Headers],[row_id]] )</f>
        <v>22</v>
      </c>
      <c r="C25" s="7" t="s">
        <v>394</v>
      </c>
      <c r="D25" s="27" t="s">
        <v>375</v>
      </c>
      <c r="E25" s="47" t="s">
        <v>376</v>
      </c>
    </row>
    <row r="26" spans="2:5" x14ac:dyDescent="0.25">
      <c r="B26" s="4">
        <f xml:space="preserve"> ROW( testDev[[#This Row],[row_id]] ) - ROW(testDev[[#Headers],[row_id]] )</f>
        <v>23</v>
      </c>
      <c r="C26" s="7" t="s">
        <v>395</v>
      </c>
      <c r="D26" s="27" t="s">
        <v>375</v>
      </c>
      <c r="E26" s="47" t="s">
        <v>376</v>
      </c>
    </row>
    <row r="27" spans="2:5" ht="45" x14ac:dyDescent="0.25">
      <c r="B27" s="4">
        <f xml:space="preserve"> ROW( testDev[[#This Row],[row_id]] ) - ROW(testDev[[#Headers],[row_id]] )</f>
        <v>24</v>
      </c>
      <c r="C27" s="7" t="s">
        <v>396</v>
      </c>
      <c r="D27" s="27" t="s">
        <v>372</v>
      </c>
      <c r="E27" s="47" t="s">
        <v>397</v>
      </c>
    </row>
    <row r="28" spans="2:5" ht="22.5" x14ac:dyDescent="0.25">
      <c r="B28" s="4">
        <f xml:space="preserve"> ROW( testDev[[#This Row],[row_id]] ) - ROW(testDev[[#Headers],[row_id]] )</f>
        <v>25</v>
      </c>
      <c r="C28" s="7" t="s">
        <v>398</v>
      </c>
      <c r="D28" s="27" t="s">
        <v>370</v>
      </c>
      <c r="E28" s="47" t="s">
        <v>399</v>
      </c>
    </row>
  </sheetData>
  <pageMargins left="0.7" right="0.7" top="0.75" bottom="0.75" header="0.3" footer="0.3"/>
  <pageSetup orientation="portrait" horizontalDpi="4294967293"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2187-E698-46FC-B716-2922DAD4183D}">
  <sheetPr>
    <tabColor theme="4" tint="-0.249977111117893"/>
  </sheetPr>
  <dimension ref="A1:I102"/>
  <sheetViews>
    <sheetView workbookViewId="0">
      <selection activeCell="I2" sqref="I2"/>
    </sheetView>
  </sheetViews>
  <sheetFormatPr defaultRowHeight="15" x14ac:dyDescent="0.25"/>
  <sheetData>
    <row r="1" spans="1:9" x14ac:dyDescent="0.25">
      <c r="A1" t="s">
        <v>114</v>
      </c>
      <c r="B1" t="s">
        <v>68</v>
      </c>
      <c r="C1" t="s">
        <v>549</v>
      </c>
      <c r="D1" t="s">
        <v>550</v>
      </c>
      <c r="E1" t="s">
        <v>551</v>
      </c>
      <c r="F1" t="s">
        <v>552</v>
      </c>
      <c r="G1" t="s">
        <v>553</v>
      </c>
      <c r="H1" t="s">
        <v>554</v>
      </c>
      <c r="I1" t="s">
        <v>555</v>
      </c>
    </row>
    <row r="2" spans="1:9" x14ac:dyDescent="0.25">
      <c r="A2" s="1">
        <f xml:space="preserve"> ROW( slr_cm[[#This Row],[row_id]] ) - ROW( slr_cm[[#Headers],[row_id]] )</f>
        <v>1</v>
      </c>
      <c r="B2" s="85">
        <v>2000</v>
      </c>
      <c r="C2" s="87">
        <v>0</v>
      </c>
      <c r="D2" s="87">
        <v>0</v>
      </c>
      <c r="E2" s="87">
        <v>0</v>
      </c>
      <c r="F2" s="87">
        <v>0</v>
      </c>
      <c r="G2" s="87">
        <v>0</v>
      </c>
      <c r="H2" s="87">
        <v>0</v>
      </c>
      <c r="I2" s="87">
        <v>0</v>
      </c>
    </row>
    <row r="3" spans="1:9" x14ac:dyDescent="0.25">
      <c r="A3" s="1">
        <f xml:space="preserve"> ROW( slr_cm[[#This Row],[row_id]] ) - ROW( slr_cm[[#Headers],[row_id]] )</f>
        <v>2</v>
      </c>
      <c r="B3" s="85">
        <v>2001</v>
      </c>
      <c r="C3" s="87">
        <v>0</v>
      </c>
      <c r="D3" s="87">
        <v>0.3</v>
      </c>
      <c r="E3" s="87">
        <v>0.4</v>
      </c>
      <c r="F3" s="87">
        <v>0.4</v>
      </c>
      <c r="G3" s="87">
        <v>0.5</v>
      </c>
      <c r="H3" s="87">
        <v>0.5</v>
      </c>
      <c r="I3" s="87">
        <v>0.5</v>
      </c>
    </row>
    <row r="4" spans="1:9" x14ac:dyDescent="0.25">
      <c r="A4" s="1">
        <f xml:space="preserve"> ROW( slr_cm[[#This Row],[row_id]] ) - ROW( slr_cm[[#Headers],[row_id]] )</f>
        <v>3</v>
      </c>
      <c r="B4" s="85">
        <v>2002</v>
      </c>
      <c r="C4" s="87">
        <v>0</v>
      </c>
      <c r="D4" s="87">
        <v>0.6</v>
      </c>
      <c r="E4" s="87">
        <v>0.8</v>
      </c>
      <c r="F4" s="87">
        <v>0.8</v>
      </c>
      <c r="G4" s="87">
        <v>1</v>
      </c>
      <c r="H4" s="87">
        <v>1</v>
      </c>
      <c r="I4" s="87">
        <v>1</v>
      </c>
    </row>
    <row r="5" spans="1:9" x14ac:dyDescent="0.25">
      <c r="A5" s="1">
        <f xml:space="preserve"> ROW( slr_cm[[#This Row],[row_id]] ) - ROW( slr_cm[[#Headers],[row_id]] )</f>
        <v>4</v>
      </c>
      <c r="B5" s="85">
        <v>2003</v>
      </c>
      <c r="C5" s="87">
        <v>0</v>
      </c>
      <c r="D5" s="87">
        <v>0.9</v>
      </c>
      <c r="E5" s="87">
        <v>1.2</v>
      </c>
      <c r="F5" s="87">
        <v>1.2</v>
      </c>
      <c r="G5" s="87">
        <v>1.5</v>
      </c>
      <c r="H5" s="87">
        <v>1.5</v>
      </c>
      <c r="I5" s="87">
        <v>1.5</v>
      </c>
    </row>
    <row r="6" spans="1:9" x14ac:dyDescent="0.25">
      <c r="A6" s="1">
        <f xml:space="preserve"> ROW( slr_cm[[#This Row],[row_id]] ) - ROW( slr_cm[[#Headers],[row_id]] )</f>
        <v>5</v>
      </c>
      <c r="B6" s="85">
        <v>2004</v>
      </c>
      <c r="C6" s="87">
        <v>0</v>
      </c>
      <c r="D6" s="87">
        <v>1.2</v>
      </c>
      <c r="E6" s="87">
        <v>1.6</v>
      </c>
      <c r="F6" s="87">
        <v>1.6</v>
      </c>
      <c r="G6" s="87">
        <v>2</v>
      </c>
      <c r="H6" s="87">
        <v>2</v>
      </c>
      <c r="I6" s="87">
        <v>2</v>
      </c>
    </row>
    <row r="7" spans="1:9" x14ac:dyDescent="0.25">
      <c r="A7" s="1">
        <f xml:space="preserve"> ROW( slr_cm[[#This Row],[row_id]] ) - ROW( slr_cm[[#Headers],[row_id]] )</f>
        <v>6</v>
      </c>
      <c r="B7" s="85">
        <v>2005</v>
      </c>
      <c r="C7" s="87">
        <v>0</v>
      </c>
      <c r="D7" s="87">
        <v>1.5</v>
      </c>
      <c r="E7" s="87">
        <v>2</v>
      </c>
      <c r="F7" s="87">
        <v>2</v>
      </c>
      <c r="G7" s="87">
        <v>2.5</v>
      </c>
      <c r="H7" s="87">
        <v>2.5</v>
      </c>
      <c r="I7" s="87">
        <v>2.5</v>
      </c>
    </row>
    <row r="8" spans="1:9" x14ac:dyDescent="0.25">
      <c r="A8" s="1">
        <f xml:space="preserve"> ROW( slr_cm[[#This Row],[row_id]] ) - ROW( slr_cm[[#Headers],[row_id]] )</f>
        <v>7</v>
      </c>
      <c r="B8" s="85">
        <v>2006</v>
      </c>
      <c r="C8" s="87">
        <v>0</v>
      </c>
      <c r="D8" s="87">
        <v>1.8</v>
      </c>
      <c r="E8" s="87">
        <v>2.4</v>
      </c>
      <c r="F8" s="87">
        <v>2.4</v>
      </c>
      <c r="G8" s="87">
        <v>3</v>
      </c>
      <c r="H8" s="87">
        <v>3</v>
      </c>
      <c r="I8" s="87">
        <v>3</v>
      </c>
    </row>
    <row r="9" spans="1:9" x14ac:dyDescent="0.25">
      <c r="A9" s="1">
        <f xml:space="preserve"> ROW( slr_cm[[#This Row],[row_id]] ) - ROW( slr_cm[[#Headers],[row_id]] )</f>
        <v>8</v>
      </c>
      <c r="B9" s="85">
        <v>2007</v>
      </c>
      <c r="C9" s="87">
        <v>0</v>
      </c>
      <c r="D9" s="87">
        <v>2.1</v>
      </c>
      <c r="E9" s="87">
        <v>2.8</v>
      </c>
      <c r="F9" s="87">
        <v>2.8</v>
      </c>
      <c r="G9" s="87">
        <v>3.5</v>
      </c>
      <c r="H9" s="87">
        <v>3.5</v>
      </c>
      <c r="I9" s="87">
        <v>3.5</v>
      </c>
    </row>
    <row r="10" spans="1:9" x14ac:dyDescent="0.25">
      <c r="A10" s="1">
        <f xml:space="preserve"> ROW( slr_cm[[#This Row],[row_id]] ) - ROW( slr_cm[[#Headers],[row_id]] )</f>
        <v>9</v>
      </c>
      <c r="B10" s="85">
        <v>2008</v>
      </c>
      <c r="C10" s="87">
        <v>0</v>
      </c>
      <c r="D10" s="87">
        <v>2.4</v>
      </c>
      <c r="E10" s="87">
        <v>3.2</v>
      </c>
      <c r="F10" s="87">
        <v>3.2</v>
      </c>
      <c r="G10" s="87">
        <v>4</v>
      </c>
      <c r="H10" s="87">
        <v>4</v>
      </c>
      <c r="I10" s="87">
        <v>4</v>
      </c>
    </row>
    <row r="11" spans="1:9" x14ac:dyDescent="0.25">
      <c r="A11" s="1">
        <f xml:space="preserve"> ROW( slr_cm[[#This Row],[row_id]] ) - ROW( slr_cm[[#Headers],[row_id]] )</f>
        <v>10</v>
      </c>
      <c r="B11" s="85">
        <v>2009</v>
      </c>
      <c r="C11" s="87">
        <v>0</v>
      </c>
      <c r="D11" s="87">
        <v>2.7</v>
      </c>
      <c r="E11" s="87">
        <v>3.6</v>
      </c>
      <c r="F11" s="87">
        <v>3.6</v>
      </c>
      <c r="G11" s="87">
        <v>4.5</v>
      </c>
      <c r="H11" s="87">
        <v>4.5</v>
      </c>
      <c r="I11" s="87">
        <v>4.5</v>
      </c>
    </row>
    <row r="12" spans="1:9" x14ac:dyDescent="0.25">
      <c r="A12" s="1">
        <f xml:space="preserve"> ROW( slr_cm[[#This Row],[row_id]] ) - ROW( slr_cm[[#Headers],[row_id]] )</f>
        <v>11</v>
      </c>
      <c r="B12" s="85">
        <v>2010</v>
      </c>
      <c r="C12" s="87">
        <v>0</v>
      </c>
      <c r="D12" s="87">
        <v>3</v>
      </c>
      <c r="E12" s="87">
        <v>4</v>
      </c>
      <c r="F12" s="87">
        <v>4</v>
      </c>
      <c r="G12" s="87">
        <v>5</v>
      </c>
      <c r="H12" s="87">
        <v>5</v>
      </c>
      <c r="I12" s="87">
        <v>5</v>
      </c>
    </row>
    <row r="13" spans="1:9" x14ac:dyDescent="0.25">
      <c r="A13" s="1">
        <f xml:space="preserve"> ROW( slr_cm[[#This Row],[row_id]] ) - ROW( slr_cm[[#Headers],[row_id]] )</f>
        <v>12</v>
      </c>
      <c r="B13" s="85">
        <v>2011</v>
      </c>
      <c r="C13" s="87">
        <v>0</v>
      </c>
      <c r="D13" s="87">
        <v>3.3</v>
      </c>
      <c r="E13" s="87">
        <v>4.4000000000000004</v>
      </c>
      <c r="F13" s="87">
        <v>4.5999999999999996</v>
      </c>
      <c r="G13" s="87">
        <v>5.5</v>
      </c>
      <c r="H13" s="87">
        <v>5.6</v>
      </c>
      <c r="I13" s="87">
        <v>5.6</v>
      </c>
    </row>
    <row r="14" spans="1:9" x14ac:dyDescent="0.25">
      <c r="A14" s="1">
        <f xml:space="preserve"> ROW( slr_cm[[#This Row],[row_id]] ) - ROW( slr_cm[[#Headers],[row_id]] )</f>
        <v>13</v>
      </c>
      <c r="B14" s="85">
        <v>2012</v>
      </c>
      <c r="C14" s="87">
        <v>0</v>
      </c>
      <c r="D14" s="87">
        <v>3.6</v>
      </c>
      <c r="E14" s="87">
        <v>4.8</v>
      </c>
      <c r="F14" s="87">
        <v>5.2</v>
      </c>
      <c r="G14" s="87">
        <v>6</v>
      </c>
      <c r="H14" s="87">
        <v>6.2</v>
      </c>
      <c r="I14" s="87">
        <v>6.2</v>
      </c>
    </row>
    <row r="15" spans="1:9" x14ac:dyDescent="0.25">
      <c r="A15" s="1">
        <f xml:space="preserve"> ROW( slr_cm[[#This Row],[row_id]] ) - ROW( slr_cm[[#Headers],[row_id]] )</f>
        <v>14</v>
      </c>
      <c r="B15" s="85">
        <v>2013</v>
      </c>
      <c r="C15" s="87">
        <v>0</v>
      </c>
      <c r="D15" s="87">
        <v>3.9</v>
      </c>
      <c r="E15" s="87">
        <v>5.2</v>
      </c>
      <c r="F15" s="87">
        <v>5.8</v>
      </c>
      <c r="G15" s="87">
        <v>6.5</v>
      </c>
      <c r="H15" s="87">
        <v>6.8</v>
      </c>
      <c r="I15" s="87">
        <v>6.8</v>
      </c>
    </row>
    <row r="16" spans="1:9" x14ac:dyDescent="0.25">
      <c r="A16" s="1">
        <f xml:space="preserve"> ROW( slr_cm[[#This Row],[row_id]] ) - ROW( slr_cm[[#Headers],[row_id]] )</f>
        <v>15</v>
      </c>
      <c r="B16" s="85">
        <v>2014</v>
      </c>
      <c r="C16" s="87">
        <v>0</v>
      </c>
      <c r="D16" s="87">
        <v>4.2</v>
      </c>
      <c r="E16" s="87">
        <v>5.6</v>
      </c>
      <c r="F16" s="87">
        <v>6.4</v>
      </c>
      <c r="G16" s="87">
        <v>7</v>
      </c>
      <c r="H16" s="87">
        <v>7.4</v>
      </c>
      <c r="I16" s="87">
        <v>7.4</v>
      </c>
    </row>
    <row r="17" spans="1:9" x14ac:dyDescent="0.25">
      <c r="A17" s="1">
        <f xml:space="preserve"> ROW( slr_cm[[#This Row],[row_id]] ) - ROW( slr_cm[[#Headers],[row_id]] )</f>
        <v>16</v>
      </c>
      <c r="B17" s="85">
        <v>2015</v>
      </c>
      <c r="C17" s="87">
        <v>0</v>
      </c>
      <c r="D17" s="87">
        <v>4.5</v>
      </c>
      <c r="E17" s="87">
        <v>6</v>
      </c>
      <c r="F17" s="87">
        <v>7</v>
      </c>
      <c r="G17" s="87">
        <v>7.5</v>
      </c>
      <c r="H17" s="87">
        <v>8</v>
      </c>
      <c r="I17" s="87">
        <v>8</v>
      </c>
    </row>
    <row r="18" spans="1:9" x14ac:dyDescent="0.25">
      <c r="A18" s="1">
        <f xml:space="preserve"> ROW( slr_cm[[#This Row],[row_id]] ) - ROW( slr_cm[[#Headers],[row_id]] )</f>
        <v>17</v>
      </c>
      <c r="B18" s="85">
        <v>2016</v>
      </c>
      <c r="C18" s="87">
        <v>0</v>
      </c>
      <c r="D18" s="87">
        <v>4.8</v>
      </c>
      <c r="E18" s="87">
        <v>6.4</v>
      </c>
      <c r="F18" s="87">
        <v>7.6</v>
      </c>
      <c r="G18" s="87">
        <v>8</v>
      </c>
      <c r="H18" s="87">
        <v>8.6</v>
      </c>
      <c r="I18" s="87">
        <v>8.6</v>
      </c>
    </row>
    <row r="19" spans="1:9" x14ac:dyDescent="0.25">
      <c r="A19" s="1">
        <f xml:space="preserve"> ROW( slr_cm[[#This Row],[row_id]] ) - ROW( slr_cm[[#Headers],[row_id]] )</f>
        <v>18</v>
      </c>
      <c r="B19" s="85">
        <v>2017</v>
      </c>
      <c r="C19" s="87">
        <v>0</v>
      </c>
      <c r="D19" s="87">
        <v>5.0999999999999996</v>
      </c>
      <c r="E19" s="87">
        <v>6.8</v>
      </c>
      <c r="F19" s="87">
        <v>8.1999999999999993</v>
      </c>
      <c r="G19" s="87">
        <v>8.5</v>
      </c>
      <c r="H19" s="87">
        <v>9.1999999999999993</v>
      </c>
      <c r="I19" s="87">
        <v>9.1999999999999993</v>
      </c>
    </row>
    <row r="20" spans="1:9" x14ac:dyDescent="0.25">
      <c r="A20" s="1">
        <f xml:space="preserve"> ROW( slr_cm[[#This Row],[row_id]] ) - ROW( slr_cm[[#Headers],[row_id]] )</f>
        <v>19</v>
      </c>
      <c r="B20" s="85">
        <v>2018</v>
      </c>
      <c r="C20" s="87">
        <v>0</v>
      </c>
      <c r="D20" s="87">
        <v>5.4</v>
      </c>
      <c r="E20" s="87">
        <v>7.2</v>
      </c>
      <c r="F20" s="87">
        <v>8.8000000000000007</v>
      </c>
      <c r="G20" s="87">
        <v>9</v>
      </c>
      <c r="H20" s="87">
        <v>9.8000000000000007</v>
      </c>
      <c r="I20" s="87">
        <v>9.8000000000000007</v>
      </c>
    </row>
    <row r="21" spans="1:9" x14ac:dyDescent="0.25">
      <c r="A21" s="1">
        <f xml:space="preserve"> ROW( slr_cm[[#This Row],[row_id]] ) - ROW( slr_cm[[#Headers],[row_id]] )</f>
        <v>20</v>
      </c>
      <c r="B21" s="85">
        <v>2019</v>
      </c>
      <c r="C21" s="87">
        <v>0</v>
      </c>
      <c r="D21" s="87">
        <v>5.7</v>
      </c>
      <c r="E21" s="87">
        <v>7.6</v>
      </c>
      <c r="F21" s="87">
        <v>9.4</v>
      </c>
      <c r="G21" s="87">
        <v>9.5</v>
      </c>
      <c r="H21" s="87">
        <v>10.4</v>
      </c>
      <c r="I21" s="87">
        <v>10.4</v>
      </c>
    </row>
    <row r="22" spans="1:9" x14ac:dyDescent="0.25">
      <c r="A22" s="1">
        <f xml:space="preserve"> ROW( slr_cm[[#This Row],[row_id]] ) - ROW( slr_cm[[#Headers],[row_id]] )</f>
        <v>21</v>
      </c>
      <c r="B22" s="85">
        <v>2020</v>
      </c>
      <c r="C22" s="87">
        <v>0</v>
      </c>
      <c r="D22" s="87">
        <v>6</v>
      </c>
      <c r="E22" s="87">
        <v>8</v>
      </c>
      <c r="F22" s="87">
        <v>10</v>
      </c>
      <c r="G22" s="87">
        <v>10</v>
      </c>
      <c r="H22" s="87">
        <v>11</v>
      </c>
      <c r="I22" s="87">
        <v>11</v>
      </c>
    </row>
    <row r="23" spans="1:9" x14ac:dyDescent="0.25">
      <c r="A23" s="1">
        <f xml:space="preserve"> ROW( slr_cm[[#This Row],[row_id]] ) - ROW( slr_cm[[#Headers],[row_id]] )</f>
        <v>22</v>
      </c>
      <c r="B23" s="85">
        <v>2021</v>
      </c>
      <c r="C23" s="87">
        <v>0</v>
      </c>
      <c r="D23" s="87">
        <v>6.3</v>
      </c>
      <c r="E23" s="87">
        <v>8.5</v>
      </c>
      <c r="F23" s="87">
        <v>10.6</v>
      </c>
      <c r="G23" s="87">
        <v>10.9</v>
      </c>
      <c r="H23" s="87">
        <v>12</v>
      </c>
      <c r="I23" s="87">
        <v>12.3</v>
      </c>
    </row>
    <row r="24" spans="1:9" x14ac:dyDescent="0.25">
      <c r="A24" s="1">
        <f xml:space="preserve"> ROW( slr_cm[[#This Row],[row_id]] ) - ROW( slr_cm[[#Headers],[row_id]] )</f>
        <v>23</v>
      </c>
      <c r="B24" s="85">
        <v>2022</v>
      </c>
      <c r="C24" s="87">
        <v>0</v>
      </c>
      <c r="D24" s="87">
        <v>6.6</v>
      </c>
      <c r="E24" s="87">
        <v>9</v>
      </c>
      <c r="F24" s="87">
        <v>11.2</v>
      </c>
      <c r="G24" s="87">
        <v>11.8</v>
      </c>
      <c r="H24" s="87">
        <v>13</v>
      </c>
      <c r="I24" s="87">
        <v>13.6</v>
      </c>
    </row>
    <row r="25" spans="1:9" x14ac:dyDescent="0.25">
      <c r="A25" s="1">
        <f xml:space="preserve"> ROW( slr_cm[[#This Row],[row_id]] ) - ROW( slr_cm[[#Headers],[row_id]] )</f>
        <v>24</v>
      </c>
      <c r="B25" s="85">
        <v>2023</v>
      </c>
      <c r="C25" s="87">
        <v>0</v>
      </c>
      <c r="D25" s="87">
        <v>6.9</v>
      </c>
      <c r="E25" s="87">
        <v>9.5</v>
      </c>
      <c r="F25" s="87">
        <v>11.8</v>
      </c>
      <c r="G25" s="87">
        <v>12.7</v>
      </c>
      <c r="H25" s="87">
        <v>14</v>
      </c>
      <c r="I25" s="87">
        <v>14.9</v>
      </c>
    </row>
    <row r="26" spans="1:9" x14ac:dyDescent="0.25">
      <c r="A26" s="1">
        <f xml:space="preserve"> ROW( slr_cm[[#This Row],[row_id]] ) - ROW( slr_cm[[#Headers],[row_id]] )</f>
        <v>25</v>
      </c>
      <c r="B26" s="85">
        <v>2024</v>
      </c>
      <c r="C26" s="87">
        <v>0</v>
      </c>
      <c r="D26" s="87">
        <v>7.2</v>
      </c>
      <c r="E26" s="87">
        <v>10</v>
      </c>
      <c r="F26" s="87">
        <v>12.4</v>
      </c>
      <c r="G26" s="87">
        <v>13.6</v>
      </c>
      <c r="H26" s="87">
        <v>15</v>
      </c>
      <c r="I26" s="87">
        <v>16.2</v>
      </c>
    </row>
    <row r="27" spans="1:9" x14ac:dyDescent="0.25">
      <c r="A27" s="1">
        <f xml:space="preserve"> ROW( slr_cm[[#This Row],[row_id]] ) - ROW( slr_cm[[#Headers],[row_id]] )</f>
        <v>26</v>
      </c>
      <c r="B27" s="85">
        <v>2025</v>
      </c>
      <c r="C27" s="87">
        <v>0</v>
      </c>
      <c r="D27" s="87">
        <v>7.5</v>
      </c>
      <c r="E27" s="87">
        <v>10.5</v>
      </c>
      <c r="F27" s="87">
        <v>13</v>
      </c>
      <c r="G27" s="87">
        <v>14.5</v>
      </c>
      <c r="H27" s="87">
        <v>16</v>
      </c>
      <c r="I27" s="87">
        <v>17.5</v>
      </c>
    </row>
    <row r="28" spans="1:9" x14ac:dyDescent="0.25">
      <c r="A28" s="1">
        <f xml:space="preserve"> ROW( slr_cm[[#This Row],[row_id]] ) - ROW( slr_cm[[#Headers],[row_id]] )</f>
        <v>27</v>
      </c>
      <c r="B28" s="85">
        <v>2026</v>
      </c>
      <c r="C28" s="87">
        <v>0</v>
      </c>
      <c r="D28" s="87">
        <v>7.8</v>
      </c>
      <c r="E28" s="87">
        <v>11</v>
      </c>
      <c r="F28" s="87">
        <v>13.6</v>
      </c>
      <c r="G28" s="87">
        <v>15.4</v>
      </c>
      <c r="H28" s="87">
        <v>17</v>
      </c>
      <c r="I28" s="87">
        <v>18.8</v>
      </c>
    </row>
    <row r="29" spans="1:9" x14ac:dyDescent="0.25">
      <c r="A29" s="1">
        <f xml:space="preserve"> ROW( slr_cm[[#This Row],[row_id]] ) - ROW( slr_cm[[#Headers],[row_id]] )</f>
        <v>28</v>
      </c>
      <c r="B29" s="85">
        <v>2027</v>
      </c>
      <c r="C29" s="87">
        <v>0</v>
      </c>
      <c r="D29" s="87">
        <v>8.1</v>
      </c>
      <c r="E29" s="87">
        <v>11.5</v>
      </c>
      <c r="F29" s="87">
        <v>14.2</v>
      </c>
      <c r="G29" s="87">
        <v>16.3</v>
      </c>
      <c r="H29" s="87">
        <v>18</v>
      </c>
      <c r="I29" s="87">
        <v>20.100000000000001</v>
      </c>
    </row>
    <row r="30" spans="1:9" x14ac:dyDescent="0.25">
      <c r="A30" s="1">
        <f xml:space="preserve"> ROW( slr_cm[[#This Row],[row_id]] ) - ROW( slr_cm[[#Headers],[row_id]] )</f>
        <v>29</v>
      </c>
      <c r="B30" s="85">
        <v>2028</v>
      </c>
      <c r="C30" s="87">
        <v>0</v>
      </c>
      <c r="D30" s="87">
        <v>8.4</v>
      </c>
      <c r="E30" s="87">
        <v>12</v>
      </c>
      <c r="F30" s="87">
        <v>14.8</v>
      </c>
      <c r="G30" s="87">
        <v>17.2</v>
      </c>
      <c r="H30" s="87">
        <v>19</v>
      </c>
      <c r="I30" s="87">
        <v>21.4</v>
      </c>
    </row>
    <row r="31" spans="1:9" x14ac:dyDescent="0.25">
      <c r="A31" s="1">
        <f xml:space="preserve"> ROW( slr_cm[[#This Row],[row_id]] ) - ROW( slr_cm[[#Headers],[row_id]] )</f>
        <v>30</v>
      </c>
      <c r="B31" s="85">
        <v>2029</v>
      </c>
      <c r="C31" s="87">
        <v>0</v>
      </c>
      <c r="D31" s="87">
        <v>8.6999999999999993</v>
      </c>
      <c r="E31" s="87">
        <v>12.5</v>
      </c>
      <c r="F31" s="87">
        <v>15.4</v>
      </c>
      <c r="G31" s="87">
        <v>18.100000000000001</v>
      </c>
      <c r="H31" s="87">
        <v>20</v>
      </c>
      <c r="I31" s="87">
        <v>22.7</v>
      </c>
    </row>
    <row r="32" spans="1:9" x14ac:dyDescent="0.25">
      <c r="A32" s="1">
        <f xml:space="preserve"> ROW( slr_cm[[#This Row],[row_id]] ) - ROW( slr_cm[[#Headers],[row_id]] )</f>
        <v>31</v>
      </c>
      <c r="B32" s="85">
        <v>2030</v>
      </c>
      <c r="C32" s="87">
        <v>0</v>
      </c>
      <c r="D32" s="87">
        <v>9</v>
      </c>
      <c r="E32" s="87">
        <v>13</v>
      </c>
      <c r="F32" s="87">
        <v>16</v>
      </c>
      <c r="G32" s="87">
        <v>19</v>
      </c>
      <c r="H32" s="87">
        <v>21</v>
      </c>
      <c r="I32" s="87">
        <v>24</v>
      </c>
    </row>
    <row r="33" spans="1:9" x14ac:dyDescent="0.25">
      <c r="A33" s="1">
        <f xml:space="preserve"> ROW( slr_cm[[#This Row],[row_id]] ) - ROW( slr_cm[[#Headers],[row_id]] )</f>
        <v>32</v>
      </c>
      <c r="B33" s="85">
        <v>2031</v>
      </c>
      <c r="C33" s="87">
        <v>0</v>
      </c>
      <c r="D33" s="87">
        <v>9.4</v>
      </c>
      <c r="E33" s="87">
        <v>13.5</v>
      </c>
      <c r="F33" s="87">
        <v>16.899999999999999</v>
      </c>
      <c r="G33" s="87">
        <v>20.100000000000001</v>
      </c>
      <c r="H33" s="87">
        <v>22.5</v>
      </c>
      <c r="I33" s="87">
        <v>25.7</v>
      </c>
    </row>
    <row r="34" spans="1:9" x14ac:dyDescent="0.25">
      <c r="A34" s="1">
        <f xml:space="preserve"> ROW( slr_cm[[#This Row],[row_id]] ) - ROW( slr_cm[[#Headers],[row_id]] )</f>
        <v>33</v>
      </c>
      <c r="B34" s="85">
        <v>2032</v>
      </c>
      <c r="C34" s="87">
        <v>0</v>
      </c>
      <c r="D34" s="87">
        <v>9.8000000000000007</v>
      </c>
      <c r="E34" s="87">
        <v>14</v>
      </c>
      <c r="F34" s="87">
        <v>17.8</v>
      </c>
      <c r="G34" s="87">
        <v>21.2</v>
      </c>
      <c r="H34" s="87">
        <v>24</v>
      </c>
      <c r="I34" s="87">
        <v>27.4</v>
      </c>
    </row>
    <row r="35" spans="1:9" x14ac:dyDescent="0.25">
      <c r="A35" s="1">
        <f xml:space="preserve"> ROW( slr_cm[[#This Row],[row_id]] ) - ROW( slr_cm[[#Headers],[row_id]] )</f>
        <v>34</v>
      </c>
      <c r="B35" s="85">
        <v>2033</v>
      </c>
      <c r="C35" s="87">
        <v>0</v>
      </c>
      <c r="D35" s="87">
        <v>10.199999999999999</v>
      </c>
      <c r="E35" s="87">
        <v>14.5</v>
      </c>
      <c r="F35" s="87">
        <v>18.7</v>
      </c>
      <c r="G35" s="87">
        <v>22.3</v>
      </c>
      <c r="H35" s="87">
        <v>25.5</v>
      </c>
      <c r="I35" s="87">
        <v>29.1</v>
      </c>
    </row>
    <row r="36" spans="1:9" x14ac:dyDescent="0.25">
      <c r="A36" s="1">
        <f xml:space="preserve"> ROW( slr_cm[[#This Row],[row_id]] ) - ROW( slr_cm[[#Headers],[row_id]] )</f>
        <v>35</v>
      </c>
      <c r="B36" s="85">
        <v>2034</v>
      </c>
      <c r="C36" s="87">
        <v>0</v>
      </c>
      <c r="D36" s="87">
        <v>10.6</v>
      </c>
      <c r="E36" s="87">
        <v>15</v>
      </c>
      <c r="F36" s="87">
        <v>19.600000000000001</v>
      </c>
      <c r="G36" s="87">
        <v>23.4</v>
      </c>
      <c r="H36" s="87">
        <v>27</v>
      </c>
      <c r="I36" s="87">
        <v>30.8</v>
      </c>
    </row>
    <row r="37" spans="1:9" x14ac:dyDescent="0.25">
      <c r="A37" s="1">
        <f xml:space="preserve"> ROW( slr_cm[[#This Row],[row_id]] ) - ROW( slr_cm[[#Headers],[row_id]] )</f>
        <v>36</v>
      </c>
      <c r="B37" s="85">
        <v>2035</v>
      </c>
      <c r="C37" s="87">
        <v>0</v>
      </c>
      <c r="D37" s="87">
        <v>11</v>
      </c>
      <c r="E37" s="87">
        <v>15.5</v>
      </c>
      <c r="F37" s="87">
        <v>20.5</v>
      </c>
      <c r="G37" s="87">
        <v>24.5</v>
      </c>
      <c r="H37" s="87">
        <v>28.5</v>
      </c>
      <c r="I37" s="87">
        <v>32.5</v>
      </c>
    </row>
    <row r="38" spans="1:9" x14ac:dyDescent="0.25">
      <c r="A38" s="1">
        <f xml:space="preserve"> ROW( slr_cm[[#This Row],[row_id]] ) - ROW( slr_cm[[#Headers],[row_id]] )</f>
        <v>37</v>
      </c>
      <c r="B38" s="85">
        <v>2036</v>
      </c>
      <c r="C38" s="87">
        <v>0</v>
      </c>
      <c r="D38" s="87">
        <v>11.4</v>
      </c>
      <c r="E38" s="87">
        <v>16</v>
      </c>
      <c r="F38" s="87">
        <v>21.4</v>
      </c>
      <c r="G38" s="87">
        <v>25.6</v>
      </c>
      <c r="H38" s="87">
        <v>30</v>
      </c>
      <c r="I38" s="87">
        <v>34.200000000000003</v>
      </c>
    </row>
    <row r="39" spans="1:9" x14ac:dyDescent="0.25">
      <c r="A39" s="1">
        <f xml:space="preserve"> ROW( slr_cm[[#This Row],[row_id]] ) - ROW( slr_cm[[#Headers],[row_id]] )</f>
        <v>38</v>
      </c>
      <c r="B39" s="85">
        <v>2037</v>
      </c>
      <c r="C39" s="87">
        <v>0</v>
      </c>
      <c r="D39" s="87">
        <v>11.8</v>
      </c>
      <c r="E39" s="87">
        <v>16.5</v>
      </c>
      <c r="F39" s="87">
        <v>22.3</v>
      </c>
      <c r="G39" s="87">
        <v>26.7</v>
      </c>
      <c r="H39" s="87">
        <v>31.5</v>
      </c>
      <c r="I39" s="87">
        <v>35.9</v>
      </c>
    </row>
    <row r="40" spans="1:9" x14ac:dyDescent="0.25">
      <c r="A40" s="1">
        <f xml:space="preserve"> ROW( slr_cm[[#This Row],[row_id]] ) - ROW( slr_cm[[#Headers],[row_id]] )</f>
        <v>39</v>
      </c>
      <c r="B40" s="85">
        <v>2038</v>
      </c>
      <c r="C40" s="87">
        <v>0</v>
      </c>
      <c r="D40" s="87">
        <v>12.2</v>
      </c>
      <c r="E40" s="87">
        <v>17</v>
      </c>
      <c r="F40" s="87">
        <v>23.2</v>
      </c>
      <c r="G40" s="87">
        <v>27.8</v>
      </c>
      <c r="H40" s="87">
        <v>33</v>
      </c>
      <c r="I40" s="87">
        <v>37.6</v>
      </c>
    </row>
    <row r="41" spans="1:9" x14ac:dyDescent="0.25">
      <c r="A41" s="1">
        <f xml:space="preserve"> ROW( slr_cm[[#This Row],[row_id]] ) - ROW( slr_cm[[#Headers],[row_id]] )</f>
        <v>40</v>
      </c>
      <c r="B41" s="85">
        <v>2039</v>
      </c>
      <c r="C41" s="87">
        <v>0</v>
      </c>
      <c r="D41" s="87">
        <v>12.6</v>
      </c>
      <c r="E41" s="87">
        <v>17.5</v>
      </c>
      <c r="F41" s="87">
        <v>24.1</v>
      </c>
      <c r="G41" s="87">
        <v>28.9</v>
      </c>
      <c r="H41" s="87">
        <v>34.5</v>
      </c>
      <c r="I41" s="87">
        <v>39.299999999999997</v>
      </c>
    </row>
    <row r="42" spans="1:9" x14ac:dyDescent="0.25">
      <c r="A42" s="1">
        <f xml:space="preserve"> ROW( slr_cm[[#This Row],[row_id]] ) - ROW( slr_cm[[#Headers],[row_id]] )</f>
        <v>41</v>
      </c>
      <c r="B42" s="85">
        <v>2040</v>
      </c>
      <c r="C42" s="87">
        <v>0</v>
      </c>
      <c r="D42" s="87">
        <v>13</v>
      </c>
      <c r="E42" s="87">
        <v>18</v>
      </c>
      <c r="F42" s="87">
        <v>25</v>
      </c>
      <c r="G42" s="87">
        <v>30</v>
      </c>
      <c r="H42" s="87">
        <v>36</v>
      </c>
      <c r="I42" s="87">
        <v>41</v>
      </c>
    </row>
    <row r="43" spans="1:9" x14ac:dyDescent="0.25">
      <c r="A43" s="1">
        <f xml:space="preserve"> ROW( slr_cm[[#This Row],[row_id]] ) - ROW( slr_cm[[#Headers],[row_id]] )</f>
        <v>42</v>
      </c>
      <c r="B43" s="85">
        <v>2041</v>
      </c>
      <c r="C43" s="87">
        <v>0</v>
      </c>
      <c r="D43" s="87">
        <v>13.3</v>
      </c>
      <c r="E43" s="87">
        <v>18.600000000000001</v>
      </c>
      <c r="F43" s="87">
        <v>25.9</v>
      </c>
      <c r="G43" s="87">
        <v>31.4</v>
      </c>
      <c r="H43" s="87">
        <v>37.799999999999997</v>
      </c>
      <c r="I43" s="87">
        <v>43.2</v>
      </c>
    </row>
    <row r="44" spans="1:9" x14ac:dyDescent="0.25">
      <c r="A44" s="1">
        <f xml:space="preserve"> ROW( slr_cm[[#This Row],[row_id]] ) - ROW( slr_cm[[#Headers],[row_id]] )</f>
        <v>43</v>
      </c>
      <c r="B44" s="85">
        <v>2042</v>
      </c>
      <c r="C44" s="87">
        <v>0</v>
      </c>
      <c r="D44" s="87">
        <v>13.6</v>
      </c>
      <c r="E44" s="87">
        <v>19.2</v>
      </c>
      <c r="F44" s="87">
        <v>26.8</v>
      </c>
      <c r="G44" s="87">
        <v>32.799999999999997</v>
      </c>
      <c r="H44" s="87">
        <v>39.6</v>
      </c>
      <c r="I44" s="87">
        <v>45.4</v>
      </c>
    </row>
    <row r="45" spans="1:9" x14ac:dyDescent="0.25">
      <c r="A45" s="1">
        <f xml:space="preserve"> ROW( slr_cm[[#This Row],[row_id]] ) - ROW( slr_cm[[#Headers],[row_id]] )</f>
        <v>44</v>
      </c>
      <c r="B45" s="85">
        <v>2043</v>
      </c>
      <c r="C45" s="87">
        <v>0</v>
      </c>
      <c r="D45" s="87">
        <v>13.9</v>
      </c>
      <c r="E45" s="87">
        <v>19.8</v>
      </c>
      <c r="F45" s="87">
        <v>27.7</v>
      </c>
      <c r="G45" s="87">
        <v>34.200000000000003</v>
      </c>
      <c r="H45" s="87">
        <v>41.4</v>
      </c>
      <c r="I45" s="87">
        <v>47.6</v>
      </c>
    </row>
    <row r="46" spans="1:9" x14ac:dyDescent="0.25">
      <c r="A46" s="1">
        <f xml:space="preserve"> ROW( slr_cm[[#This Row],[row_id]] ) - ROW( slr_cm[[#Headers],[row_id]] )</f>
        <v>45</v>
      </c>
      <c r="B46" s="85">
        <v>2044</v>
      </c>
      <c r="C46" s="87">
        <v>0</v>
      </c>
      <c r="D46" s="87">
        <v>14.2</v>
      </c>
      <c r="E46" s="87">
        <v>20.399999999999999</v>
      </c>
      <c r="F46" s="87">
        <v>28.6</v>
      </c>
      <c r="G46" s="87">
        <v>35.6</v>
      </c>
      <c r="H46" s="87">
        <v>43.2</v>
      </c>
      <c r="I46" s="87">
        <v>49.8</v>
      </c>
    </row>
    <row r="47" spans="1:9" x14ac:dyDescent="0.25">
      <c r="A47" s="1">
        <f xml:space="preserve"> ROW( slr_cm[[#This Row],[row_id]] ) - ROW( slr_cm[[#Headers],[row_id]] )</f>
        <v>46</v>
      </c>
      <c r="B47" s="85">
        <v>2045</v>
      </c>
      <c r="C47" s="87">
        <v>0</v>
      </c>
      <c r="D47" s="87">
        <v>14.5</v>
      </c>
      <c r="E47" s="87">
        <v>21</v>
      </c>
      <c r="F47" s="87">
        <v>29.5</v>
      </c>
      <c r="G47" s="87">
        <v>37</v>
      </c>
      <c r="H47" s="87">
        <v>45</v>
      </c>
      <c r="I47" s="87">
        <v>52</v>
      </c>
    </row>
    <row r="48" spans="1:9" x14ac:dyDescent="0.25">
      <c r="A48" s="1">
        <f xml:space="preserve"> ROW( slr_cm[[#This Row],[row_id]] ) - ROW( slr_cm[[#Headers],[row_id]] )</f>
        <v>47</v>
      </c>
      <c r="B48" s="85">
        <v>2046</v>
      </c>
      <c r="C48" s="87">
        <v>0</v>
      </c>
      <c r="D48" s="87">
        <v>14.8</v>
      </c>
      <c r="E48" s="87">
        <v>21.6</v>
      </c>
      <c r="F48" s="87">
        <v>30.4</v>
      </c>
      <c r="G48" s="87">
        <v>38.4</v>
      </c>
      <c r="H48" s="87">
        <v>46.8</v>
      </c>
      <c r="I48" s="87">
        <v>54.2</v>
      </c>
    </row>
    <row r="49" spans="1:9" x14ac:dyDescent="0.25">
      <c r="A49" s="1">
        <f xml:space="preserve"> ROW( slr_cm[[#This Row],[row_id]] ) - ROW( slr_cm[[#Headers],[row_id]] )</f>
        <v>48</v>
      </c>
      <c r="B49" s="85">
        <v>2047</v>
      </c>
      <c r="C49" s="87">
        <v>0</v>
      </c>
      <c r="D49" s="87">
        <v>15.1</v>
      </c>
      <c r="E49" s="87">
        <v>22.2</v>
      </c>
      <c r="F49" s="87">
        <v>31.3</v>
      </c>
      <c r="G49" s="87">
        <v>39.799999999999997</v>
      </c>
      <c r="H49" s="87">
        <v>48.6</v>
      </c>
      <c r="I49" s="87">
        <v>56.4</v>
      </c>
    </row>
    <row r="50" spans="1:9" x14ac:dyDescent="0.25">
      <c r="A50" s="1">
        <f xml:space="preserve"> ROW( slr_cm[[#This Row],[row_id]] ) - ROW( slr_cm[[#Headers],[row_id]] )</f>
        <v>49</v>
      </c>
      <c r="B50" s="85">
        <v>2048</v>
      </c>
      <c r="C50" s="87">
        <v>0</v>
      </c>
      <c r="D50" s="87">
        <v>15.4</v>
      </c>
      <c r="E50" s="87">
        <v>22.8</v>
      </c>
      <c r="F50" s="87">
        <v>32.200000000000003</v>
      </c>
      <c r="G50" s="87">
        <v>41.2</v>
      </c>
      <c r="H50" s="87">
        <v>50.4</v>
      </c>
      <c r="I50" s="87">
        <v>58.6</v>
      </c>
    </row>
    <row r="51" spans="1:9" x14ac:dyDescent="0.25">
      <c r="A51" s="1">
        <f xml:space="preserve"> ROW( slr_cm[[#This Row],[row_id]] ) - ROW( slr_cm[[#Headers],[row_id]] )</f>
        <v>50</v>
      </c>
      <c r="B51" s="85">
        <v>2049</v>
      </c>
      <c r="C51" s="87">
        <v>0</v>
      </c>
      <c r="D51" s="87">
        <v>15.7</v>
      </c>
      <c r="E51" s="87">
        <v>23.4</v>
      </c>
      <c r="F51" s="87">
        <v>33.1</v>
      </c>
      <c r="G51" s="87">
        <v>42.6</v>
      </c>
      <c r="H51" s="87">
        <v>52.2</v>
      </c>
      <c r="I51" s="87">
        <v>60.8</v>
      </c>
    </row>
    <row r="52" spans="1:9" x14ac:dyDescent="0.25">
      <c r="A52" s="1">
        <f xml:space="preserve"> ROW( slr_cm[[#This Row],[row_id]] ) - ROW( slr_cm[[#Headers],[row_id]] )</f>
        <v>51</v>
      </c>
      <c r="B52" s="85">
        <v>2050</v>
      </c>
      <c r="C52" s="87">
        <v>0</v>
      </c>
      <c r="D52" s="87">
        <v>16</v>
      </c>
      <c r="E52" s="87">
        <v>24</v>
      </c>
      <c r="F52" s="87">
        <v>34</v>
      </c>
      <c r="G52" s="87">
        <v>44</v>
      </c>
      <c r="H52" s="87">
        <v>54</v>
      </c>
      <c r="I52" s="87">
        <v>63</v>
      </c>
    </row>
    <row r="53" spans="1:9" x14ac:dyDescent="0.25">
      <c r="A53" s="1">
        <f xml:space="preserve"> ROW( slr_cm[[#This Row],[row_id]] ) - ROW( slr_cm[[#Headers],[row_id]] )</f>
        <v>52</v>
      </c>
      <c r="B53" s="85">
        <v>2051</v>
      </c>
      <c r="C53" s="87">
        <v>0</v>
      </c>
      <c r="D53" s="87">
        <v>16.3</v>
      </c>
      <c r="E53" s="87">
        <v>24.5</v>
      </c>
      <c r="F53" s="87">
        <v>35.1</v>
      </c>
      <c r="G53" s="87">
        <v>45.6</v>
      </c>
      <c r="H53" s="87">
        <v>56.3</v>
      </c>
      <c r="I53" s="87">
        <v>65.7</v>
      </c>
    </row>
    <row r="54" spans="1:9" x14ac:dyDescent="0.25">
      <c r="A54" s="1">
        <f xml:space="preserve"> ROW( slr_cm[[#This Row],[row_id]] ) - ROW( slr_cm[[#Headers],[row_id]] )</f>
        <v>53</v>
      </c>
      <c r="B54" s="85">
        <v>2052</v>
      </c>
      <c r="C54" s="87">
        <v>0</v>
      </c>
      <c r="D54" s="87">
        <v>16.600000000000001</v>
      </c>
      <c r="E54" s="87">
        <v>25</v>
      </c>
      <c r="F54" s="87">
        <v>36.200000000000003</v>
      </c>
      <c r="G54" s="87">
        <v>47.2</v>
      </c>
      <c r="H54" s="87">
        <v>58.6</v>
      </c>
      <c r="I54" s="87">
        <v>68.400000000000006</v>
      </c>
    </row>
    <row r="55" spans="1:9" x14ac:dyDescent="0.25">
      <c r="A55" s="1">
        <f xml:space="preserve"> ROW( slr_cm[[#This Row],[row_id]] ) - ROW( slr_cm[[#Headers],[row_id]] )</f>
        <v>54</v>
      </c>
      <c r="B55" s="85">
        <v>2053</v>
      </c>
      <c r="C55" s="87">
        <v>0</v>
      </c>
      <c r="D55" s="87">
        <v>16.899999999999999</v>
      </c>
      <c r="E55" s="87">
        <v>25.5</v>
      </c>
      <c r="F55" s="87">
        <v>37.299999999999997</v>
      </c>
      <c r="G55" s="87">
        <v>48.8</v>
      </c>
      <c r="H55" s="87">
        <v>60.9</v>
      </c>
      <c r="I55" s="87">
        <v>71.099999999999994</v>
      </c>
    </row>
    <row r="56" spans="1:9" x14ac:dyDescent="0.25">
      <c r="A56" s="1">
        <f xml:space="preserve"> ROW( slr_cm[[#This Row],[row_id]] ) - ROW( slr_cm[[#Headers],[row_id]] )</f>
        <v>55</v>
      </c>
      <c r="B56" s="85">
        <v>2054</v>
      </c>
      <c r="C56" s="87">
        <v>0</v>
      </c>
      <c r="D56" s="87">
        <v>17.2</v>
      </c>
      <c r="E56" s="87">
        <v>26</v>
      </c>
      <c r="F56" s="87">
        <v>38.4</v>
      </c>
      <c r="G56" s="87">
        <v>50.4</v>
      </c>
      <c r="H56" s="87">
        <v>63.2</v>
      </c>
      <c r="I56" s="87">
        <v>73.8</v>
      </c>
    </row>
    <row r="57" spans="1:9" x14ac:dyDescent="0.25">
      <c r="A57" s="1">
        <f xml:space="preserve"> ROW( slr_cm[[#This Row],[row_id]] ) - ROW( slr_cm[[#Headers],[row_id]] )</f>
        <v>56</v>
      </c>
      <c r="B57" s="85">
        <v>2055</v>
      </c>
      <c r="C57" s="87">
        <v>0</v>
      </c>
      <c r="D57" s="87">
        <v>17.5</v>
      </c>
      <c r="E57" s="87">
        <v>26.5</v>
      </c>
      <c r="F57" s="87">
        <v>39.5</v>
      </c>
      <c r="G57" s="87">
        <v>52</v>
      </c>
      <c r="H57" s="87">
        <v>65.5</v>
      </c>
      <c r="I57" s="87">
        <v>76.5</v>
      </c>
    </row>
    <row r="58" spans="1:9" x14ac:dyDescent="0.25">
      <c r="A58" s="1">
        <f xml:space="preserve"> ROW( slr_cm[[#This Row],[row_id]] ) - ROW( slr_cm[[#Headers],[row_id]] )</f>
        <v>57</v>
      </c>
      <c r="B58" s="85">
        <v>2056</v>
      </c>
      <c r="C58" s="87">
        <v>0</v>
      </c>
      <c r="D58" s="87">
        <v>17.8</v>
      </c>
      <c r="E58" s="87">
        <v>27</v>
      </c>
      <c r="F58" s="87">
        <v>40.6</v>
      </c>
      <c r="G58" s="87">
        <v>53.6</v>
      </c>
      <c r="H58" s="87">
        <v>67.8</v>
      </c>
      <c r="I58" s="87">
        <v>79.2</v>
      </c>
    </row>
    <row r="59" spans="1:9" x14ac:dyDescent="0.25">
      <c r="A59" s="1">
        <f xml:space="preserve"> ROW( slr_cm[[#This Row],[row_id]] ) - ROW( slr_cm[[#Headers],[row_id]] )</f>
        <v>58</v>
      </c>
      <c r="B59" s="85">
        <v>2057</v>
      </c>
      <c r="C59" s="87">
        <v>0</v>
      </c>
      <c r="D59" s="87">
        <v>18.100000000000001</v>
      </c>
      <c r="E59" s="87">
        <v>27.5</v>
      </c>
      <c r="F59" s="87">
        <v>41.7</v>
      </c>
      <c r="G59" s="87">
        <v>55.2</v>
      </c>
      <c r="H59" s="87">
        <v>70.099999999999994</v>
      </c>
      <c r="I59" s="87">
        <v>81.900000000000006</v>
      </c>
    </row>
    <row r="60" spans="1:9" x14ac:dyDescent="0.25">
      <c r="A60" s="1">
        <f xml:space="preserve"> ROW( slr_cm[[#This Row],[row_id]] ) - ROW( slr_cm[[#Headers],[row_id]] )</f>
        <v>59</v>
      </c>
      <c r="B60" s="85">
        <v>2058</v>
      </c>
      <c r="C60" s="87">
        <v>0</v>
      </c>
      <c r="D60" s="87">
        <v>18.399999999999999</v>
      </c>
      <c r="E60" s="87">
        <v>28</v>
      </c>
      <c r="F60" s="87">
        <v>42.8</v>
      </c>
      <c r="G60" s="87">
        <v>56.8</v>
      </c>
      <c r="H60" s="87">
        <v>72.400000000000006</v>
      </c>
      <c r="I60" s="87">
        <v>84.6</v>
      </c>
    </row>
    <row r="61" spans="1:9" x14ac:dyDescent="0.25">
      <c r="A61" s="1">
        <f xml:space="preserve"> ROW( slr_cm[[#This Row],[row_id]] ) - ROW( slr_cm[[#Headers],[row_id]] )</f>
        <v>60</v>
      </c>
      <c r="B61" s="85">
        <v>2059</v>
      </c>
      <c r="C61" s="87">
        <v>0</v>
      </c>
      <c r="D61" s="87">
        <v>18.7</v>
      </c>
      <c r="E61" s="87">
        <v>28.5</v>
      </c>
      <c r="F61" s="87">
        <v>43.9</v>
      </c>
      <c r="G61" s="87">
        <v>58.4</v>
      </c>
      <c r="H61" s="87">
        <v>74.7</v>
      </c>
      <c r="I61" s="87">
        <v>87.3</v>
      </c>
    </row>
    <row r="62" spans="1:9" x14ac:dyDescent="0.25">
      <c r="A62" s="1">
        <f xml:space="preserve"> ROW( slr_cm[[#This Row],[row_id]] ) - ROW( slr_cm[[#Headers],[row_id]] )</f>
        <v>61</v>
      </c>
      <c r="B62" s="85">
        <v>2060</v>
      </c>
      <c r="C62" s="87">
        <v>0</v>
      </c>
      <c r="D62" s="87">
        <v>19</v>
      </c>
      <c r="E62" s="87">
        <v>29</v>
      </c>
      <c r="F62" s="87">
        <v>45</v>
      </c>
      <c r="G62" s="87">
        <v>60</v>
      </c>
      <c r="H62" s="87">
        <v>77</v>
      </c>
      <c r="I62" s="87">
        <v>90</v>
      </c>
    </row>
    <row r="63" spans="1:9" x14ac:dyDescent="0.25">
      <c r="A63" s="1">
        <f xml:space="preserve"> ROW( slr_cm[[#This Row],[row_id]] ) - ROW( slr_cm[[#Headers],[row_id]] )</f>
        <v>62</v>
      </c>
      <c r="B63" s="85">
        <v>2061</v>
      </c>
      <c r="C63" s="87">
        <v>0</v>
      </c>
      <c r="D63" s="87">
        <v>19.3</v>
      </c>
      <c r="E63" s="87">
        <v>29.6</v>
      </c>
      <c r="F63" s="87">
        <v>46.2</v>
      </c>
      <c r="G63" s="87">
        <v>61.9</v>
      </c>
      <c r="H63" s="87">
        <v>79.3</v>
      </c>
      <c r="I63" s="87">
        <v>93</v>
      </c>
    </row>
    <row r="64" spans="1:9" x14ac:dyDescent="0.25">
      <c r="A64" s="1">
        <f xml:space="preserve"> ROW( slr_cm[[#This Row],[row_id]] ) - ROW( slr_cm[[#Headers],[row_id]] )</f>
        <v>63</v>
      </c>
      <c r="B64" s="85">
        <v>2062</v>
      </c>
      <c r="C64" s="87">
        <v>0</v>
      </c>
      <c r="D64" s="87">
        <v>19.600000000000001</v>
      </c>
      <c r="E64" s="87">
        <v>30.2</v>
      </c>
      <c r="F64" s="87">
        <v>47.4</v>
      </c>
      <c r="G64" s="87">
        <v>63.8</v>
      </c>
      <c r="H64" s="87">
        <v>81.599999999999994</v>
      </c>
      <c r="I64" s="87">
        <v>96</v>
      </c>
    </row>
    <row r="65" spans="1:9" x14ac:dyDescent="0.25">
      <c r="A65" s="1">
        <f xml:space="preserve"> ROW( slr_cm[[#This Row],[row_id]] ) - ROW( slr_cm[[#Headers],[row_id]] )</f>
        <v>64</v>
      </c>
      <c r="B65" s="85">
        <v>2063</v>
      </c>
      <c r="C65" s="87">
        <v>0</v>
      </c>
      <c r="D65" s="87">
        <v>19.899999999999999</v>
      </c>
      <c r="E65" s="87">
        <v>30.8</v>
      </c>
      <c r="F65" s="87">
        <v>48.6</v>
      </c>
      <c r="G65" s="87">
        <v>65.7</v>
      </c>
      <c r="H65" s="87">
        <v>83.9</v>
      </c>
      <c r="I65" s="87">
        <v>99</v>
      </c>
    </row>
    <row r="66" spans="1:9" x14ac:dyDescent="0.25">
      <c r="A66" s="1">
        <f xml:space="preserve"> ROW( slr_cm[[#This Row],[row_id]] ) - ROW( slr_cm[[#Headers],[row_id]] )</f>
        <v>65</v>
      </c>
      <c r="B66" s="85">
        <v>2064</v>
      </c>
      <c r="C66" s="87">
        <v>0</v>
      </c>
      <c r="D66" s="87">
        <v>20.2</v>
      </c>
      <c r="E66" s="87">
        <v>31.4</v>
      </c>
      <c r="F66" s="87">
        <v>49.8</v>
      </c>
      <c r="G66" s="87">
        <v>67.599999999999994</v>
      </c>
      <c r="H66" s="87">
        <v>86.2</v>
      </c>
      <c r="I66" s="87">
        <v>102</v>
      </c>
    </row>
    <row r="67" spans="1:9" x14ac:dyDescent="0.25">
      <c r="A67" s="1">
        <f xml:space="preserve"> ROW( slr_cm[[#This Row],[row_id]] ) - ROW( slr_cm[[#Headers],[row_id]] )</f>
        <v>66</v>
      </c>
      <c r="B67" s="85">
        <v>2065</v>
      </c>
      <c r="C67" s="87">
        <v>0</v>
      </c>
      <c r="D67" s="87">
        <v>20.5</v>
      </c>
      <c r="E67" s="87">
        <v>32</v>
      </c>
      <c r="F67" s="87">
        <v>51</v>
      </c>
      <c r="G67" s="87">
        <v>69.5</v>
      </c>
      <c r="H67" s="87">
        <v>88.5</v>
      </c>
      <c r="I67" s="87">
        <v>105</v>
      </c>
    </row>
    <row r="68" spans="1:9" x14ac:dyDescent="0.25">
      <c r="A68" s="1">
        <f xml:space="preserve"> ROW( slr_cm[[#This Row],[row_id]] ) - ROW( slr_cm[[#Headers],[row_id]] )</f>
        <v>67</v>
      </c>
      <c r="B68" s="85">
        <v>2066</v>
      </c>
      <c r="C68" s="87">
        <v>0</v>
      </c>
      <c r="D68" s="87">
        <v>20.8</v>
      </c>
      <c r="E68" s="87">
        <v>32.6</v>
      </c>
      <c r="F68" s="87">
        <v>52.2</v>
      </c>
      <c r="G68" s="87">
        <v>71.400000000000006</v>
      </c>
      <c r="H68" s="87">
        <v>90.8</v>
      </c>
      <c r="I68" s="87">
        <v>108</v>
      </c>
    </row>
    <row r="69" spans="1:9" x14ac:dyDescent="0.25">
      <c r="A69" s="1">
        <f xml:space="preserve"> ROW( slr_cm[[#This Row],[row_id]] ) - ROW( slr_cm[[#Headers],[row_id]] )</f>
        <v>68</v>
      </c>
      <c r="B69" s="85">
        <v>2067</v>
      </c>
      <c r="C69" s="87">
        <v>0</v>
      </c>
      <c r="D69" s="87">
        <v>21.1</v>
      </c>
      <c r="E69" s="87">
        <v>33.200000000000003</v>
      </c>
      <c r="F69" s="87">
        <v>53.4</v>
      </c>
      <c r="G69" s="87">
        <v>73.3</v>
      </c>
      <c r="H69" s="87">
        <v>93.1</v>
      </c>
      <c r="I69" s="87">
        <v>111</v>
      </c>
    </row>
    <row r="70" spans="1:9" x14ac:dyDescent="0.25">
      <c r="A70" s="1">
        <f xml:space="preserve"> ROW( slr_cm[[#This Row],[row_id]] ) - ROW( slr_cm[[#Headers],[row_id]] )</f>
        <v>69</v>
      </c>
      <c r="B70" s="85">
        <v>2068</v>
      </c>
      <c r="C70" s="87">
        <v>0</v>
      </c>
      <c r="D70" s="87">
        <v>21.4</v>
      </c>
      <c r="E70" s="87">
        <v>33.799999999999997</v>
      </c>
      <c r="F70" s="87">
        <v>54.6</v>
      </c>
      <c r="G70" s="87">
        <v>75.2</v>
      </c>
      <c r="H70" s="87">
        <v>95.4</v>
      </c>
      <c r="I70" s="87">
        <v>114</v>
      </c>
    </row>
    <row r="71" spans="1:9" x14ac:dyDescent="0.25">
      <c r="A71" s="1">
        <f xml:space="preserve"> ROW( slr_cm[[#This Row],[row_id]] ) - ROW( slr_cm[[#Headers],[row_id]] )</f>
        <v>70</v>
      </c>
      <c r="B71" s="85">
        <v>2069</v>
      </c>
      <c r="C71" s="87">
        <v>0</v>
      </c>
      <c r="D71" s="87">
        <v>21.7</v>
      </c>
      <c r="E71" s="87">
        <v>34.4</v>
      </c>
      <c r="F71" s="87">
        <v>55.8</v>
      </c>
      <c r="G71" s="87">
        <v>77.099999999999994</v>
      </c>
      <c r="H71" s="87">
        <v>97.7</v>
      </c>
      <c r="I71" s="87">
        <v>117</v>
      </c>
    </row>
    <row r="72" spans="1:9" x14ac:dyDescent="0.25">
      <c r="A72" s="1">
        <f xml:space="preserve"> ROW( slr_cm[[#This Row],[row_id]] ) - ROW( slr_cm[[#Headers],[row_id]] )</f>
        <v>71</v>
      </c>
      <c r="B72" s="85">
        <v>2070</v>
      </c>
      <c r="C72" s="87">
        <v>0</v>
      </c>
      <c r="D72" s="87">
        <v>22</v>
      </c>
      <c r="E72" s="87">
        <v>35</v>
      </c>
      <c r="F72" s="87">
        <v>57</v>
      </c>
      <c r="G72" s="87">
        <v>79</v>
      </c>
      <c r="H72" s="87">
        <v>100</v>
      </c>
      <c r="I72" s="87">
        <v>120</v>
      </c>
    </row>
    <row r="73" spans="1:9" x14ac:dyDescent="0.25">
      <c r="A73" s="1">
        <f xml:space="preserve"> ROW( slr_cm[[#This Row],[row_id]] ) - ROW( slr_cm[[#Headers],[row_id]] )</f>
        <v>72</v>
      </c>
      <c r="B73" s="85">
        <v>2071</v>
      </c>
      <c r="C73" s="87">
        <v>0</v>
      </c>
      <c r="D73" s="87">
        <v>22.3</v>
      </c>
      <c r="E73" s="87">
        <v>35.5</v>
      </c>
      <c r="F73" s="87">
        <v>58.4</v>
      </c>
      <c r="G73" s="87">
        <v>81.099999999999994</v>
      </c>
      <c r="H73" s="87">
        <v>103</v>
      </c>
      <c r="I73" s="87">
        <v>124</v>
      </c>
    </row>
    <row r="74" spans="1:9" x14ac:dyDescent="0.25">
      <c r="A74" s="1">
        <f xml:space="preserve"> ROW( slr_cm[[#This Row],[row_id]] ) - ROW( slr_cm[[#Headers],[row_id]] )</f>
        <v>73</v>
      </c>
      <c r="B74" s="85">
        <v>2072</v>
      </c>
      <c r="C74" s="87">
        <v>0</v>
      </c>
      <c r="D74" s="87">
        <v>22.6</v>
      </c>
      <c r="E74" s="87">
        <v>36</v>
      </c>
      <c r="F74" s="87">
        <v>59.8</v>
      </c>
      <c r="G74" s="87">
        <v>83.2</v>
      </c>
      <c r="H74" s="87">
        <v>106</v>
      </c>
      <c r="I74" s="87">
        <v>128</v>
      </c>
    </row>
    <row r="75" spans="1:9" x14ac:dyDescent="0.25">
      <c r="A75" s="1">
        <f xml:space="preserve"> ROW( slr_cm[[#This Row],[row_id]] ) - ROW( slr_cm[[#Headers],[row_id]] )</f>
        <v>74</v>
      </c>
      <c r="B75" s="85">
        <v>2073</v>
      </c>
      <c r="C75" s="87">
        <v>0</v>
      </c>
      <c r="D75" s="87">
        <v>22.9</v>
      </c>
      <c r="E75" s="87">
        <v>36.5</v>
      </c>
      <c r="F75" s="87">
        <v>61.2</v>
      </c>
      <c r="G75" s="87">
        <v>85.3</v>
      </c>
      <c r="H75" s="87">
        <v>109</v>
      </c>
      <c r="I75" s="87">
        <v>132</v>
      </c>
    </row>
    <row r="76" spans="1:9" x14ac:dyDescent="0.25">
      <c r="A76" s="1">
        <f xml:space="preserve"> ROW( slr_cm[[#This Row],[row_id]] ) - ROW( slr_cm[[#Headers],[row_id]] )</f>
        <v>75</v>
      </c>
      <c r="B76" s="85">
        <v>2074</v>
      </c>
      <c r="C76" s="87">
        <v>0</v>
      </c>
      <c r="D76" s="87">
        <v>23.2</v>
      </c>
      <c r="E76" s="87">
        <v>37</v>
      </c>
      <c r="F76" s="87">
        <v>62.6</v>
      </c>
      <c r="G76" s="87">
        <v>87.4</v>
      </c>
      <c r="H76" s="87">
        <v>112</v>
      </c>
      <c r="I76" s="87">
        <v>136</v>
      </c>
    </row>
    <row r="77" spans="1:9" x14ac:dyDescent="0.25">
      <c r="A77" s="1">
        <f xml:space="preserve"> ROW( slr_cm[[#This Row],[row_id]] ) - ROW( slr_cm[[#Headers],[row_id]] )</f>
        <v>76</v>
      </c>
      <c r="B77" s="85">
        <v>2075</v>
      </c>
      <c r="C77" s="87">
        <v>0</v>
      </c>
      <c r="D77" s="87">
        <v>23.5</v>
      </c>
      <c r="E77" s="87">
        <v>37.5</v>
      </c>
      <c r="F77" s="87">
        <v>64</v>
      </c>
      <c r="G77" s="87">
        <v>89.5</v>
      </c>
      <c r="H77" s="87">
        <v>115</v>
      </c>
      <c r="I77" s="87">
        <v>140</v>
      </c>
    </row>
    <row r="78" spans="1:9" x14ac:dyDescent="0.25">
      <c r="A78" s="1">
        <f xml:space="preserve"> ROW( slr_cm[[#This Row],[row_id]] ) - ROW( slr_cm[[#Headers],[row_id]] )</f>
        <v>77</v>
      </c>
      <c r="B78" s="85">
        <v>2076</v>
      </c>
      <c r="C78" s="87">
        <v>0</v>
      </c>
      <c r="D78" s="87">
        <v>23.8</v>
      </c>
      <c r="E78" s="87">
        <v>38</v>
      </c>
      <c r="F78" s="87">
        <v>65.400000000000006</v>
      </c>
      <c r="G78" s="87">
        <v>91.6</v>
      </c>
      <c r="H78" s="87">
        <v>118</v>
      </c>
      <c r="I78" s="87">
        <v>144</v>
      </c>
    </row>
    <row r="79" spans="1:9" x14ac:dyDescent="0.25">
      <c r="A79" s="1">
        <f xml:space="preserve"> ROW( slr_cm[[#This Row],[row_id]] ) - ROW( slr_cm[[#Headers],[row_id]] )</f>
        <v>78</v>
      </c>
      <c r="B79" s="85">
        <v>2077</v>
      </c>
      <c r="C79" s="87">
        <v>0</v>
      </c>
      <c r="D79" s="87">
        <v>24.1</v>
      </c>
      <c r="E79" s="87">
        <v>38.5</v>
      </c>
      <c r="F79" s="87">
        <v>66.8</v>
      </c>
      <c r="G79" s="87">
        <v>93.7</v>
      </c>
      <c r="H79" s="87">
        <v>121</v>
      </c>
      <c r="I79" s="87">
        <v>148</v>
      </c>
    </row>
    <row r="80" spans="1:9" x14ac:dyDescent="0.25">
      <c r="A80" s="1">
        <f xml:space="preserve"> ROW( slr_cm[[#This Row],[row_id]] ) - ROW( slr_cm[[#Headers],[row_id]] )</f>
        <v>79</v>
      </c>
      <c r="B80" s="85">
        <v>2078</v>
      </c>
      <c r="C80" s="87">
        <v>0</v>
      </c>
      <c r="D80" s="87">
        <v>24.4</v>
      </c>
      <c r="E80" s="87">
        <v>39</v>
      </c>
      <c r="F80" s="87">
        <v>68.2</v>
      </c>
      <c r="G80" s="87">
        <v>95.8</v>
      </c>
      <c r="H80" s="87">
        <v>124</v>
      </c>
      <c r="I80" s="87">
        <v>152</v>
      </c>
    </row>
    <row r="81" spans="1:9" x14ac:dyDescent="0.25">
      <c r="A81" s="1">
        <f xml:space="preserve"> ROW( slr_cm[[#This Row],[row_id]] ) - ROW( slr_cm[[#Headers],[row_id]] )</f>
        <v>80</v>
      </c>
      <c r="B81" s="85">
        <v>2079</v>
      </c>
      <c r="C81" s="87">
        <v>0</v>
      </c>
      <c r="D81" s="87">
        <v>24.7</v>
      </c>
      <c r="E81" s="87">
        <v>39.5</v>
      </c>
      <c r="F81" s="87">
        <v>69.599999999999994</v>
      </c>
      <c r="G81" s="87">
        <v>97.9</v>
      </c>
      <c r="H81" s="87">
        <v>127</v>
      </c>
      <c r="I81" s="87">
        <v>156</v>
      </c>
    </row>
    <row r="82" spans="1:9" x14ac:dyDescent="0.25">
      <c r="A82" s="1">
        <f xml:space="preserve"> ROW( slr_cm[[#This Row],[row_id]] ) - ROW( slr_cm[[#Headers],[row_id]] )</f>
        <v>81</v>
      </c>
      <c r="B82" s="85">
        <v>2080</v>
      </c>
      <c r="C82" s="87">
        <v>0</v>
      </c>
      <c r="D82" s="87">
        <v>25</v>
      </c>
      <c r="E82" s="87">
        <v>40</v>
      </c>
      <c r="F82" s="87">
        <v>71</v>
      </c>
      <c r="G82" s="87">
        <v>100</v>
      </c>
      <c r="H82" s="87">
        <v>130</v>
      </c>
      <c r="I82" s="87">
        <v>160</v>
      </c>
    </row>
    <row r="83" spans="1:9" x14ac:dyDescent="0.25">
      <c r="A83" s="1">
        <f xml:space="preserve"> ROW( slr_cm[[#This Row],[row_id]] ) - ROW( slr_cm[[#Headers],[row_id]] )</f>
        <v>82</v>
      </c>
      <c r="B83" s="85">
        <v>2081</v>
      </c>
      <c r="C83" s="87">
        <v>0</v>
      </c>
      <c r="D83" s="87">
        <v>25.3</v>
      </c>
      <c r="E83" s="87">
        <v>40.5</v>
      </c>
      <c r="F83" s="87">
        <v>72.400000000000006</v>
      </c>
      <c r="G83" s="87">
        <v>102</v>
      </c>
      <c r="H83" s="87">
        <v>134</v>
      </c>
      <c r="I83" s="87">
        <v>164</v>
      </c>
    </row>
    <row r="84" spans="1:9" x14ac:dyDescent="0.25">
      <c r="A84" s="1">
        <f xml:space="preserve"> ROW( slr_cm[[#This Row],[row_id]] ) - ROW( slr_cm[[#Headers],[row_id]] )</f>
        <v>83</v>
      </c>
      <c r="B84" s="85">
        <v>2082</v>
      </c>
      <c r="C84" s="87">
        <v>0</v>
      </c>
      <c r="D84" s="87">
        <v>25.6</v>
      </c>
      <c r="E84" s="87">
        <v>41</v>
      </c>
      <c r="F84" s="87">
        <v>73.8</v>
      </c>
      <c r="G84" s="87">
        <v>104</v>
      </c>
      <c r="H84" s="87">
        <v>138</v>
      </c>
      <c r="I84" s="87">
        <v>168</v>
      </c>
    </row>
    <row r="85" spans="1:9" x14ac:dyDescent="0.25">
      <c r="A85" s="1">
        <f xml:space="preserve"> ROW( slr_cm[[#This Row],[row_id]] ) - ROW( slr_cm[[#Headers],[row_id]] )</f>
        <v>84</v>
      </c>
      <c r="B85" s="85">
        <v>2083</v>
      </c>
      <c r="C85" s="87">
        <v>0</v>
      </c>
      <c r="D85" s="87">
        <v>25.9</v>
      </c>
      <c r="E85" s="87">
        <v>41.5</v>
      </c>
      <c r="F85" s="87">
        <v>75.2</v>
      </c>
      <c r="G85" s="87">
        <v>106</v>
      </c>
      <c r="H85" s="87">
        <v>142</v>
      </c>
      <c r="I85" s="87">
        <v>172</v>
      </c>
    </row>
    <row r="86" spans="1:9" x14ac:dyDescent="0.25">
      <c r="A86" s="1">
        <f xml:space="preserve"> ROW( slr_cm[[#This Row],[row_id]] ) - ROW( slr_cm[[#Headers],[row_id]] )</f>
        <v>85</v>
      </c>
      <c r="B86" s="85">
        <v>2084</v>
      </c>
      <c r="C86" s="87">
        <v>0</v>
      </c>
      <c r="D86" s="87">
        <v>26.2</v>
      </c>
      <c r="E86" s="87">
        <v>42</v>
      </c>
      <c r="F86" s="87">
        <v>76.599999999999994</v>
      </c>
      <c r="G86" s="87">
        <v>108</v>
      </c>
      <c r="H86" s="87">
        <v>146</v>
      </c>
      <c r="I86" s="87">
        <v>176</v>
      </c>
    </row>
    <row r="87" spans="1:9" x14ac:dyDescent="0.25">
      <c r="A87" s="1">
        <f xml:space="preserve"> ROW( slr_cm[[#This Row],[row_id]] ) - ROW( slr_cm[[#Headers],[row_id]] )</f>
        <v>86</v>
      </c>
      <c r="B87" s="85">
        <v>2085</v>
      </c>
      <c r="C87" s="87">
        <v>0</v>
      </c>
      <c r="D87" s="87">
        <v>26.5</v>
      </c>
      <c r="E87" s="87">
        <v>42.5</v>
      </c>
      <c r="F87" s="87">
        <v>78</v>
      </c>
      <c r="G87" s="87">
        <v>110</v>
      </c>
      <c r="H87" s="87">
        <v>150</v>
      </c>
      <c r="I87" s="87">
        <v>180</v>
      </c>
    </row>
    <row r="88" spans="1:9" x14ac:dyDescent="0.25">
      <c r="A88" s="1">
        <f xml:space="preserve"> ROW( slr_cm[[#This Row],[row_id]] ) - ROW( slr_cm[[#Headers],[row_id]] )</f>
        <v>87</v>
      </c>
      <c r="B88" s="85">
        <v>2086</v>
      </c>
      <c r="C88" s="87">
        <v>0</v>
      </c>
      <c r="D88" s="87">
        <v>26.8</v>
      </c>
      <c r="E88" s="87">
        <v>43</v>
      </c>
      <c r="F88" s="87">
        <v>79.400000000000006</v>
      </c>
      <c r="G88" s="87">
        <v>112</v>
      </c>
      <c r="H88" s="87">
        <v>154</v>
      </c>
      <c r="I88" s="87">
        <v>184</v>
      </c>
    </row>
    <row r="89" spans="1:9" x14ac:dyDescent="0.25">
      <c r="A89" s="1">
        <f xml:space="preserve"> ROW( slr_cm[[#This Row],[row_id]] ) - ROW( slr_cm[[#Headers],[row_id]] )</f>
        <v>88</v>
      </c>
      <c r="B89" s="85">
        <v>2087</v>
      </c>
      <c r="C89" s="87">
        <v>0</v>
      </c>
      <c r="D89" s="87">
        <v>27.1</v>
      </c>
      <c r="E89" s="87">
        <v>43.5</v>
      </c>
      <c r="F89" s="87">
        <v>80.8</v>
      </c>
      <c r="G89" s="87">
        <v>114</v>
      </c>
      <c r="H89" s="87">
        <v>158</v>
      </c>
      <c r="I89" s="87">
        <v>188</v>
      </c>
    </row>
    <row r="90" spans="1:9" x14ac:dyDescent="0.25">
      <c r="A90" s="1">
        <f xml:space="preserve"> ROW( slr_cm[[#This Row],[row_id]] ) - ROW( slr_cm[[#Headers],[row_id]] )</f>
        <v>89</v>
      </c>
      <c r="B90" s="85">
        <v>2088</v>
      </c>
      <c r="C90" s="87">
        <v>0</v>
      </c>
      <c r="D90" s="87">
        <v>27.4</v>
      </c>
      <c r="E90" s="87">
        <v>44</v>
      </c>
      <c r="F90" s="87">
        <v>82.2</v>
      </c>
      <c r="G90" s="87">
        <v>116</v>
      </c>
      <c r="H90" s="87">
        <v>162</v>
      </c>
      <c r="I90" s="87">
        <v>192</v>
      </c>
    </row>
    <row r="91" spans="1:9" x14ac:dyDescent="0.25">
      <c r="A91" s="1">
        <f xml:space="preserve"> ROW( slr_cm[[#This Row],[row_id]] ) - ROW( slr_cm[[#Headers],[row_id]] )</f>
        <v>90</v>
      </c>
      <c r="B91" s="85">
        <v>2089</v>
      </c>
      <c r="C91" s="87">
        <v>0</v>
      </c>
      <c r="D91" s="87">
        <v>27.7</v>
      </c>
      <c r="E91" s="87">
        <v>44.5</v>
      </c>
      <c r="F91" s="87">
        <v>83.6</v>
      </c>
      <c r="G91" s="87">
        <v>118</v>
      </c>
      <c r="H91" s="87">
        <v>166</v>
      </c>
      <c r="I91" s="87">
        <v>196</v>
      </c>
    </row>
    <row r="92" spans="1:9" x14ac:dyDescent="0.25">
      <c r="A92" s="1">
        <f xml:space="preserve"> ROW( slr_cm[[#This Row],[row_id]] ) - ROW( slr_cm[[#Headers],[row_id]] )</f>
        <v>91</v>
      </c>
      <c r="B92" s="85">
        <v>2090</v>
      </c>
      <c r="C92" s="87">
        <v>0</v>
      </c>
      <c r="D92" s="87">
        <v>28</v>
      </c>
      <c r="E92" s="87">
        <v>45</v>
      </c>
      <c r="F92" s="87">
        <v>85</v>
      </c>
      <c r="G92" s="87">
        <v>120</v>
      </c>
      <c r="H92" s="87">
        <v>170</v>
      </c>
      <c r="I92" s="87">
        <v>200</v>
      </c>
    </row>
    <row r="93" spans="1:9" x14ac:dyDescent="0.25">
      <c r="A93" s="1">
        <f xml:space="preserve"> ROW( slr_cm[[#This Row],[row_id]] ) - ROW( slr_cm[[#Headers],[row_id]] )</f>
        <v>92</v>
      </c>
      <c r="B93" s="85">
        <v>2091</v>
      </c>
      <c r="C93" s="87">
        <v>0</v>
      </c>
      <c r="D93" s="87">
        <v>28.2</v>
      </c>
      <c r="E93" s="87">
        <v>45.5</v>
      </c>
      <c r="F93" s="87">
        <v>86.5</v>
      </c>
      <c r="G93" s="87">
        <v>123</v>
      </c>
      <c r="H93" s="87">
        <v>173</v>
      </c>
      <c r="I93" s="87">
        <v>205</v>
      </c>
    </row>
    <row r="94" spans="1:9" x14ac:dyDescent="0.25">
      <c r="A94" s="1">
        <f xml:space="preserve"> ROW( slr_cm[[#This Row],[row_id]] ) - ROW( slr_cm[[#Headers],[row_id]] )</f>
        <v>93</v>
      </c>
      <c r="B94" s="85">
        <v>2092</v>
      </c>
      <c r="C94" s="87">
        <v>0</v>
      </c>
      <c r="D94" s="87">
        <v>28.4</v>
      </c>
      <c r="E94" s="87">
        <v>46</v>
      </c>
      <c r="F94" s="87">
        <v>88</v>
      </c>
      <c r="G94" s="87">
        <v>126</v>
      </c>
      <c r="H94" s="87">
        <v>176</v>
      </c>
      <c r="I94" s="87">
        <v>210</v>
      </c>
    </row>
    <row r="95" spans="1:9" x14ac:dyDescent="0.25">
      <c r="A95" s="1">
        <f xml:space="preserve"> ROW( slr_cm[[#This Row],[row_id]] ) - ROW( slr_cm[[#Headers],[row_id]] )</f>
        <v>94</v>
      </c>
      <c r="B95" s="85">
        <v>2093</v>
      </c>
      <c r="C95" s="87">
        <v>0</v>
      </c>
      <c r="D95" s="87">
        <v>28.6</v>
      </c>
      <c r="E95" s="87">
        <v>46.5</v>
      </c>
      <c r="F95" s="87">
        <v>89.5</v>
      </c>
      <c r="G95" s="87">
        <v>129</v>
      </c>
      <c r="H95" s="87">
        <v>179</v>
      </c>
      <c r="I95" s="87">
        <v>215</v>
      </c>
    </row>
    <row r="96" spans="1:9" x14ac:dyDescent="0.25">
      <c r="A96" s="1">
        <f xml:space="preserve"> ROW( slr_cm[[#This Row],[row_id]] ) - ROW( slr_cm[[#Headers],[row_id]] )</f>
        <v>95</v>
      </c>
      <c r="B96" s="85">
        <v>2094</v>
      </c>
      <c r="C96" s="87">
        <v>0</v>
      </c>
      <c r="D96" s="87">
        <v>28.8</v>
      </c>
      <c r="E96" s="87">
        <v>47</v>
      </c>
      <c r="F96" s="87">
        <v>91</v>
      </c>
      <c r="G96" s="87">
        <v>132</v>
      </c>
      <c r="H96" s="87">
        <v>182</v>
      </c>
      <c r="I96" s="87">
        <v>220</v>
      </c>
    </row>
    <row r="97" spans="1:9" x14ac:dyDescent="0.25">
      <c r="A97" s="1">
        <f xml:space="preserve"> ROW( slr_cm[[#This Row],[row_id]] ) - ROW( slr_cm[[#Headers],[row_id]] )</f>
        <v>96</v>
      </c>
      <c r="B97" s="85">
        <v>2095</v>
      </c>
      <c r="C97" s="87">
        <v>0</v>
      </c>
      <c r="D97" s="87">
        <v>29</v>
      </c>
      <c r="E97" s="87">
        <v>47.5</v>
      </c>
      <c r="F97" s="87">
        <v>92.5</v>
      </c>
      <c r="G97" s="87">
        <v>135</v>
      </c>
      <c r="H97" s="87">
        <v>185</v>
      </c>
      <c r="I97" s="87">
        <v>225</v>
      </c>
    </row>
    <row r="98" spans="1:9" x14ac:dyDescent="0.25">
      <c r="A98" s="1">
        <f xml:space="preserve"> ROW( slr_cm[[#This Row],[row_id]] ) - ROW( slr_cm[[#Headers],[row_id]] )</f>
        <v>97</v>
      </c>
      <c r="B98" s="85">
        <v>2096</v>
      </c>
      <c r="C98" s="87">
        <v>0</v>
      </c>
      <c r="D98" s="87">
        <v>29.2</v>
      </c>
      <c r="E98" s="87">
        <v>48</v>
      </c>
      <c r="F98" s="87">
        <v>94</v>
      </c>
      <c r="G98" s="87">
        <v>138</v>
      </c>
      <c r="H98" s="87">
        <v>188</v>
      </c>
      <c r="I98" s="87">
        <v>230</v>
      </c>
    </row>
    <row r="99" spans="1:9" x14ac:dyDescent="0.25">
      <c r="A99" s="1">
        <f xml:space="preserve"> ROW( slr_cm[[#This Row],[row_id]] ) - ROW( slr_cm[[#Headers],[row_id]] )</f>
        <v>98</v>
      </c>
      <c r="B99" s="85">
        <v>2097</v>
      </c>
      <c r="C99" s="87">
        <v>0</v>
      </c>
      <c r="D99" s="87">
        <v>29.4</v>
      </c>
      <c r="E99" s="87">
        <v>48.5</v>
      </c>
      <c r="F99" s="87">
        <v>95.5</v>
      </c>
      <c r="G99" s="87">
        <v>141</v>
      </c>
      <c r="H99" s="87">
        <v>191</v>
      </c>
      <c r="I99" s="87">
        <v>235</v>
      </c>
    </row>
    <row r="100" spans="1:9" x14ac:dyDescent="0.25">
      <c r="A100" s="1">
        <f xml:space="preserve"> ROW( slr_cm[[#This Row],[row_id]] ) - ROW( slr_cm[[#Headers],[row_id]] )</f>
        <v>99</v>
      </c>
      <c r="B100" s="85">
        <v>2098</v>
      </c>
      <c r="C100" s="87">
        <v>0</v>
      </c>
      <c r="D100" s="87">
        <v>29.6</v>
      </c>
      <c r="E100" s="87">
        <v>49</v>
      </c>
      <c r="F100" s="87">
        <v>97</v>
      </c>
      <c r="G100" s="87">
        <v>144</v>
      </c>
      <c r="H100" s="87">
        <v>194</v>
      </c>
      <c r="I100" s="87">
        <v>240</v>
      </c>
    </row>
    <row r="101" spans="1:9" x14ac:dyDescent="0.25">
      <c r="A101" s="1">
        <f xml:space="preserve"> ROW( slr_cm[[#This Row],[row_id]] ) - ROW( slr_cm[[#Headers],[row_id]] )</f>
        <v>100</v>
      </c>
      <c r="B101" s="85">
        <v>2099</v>
      </c>
      <c r="C101" s="87">
        <v>0</v>
      </c>
      <c r="D101" s="87">
        <v>29.8</v>
      </c>
      <c r="E101" s="87">
        <v>49.5</v>
      </c>
      <c r="F101" s="87">
        <v>98.5</v>
      </c>
      <c r="G101" s="87">
        <v>147</v>
      </c>
      <c r="H101" s="87">
        <v>197</v>
      </c>
      <c r="I101" s="87">
        <v>245</v>
      </c>
    </row>
    <row r="102" spans="1:9" x14ac:dyDescent="0.25">
      <c r="A102" s="1">
        <f xml:space="preserve"> ROW( slr_cm[[#This Row],[row_id]] ) - ROW( slr_cm[[#Headers],[row_id]] )</f>
        <v>101</v>
      </c>
      <c r="B102" s="85">
        <v>2100</v>
      </c>
      <c r="C102" s="87">
        <v>0</v>
      </c>
      <c r="D102" s="87">
        <v>30</v>
      </c>
      <c r="E102" s="87">
        <v>50</v>
      </c>
      <c r="F102" s="87">
        <v>100</v>
      </c>
      <c r="G102" s="87">
        <v>150</v>
      </c>
      <c r="H102" s="87">
        <v>200</v>
      </c>
      <c r="I102" s="87">
        <v>250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20</vt:i4>
      </vt:variant>
    </vt:vector>
  </HeadingPairs>
  <TitlesOfParts>
    <vt:vector size="26" baseType="lpstr">
      <vt:lpstr>ReadMe</vt:lpstr>
      <vt:lpstr>tableNames</vt:lpstr>
      <vt:lpstr>controlTables</vt:lpstr>
      <vt:lpstr>slrReadMe</vt:lpstr>
      <vt:lpstr>testDev</vt:lpstr>
      <vt:lpstr>slr_cm</vt:lpstr>
      <vt:lpstr>k_coBillions</vt:lpstr>
      <vt:lpstr>k_coMillions</vt:lpstr>
      <vt:lpstr>k_coThousands</vt:lpstr>
      <vt:lpstr>list_co_gcms</vt:lpstr>
      <vt:lpstr>loc_coAdaptations</vt:lpstr>
      <vt:lpstr>loc_coConstants</vt:lpstr>
      <vt:lpstr>loc_coImpactTypes</vt:lpstr>
      <vt:lpstr>loc_coImpactYears</vt:lpstr>
      <vt:lpstr>loc_coInputScenarioInfo</vt:lpstr>
      <vt:lpstr>loc_colorLegend</vt:lpstr>
      <vt:lpstr>loc_coModels</vt:lpstr>
      <vt:lpstr>loc_coModelTypes</vt:lpstr>
      <vt:lpstr>loc_controlTOC</vt:lpstr>
      <vt:lpstr>loc_coRegions</vt:lpstr>
      <vt:lpstr>loc_coScalars</vt:lpstr>
      <vt:lpstr>loc_coSectors</vt:lpstr>
      <vt:lpstr>loc_coStates</vt:lpstr>
      <vt:lpstr>loc_econMultipliers</vt:lpstr>
      <vt:lpstr>SectorDropDown</vt:lpstr>
      <vt:lpstr>SectorDropDown_1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2021-04-05T21:38:13Z</dcterms:created>
  <dcterms:modified xsi:type="dcterms:W3CDTF">2025-07-28T22:11:27Z</dcterms:modified>
</cp:coreProperties>
</file>