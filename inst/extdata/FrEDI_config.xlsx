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comments3.xml" ContentType="application/vnd.openxmlformats-officedocument.spreadsheetml.comments+xml"/>
  <Override PartName="/xl/threadedComments/threadedComment3.xml" ContentType="application/vnd.ms-excel.threadedcomments+xml"/>
  <Override PartName="/xl/tables/table22.xml" ContentType="application/vnd.openxmlformats-officedocument.spreadsheetml.table+xml"/>
  <Override PartName="/xl/comments4.xml" ContentType="application/vnd.openxmlformats-officedocument.spreadsheetml.comments+xml"/>
  <Override PartName="/xl/threadedComments/threadedComment4.xml" ContentType="application/vnd.ms-excel.threadedcomments+xml"/>
  <Override PartName="/xl/tables/table23.xml" ContentType="application/vnd.openxmlformats-officedocument.spreadsheetml.table+xml"/>
  <Override PartName="/xl/tables/table2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filterPrivacy="1" updateLinks="never" codeName="ThisWorkbook" defaultThemeVersion="166925"/>
  <xr:revisionPtr revIDLastSave="0" documentId="13_ncr:1_{59260112-C3C5-4024-99ED-5E135C997EC7}" xr6:coauthVersionLast="47" xr6:coauthVersionMax="47" xr10:uidLastSave="{00000000-0000-0000-0000-000000000000}"/>
  <bookViews>
    <workbookView xWindow="28680" yWindow="-120" windowWidth="29040" windowHeight="15720" tabRatio="764" activeTab="3" xr2:uid="{00000000-000D-0000-FFFF-FFFF00000000}"/>
  </bookViews>
  <sheets>
    <sheet name="ReadMe" sheetId="48" r:id="rId1"/>
    <sheet name="tableNames" sheetId="43" r:id="rId2"/>
    <sheet name="testDev" sheetId="52" r:id="rId3"/>
    <sheet name="controlTables" sheetId="24" r:id="rId4"/>
    <sheet name="defaultScenario" sheetId="46" r:id="rId5"/>
    <sheet name="slrReadMe" sheetId="50" state="hidden" r:id="rId6"/>
    <sheet name="scalarData" sheetId="44" r:id="rId7"/>
    <sheet name="scaledImpacts" sheetId="25" r:id="rId8"/>
    <sheet name="slr_cm" sheetId="49" r:id="rId9"/>
    <sheet name="slrImpacts" sheetId="51" r:id="rId10"/>
  </sheets>
  <definedNames>
    <definedName name="_xlnm._FilterDatabase" localSheetId="6" hidden="1">scalarData!$E$1:$G$1490</definedName>
    <definedName name="k_coBillions">controlTables!$D$219</definedName>
    <definedName name="k_coMillions">controlTables!$D$220</definedName>
    <definedName name="k_coThousands">controlTables!$D$221</definedName>
    <definedName name="list_co_gcms">co_models[model_id]</definedName>
    <definedName name="list_coimpactYearOptions" xml:space="preserve"> OFFSET( INDIRECT( ADDRESS( ROW( co_impactYears[[#Headers],[row_id]] ), COLUMN(co_impactYears[[#Headers],[2090]]), , , "DropDownMenus" ) ), 1, 0, mv_coNum_impactYears, 1 )</definedName>
    <definedName name="loc_coAdaptations">co_variants[[#Headers],[row_id]]</definedName>
    <definedName name="loc_coConstants">co_constants[[#Headers],[row_id]]</definedName>
    <definedName name="loc_coImpactTypes">co_impactTypes[[#Headers],[row_id]]</definedName>
    <definedName name="loc_coImpactYears">co_impactYears[[#Headers],[row_id]]</definedName>
    <definedName name="loc_coInputScenarioInfo">co_inputScenarioInfo[[#Headers],[row_id]]</definedName>
    <definedName name="loc_colorLegend">controlTables!$C$16</definedName>
    <definedName name="loc_coModels">co_models[[#Headers],[row_id]]</definedName>
    <definedName name="loc_coModelTypes">co_modelTypes[[#Headers],[row_id]]</definedName>
    <definedName name="loc_controlTOC">controlTables!$B$1</definedName>
    <definedName name="loc_coRegions">co_regions[[#Headers],[row_id]]</definedName>
    <definedName name="loc_coScalars">co_scalarInfo[[#Headers],[row_id]]</definedName>
    <definedName name="loc_coSectors">co_sectors[[#Headers],[row_id]]</definedName>
    <definedName name="loc_coStates">co_impactYears[[#Headers],[row_id]]</definedName>
    <definedName name="loc_econMultipliers">co_econMultipliers[[#Headers],[row_id]]</definedName>
    <definedName name="num_gcms" localSheetId="6">MAX(co_models[row_id])</definedName>
    <definedName name="num_gcms">MAX(co_models[row_id])</definedName>
    <definedName name="SectorDropDown">controlTables!$D$21:$D$32</definedName>
    <definedName name="SectorDropDown_1">controlTables!$D$21:$D$37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44" l="1"/>
  <c r="C3" i="44"/>
  <c r="C4" i="44"/>
  <c r="C5" i="44"/>
  <c r="C6" i="44"/>
  <c r="C7" i="44"/>
  <c r="C8" i="44"/>
  <c r="C9" i="44"/>
  <c r="C10" i="44"/>
  <c r="C11" i="44"/>
  <c r="C12" i="44"/>
  <c r="C13" i="44"/>
  <c r="C14" i="44"/>
  <c r="C15" i="44"/>
  <c r="C16" i="44"/>
  <c r="C17" i="44"/>
  <c r="C18" i="44"/>
  <c r="C19" i="44"/>
  <c r="C20" i="44"/>
  <c r="C21" i="44"/>
  <c r="C22" i="44"/>
  <c r="C23" i="44"/>
  <c r="C24" i="44"/>
  <c r="C25" i="44"/>
  <c r="C26" i="44"/>
  <c r="C27" i="44"/>
  <c r="C28" i="44"/>
  <c r="C29" i="44"/>
  <c r="C30" i="44"/>
  <c r="C31" i="44"/>
  <c r="C32" i="44"/>
  <c r="C33" i="44"/>
  <c r="C34" i="44"/>
  <c r="C35" i="44"/>
  <c r="C36" i="44"/>
  <c r="C37" i="44"/>
  <c r="C38" i="44"/>
  <c r="C39" i="44"/>
  <c r="C40" i="44"/>
  <c r="C41" i="44"/>
  <c r="C42" i="44"/>
  <c r="C43" i="44"/>
  <c r="C44" i="44"/>
  <c r="C45" i="44"/>
  <c r="C46" i="44"/>
  <c r="C47" i="44"/>
  <c r="C48" i="44"/>
  <c r="C49" i="44"/>
  <c r="C50" i="44"/>
  <c r="C51" i="44"/>
  <c r="C52" i="44"/>
  <c r="C53" i="44"/>
  <c r="C54" i="44"/>
  <c r="C55" i="44"/>
  <c r="C56" i="44"/>
  <c r="C57" i="44"/>
  <c r="C58" i="44"/>
  <c r="C59" i="44"/>
  <c r="C60" i="44"/>
  <c r="C61" i="44"/>
  <c r="C62" i="44"/>
  <c r="C63" i="44"/>
  <c r="C64" i="44"/>
  <c r="C65" i="44"/>
  <c r="C66" i="44"/>
  <c r="C67" i="44"/>
  <c r="C68" i="44"/>
  <c r="C69" i="44"/>
  <c r="C70" i="44"/>
  <c r="C71" i="44"/>
  <c r="C72" i="44"/>
  <c r="C73" i="44"/>
  <c r="C74" i="44"/>
  <c r="C75" i="44"/>
  <c r="C76" i="44"/>
  <c r="C77" i="44"/>
  <c r="C78" i="44"/>
  <c r="C79" i="44"/>
  <c r="C80" i="44"/>
  <c r="C81" i="44"/>
  <c r="C82" i="44"/>
  <c r="C83" i="44"/>
  <c r="C84" i="44"/>
  <c r="C85" i="44"/>
  <c r="C86" i="44"/>
  <c r="C87" i="44"/>
  <c r="C88" i="44"/>
  <c r="C89" i="44"/>
  <c r="C90" i="44"/>
  <c r="C91" i="44"/>
  <c r="C92" i="44"/>
  <c r="C93" i="44"/>
  <c r="C94" i="44"/>
  <c r="C95" i="44"/>
  <c r="C96" i="44"/>
  <c r="C97" i="44"/>
  <c r="C98" i="44"/>
  <c r="C99" i="44"/>
  <c r="C100" i="44"/>
  <c r="C101" i="44"/>
  <c r="C102" i="44"/>
  <c r="C103" i="44"/>
  <c r="C104" i="44"/>
  <c r="C105" i="44"/>
  <c r="C106" i="44"/>
  <c r="C107" i="44"/>
  <c r="C108" i="44"/>
  <c r="C109" i="44"/>
  <c r="C110" i="44"/>
  <c r="C111" i="44"/>
  <c r="C112" i="44"/>
  <c r="C113" i="44"/>
  <c r="C114" i="44"/>
  <c r="C115" i="44"/>
  <c r="C116" i="44"/>
  <c r="C117" i="44"/>
  <c r="C118" i="44"/>
  <c r="C119" i="44"/>
  <c r="C120" i="44"/>
  <c r="C121" i="44"/>
  <c r="C122" i="44"/>
  <c r="C123" i="44"/>
  <c r="C124" i="44"/>
  <c r="C125" i="44"/>
  <c r="C126" i="44"/>
  <c r="C127" i="44"/>
  <c r="C128" i="44"/>
  <c r="C129" i="44"/>
  <c r="C130" i="44"/>
  <c r="C131" i="44"/>
  <c r="C132" i="44"/>
  <c r="C133" i="44"/>
  <c r="C134" i="44"/>
  <c r="C135" i="44"/>
  <c r="C136" i="44"/>
  <c r="C137" i="44"/>
  <c r="C138" i="44"/>
  <c r="C139" i="44"/>
  <c r="C140" i="44"/>
  <c r="C141" i="44"/>
  <c r="C142" i="44"/>
  <c r="C143" i="44"/>
  <c r="C144" i="44"/>
  <c r="C145" i="44"/>
  <c r="C146" i="44"/>
  <c r="C147" i="44"/>
  <c r="C148" i="44"/>
  <c r="C149" i="44"/>
  <c r="C150" i="44"/>
  <c r="C151" i="44"/>
  <c r="C152" i="44"/>
  <c r="C153" i="44"/>
  <c r="C154" i="44"/>
  <c r="C155" i="44"/>
  <c r="C156" i="44"/>
  <c r="C157" i="44"/>
  <c r="C158" i="44"/>
  <c r="C159" i="44"/>
  <c r="C160" i="44"/>
  <c r="C161" i="44"/>
  <c r="C162" i="44"/>
  <c r="C163" i="44"/>
  <c r="C164" i="44"/>
  <c r="C165" i="44"/>
  <c r="C166" i="44"/>
  <c r="C167" i="44"/>
  <c r="C168" i="44"/>
  <c r="C169" i="44"/>
  <c r="C170" i="44"/>
  <c r="C171" i="44"/>
  <c r="C172" i="44"/>
  <c r="C173" i="44"/>
  <c r="C174" i="44"/>
  <c r="C175" i="44"/>
  <c r="C176" i="44"/>
  <c r="C177" i="44"/>
  <c r="C178" i="44"/>
  <c r="C179" i="44"/>
  <c r="C180" i="44"/>
  <c r="C181" i="44"/>
  <c r="C182" i="44"/>
  <c r="C183" i="44"/>
  <c r="C184" i="44"/>
  <c r="C185" i="44"/>
  <c r="C186" i="44"/>
  <c r="C187" i="44"/>
  <c r="C188" i="44"/>
  <c r="C189" i="44"/>
  <c r="C190" i="44"/>
  <c r="C191" i="44"/>
  <c r="C192" i="44"/>
  <c r="C193" i="44"/>
  <c r="C194" i="44"/>
  <c r="C195" i="44"/>
  <c r="C196" i="44"/>
  <c r="C197" i="44"/>
  <c r="C198" i="44"/>
  <c r="C199" i="44"/>
  <c r="C200" i="44"/>
  <c r="C201" i="44"/>
  <c r="C202" i="44"/>
  <c r="C203" i="44"/>
  <c r="C204" i="44"/>
  <c r="C205" i="44"/>
  <c r="C206" i="44"/>
  <c r="C207" i="44"/>
  <c r="C208" i="44"/>
  <c r="C209" i="44"/>
  <c r="C210" i="44"/>
  <c r="C211" i="44"/>
  <c r="C212" i="44"/>
  <c r="C213" i="44"/>
  <c r="C214" i="44"/>
  <c r="C215" i="44"/>
  <c r="C216" i="44"/>
  <c r="C217" i="44"/>
  <c r="C218" i="44"/>
  <c r="C219" i="44"/>
  <c r="C220" i="44"/>
  <c r="C221" i="44"/>
  <c r="C222" i="44"/>
  <c r="C223" i="44"/>
  <c r="C224" i="44"/>
  <c r="C225" i="44"/>
  <c r="C226" i="44"/>
  <c r="C227" i="44"/>
  <c r="C228" i="44"/>
  <c r="C229" i="44"/>
  <c r="C230" i="44"/>
  <c r="C231" i="44"/>
  <c r="C232" i="44"/>
  <c r="C233" i="44"/>
  <c r="C234" i="44"/>
  <c r="C235" i="44"/>
  <c r="C236" i="44"/>
  <c r="C237" i="44"/>
  <c r="C238" i="44"/>
  <c r="C239" i="44"/>
  <c r="C240" i="44"/>
  <c r="C241" i="44"/>
  <c r="C242" i="44"/>
  <c r="C243" i="44"/>
  <c r="C244" i="44"/>
  <c r="C245" i="44"/>
  <c r="C246" i="44"/>
  <c r="C247" i="44"/>
  <c r="C248" i="44"/>
  <c r="C249" i="44"/>
  <c r="C250" i="44"/>
  <c r="C251" i="44"/>
  <c r="C252" i="44"/>
  <c r="C253" i="44"/>
  <c r="C254" i="44"/>
  <c r="C255" i="44"/>
  <c r="C256" i="44"/>
  <c r="C257" i="44"/>
  <c r="C258" i="44"/>
  <c r="C259" i="44"/>
  <c r="C260" i="44"/>
  <c r="C261" i="44"/>
  <c r="C262" i="44"/>
  <c r="C263" i="44"/>
  <c r="C264" i="44"/>
  <c r="C265" i="44"/>
  <c r="C266" i="44"/>
  <c r="C267" i="44"/>
  <c r="C268" i="44"/>
  <c r="C269" i="44"/>
  <c r="C270" i="44"/>
  <c r="C271" i="44"/>
  <c r="C272" i="44"/>
  <c r="C273" i="44"/>
  <c r="C274" i="44"/>
  <c r="C275" i="44"/>
  <c r="C276" i="44"/>
  <c r="C277" i="44"/>
  <c r="C278" i="44"/>
  <c r="C279" i="44"/>
  <c r="C280" i="44"/>
  <c r="C281" i="44"/>
  <c r="C282" i="44"/>
  <c r="C283" i="44"/>
  <c r="C284" i="44"/>
  <c r="C285" i="44"/>
  <c r="C286" i="44"/>
  <c r="C287" i="44"/>
  <c r="C288" i="44"/>
  <c r="C289" i="44"/>
  <c r="C290" i="44"/>
  <c r="C291" i="44"/>
  <c r="C292" i="44"/>
  <c r="C293" i="44"/>
  <c r="C294" i="44"/>
  <c r="C295" i="44"/>
  <c r="C296" i="44"/>
  <c r="C297" i="44"/>
  <c r="C298" i="44"/>
  <c r="C299" i="44"/>
  <c r="C300" i="44"/>
  <c r="C301" i="44"/>
  <c r="C302" i="44"/>
  <c r="C303" i="44"/>
  <c r="C304" i="44"/>
  <c r="C305" i="44"/>
  <c r="C306" i="44"/>
  <c r="C307" i="44"/>
  <c r="C308" i="44"/>
  <c r="C309" i="44"/>
  <c r="C310" i="44"/>
  <c r="C311" i="44"/>
  <c r="C312" i="44"/>
  <c r="C313" i="44"/>
  <c r="C314" i="44"/>
  <c r="C315" i="44"/>
  <c r="C316" i="44"/>
  <c r="C317" i="44"/>
  <c r="C318" i="44"/>
  <c r="C319" i="44"/>
  <c r="C320" i="44"/>
  <c r="C321" i="44"/>
  <c r="C322" i="44"/>
  <c r="C323" i="44"/>
  <c r="C324" i="44"/>
  <c r="C325" i="44"/>
  <c r="C326" i="44"/>
  <c r="C327" i="44"/>
  <c r="C328" i="44"/>
  <c r="C329" i="44"/>
  <c r="C330" i="44"/>
  <c r="C331" i="44"/>
  <c r="C332" i="44"/>
  <c r="C333" i="44"/>
  <c r="C334" i="44"/>
  <c r="C335" i="44"/>
  <c r="C336" i="44"/>
  <c r="C337" i="44"/>
  <c r="C338" i="44"/>
  <c r="C339" i="44"/>
  <c r="C340" i="44"/>
  <c r="C341" i="44"/>
  <c r="C342" i="44"/>
  <c r="C343" i="44"/>
  <c r="C344" i="44"/>
  <c r="C345" i="44"/>
  <c r="C346" i="44"/>
  <c r="C347" i="44"/>
  <c r="C348" i="44"/>
  <c r="C349" i="44"/>
  <c r="C350" i="44"/>
  <c r="C351" i="44"/>
  <c r="C352" i="44"/>
  <c r="C353" i="44"/>
  <c r="C354" i="44"/>
  <c r="C355" i="44"/>
  <c r="C356" i="44"/>
  <c r="C357" i="44"/>
  <c r="C358" i="44"/>
  <c r="C359" i="44"/>
  <c r="C360" i="44"/>
  <c r="C361" i="44"/>
  <c r="C362" i="44"/>
  <c r="C363" i="44"/>
  <c r="C364" i="44"/>
  <c r="C365" i="44"/>
  <c r="C366" i="44"/>
  <c r="C367" i="44"/>
  <c r="C368" i="44"/>
  <c r="C369" i="44"/>
  <c r="C370" i="44"/>
  <c r="C371" i="44"/>
  <c r="C372" i="44"/>
  <c r="C373" i="44"/>
  <c r="C374" i="44"/>
  <c r="C375" i="44"/>
  <c r="C376" i="44"/>
  <c r="C377" i="44"/>
  <c r="C378" i="44"/>
  <c r="C379" i="44"/>
  <c r="C380" i="44"/>
  <c r="C381" i="44"/>
  <c r="C382" i="44"/>
  <c r="C383" i="44"/>
  <c r="C384" i="44"/>
  <c r="C385" i="44"/>
  <c r="C386" i="44"/>
  <c r="C387" i="44"/>
  <c r="C388" i="44"/>
  <c r="C389" i="44"/>
  <c r="C390" i="44"/>
  <c r="C391" i="44"/>
  <c r="C392" i="44"/>
  <c r="C393" i="44"/>
  <c r="C394" i="44"/>
  <c r="C395" i="44"/>
  <c r="C396" i="44"/>
  <c r="C397" i="44"/>
  <c r="C398" i="44"/>
  <c r="C399" i="44"/>
  <c r="C400" i="44"/>
  <c r="C401" i="44"/>
  <c r="C402" i="44"/>
  <c r="C403" i="44"/>
  <c r="C404" i="44"/>
  <c r="C405" i="44"/>
  <c r="C406" i="44"/>
  <c r="C407" i="44"/>
  <c r="C408" i="44"/>
  <c r="C409" i="44"/>
  <c r="C410" i="44"/>
  <c r="C411" i="44"/>
  <c r="C412" i="44"/>
  <c r="C413" i="44"/>
  <c r="C414" i="44"/>
  <c r="C415" i="44"/>
  <c r="C416" i="44"/>
  <c r="C417" i="44"/>
  <c r="C418" i="44"/>
  <c r="C419" i="44"/>
  <c r="C420" i="44"/>
  <c r="C421" i="44"/>
  <c r="C422" i="44"/>
  <c r="C423" i="44"/>
  <c r="C424" i="44"/>
  <c r="C425" i="44"/>
  <c r="C426" i="44"/>
  <c r="C427" i="44"/>
  <c r="C428" i="44"/>
  <c r="C429" i="44"/>
  <c r="C430" i="44"/>
  <c r="C431" i="44"/>
  <c r="C432" i="44"/>
  <c r="C433" i="44"/>
  <c r="C434" i="44"/>
  <c r="C435" i="44"/>
  <c r="C436" i="44"/>
  <c r="C437" i="44"/>
  <c r="C438" i="44"/>
  <c r="C439" i="44"/>
  <c r="C440" i="44"/>
  <c r="C441" i="44"/>
  <c r="C442" i="44"/>
  <c r="C443" i="44"/>
  <c r="C444" i="44"/>
  <c r="C445" i="44"/>
  <c r="C446" i="44"/>
  <c r="C447" i="44"/>
  <c r="C448" i="44"/>
  <c r="C449" i="44"/>
  <c r="C450" i="44"/>
  <c r="C451" i="44"/>
  <c r="C452" i="44"/>
  <c r="C453" i="44"/>
  <c r="C454" i="44"/>
  <c r="C455" i="44"/>
  <c r="C456" i="44"/>
  <c r="C457" i="44"/>
  <c r="C458" i="44"/>
  <c r="C459" i="44"/>
  <c r="C460" i="44"/>
  <c r="C461" i="44"/>
  <c r="C462" i="44"/>
  <c r="C463" i="44"/>
  <c r="C464" i="44"/>
  <c r="C465" i="44"/>
  <c r="C466" i="44"/>
  <c r="C467" i="44"/>
  <c r="C468" i="44"/>
  <c r="C469" i="44"/>
  <c r="C470" i="44"/>
  <c r="C471" i="44"/>
  <c r="C472" i="44"/>
  <c r="C473" i="44"/>
  <c r="C474" i="44"/>
  <c r="C475" i="44"/>
  <c r="C476" i="44"/>
  <c r="C477" i="44"/>
  <c r="C478" i="44"/>
  <c r="C479" i="44"/>
  <c r="C480" i="44"/>
  <c r="C481" i="44"/>
  <c r="C482" i="44"/>
  <c r="C483" i="44"/>
  <c r="C484" i="44"/>
  <c r="C485" i="44"/>
  <c r="C486" i="44"/>
  <c r="C487" i="44"/>
  <c r="C488" i="44"/>
  <c r="C489" i="44"/>
  <c r="C490" i="44"/>
  <c r="C491" i="44"/>
  <c r="C492" i="44"/>
  <c r="C493" i="44"/>
  <c r="C494" i="44"/>
  <c r="C495" i="44"/>
  <c r="C496" i="44"/>
  <c r="C497" i="44"/>
  <c r="C498" i="44"/>
  <c r="C499" i="44"/>
  <c r="C500" i="44"/>
  <c r="C501" i="44"/>
  <c r="C502" i="44"/>
  <c r="C503" i="44"/>
  <c r="C504" i="44"/>
  <c r="C505" i="44"/>
  <c r="C506" i="44"/>
  <c r="C507" i="44"/>
  <c r="C508" i="44"/>
  <c r="C509" i="44"/>
  <c r="C510" i="44"/>
  <c r="C511" i="44"/>
  <c r="C512" i="44"/>
  <c r="C513" i="44"/>
  <c r="C514" i="44"/>
  <c r="C515" i="44"/>
  <c r="C516" i="44"/>
  <c r="C517" i="44"/>
  <c r="C518" i="44"/>
  <c r="C519" i="44"/>
  <c r="C520" i="44"/>
  <c r="C521" i="44"/>
  <c r="C522" i="44"/>
  <c r="C523" i="44"/>
  <c r="C524" i="44"/>
  <c r="C525" i="44"/>
  <c r="C526" i="44"/>
  <c r="C527" i="44"/>
  <c r="C528" i="44"/>
  <c r="C529" i="44"/>
  <c r="C530" i="44"/>
  <c r="C531" i="44"/>
  <c r="C532" i="44"/>
  <c r="C533" i="44"/>
  <c r="C534" i="44"/>
  <c r="C535" i="44"/>
  <c r="C536" i="44"/>
  <c r="C537" i="44"/>
  <c r="C538" i="44"/>
  <c r="C539" i="44"/>
  <c r="C540" i="44"/>
  <c r="C541" i="44"/>
  <c r="C542" i="44"/>
  <c r="C543" i="44"/>
  <c r="C544" i="44"/>
  <c r="C545" i="44"/>
  <c r="C546" i="44"/>
  <c r="C547" i="44"/>
  <c r="C548" i="44"/>
  <c r="C549" i="44"/>
  <c r="C550" i="44"/>
  <c r="C551" i="44"/>
  <c r="C552" i="44"/>
  <c r="C553" i="44"/>
  <c r="C554" i="44"/>
  <c r="C555" i="44"/>
  <c r="C556" i="44"/>
  <c r="C557" i="44"/>
  <c r="C558" i="44"/>
  <c r="C559" i="44"/>
  <c r="C560" i="44"/>
  <c r="C561" i="44"/>
  <c r="C562" i="44"/>
  <c r="C563" i="44"/>
  <c r="C564" i="44"/>
  <c r="C565" i="44"/>
  <c r="C566" i="44"/>
  <c r="C567" i="44"/>
  <c r="C568" i="44"/>
  <c r="C569" i="44"/>
  <c r="C570" i="44"/>
  <c r="C571" i="44"/>
  <c r="C572" i="44"/>
  <c r="C573" i="44"/>
  <c r="C574" i="44"/>
  <c r="C575" i="44"/>
  <c r="C576" i="44"/>
  <c r="C577" i="44"/>
  <c r="C578" i="44"/>
  <c r="C579" i="44"/>
  <c r="C580" i="44"/>
  <c r="C581" i="44"/>
  <c r="C582" i="44"/>
  <c r="C583" i="44"/>
  <c r="C584" i="44"/>
  <c r="C585" i="44"/>
  <c r="C586" i="44"/>
  <c r="C587" i="44"/>
  <c r="C588" i="44"/>
  <c r="C589" i="44"/>
  <c r="C590" i="44"/>
  <c r="C591" i="44"/>
  <c r="C592" i="44"/>
  <c r="C593" i="44"/>
  <c r="C594" i="44"/>
  <c r="C595" i="44"/>
  <c r="C596" i="44"/>
  <c r="C597" i="44"/>
  <c r="C598" i="44"/>
  <c r="C599" i="44"/>
  <c r="C600" i="44"/>
  <c r="C601" i="44"/>
  <c r="C602" i="44"/>
  <c r="C603" i="44"/>
  <c r="C604" i="44"/>
  <c r="C605" i="44"/>
  <c r="C606" i="44"/>
  <c r="C607" i="44"/>
  <c r="C608" i="44"/>
  <c r="C609" i="44"/>
  <c r="C610" i="44"/>
  <c r="C611" i="44"/>
  <c r="C612" i="44"/>
  <c r="C613" i="44"/>
  <c r="C614" i="44"/>
  <c r="C615" i="44"/>
  <c r="C616" i="44"/>
  <c r="C617" i="44"/>
  <c r="C618" i="44"/>
  <c r="C619" i="44"/>
  <c r="C620" i="44"/>
  <c r="C621" i="44"/>
  <c r="C622" i="44"/>
  <c r="C623" i="44"/>
  <c r="C624" i="44"/>
  <c r="C625" i="44"/>
  <c r="C626" i="44"/>
  <c r="C627" i="44"/>
  <c r="C628" i="44"/>
  <c r="C629" i="44"/>
  <c r="C630" i="44"/>
  <c r="C631" i="44"/>
  <c r="C632" i="44"/>
  <c r="C633" i="44"/>
  <c r="C634" i="44"/>
  <c r="C635" i="44"/>
  <c r="C636" i="44"/>
  <c r="C637" i="44"/>
  <c r="C638" i="44"/>
  <c r="C639" i="44"/>
  <c r="C640" i="44"/>
  <c r="C641" i="44"/>
  <c r="C642" i="44"/>
  <c r="C643" i="44"/>
  <c r="C644" i="44"/>
  <c r="C645" i="44"/>
  <c r="C646" i="44"/>
  <c r="C647" i="44"/>
  <c r="C648" i="44"/>
  <c r="C649" i="44"/>
  <c r="C650" i="44"/>
  <c r="C651" i="44"/>
  <c r="C652" i="44"/>
  <c r="C653" i="44"/>
  <c r="C654" i="44"/>
  <c r="C655" i="44"/>
  <c r="C656" i="44"/>
  <c r="C657" i="44"/>
  <c r="C658" i="44"/>
  <c r="C659" i="44"/>
  <c r="C660" i="44"/>
  <c r="C661" i="44"/>
  <c r="C662" i="44"/>
  <c r="C663" i="44"/>
  <c r="C664" i="44"/>
  <c r="C665" i="44"/>
  <c r="C666" i="44"/>
  <c r="C667" i="44"/>
  <c r="C668" i="44"/>
  <c r="C669" i="44"/>
  <c r="C670" i="44"/>
  <c r="C671" i="44"/>
  <c r="C672" i="44"/>
  <c r="C673" i="44"/>
  <c r="C674" i="44"/>
  <c r="C675" i="44"/>
  <c r="C676" i="44"/>
  <c r="C677" i="44"/>
  <c r="C678" i="44"/>
  <c r="C679" i="44"/>
  <c r="C680" i="44"/>
  <c r="C681" i="44"/>
  <c r="C682" i="44"/>
  <c r="C683" i="44"/>
  <c r="C684" i="44"/>
  <c r="C685" i="44"/>
  <c r="C686" i="44"/>
  <c r="C687" i="44"/>
  <c r="C688" i="44"/>
  <c r="C689" i="44"/>
  <c r="C690" i="44"/>
  <c r="C691" i="44"/>
  <c r="C692" i="44"/>
  <c r="C693" i="44"/>
  <c r="C694" i="44"/>
  <c r="C695" i="44"/>
  <c r="C696" i="44"/>
  <c r="C697" i="44"/>
  <c r="C698" i="44"/>
  <c r="C699" i="44"/>
  <c r="C700" i="44"/>
  <c r="C701" i="44"/>
  <c r="C702" i="44"/>
  <c r="C703" i="44"/>
  <c r="C704" i="44"/>
  <c r="C705" i="44"/>
  <c r="C706" i="44"/>
  <c r="C707" i="44"/>
  <c r="C708" i="44"/>
  <c r="C709" i="44"/>
  <c r="C710" i="44"/>
  <c r="C711" i="44"/>
  <c r="C712" i="44"/>
  <c r="C713" i="44"/>
  <c r="C714" i="44"/>
  <c r="C715" i="44"/>
  <c r="C716" i="44"/>
  <c r="C717" i="44"/>
  <c r="C718" i="44"/>
  <c r="C719" i="44"/>
  <c r="C720" i="44"/>
  <c r="C721" i="44"/>
  <c r="C722" i="44"/>
  <c r="C723" i="44"/>
  <c r="C724" i="44"/>
  <c r="C725" i="44"/>
  <c r="C726" i="44"/>
  <c r="C727" i="44"/>
  <c r="C728" i="44"/>
  <c r="C729" i="44"/>
  <c r="C730" i="44"/>
  <c r="C731" i="44"/>
  <c r="C732" i="44"/>
  <c r="C733" i="44"/>
  <c r="C734" i="44"/>
  <c r="C735" i="44"/>
  <c r="C736" i="44"/>
  <c r="C737" i="44"/>
  <c r="C738" i="44"/>
  <c r="C739" i="44"/>
  <c r="C740" i="44"/>
  <c r="C741" i="44"/>
  <c r="C742" i="44"/>
  <c r="C743" i="44"/>
  <c r="C744" i="44"/>
  <c r="C745" i="44"/>
  <c r="C746" i="44"/>
  <c r="C747" i="44"/>
  <c r="C748" i="44"/>
  <c r="C749" i="44"/>
  <c r="C750" i="44"/>
  <c r="C751" i="44"/>
  <c r="C752" i="44"/>
  <c r="C753" i="44"/>
  <c r="C754" i="44"/>
  <c r="C755" i="44"/>
  <c r="C756" i="44"/>
  <c r="C757" i="44"/>
  <c r="C758" i="44"/>
  <c r="C759" i="44"/>
  <c r="C760" i="44"/>
  <c r="C761" i="44"/>
  <c r="C762" i="44"/>
  <c r="C763" i="44"/>
  <c r="C764" i="44"/>
  <c r="C765" i="44"/>
  <c r="C766" i="44"/>
  <c r="C767" i="44"/>
  <c r="C768" i="44"/>
  <c r="C769" i="44"/>
  <c r="C770" i="44"/>
  <c r="C771" i="44"/>
  <c r="C772" i="44"/>
  <c r="C773" i="44"/>
  <c r="C774" i="44"/>
  <c r="C775" i="44"/>
  <c r="C776" i="44"/>
  <c r="C777" i="44"/>
  <c r="C778" i="44"/>
  <c r="C779" i="44"/>
  <c r="C780" i="44"/>
  <c r="C781" i="44"/>
  <c r="C782" i="44"/>
  <c r="C783" i="44"/>
  <c r="C784" i="44"/>
  <c r="C785" i="44"/>
  <c r="C786" i="44"/>
  <c r="C787" i="44"/>
  <c r="C788" i="44"/>
  <c r="C789" i="44"/>
  <c r="C790" i="44"/>
  <c r="C791" i="44"/>
  <c r="C792" i="44"/>
  <c r="C793" i="44"/>
  <c r="C794" i="44"/>
  <c r="C795" i="44"/>
  <c r="C796" i="44"/>
  <c r="C797" i="44"/>
  <c r="C798" i="44"/>
  <c r="C799" i="44"/>
  <c r="C800" i="44"/>
  <c r="C801" i="44"/>
  <c r="C802" i="44"/>
  <c r="C803" i="44"/>
  <c r="C804" i="44"/>
  <c r="C805" i="44"/>
  <c r="C806" i="44"/>
  <c r="C807" i="44"/>
  <c r="C808" i="44"/>
  <c r="C809" i="44"/>
  <c r="C810" i="44"/>
  <c r="C811" i="44"/>
  <c r="C812" i="44"/>
  <c r="C813" i="44"/>
  <c r="C814" i="44"/>
  <c r="C815" i="44"/>
  <c r="C816" i="44"/>
  <c r="C817" i="44"/>
  <c r="C818" i="44"/>
  <c r="C819" i="44"/>
  <c r="C820" i="44"/>
  <c r="C821" i="44"/>
  <c r="C822" i="44"/>
  <c r="C823" i="44"/>
  <c r="C824" i="44"/>
  <c r="C825" i="44"/>
  <c r="C826" i="44"/>
  <c r="C827" i="44"/>
  <c r="C828" i="44"/>
  <c r="C829" i="44"/>
  <c r="C830" i="44"/>
  <c r="C831" i="44"/>
  <c r="C832" i="44"/>
  <c r="C833" i="44"/>
  <c r="C834" i="44"/>
  <c r="C835" i="44"/>
  <c r="C836" i="44"/>
  <c r="C837" i="44"/>
  <c r="C838" i="44"/>
  <c r="C839" i="44"/>
  <c r="C840" i="44"/>
  <c r="C841" i="44"/>
  <c r="C842" i="44"/>
  <c r="C843" i="44"/>
  <c r="C844" i="44"/>
  <c r="C845" i="44"/>
  <c r="C846" i="44"/>
  <c r="C847" i="44"/>
  <c r="C848" i="44"/>
  <c r="C849" i="44"/>
  <c r="C850" i="44"/>
  <c r="C851" i="44"/>
  <c r="C852" i="44"/>
  <c r="C853" i="44"/>
  <c r="C854" i="44"/>
  <c r="C855" i="44"/>
  <c r="C856" i="44"/>
  <c r="C857" i="44"/>
  <c r="C858" i="44"/>
  <c r="C859" i="44"/>
  <c r="C860" i="44"/>
  <c r="C861" i="44"/>
  <c r="C862" i="44"/>
  <c r="C863" i="44"/>
  <c r="C864" i="44"/>
  <c r="C865" i="44"/>
  <c r="C866" i="44"/>
  <c r="C867" i="44"/>
  <c r="C868" i="44"/>
  <c r="C869" i="44"/>
  <c r="C870" i="44"/>
  <c r="C871" i="44"/>
  <c r="C872" i="44"/>
  <c r="C873" i="44"/>
  <c r="C874" i="44"/>
  <c r="C875" i="44"/>
  <c r="C876" i="44"/>
  <c r="C877" i="44"/>
  <c r="C878" i="44"/>
  <c r="C879" i="44"/>
  <c r="C880" i="44"/>
  <c r="C881" i="44"/>
  <c r="C882" i="44"/>
  <c r="C883" i="44"/>
  <c r="C884" i="44"/>
  <c r="C885" i="44"/>
  <c r="C886" i="44"/>
  <c r="C887" i="44"/>
  <c r="C888" i="44"/>
  <c r="C889" i="44"/>
  <c r="C890" i="44"/>
  <c r="C891" i="44"/>
  <c r="C892" i="44"/>
  <c r="C893" i="44"/>
  <c r="C894" i="44"/>
  <c r="C895" i="44"/>
  <c r="C896" i="44"/>
  <c r="C897" i="44"/>
  <c r="C898" i="44"/>
  <c r="C899" i="44"/>
  <c r="C900" i="44"/>
  <c r="C901" i="44"/>
  <c r="C902" i="44"/>
  <c r="C903" i="44"/>
  <c r="C904" i="44"/>
  <c r="C905" i="44"/>
  <c r="C906" i="44"/>
  <c r="C907" i="44"/>
  <c r="C908" i="44"/>
  <c r="C909" i="44"/>
  <c r="C910" i="44"/>
  <c r="C911" i="44"/>
  <c r="C912" i="44"/>
  <c r="C913" i="44"/>
  <c r="C914" i="44"/>
  <c r="C915" i="44"/>
  <c r="C916" i="44"/>
  <c r="C917" i="44"/>
  <c r="C918" i="44"/>
  <c r="C919" i="44"/>
  <c r="C920" i="44"/>
  <c r="C921" i="44"/>
  <c r="C922" i="44"/>
  <c r="C923" i="44"/>
  <c r="C924" i="44"/>
  <c r="C925" i="44"/>
  <c r="C926" i="44"/>
  <c r="C927" i="44"/>
  <c r="C928" i="44"/>
  <c r="C929" i="44"/>
  <c r="C930" i="44"/>
  <c r="C931" i="44"/>
  <c r="C932" i="44"/>
  <c r="C933" i="44"/>
  <c r="C934" i="44"/>
  <c r="C935" i="44"/>
  <c r="C936" i="44"/>
  <c r="C937" i="44"/>
  <c r="C938" i="44"/>
  <c r="C939" i="44"/>
  <c r="C940" i="44"/>
  <c r="C941" i="44"/>
  <c r="C942" i="44"/>
  <c r="C943" i="44"/>
  <c r="C944" i="44"/>
  <c r="C945" i="44"/>
  <c r="C946" i="44"/>
  <c r="C947" i="44"/>
  <c r="C948" i="44"/>
  <c r="C949" i="44"/>
  <c r="C950" i="44"/>
  <c r="C951" i="44"/>
  <c r="C952" i="44"/>
  <c r="C953" i="44"/>
  <c r="C954" i="44"/>
  <c r="C955" i="44"/>
  <c r="C956" i="44"/>
  <c r="C957" i="44"/>
  <c r="C958" i="44"/>
  <c r="C959" i="44"/>
  <c r="C960" i="44"/>
  <c r="C961" i="44"/>
  <c r="C962" i="44"/>
  <c r="C963" i="44"/>
  <c r="C964" i="44"/>
  <c r="C965" i="44"/>
  <c r="C966" i="44"/>
  <c r="C967" i="44"/>
  <c r="C968" i="44"/>
  <c r="C969" i="44"/>
  <c r="C970" i="44"/>
  <c r="C971" i="44"/>
  <c r="C972" i="44"/>
  <c r="C973" i="44"/>
  <c r="C974" i="44"/>
  <c r="C975" i="44"/>
  <c r="C976" i="44"/>
  <c r="C977" i="44"/>
  <c r="C978" i="44"/>
  <c r="C979" i="44"/>
  <c r="C980" i="44"/>
  <c r="C981" i="44"/>
  <c r="C982" i="44"/>
  <c r="C983" i="44"/>
  <c r="C984" i="44"/>
  <c r="C985" i="44"/>
  <c r="C986" i="44"/>
  <c r="C987" i="44"/>
  <c r="C988" i="44"/>
  <c r="C989" i="44"/>
  <c r="C990" i="44"/>
  <c r="C991" i="44"/>
  <c r="C992" i="44"/>
  <c r="C993" i="44"/>
  <c r="C994" i="44"/>
  <c r="C995" i="44"/>
  <c r="C996" i="44"/>
  <c r="C997" i="44"/>
  <c r="C998" i="44"/>
  <c r="C999" i="44"/>
  <c r="C1000" i="44"/>
  <c r="C1001" i="44"/>
  <c r="C1002" i="44"/>
  <c r="C1003" i="44"/>
  <c r="C1004" i="44"/>
  <c r="C1005" i="44"/>
  <c r="C1006" i="44"/>
  <c r="C1007" i="44"/>
  <c r="C1008" i="44"/>
  <c r="C1009" i="44"/>
  <c r="C1010" i="44"/>
  <c r="C1011" i="44"/>
  <c r="C1012" i="44"/>
  <c r="C1013" i="44"/>
  <c r="C1014" i="44"/>
  <c r="C1015" i="44"/>
  <c r="C1016" i="44"/>
  <c r="C1017" i="44"/>
  <c r="C1018" i="44"/>
  <c r="C1019" i="44"/>
  <c r="C1020" i="44"/>
  <c r="C1021" i="44"/>
  <c r="C1022" i="44"/>
  <c r="C1023" i="44"/>
  <c r="C1024" i="44"/>
  <c r="C1025" i="44"/>
  <c r="C1026" i="44"/>
  <c r="C1027" i="44"/>
  <c r="C1028" i="44"/>
  <c r="C1029" i="44"/>
  <c r="C1030" i="44"/>
  <c r="C1031" i="44"/>
  <c r="C1032" i="44"/>
  <c r="C1033" i="44"/>
  <c r="C1034" i="44"/>
  <c r="C1035" i="44"/>
  <c r="C1036" i="44"/>
  <c r="C1037" i="44"/>
  <c r="C1038" i="44"/>
  <c r="C1039" i="44"/>
  <c r="C1040" i="44"/>
  <c r="C1041" i="44"/>
  <c r="C1042" i="44"/>
  <c r="C1043" i="44"/>
  <c r="C1044" i="44"/>
  <c r="C1045" i="44"/>
  <c r="C1046" i="44"/>
  <c r="C1047" i="44"/>
  <c r="C1048" i="44"/>
  <c r="C1049" i="44"/>
  <c r="C1050" i="44"/>
  <c r="C1051" i="44"/>
  <c r="C1052" i="44"/>
  <c r="C1053" i="44"/>
  <c r="C1054" i="44"/>
  <c r="C1055" i="44"/>
  <c r="C1056" i="44"/>
  <c r="C1057" i="44"/>
  <c r="C1058" i="44"/>
  <c r="C1059" i="44"/>
  <c r="C1060" i="44"/>
  <c r="C1061" i="44"/>
  <c r="C1062" i="44"/>
  <c r="C1063" i="44"/>
  <c r="C1064" i="44"/>
  <c r="C1065" i="44"/>
  <c r="C1066" i="44"/>
  <c r="C1067" i="44"/>
  <c r="C1068" i="44"/>
  <c r="C1069" i="44"/>
  <c r="C1070" i="44"/>
  <c r="C1071" i="44"/>
  <c r="C1072" i="44"/>
  <c r="C1073" i="44"/>
  <c r="C1074" i="44"/>
  <c r="C1075" i="44"/>
  <c r="C1076" i="44"/>
  <c r="C1077" i="44"/>
  <c r="C1078" i="44"/>
  <c r="C1079" i="44"/>
  <c r="C1080" i="44"/>
  <c r="C1081" i="44"/>
  <c r="C1082" i="44"/>
  <c r="C1083" i="44"/>
  <c r="C1084" i="44"/>
  <c r="C1085" i="44"/>
  <c r="C1086" i="44"/>
  <c r="C1087" i="44"/>
  <c r="C1088" i="44"/>
  <c r="C1089" i="44"/>
  <c r="C1090" i="44"/>
  <c r="C1091" i="44"/>
  <c r="C1092" i="44"/>
  <c r="C1093" i="44"/>
  <c r="C1094" i="44"/>
  <c r="C1095" i="44"/>
  <c r="C1096" i="44"/>
  <c r="C1097" i="44"/>
  <c r="C1098" i="44"/>
  <c r="C1099" i="44"/>
  <c r="C1100" i="44"/>
  <c r="C1101" i="44"/>
  <c r="C1102" i="44"/>
  <c r="C1103" i="44"/>
  <c r="C1104" i="44"/>
  <c r="C1105" i="44"/>
  <c r="C1106" i="44"/>
  <c r="C1107" i="44"/>
  <c r="C1108" i="44"/>
  <c r="C1109" i="44"/>
  <c r="C1110" i="44"/>
  <c r="C1111" i="44"/>
  <c r="C1112" i="44"/>
  <c r="C1113" i="44"/>
  <c r="C1114" i="44"/>
  <c r="C1115" i="44"/>
  <c r="C1116" i="44"/>
  <c r="C1117" i="44"/>
  <c r="C1118" i="44"/>
  <c r="C1119" i="44"/>
  <c r="C1120" i="44"/>
  <c r="C1121" i="44"/>
  <c r="C1122" i="44"/>
  <c r="C1123" i="44"/>
  <c r="C1124" i="44"/>
  <c r="C1125" i="44"/>
  <c r="C1126" i="44"/>
  <c r="C1127" i="44"/>
  <c r="C1128" i="44"/>
  <c r="C1129" i="44"/>
  <c r="C1130" i="44"/>
  <c r="C1131" i="44"/>
  <c r="C1132" i="44"/>
  <c r="C1133" i="44"/>
  <c r="C1134" i="44"/>
  <c r="C1135" i="44"/>
  <c r="C1136" i="44"/>
  <c r="C1137" i="44"/>
  <c r="C1138" i="44"/>
  <c r="C1139" i="44"/>
  <c r="C1140" i="44"/>
  <c r="C1141" i="44"/>
  <c r="C1142" i="44"/>
  <c r="C1143" i="44"/>
  <c r="C1144" i="44"/>
  <c r="C1145" i="44"/>
  <c r="C1146" i="44"/>
  <c r="C1147" i="44"/>
  <c r="C1148" i="44"/>
  <c r="C1149" i="44"/>
  <c r="C1150" i="44"/>
  <c r="C1151" i="44"/>
  <c r="C1152" i="44"/>
  <c r="C1153" i="44"/>
  <c r="C1154" i="44"/>
  <c r="C1155" i="44"/>
  <c r="C1156" i="44"/>
  <c r="C1157" i="44"/>
  <c r="C1158" i="44"/>
  <c r="C1159" i="44"/>
  <c r="C1160" i="44"/>
  <c r="C1161" i="44"/>
  <c r="C1162" i="44"/>
  <c r="C1163" i="44"/>
  <c r="C1164" i="44"/>
  <c r="C1165" i="44"/>
  <c r="C1166" i="44"/>
  <c r="C1167" i="44"/>
  <c r="C1168" i="44"/>
  <c r="C1169" i="44"/>
  <c r="C1170" i="44"/>
  <c r="C1171" i="44"/>
  <c r="C1172" i="44"/>
  <c r="C1173" i="44"/>
  <c r="C1174" i="44"/>
  <c r="C1175" i="44"/>
  <c r="C1176" i="44"/>
  <c r="C1177" i="44"/>
  <c r="C1178" i="44"/>
  <c r="C1179" i="44"/>
  <c r="C1180" i="44"/>
  <c r="C1181" i="44"/>
  <c r="C1182" i="44"/>
  <c r="C1183" i="44"/>
  <c r="C1184" i="44"/>
  <c r="C1185" i="44"/>
  <c r="C1186" i="44"/>
  <c r="C1187" i="44"/>
  <c r="C1188" i="44"/>
  <c r="C1189" i="44"/>
  <c r="C1190" i="44"/>
  <c r="C1191" i="44"/>
  <c r="C1192" i="44"/>
  <c r="C1193" i="44"/>
  <c r="C1194" i="44"/>
  <c r="C1195" i="44"/>
  <c r="C1196" i="44"/>
  <c r="C1197" i="44"/>
  <c r="C1198" i="44"/>
  <c r="C1199" i="44"/>
  <c r="C1200" i="44"/>
  <c r="C1201" i="44"/>
  <c r="C1202" i="44"/>
  <c r="C1203" i="44"/>
  <c r="C1204" i="44"/>
  <c r="C1205" i="44"/>
  <c r="C1206" i="44"/>
  <c r="C1207" i="44"/>
  <c r="C1208" i="44"/>
  <c r="C1209" i="44"/>
  <c r="C1210" i="44"/>
  <c r="C1211" i="44"/>
  <c r="C1212" i="44"/>
  <c r="C1213" i="44"/>
  <c r="C1214" i="44"/>
  <c r="C1215" i="44"/>
  <c r="C1216" i="44"/>
  <c r="C1217" i="44"/>
  <c r="C1218" i="44"/>
  <c r="C1219" i="44"/>
  <c r="C1220" i="44"/>
  <c r="C1221" i="44"/>
  <c r="C1222" i="44"/>
  <c r="C1223" i="44"/>
  <c r="C1224" i="44"/>
  <c r="C1225" i="44"/>
  <c r="C1226" i="44"/>
  <c r="C1227" i="44"/>
  <c r="C1228" i="44"/>
  <c r="C1229" i="44"/>
  <c r="C1230" i="44"/>
  <c r="C1231" i="44"/>
  <c r="C1232" i="44"/>
  <c r="C1233" i="44"/>
  <c r="C1234" i="44"/>
  <c r="C1235" i="44"/>
  <c r="C1236" i="44"/>
  <c r="C1237" i="44"/>
  <c r="C1238" i="44"/>
  <c r="C1239" i="44"/>
  <c r="C1240" i="44"/>
  <c r="C1241" i="44"/>
  <c r="C1242" i="44"/>
  <c r="C1243" i="44"/>
  <c r="C1244" i="44"/>
  <c r="C1245" i="44"/>
  <c r="C1246" i="44"/>
  <c r="C1247" i="44"/>
  <c r="C1248" i="44"/>
  <c r="C1249" i="44"/>
  <c r="C1250" i="44"/>
  <c r="C1251" i="44"/>
  <c r="C1252" i="44"/>
  <c r="C1253" i="44"/>
  <c r="C1254" i="44"/>
  <c r="C1255" i="44"/>
  <c r="C1256" i="44"/>
  <c r="C1257" i="44"/>
  <c r="C1258" i="44"/>
  <c r="C1259" i="44"/>
  <c r="C1260" i="44"/>
  <c r="C1261" i="44"/>
  <c r="C1262" i="44"/>
  <c r="C1263" i="44"/>
  <c r="C1264" i="44"/>
  <c r="C1265" i="44"/>
  <c r="C1266" i="44"/>
  <c r="C1267" i="44"/>
  <c r="C1268" i="44"/>
  <c r="C1269" i="44"/>
  <c r="C1270" i="44"/>
  <c r="C1271" i="44"/>
  <c r="C1272" i="44"/>
  <c r="C1273" i="44"/>
  <c r="C1274" i="44"/>
  <c r="C1275" i="44"/>
  <c r="C1276" i="44"/>
  <c r="C1277" i="44"/>
  <c r="C1278" i="44"/>
  <c r="C1279" i="44"/>
  <c r="C1280" i="44"/>
  <c r="C1281" i="44"/>
  <c r="C1282" i="44"/>
  <c r="C1283" i="44"/>
  <c r="C1284" i="44"/>
  <c r="C1285" i="44"/>
  <c r="C1286" i="44"/>
  <c r="C1287" i="44"/>
  <c r="C1288" i="44"/>
  <c r="C1289" i="44"/>
  <c r="C1290" i="44"/>
  <c r="C1291" i="44"/>
  <c r="C1292" i="44"/>
  <c r="C1293" i="44"/>
  <c r="C1294" i="44"/>
  <c r="C1295" i="44"/>
  <c r="C1296" i="44"/>
  <c r="C1297" i="44"/>
  <c r="C1298" i="44"/>
  <c r="C1299" i="44"/>
  <c r="C1300" i="44"/>
  <c r="C1301" i="44"/>
  <c r="C1302" i="44"/>
  <c r="C1303" i="44"/>
  <c r="C1304" i="44"/>
  <c r="C1305" i="44"/>
  <c r="C1306" i="44"/>
  <c r="C1307" i="44"/>
  <c r="C1308" i="44"/>
  <c r="C1309" i="44"/>
  <c r="C1310" i="44"/>
  <c r="C1311" i="44"/>
  <c r="C1312" i="44"/>
  <c r="C1313" i="44"/>
  <c r="C1314" i="44"/>
  <c r="C1315" i="44"/>
  <c r="C1316" i="44"/>
  <c r="C1317" i="44"/>
  <c r="C1318" i="44"/>
  <c r="C1319" i="44"/>
  <c r="C1320" i="44"/>
  <c r="C1321" i="44"/>
  <c r="C1322" i="44"/>
  <c r="C1323" i="44"/>
  <c r="C1324" i="44"/>
  <c r="C1325" i="44"/>
  <c r="C1326" i="44"/>
  <c r="C1327" i="44"/>
  <c r="C1328" i="44"/>
  <c r="C1329" i="44"/>
  <c r="C1330" i="44"/>
  <c r="C1331" i="44"/>
  <c r="C1332" i="44"/>
  <c r="C1333" i="44"/>
  <c r="C1334" i="44"/>
  <c r="C1335" i="44"/>
  <c r="C1336" i="44"/>
  <c r="C1337" i="44"/>
  <c r="C1338" i="44"/>
  <c r="C1339" i="44"/>
  <c r="C1340" i="44"/>
  <c r="C1341" i="44"/>
  <c r="C1342" i="44"/>
  <c r="C1343" i="44"/>
  <c r="C1344" i="44"/>
  <c r="C1345" i="44"/>
  <c r="C1346" i="44"/>
  <c r="C1347" i="44"/>
  <c r="C1348" i="44"/>
  <c r="C1349" i="44"/>
  <c r="C1350" i="44"/>
  <c r="C1351" i="44"/>
  <c r="C1352" i="44"/>
  <c r="C1353" i="44"/>
  <c r="C1354" i="44"/>
  <c r="C1355" i="44"/>
  <c r="C1356" i="44"/>
  <c r="C1357" i="44"/>
  <c r="C1358" i="44"/>
  <c r="C1359" i="44"/>
  <c r="C1360" i="44"/>
  <c r="C1361" i="44"/>
  <c r="C1362" i="44"/>
  <c r="C1363" i="44"/>
  <c r="C1364" i="44"/>
  <c r="C1365" i="44"/>
  <c r="C1366" i="44"/>
  <c r="C1367" i="44"/>
  <c r="C1368" i="44"/>
  <c r="C1369" i="44"/>
  <c r="C1370" i="44"/>
  <c r="C1371" i="44"/>
  <c r="C1372" i="44"/>
  <c r="C1373" i="44"/>
  <c r="C1374" i="44"/>
  <c r="C1375" i="44"/>
  <c r="C1376" i="44"/>
  <c r="C1377" i="44"/>
  <c r="C1378" i="44"/>
  <c r="C1379" i="44"/>
  <c r="C1380" i="44"/>
  <c r="C1381" i="44"/>
  <c r="C1382" i="44"/>
  <c r="C1383" i="44"/>
  <c r="C1384" i="44"/>
  <c r="C1385" i="44"/>
  <c r="C1386" i="44"/>
  <c r="C1387" i="44"/>
  <c r="C1388" i="44"/>
  <c r="C1389" i="44"/>
  <c r="C1390" i="44"/>
  <c r="C1391" i="44"/>
  <c r="C1392" i="44"/>
  <c r="C1393" i="44"/>
  <c r="C1394" i="44"/>
  <c r="C1395" i="44"/>
  <c r="C1396" i="44"/>
  <c r="C1397" i="44"/>
  <c r="C1398" i="44"/>
  <c r="C1399" i="44"/>
  <c r="C1400" i="44"/>
  <c r="C1401" i="44"/>
  <c r="C1402" i="44"/>
  <c r="C1403" i="44"/>
  <c r="C1404" i="44"/>
  <c r="C1405" i="44"/>
  <c r="C1406" i="44"/>
  <c r="C1407" i="44"/>
  <c r="C1408" i="44"/>
  <c r="C1409" i="44"/>
  <c r="C1410" i="44"/>
  <c r="C1411" i="44"/>
  <c r="C1412" i="44"/>
  <c r="C1413" i="44"/>
  <c r="C1414" i="44"/>
  <c r="C1415" i="44"/>
  <c r="C1416" i="44"/>
  <c r="C1417" i="44"/>
  <c r="C1418" i="44"/>
  <c r="C1419" i="44"/>
  <c r="C1420" i="44"/>
  <c r="C1421" i="44"/>
  <c r="C1422" i="44"/>
  <c r="C1423" i="44"/>
  <c r="C1424" i="44"/>
  <c r="C1425" i="44"/>
  <c r="C1426" i="44"/>
  <c r="C1427" i="44"/>
  <c r="C1428" i="44"/>
  <c r="C1429" i="44"/>
  <c r="C1430" i="44"/>
  <c r="C1431" i="44"/>
  <c r="C1432" i="44"/>
  <c r="C1433" i="44"/>
  <c r="C1434" i="44"/>
  <c r="C1435" i="44"/>
  <c r="C1436" i="44"/>
  <c r="C1437" i="44"/>
  <c r="C1438" i="44"/>
  <c r="C1439" i="44"/>
  <c r="C1440" i="44"/>
  <c r="C1441" i="44"/>
  <c r="C1442" i="44"/>
  <c r="C1443" i="44"/>
  <c r="C1444" i="44"/>
  <c r="C1445" i="44"/>
  <c r="C1446" i="44"/>
  <c r="C1447" i="44"/>
  <c r="C1448" i="44"/>
  <c r="C1449" i="44"/>
  <c r="C1450" i="44"/>
  <c r="C1451" i="44"/>
  <c r="C1452" i="44"/>
  <c r="C1453" i="44"/>
  <c r="C1454" i="44"/>
  <c r="C1455" i="44"/>
  <c r="C1456" i="44"/>
  <c r="C1457" i="44"/>
  <c r="C1458" i="44"/>
  <c r="C1459" i="44"/>
  <c r="C1460" i="44"/>
  <c r="C1461" i="44"/>
  <c r="C1462" i="44"/>
  <c r="C1463" i="44"/>
  <c r="C1464" i="44"/>
  <c r="C1465" i="44"/>
  <c r="C1466" i="44"/>
  <c r="C1467" i="44"/>
  <c r="C1468" i="44"/>
  <c r="C1469" i="44"/>
  <c r="C1470" i="44"/>
  <c r="C1471" i="44"/>
  <c r="C1472" i="44"/>
  <c r="C1473" i="44"/>
  <c r="C1474" i="44"/>
  <c r="C1475" i="44"/>
  <c r="C1476" i="44"/>
  <c r="C1477" i="44"/>
  <c r="C1478" i="44"/>
  <c r="C1479" i="44"/>
  <c r="C1480" i="44"/>
  <c r="C1481" i="44"/>
  <c r="C1482" i="44"/>
  <c r="C1483" i="44"/>
  <c r="C1484" i="44"/>
  <c r="C1485" i="44"/>
  <c r="C1486" i="44"/>
  <c r="C1487" i="44"/>
  <c r="C1488" i="44"/>
  <c r="C1489" i="44"/>
  <c r="C1490" i="44"/>
  <c r="B2" i="44"/>
  <c r="B3" i="44"/>
  <c r="B4" i="44"/>
  <c r="B5" i="44"/>
  <c r="B6" i="44"/>
  <c r="B7" i="44"/>
  <c r="B8" i="44"/>
  <c r="B9" i="44"/>
  <c r="B10" i="44"/>
  <c r="B11" i="44"/>
  <c r="B12" i="44"/>
  <c r="B13" i="44"/>
  <c r="B14" i="44"/>
  <c r="B15" i="44"/>
  <c r="B16" i="44"/>
  <c r="B17" i="44"/>
  <c r="B18" i="44"/>
  <c r="B19" i="44"/>
  <c r="B20" i="44"/>
  <c r="B21" i="44"/>
  <c r="B22" i="44"/>
  <c r="B23" i="44"/>
  <c r="B24" i="44"/>
  <c r="B25" i="44"/>
  <c r="B26" i="44"/>
  <c r="B27" i="44"/>
  <c r="B28" i="44"/>
  <c r="B29" i="44"/>
  <c r="B30" i="44"/>
  <c r="B31" i="44"/>
  <c r="B32" i="44"/>
  <c r="B33" i="44"/>
  <c r="B34" i="44"/>
  <c r="B35" i="44"/>
  <c r="B36" i="44"/>
  <c r="B37" i="44"/>
  <c r="B38" i="44"/>
  <c r="B39" i="44"/>
  <c r="B40" i="44"/>
  <c r="B41" i="44"/>
  <c r="B42" i="44"/>
  <c r="B43" i="44"/>
  <c r="B44" i="44"/>
  <c r="B45" i="44"/>
  <c r="B46" i="44"/>
  <c r="B47" i="44"/>
  <c r="B48" i="44"/>
  <c r="B49" i="44"/>
  <c r="B50" i="44"/>
  <c r="B51" i="44"/>
  <c r="B52" i="44"/>
  <c r="B53" i="44"/>
  <c r="B54" i="44"/>
  <c r="B55" i="44"/>
  <c r="B56" i="44"/>
  <c r="B57" i="44"/>
  <c r="B58" i="44"/>
  <c r="B59" i="44"/>
  <c r="B60" i="44"/>
  <c r="B61" i="44"/>
  <c r="B62" i="44"/>
  <c r="B63" i="44"/>
  <c r="B64" i="44"/>
  <c r="B65" i="44"/>
  <c r="B66" i="44"/>
  <c r="B67" i="44"/>
  <c r="B68" i="44"/>
  <c r="B69" i="44"/>
  <c r="B70" i="44"/>
  <c r="B71" i="44"/>
  <c r="B72" i="44"/>
  <c r="B73" i="44"/>
  <c r="B74" i="44"/>
  <c r="B75" i="44"/>
  <c r="B76" i="44"/>
  <c r="B77" i="44"/>
  <c r="B78" i="44"/>
  <c r="B79" i="44"/>
  <c r="B80" i="44"/>
  <c r="B81" i="44"/>
  <c r="B82" i="44"/>
  <c r="B83" i="44"/>
  <c r="B84" i="44"/>
  <c r="B85" i="44"/>
  <c r="B86" i="44"/>
  <c r="B87" i="44"/>
  <c r="B88" i="44"/>
  <c r="B89" i="44"/>
  <c r="B90" i="44"/>
  <c r="B91" i="44"/>
  <c r="B92" i="44"/>
  <c r="B93" i="44"/>
  <c r="B94" i="44"/>
  <c r="B95" i="44"/>
  <c r="B96" i="44"/>
  <c r="B97" i="44"/>
  <c r="B98" i="44"/>
  <c r="B99" i="44"/>
  <c r="B100" i="44"/>
  <c r="B101" i="44"/>
  <c r="B102" i="44"/>
  <c r="B103" i="44"/>
  <c r="B104" i="44"/>
  <c r="B105" i="44"/>
  <c r="B106" i="44"/>
  <c r="B107" i="44"/>
  <c r="B108" i="44"/>
  <c r="B109" i="44"/>
  <c r="B110" i="44"/>
  <c r="B111" i="44"/>
  <c r="B112" i="44"/>
  <c r="B113" i="44"/>
  <c r="B114" i="44"/>
  <c r="B115" i="44"/>
  <c r="B116" i="44"/>
  <c r="B117" i="44"/>
  <c r="B118" i="44"/>
  <c r="B119" i="44"/>
  <c r="B120" i="44"/>
  <c r="B121" i="44"/>
  <c r="B122" i="44"/>
  <c r="B123" i="44"/>
  <c r="B124" i="44"/>
  <c r="B125" i="44"/>
  <c r="B126" i="44"/>
  <c r="B127" i="44"/>
  <c r="B128" i="44"/>
  <c r="B129" i="44"/>
  <c r="B130" i="44"/>
  <c r="B131" i="44"/>
  <c r="B132" i="44"/>
  <c r="B133" i="44"/>
  <c r="B134" i="44"/>
  <c r="B135" i="44"/>
  <c r="B136" i="44"/>
  <c r="B137" i="44"/>
  <c r="B138" i="44"/>
  <c r="B139" i="44"/>
  <c r="B140" i="44"/>
  <c r="B141" i="44"/>
  <c r="B142" i="44"/>
  <c r="B143" i="44"/>
  <c r="B144" i="44"/>
  <c r="B145" i="44"/>
  <c r="B146" i="44"/>
  <c r="B147" i="44"/>
  <c r="B148" i="44"/>
  <c r="B149" i="44"/>
  <c r="B150" i="44"/>
  <c r="B151" i="44"/>
  <c r="B152" i="44"/>
  <c r="B153" i="44"/>
  <c r="B154" i="44"/>
  <c r="B155" i="44"/>
  <c r="B156" i="44"/>
  <c r="B157" i="44"/>
  <c r="B158" i="44"/>
  <c r="B159" i="44"/>
  <c r="B160" i="44"/>
  <c r="B161" i="44"/>
  <c r="B162" i="44"/>
  <c r="B163" i="44"/>
  <c r="B164" i="44"/>
  <c r="B165" i="44"/>
  <c r="B166" i="44"/>
  <c r="B167" i="44"/>
  <c r="B168" i="44"/>
  <c r="B169" i="44"/>
  <c r="B170" i="44"/>
  <c r="B171" i="44"/>
  <c r="B172" i="44"/>
  <c r="B173" i="44"/>
  <c r="B174" i="44"/>
  <c r="B175" i="44"/>
  <c r="B176" i="44"/>
  <c r="B177" i="44"/>
  <c r="B178" i="44"/>
  <c r="B179" i="44"/>
  <c r="B180" i="44"/>
  <c r="B181" i="44"/>
  <c r="B182" i="44"/>
  <c r="B183" i="44"/>
  <c r="B184" i="44"/>
  <c r="B185" i="44"/>
  <c r="B186" i="44"/>
  <c r="B187" i="44"/>
  <c r="B188" i="44"/>
  <c r="B189" i="44"/>
  <c r="B190" i="44"/>
  <c r="B191" i="44"/>
  <c r="B192" i="44"/>
  <c r="B193" i="44"/>
  <c r="B194" i="44"/>
  <c r="B195" i="44"/>
  <c r="B196" i="44"/>
  <c r="B197" i="44"/>
  <c r="B198" i="44"/>
  <c r="B199" i="44"/>
  <c r="B200" i="44"/>
  <c r="B201" i="44"/>
  <c r="B202" i="44"/>
  <c r="B203" i="44"/>
  <c r="B204" i="44"/>
  <c r="B205" i="44"/>
  <c r="B206" i="44"/>
  <c r="B207" i="44"/>
  <c r="B208" i="44"/>
  <c r="B209" i="44"/>
  <c r="B210" i="44"/>
  <c r="B211" i="44"/>
  <c r="B212" i="44"/>
  <c r="B213" i="44"/>
  <c r="B214" i="44"/>
  <c r="B215" i="44"/>
  <c r="B216" i="44"/>
  <c r="B217" i="44"/>
  <c r="B218" i="44"/>
  <c r="B219" i="44"/>
  <c r="B220" i="44"/>
  <c r="B221" i="44"/>
  <c r="B222" i="44"/>
  <c r="B223" i="44"/>
  <c r="B224" i="44"/>
  <c r="B225" i="44"/>
  <c r="B226" i="44"/>
  <c r="B227" i="44"/>
  <c r="B228" i="44"/>
  <c r="B229" i="44"/>
  <c r="B230" i="44"/>
  <c r="B231" i="44"/>
  <c r="B232" i="44"/>
  <c r="B233" i="44"/>
  <c r="B234" i="44"/>
  <c r="B235" i="44"/>
  <c r="B236" i="44"/>
  <c r="B237" i="44"/>
  <c r="B238" i="44"/>
  <c r="B239" i="44"/>
  <c r="B240" i="44"/>
  <c r="B241" i="44"/>
  <c r="B242" i="44"/>
  <c r="B243" i="44"/>
  <c r="B244" i="44"/>
  <c r="B245" i="44"/>
  <c r="B246" i="44"/>
  <c r="B247" i="44"/>
  <c r="B248" i="44"/>
  <c r="B249" i="44"/>
  <c r="B250" i="44"/>
  <c r="B251" i="44"/>
  <c r="B252" i="44"/>
  <c r="B253" i="44"/>
  <c r="B254" i="44"/>
  <c r="B255" i="44"/>
  <c r="B256" i="44"/>
  <c r="B257" i="44"/>
  <c r="B258" i="44"/>
  <c r="B259" i="44"/>
  <c r="B260" i="44"/>
  <c r="B261" i="44"/>
  <c r="B262" i="44"/>
  <c r="B263" i="44"/>
  <c r="B264" i="44"/>
  <c r="B265" i="44"/>
  <c r="B266" i="44"/>
  <c r="B267" i="44"/>
  <c r="B268" i="44"/>
  <c r="B269" i="44"/>
  <c r="B270" i="44"/>
  <c r="B271" i="44"/>
  <c r="B272" i="44"/>
  <c r="B273" i="44"/>
  <c r="B274" i="44"/>
  <c r="B275" i="44"/>
  <c r="B276" i="44"/>
  <c r="B277" i="44"/>
  <c r="B278" i="44"/>
  <c r="B279" i="44"/>
  <c r="B280" i="44"/>
  <c r="B281" i="44"/>
  <c r="B282" i="44"/>
  <c r="B283" i="44"/>
  <c r="B284" i="44"/>
  <c r="B285" i="44"/>
  <c r="B286" i="44"/>
  <c r="B287" i="44"/>
  <c r="B288" i="44"/>
  <c r="B289" i="44"/>
  <c r="B290" i="44"/>
  <c r="B291" i="44"/>
  <c r="B292" i="44"/>
  <c r="B293" i="44"/>
  <c r="B294" i="44"/>
  <c r="B295" i="44"/>
  <c r="B296" i="44"/>
  <c r="B297" i="44"/>
  <c r="B298" i="44"/>
  <c r="B299" i="44"/>
  <c r="B300" i="44"/>
  <c r="B301" i="44"/>
  <c r="B302" i="44"/>
  <c r="B303" i="44"/>
  <c r="B304" i="44"/>
  <c r="B305" i="44"/>
  <c r="B306" i="44"/>
  <c r="B307" i="44"/>
  <c r="B308" i="44"/>
  <c r="B309" i="44"/>
  <c r="B310" i="44"/>
  <c r="B311" i="44"/>
  <c r="B312" i="44"/>
  <c r="B313" i="44"/>
  <c r="B314" i="44"/>
  <c r="B315" i="44"/>
  <c r="B316" i="44"/>
  <c r="B317" i="44"/>
  <c r="B318" i="44"/>
  <c r="B319" i="44"/>
  <c r="B320" i="44"/>
  <c r="B321" i="44"/>
  <c r="B322" i="44"/>
  <c r="B323" i="44"/>
  <c r="B324" i="44"/>
  <c r="B325" i="44"/>
  <c r="B326" i="44"/>
  <c r="B327" i="44"/>
  <c r="B328" i="44"/>
  <c r="B329" i="44"/>
  <c r="B330" i="44"/>
  <c r="B331" i="44"/>
  <c r="B332" i="44"/>
  <c r="B333" i="44"/>
  <c r="B334" i="44"/>
  <c r="B335" i="44"/>
  <c r="B336" i="44"/>
  <c r="B337" i="44"/>
  <c r="B338" i="44"/>
  <c r="B339" i="44"/>
  <c r="B340" i="44"/>
  <c r="B341" i="44"/>
  <c r="B342" i="44"/>
  <c r="B343" i="44"/>
  <c r="B344" i="44"/>
  <c r="B345" i="44"/>
  <c r="B346" i="44"/>
  <c r="B347" i="44"/>
  <c r="B348" i="44"/>
  <c r="B349" i="44"/>
  <c r="B350" i="44"/>
  <c r="B351" i="44"/>
  <c r="B352" i="44"/>
  <c r="B353" i="44"/>
  <c r="B354" i="44"/>
  <c r="B355" i="44"/>
  <c r="B356" i="44"/>
  <c r="B357" i="44"/>
  <c r="B358" i="44"/>
  <c r="B359" i="44"/>
  <c r="B360" i="44"/>
  <c r="B361" i="44"/>
  <c r="B362" i="44"/>
  <c r="B363" i="44"/>
  <c r="B364" i="44"/>
  <c r="B365" i="44"/>
  <c r="B366" i="44"/>
  <c r="B367" i="44"/>
  <c r="B368" i="44"/>
  <c r="B369" i="44"/>
  <c r="B370" i="44"/>
  <c r="B371" i="44"/>
  <c r="B372" i="44"/>
  <c r="B373" i="44"/>
  <c r="B374" i="44"/>
  <c r="B375" i="44"/>
  <c r="B376" i="44"/>
  <c r="B377" i="44"/>
  <c r="B378" i="44"/>
  <c r="B379" i="44"/>
  <c r="B380" i="44"/>
  <c r="B381" i="44"/>
  <c r="B382" i="44"/>
  <c r="B383" i="44"/>
  <c r="B384" i="44"/>
  <c r="B385" i="44"/>
  <c r="B386" i="44"/>
  <c r="B387" i="44"/>
  <c r="B388" i="44"/>
  <c r="B389" i="44"/>
  <c r="B390" i="44"/>
  <c r="B391" i="44"/>
  <c r="B392" i="44"/>
  <c r="B393" i="44"/>
  <c r="B394" i="44"/>
  <c r="B395" i="44"/>
  <c r="B396" i="44"/>
  <c r="B397" i="44"/>
  <c r="B398" i="44"/>
  <c r="B399" i="44"/>
  <c r="B400" i="44"/>
  <c r="B401" i="44"/>
  <c r="B402" i="44"/>
  <c r="B403" i="44"/>
  <c r="B404" i="44"/>
  <c r="B405" i="44"/>
  <c r="B406" i="44"/>
  <c r="B407" i="44"/>
  <c r="B408" i="44"/>
  <c r="B409" i="44"/>
  <c r="B410" i="44"/>
  <c r="B411" i="44"/>
  <c r="B412" i="44"/>
  <c r="B413" i="44"/>
  <c r="B414" i="44"/>
  <c r="B415" i="44"/>
  <c r="B416" i="44"/>
  <c r="B417" i="44"/>
  <c r="B418" i="44"/>
  <c r="B419" i="44"/>
  <c r="B420" i="44"/>
  <c r="B421" i="44"/>
  <c r="B422" i="44"/>
  <c r="B423" i="44"/>
  <c r="B424" i="44"/>
  <c r="B425" i="44"/>
  <c r="B426" i="44"/>
  <c r="B427" i="44"/>
  <c r="B428" i="44"/>
  <c r="B429" i="44"/>
  <c r="B430" i="44"/>
  <c r="B431" i="44"/>
  <c r="B432" i="44"/>
  <c r="B433" i="44"/>
  <c r="B434" i="44"/>
  <c r="B435" i="44"/>
  <c r="B436" i="44"/>
  <c r="B437" i="44"/>
  <c r="B438" i="44"/>
  <c r="B439" i="44"/>
  <c r="B440" i="44"/>
  <c r="B441" i="44"/>
  <c r="B442" i="44"/>
  <c r="B443" i="44"/>
  <c r="B444" i="44"/>
  <c r="B445" i="44"/>
  <c r="B446" i="44"/>
  <c r="B447" i="44"/>
  <c r="B448" i="44"/>
  <c r="B449" i="44"/>
  <c r="B450" i="44"/>
  <c r="B451" i="44"/>
  <c r="B452" i="44"/>
  <c r="B453" i="44"/>
  <c r="B454" i="44"/>
  <c r="B455" i="44"/>
  <c r="B456" i="44"/>
  <c r="B457" i="44"/>
  <c r="B458" i="44"/>
  <c r="B459" i="44"/>
  <c r="B460" i="44"/>
  <c r="B461" i="44"/>
  <c r="B462" i="44"/>
  <c r="B463" i="44"/>
  <c r="B464" i="44"/>
  <c r="B465" i="44"/>
  <c r="B466" i="44"/>
  <c r="B467" i="44"/>
  <c r="B468" i="44"/>
  <c r="B469" i="44"/>
  <c r="B470" i="44"/>
  <c r="B471" i="44"/>
  <c r="B472" i="44"/>
  <c r="B473" i="44"/>
  <c r="B474" i="44"/>
  <c r="B475" i="44"/>
  <c r="B476" i="44"/>
  <c r="B477" i="44"/>
  <c r="B478" i="44"/>
  <c r="B479" i="44"/>
  <c r="B480" i="44"/>
  <c r="B481" i="44"/>
  <c r="B482" i="44"/>
  <c r="B483" i="44"/>
  <c r="B484" i="44"/>
  <c r="B485" i="44"/>
  <c r="B486" i="44"/>
  <c r="B487" i="44"/>
  <c r="B488" i="44"/>
  <c r="B489" i="44"/>
  <c r="B490" i="44"/>
  <c r="B491" i="44"/>
  <c r="B492" i="44"/>
  <c r="B493" i="44"/>
  <c r="B494" i="44"/>
  <c r="B495" i="44"/>
  <c r="B496" i="44"/>
  <c r="B497" i="44"/>
  <c r="B498" i="44"/>
  <c r="B499" i="44"/>
  <c r="B500" i="44"/>
  <c r="B501" i="44"/>
  <c r="B502" i="44"/>
  <c r="B503" i="44"/>
  <c r="B504" i="44"/>
  <c r="B505" i="44"/>
  <c r="B506" i="44"/>
  <c r="B507" i="44"/>
  <c r="B508" i="44"/>
  <c r="B509" i="44"/>
  <c r="B510" i="44"/>
  <c r="B511" i="44"/>
  <c r="B512" i="44"/>
  <c r="B513" i="44"/>
  <c r="B514" i="44"/>
  <c r="B515" i="44"/>
  <c r="B516" i="44"/>
  <c r="B517" i="44"/>
  <c r="B518" i="44"/>
  <c r="B519" i="44"/>
  <c r="B520" i="44"/>
  <c r="B521" i="44"/>
  <c r="B522" i="44"/>
  <c r="B523" i="44"/>
  <c r="B524" i="44"/>
  <c r="B525" i="44"/>
  <c r="B526" i="44"/>
  <c r="B527" i="44"/>
  <c r="B528" i="44"/>
  <c r="B529" i="44"/>
  <c r="B530" i="44"/>
  <c r="B531" i="44"/>
  <c r="B532" i="44"/>
  <c r="B533" i="44"/>
  <c r="B534" i="44"/>
  <c r="B535" i="44"/>
  <c r="B536" i="44"/>
  <c r="B537" i="44"/>
  <c r="B538" i="44"/>
  <c r="B539" i="44"/>
  <c r="B540" i="44"/>
  <c r="B541" i="44"/>
  <c r="B542" i="44"/>
  <c r="B543" i="44"/>
  <c r="B544" i="44"/>
  <c r="B545" i="44"/>
  <c r="B546" i="44"/>
  <c r="B547" i="44"/>
  <c r="B548" i="44"/>
  <c r="B549" i="44"/>
  <c r="B550" i="44"/>
  <c r="B551" i="44"/>
  <c r="B552" i="44"/>
  <c r="B553" i="44"/>
  <c r="B554" i="44"/>
  <c r="B555" i="44"/>
  <c r="B556" i="44"/>
  <c r="B557" i="44"/>
  <c r="B558" i="44"/>
  <c r="B559" i="44"/>
  <c r="B560" i="44"/>
  <c r="B561" i="44"/>
  <c r="B562" i="44"/>
  <c r="B563" i="44"/>
  <c r="B564" i="44"/>
  <c r="B565" i="44"/>
  <c r="B566" i="44"/>
  <c r="B567" i="44"/>
  <c r="B568" i="44"/>
  <c r="B569" i="44"/>
  <c r="B570" i="44"/>
  <c r="B571" i="44"/>
  <c r="B572" i="44"/>
  <c r="B573" i="44"/>
  <c r="B574" i="44"/>
  <c r="B575" i="44"/>
  <c r="B576" i="44"/>
  <c r="B577" i="44"/>
  <c r="B578" i="44"/>
  <c r="B579" i="44"/>
  <c r="B580" i="44"/>
  <c r="B581" i="44"/>
  <c r="B582" i="44"/>
  <c r="B583" i="44"/>
  <c r="B584" i="44"/>
  <c r="B585" i="44"/>
  <c r="B586" i="44"/>
  <c r="B587" i="44"/>
  <c r="B588" i="44"/>
  <c r="B589" i="44"/>
  <c r="B590" i="44"/>
  <c r="B591" i="44"/>
  <c r="B592" i="44"/>
  <c r="B593" i="44"/>
  <c r="B594" i="44"/>
  <c r="B595" i="44"/>
  <c r="B596" i="44"/>
  <c r="B597" i="44"/>
  <c r="B598" i="44"/>
  <c r="B599" i="44"/>
  <c r="B600" i="44"/>
  <c r="B601" i="44"/>
  <c r="B602" i="44"/>
  <c r="B603" i="44"/>
  <c r="B604" i="44"/>
  <c r="B605" i="44"/>
  <c r="B606" i="44"/>
  <c r="B607" i="44"/>
  <c r="B608" i="44"/>
  <c r="B609" i="44"/>
  <c r="B610" i="44"/>
  <c r="B611" i="44"/>
  <c r="B612" i="44"/>
  <c r="B613" i="44"/>
  <c r="B614" i="44"/>
  <c r="B615" i="44"/>
  <c r="B616" i="44"/>
  <c r="B617" i="44"/>
  <c r="B618" i="44"/>
  <c r="B619" i="44"/>
  <c r="B620" i="44"/>
  <c r="B621" i="44"/>
  <c r="B622" i="44"/>
  <c r="B623" i="44"/>
  <c r="B624" i="44"/>
  <c r="B625" i="44"/>
  <c r="B626" i="44"/>
  <c r="B627" i="44"/>
  <c r="B628" i="44"/>
  <c r="B629" i="44"/>
  <c r="B630" i="44"/>
  <c r="B631" i="44"/>
  <c r="B632" i="44"/>
  <c r="B633" i="44"/>
  <c r="B634" i="44"/>
  <c r="B635" i="44"/>
  <c r="B636" i="44"/>
  <c r="B637" i="44"/>
  <c r="B638" i="44"/>
  <c r="B639" i="44"/>
  <c r="B640" i="44"/>
  <c r="B641" i="44"/>
  <c r="B642" i="44"/>
  <c r="B643" i="44"/>
  <c r="B644" i="44"/>
  <c r="B645" i="44"/>
  <c r="B646" i="44"/>
  <c r="B647" i="44"/>
  <c r="B648" i="44"/>
  <c r="B649" i="44"/>
  <c r="B650" i="44"/>
  <c r="B651" i="44"/>
  <c r="B652" i="44"/>
  <c r="B653" i="44"/>
  <c r="B654" i="44"/>
  <c r="B655" i="44"/>
  <c r="B656" i="44"/>
  <c r="B657" i="44"/>
  <c r="B658" i="44"/>
  <c r="B659" i="44"/>
  <c r="B660" i="44"/>
  <c r="B661" i="44"/>
  <c r="B662" i="44"/>
  <c r="B663" i="44"/>
  <c r="B664" i="44"/>
  <c r="B665" i="44"/>
  <c r="B666" i="44"/>
  <c r="B667" i="44"/>
  <c r="B668" i="44"/>
  <c r="B669" i="44"/>
  <c r="B670" i="44"/>
  <c r="B671" i="44"/>
  <c r="B672" i="44"/>
  <c r="B673" i="44"/>
  <c r="B674" i="44"/>
  <c r="B675" i="44"/>
  <c r="B676" i="44"/>
  <c r="B677" i="44"/>
  <c r="B678" i="44"/>
  <c r="B679" i="44"/>
  <c r="B680" i="44"/>
  <c r="B681" i="44"/>
  <c r="B682" i="44"/>
  <c r="B683" i="44"/>
  <c r="B684" i="44"/>
  <c r="B685" i="44"/>
  <c r="B686" i="44"/>
  <c r="B687" i="44"/>
  <c r="B688" i="44"/>
  <c r="B689" i="44"/>
  <c r="B690" i="44"/>
  <c r="B691" i="44"/>
  <c r="B692" i="44"/>
  <c r="B693" i="44"/>
  <c r="B694" i="44"/>
  <c r="B695" i="44"/>
  <c r="B696" i="44"/>
  <c r="B697" i="44"/>
  <c r="B698" i="44"/>
  <c r="B699" i="44"/>
  <c r="B700" i="44"/>
  <c r="B701" i="44"/>
  <c r="B702" i="44"/>
  <c r="B703" i="44"/>
  <c r="B704" i="44"/>
  <c r="B705" i="44"/>
  <c r="B706" i="44"/>
  <c r="B707" i="44"/>
  <c r="B708" i="44"/>
  <c r="B709" i="44"/>
  <c r="B710" i="44"/>
  <c r="B711" i="44"/>
  <c r="B712" i="44"/>
  <c r="B713" i="44"/>
  <c r="B714" i="44"/>
  <c r="B715" i="44"/>
  <c r="B716" i="44"/>
  <c r="B717" i="44"/>
  <c r="B718" i="44"/>
  <c r="B719" i="44"/>
  <c r="B720" i="44"/>
  <c r="B721" i="44"/>
  <c r="B722" i="44"/>
  <c r="B723" i="44"/>
  <c r="B724" i="44"/>
  <c r="B725" i="44"/>
  <c r="B726" i="44"/>
  <c r="B727" i="44"/>
  <c r="B728" i="44"/>
  <c r="B729" i="44"/>
  <c r="B730" i="44"/>
  <c r="B731" i="44"/>
  <c r="B732" i="44"/>
  <c r="B733" i="44"/>
  <c r="B734" i="44"/>
  <c r="B735" i="44"/>
  <c r="B736" i="44"/>
  <c r="B737" i="44"/>
  <c r="B738" i="44"/>
  <c r="B739" i="44"/>
  <c r="B740" i="44"/>
  <c r="B741" i="44"/>
  <c r="B742" i="44"/>
  <c r="B743" i="44"/>
  <c r="B744" i="44"/>
  <c r="B745" i="44"/>
  <c r="B746" i="44"/>
  <c r="B747" i="44"/>
  <c r="B748" i="44"/>
  <c r="B749" i="44"/>
  <c r="B750" i="44"/>
  <c r="B751" i="44"/>
  <c r="B752" i="44"/>
  <c r="B753" i="44"/>
  <c r="B754" i="44"/>
  <c r="B755" i="44"/>
  <c r="B756" i="44"/>
  <c r="B757" i="44"/>
  <c r="B758" i="44"/>
  <c r="B759" i="44"/>
  <c r="B760" i="44"/>
  <c r="B761" i="44"/>
  <c r="B762" i="44"/>
  <c r="B763" i="44"/>
  <c r="B764" i="44"/>
  <c r="B765" i="44"/>
  <c r="B766" i="44"/>
  <c r="B767" i="44"/>
  <c r="B768" i="44"/>
  <c r="B769" i="44"/>
  <c r="B770" i="44"/>
  <c r="B771" i="44"/>
  <c r="B772" i="44"/>
  <c r="B773" i="44"/>
  <c r="B774" i="44"/>
  <c r="B775" i="44"/>
  <c r="B776" i="44"/>
  <c r="B777" i="44"/>
  <c r="B778" i="44"/>
  <c r="B779" i="44"/>
  <c r="B780" i="44"/>
  <c r="B781" i="44"/>
  <c r="B782" i="44"/>
  <c r="B783" i="44"/>
  <c r="B784" i="44"/>
  <c r="B785" i="44"/>
  <c r="B786" i="44"/>
  <c r="B787" i="44"/>
  <c r="B788" i="44"/>
  <c r="B789" i="44"/>
  <c r="B790" i="44"/>
  <c r="B791" i="44"/>
  <c r="B792" i="44"/>
  <c r="B793" i="44"/>
  <c r="B794" i="44"/>
  <c r="B795" i="44"/>
  <c r="B796" i="44"/>
  <c r="B797" i="44"/>
  <c r="B798" i="44"/>
  <c r="B799" i="44"/>
  <c r="B800" i="44"/>
  <c r="B801" i="44"/>
  <c r="B802" i="44"/>
  <c r="B803" i="44"/>
  <c r="B804" i="44"/>
  <c r="B805" i="44"/>
  <c r="B806" i="44"/>
  <c r="B807" i="44"/>
  <c r="B808" i="44"/>
  <c r="B809" i="44"/>
  <c r="B810" i="44"/>
  <c r="B811" i="44"/>
  <c r="B812" i="44"/>
  <c r="B813" i="44"/>
  <c r="B814" i="44"/>
  <c r="B815" i="44"/>
  <c r="B816" i="44"/>
  <c r="B817" i="44"/>
  <c r="B818" i="44"/>
  <c r="B819" i="44"/>
  <c r="B820" i="44"/>
  <c r="B821" i="44"/>
  <c r="B822" i="44"/>
  <c r="B823" i="44"/>
  <c r="B824" i="44"/>
  <c r="B825" i="44"/>
  <c r="B826" i="44"/>
  <c r="B827" i="44"/>
  <c r="B828" i="44"/>
  <c r="B829" i="44"/>
  <c r="B830" i="44"/>
  <c r="B831" i="44"/>
  <c r="B832" i="44"/>
  <c r="B833" i="44"/>
  <c r="B834" i="44"/>
  <c r="B835" i="44"/>
  <c r="B836" i="44"/>
  <c r="B837" i="44"/>
  <c r="B838" i="44"/>
  <c r="B839" i="44"/>
  <c r="B840" i="44"/>
  <c r="B841" i="44"/>
  <c r="B842" i="44"/>
  <c r="B843" i="44"/>
  <c r="B844" i="44"/>
  <c r="B845" i="44"/>
  <c r="B846" i="44"/>
  <c r="B847" i="44"/>
  <c r="B848" i="44"/>
  <c r="B849" i="44"/>
  <c r="B850" i="44"/>
  <c r="B851" i="44"/>
  <c r="B852" i="44"/>
  <c r="B853" i="44"/>
  <c r="B854" i="44"/>
  <c r="B855" i="44"/>
  <c r="B856" i="44"/>
  <c r="B857" i="44"/>
  <c r="B858" i="44"/>
  <c r="B859" i="44"/>
  <c r="B860" i="44"/>
  <c r="B861" i="44"/>
  <c r="B862" i="44"/>
  <c r="B863" i="44"/>
  <c r="B864" i="44"/>
  <c r="B865" i="44"/>
  <c r="B866" i="44"/>
  <c r="B867" i="44"/>
  <c r="B868" i="44"/>
  <c r="B869" i="44"/>
  <c r="B870" i="44"/>
  <c r="B871" i="44"/>
  <c r="B872" i="44"/>
  <c r="B873" i="44"/>
  <c r="B874" i="44"/>
  <c r="B875" i="44"/>
  <c r="B876" i="44"/>
  <c r="B877" i="44"/>
  <c r="B878" i="44"/>
  <c r="B879" i="44"/>
  <c r="B880" i="44"/>
  <c r="B881" i="44"/>
  <c r="B882" i="44"/>
  <c r="B883" i="44"/>
  <c r="B884" i="44"/>
  <c r="B885" i="44"/>
  <c r="B886" i="44"/>
  <c r="B887" i="44"/>
  <c r="B888" i="44"/>
  <c r="B889" i="44"/>
  <c r="B890" i="44"/>
  <c r="B891" i="44"/>
  <c r="B892" i="44"/>
  <c r="B893" i="44"/>
  <c r="B894" i="44"/>
  <c r="B895" i="44"/>
  <c r="B896" i="44"/>
  <c r="B897" i="44"/>
  <c r="B898" i="44"/>
  <c r="B899" i="44"/>
  <c r="B900" i="44"/>
  <c r="B901" i="44"/>
  <c r="B902" i="44"/>
  <c r="B903" i="44"/>
  <c r="B904" i="44"/>
  <c r="B905" i="44"/>
  <c r="B906" i="44"/>
  <c r="B907" i="44"/>
  <c r="B908" i="44"/>
  <c r="B909" i="44"/>
  <c r="B910" i="44"/>
  <c r="B911" i="44"/>
  <c r="B912" i="44"/>
  <c r="B913" i="44"/>
  <c r="B914" i="44"/>
  <c r="B915" i="44"/>
  <c r="B916" i="44"/>
  <c r="B917" i="44"/>
  <c r="B918" i="44"/>
  <c r="B919" i="44"/>
  <c r="B920" i="44"/>
  <c r="B921" i="44"/>
  <c r="B922" i="44"/>
  <c r="B923" i="44"/>
  <c r="B924" i="44"/>
  <c r="B925" i="44"/>
  <c r="B926" i="44"/>
  <c r="B927" i="44"/>
  <c r="B928" i="44"/>
  <c r="B929" i="44"/>
  <c r="B930" i="44"/>
  <c r="B931" i="44"/>
  <c r="B932" i="44"/>
  <c r="B933" i="44"/>
  <c r="B934" i="44"/>
  <c r="B935" i="44"/>
  <c r="B936" i="44"/>
  <c r="B937" i="44"/>
  <c r="B938" i="44"/>
  <c r="B939" i="44"/>
  <c r="B940" i="44"/>
  <c r="B941" i="44"/>
  <c r="B942" i="44"/>
  <c r="B943" i="44"/>
  <c r="B944" i="44"/>
  <c r="B945" i="44"/>
  <c r="B946" i="44"/>
  <c r="B947" i="44"/>
  <c r="B948" i="44"/>
  <c r="B949" i="44"/>
  <c r="B950" i="44"/>
  <c r="B951" i="44"/>
  <c r="B952" i="44"/>
  <c r="B953" i="44"/>
  <c r="B954" i="44"/>
  <c r="B955" i="44"/>
  <c r="B956" i="44"/>
  <c r="B957" i="44"/>
  <c r="B958" i="44"/>
  <c r="B959" i="44"/>
  <c r="B960" i="44"/>
  <c r="B961" i="44"/>
  <c r="B962" i="44"/>
  <c r="B963" i="44"/>
  <c r="B964" i="44"/>
  <c r="B965" i="44"/>
  <c r="B966" i="44"/>
  <c r="B967" i="44"/>
  <c r="B968" i="44"/>
  <c r="B969" i="44"/>
  <c r="B970" i="44"/>
  <c r="B971" i="44"/>
  <c r="B972" i="44"/>
  <c r="B973" i="44"/>
  <c r="B974" i="44"/>
  <c r="B975" i="44"/>
  <c r="B976" i="44"/>
  <c r="B977" i="44"/>
  <c r="B978" i="44"/>
  <c r="B979" i="44"/>
  <c r="B980" i="44"/>
  <c r="B981" i="44"/>
  <c r="B982" i="44"/>
  <c r="B983" i="44"/>
  <c r="B984" i="44"/>
  <c r="B985" i="44"/>
  <c r="B986" i="44"/>
  <c r="B987" i="44"/>
  <c r="B988" i="44"/>
  <c r="B989" i="44"/>
  <c r="B990" i="44"/>
  <c r="B991" i="44"/>
  <c r="B992" i="44"/>
  <c r="B993" i="44"/>
  <c r="B994" i="44"/>
  <c r="B995" i="44"/>
  <c r="B996" i="44"/>
  <c r="B997" i="44"/>
  <c r="B998" i="44"/>
  <c r="B999" i="44"/>
  <c r="B1000" i="44"/>
  <c r="B1001" i="44"/>
  <c r="B1002" i="44"/>
  <c r="B1003" i="44"/>
  <c r="B1004" i="44"/>
  <c r="B1005" i="44"/>
  <c r="B1006" i="44"/>
  <c r="B1007" i="44"/>
  <c r="B1008" i="44"/>
  <c r="B1009" i="44"/>
  <c r="B1010" i="44"/>
  <c r="B1011" i="44"/>
  <c r="B1012" i="44"/>
  <c r="B1013" i="44"/>
  <c r="B1014" i="44"/>
  <c r="B1015" i="44"/>
  <c r="B1016" i="44"/>
  <c r="B1017" i="44"/>
  <c r="B1018" i="44"/>
  <c r="B1019" i="44"/>
  <c r="B1020" i="44"/>
  <c r="B1021" i="44"/>
  <c r="B1022" i="44"/>
  <c r="B1023" i="44"/>
  <c r="B1024" i="44"/>
  <c r="B1025" i="44"/>
  <c r="B1026" i="44"/>
  <c r="B1027" i="44"/>
  <c r="B1028" i="44"/>
  <c r="B1029" i="44"/>
  <c r="B1030" i="44"/>
  <c r="B1031" i="44"/>
  <c r="B1032" i="44"/>
  <c r="B1033" i="44"/>
  <c r="B1034" i="44"/>
  <c r="B1035" i="44"/>
  <c r="B1036" i="44"/>
  <c r="B1037" i="44"/>
  <c r="B1038" i="44"/>
  <c r="B1039" i="44"/>
  <c r="B1040" i="44"/>
  <c r="B1041" i="44"/>
  <c r="B1042" i="44"/>
  <c r="B1043" i="44"/>
  <c r="B1044" i="44"/>
  <c r="B1045" i="44"/>
  <c r="B1046" i="44"/>
  <c r="B1047" i="44"/>
  <c r="B1048" i="44"/>
  <c r="B1049" i="44"/>
  <c r="B1050" i="44"/>
  <c r="B1051" i="44"/>
  <c r="B1052" i="44"/>
  <c r="B1053" i="44"/>
  <c r="B1054" i="44"/>
  <c r="B1055" i="44"/>
  <c r="B1056" i="44"/>
  <c r="B1057" i="44"/>
  <c r="B1058" i="44"/>
  <c r="B1059" i="44"/>
  <c r="B1060" i="44"/>
  <c r="B1061" i="44"/>
  <c r="B1062" i="44"/>
  <c r="B1063" i="44"/>
  <c r="B1064" i="44"/>
  <c r="B1065" i="44"/>
  <c r="B1066" i="44"/>
  <c r="B1067" i="44"/>
  <c r="B1068" i="44"/>
  <c r="B1069" i="44"/>
  <c r="B1070" i="44"/>
  <c r="B1071" i="44"/>
  <c r="B1072" i="44"/>
  <c r="B1073" i="44"/>
  <c r="B1074" i="44"/>
  <c r="B1075" i="44"/>
  <c r="B1076" i="44"/>
  <c r="B1077" i="44"/>
  <c r="B1078" i="44"/>
  <c r="B1079" i="44"/>
  <c r="B1080" i="44"/>
  <c r="B1081" i="44"/>
  <c r="B1082" i="44"/>
  <c r="B1083" i="44"/>
  <c r="B1084" i="44"/>
  <c r="B1085" i="44"/>
  <c r="B1086" i="44"/>
  <c r="B1087" i="44"/>
  <c r="B1088" i="44"/>
  <c r="B1089" i="44"/>
  <c r="B1090" i="44"/>
  <c r="B1091" i="44"/>
  <c r="B1092" i="44"/>
  <c r="B1093" i="44"/>
  <c r="B1094" i="44"/>
  <c r="B1095" i="44"/>
  <c r="B1096" i="44"/>
  <c r="B1097" i="44"/>
  <c r="B1098" i="44"/>
  <c r="B1099" i="44"/>
  <c r="B1100" i="44"/>
  <c r="B1101" i="44"/>
  <c r="B1102" i="44"/>
  <c r="B1103" i="44"/>
  <c r="B1104" i="44"/>
  <c r="B1105" i="44"/>
  <c r="B1106" i="44"/>
  <c r="B1107" i="44"/>
  <c r="B1108" i="44"/>
  <c r="B1109" i="44"/>
  <c r="B1110" i="44"/>
  <c r="B1111" i="44"/>
  <c r="B1112" i="44"/>
  <c r="B1113" i="44"/>
  <c r="B1114" i="44"/>
  <c r="B1115" i="44"/>
  <c r="B1116" i="44"/>
  <c r="B1117" i="44"/>
  <c r="B1118" i="44"/>
  <c r="B1119" i="44"/>
  <c r="B1120" i="44"/>
  <c r="B1121" i="44"/>
  <c r="B1122" i="44"/>
  <c r="B1123" i="44"/>
  <c r="B1124" i="44"/>
  <c r="B1125" i="44"/>
  <c r="B1126" i="44"/>
  <c r="B1127" i="44"/>
  <c r="B1128" i="44"/>
  <c r="B1129" i="44"/>
  <c r="B1130" i="44"/>
  <c r="B1131" i="44"/>
  <c r="B1132" i="44"/>
  <c r="B1133" i="44"/>
  <c r="B1134" i="44"/>
  <c r="B1135" i="44"/>
  <c r="B1136" i="44"/>
  <c r="B1137" i="44"/>
  <c r="B1138" i="44"/>
  <c r="B1139" i="44"/>
  <c r="B1140" i="44"/>
  <c r="B1141" i="44"/>
  <c r="B1142" i="44"/>
  <c r="B1143" i="44"/>
  <c r="B1144" i="44"/>
  <c r="B1145" i="44"/>
  <c r="B1146" i="44"/>
  <c r="B1147" i="44"/>
  <c r="B1148" i="44"/>
  <c r="B1149" i="44"/>
  <c r="B1150" i="44"/>
  <c r="B1151" i="44"/>
  <c r="B1152" i="44"/>
  <c r="B1153" i="44"/>
  <c r="B1154" i="44"/>
  <c r="B1155" i="44"/>
  <c r="B1156" i="44"/>
  <c r="B1157" i="44"/>
  <c r="B1158" i="44"/>
  <c r="B1159" i="44"/>
  <c r="B1160" i="44"/>
  <c r="B1161" i="44"/>
  <c r="B1162" i="44"/>
  <c r="B1163" i="44"/>
  <c r="B1164" i="44"/>
  <c r="B1165" i="44"/>
  <c r="B1166" i="44"/>
  <c r="B1167" i="44"/>
  <c r="B1168" i="44"/>
  <c r="B1169" i="44"/>
  <c r="B1170" i="44"/>
  <c r="B1171" i="44"/>
  <c r="B1172" i="44"/>
  <c r="B1173" i="44"/>
  <c r="B1174" i="44"/>
  <c r="B1175" i="44"/>
  <c r="B1176" i="44"/>
  <c r="B1177" i="44"/>
  <c r="B1178" i="44"/>
  <c r="B1179" i="44"/>
  <c r="B1180" i="44"/>
  <c r="B1181" i="44"/>
  <c r="B1182" i="44"/>
  <c r="B1183" i="44"/>
  <c r="B1184" i="44"/>
  <c r="B1185" i="44"/>
  <c r="B1186" i="44"/>
  <c r="B1187" i="44"/>
  <c r="B1188" i="44"/>
  <c r="B1189" i="44"/>
  <c r="B1190" i="44"/>
  <c r="B1191" i="44"/>
  <c r="B1192" i="44"/>
  <c r="B1193" i="44"/>
  <c r="B1194" i="44"/>
  <c r="B1195" i="44"/>
  <c r="B1196" i="44"/>
  <c r="B1197" i="44"/>
  <c r="B1198" i="44"/>
  <c r="B1199" i="44"/>
  <c r="B1200" i="44"/>
  <c r="B1201" i="44"/>
  <c r="B1202" i="44"/>
  <c r="B1203" i="44"/>
  <c r="B1204" i="44"/>
  <c r="B1205" i="44"/>
  <c r="B1206" i="44"/>
  <c r="B1207" i="44"/>
  <c r="B1208" i="44"/>
  <c r="B1209" i="44"/>
  <c r="B1210" i="44"/>
  <c r="B1211" i="44"/>
  <c r="B1212" i="44"/>
  <c r="B1213" i="44"/>
  <c r="B1214" i="44"/>
  <c r="B1215" i="44"/>
  <c r="B1216" i="44"/>
  <c r="B1217" i="44"/>
  <c r="B1218" i="44"/>
  <c r="B1219" i="44"/>
  <c r="B1220" i="44"/>
  <c r="B1221" i="44"/>
  <c r="B1222" i="44"/>
  <c r="B1223" i="44"/>
  <c r="B1224" i="44"/>
  <c r="B1225" i="44"/>
  <c r="B1226" i="44"/>
  <c r="B1227" i="44"/>
  <c r="B1228" i="44"/>
  <c r="B1229" i="44"/>
  <c r="B1230" i="44"/>
  <c r="B1231" i="44"/>
  <c r="B1232" i="44"/>
  <c r="B1233" i="44"/>
  <c r="B1234" i="44"/>
  <c r="B1235" i="44"/>
  <c r="B1236" i="44"/>
  <c r="B1237" i="44"/>
  <c r="B1238" i="44"/>
  <c r="B1239" i="44"/>
  <c r="B1240" i="44"/>
  <c r="B1241" i="44"/>
  <c r="B1242" i="44"/>
  <c r="B1243" i="44"/>
  <c r="B1244" i="44"/>
  <c r="B1245" i="44"/>
  <c r="B1246" i="44"/>
  <c r="B1247" i="44"/>
  <c r="B1248" i="44"/>
  <c r="B1249" i="44"/>
  <c r="B1250" i="44"/>
  <c r="B1251" i="44"/>
  <c r="B1252" i="44"/>
  <c r="B1253" i="44"/>
  <c r="B1254" i="44"/>
  <c r="B1255" i="44"/>
  <c r="B1256" i="44"/>
  <c r="B1257" i="44"/>
  <c r="B1258" i="44"/>
  <c r="B1259" i="44"/>
  <c r="B1260" i="44"/>
  <c r="B1261" i="44"/>
  <c r="B1262" i="44"/>
  <c r="B1263" i="44"/>
  <c r="B1264" i="44"/>
  <c r="B1265" i="44"/>
  <c r="B1266" i="44"/>
  <c r="B1267" i="44"/>
  <c r="B1268" i="44"/>
  <c r="B1269" i="44"/>
  <c r="B1270" i="44"/>
  <c r="B1271" i="44"/>
  <c r="B1272" i="44"/>
  <c r="B1273" i="44"/>
  <c r="B1274" i="44"/>
  <c r="B1275" i="44"/>
  <c r="B1276" i="44"/>
  <c r="B1277" i="44"/>
  <c r="B1278" i="44"/>
  <c r="B1279" i="44"/>
  <c r="B1280" i="44"/>
  <c r="B1281" i="44"/>
  <c r="B1282" i="44"/>
  <c r="B1283" i="44"/>
  <c r="B1284" i="44"/>
  <c r="B1285" i="44"/>
  <c r="B1286" i="44"/>
  <c r="B1287" i="44"/>
  <c r="B1288" i="44"/>
  <c r="B1289" i="44"/>
  <c r="B1290" i="44"/>
  <c r="B1291" i="44"/>
  <c r="B1292" i="44"/>
  <c r="B1293" i="44"/>
  <c r="B1294" i="44"/>
  <c r="B1295" i="44"/>
  <c r="B1296" i="44"/>
  <c r="B1297" i="44"/>
  <c r="B1298" i="44"/>
  <c r="B1299" i="44"/>
  <c r="B1300" i="44"/>
  <c r="B1301" i="44"/>
  <c r="B1302" i="44"/>
  <c r="B1303" i="44"/>
  <c r="B1304" i="44"/>
  <c r="B1305" i="44"/>
  <c r="B1306" i="44"/>
  <c r="B1307" i="44"/>
  <c r="B1308" i="44"/>
  <c r="B1309" i="44"/>
  <c r="B1310" i="44"/>
  <c r="B1311" i="44"/>
  <c r="B1312" i="44"/>
  <c r="B1313" i="44"/>
  <c r="B1314" i="44"/>
  <c r="B1315" i="44"/>
  <c r="B1316" i="44"/>
  <c r="B1317" i="44"/>
  <c r="B1318" i="44"/>
  <c r="B1319" i="44"/>
  <c r="B1320" i="44"/>
  <c r="B1321" i="44"/>
  <c r="B1322" i="44"/>
  <c r="B1323" i="44"/>
  <c r="B1324" i="44"/>
  <c r="B1325" i="44"/>
  <c r="B1326" i="44"/>
  <c r="B1327" i="44"/>
  <c r="B1328" i="44"/>
  <c r="B1329" i="44"/>
  <c r="B1330" i="44"/>
  <c r="B1331" i="44"/>
  <c r="B1332" i="44"/>
  <c r="B1333" i="44"/>
  <c r="B1334" i="44"/>
  <c r="B1335" i="44"/>
  <c r="B1336" i="44"/>
  <c r="B1337" i="44"/>
  <c r="B1338" i="44"/>
  <c r="B1339" i="44"/>
  <c r="B1340" i="44"/>
  <c r="B1341" i="44"/>
  <c r="B1342" i="44"/>
  <c r="B1343" i="44"/>
  <c r="B1344" i="44"/>
  <c r="B1345" i="44"/>
  <c r="B1346" i="44"/>
  <c r="B1347" i="44"/>
  <c r="B1348" i="44"/>
  <c r="B1349" i="44"/>
  <c r="B1350" i="44"/>
  <c r="B1351" i="44"/>
  <c r="B1352" i="44"/>
  <c r="B1353" i="44"/>
  <c r="B1354" i="44"/>
  <c r="B1355" i="44"/>
  <c r="B1356" i="44"/>
  <c r="B1357" i="44"/>
  <c r="B1358" i="44"/>
  <c r="B1359" i="44"/>
  <c r="B1360" i="44"/>
  <c r="B1361" i="44"/>
  <c r="B1362" i="44"/>
  <c r="B1363" i="44"/>
  <c r="B1364" i="44"/>
  <c r="B1365" i="44"/>
  <c r="B1366" i="44"/>
  <c r="B1367" i="44"/>
  <c r="B1368" i="44"/>
  <c r="B1369" i="44"/>
  <c r="B1370" i="44"/>
  <c r="B1371" i="44"/>
  <c r="B1372" i="44"/>
  <c r="B1373" i="44"/>
  <c r="B1374" i="44"/>
  <c r="B1375" i="44"/>
  <c r="B1376" i="44"/>
  <c r="B1377" i="44"/>
  <c r="B1378" i="44"/>
  <c r="B1379" i="44"/>
  <c r="B1380" i="44"/>
  <c r="B1381" i="44"/>
  <c r="B1382" i="44"/>
  <c r="B1383" i="44"/>
  <c r="B1384" i="44"/>
  <c r="B1385" i="44"/>
  <c r="B1386" i="44"/>
  <c r="B1387" i="44"/>
  <c r="B1388" i="44"/>
  <c r="B1389" i="44"/>
  <c r="B1390" i="44"/>
  <c r="B1391" i="44"/>
  <c r="B1392" i="44"/>
  <c r="B1393" i="44"/>
  <c r="B1394" i="44"/>
  <c r="B1395" i="44"/>
  <c r="B1396" i="44"/>
  <c r="B1397" i="44"/>
  <c r="B1398" i="44"/>
  <c r="B1399" i="44"/>
  <c r="B1400" i="44"/>
  <c r="B1401" i="44"/>
  <c r="B1402" i="44"/>
  <c r="B1403" i="44"/>
  <c r="B1404" i="44"/>
  <c r="B1405" i="44"/>
  <c r="B1406" i="44"/>
  <c r="B1407" i="44"/>
  <c r="B1408" i="44"/>
  <c r="B1409" i="44"/>
  <c r="B1410" i="44"/>
  <c r="B1411" i="44"/>
  <c r="B1412" i="44"/>
  <c r="B1413" i="44"/>
  <c r="B1414" i="44"/>
  <c r="B1415" i="44"/>
  <c r="B1416" i="44"/>
  <c r="B1417" i="44"/>
  <c r="B1418" i="44"/>
  <c r="B1419" i="44"/>
  <c r="B1420" i="44"/>
  <c r="B1421" i="44"/>
  <c r="B1422" i="44"/>
  <c r="B1423" i="44"/>
  <c r="B1424" i="44"/>
  <c r="B1425" i="44"/>
  <c r="B1426" i="44"/>
  <c r="B1427" i="44"/>
  <c r="B1428" i="44"/>
  <c r="B1429" i="44"/>
  <c r="B1430" i="44"/>
  <c r="B1431" i="44"/>
  <c r="B1432" i="44"/>
  <c r="B1433" i="44"/>
  <c r="B1434" i="44"/>
  <c r="B1435" i="44"/>
  <c r="B1436" i="44"/>
  <c r="B1437" i="44"/>
  <c r="B1438" i="44"/>
  <c r="B1439" i="44"/>
  <c r="B1440" i="44"/>
  <c r="B1441" i="44"/>
  <c r="B1442" i="44"/>
  <c r="B1443" i="44"/>
  <c r="B1444" i="44"/>
  <c r="B1445" i="44"/>
  <c r="B1446" i="44"/>
  <c r="B1447" i="44"/>
  <c r="B1448" i="44"/>
  <c r="B1449" i="44"/>
  <c r="B1450" i="44"/>
  <c r="B1451" i="44"/>
  <c r="B1452" i="44"/>
  <c r="B1453" i="44"/>
  <c r="B1454" i="44"/>
  <c r="B1455" i="44"/>
  <c r="B1456" i="44"/>
  <c r="B1457" i="44"/>
  <c r="B1458" i="44"/>
  <c r="B1459" i="44"/>
  <c r="B1460" i="44"/>
  <c r="B1461" i="44"/>
  <c r="B1462" i="44"/>
  <c r="B1463" i="44"/>
  <c r="B1464" i="44"/>
  <c r="B1465" i="44"/>
  <c r="B1466" i="44"/>
  <c r="B1467" i="44"/>
  <c r="B1468" i="44"/>
  <c r="B1469" i="44"/>
  <c r="B1470" i="44"/>
  <c r="B1471" i="44"/>
  <c r="B1472" i="44"/>
  <c r="B1473" i="44"/>
  <c r="B1474" i="44"/>
  <c r="B1475" i="44"/>
  <c r="B1476" i="44"/>
  <c r="B1477" i="44"/>
  <c r="B1478" i="44"/>
  <c r="B1479" i="44"/>
  <c r="B1480" i="44"/>
  <c r="B1481" i="44"/>
  <c r="B1482" i="44"/>
  <c r="B1483" i="44"/>
  <c r="B1484" i="44"/>
  <c r="B1485" i="44"/>
  <c r="B1486" i="44"/>
  <c r="B1487" i="44"/>
  <c r="B1488" i="44"/>
  <c r="B1489" i="44"/>
  <c r="B1490" i="44"/>
  <c r="A2" i="44"/>
  <c r="A3" i="44"/>
  <c r="A4" i="44"/>
  <c r="A5" i="44"/>
  <c r="A6" i="44"/>
  <c r="A7" i="44"/>
  <c r="A8" i="44"/>
  <c r="A9" i="44"/>
  <c r="A10" i="44"/>
  <c r="A11" i="44"/>
  <c r="A12" i="44"/>
  <c r="A13" i="44"/>
  <c r="A14" i="44"/>
  <c r="A15" i="44"/>
  <c r="A16" i="44"/>
  <c r="A17" i="44"/>
  <c r="A18" i="44"/>
  <c r="A19" i="44"/>
  <c r="A20" i="44"/>
  <c r="A21" i="44"/>
  <c r="A22" i="44"/>
  <c r="A23" i="44"/>
  <c r="A24" i="44"/>
  <c r="A25" i="44"/>
  <c r="A26" i="44"/>
  <c r="A27" i="44"/>
  <c r="A28" i="44"/>
  <c r="A29" i="44"/>
  <c r="A30" i="44"/>
  <c r="A31" i="44"/>
  <c r="A32" i="44"/>
  <c r="A33" i="44"/>
  <c r="A34" i="44"/>
  <c r="A35" i="44"/>
  <c r="A36" i="44"/>
  <c r="A37" i="44"/>
  <c r="A38" i="44"/>
  <c r="A39" i="44"/>
  <c r="A40" i="44"/>
  <c r="A41" i="44"/>
  <c r="A42" i="44"/>
  <c r="A43" i="44"/>
  <c r="A44" i="44"/>
  <c r="A45" i="44"/>
  <c r="A46" i="44"/>
  <c r="A47" i="44"/>
  <c r="A48" i="44"/>
  <c r="A49" i="44"/>
  <c r="A50" i="44"/>
  <c r="A51" i="44"/>
  <c r="A52" i="44"/>
  <c r="A53" i="44"/>
  <c r="A54" i="44"/>
  <c r="A55" i="44"/>
  <c r="A56" i="44"/>
  <c r="A57" i="44"/>
  <c r="A58" i="44"/>
  <c r="A59" i="44"/>
  <c r="A60" i="44"/>
  <c r="A61" i="44"/>
  <c r="A62" i="44"/>
  <c r="A63" i="44"/>
  <c r="A64" i="44"/>
  <c r="A65" i="44"/>
  <c r="A66" i="44"/>
  <c r="A67" i="44"/>
  <c r="A68" i="44"/>
  <c r="A69" i="44"/>
  <c r="A70" i="44"/>
  <c r="A71" i="44"/>
  <c r="A72" i="44"/>
  <c r="A73" i="44"/>
  <c r="A74" i="44"/>
  <c r="A75" i="44"/>
  <c r="A76" i="44"/>
  <c r="A77" i="44"/>
  <c r="A78" i="44"/>
  <c r="A79" i="44"/>
  <c r="A80" i="44"/>
  <c r="A81" i="44"/>
  <c r="A82" i="44"/>
  <c r="A83" i="44"/>
  <c r="A84" i="44"/>
  <c r="A85" i="44"/>
  <c r="A86" i="44"/>
  <c r="A87" i="44"/>
  <c r="A88" i="44"/>
  <c r="A89" i="44"/>
  <c r="A90" i="44"/>
  <c r="A91" i="44"/>
  <c r="A92" i="44"/>
  <c r="A93" i="44"/>
  <c r="A94" i="44"/>
  <c r="A95" i="44"/>
  <c r="A96" i="44"/>
  <c r="A97" i="44"/>
  <c r="A98" i="44"/>
  <c r="A99" i="44"/>
  <c r="A100" i="44"/>
  <c r="A101" i="44"/>
  <c r="A102" i="44"/>
  <c r="A103" i="44"/>
  <c r="A104" i="44"/>
  <c r="A105" i="44"/>
  <c r="A106" i="44"/>
  <c r="A107" i="44"/>
  <c r="A108" i="44"/>
  <c r="A109" i="44"/>
  <c r="A110" i="44"/>
  <c r="A111" i="44"/>
  <c r="A112" i="44"/>
  <c r="A113" i="44"/>
  <c r="A114" i="44"/>
  <c r="A115" i="44"/>
  <c r="A116" i="44"/>
  <c r="A117" i="44"/>
  <c r="A118" i="44"/>
  <c r="A119" i="44"/>
  <c r="A120" i="44"/>
  <c r="A121" i="44"/>
  <c r="A122" i="44"/>
  <c r="A123" i="44"/>
  <c r="A124" i="44"/>
  <c r="A125" i="44"/>
  <c r="A126" i="44"/>
  <c r="A127" i="44"/>
  <c r="A128" i="44"/>
  <c r="A129" i="44"/>
  <c r="A130" i="44"/>
  <c r="A131" i="44"/>
  <c r="A132" i="44"/>
  <c r="A133" i="44"/>
  <c r="A134" i="44"/>
  <c r="A135" i="44"/>
  <c r="A136" i="44"/>
  <c r="A137" i="44"/>
  <c r="A138" i="44"/>
  <c r="A139" i="44"/>
  <c r="A140" i="44"/>
  <c r="A141" i="44"/>
  <c r="A142" i="44"/>
  <c r="A143" i="44"/>
  <c r="A144" i="44"/>
  <c r="A145" i="44"/>
  <c r="A146" i="44"/>
  <c r="A147" i="44"/>
  <c r="A148" i="44"/>
  <c r="A149" i="44"/>
  <c r="A150" i="44"/>
  <c r="A151" i="44"/>
  <c r="A152" i="44"/>
  <c r="A153" i="44"/>
  <c r="A154" i="44"/>
  <c r="A155" i="44"/>
  <c r="A156" i="44"/>
  <c r="A157" i="44"/>
  <c r="A158" i="44"/>
  <c r="A159" i="44"/>
  <c r="A160" i="44"/>
  <c r="A161" i="44"/>
  <c r="A162" i="44"/>
  <c r="A163" i="44"/>
  <c r="A164" i="44"/>
  <c r="A165" i="44"/>
  <c r="A166" i="44"/>
  <c r="A167" i="44"/>
  <c r="A168" i="44"/>
  <c r="A169" i="44"/>
  <c r="A170" i="44"/>
  <c r="A171" i="44"/>
  <c r="A172" i="44"/>
  <c r="A173" i="44"/>
  <c r="A174" i="44"/>
  <c r="A175" i="44"/>
  <c r="A176" i="44"/>
  <c r="A177" i="44"/>
  <c r="A178" i="44"/>
  <c r="A179" i="44"/>
  <c r="A180" i="44"/>
  <c r="A181" i="44"/>
  <c r="A182" i="44"/>
  <c r="A183" i="44"/>
  <c r="A184" i="44"/>
  <c r="A185" i="44"/>
  <c r="A186" i="44"/>
  <c r="A187" i="44"/>
  <c r="A188" i="44"/>
  <c r="A189" i="44"/>
  <c r="A190" i="44"/>
  <c r="A191" i="44"/>
  <c r="A192" i="44"/>
  <c r="A193" i="44"/>
  <c r="A194" i="44"/>
  <c r="A195" i="44"/>
  <c r="A196" i="44"/>
  <c r="A197" i="44"/>
  <c r="A198" i="44"/>
  <c r="A199" i="44"/>
  <c r="A200" i="44"/>
  <c r="A201" i="44"/>
  <c r="A202" i="44"/>
  <c r="A203" i="44"/>
  <c r="A204" i="44"/>
  <c r="A205" i="44"/>
  <c r="A206" i="44"/>
  <c r="A207" i="44"/>
  <c r="A208" i="44"/>
  <c r="A209" i="44"/>
  <c r="A210" i="44"/>
  <c r="A211" i="44"/>
  <c r="A212" i="44"/>
  <c r="A213" i="44"/>
  <c r="A214" i="44"/>
  <c r="A215" i="44"/>
  <c r="A216" i="44"/>
  <c r="A217" i="44"/>
  <c r="A218" i="44"/>
  <c r="A219" i="44"/>
  <c r="A220" i="44"/>
  <c r="A221" i="44"/>
  <c r="A222" i="44"/>
  <c r="A223" i="44"/>
  <c r="A224" i="44"/>
  <c r="A225" i="44"/>
  <c r="A226" i="44"/>
  <c r="A227" i="44"/>
  <c r="A228" i="44"/>
  <c r="A229" i="44"/>
  <c r="A230" i="44"/>
  <c r="A231" i="44"/>
  <c r="A232" i="44"/>
  <c r="A233" i="44"/>
  <c r="A234" i="44"/>
  <c r="A235" i="44"/>
  <c r="A236" i="44"/>
  <c r="A237" i="44"/>
  <c r="A238" i="44"/>
  <c r="A239" i="44"/>
  <c r="A240" i="44"/>
  <c r="A241" i="44"/>
  <c r="A242" i="44"/>
  <c r="A243" i="44"/>
  <c r="A244" i="44"/>
  <c r="A245" i="44"/>
  <c r="A246" i="44"/>
  <c r="A247" i="44"/>
  <c r="A248" i="44"/>
  <c r="A249" i="44"/>
  <c r="A250" i="44"/>
  <c r="A251" i="44"/>
  <c r="A252" i="44"/>
  <c r="A253" i="44"/>
  <c r="A254" i="44"/>
  <c r="A255" i="44"/>
  <c r="A256" i="44"/>
  <c r="A257" i="44"/>
  <c r="A258" i="44"/>
  <c r="A259" i="44"/>
  <c r="A260" i="44"/>
  <c r="A261" i="44"/>
  <c r="A262" i="44"/>
  <c r="A263" i="44"/>
  <c r="A264" i="44"/>
  <c r="A265" i="44"/>
  <c r="A266" i="44"/>
  <c r="A267" i="44"/>
  <c r="A268" i="44"/>
  <c r="A269" i="44"/>
  <c r="A270" i="44"/>
  <c r="A271" i="44"/>
  <c r="A272" i="44"/>
  <c r="A273" i="44"/>
  <c r="A274" i="44"/>
  <c r="A275" i="44"/>
  <c r="A276" i="44"/>
  <c r="A277" i="44"/>
  <c r="A278" i="44"/>
  <c r="A279" i="44"/>
  <c r="A280" i="44"/>
  <c r="A281" i="44"/>
  <c r="A282" i="44"/>
  <c r="A283" i="44"/>
  <c r="A284" i="44"/>
  <c r="A285" i="44"/>
  <c r="A286" i="44"/>
  <c r="A287" i="44"/>
  <c r="A288" i="44"/>
  <c r="A289" i="44"/>
  <c r="A290" i="44"/>
  <c r="A291" i="44"/>
  <c r="A292" i="44"/>
  <c r="A293" i="44"/>
  <c r="A294" i="44"/>
  <c r="A295" i="44"/>
  <c r="A296" i="44"/>
  <c r="A297" i="44"/>
  <c r="A298" i="44"/>
  <c r="A299" i="44"/>
  <c r="A300" i="44"/>
  <c r="A301" i="44"/>
  <c r="A302" i="44"/>
  <c r="A303" i="44"/>
  <c r="A304" i="44"/>
  <c r="A305" i="44"/>
  <c r="A306" i="44"/>
  <c r="A307" i="44"/>
  <c r="A308" i="44"/>
  <c r="A309" i="44"/>
  <c r="A310" i="44"/>
  <c r="A311" i="44"/>
  <c r="A312" i="44"/>
  <c r="A313" i="44"/>
  <c r="A314" i="44"/>
  <c r="A315" i="44"/>
  <c r="A316" i="44"/>
  <c r="A317" i="44"/>
  <c r="A318" i="44"/>
  <c r="A319" i="44"/>
  <c r="A320" i="44"/>
  <c r="A321" i="44"/>
  <c r="A322" i="44"/>
  <c r="A323" i="44"/>
  <c r="A324" i="44"/>
  <c r="A325" i="44"/>
  <c r="A326" i="44"/>
  <c r="A327" i="44"/>
  <c r="A328" i="44"/>
  <c r="A329" i="44"/>
  <c r="A330" i="44"/>
  <c r="A331" i="44"/>
  <c r="A332" i="44"/>
  <c r="A333" i="44"/>
  <c r="A334" i="44"/>
  <c r="A335" i="44"/>
  <c r="A336" i="44"/>
  <c r="A337" i="44"/>
  <c r="A338" i="44"/>
  <c r="A339" i="44"/>
  <c r="A340" i="44"/>
  <c r="A341" i="44"/>
  <c r="A342" i="44"/>
  <c r="A343" i="44"/>
  <c r="A344" i="44"/>
  <c r="A345" i="44"/>
  <c r="A346" i="44"/>
  <c r="A347" i="44"/>
  <c r="A348" i="44"/>
  <c r="A349" i="44"/>
  <c r="A350" i="44"/>
  <c r="A351" i="44"/>
  <c r="A352" i="44"/>
  <c r="A353" i="44"/>
  <c r="A354" i="44"/>
  <c r="A355" i="44"/>
  <c r="A356" i="44"/>
  <c r="A357" i="44"/>
  <c r="A358" i="44"/>
  <c r="A359" i="44"/>
  <c r="A360" i="44"/>
  <c r="A361" i="44"/>
  <c r="A362" i="44"/>
  <c r="A363" i="44"/>
  <c r="A364" i="44"/>
  <c r="A365" i="44"/>
  <c r="A366" i="44"/>
  <c r="A367" i="44"/>
  <c r="A368" i="44"/>
  <c r="A369" i="44"/>
  <c r="A370" i="44"/>
  <c r="A371" i="44"/>
  <c r="A372" i="44"/>
  <c r="A373" i="44"/>
  <c r="A374" i="44"/>
  <c r="A375" i="44"/>
  <c r="A376" i="44"/>
  <c r="A377" i="44"/>
  <c r="A378" i="44"/>
  <c r="A379" i="44"/>
  <c r="A380" i="44"/>
  <c r="A381" i="44"/>
  <c r="A382" i="44"/>
  <c r="A383" i="44"/>
  <c r="A384" i="44"/>
  <c r="A385" i="44"/>
  <c r="A386" i="44"/>
  <c r="A387" i="44"/>
  <c r="A388" i="44"/>
  <c r="A389" i="44"/>
  <c r="A390" i="44"/>
  <c r="A391" i="44"/>
  <c r="A392" i="44"/>
  <c r="A393" i="44"/>
  <c r="A394" i="44"/>
  <c r="A395" i="44"/>
  <c r="A396" i="44"/>
  <c r="A397" i="44"/>
  <c r="A398" i="44"/>
  <c r="A399" i="44"/>
  <c r="A400" i="44"/>
  <c r="A401" i="44"/>
  <c r="A402" i="44"/>
  <c r="A403" i="44"/>
  <c r="A404" i="44"/>
  <c r="A405" i="44"/>
  <c r="A406" i="44"/>
  <c r="A407" i="44"/>
  <c r="A408" i="44"/>
  <c r="A409" i="44"/>
  <c r="A410" i="44"/>
  <c r="A411" i="44"/>
  <c r="A412" i="44"/>
  <c r="A413" i="44"/>
  <c r="A414" i="44"/>
  <c r="A415" i="44"/>
  <c r="A416" i="44"/>
  <c r="A417" i="44"/>
  <c r="A418" i="44"/>
  <c r="A419" i="44"/>
  <c r="A420" i="44"/>
  <c r="A421" i="44"/>
  <c r="A422" i="44"/>
  <c r="A423" i="44"/>
  <c r="A424" i="44"/>
  <c r="A425" i="44"/>
  <c r="A426" i="44"/>
  <c r="A427" i="44"/>
  <c r="A428" i="44"/>
  <c r="A429" i="44"/>
  <c r="A430" i="44"/>
  <c r="A431" i="44"/>
  <c r="A432" i="44"/>
  <c r="A433" i="44"/>
  <c r="A434" i="44"/>
  <c r="A435" i="44"/>
  <c r="A436" i="44"/>
  <c r="A437" i="44"/>
  <c r="A438" i="44"/>
  <c r="A439" i="44"/>
  <c r="A440" i="44"/>
  <c r="A441" i="44"/>
  <c r="A442" i="44"/>
  <c r="A443" i="44"/>
  <c r="A444" i="44"/>
  <c r="A445" i="44"/>
  <c r="A446" i="44"/>
  <c r="A447" i="44"/>
  <c r="A448" i="44"/>
  <c r="A449" i="44"/>
  <c r="A450" i="44"/>
  <c r="A451" i="44"/>
  <c r="A452" i="44"/>
  <c r="A453" i="44"/>
  <c r="A454" i="44"/>
  <c r="A455" i="44"/>
  <c r="A456" i="44"/>
  <c r="A457" i="44"/>
  <c r="A458" i="44"/>
  <c r="A459" i="44"/>
  <c r="A460" i="44"/>
  <c r="A461" i="44"/>
  <c r="A462" i="44"/>
  <c r="A463" i="44"/>
  <c r="A464" i="44"/>
  <c r="A465" i="44"/>
  <c r="A466" i="44"/>
  <c r="A467" i="44"/>
  <c r="A468" i="44"/>
  <c r="A469" i="44"/>
  <c r="A470" i="44"/>
  <c r="A471" i="44"/>
  <c r="A472" i="44"/>
  <c r="A473" i="44"/>
  <c r="A474" i="44"/>
  <c r="A475" i="44"/>
  <c r="A476" i="44"/>
  <c r="A477" i="44"/>
  <c r="A478" i="44"/>
  <c r="A479" i="44"/>
  <c r="A480" i="44"/>
  <c r="A481" i="44"/>
  <c r="A482" i="44"/>
  <c r="A483" i="44"/>
  <c r="A484" i="44"/>
  <c r="A485" i="44"/>
  <c r="A486" i="44"/>
  <c r="A487" i="44"/>
  <c r="A488" i="44"/>
  <c r="A489" i="44"/>
  <c r="A490" i="44"/>
  <c r="A491" i="44"/>
  <c r="A492" i="44"/>
  <c r="A493" i="44"/>
  <c r="A494" i="44"/>
  <c r="A495" i="44"/>
  <c r="A496" i="44"/>
  <c r="A497" i="44"/>
  <c r="A498" i="44"/>
  <c r="A499" i="44"/>
  <c r="A500" i="44"/>
  <c r="A501" i="44"/>
  <c r="A502" i="44"/>
  <c r="A503" i="44"/>
  <c r="A504" i="44"/>
  <c r="A505" i="44"/>
  <c r="A506" i="44"/>
  <c r="A507" i="44"/>
  <c r="A508" i="44"/>
  <c r="A509" i="44"/>
  <c r="A510" i="44"/>
  <c r="A511" i="44"/>
  <c r="A512" i="44"/>
  <c r="A513" i="44"/>
  <c r="A514" i="44"/>
  <c r="A515" i="44"/>
  <c r="A516" i="44"/>
  <c r="A517" i="44"/>
  <c r="A518" i="44"/>
  <c r="A519" i="44"/>
  <c r="A520" i="44"/>
  <c r="A521" i="44"/>
  <c r="A522" i="44"/>
  <c r="A523" i="44"/>
  <c r="A524" i="44"/>
  <c r="A525" i="44"/>
  <c r="A526" i="44"/>
  <c r="A527" i="44"/>
  <c r="A528" i="44"/>
  <c r="A529" i="44"/>
  <c r="A530" i="44"/>
  <c r="A531" i="44"/>
  <c r="A532" i="44"/>
  <c r="A533" i="44"/>
  <c r="A534" i="44"/>
  <c r="A535" i="44"/>
  <c r="A536" i="44"/>
  <c r="A537" i="44"/>
  <c r="A538" i="44"/>
  <c r="A539" i="44"/>
  <c r="A540" i="44"/>
  <c r="A541" i="44"/>
  <c r="A542" i="44"/>
  <c r="A543" i="44"/>
  <c r="A544" i="44"/>
  <c r="A545" i="44"/>
  <c r="A546" i="44"/>
  <c r="A547" i="44"/>
  <c r="A548" i="44"/>
  <c r="A549" i="44"/>
  <c r="A550" i="44"/>
  <c r="A551" i="44"/>
  <c r="A552" i="44"/>
  <c r="A553" i="44"/>
  <c r="A554" i="44"/>
  <c r="A555" i="44"/>
  <c r="A556" i="44"/>
  <c r="A557" i="44"/>
  <c r="A558" i="44"/>
  <c r="A559" i="44"/>
  <c r="A560" i="44"/>
  <c r="A561" i="44"/>
  <c r="A562" i="44"/>
  <c r="A563" i="44"/>
  <c r="A564" i="44"/>
  <c r="A565" i="44"/>
  <c r="A566" i="44"/>
  <c r="A567" i="44"/>
  <c r="A568" i="44"/>
  <c r="A569" i="44"/>
  <c r="A570" i="44"/>
  <c r="A571" i="44"/>
  <c r="A572" i="44"/>
  <c r="A573" i="44"/>
  <c r="A574" i="44"/>
  <c r="A575" i="44"/>
  <c r="A576" i="44"/>
  <c r="A577" i="44"/>
  <c r="A578" i="44"/>
  <c r="A579" i="44"/>
  <c r="A580" i="44"/>
  <c r="A581" i="44"/>
  <c r="A582" i="44"/>
  <c r="A583" i="44"/>
  <c r="A584" i="44"/>
  <c r="A585" i="44"/>
  <c r="A586" i="44"/>
  <c r="A587" i="44"/>
  <c r="A588" i="44"/>
  <c r="A589" i="44"/>
  <c r="A590" i="44"/>
  <c r="A591" i="44"/>
  <c r="A592" i="44"/>
  <c r="A593" i="44"/>
  <c r="A594" i="44"/>
  <c r="A595" i="44"/>
  <c r="A596" i="44"/>
  <c r="A597" i="44"/>
  <c r="A598" i="44"/>
  <c r="A599" i="44"/>
  <c r="A600" i="44"/>
  <c r="A601" i="44"/>
  <c r="A602" i="44"/>
  <c r="A603" i="44"/>
  <c r="A604" i="44"/>
  <c r="A605" i="44"/>
  <c r="A606" i="44"/>
  <c r="A607" i="44"/>
  <c r="A608" i="44"/>
  <c r="A609" i="44"/>
  <c r="A610" i="44"/>
  <c r="A611" i="44"/>
  <c r="A612" i="44"/>
  <c r="A613" i="44"/>
  <c r="A614" i="44"/>
  <c r="A615" i="44"/>
  <c r="A616" i="44"/>
  <c r="A617" i="44"/>
  <c r="A618" i="44"/>
  <c r="A619" i="44"/>
  <c r="A620" i="44"/>
  <c r="A621" i="44"/>
  <c r="A622" i="44"/>
  <c r="A623" i="44"/>
  <c r="A624" i="44"/>
  <c r="A625" i="44"/>
  <c r="A626" i="44"/>
  <c r="A627" i="44"/>
  <c r="A628" i="44"/>
  <c r="A629" i="44"/>
  <c r="A630" i="44"/>
  <c r="A631" i="44"/>
  <c r="A632" i="44"/>
  <c r="A633" i="44"/>
  <c r="A634" i="44"/>
  <c r="A635" i="44"/>
  <c r="A636" i="44"/>
  <c r="A637" i="44"/>
  <c r="A638" i="44"/>
  <c r="A639" i="44"/>
  <c r="A640" i="44"/>
  <c r="A641" i="44"/>
  <c r="A642" i="44"/>
  <c r="A643" i="44"/>
  <c r="A644" i="44"/>
  <c r="A645" i="44"/>
  <c r="A646" i="44"/>
  <c r="A647" i="44"/>
  <c r="A648" i="44"/>
  <c r="A649" i="44"/>
  <c r="A650" i="44"/>
  <c r="A651" i="44"/>
  <c r="A652" i="44"/>
  <c r="A653" i="44"/>
  <c r="A654" i="44"/>
  <c r="A655" i="44"/>
  <c r="A656" i="44"/>
  <c r="A657" i="44"/>
  <c r="A658" i="44"/>
  <c r="A659" i="44"/>
  <c r="A660" i="44"/>
  <c r="A661" i="44"/>
  <c r="A662" i="44"/>
  <c r="A663" i="44"/>
  <c r="A664" i="44"/>
  <c r="A665" i="44"/>
  <c r="A666" i="44"/>
  <c r="A667" i="44"/>
  <c r="A668" i="44"/>
  <c r="A669" i="44"/>
  <c r="A670" i="44"/>
  <c r="A671" i="44"/>
  <c r="A672" i="44"/>
  <c r="A673" i="44"/>
  <c r="A674" i="44"/>
  <c r="A675" i="44"/>
  <c r="A676" i="44"/>
  <c r="A677" i="44"/>
  <c r="A678" i="44"/>
  <c r="A679" i="44"/>
  <c r="A680" i="44"/>
  <c r="A681" i="44"/>
  <c r="A682" i="44"/>
  <c r="A683" i="44"/>
  <c r="A684" i="44"/>
  <c r="A685" i="44"/>
  <c r="A686" i="44"/>
  <c r="A687" i="44"/>
  <c r="A688" i="44"/>
  <c r="A689" i="44"/>
  <c r="A690" i="44"/>
  <c r="A691" i="44"/>
  <c r="A692" i="44"/>
  <c r="A693" i="44"/>
  <c r="A694" i="44"/>
  <c r="A695" i="44"/>
  <c r="A696" i="44"/>
  <c r="A697" i="44"/>
  <c r="A698" i="44"/>
  <c r="A699" i="44"/>
  <c r="A700" i="44"/>
  <c r="A701" i="44"/>
  <c r="A702" i="44"/>
  <c r="A703" i="44"/>
  <c r="A704" i="44"/>
  <c r="A705" i="44"/>
  <c r="A706" i="44"/>
  <c r="A707" i="44"/>
  <c r="A708" i="44"/>
  <c r="A709" i="44"/>
  <c r="A710" i="44"/>
  <c r="A711" i="44"/>
  <c r="A712" i="44"/>
  <c r="A713" i="44"/>
  <c r="A714" i="44"/>
  <c r="A715" i="44"/>
  <c r="A716" i="44"/>
  <c r="A717" i="44"/>
  <c r="A718" i="44"/>
  <c r="A719" i="44"/>
  <c r="A720" i="44"/>
  <c r="A721" i="44"/>
  <c r="A722" i="44"/>
  <c r="A723" i="44"/>
  <c r="A724" i="44"/>
  <c r="A725" i="44"/>
  <c r="A726" i="44"/>
  <c r="A727" i="44"/>
  <c r="A728" i="44"/>
  <c r="A729" i="44"/>
  <c r="A730" i="44"/>
  <c r="A731" i="44"/>
  <c r="A732" i="44"/>
  <c r="A733" i="44"/>
  <c r="A734" i="44"/>
  <c r="A735" i="44"/>
  <c r="A736" i="44"/>
  <c r="A737" i="44"/>
  <c r="A738" i="44"/>
  <c r="A739" i="44"/>
  <c r="A740" i="44"/>
  <c r="A741" i="44"/>
  <c r="A742" i="44"/>
  <c r="A743" i="44"/>
  <c r="A744" i="44"/>
  <c r="A745" i="44"/>
  <c r="A746" i="44"/>
  <c r="A747" i="44"/>
  <c r="A748" i="44"/>
  <c r="A749" i="44"/>
  <c r="A750" i="44"/>
  <c r="A751" i="44"/>
  <c r="A752" i="44"/>
  <c r="A753" i="44"/>
  <c r="A754" i="44"/>
  <c r="A755" i="44"/>
  <c r="A756" i="44"/>
  <c r="A757" i="44"/>
  <c r="A758" i="44"/>
  <c r="A759" i="44"/>
  <c r="A760" i="44"/>
  <c r="A761" i="44"/>
  <c r="A762" i="44"/>
  <c r="A763" i="44"/>
  <c r="A764" i="44"/>
  <c r="A765" i="44"/>
  <c r="A766" i="44"/>
  <c r="A767" i="44"/>
  <c r="A768" i="44"/>
  <c r="A769" i="44"/>
  <c r="A770" i="44"/>
  <c r="A771" i="44"/>
  <c r="A772" i="44"/>
  <c r="A773" i="44"/>
  <c r="A774" i="44"/>
  <c r="A775" i="44"/>
  <c r="A776" i="44"/>
  <c r="A777" i="44"/>
  <c r="A778" i="44"/>
  <c r="A779" i="44"/>
  <c r="A780" i="44"/>
  <c r="A781" i="44"/>
  <c r="A782" i="44"/>
  <c r="A783" i="44"/>
  <c r="A784" i="44"/>
  <c r="A785" i="44"/>
  <c r="A786" i="44"/>
  <c r="A787" i="44"/>
  <c r="A788" i="44"/>
  <c r="A789" i="44"/>
  <c r="A790" i="44"/>
  <c r="A791" i="44"/>
  <c r="A792" i="44"/>
  <c r="A793" i="44"/>
  <c r="A794" i="44"/>
  <c r="A795" i="44"/>
  <c r="A796" i="44"/>
  <c r="A797" i="44"/>
  <c r="A798" i="44"/>
  <c r="A799" i="44"/>
  <c r="A800" i="44"/>
  <c r="A801" i="44"/>
  <c r="A802" i="44"/>
  <c r="A803" i="44"/>
  <c r="A804" i="44"/>
  <c r="A805" i="44"/>
  <c r="A806" i="44"/>
  <c r="A807" i="44"/>
  <c r="A808" i="44"/>
  <c r="A809" i="44"/>
  <c r="A810" i="44"/>
  <c r="A811" i="44"/>
  <c r="A812" i="44"/>
  <c r="A813" i="44"/>
  <c r="A814" i="44"/>
  <c r="A815" i="44"/>
  <c r="A816" i="44"/>
  <c r="A817" i="44"/>
  <c r="A818" i="44"/>
  <c r="A819" i="44"/>
  <c r="A820" i="44"/>
  <c r="A821" i="44"/>
  <c r="A822" i="44"/>
  <c r="A823" i="44"/>
  <c r="A824" i="44"/>
  <c r="A825" i="44"/>
  <c r="A826" i="44"/>
  <c r="A827" i="44"/>
  <c r="A828" i="44"/>
  <c r="A829" i="44"/>
  <c r="A830" i="44"/>
  <c r="A831" i="44"/>
  <c r="A832" i="44"/>
  <c r="A833" i="44"/>
  <c r="A834" i="44"/>
  <c r="A835" i="44"/>
  <c r="A836" i="44"/>
  <c r="A837" i="44"/>
  <c r="A838" i="44"/>
  <c r="A839" i="44"/>
  <c r="A840" i="44"/>
  <c r="A841" i="44"/>
  <c r="A842" i="44"/>
  <c r="A843" i="44"/>
  <c r="A844" i="44"/>
  <c r="A845" i="44"/>
  <c r="A846" i="44"/>
  <c r="A847" i="44"/>
  <c r="A848" i="44"/>
  <c r="A849" i="44"/>
  <c r="A850" i="44"/>
  <c r="A851" i="44"/>
  <c r="A852" i="44"/>
  <c r="A853" i="44"/>
  <c r="A854" i="44"/>
  <c r="A855" i="44"/>
  <c r="A856" i="44"/>
  <c r="A857" i="44"/>
  <c r="A858" i="44"/>
  <c r="A859" i="44"/>
  <c r="A860" i="44"/>
  <c r="A861" i="44"/>
  <c r="A862" i="44"/>
  <c r="A863" i="44"/>
  <c r="A864" i="44"/>
  <c r="A865" i="44"/>
  <c r="A866" i="44"/>
  <c r="A867" i="44"/>
  <c r="A868" i="44"/>
  <c r="A869" i="44"/>
  <c r="A870" i="44"/>
  <c r="A871" i="44"/>
  <c r="A872" i="44"/>
  <c r="A873" i="44"/>
  <c r="A874" i="44"/>
  <c r="A875" i="44"/>
  <c r="A876" i="44"/>
  <c r="A877" i="44"/>
  <c r="A878" i="44"/>
  <c r="A879" i="44"/>
  <c r="A880" i="44"/>
  <c r="A881" i="44"/>
  <c r="A882" i="44"/>
  <c r="A883" i="44"/>
  <c r="A884" i="44"/>
  <c r="A885" i="44"/>
  <c r="A886" i="44"/>
  <c r="A887" i="44"/>
  <c r="A888" i="44"/>
  <c r="A889" i="44"/>
  <c r="A890" i="44"/>
  <c r="A891" i="44"/>
  <c r="A892" i="44"/>
  <c r="A893" i="44"/>
  <c r="A894" i="44"/>
  <c r="A895" i="44"/>
  <c r="A896" i="44"/>
  <c r="A897" i="44"/>
  <c r="A898" i="44"/>
  <c r="A899" i="44"/>
  <c r="A900" i="44"/>
  <c r="A901" i="44"/>
  <c r="A902" i="44"/>
  <c r="A903" i="44"/>
  <c r="A904" i="44"/>
  <c r="A905" i="44"/>
  <c r="A906" i="44"/>
  <c r="A907" i="44"/>
  <c r="A908" i="44"/>
  <c r="A909" i="44"/>
  <c r="A910" i="44"/>
  <c r="A911" i="44"/>
  <c r="A912" i="44"/>
  <c r="A913" i="44"/>
  <c r="A914" i="44"/>
  <c r="A915" i="44"/>
  <c r="A916" i="44"/>
  <c r="A917" i="44"/>
  <c r="A918" i="44"/>
  <c r="A919" i="44"/>
  <c r="A920" i="44"/>
  <c r="A921" i="44"/>
  <c r="A922" i="44"/>
  <c r="A923" i="44"/>
  <c r="A924" i="44"/>
  <c r="A925" i="44"/>
  <c r="A926" i="44"/>
  <c r="A927" i="44"/>
  <c r="A928" i="44"/>
  <c r="A929" i="44"/>
  <c r="A930" i="44"/>
  <c r="A931" i="44"/>
  <c r="A932" i="44"/>
  <c r="A933" i="44"/>
  <c r="A934" i="44"/>
  <c r="A935" i="44"/>
  <c r="A936" i="44"/>
  <c r="A937" i="44"/>
  <c r="A938" i="44"/>
  <c r="A939" i="44"/>
  <c r="A940" i="44"/>
  <c r="A941" i="44"/>
  <c r="A942" i="44"/>
  <c r="A943" i="44"/>
  <c r="A944" i="44"/>
  <c r="A945" i="44"/>
  <c r="A946" i="44"/>
  <c r="A947" i="44"/>
  <c r="A948" i="44"/>
  <c r="A949" i="44"/>
  <c r="A950" i="44"/>
  <c r="A951" i="44"/>
  <c r="A952" i="44"/>
  <c r="A953" i="44"/>
  <c r="A954" i="44"/>
  <c r="A955" i="44"/>
  <c r="A956" i="44"/>
  <c r="A957" i="44"/>
  <c r="A958" i="44"/>
  <c r="A959" i="44"/>
  <c r="A960" i="44"/>
  <c r="A961" i="44"/>
  <c r="A962" i="44"/>
  <c r="A963" i="44"/>
  <c r="A964" i="44"/>
  <c r="A965" i="44"/>
  <c r="A966" i="44"/>
  <c r="A967" i="44"/>
  <c r="A968" i="44"/>
  <c r="A969" i="44"/>
  <c r="A970" i="44"/>
  <c r="A971" i="44"/>
  <c r="A972" i="44"/>
  <c r="A973" i="44"/>
  <c r="A974" i="44"/>
  <c r="A975" i="44"/>
  <c r="A976" i="44"/>
  <c r="A977" i="44"/>
  <c r="A978" i="44"/>
  <c r="A979" i="44"/>
  <c r="A980" i="44"/>
  <c r="A981" i="44"/>
  <c r="A982" i="44"/>
  <c r="A983" i="44"/>
  <c r="A984" i="44"/>
  <c r="A985" i="44"/>
  <c r="A986" i="44"/>
  <c r="A987" i="44"/>
  <c r="A988" i="44"/>
  <c r="A989" i="44"/>
  <c r="A990" i="44"/>
  <c r="A991" i="44"/>
  <c r="A992" i="44"/>
  <c r="A993" i="44"/>
  <c r="A994" i="44"/>
  <c r="A995" i="44"/>
  <c r="A996" i="44"/>
  <c r="A997" i="44"/>
  <c r="A998" i="44"/>
  <c r="A999" i="44"/>
  <c r="A1000" i="44"/>
  <c r="A1001" i="44"/>
  <c r="A1002" i="44"/>
  <c r="A1003" i="44"/>
  <c r="A1004" i="44"/>
  <c r="A1005" i="44"/>
  <c r="A1006" i="44"/>
  <c r="A1007" i="44"/>
  <c r="A1008" i="44"/>
  <c r="A1009" i="44"/>
  <c r="A1010" i="44"/>
  <c r="A1011" i="44"/>
  <c r="A1012" i="44"/>
  <c r="A1013" i="44"/>
  <c r="A1014" i="44"/>
  <c r="A1015" i="44"/>
  <c r="A1016" i="44"/>
  <c r="A1017" i="44"/>
  <c r="A1018" i="44"/>
  <c r="A1019" i="44"/>
  <c r="A1020" i="44"/>
  <c r="A1021" i="44"/>
  <c r="A1022" i="44"/>
  <c r="A1023" i="44"/>
  <c r="A1024" i="44"/>
  <c r="A1025" i="44"/>
  <c r="A1026" i="44"/>
  <c r="A1027" i="44"/>
  <c r="A1028" i="44"/>
  <c r="A1029" i="44"/>
  <c r="A1030" i="44"/>
  <c r="A1031" i="44"/>
  <c r="A1032" i="44"/>
  <c r="A1033" i="44"/>
  <c r="A1034" i="44"/>
  <c r="A1035" i="44"/>
  <c r="A1036" i="44"/>
  <c r="A1037" i="44"/>
  <c r="A1038" i="44"/>
  <c r="A1039" i="44"/>
  <c r="A1040" i="44"/>
  <c r="A1041" i="44"/>
  <c r="A1042" i="44"/>
  <c r="A1043" i="44"/>
  <c r="A1044" i="44"/>
  <c r="A1045" i="44"/>
  <c r="A1046" i="44"/>
  <c r="A1047" i="44"/>
  <c r="A1048" i="44"/>
  <c r="A1049" i="44"/>
  <c r="A1050" i="44"/>
  <c r="A1051" i="44"/>
  <c r="A1052" i="44"/>
  <c r="A1053" i="44"/>
  <c r="A1054" i="44"/>
  <c r="A1055" i="44"/>
  <c r="A1056" i="44"/>
  <c r="A1057" i="44"/>
  <c r="A1058" i="44"/>
  <c r="A1059" i="44"/>
  <c r="A1060" i="44"/>
  <c r="A1061" i="44"/>
  <c r="A1062" i="44"/>
  <c r="A1063" i="44"/>
  <c r="A1064" i="44"/>
  <c r="A1065" i="44"/>
  <c r="A1066" i="44"/>
  <c r="A1067" i="44"/>
  <c r="A1068" i="44"/>
  <c r="A1069" i="44"/>
  <c r="A1070" i="44"/>
  <c r="A1071" i="44"/>
  <c r="A1072" i="44"/>
  <c r="A1073" i="44"/>
  <c r="A1074" i="44"/>
  <c r="A1075" i="44"/>
  <c r="A1076" i="44"/>
  <c r="A1077" i="44"/>
  <c r="A1078" i="44"/>
  <c r="A1079" i="44"/>
  <c r="A1080" i="44"/>
  <c r="A1081" i="44"/>
  <c r="A1082" i="44"/>
  <c r="A1083" i="44"/>
  <c r="A1084" i="44"/>
  <c r="A1085" i="44"/>
  <c r="A1086" i="44"/>
  <c r="A1087" i="44"/>
  <c r="A1088" i="44"/>
  <c r="A1089" i="44"/>
  <c r="A1090" i="44"/>
  <c r="A1091" i="44"/>
  <c r="A1092" i="44"/>
  <c r="A1093" i="44"/>
  <c r="A1094" i="44"/>
  <c r="A1095" i="44"/>
  <c r="A1096" i="44"/>
  <c r="A1097" i="44"/>
  <c r="A1098" i="44"/>
  <c r="A1099" i="44"/>
  <c r="A1100" i="44"/>
  <c r="A1101" i="44"/>
  <c r="A1102" i="44"/>
  <c r="A1103" i="44"/>
  <c r="A1104" i="44"/>
  <c r="A1105" i="44"/>
  <c r="A1106" i="44"/>
  <c r="A1107" i="44"/>
  <c r="A1108" i="44"/>
  <c r="A1109" i="44"/>
  <c r="A1110" i="44"/>
  <c r="A1111" i="44"/>
  <c r="A1112" i="44"/>
  <c r="A1113" i="44"/>
  <c r="A1114" i="44"/>
  <c r="A1115" i="44"/>
  <c r="A1116" i="44"/>
  <c r="A1117" i="44"/>
  <c r="A1118" i="44"/>
  <c r="A1119" i="44"/>
  <c r="A1120" i="44"/>
  <c r="A1121" i="44"/>
  <c r="A1122" i="44"/>
  <c r="A1123" i="44"/>
  <c r="A1124" i="44"/>
  <c r="A1125" i="44"/>
  <c r="A1126" i="44"/>
  <c r="A1127" i="44"/>
  <c r="A1128" i="44"/>
  <c r="A1129" i="44"/>
  <c r="A1130" i="44"/>
  <c r="A1131" i="44"/>
  <c r="A1132" i="44"/>
  <c r="A1133" i="44"/>
  <c r="A1134" i="44"/>
  <c r="A1135" i="44"/>
  <c r="A1136" i="44"/>
  <c r="A1137" i="44"/>
  <c r="A1138" i="44"/>
  <c r="A1139" i="44"/>
  <c r="A1140" i="44"/>
  <c r="A1141" i="44"/>
  <c r="A1142" i="44"/>
  <c r="A1143" i="44"/>
  <c r="A1144" i="44"/>
  <c r="A1145" i="44"/>
  <c r="A1146" i="44"/>
  <c r="A1147" i="44"/>
  <c r="A1148" i="44"/>
  <c r="A1149" i="44"/>
  <c r="A1150" i="44"/>
  <c r="A1151" i="44"/>
  <c r="A1152" i="44"/>
  <c r="A1153" i="44"/>
  <c r="A1154" i="44"/>
  <c r="A1155" i="44"/>
  <c r="A1156" i="44"/>
  <c r="A1157" i="44"/>
  <c r="A1158" i="44"/>
  <c r="A1159" i="44"/>
  <c r="A1160" i="44"/>
  <c r="A1161" i="44"/>
  <c r="A1162" i="44"/>
  <c r="A1163" i="44"/>
  <c r="A1164" i="44"/>
  <c r="A1165" i="44"/>
  <c r="A1166" i="44"/>
  <c r="A1167" i="44"/>
  <c r="A1168" i="44"/>
  <c r="A1169" i="44"/>
  <c r="A1170" i="44"/>
  <c r="A1171" i="44"/>
  <c r="A1172" i="44"/>
  <c r="A1173" i="44"/>
  <c r="A1174" i="44"/>
  <c r="A1175" i="44"/>
  <c r="A1176" i="44"/>
  <c r="A1177" i="44"/>
  <c r="A1178" i="44"/>
  <c r="A1179" i="44"/>
  <c r="A1180" i="44"/>
  <c r="A1181" i="44"/>
  <c r="A1182" i="44"/>
  <c r="A1183" i="44"/>
  <c r="A1184" i="44"/>
  <c r="A1185" i="44"/>
  <c r="A1186" i="44"/>
  <c r="A1187" i="44"/>
  <c r="A1188" i="44"/>
  <c r="A1189" i="44"/>
  <c r="A1190" i="44"/>
  <c r="A1191" i="44"/>
  <c r="A1192" i="44"/>
  <c r="A1193" i="44"/>
  <c r="A1194" i="44"/>
  <c r="A1195" i="44"/>
  <c r="A1196" i="44"/>
  <c r="A1197" i="44"/>
  <c r="A1198" i="44"/>
  <c r="A1199" i="44"/>
  <c r="A1200" i="44"/>
  <c r="A1201" i="44"/>
  <c r="A1202" i="44"/>
  <c r="A1203" i="44"/>
  <c r="A1204" i="44"/>
  <c r="A1205" i="44"/>
  <c r="A1206" i="44"/>
  <c r="A1207" i="44"/>
  <c r="A1208" i="44"/>
  <c r="A1209" i="44"/>
  <c r="A1210" i="44"/>
  <c r="A1211" i="44"/>
  <c r="A1212" i="44"/>
  <c r="A1213" i="44"/>
  <c r="A1214" i="44"/>
  <c r="A1215" i="44"/>
  <c r="A1216" i="44"/>
  <c r="A1217" i="44"/>
  <c r="A1218" i="44"/>
  <c r="A1219" i="44"/>
  <c r="A1220" i="44"/>
  <c r="A1221" i="44"/>
  <c r="A1222" i="44"/>
  <c r="A1223" i="44"/>
  <c r="A1224" i="44"/>
  <c r="A1225" i="44"/>
  <c r="A1226" i="44"/>
  <c r="A1227" i="44"/>
  <c r="A1228" i="44"/>
  <c r="A1229" i="44"/>
  <c r="A1230" i="44"/>
  <c r="A1231" i="44"/>
  <c r="A1232" i="44"/>
  <c r="A1233" i="44"/>
  <c r="A1234" i="44"/>
  <c r="A1235" i="44"/>
  <c r="A1236" i="44"/>
  <c r="A1237" i="44"/>
  <c r="A1238" i="44"/>
  <c r="A1239" i="44"/>
  <c r="A1240" i="44"/>
  <c r="A1241" i="44"/>
  <c r="A1242" i="44"/>
  <c r="A1243" i="44"/>
  <c r="A1244" i="44"/>
  <c r="A1245" i="44"/>
  <c r="A1246" i="44"/>
  <c r="A1247" i="44"/>
  <c r="A1248" i="44"/>
  <c r="A1249" i="44"/>
  <c r="A1250" i="44"/>
  <c r="A1251" i="44"/>
  <c r="A1252" i="44"/>
  <c r="A1253" i="44"/>
  <c r="A1254" i="44"/>
  <c r="A1255" i="44"/>
  <c r="A1256" i="44"/>
  <c r="A1257" i="44"/>
  <c r="A1258" i="44"/>
  <c r="A1259" i="44"/>
  <c r="A1260" i="44"/>
  <c r="A1261" i="44"/>
  <c r="A1262" i="44"/>
  <c r="A1263" i="44"/>
  <c r="A1264" i="44"/>
  <c r="A1265" i="44"/>
  <c r="A1266" i="44"/>
  <c r="A1267" i="44"/>
  <c r="A1268" i="44"/>
  <c r="A1269" i="44"/>
  <c r="A1270" i="44"/>
  <c r="A1271" i="44"/>
  <c r="A1272" i="44"/>
  <c r="A1273" i="44"/>
  <c r="A1274" i="44"/>
  <c r="A1275" i="44"/>
  <c r="A1276" i="44"/>
  <c r="A1277" i="44"/>
  <c r="A1278" i="44"/>
  <c r="A1279" i="44"/>
  <c r="A1280" i="44"/>
  <c r="A1281" i="44"/>
  <c r="A1282" i="44"/>
  <c r="A1283" i="44"/>
  <c r="A1284" i="44"/>
  <c r="A1285" i="44"/>
  <c r="A1286" i="44"/>
  <c r="A1287" i="44"/>
  <c r="A1288" i="44"/>
  <c r="A1289" i="44"/>
  <c r="A1290" i="44"/>
  <c r="A1291" i="44"/>
  <c r="A1292" i="44"/>
  <c r="A1293" i="44"/>
  <c r="A1294" i="44"/>
  <c r="A1295" i="44"/>
  <c r="A1296" i="44"/>
  <c r="A1297" i="44"/>
  <c r="A1298" i="44"/>
  <c r="A1299" i="44"/>
  <c r="A1300" i="44"/>
  <c r="A1301" i="44"/>
  <c r="A1302" i="44"/>
  <c r="A1303" i="44"/>
  <c r="A1304" i="44"/>
  <c r="A1305" i="44"/>
  <c r="A1306" i="44"/>
  <c r="A1307" i="44"/>
  <c r="A1308" i="44"/>
  <c r="A1309" i="44"/>
  <c r="A1310" i="44"/>
  <c r="A1311" i="44"/>
  <c r="A1312" i="44"/>
  <c r="A1313" i="44"/>
  <c r="A1314" i="44"/>
  <c r="A1315" i="44"/>
  <c r="A1316" i="44"/>
  <c r="A1317" i="44"/>
  <c r="A1318" i="44"/>
  <c r="A1319" i="44"/>
  <c r="A1320" i="44"/>
  <c r="A1321" i="44"/>
  <c r="A1322" i="44"/>
  <c r="A1323" i="44"/>
  <c r="A1324" i="44"/>
  <c r="A1325" i="44"/>
  <c r="A1326" i="44"/>
  <c r="A1327" i="44"/>
  <c r="A1328" i="44"/>
  <c r="A1329" i="44"/>
  <c r="A1330" i="44"/>
  <c r="A1331" i="44"/>
  <c r="A1332" i="44"/>
  <c r="A1333" i="44"/>
  <c r="A1334" i="44"/>
  <c r="A1335" i="44"/>
  <c r="A1336" i="44"/>
  <c r="A1337" i="44"/>
  <c r="A1338" i="44"/>
  <c r="A1339" i="44"/>
  <c r="A1340" i="44"/>
  <c r="A1341" i="44"/>
  <c r="A1342" i="44"/>
  <c r="A1343" i="44"/>
  <c r="A1344" i="44"/>
  <c r="A1345" i="44"/>
  <c r="A1346" i="44"/>
  <c r="A1347" i="44"/>
  <c r="A1348" i="44"/>
  <c r="A1349" i="44"/>
  <c r="A1350" i="44"/>
  <c r="A1351" i="44"/>
  <c r="A1352" i="44"/>
  <c r="A1353" i="44"/>
  <c r="A1354" i="44"/>
  <c r="A1355" i="44"/>
  <c r="A1356" i="44"/>
  <c r="A1357" i="44"/>
  <c r="A1358" i="44"/>
  <c r="A1359" i="44"/>
  <c r="A1360" i="44"/>
  <c r="A1361" i="44"/>
  <c r="A1362" i="44"/>
  <c r="A1363" i="44"/>
  <c r="A1364" i="44"/>
  <c r="A1365" i="44"/>
  <c r="A1366" i="44"/>
  <c r="A1367" i="44"/>
  <c r="A1368" i="44"/>
  <c r="A1369" i="44"/>
  <c r="A1370" i="44"/>
  <c r="A1371" i="44"/>
  <c r="A1372" i="44"/>
  <c r="A1373" i="44"/>
  <c r="A1374" i="44"/>
  <c r="A1375" i="44"/>
  <c r="A1376" i="44"/>
  <c r="A1377" i="44"/>
  <c r="A1378" i="44"/>
  <c r="A1379" i="44"/>
  <c r="A1380" i="44"/>
  <c r="A1381" i="44"/>
  <c r="A1382" i="44"/>
  <c r="A1383" i="44"/>
  <c r="A1384" i="44"/>
  <c r="A1385" i="44"/>
  <c r="A1386" i="44"/>
  <c r="A1387" i="44"/>
  <c r="A1388" i="44"/>
  <c r="A1389" i="44"/>
  <c r="A1390" i="44"/>
  <c r="A1391" i="44"/>
  <c r="A1392" i="44"/>
  <c r="A1393" i="44"/>
  <c r="A1394" i="44"/>
  <c r="A1395" i="44"/>
  <c r="A1396" i="44"/>
  <c r="A1397" i="44"/>
  <c r="A1398" i="44"/>
  <c r="A1399" i="44"/>
  <c r="A1400" i="44"/>
  <c r="A1401" i="44"/>
  <c r="A1402" i="44"/>
  <c r="A1403" i="44"/>
  <c r="A1404" i="44"/>
  <c r="A1405" i="44"/>
  <c r="A1406" i="44"/>
  <c r="A1407" i="44"/>
  <c r="A1408" i="44"/>
  <c r="A1409" i="44"/>
  <c r="A1410" i="44"/>
  <c r="A1411" i="44"/>
  <c r="A1412" i="44"/>
  <c r="A1413" i="44"/>
  <c r="A1414" i="44"/>
  <c r="A1415" i="44"/>
  <c r="A1416" i="44"/>
  <c r="A1417" i="44"/>
  <c r="A1418" i="44"/>
  <c r="A1419" i="44"/>
  <c r="A1420" i="44"/>
  <c r="A1421" i="44"/>
  <c r="A1422" i="44"/>
  <c r="A1423" i="44"/>
  <c r="A1424" i="44"/>
  <c r="A1425" i="44"/>
  <c r="A1426" i="44"/>
  <c r="A1427" i="44"/>
  <c r="A1428" i="44"/>
  <c r="A1429" i="44"/>
  <c r="A1430" i="44"/>
  <c r="A1431" i="44"/>
  <c r="A1432" i="44"/>
  <c r="A1433" i="44"/>
  <c r="A1434" i="44"/>
  <c r="A1435" i="44"/>
  <c r="A1436" i="44"/>
  <c r="A1437" i="44"/>
  <c r="A1438" i="44"/>
  <c r="A1439" i="44"/>
  <c r="A1440" i="44"/>
  <c r="A1441" i="44"/>
  <c r="A1442" i="44"/>
  <c r="A1443" i="44"/>
  <c r="A1444" i="44"/>
  <c r="A1445" i="44"/>
  <c r="A1446" i="44"/>
  <c r="A1447" i="44"/>
  <c r="A1448" i="44"/>
  <c r="A1449" i="44"/>
  <c r="A1450" i="44"/>
  <c r="A1451" i="44"/>
  <c r="A1452" i="44"/>
  <c r="A1453" i="44"/>
  <c r="A1454" i="44"/>
  <c r="A1455" i="44"/>
  <c r="A1456" i="44"/>
  <c r="A1457" i="44"/>
  <c r="A1458" i="44"/>
  <c r="A1459" i="44"/>
  <c r="A1460" i="44"/>
  <c r="A1461" i="44"/>
  <c r="A1462" i="44"/>
  <c r="A1463" i="44"/>
  <c r="A1464" i="44"/>
  <c r="A1465" i="44"/>
  <c r="A1466" i="44"/>
  <c r="A1467" i="44"/>
  <c r="A1468" i="44"/>
  <c r="A1469" i="44"/>
  <c r="A1470" i="44"/>
  <c r="A1471" i="44"/>
  <c r="A1472" i="44"/>
  <c r="A1473" i="44"/>
  <c r="A1474" i="44"/>
  <c r="A1475" i="44"/>
  <c r="A1476" i="44"/>
  <c r="A1477" i="44"/>
  <c r="A1478" i="44"/>
  <c r="A1479" i="44"/>
  <c r="A1480" i="44"/>
  <c r="A1481" i="44"/>
  <c r="A1482" i="44"/>
  <c r="A1483" i="44"/>
  <c r="A1484" i="44"/>
  <c r="A1485" i="44"/>
  <c r="A1486" i="44"/>
  <c r="A1487" i="44"/>
  <c r="A1488" i="44"/>
  <c r="A1489" i="44"/>
  <c r="A1490" i="44"/>
  <c r="B180" i="24"/>
  <c r="K180" i="24" a="1"/>
  <c r="K180" i="24" s="1"/>
  <c r="D329" i="24" a="1"/>
  <c r="D329" i="24" s="1"/>
  <c r="D330" i="24" a="1"/>
  <c r="D330" i="24" s="1"/>
  <c r="B22" i="43"/>
  <c r="B330" i="24"/>
  <c r="B329" i="24"/>
  <c r="F21" i="43"/>
  <c r="B21" i="43"/>
  <c r="B274" i="24"/>
  <c r="B275" i="24"/>
  <c r="B276" i="24"/>
  <c r="B277" i="24"/>
  <c r="B278" i="24"/>
  <c r="B279" i="24"/>
  <c r="B280" i="24"/>
  <c r="B281" i="24"/>
  <c r="B282" i="24"/>
  <c r="B283" i="24"/>
  <c r="B284" i="24"/>
  <c r="B285" i="24"/>
  <c r="B286" i="24"/>
  <c r="B287" i="24"/>
  <c r="B288" i="24"/>
  <c r="B289" i="24"/>
  <c r="B290" i="24"/>
  <c r="B291" i="24"/>
  <c r="B292" i="24"/>
  <c r="B293" i="24"/>
  <c r="B294" i="24"/>
  <c r="B295" i="24"/>
  <c r="B296" i="24"/>
  <c r="B297" i="24"/>
  <c r="B298" i="24"/>
  <c r="B299" i="24"/>
  <c r="B300" i="24"/>
  <c r="B301" i="24"/>
  <c r="B302" i="24"/>
  <c r="B303" i="24"/>
  <c r="B304" i="24"/>
  <c r="B305" i="24"/>
  <c r="B306" i="24"/>
  <c r="B307" i="24"/>
  <c r="B308" i="24"/>
  <c r="B309" i="24"/>
  <c r="B310" i="24"/>
  <c r="B311" i="24"/>
  <c r="B312" i="24"/>
  <c r="B313" i="24"/>
  <c r="B314" i="24"/>
  <c r="B315" i="24"/>
  <c r="B316" i="24"/>
  <c r="B317" i="24"/>
  <c r="B318" i="24"/>
  <c r="B319" i="24"/>
  <c r="B320" i="24"/>
  <c r="B321" i="24"/>
  <c r="B322" i="24"/>
  <c r="B205" i="24"/>
  <c r="K205" i="24" a="1"/>
  <c r="K205" i="24" s="1"/>
  <c r="G22" i="43" a="1"/>
  <c r="K22" i="43" a="1"/>
  <c r="H22" i="43"/>
  <c r="K21" i="43" a="1"/>
  <c r="C14" i="24"/>
  <c r="J22" i="43" a="1"/>
  <c r="C13" i="24"/>
  <c r="J21" i="43" a="1"/>
  <c r="G21" i="43" a="1"/>
  <c r="K22" i="43" l="1"/>
  <c r="J22" i="43"/>
  <c r="G22" i="43"/>
  <c r="I22" i="43" s="1"/>
  <c r="K21" i="43"/>
  <c r="J21" i="43"/>
  <c r="G21" i="43"/>
  <c r="A3044" i="25"/>
  <c r="A3045" i="25"/>
  <c r="A3046" i="25"/>
  <c r="A3047" i="25"/>
  <c r="A3048" i="25"/>
  <c r="A3049" i="25"/>
  <c r="A3050" i="25"/>
  <c r="A3051" i="25"/>
  <c r="A3052" i="25"/>
  <c r="A3053" i="25"/>
  <c r="A3054" i="25"/>
  <c r="A3055" i="25"/>
  <c r="A3056" i="25"/>
  <c r="A3057" i="25"/>
  <c r="A3058" i="25"/>
  <c r="A3059" i="25"/>
  <c r="A3060" i="25"/>
  <c r="A3061" i="25"/>
  <c r="A3062" i="25"/>
  <c r="A3063" i="25"/>
  <c r="A3064" i="25"/>
  <c r="A3065" i="25"/>
  <c r="A3066" i="25"/>
  <c r="A3067" i="25"/>
  <c r="A3068" i="25"/>
  <c r="A3069" i="25"/>
  <c r="A3070" i="25"/>
  <c r="A3071" i="25"/>
  <c r="A3072" i="25"/>
  <c r="A3073" i="25"/>
  <c r="A3074" i="25"/>
  <c r="B3044" i="25"/>
  <c r="B3045" i="25"/>
  <c r="B3046" i="25"/>
  <c r="B3047" i="25"/>
  <c r="B3048" i="25"/>
  <c r="B3049" i="25"/>
  <c r="B3050" i="25"/>
  <c r="B3051" i="25"/>
  <c r="B3052" i="25"/>
  <c r="B3053" i="25"/>
  <c r="B3054" i="25"/>
  <c r="B3055" i="25"/>
  <c r="B3056" i="25"/>
  <c r="B3057" i="25"/>
  <c r="B3058" i="25"/>
  <c r="B3059" i="25"/>
  <c r="B3060" i="25"/>
  <c r="B3061" i="25"/>
  <c r="B3062" i="25"/>
  <c r="B3063" i="25"/>
  <c r="B3064" i="25"/>
  <c r="B3065" i="25"/>
  <c r="B3066" i="25"/>
  <c r="B3067" i="25"/>
  <c r="B3068" i="25"/>
  <c r="B3069" i="25"/>
  <c r="B3070" i="25"/>
  <c r="B3071" i="25"/>
  <c r="B3072" i="25"/>
  <c r="B3073" i="25"/>
  <c r="B3074" i="25"/>
  <c r="B204" i="24"/>
  <c r="K204" i="24" a="1"/>
  <c r="K204" i="24" s="1"/>
  <c r="B147" i="24"/>
  <c r="Q147" i="24"/>
  <c r="R147" i="24" a="1"/>
  <c r="R147" i="24" s="1"/>
  <c r="U147" i="24" a="1"/>
  <c r="U147" i="24" s="1"/>
  <c r="B64" i="24"/>
  <c r="D64" i="24" a="1"/>
  <c r="D64" i="24" s="1"/>
  <c r="N35" i="24" s="1" a="1"/>
  <c r="N35" i="24" s="1"/>
  <c r="E64" i="24" a="1"/>
  <c r="E64" i="24" s="1"/>
  <c r="F64" i="24" a="1"/>
  <c r="F64" i="24" s="1"/>
  <c r="B35" i="24"/>
  <c r="L35" i="24" a="1"/>
  <c r="L35" i="24" s="1"/>
  <c r="M35" i="24" a="1"/>
  <c r="M35" i="24" s="1"/>
  <c r="P35" i="24" a="1"/>
  <c r="P35" i="24" s="1"/>
  <c r="B108" i="24"/>
  <c r="I108" i="24"/>
  <c r="J108" i="24" a="1"/>
  <c r="J108" i="24" s="1"/>
  <c r="K108" i="24" a="1"/>
  <c r="K108" i="24" s="1"/>
  <c r="H21" i="43"/>
  <c r="J35" i="24"/>
  <c r="I21" i="43" l="1"/>
  <c r="L22" i="43"/>
  <c r="L21" i="43"/>
  <c r="A2951" i="25"/>
  <c r="A2952" i="25"/>
  <c r="A2953" i="25"/>
  <c r="A2954" i="25"/>
  <c r="A2955" i="25"/>
  <c r="A2956" i="25"/>
  <c r="A2957" i="25"/>
  <c r="A2958" i="25"/>
  <c r="A2959" i="25"/>
  <c r="A2960" i="25"/>
  <c r="A2961" i="25"/>
  <c r="A2962" i="25"/>
  <c r="A2963" i="25"/>
  <c r="A2964" i="25"/>
  <c r="A2965" i="25"/>
  <c r="A2966" i="25"/>
  <c r="A2967" i="25"/>
  <c r="A2968" i="25"/>
  <c r="A2969" i="25"/>
  <c r="A2970" i="25"/>
  <c r="A2971" i="25"/>
  <c r="A2972" i="25"/>
  <c r="A2973" i="25"/>
  <c r="A2974" i="25"/>
  <c r="A2975" i="25"/>
  <c r="A2976" i="25"/>
  <c r="A2977" i="25"/>
  <c r="A2978" i="25"/>
  <c r="A2979" i="25"/>
  <c r="A2980" i="25"/>
  <c r="A2981" i="25"/>
  <c r="A2982" i="25"/>
  <c r="A2983" i="25"/>
  <c r="A2984" i="25"/>
  <c r="A2985" i="25"/>
  <c r="A2986" i="25"/>
  <c r="A2987" i="25"/>
  <c r="A2988" i="25"/>
  <c r="A2989" i="25"/>
  <c r="A2990" i="25"/>
  <c r="A2991" i="25"/>
  <c r="A2992" i="25"/>
  <c r="A2993" i="25"/>
  <c r="A2994" i="25"/>
  <c r="A2995" i="25"/>
  <c r="A2996" i="25"/>
  <c r="A2997" i="25"/>
  <c r="A2998" i="25"/>
  <c r="A2999" i="25"/>
  <c r="A3000" i="25"/>
  <c r="A3001" i="25"/>
  <c r="A3002" i="25"/>
  <c r="A3003" i="25"/>
  <c r="A3004" i="25"/>
  <c r="A3005" i="25"/>
  <c r="A3006" i="25"/>
  <c r="A3007" i="25"/>
  <c r="A3008" i="25"/>
  <c r="A3009" i="25"/>
  <c r="A3010" i="25"/>
  <c r="A3011" i="25"/>
  <c r="A3012" i="25"/>
  <c r="A3013" i="25"/>
  <c r="A3014" i="25"/>
  <c r="A3015" i="25"/>
  <c r="A3016" i="25"/>
  <c r="A3017" i="25"/>
  <c r="A3018" i="25"/>
  <c r="A3019" i="25"/>
  <c r="A3020" i="25"/>
  <c r="A3021" i="25"/>
  <c r="A3022" i="25"/>
  <c r="A3023" i="25"/>
  <c r="A3024" i="25"/>
  <c r="A3025" i="25"/>
  <c r="A3026" i="25"/>
  <c r="A3027" i="25"/>
  <c r="A3028" i="25"/>
  <c r="A3029" i="25"/>
  <c r="A3030" i="25"/>
  <c r="A3031" i="25"/>
  <c r="A3032" i="25"/>
  <c r="A3033" i="25"/>
  <c r="A3034" i="25"/>
  <c r="A3035" i="25"/>
  <c r="A3036" i="25"/>
  <c r="A3037" i="25"/>
  <c r="A3038" i="25"/>
  <c r="A3039" i="25"/>
  <c r="A3040" i="25"/>
  <c r="A3041" i="25"/>
  <c r="A3042" i="25"/>
  <c r="A3043" i="25"/>
  <c r="B2951" i="25"/>
  <c r="B2952" i="25"/>
  <c r="B2953" i="25"/>
  <c r="B2954" i="25"/>
  <c r="B2955" i="25"/>
  <c r="B2956" i="25"/>
  <c r="B2957" i="25"/>
  <c r="B2958" i="25"/>
  <c r="B2959" i="25"/>
  <c r="B2960" i="25"/>
  <c r="B2961" i="25"/>
  <c r="B2962" i="25"/>
  <c r="B2963" i="25"/>
  <c r="B2964" i="25"/>
  <c r="B2965" i="25"/>
  <c r="B2966" i="25"/>
  <c r="B2967" i="25"/>
  <c r="B2968" i="25"/>
  <c r="B2969" i="25"/>
  <c r="B2970" i="25"/>
  <c r="B2971" i="25"/>
  <c r="B2972" i="25"/>
  <c r="B2973" i="25"/>
  <c r="B2974" i="25"/>
  <c r="B2975" i="25"/>
  <c r="B2976" i="25"/>
  <c r="B2977" i="25"/>
  <c r="B2978" i="25"/>
  <c r="B2979" i="25"/>
  <c r="B2980" i="25"/>
  <c r="B2981" i="25"/>
  <c r="B2982" i="25"/>
  <c r="B2983" i="25"/>
  <c r="B2984" i="25"/>
  <c r="B2985" i="25"/>
  <c r="B2986" i="25"/>
  <c r="B2987" i="25"/>
  <c r="B2988" i="25"/>
  <c r="B2989" i="25"/>
  <c r="B2990" i="25"/>
  <c r="B2991" i="25"/>
  <c r="B2992" i="25"/>
  <c r="B2993" i="25"/>
  <c r="B2994" i="25"/>
  <c r="B2995" i="25"/>
  <c r="B2996" i="25"/>
  <c r="B2997" i="25"/>
  <c r="B2998" i="25"/>
  <c r="B2999" i="25"/>
  <c r="B3000" i="25"/>
  <c r="B3001" i="25"/>
  <c r="B3002" i="25"/>
  <c r="B3003" i="25"/>
  <c r="B3004" i="25"/>
  <c r="B3005" i="25"/>
  <c r="B3006" i="25"/>
  <c r="B3007" i="25"/>
  <c r="B3008" i="25"/>
  <c r="B3009" i="25"/>
  <c r="B3010" i="25"/>
  <c r="B3011" i="25"/>
  <c r="B3012" i="25"/>
  <c r="B3013" i="25"/>
  <c r="B3014" i="25"/>
  <c r="B3015" i="25"/>
  <c r="B3016" i="25"/>
  <c r="B3017" i="25"/>
  <c r="B3018" i="25"/>
  <c r="B3019" i="25"/>
  <c r="B3020" i="25"/>
  <c r="B3021" i="25"/>
  <c r="B3022" i="25"/>
  <c r="B3023" i="25"/>
  <c r="B3024" i="25"/>
  <c r="B3025" i="25"/>
  <c r="B3026" i="25"/>
  <c r="B3027" i="25"/>
  <c r="B3028" i="25"/>
  <c r="B3029" i="25"/>
  <c r="B3030" i="25"/>
  <c r="B3031" i="25"/>
  <c r="B3032" i="25"/>
  <c r="B3033" i="25"/>
  <c r="B3034" i="25"/>
  <c r="B3035" i="25"/>
  <c r="B3036" i="25"/>
  <c r="B3037" i="25"/>
  <c r="B3038" i="25"/>
  <c r="B3039" i="25"/>
  <c r="B3040" i="25"/>
  <c r="B3041" i="25"/>
  <c r="B3042" i="25"/>
  <c r="B3043" i="25"/>
  <c r="B159" i="24" l="1"/>
  <c r="Q159" i="24"/>
  <c r="R159" i="24" a="1"/>
  <c r="R159" i="24" s="1"/>
  <c r="U159" i="24" a="1"/>
  <c r="U159" i="24" s="1"/>
  <c r="B160" i="24"/>
  <c r="Q160" i="24"/>
  <c r="R160" i="24" a="1"/>
  <c r="R160" i="24" s="1"/>
  <c r="U160" i="24" a="1"/>
  <c r="U160" i="24" s="1"/>
  <c r="B161" i="24"/>
  <c r="Q161" i="24"/>
  <c r="R161" i="24" a="1"/>
  <c r="R161" i="24" s="1"/>
  <c r="U161" i="24" a="1"/>
  <c r="U161" i="24" s="1"/>
  <c r="B118" i="24"/>
  <c r="I118" i="24"/>
  <c r="J118" i="24" a="1"/>
  <c r="J118" i="24" s="1"/>
  <c r="K118" i="24" a="1"/>
  <c r="K118" i="24" s="1"/>
  <c r="B70" i="24"/>
  <c r="D70" i="24" a="1"/>
  <c r="D70" i="24" s="1"/>
  <c r="N41" i="24" s="1" a="1"/>
  <c r="N41" i="24" s="1"/>
  <c r="E70" i="24" a="1"/>
  <c r="E70" i="24" s="1"/>
  <c r="F70" i="24" a="1"/>
  <c r="F70" i="24" s="1"/>
  <c r="B41" i="24"/>
  <c r="L41" i="24" a="1"/>
  <c r="L41" i="24" s="1"/>
  <c r="M41" i="24" a="1"/>
  <c r="M41" i="24" s="1"/>
  <c r="P41" i="24" a="1"/>
  <c r="P41" i="24" s="1"/>
  <c r="B40" i="24"/>
  <c r="J41" i="24"/>
  <c r="B20" i="43" l="1"/>
  <c r="F20" i="43"/>
  <c r="B28" i="52"/>
  <c r="B27" i="52"/>
  <c r="B26" i="52"/>
  <c r="B25" i="52"/>
  <c r="B24" i="52"/>
  <c r="B23" i="52"/>
  <c r="B22" i="52"/>
  <c r="B21" i="52"/>
  <c r="B20" i="52"/>
  <c r="B19" i="52"/>
  <c r="B18" i="52"/>
  <c r="B17" i="52"/>
  <c r="B16" i="52"/>
  <c r="B15" i="52"/>
  <c r="B14" i="52"/>
  <c r="B13" i="52"/>
  <c r="B12" i="52"/>
  <c r="B11" i="52"/>
  <c r="B10" i="52"/>
  <c r="B9" i="52"/>
  <c r="B8" i="52"/>
  <c r="B7" i="52"/>
  <c r="B6" i="52"/>
  <c r="B5" i="52"/>
  <c r="B4" i="52"/>
  <c r="K20" i="43" a="1"/>
  <c r="G20" i="43" a="1"/>
  <c r="G20" i="43" l="1"/>
  <c r="K20" i="43"/>
  <c r="L23" i="24" a="1"/>
  <c r="L23" i="24" s="1"/>
  <c r="B91" i="24"/>
  <c r="I91" i="24"/>
  <c r="J91" i="24" a="1"/>
  <c r="J91" i="24" s="1"/>
  <c r="K91" i="24" a="1"/>
  <c r="K91" i="24" s="1"/>
  <c r="B92" i="24"/>
  <c r="I92" i="24"/>
  <c r="J92" i="24" a="1"/>
  <c r="J92" i="24" s="1"/>
  <c r="K92" i="24" a="1"/>
  <c r="K92" i="24" s="1"/>
  <c r="A2920" i="25"/>
  <c r="A2921" i="25"/>
  <c r="A2922" i="25"/>
  <c r="A2923" i="25"/>
  <c r="A2924" i="25"/>
  <c r="A2925" i="25"/>
  <c r="A2926" i="25"/>
  <c r="A2927" i="25"/>
  <c r="A2928" i="25"/>
  <c r="A2929" i="25"/>
  <c r="A2930" i="25"/>
  <c r="A2931" i="25"/>
  <c r="A2932" i="25"/>
  <c r="A2933" i="25"/>
  <c r="A2934" i="25"/>
  <c r="A2935" i="25"/>
  <c r="A2936" i="25"/>
  <c r="A2937" i="25"/>
  <c r="A2938" i="25"/>
  <c r="A2939" i="25"/>
  <c r="A2940" i="25"/>
  <c r="A2941" i="25"/>
  <c r="A2942" i="25"/>
  <c r="A2943" i="25"/>
  <c r="A2944" i="25"/>
  <c r="A2945" i="25"/>
  <c r="A2946" i="25"/>
  <c r="A2947" i="25"/>
  <c r="A2948" i="25"/>
  <c r="A2949" i="25"/>
  <c r="A2950" i="25"/>
  <c r="B2920" i="25"/>
  <c r="B2921" i="25"/>
  <c r="B2922" i="25"/>
  <c r="B2923" i="25"/>
  <c r="B2924" i="25"/>
  <c r="B2925" i="25"/>
  <c r="B2926" i="25"/>
  <c r="B2927" i="25"/>
  <c r="B2928" i="25"/>
  <c r="B2929" i="25"/>
  <c r="B2930" i="25"/>
  <c r="B2931" i="25"/>
  <c r="B2932" i="25"/>
  <c r="B2933" i="25"/>
  <c r="B2934" i="25"/>
  <c r="B2935" i="25"/>
  <c r="B2936" i="25"/>
  <c r="B2937" i="25"/>
  <c r="B2938" i="25"/>
  <c r="B2939" i="25"/>
  <c r="B2940" i="25"/>
  <c r="B2941" i="25"/>
  <c r="B2942" i="25"/>
  <c r="B2943" i="25"/>
  <c r="B2944" i="25"/>
  <c r="B2945" i="25"/>
  <c r="B2946" i="25"/>
  <c r="B2947" i="25"/>
  <c r="B2948" i="25"/>
  <c r="B2949" i="25"/>
  <c r="B2950" i="25"/>
  <c r="A2889" i="25"/>
  <c r="A2890" i="25"/>
  <c r="A2891" i="25"/>
  <c r="A2892" i="25"/>
  <c r="A2893" i="25"/>
  <c r="A2894" i="25"/>
  <c r="A2895" i="25"/>
  <c r="A2896" i="25"/>
  <c r="A2897" i="25"/>
  <c r="A2898" i="25"/>
  <c r="A2899" i="25"/>
  <c r="A2900" i="25"/>
  <c r="A2901" i="25"/>
  <c r="A2902" i="25"/>
  <c r="A2903" i="25"/>
  <c r="A2904" i="25"/>
  <c r="A2905" i="25"/>
  <c r="A2906" i="25"/>
  <c r="A2907" i="25"/>
  <c r="A2908" i="25"/>
  <c r="A2909" i="25"/>
  <c r="A2910" i="25"/>
  <c r="A2911" i="25"/>
  <c r="A2912" i="25"/>
  <c r="A2913" i="25"/>
  <c r="A2914" i="25"/>
  <c r="A2915" i="25"/>
  <c r="A2916" i="25"/>
  <c r="A2917" i="25"/>
  <c r="A2918" i="25"/>
  <c r="A2919" i="25"/>
  <c r="B2889" i="25"/>
  <c r="B2890" i="25"/>
  <c r="B2891" i="25"/>
  <c r="B2892" i="25"/>
  <c r="B2893" i="25"/>
  <c r="B2894" i="25"/>
  <c r="B2895" i="25"/>
  <c r="B2896" i="25"/>
  <c r="B2897" i="25"/>
  <c r="B2898" i="25"/>
  <c r="B2899" i="25"/>
  <c r="B2900" i="25"/>
  <c r="B2901" i="25"/>
  <c r="B2902" i="25"/>
  <c r="B2903" i="25"/>
  <c r="B2904" i="25"/>
  <c r="B2905" i="25"/>
  <c r="B2906" i="25"/>
  <c r="B2907" i="25"/>
  <c r="B2908" i="25"/>
  <c r="B2909" i="25"/>
  <c r="B2910" i="25"/>
  <c r="B2911" i="25"/>
  <c r="B2912" i="25"/>
  <c r="B2913" i="25"/>
  <c r="B2914" i="25"/>
  <c r="B2915" i="25"/>
  <c r="B2916" i="25"/>
  <c r="B2917" i="25"/>
  <c r="B2918" i="25"/>
  <c r="B2919" i="25"/>
  <c r="K87" i="24" a="1"/>
  <c r="K87" i="24" s="1"/>
  <c r="K88" i="24" a="1"/>
  <c r="K88" i="24" s="1"/>
  <c r="K81" i="24" a="1"/>
  <c r="K81" i="24" s="1"/>
  <c r="K82" i="24" a="1"/>
  <c r="K82" i="24" s="1"/>
  <c r="K83" i="24" a="1"/>
  <c r="K83" i="24" s="1"/>
  <c r="K90" i="24" a="1"/>
  <c r="K90" i="24" s="1"/>
  <c r="K93" i="24" a="1"/>
  <c r="K93" i="24" s="1"/>
  <c r="K94" i="24" a="1"/>
  <c r="K94" i="24" s="1"/>
  <c r="K95" i="24" a="1"/>
  <c r="K95" i="24" s="1"/>
  <c r="K96" i="24" a="1"/>
  <c r="K96" i="24" s="1"/>
  <c r="K97" i="24" a="1"/>
  <c r="K97" i="24" s="1"/>
  <c r="K98" i="24" a="1"/>
  <c r="K98" i="24" s="1"/>
  <c r="K99" i="24" a="1"/>
  <c r="K99" i="24" s="1"/>
  <c r="K100" i="24" a="1"/>
  <c r="K100" i="24" s="1"/>
  <c r="K101" i="24" a="1"/>
  <c r="K101" i="24" s="1"/>
  <c r="K84" i="24" a="1"/>
  <c r="K84" i="24" s="1"/>
  <c r="K85" i="24" a="1"/>
  <c r="K85" i="24" s="1"/>
  <c r="K86" i="24" a="1"/>
  <c r="K86" i="24" s="1"/>
  <c r="K102" i="24" a="1"/>
  <c r="K102" i="24" s="1"/>
  <c r="K103" i="24" a="1"/>
  <c r="K103" i="24" s="1"/>
  <c r="K104" i="24" a="1"/>
  <c r="K104" i="24" s="1"/>
  <c r="K105" i="24" a="1"/>
  <c r="K105" i="24" s="1"/>
  <c r="K106" i="24" a="1"/>
  <c r="K106" i="24" s="1"/>
  <c r="K107" i="24" a="1"/>
  <c r="K107" i="24" s="1"/>
  <c r="K109" i="24" a="1"/>
  <c r="K109" i="24" s="1"/>
  <c r="K110" i="24" a="1"/>
  <c r="K110" i="24" s="1"/>
  <c r="K111" i="24" a="1"/>
  <c r="K111" i="24" s="1"/>
  <c r="K112" i="24" a="1"/>
  <c r="K112" i="24" s="1"/>
  <c r="K113" i="24" a="1"/>
  <c r="K113" i="24" s="1"/>
  <c r="K114" i="24" a="1"/>
  <c r="K114" i="24" s="1"/>
  <c r="K115" i="24" a="1"/>
  <c r="K115" i="24" s="1"/>
  <c r="K116" i="24" a="1"/>
  <c r="K116" i="24" s="1"/>
  <c r="K117" i="24" a="1"/>
  <c r="K117" i="24" s="1"/>
  <c r="K119" i="24" a="1"/>
  <c r="K119" i="24" s="1"/>
  <c r="K120" i="24" a="1"/>
  <c r="K120" i="24" s="1"/>
  <c r="K121" i="24" a="1"/>
  <c r="K121" i="24" s="1"/>
  <c r="K122" i="24" a="1"/>
  <c r="K122" i="24" s="1"/>
  <c r="K89" i="24" a="1"/>
  <c r="K89" i="24" s="1"/>
  <c r="B24" i="24"/>
  <c r="B21" i="24"/>
  <c r="B22" i="24"/>
  <c r="B26" i="24"/>
  <c r="B27" i="24"/>
  <c r="B28" i="24"/>
  <c r="B29" i="24"/>
  <c r="B30" i="24"/>
  <c r="B23" i="24"/>
  <c r="B31" i="24"/>
  <c r="B32" i="24"/>
  <c r="B33" i="24"/>
  <c r="B34" i="24"/>
  <c r="B36" i="24"/>
  <c r="B37" i="24"/>
  <c r="B38" i="24"/>
  <c r="B39" i="24"/>
  <c r="B42" i="24"/>
  <c r="B43" i="24"/>
  <c r="B44" i="24"/>
  <c r="B45" i="24"/>
  <c r="B25" i="24"/>
  <c r="B130" i="24"/>
  <c r="Q130" i="24"/>
  <c r="R130" i="24" a="1"/>
  <c r="R130" i="24" s="1"/>
  <c r="U130" i="24" a="1"/>
  <c r="U130" i="24" s="1"/>
  <c r="I84" i="24"/>
  <c r="I85" i="24"/>
  <c r="I86" i="24"/>
  <c r="B84" i="24"/>
  <c r="J84" i="24" a="1"/>
  <c r="J84" i="24" s="1"/>
  <c r="B85" i="24"/>
  <c r="J85" i="24" a="1"/>
  <c r="J85" i="24" s="1"/>
  <c r="B86" i="24"/>
  <c r="J86" i="24" a="1"/>
  <c r="J86" i="24" s="1"/>
  <c r="B52" i="24"/>
  <c r="D52" i="24" a="1"/>
  <c r="D52" i="24" s="1"/>
  <c r="N23" i="24" s="1" a="1"/>
  <c r="N23" i="24" s="1"/>
  <c r="E52" i="24" a="1"/>
  <c r="E52" i="24" s="1"/>
  <c r="F52" i="24" a="1"/>
  <c r="F52" i="24" s="1"/>
  <c r="M23" i="24" a="1"/>
  <c r="M23" i="24" s="1"/>
  <c r="P23" i="24" a="1"/>
  <c r="P23" i="24" s="1"/>
  <c r="A2763" i="25"/>
  <c r="A2764" i="25"/>
  <c r="A2765" i="25"/>
  <c r="A2766" i="25"/>
  <c r="A2767" i="25"/>
  <c r="A2768" i="25"/>
  <c r="A2769" i="25"/>
  <c r="A2770" i="25"/>
  <c r="A2771" i="25"/>
  <c r="A2772" i="25"/>
  <c r="A2773" i="25"/>
  <c r="A2774" i="25"/>
  <c r="A2775" i="25"/>
  <c r="A2776" i="25"/>
  <c r="A2777" i="25"/>
  <c r="A2778" i="25"/>
  <c r="A2779" i="25"/>
  <c r="A2780" i="25"/>
  <c r="A2781" i="25"/>
  <c r="A2782" i="25"/>
  <c r="A2783" i="25"/>
  <c r="A2784" i="25"/>
  <c r="A2785" i="25"/>
  <c r="A2786" i="25"/>
  <c r="A2787" i="25"/>
  <c r="A2788" i="25"/>
  <c r="A2789" i="25"/>
  <c r="A2790" i="25"/>
  <c r="A2791" i="25"/>
  <c r="A2792" i="25"/>
  <c r="A2793" i="25"/>
  <c r="A2794" i="25"/>
  <c r="A2795" i="25"/>
  <c r="A2796" i="25"/>
  <c r="A2797" i="25"/>
  <c r="A2798" i="25"/>
  <c r="A2799" i="25"/>
  <c r="A2800" i="25"/>
  <c r="A2801" i="25"/>
  <c r="A2802" i="25"/>
  <c r="A2803" i="25"/>
  <c r="A2804" i="25"/>
  <c r="A2805" i="25"/>
  <c r="A2806" i="25"/>
  <c r="A2807" i="25"/>
  <c r="A2808" i="25"/>
  <c r="A2809" i="25"/>
  <c r="A2810" i="25"/>
  <c r="A2811" i="25"/>
  <c r="A2812" i="25"/>
  <c r="A2813" i="25"/>
  <c r="A2814" i="25"/>
  <c r="A2815" i="25"/>
  <c r="A2816" i="25"/>
  <c r="A2817" i="25"/>
  <c r="A2818" i="25"/>
  <c r="A2819" i="25"/>
  <c r="A2820" i="25"/>
  <c r="A2821" i="25"/>
  <c r="A2822" i="25"/>
  <c r="A2823" i="25"/>
  <c r="A2824" i="25"/>
  <c r="A2825" i="25"/>
  <c r="A2826" i="25"/>
  <c r="A2827" i="25"/>
  <c r="A2828" i="25"/>
  <c r="A2829" i="25"/>
  <c r="A2830" i="25"/>
  <c r="A2831" i="25"/>
  <c r="A2832" i="25"/>
  <c r="A2833" i="25"/>
  <c r="A2834" i="25"/>
  <c r="A2835" i="25"/>
  <c r="A2836" i="25"/>
  <c r="A2837" i="25"/>
  <c r="A2838" i="25"/>
  <c r="A2839" i="25"/>
  <c r="A2840" i="25"/>
  <c r="A2841" i="25"/>
  <c r="A2842" i="25"/>
  <c r="A2843" i="25"/>
  <c r="A2844" i="25"/>
  <c r="A2845" i="25"/>
  <c r="A2846" i="25"/>
  <c r="A2847" i="25"/>
  <c r="A2848" i="25"/>
  <c r="A2849" i="25"/>
  <c r="A2850" i="25"/>
  <c r="A2851" i="25"/>
  <c r="A2852" i="25"/>
  <c r="A2853" i="25"/>
  <c r="A2854" i="25"/>
  <c r="A2855" i="25"/>
  <c r="A2856" i="25"/>
  <c r="A2857" i="25"/>
  <c r="A2858" i="25"/>
  <c r="A2859" i="25"/>
  <c r="A2860" i="25"/>
  <c r="A2861" i="25"/>
  <c r="A2862" i="25"/>
  <c r="A2863" i="25"/>
  <c r="A2864" i="25"/>
  <c r="A2865" i="25"/>
  <c r="A2866" i="25"/>
  <c r="A2867" i="25"/>
  <c r="A2868" i="25"/>
  <c r="A2869" i="25"/>
  <c r="A2870" i="25"/>
  <c r="A2871" i="25"/>
  <c r="A2872" i="25"/>
  <c r="A2873" i="25"/>
  <c r="A2874" i="25"/>
  <c r="A2875" i="25"/>
  <c r="A2876" i="25"/>
  <c r="A2877" i="25"/>
  <c r="A2878" i="25"/>
  <c r="A2879" i="25"/>
  <c r="A2880" i="25"/>
  <c r="A2881" i="25"/>
  <c r="A2882" i="25"/>
  <c r="A2883" i="25"/>
  <c r="A2884" i="25"/>
  <c r="A2885" i="25"/>
  <c r="A2886" i="25"/>
  <c r="A2887" i="25"/>
  <c r="A2888" i="25"/>
  <c r="B2763" i="25"/>
  <c r="B2764" i="25"/>
  <c r="B2765" i="25"/>
  <c r="B2766" i="25"/>
  <c r="B2767" i="25"/>
  <c r="B2768" i="25"/>
  <c r="B2769" i="25"/>
  <c r="B2770" i="25"/>
  <c r="B2771" i="25"/>
  <c r="B2772" i="25"/>
  <c r="B2773" i="25"/>
  <c r="B2774" i="25"/>
  <c r="B2775" i="25"/>
  <c r="B2776" i="25"/>
  <c r="B2777" i="25"/>
  <c r="B2778" i="25"/>
  <c r="B2779" i="25"/>
  <c r="B2780" i="25"/>
  <c r="B2781" i="25"/>
  <c r="B2782" i="25"/>
  <c r="B2783" i="25"/>
  <c r="B2784" i="25"/>
  <c r="B2785" i="25"/>
  <c r="B2786" i="25"/>
  <c r="B2787" i="25"/>
  <c r="B2788" i="25"/>
  <c r="B2789" i="25"/>
  <c r="B2790" i="25"/>
  <c r="B2791" i="25"/>
  <c r="B2792" i="25"/>
  <c r="B2793" i="25"/>
  <c r="B2794" i="25"/>
  <c r="B2795" i="25"/>
  <c r="B2796" i="25"/>
  <c r="B2797" i="25"/>
  <c r="B2798" i="25"/>
  <c r="B2799" i="25"/>
  <c r="B2800" i="25"/>
  <c r="B2801" i="25"/>
  <c r="B2802" i="25"/>
  <c r="B2803" i="25"/>
  <c r="B2804" i="25"/>
  <c r="B2805" i="25"/>
  <c r="B2806" i="25"/>
  <c r="B2807" i="25"/>
  <c r="B2808" i="25"/>
  <c r="B2809" i="25"/>
  <c r="B2810" i="25"/>
  <c r="B2811" i="25"/>
  <c r="B2812" i="25"/>
  <c r="B2813" i="25"/>
  <c r="B2814" i="25"/>
  <c r="B2815" i="25"/>
  <c r="B2816" i="25"/>
  <c r="B2817" i="25"/>
  <c r="B2818" i="25"/>
  <c r="B2819" i="25"/>
  <c r="B2820" i="25"/>
  <c r="B2821" i="25"/>
  <c r="B2822" i="25"/>
  <c r="B2823" i="25"/>
  <c r="B2824" i="25"/>
  <c r="B2825" i="25"/>
  <c r="B2826" i="25"/>
  <c r="B2827" i="25"/>
  <c r="B2828" i="25"/>
  <c r="B2829" i="25"/>
  <c r="B2830" i="25"/>
  <c r="B2831" i="25"/>
  <c r="B2832" i="25"/>
  <c r="B2833" i="25"/>
  <c r="B2834" i="25"/>
  <c r="B2835" i="25"/>
  <c r="B2836" i="25"/>
  <c r="B2837" i="25"/>
  <c r="B2838" i="25"/>
  <c r="B2839" i="25"/>
  <c r="B2840" i="25"/>
  <c r="B2841" i="25"/>
  <c r="B2842" i="25"/>
  <c r="B2843" i="25"/>
  <c r="B2844" i="25"/>
  <c r="B2845" i="25"/>
  <c r="B2846" i="25"/>
  <c r="B2847" i="25"/>
  <c r="B2848" i="25"/>
  <c r="B2849" i="25"/>
  <c r="B2850" i="25"/>
  <c r="B2851" i="25"/>
  <c r="B2852" i="25"/>
  <c r="B2853" i="25"/>
  <c r="B2854" i="25"/>
  <c r="B2855" i="25"/>
  <c r="B2856" i="25"/>
  <c r="B2857" i="25"/>
  <c r="B2858" i="25"/>
  <c r="B2859" i="25"/>
  <c r="B2860" i="25"/>
  <c r="B2861" i="25"/>
  <c r="B2862" i="25"/>
  <c r="B2863" i="25"/>
  <c r="B2864" i="25"/>
  <c r="B2865" i="25"/>
  <c r="B2866" i="25"/>
  <c r="B2867" i="25"/>
  <c r="B2868" i="25"/>
  <c r="B2869" i="25"/>
  <c r="B2870" i="25"/>
  <c r="B2871" i="25"/>
  <c r="B2872" i="25"/>
  <c r="B2873" i="25"/>
  <c r="B2874" i="25"/>
  <c r="B2875" i="25"/>
  <c r="B2876" i="25"/>
  <c r="B2877" i="25"/>
  <c r="B2878" i="25"/>
  <c r="B2879" i="25"/>
  <c r="B2880" i="25"/>
  <c r="B2881" i="25"/>
  <c r="B2882" i="25"/>
  <c r="B2883" i="25"/>
  <c r="B2884" i="25"/>
  <c r="B2885" i="25"/>
  <c r="B2886" i="25"/>
  <c r="B2887" i="25"/>
  <c r="B2888" i="25"/>
  <c r="H20" i="43"/>
  <c r="J23" i="24"/>
  <c r="J20" i="43" a="1"/>
  <c r="I20" i="43" l="1"/>
  <c r="J20" i="43"/>
  <c r="L20" i="43" s="1"/>
  <c r="B189" i="24"/>
  <c r="K189" i="24" a="1"/>
  <c r="K189" i="24" s="1"/>
  <c r="B187" i="24"/>
  <c r="K187" i="24" a="1"/>
  <c r="K187" i="24" s="1"/>
  <c r="B136" i="24"/>
  <c r="Q136" i="24"/>
  <c r="R136" i="24" a="1"/>
  <c r="R136" i="24" s="1"/>
  <c r="S136" i="24" a="1"/>
  <c r="S136" i="24" s="1"/>
  <c r="U136" i="24" a="1"/>
  <c r="U136" i="24" s="1"/>
  <c r="B135" i="24"/>
  <c r="Q135" i="24"/>
  <c r="R135" i="24" a="1"/>
  <c r="R135" i="24" s="1"/>
  <c r="U135" i="24" a="1"/>
  <c r="U135" i="24" s="1"/>
  <c r="B89" i="24"/>
  <c r="I89" i="24"/>
  <c r="J89" i="24" a="1"/>
  <c r="J89" i="24" s="1"/>
  <c r="B54" i="24"/>
  <c r="D54" i="24" a="1"/>
  <c r="D54" i="24" s="1"/>
  <c r="E54" i="24" a="1"/>
  <c r="E54" i="24" s="1"/>
  <c r="F54" i="24" a="1"/>
  <c r="F54" i="24" s="1"/>
  <c r="J25" i="24"/>
  <c r="C4" i="24"/>
  <c r="L25" i="24" l="1" a="1"/>
  <c r="L25" i="24" s="1"/>
  <c r="M25" i="24" a="1"/>
  <c r="M25" i="24" s="1"/>
  <c r="N25" i="24" a="1"/>
  <c r="N25" i="24" s="1"/>
  <c r="P25" i="24" a="1"/>
  <c r="P25" i="24" s="1"/>
  <c r="A2702" i="25"/>
  <c r="A2703" i="25"/>
  <c r="A2704" i="25"/>
  <c r="A2705" i="25"/>
  <c r="A2706" i="25"/>
  <c r="A2707" i="25"/>
  <c r="A2708" i="25"/>
  <c r="A2709" i="25"/>
  <c r="A2710" i="25"/>
  <c r="A2711" i="25"/>
  <c r="A2712" i="25"/>
  <c r="A2713" i="25"/>
  <c r="A2714" i="25"/>
  <c r="A2715" i="25"/>
  <c r="A2716" i="25"/>
  <c r="A2717" i="25"/>
  <c r="A2718" i="25"/>
  <c r="A2719" i="25"/>
  <c r="A2720" i="25"/>
  <c r="A2721" i="25"/>
  <c r="A2722" i="25"/>
  <c r="A2723" i="25"/>
  <c r="A2724" i="25"/>
  <c r="A2725" i="25"/>
  <c r="A2726" i="25"/>
  <c r="A2727" i="25"/>
  <c r="A2728" i="25"/>
  <c r="A2729" i="25"/>
  <c r="A2730" i="25"/>
  <c r="A2731" i="25"/>
  <c r="A2732" i="25"/>
  <c r="A2733" i="25"/>
  <c r="A2734" i="25"/>
  <c r="A2735" i="25"/>
  <c r="A2736" i="25"/>
  <c r="A2737" i="25"/>
  <c r="A2738" i="25"/>
  <c r="A2739" i="25"/>
  <c r="A2740" i="25"/>
  <c r="A2741" i="25"/>
  <c r="A2742" i="25"/>
  <c r="A2743" i="25"/>
  <c r="A2744" i="25"/>
  <c r="A2745" i="25"/>
  <c r="A2746" i="25"/>
  <c r="A2747" i="25"/>
  <c r="A2748" i="25"/>
  <c r="A2749" i="25"/>
  <c r="A2750" i="25"/>
  <c r="A2751" i="25"/>
  <c r="A2752" i="25"/>
  <c r="A2753" i="25"/>
  <c r="A2754" i="25"/>
  <c r="A2755" i="25"/>
  <c r="A2756" i="25"/>
  <c r="A2757" i="25"/>
  <c r="A2758" i="25"/>
  <c r="A2759" i="25"/>
  <c r="A2760" i="25"/>
  <c r="A2761" i="25"/>
  <c r="A2762" i="25"/>
  <c r="B2702" i="25"/>
  <c r="B2703" i="25"/>
  <c r="B2704" i="25"/>
  <c r="B2705" i="25"/>
  <c r="B2706" i="25"/>
  <c r="B2707" i="25"/>
  <c r="B2708" i="25"/>
  <c r="B2709" i="25"/>
  <c r="B2710" i="25"/>
  <c r="B2711" i="25"/>
  <c r="B2712" i="25"/>
  <c r="B2713" i="25"/>
  <c r="B2714" i="25"/>
  <c r="B2715" i="25"/>
  <c r="B2716" i="25"/>
  <c r="B2717" i="25"/>
  <c r="B2718" i="25"/>
  <c r="B2719" i="25"/>
  <c r="B2720" i="25"/>
  <c r="B2721" i="25"/>
  <c r="B2722" i="25"/>
  <c r="B2723" i="25"/>
  <c r="B2724" i="25"/>
  <c r="B2725" i="25"/>
  <c r="B2726" i="25"/>
  <c r="B2727" i="25"/>
  <c r="B2728" i="25"/>
  <c r="B2729" i="25"/>
  <c r="B2730" i="25"/>
  <c r="B2731" i="25"/>
  <c r="B2732" i="25"/>
  <c r="B2733" i="25"/>
  <c r="B2734" i="25"/>
  <c r="B2735" i="25"/>
  <c r="B2736" i="25"/>
  <c r="B2737" i="25"/>
  <c r="B2738" i="25"/>
  <c r="B2739" i="25"/>
  <c r="B2740" i="25"/>
  <c r="B2741" i="25"/>
  <c r="B2742" i="25"/>
  <c r="B2743" i="25"/>
  <c r="B2744" i="25"/>
  <c r="B2745" i="25"/>
  <c r="B2746" i="25"/>
  <c r="B2747" i="25"/>
  <c r="B2748" i="25"/>
  <c r="B2749" i="25"/>
  <c r="B2750" i="25"/>
  <c r="B2751" i="25"/>
  <c r="B2752" i="25"/>
  <c r="B2753" i="25"/>
  <c r="B2754" i="25"/>
  <c r="B2755" i="25"/>
  <c r="B2756" i="25"/>
  <c r="B2757" i="25"/>
  <c r="B2758" i="25"/>
  <c r="B2759" i="25"/>
  <c r="B2760" i="25"/>
  <c r="B2761" i="25"/>
  <c r="B2762" i="25"/>
  <c r="A2701" i="25"/>
  <c r="B2701" i="25"/>
  <c r="L34" i="24" a="1"/>
  <c r="L34" i="24" s="1"/>
  <c r="M34" i="24" a="1"/>
  <c r="M34" i="24" s="1"/>
  <c r="P34" i="24" a="1"/>
  <c r="P34" i="24" s="1"/>
  <c r="L24" i="24" a="1"/>
  <c r="L24" i="24" s="1"/>
  <c r="M24" i="24" a="1"/>
  <c r="M24" i="24" s="1"/>
  <c r="P24" i="24" a="1"/>
  <c r="P24" i="24" s="1"/>
  <c r="R127" i="24" a="1"/>
  <c r="R127" i="24" s="1"/>
  <c r="R128" i="24" a="1"/>
  <c r="R128" i="24" s="1"/>
  <c r="R129" i="24" a="1"/>
  <c r="R129" i="24" s="1"/>
  <c r="R138" i="24" a="1"/>
  <c r="R138" i="24" s="1"/>
  <c r="R139" i="24" a="1"/>
  <c r="R139" i="24" s="1"/>
  <c r="R140" i="24" a="1"/>
  <c r="R140" i="24" s="1"/>
  <c r="R141" i="24" a="1"/>
  <c r="R141" i="24" s="1"/>
  <c r="R142" i="24" a="1"/>
  <c r="R142" i="24" s="1"/>
  <c r="R143" i="24" a="1"/>
  <c r="R143" i="24" s="1"/>
  <c r="R144" i="24" a="1"/>
  <c r="R144" i="24" s="1"/>
  <c r="R145" i="24" a="1"/>
  <c r="R145" i="24" s="1"/>
  <c r="R148" i="24" a="1"/>
  <c r="R148" i="24" s="1"/>
  <c r="R149" i="24" a="1"/>
  <c r="R149" i="24" s="1"/>
  <c r="R150" i="24" a="1"/>
  <c r="R150" i="24" s="1"/>
  <c r="R151" i="24" a="1"/>
  <c r="R151" i="24" s="1"/>
  <c r="R152" i="24" a="1"/>
  <c r="R152" i="24" s="1"/>
  <c r="R153" i="24" a="1"/>
  <c r="R153" i="24" s="1"/>
  <c r="R154" i="24" a="1"/>
  <c r="R154" i="24" s="1"/>
  <c r="R155" i="24" a="1"/>
  <c r="R155" i="24" s="1"/>
  <c r="R158" i="24" a="1"/>
  <c r="R158" i="24" s="1"/>
  <c r="R157" i="24" a="1"/>
  <c r="R157" i="24" s="1"/>
  <c r="R156" i="24" a="1"/>
  <c r="R156" i="24" s="1"/>
  <c r="R162" i="24" a="1"/>
  <c r="R162" i="24" s="1"/>
  <c r="R163" i="24" a="1"/>
  <c r="R163" i="24" s="1"/>
  <c r="R164" i="24" a="1"/>
  <c r="R164" i="24" s="1"/>
  <c r="R165" i="24" a="1"/>
  <c r="R165" i="24" s="1"/>
  <c r="R166" i="24" a="1"/>
  <c r="R166" i="24" s="1"/>
  <c r="R167" i="24" a="1"/>
  <c r="R167" i="24" s="1"/>
  <c r="R168" i="24" a="1"/>
  <c r="R168" i="24" s="1"/>
  <c r="R169" i="24" a="1"/>
  <c r="R169" i="24" s="1"/>
  <c r="R137" i="24" a="1"/>
  <c r="R137" i="24" s="1"/>
  <c r="R146" i="24" a="1"/>
  <c r="R146" i="24" s="1"/>
  <c r="R131" i="24" a="1"/>
  <c r="R131" i="24" s="1"/>
  <c r="R132" i="24" a="1"/>
  <c r="R132" i="24" s="1"/>
  <c r="R133" i="24" a="1"/>
  <c r="R133" i="24" s="1"/>
  <c r="R134" i="24" a="1"/>
  <c r="R134" i="24" s="1"/>
  <c r="Q131" i="24"/>
  <c r="Q132" i="24"/>
  <c r="Q133" i="24"/>
  <c r="Q134" i="24"/>
  <c r="S131" i="24" a="1"/>
  <c r="S131" i="24" s="1"/>
  <c r="S132" i="24" a="1"/>
  <c r="S132" i="24" s="1"/>
  <c r="S133" i="24" a="1"/>
  <c r="S133" i="24" s="1"/>
  <c r="S134" i="24" a="1"/>
  <c r="S134" i="24" s="1"/>
  <c r="T131" i="24" a="1"/>
  <c r="T131" i="24" s="1"/>
  <c r="T132" i="24" a="1"/>
  <c r="T132" i="24" s="1"/>
  <c r="T133" i="24" a="1"/>
  <c r="T133" i="24" s="1"/>
  <c r="T134" i="24" a="1"/>
  <c r="T134" i="24" s="1"/>
  <c r="U131" i="24" a="1"/>
  <c r="U131" i="24" s="1"/>
  <c r="U132" i="24" a="1"/>
  <c r="U132" i="24" s="1"/>
  <c r="U133" i="24" a="1"/>
  <c r="U133" i="24" s="1"/>
  <c r="U134" i="24" a="1"/>
  <c r="U134" i="24" s="1"/>
  <c r="B131" i="24"/>
  <c r="B132" i="24"/>
  <c r="B133" i="24"/>
  <c r="B134" i="24"/>
  <c r="B88" i="24"/>
  <c r="I88" i="24"/>
  <c r="J88" i="24" a="1"/>
  <c r="J88" i="24" s="1"/>
  <c r="I87" i="24"/>
  <c r="J87" i="24" a="1"/>
  <c r="J87" i="24" s="1"/>
  <c r="B87" i="24"/>
  <c r="B53" i="24"/>
  <c r="D53" i="24" a="1"/>
  <c r="D53" i="24" s="1"/>
  <c r="N24" i="24" s="1" a="1"/>
  <c r="N24" i="24" s="1"/>
  <c r="E53" i="24" a="1"/>
  <c r="E53" i="24" s="1"/>
  <c r="F53" i="24" a="1"/>
  <c r="F53" i="24" s="1"/>
  <c r="A2453" i="25"/>
  <c r="A2454" i="25"/>
  <c r="A2455" i="25"/>
  <c r="A2456" i="25"/>
  <c r="A2457" i="25"/>
  <c r="A2458" i="25"/>
  <c r="A2459" i="25"/>
  <c r="A2460" i="25"/>
  <c r="A2461" i="25"/>
  <c r="A2462" i="25"/>
  <c r="A2463" i="25"/>
  <c r="A2464" i="25"/>
  <c r="A2465" i="25"/>
  <c r="A2466" i="25"/>
  <c r="A2467" i="25"/>
  <c r="A2468" i="25"/>
  <c r="A2469" i="25"/>
  <c r="A2470" i="25"/>
  <c r="A2471" i="25"/>
  <c r="A2472" i="25"/>
  <c r="A2473" i="25"/>
  <c r="A2474" i="25"/>
  <c r="A2475" i="25"/>
  <c r="A2476" i="25"/>
  <c r="A2477" i="25"/>
  <c r="A2478" i="25"/>
  <c r="A2479" i="25"/>
  <c r="A2480" i="25"/>
  <c r="A2481" i="25"/>
  <c r="A2482" i="25"/>
  <c r="A2483" i="25"/>
  <c r="A2484" i="25"/>
  <c r="A2485" i="25"/>
  <c r="A2486" i="25"/>
  <c r="A2487" i="25"/>
  <c r="A2488" i="25"/>
  <c r="A2489" i="25"/>
  <c r="A2490" i="25"/>
  <c r="A2491" i="25"/>
  <c r="A2492" i="25"/>
  <c r="A2493" i="25"/>
  <c r="A2494" i="25"/>
  <c r="A2495" i="25"/>
  <c r="A2496" i="25"/>
  <c r="A2497" i="25"/>
  <c r="A2498" i="25"/>
  <c r="A2499" i="25"/>
  <c r="A2500" i="25"/>
  <c r="A2501" i="25"/>
  <c r="A2502" i="25"/>
  <c r="A2503" i="25"/>
  <c r="A2504" i="25"/>
  <c r="A2505" i="25"/>
  <c r="A2506" i="25"/>
  <c r="A2507" i="25"/>
  <c r="A2508" i="25"/>
  <c r="A2509" i="25"/>
  <c r="A2510" i="25"/>
  <c r="A2511" i="25"/>
  <c r="A2512" i="25"/>
  <c r="A2513" i="25"/>
  <c r="A2514" i="25"/>
  <c r="A2515" i="25"/>
  <c r="A2516" i="25"/>
  <c r="A2517" i="25"/>
  <c r="A2518" i="25"/>
  <c r="A2519" i="25"/>
  <c r="A2520" i="25"/>
  <c r="A2521" i="25"/>
  <c r="A2522" i="25"/>
  <c r="A2523" i="25"/>
  <c r="A2524" i="25"/>
  <c r="A2525" i="25"/>
  <c r="A2526" i="25"/>
  <c r="A2527" i="25"/>
  <c r="A2528" i="25"/>
  <c r="A2529" i="25"/>
  <c r="A2530" i="25"/>
  <c r="A2531" i="25"/>
  <c r="A2532" i="25"/>
  <c r="A2533" i="25"/>
  <c r="A2534" i="25"/>
  <c r="A2535" i="25"/>
  <c r="A2536" i="25"/>
  <c r="A2537" i="25"/>
  <c r="A2538" i="25"/>
  <c r="A2539" i="25"/>
  <c r="A2540" i="25"/>
  <c r="A2541" i="25"/>
  <c r="A2542" i="25"/>
  <c r="A2543" i="25"/>
  <c r="A2544" i="25"/>
  <c r="A2545" i="25"/>
  <c r="A2546" i="25"/>
  <c r="A2547" i="25"/>
  <c r="A2548" i="25"/>
  <c r="A2549" i="25"/>
  <c r="A2550" i="25"/>
  <c r="A2551" i="25"/>
  <c r="A2552" i="25"/>
  <c r="A2553" i="25"/>
  <c r="A2554" i="25"/>
  <c r="A2555" i="25"/>
  <c r="A2556" i="25"/>
  <c r="A2557" i="25"/>
  <c r="A2558" i="25"/>
  <c r="A2559" i="25"/>
  <c r="A2560" i="25"/>
  <c r="A2561" i="25"/>
  <c r="A2562" i="25"/>
  <c r="A2563" i="25"/>
  <c r="A2564" i="25"/>
  <c r="A2565" i="25"/>
  <c r="A2566" i="25"/>
  <c r="A2567" i="25"/>
  <c r="A2568" i="25"/>
  <c r="A2569" i="25"/>
  <c r="A2570" i="25"/>
  <c r="A2571" i="25"/>
  <c r="A2572" i="25"/>
  <c r="A2573" i="25"/>
  <c r="A2574" i="25"/>
  <c r="A2575" i="25"/>
  <c r="A2576" i="25"/>
  <c r="A2577" i="25"/>
  <c r="A2578" i="25"/>
  <c r="A2579" i="25"/>
  <c r="A2580" i="25"/>
  <c r="A2581" i="25"/>
  <c r="A2582" i="25"/>
  <c r="A2583" i="25"/>
  <c r="A2584" i="25"/>
  <c r="A2585" i="25"/>
  <c r="A2586" i="25"/>
  <c r="A2587" i="25"/>
  <c r="A2588" i="25"/>
  <c r="A2589" i="25"/>
  <c r="A2590" i="25"/>
  <c r="A2591" i="25"/>
  <c r="A2592" i="25"/>
  <c r="A2593" i="25"/>
  <c r="A2594" i="25"/>
  <c r="A2595" i="25"/>
  <c r="A2596" i="25"/>
  <c r="A2597" i="25"/>
  <c r="A2598" i="25"/>
  <c r="A2599" i="25"/>
  <c r="A2600" i="25"/>
  <c r="A2601" i="25"/>
  <c r="A2602" i="25"/>
  <c r="A2603" i="25"/>
  <c r="A2604" i="25"/>
  <c r="A2605" i="25"/>
  <c r="A2606" i="25"/>
  <c r="A2607" i="25"/>
  <c r="A2608" i="25"/>
  <c r="A2609" i="25"/>
  <c r="A2610" i="25"/>
  <c r="A2611" i="25"/>
  <c r="A2612" i="25"/>
  <c r="A2613" i="25"/>
  <c r="A2614" i="25"/>
  <c r="A2615" i="25"/>
  <c r="A2616" i="25"/>
  <c r="A2617" i="25"/>
  <c r="A2618" i="25"/>
  <c r="A2619" i="25"/>
  <c r="A2620" i="25"/>
  <c r="A2621" i="25"/>
  <c r="A2622" i="25"/>
  <c r="A2623" i="25"/>
  <c r="A2624" i="25"/>
  <c r="A2625" i="25"/>
  <c r="A2626" i="25"/>
  <c r="A2627" i="25"/>
  <c r="A2628" i="25"/>
  <c r="A2629" i="25"/>
  <c r="A2630" i="25"/>
  <c r="A2631" i="25"/>
  <c r="A2632" i="25"/>
  <c r="A2633" i="25"/>
  <c r="A2634" i="25"/>
  <c r="A2635" i="25"/>
  <c r="A2636" i="25"/>
  <c r="A2637" i="25"/>
  <c r="A2638" i="25"/>
  <c r="A2639" i="25"/>
  <c r="A2640" i="25"/>
  <c r="A2641" i="25"/>
  <c r="A2642" i="25"/>
  <c r="A2643" i="25"/>
  <c r="A2644" i="25"/>
  <c r="A2645" i="25"/>
  <c r="A2646" i="25"/>
  <c r="A2647" i="25"/>
  <c r="A2648" i="25"/>
  <c r="A2649" i="25"/>
  <c r="A2650" i="25"/>
  <c r="A2651" i="25"/>
  <c r="A2652" i="25"/>
  <c r="A2653" i="25"/>
  <c r="A2654" i="25"/>
  <c r="A2655" i="25"/>
  <c r="A2656" i="25"/>
  <c r="A2657" i="25"/>
  <c r="A2658" i="25"/>
  <c r="A2659" i="25"/>
  <c r="A2660" i="25"/>
  <c r="A2661" i="25"/>
  <c r="A2662" i="25"/>
  <c r="A2663" i="25"/>
  <c r="A2664" i="25"/>
  <c r="A2665" i="25"/>
  <c r="A2666" i="25"/>
  <c r="A2667" i="25"/>
  <c r="A2668" i="25"/>
  <c r="A2669" i="25"/>
  <c r="A2670" i="25"/>
  <c r="A2671" i="25"/>
  <c r="A2672" i="25"/>
  <c r="A2673" i="25"/>
  <c r="A2674" i="25"/>
  <c r="A2675" i="25"/>
  <c r="A2676" i="25"/>
  <c r="A2677" i="25"/>
  <c r="A2678" i="25"/>
  <c r="A2679" i="25"/>
  <c r="A2680" i="25"/>
  <c r="A2681" i="25"/>
  <c r="A2682" i="25"/>
  <c r="A2683" i="25"/>
  <c r="A2684" i="25"/>
  <c r="A2685" i="25"/>
  <c r="A2686" i="25"/>
  <c r="A2687" i="25"/>
  <c r="A2688" i="25"/>
  <c r="A2689" i="25"/>
  <c r="A2690" i="25"/>
  <c r="A2691" i="25"/>
  <c r="A2692" i="25"/>
  <c r="A2693" i="25"/>
  <c r="A2694" i="25"/>
  <c r="A2695" i="25"/>
  <c r="A2696" i="25"/>
  <c r="A2697" i="25"/>
  <c r="A2698" i="25"/>
  <c r="A2699" i="25"/>
  <c r="A2700" i="25"/>
  <c r="B2453" i="25"/>
  <c r="B2454" i="25"/>
  <c r="B2455" i="25"/>
  <c r="B2456" i="25"/>
  <c r="B2457" i="25"/>
  <c r="B2458" i="25"/>
  <c r="B2459" i="25"/>
  <c r="B2460" i="25"/>
  <c r="B2461" i="25"/>
  <c r="B2462" i="25"/>
  <c r="B2463" i="25"/>
  <c r="B2464" i="25"/>
  <c r="B2465" i="25"/>
  <c r="B2466" i="25"/>
  <c r="B2467" i="25"/>
  <c r="B2468" i="25"/>
  <c r="B2469" i="25"/>
  <c r="B2470" i="25"/>
  <c r="B2471" i="25"/>
  <c r="B2472" i="25"/>
  <c r="B2473" i="25"/>
  <c r="B2474" i="25"/>
  <c r="B2475" i="25"/>
  <c r="B2476" i="25"/>
  <c r="B2477" i="25"/>
  <c r="B2478" i="25"/>
  <c r="B2479" i="25"/>
  <c r="B2480" i="25"/>
  <c r="B2481" i="25"/>
  <c r="B2482" i="25"/>
  <c r="B2483" i="25"/>
  <c r="B2484" i="25"/>
  <c r="B2485" i="25"/>
  <c r="B2486" i="25"/>
  <c r="B2487" i="25"/>
  <c r="B2488" i="25"/>
  <c r="B2489" i="25"/>
  <c r="B2490" i="25"/>
  <c r="B2491" i="25"/>
  <c r="B2492" i="25"/>
  <c r="B2493" i="25"/>
  <c r="B2494" i="25"/>
  <c r="B2495" i="25"/>
  <c r="B2496" i="25"/>
  <c r="B2497" i="25"/>
  <c r="B2498" i="25"/>
  <c r="B2499" i="25"/>
  <c r="B2500" i="25"/>
  <c r="B2501" i="25"/>
  <c r="B2502" i="25"/>
  <c r="B2503" i="25"/>
  <c r="B2504" i="25"/>
  <c r="B2505" i="25"/>
  <c r="B2506" i="25"/>
  <c r="B2507" i="25"/>
  <c r="B2508" i="25"/>
  <c r="B2509" i="25"/>
  <c r="B2510" i="25"/>
  <c r="B2511" i="25"/>
  <c r="B2512" i="25"/>
  <c r="B2513" i="25"/>
  <c r="B2514" i="25"/>
  <c r="B2515" i="25"/>
  <c r="B2516" i="25"/>
  <c r="B2517" i="25"/>
  <c r="B2518" i="25"/>
  <c r="B2519" i="25"/>
  <c r="B2520" i="25"/>
  <c r="B2521" i="25"/>
  <c r="B2522" i="25"/>
  <c r="B2523" i="25"/>
  <c r="B2524" i="25"/>
  <c r="B2525" i="25"/>
  <c r="B2526" i="25"/>
  <c r="B2527" i="25"/>
  <c r="B2528" i="25"/>
  <c r="B2529" i="25"/>
  <c r="B2530" i="25"/>
  <c r="B2531" i="25"/>
  <c r="B2532" i="25"/>
  <c r="B2533" i="25"/>
  <c r="B2534" i="25"/>
  <c r="B2535" i="25"/>
  <c r="B2536" i="25"/>
  <c r="B2537" i="25"/>
  <c r="B2538" i="25"/>
  <c r="B2539" i="25"/>
  <c r="B2540" i="25"/>
  <c r="B2541" i="25"/>
  <c r="B2542" i="25"/>
  <c r="B2543" i="25"/>
  <c r="B2544" i="25"/>
  <c r="B2545" i="25"/>
  <c r="B2546" i="25"/>
  <c r="B2547" i="25"/>
  <c r="B2548" i="25"/>
  <c r="B2549" i="25"/>
  <c r="B2550" i="25"/>
  <c r="B2551" i="25"/>
  <c r="B2552" i="25"/>
  <c r="B2553" i="25"/>
  <c r="B2554" i="25"/>
  <c r="B2555" i="25"/>
  <c r="B2556" i="25"/>
  <c r="B2557" i="25"/>
  <c r="B2558" i="25"/>
  <c r="B2559" i="25"/>
  <c r="B2560" i="25"/>
  <c r="B2561" i="25"/>
  <c r="B2562" i="25"/>
  <c r="B2563" i="25"/>
  <c r="B2564" i="25"/>
  <c r="B2565" i="25"/>
  <c r="B2566" i="25"/>
  <c r="B2567" i="25"/>
  <c r="B2568" i="25"/>
  <c r="B2569" i="25"/>
  <c r="B2570" i="25"/>
  <c r="B2571" i="25"/>
  <c r="B2572" i="25"/>
  <c r="B2573" i="25"/>
  <c r="B2574" i="25"/>
  <c r="B2575" i="25"/>
  <c r="B2576" i="25"/>
  <c r="B2577" i="25"/>
  <c r="B2578" i="25"/>
  <c r="B2579" i="25"/>
  <c r="B2580" i="25"/>
  <c r="B2581" i="25"/>
  <c r="B2582" i="25"/>
  <c r="B2583" i="25"/>
  <c r="B2584" i="25"/>
  <c r="B2585" i="25"/>
  <c r="B2586" i="25"/>
  <c r="B2587" i="25"/>
  <c r="B2588" i="25"/>
  <c r="B2589" i="25"/>
  <c r="B2590" i="25"/>
  <c r="B2591" i="25"/>
  <c r="B2592" i="25"/>
  <c r="B2593" i="25"/>
  <c r="B2594" i="25"/>
  <c r="B2595" i="25"/>
  <c r="B2596" i="25"/>
  <c r="B2597" i="25"/>
  <c r="B2598" i="25"/>
  <c r="B2599" i="25"/>
  <c r="B2600" i="25"/>
  <c r="B2601" i="25"/>
  <c r="B2602" i="25"/>
  <c r="B2603" i="25"/>
  <c r="B2604" i="25"/>
  <c r="B2605" i="25"/>
  <c r="B2606" i="25"/>
  <c r="B2607" i="25"/>
  <c r="B2608" i="25"/>
  <c r="B2609" i="25"/>
  <c r="B2610" i="25"/>
  <c r="B2611" i="25"/>
  <c r="B2612" i="25"/>
  <c r="B2613" i="25"/>
  <c r="B2614" i="25"/>
  <c r="B2615" i="25"/>
  <c r="B2616" i="25"/>
  <c r="B2617" i="25"/>
  <c r="B2618" i="25"/>
  <c r="B2619" i="25"/>
  <c r="B2620" i="25"/>
  <c r="B2621" i="25"/>
  <c r="B2622" i="25"/>
  <c r="B2623" i="25"/>
  <c r="B2624" i="25"/>
  <c r="B2625" i="25"/>
  <c r="B2626" i="25"/>
  <c r="B2627" i="25"/>
  <c r="B2628" i="25"/>
  <c r="B2629" i="25"/>
  <c r="B2630" i="25"/>
  <c r="B2631" i="25"/>
  <c r="B2632" i="25"/>
  <c r="B2633" i="25"/>
  <c r="B2634" i="25"/>
  <c r="B2635" i="25"/>
  <c r="B2636" i="25"/>
  <c r="B2637" i="25"/>
  <c r="B2638" i="25"/>
  <c r="B2639" i="25"/>
  <c r="B2640" i="25"/>
  <c r="B2641" i="25"/>
  <c r="B2642" i="25"/>
  <c r="B2643" i="25"/>
  <c r="B2644" i="25"/>
  <c r="B2645" i="25"/>
  <c r="B2646" i="25"/>
  <c r="B2647" i="25"/>
  <c r="B2648" i="25"/>
  <c r="B2649" i="25"/>
  <c r="B2650" i="25"/>
  <c r="B2651" i="25"/>
  <c r="B2652" i="25"/>
  <c r="B2653" i="25"/>
  <c r="B2654" i="25"/>
  <c r="B2655" i="25"/>
  <c r="B2656" i="25"/>
  <c r="B2657" i="25"/>
  <c r="B2658" i="25"/>
  <c r="B2659" i="25"/>
  <c r="B2660" i="25"/>
  <c r="B2661" i="25"/>
  <c r="B2662" i="25"/>
  <c r="B2663" i="25"/>
  <c r="B2664" i="25"/>
  <c r="B2665" i="25"/>
  <c r="B2666" i="25"/>
  <c r="B2667" i="25"/>
  <c r="B2668" i="25"/>
  <c r="B2669" i="25"/>
  <c r="B2670" i="25"/>
  <c r="B2671" i="25"/>
  <c r="B2672" i="25"/>
  <c r="B2673" i="25"/>
  <c r="B2674" i="25"/>
  <c r="B2675" i="25"/>
  <c r="B2676" i="25"/>
  <c r="B2677" i="25"/>
  <c r="B2678" i="25"/>
  <c r="B2679" i="25"/>
  <c r="B2680" i="25"/>
  <c r="B2681" i="25"/>
  <c r="B2682" i="25"/>
  <c r="B2683" i="25"/>
  <c r="B2684" i="25"/>
  <c r="B2685" i="25"/>
  <c r="B2686" i="25"/>
  <c r="B2687" i="25"/>
  <c r="B2688" i="25"/>
  <c r="B2689" i="25"/>
  <c r="B2690" i="25"/>
  <c r="B2691" i="25"/>
  <c r="B2692" i="25"/>
  <c r="B2693" i="25"/>
  <c r="B2694" i="25"/>
  <c r="B2695" i="25"/>
  <c r="B2696" i="25"/>
  <c r="B2697" i="25"/>
  <c r="B2698" i="25"/>
  <c r="B2699" i="25"/>
  <c r="B2700" i="25"/>
  <c r="B137" i="24"/>
  <c r="Q137" i="24"/>
  <c r="U137" i="24" a="1"/>
  <c r="U137" i="24" s="1"/>
  <c r="I107" i="24"/>
  <c r="B90" i="24"/>
  <c r="I90" i="24"/>
  <c r="J90" i="24" a="1"/>
  <c r="J90" i="24" s="1"/>
  <c r="D63" i="24" a="1"/>
  <c r="D63" i="24" s="1"/>
  <c r="E63" i="24" a="1"/>
  <c r="E63" i="24" s="1"/>
  <c r="F63" i="24" a="1"/>
  <c r="F63" i="24" s="1"/>
  <c r="B55" i="24"/>
  <c r="B63" i="24"/>
  <c r="A2404" i="25"/>
  <c r="A2405" i="25"/>
  <c r="A2406" i="25"/>
  <c r="A2407" i="25"/>
  <c r="A2408" i="25"/>
  <c r="A2409" i="25"/>
  <c r="A2410" i="25"/>
  <c r="A2411" i="25"/>
  <c r="A2412" i="25"/>
  <c r="A2413" i="25"/>
  <c r="A2414" i="25"/>
  <c r="A2415" i="25"/>
  <c r="A2416" i="25"/>
  <c r="A2417" i="25"/>
  <c r="A2418" i="25"/>
  <c r="A2419" i="25"/>
  <c r="A2420" i="25"/>
  <c r="A2421" i="25"/>
  <c r="A2422" i="25"/>
  <c r="A2423" i="25"/>
  <c r="A2424" i="25"/>
  <c r="A2425" i="25"/>
  <c r="A2426" i="25"/>
  <c r="A2427" i="25"/>
  <c r="A2428" i="25"/>
  <c r="A2429" i="25"/>
  <c r="A2430" i="25"/>
  <c r="A2431" i="25"/>
  <c r="A2432" i="25"/>
  <c r="A2433" i="25"/>
  <c r="A2434" i="25"/>
  <c r="A2435" i="25"/>
  <c r="A2436" i="25"/>
  <c r="A2437" i="25"/>
  <c r="A2438" i="25"/>
  <c r="A2439" i="25"/>
  <c r="A2440" i="25"/>
  <c r="A2441" i="25"/>
  <c r="A2442" i="25"/>
  <c r="A2443" i="25"/>
  <c r="A2444" i="25"/>
  <c r="A2445" i="25"/>
  <c r="A2446" i="25"/>
  <c r="A2447" i="25"/>
  <c r="A2448" i="25"/>
  <c r="A2449" i="25"/>
  <c r="A2450" i="25"/>
  <c r="A2451" i="25"/>
  <c r="A2452" i="25"/>
  <c r="B2404" i="25"/>
  <c r="B2405" i="25"/>
  <c r="B2406" i="25"/>
  <c r="B2407" i="25"/>
  <c r="B2408" i="25"/>
  <c r="B2409" i="25"/>
  <c r="B2410" i="25"/>
  <c r="B2411" i="25"/>
  <c r="B2412" i="25"/>
  <c r="B2413" i="25"/>
  <c r="B2414" i="25"/>
  <c r="B2415" i="25"/>
  <c r="B2416" i="25"/>
  <c r="B2417" i="25"/>
  <c r="B2418" i="25"/>
  <c r="B2419" i="25"/>
  <c r="B2420" i="25"/>
  <c r="B2421" i="25"/>
  <c r="B2422" i="25"/>
  <c r="B2423" i="25"/>
  <c r="B2424" i="25"/>
  <c r="B2425" i="25"/>
  <c r="B2426" i="25"/>
  <c r="B2427" i="25"/>
  <c r="B2428" i="25"/>
  <c r="B2429" i="25"/>
  <c r="B2430" i="25"/>
  <c r="B2431" i="25"/>
  <c r="B2432" i="25"/>
  <c r="B2433" i="25"/>
  <c r="B2434" i="25"/>
  <c r="B2435" i="25"/>
  <c r="B2436" i="25"/>
  <c r="B2437" i="25"/>
  <c r="B2438" i="25"/>
  <c r="B2439" i="25"/>
  <c r="B2440" i="25"/>
  <c r="B2441" i="25"/>
  <c r="B2442" i="25"/>
  <c r="B2443" i="25"/>
  <c r="B2444" i="25"/>
  <c r="B2445" i="25"/>
  <c r="B2446" i="25"/>
  <c r="B2447" i="25"/>
  <c r="B2448" i="25"/>
  <c r="B2449" i="25"/>
  <c r="B2450" i="25"/>
  <c r="B2451" i="25"/>
  <c r="B2452" i="25"/>
  <c r="B107" i="24"/>
  <c r="B146" i="24"/>
  <c r="Q146" i="24"/>
  <c r="S146" i="24" a="1"/>
  <c r="S146" i="24" s="1"/>
  <c r="U146" i="24" a="1"/>
  <c r="U146" i="24" s="1"/>
  <c r="J107" i="24" a="1"/>
  <c r="J107" i="24" s="1"/>
  <c r="D55" i="24" a="1"/>
  <c r="D55" i="24" s="1"/>
  <c r="N26" i="24" s="1" a="1"/>
  <c r="N26" i="24" s="1"/>
  <c r="E55" i="24" a="1"/>
  <c r="E55" i="24" s="1"/>
  <c r="F55" i="24" a="1"/>
  <c r="F55" i="24" s="1"/>
  <c r="L26" i="24" a="1"/>
  <c r="L26" i="24" s="1"/>
  <c r="M26" i="24" a="1"/>
  <c r="M26" i="24" s="1"/>
  <c r="P26" i="24" a="1"/>
  <c r="P26" i="24" s="1"/>
  <c r="A2373" i="25"/>
  <c r="A2374" i="25"/>
  <c r="A2375" i="25"/>
  <c r="A2376" i="25"/>
  <c r="A2377" i="25"/>
  <c r="A2378" i="25"/>
  <c r="A2379" i="25"/>
  <c r="A2380" i="25"/>
  <c r="A2381" i="25"/>
  <c r="A2382" i="25"/>
  <c r="A2383" i="25"/>
  <c r="A2384" i="25"/>
  <c r="A2385" i="25"/>
  <c r="A2386" i="25"/>
  <c r="A2387" i="25"/>
  <c r="A2388" i="25"/>
  <c r="A2389" i="25"/>
  <c r="A2390" i="25"/>
  <c r="A2391" i="25"/>
  <c r="A2392" i="25"/>
  <c r="A2393" i="25"/>
  <c r="A2394" i="25"/>
  <c r="A2395" i="25"/>
  <c r="A2396" i="25"/>
  <c r="A2397" i="25"/>
  <c r="A2398" i="25"/>
  <c r="A2399" i="25"/>
  <c r="A2400" i="25"/>
  <c r="A2401" i="25"/>
  <c r="A2402" i="25"/>
  <c r="A2403" i="25"/>
  <c r="B2373" i="25"/>
  <c r="B2374" i="25"/>
  <c r="B2375" i="25"/>
  <c r="B2376" i="25"/>
  <c r="B2377" i="25"/>
  <c r="B2378" i="25"/>
  <c r="B2379" i="25"/>
  <c r="B2380" i="25"/>
  <c r="B2381" i="25"/>
  <c r="B2382" i="25"/>
  <c r="B2383" i="25"/>
  <c r="B2384" i="25"/>
  <c r="B2385" i="25"/>
  <c r="B2386" i="25"/>
  <c r="B2387" i="25"/>
  <c r="B2388" i="25"/>
  <c r="B2389" i="25"/>
  <c r="B2390" i="25"/>
  <c r="B2391" i="25"/>
  <c r="B2392" i="25"/>
  <c r="B2393" i="25"/>
  <c r="B2394" i="25"/>
  <c r="B2395" i="25"/>
  <c r="B2396" i="25"/>
  <c r="B2397" i="25"/>
  <c r="B2398" i="25"/>
  <c r="B2399" i="25"/>
  <c r="B2400" i="25"/>
  <c r="B2401" i="25"/>
  <c r="B2402" i="25"/>
  <c r="B2403" i="25"/>
  <c r="A305" i="51"/>
  <c r="A306" i="51"/>
  <c r="A307" i="51"/>
  <c r="A308" i="51"/>
  <c r="A309" i="51"/>
  <c r="A310" i="51"/>
  <c r="A311" i="51"/>
  <c r="A312" i="51"/>
  <c r="A313" i="51"/>
  <c r="A314" i="51"/>
  <c r="A315" i="51"/>
  <c r="A316" i="51"/>
  <c r="A317" i="51"/>
  <c r="A318" i="51"/>
  <c r="A319" i="51"/>
  <c r="A320" i="51"/>
  <c r="A321" i="51"/>
  <c r="A322" i="51"/>
  <c r="A323" i="51"/>
  <c r="A324" i="51"/>
  <c r="A325" i="51"/>
  <c r="A326" i="51"/>
  <c r="A327" i="51"/>
  <c r="A328" i="51"/>
  <c r="A329" i="51"/>
  <c r="A330" i="51"/>
  <c r="A331" i="51"/>
  <c r="A332" i="51"/>
  <c r="A333" i="51"/>
  <c r="A334" i="51"/>
  <c r="A335" i="51"/>
  <c r="A336" i="51"/>
  <c r="A337" i="51"/>
  <c r="A338" i="51"/>
  <c r="A339" i="51"/>
  <c r="A340" i="51"/>
  <c r="A341" i="51"/>
  <c r="A342" i="51"/>
  <c r="A343" i="51"/>
  <c r="A344" i="51"/>
  <c r="A345" i="51"/>
  <c r="A346" i="51"/>
  <c r="A347" i="51"/>
  <c r="A348" i="51"/>
  <c r="A349" i="51"/>
  <c r="A350" i="51"/>
  <c r="A351" i="51"/>
  <c r="A352" i="51"/>
  <c r="A353" i="51"/>
  <c r="A354" i="51"/>
  <c r="A355" i="51"/>
  <c r="A356" i="51"/>
  <c r="A357" i="51"/>
  <c r="A358" i="51"/>
  <c r="A359" i="51"/>
  <c r="A360" i="51"/>
  <c r="A361" i="51"/>
  <c r="A362" i="51"/>
  <c r="A363" i="51"/>
  <c r="A364" i="51"/>
  <c r="A365" i="51"/>
  <c r="A366" i="51"/>
  <c r="A367" i="51"/>
  <c r="A368" i="51"/>
  <c r="A369" i="51"/>
  <c r="A370" i="51"/>
  <c r="A371" i="51"/>
  <c r="A372" i="51"/>
  <c r="A373" i="51"/>
  <c r="A374" i="51"/>
  <c r="A375" i="51"/>
  <c r="A376" i="51"/>
  <c r="A377" i="51"/>
  <c r="A378" i="51"/>
  <c r="A379" i="51"/>
  <c r="A380" i="51"/>
  <c r="A381" i="51"/>
  <c r="A382" i="51"/>
  <c r="A383" i="51"/>
  <c r="A384" i="51"/>
  <c r="A385" i="51"/>
  <c r="A386" i="51"/>
  <c r="A387" i="51"/>
  <c r="A388" i="51"/>
  <c r="A389" i="51"/>
  <c r="A390" i="51"/>
  <c r="A391" i="51"/>
  <c r="A392" i="51"/>
  <c r="A393" i="51"/>
  <c r="A394" i="51"/>
  <c r="A395" i="51"/>
  <c r="A396" i="51"/>
  <c r="A397" i="51"/>
  <c r="A398" i="51"/>
  <c r="A399" i="51"/>
  <c r="A400" i="51"/>
  <c r="A401" i="51"/>
  <c r="A402" i="51"/>
  <c r="A403" i="51"/>
  <c r="A404" i="51"/>
  <c r="A405" i="51"/>
  <c r="A406" i="51"/>
  <c r="A407" i="51"/>
  <c r="A408" i="51"/>
  <c r="A409" i="51"/>
  <c r="A410" i="51"/>
  <c r="A411" i="51"/>
  <c r="A412" i="51"/>
  <c r="A413" i="51"/>
  <c r="A414" i="51"/>
  <c r="A415" i="51"/>
  <c r="A416" i="51"/>
  <c r="A417" i="51"/>
  <c r="A418" i="51"/>
  <c r="A419" i="51"/>
  <c r="A420" i="51"/>
  <c r="A421" i="51"/>
  <c r="A422" i="51"/>
  <c r="A423" i="51"/>
  <c r="A424" i="51"/>
  <c r="A425" i="51"/>
  <c r="A426" i="51"/>
  <c r="A427" i="51"/>
  <c r="A428" i="51"/>
  <c r="A429" i="51"/>
  <c r="A430" i="51"/>
  <c r="A431" i="51"/>
  <c r="A432" i="51"/>
  <c r="A433" i="51"/>
  <c r="A434" i="51"/>
  <c r="A435" i="51"/>
  <c r="A436" i="51"/>
  <c r="A437" i="51"/>
  <c r="A438" i="51"/>
  <c r="A439" i="51"/>
  <c r="A440" i="51"/>
  <c r="A441" i="51"/>
  <c r="A442" i="51"/>
  <c r="A443" i="51"/>
  <c r="A444" i="51"/>
  <c r="A445" i="51"/>
  <c r="A446" i="51"/>
  <c r="A447" i="51"/>
  <c r="A448" i="51"/>
  <c r="A449" i="51"/>
  <c r="A450" i="51"/>
  <c r="A451" i="51"/>
  <c r="A452" i="51"/>
  <c r="A453" i="51"/>
  <c r="A454" i="51"/>
  <c r="A455" i="51"/>
  <c r="A456" i="51"/>
  <c r="A457" i="51"/>
  <c r="A458" i="51"/>
  <c r="A459" i="51"/>
  <c r="A460" i="51"/>
  <c r="A461" i="51"/>
  <c r="A462" i="51"/>
  <c r="A463" i="51"/>
  <c r="A464" i="51"/>
  <c r="A465" i="51"/>
  <c r="A466" i="51"/>
  <c r="A467" i="51"/>
  <c r="A468" i="51"/>
  <c r="A469" i="51"/>
  <c r="A470" i="51"/>
  <c r="A471" i="51"/>
  <c r="A472" i="51"/>
  <c r="A473" i="51"/>
  <c r="A474" i="51"/>
  <c r="A475" i="51"/>
  <c r="A476" i="51"/>
  <c r="A477" i="51"/>
  <c r="A478" i="51"/>
  <c r="A479" i="51"/>
  <c r="A480" i="51"/>
  <c r="A481" i="51"/>
  <c r="A482" i="51"/>
  <c r="A483" i="51"/>
  <c r="A484" i="51"/>
  <c r="A485" i="51"/>
  <c r="A486" i="51"/>
  <c r="A487" i="51"/>
  <c r="A488" i="51"/>
  <c r="A489" i="51"/>
  <c r="A490" i="51"/>
  <c r="A491" i="51"/>
  <c r="A492" i="51"/>
  <c r="A493" i="51"/>
  <c r="A494" i="51"/>
  <c r="A495" i="51"/>
  <c r="A496" i="51"/>
  <c r="A497" i="51"/>
  <c r="A498" i="51"/>
  <c r="A499" i="51"/>
  <c r="A500" i="51"/>
  <c r="A501" i="51"/>
  <c r="A502" i="51"/>
  <c r="A503" i="51"/>
  <c r="A504" i="51"/>
  <c r="A505" i="51"/>
  <c r="A506" i="51"/>
  <c r="A507" i="51"/>
  <c r="A508" i="51"/>
  <c r="A509" i="51"/>
  <c r="A510" i="51"/>
  <c r="A511" i="51"/>
  <c r="A512" i="51"/>
  <c r="A513" i="51"/>
  <c r="A514" i="51"/>
  <c r="A515" i="51"/>
  <c r="A516" i="51"/>
  <c r="A517" i="51"/>
  <c r="A518" i="51"/>
  <c r="A519" i="51"/>
  <c r="A520" i="51"/>
  <c r="A521" i="51"/>
  <c r="A522" i="51"/>
  <c r="A523" i="51"/>
  <c r="A524" i="51"/>
  <c r="A525" i="51"/>
  <c r="A526" i="51"/>
  <c r="A527" i="51"/>
  <c r="A528" i="51"/>
  <c r="A529" i="51"/>
  <c r="A530" i="51"/>
  <c r="A531" i="51"/>
  <c r="A532" i="51"/>
  <c r="A533" i="51"/>
  <c r="A534" i="51"/>
  <c r="A535" i="51"/>
  <c r="A536" i="51"/>
  <c r="A537" i="51"/>
  <c r="A538" i="51"/>
  <c r="A539" i="51"/>
  <c r="A540" i="51"/>
  <c r="A541" i="51"/>
  <c r="A542" i="51"/>
  <c r="A543" i="51"/>
  <c r="A544" i="51"/>
  <c r="A545" i="51"/>
  <c r="A546" i="51"/>
  <c r="A547" i="51"/>
  <c r="A548" i="51"/>
  <c r="A549" i="51"/>
  <c r="A550" i="51"/>
  <c r="A551" i="51"/>
  <c r="A552" i="51"/>
  <c r="A553" i="51"/>
  <c r="A554" i="51"/>
  <c r="A555" i="51"/>
  <c r="A556" i="51"/>
  <c r="A557" i="51"/>
  <c r="A558" i="51"/>
  <c r="A559" i="51"/>
  <c r="A560" i="51"/>
  <c r="A561" i="51"/>
  <c r="A562" i="51"/>
  <c r="A563" i="51"/>
  <c r="A564" i="51"/>
  <c r="A565" i="51"/>
  <c r="A566" i="51"/>
  <c r="A567" i="51"/>
  <c r="A568" i="51"/>
  <c r="A569" i="51"/>
  <c r="A570" i="51"/>
  <c r="A571" i="51"/>
  <c r="A572" i="51"/>
  <c r="A573" i="51"/>
  <c r="A574" i="51"/>
  <c r="A575" i="51"/>
  <c r="A576" i="51"/>
  <c r="A577" i="51"/>
  <c r="A578" i="51"/>
  <c r="A579" i="51"/>
  <c r="A580" i="51"/>
  <c r="A581" i="51"/>
  <c r="A582" i="51"/>
  <c r="A583" i="51"/>
  <c r="A584" i="51"/>
  <c r="A585" i="51"/>
  <c r="A586" i="51"/>
  <c r="A587" i="51"/>
  <c r="A588" i="51"/>
  <c r="A589" i="51"/>
  <c r="A590" i="51"/>
  <c r="A591" i="51"/>
  <c r="A592" i="51"/>
  <c r="A593" i="51"/>
  <c r="A594" i="51"/>
  <c r="A595" i="51"/>
  <c r="A596" i="51"/>
  <c r="A597" i="51"/>
  <c r="A598" i="51"/>
  <c r="A599" i="51"/>
  <c r="A600" i="51"/>
  <c r="A601" i="51"/>
  <c r="A602" i="51"/>
  <c r="A603" i="51"/>
  <c r="A604" i="51"/>
  <c r="A605" i="51"/>
  <c r="A606" i="51"/>
  <c r="A607" i="51"/>
  <c r="A3" i="51"/>
  <c r="A4" i="51"/>
  <c r="A5" i="51"/>
  <c r="A6" i="51"/>
  <c r="A7" i="51"/>
  <c r="A8" i="51"/>
  <c r="A9" i="51"/>
  <c r="A10" i="51"/>
  <c r="A11" i="51"/>
  <c r="A12" i="51"/>
  <c r="A13" i="51"/>
  <c r="A14" i="51"/>
  <c r="A15" i="51"/>
  <c r="A16" i="51"/>
  <c r="A17" i="51"/>
  <c r="A18" i="51"/>
  <c r="A19" i="51"/>
  <c r="A20" i="51"/>
  <c r="A21" i="51"/>
  <c r="A22" i="51"/>
  <c r="A23" i="51"/>
  <c r="A24" i="51"/>
  <c r="A25" i="51"/>
  <c r="A26" i="51"/>
  <c r="A27" i="51"/>
  <c r="A28" i="51"/>
  <c r="A29" i="51"/>
  <c r="A30" i="51"/>
  <c r="A31" i="51"/>
  <c r="A32" i="51"/>
  <c r="A33" i="51"/>
  <c r="A34" i="51"/>
  <c r="A35" i="51"/>
  <c r="A36" i="51"/>
  <c r="A37" i="51"/>
  <c r="A38" i="51"/>
  <c r="A39" i="51"/>
  <c r="A40" i="51"/>
  <c r="A41" i="51"/>
  <c r="A42" i="51"/>
  <c r="A43" i="51"/>
  <c r="A44" i="51"/>
  <c r="A45" i="51"/>
  <c r="A46" i="51"/>
  <c r="A47" i="51"/>
  <c r="A48" i="51"/>
  <c r="A49" i="51"/>
  <c r="A50" i="51"/>
  <c r="A51" i="51"/>
  <c r="A52" i="51"/>
  <c r="A53" i="51"/>
  <c r="A54" i="51"/>
  <c r="A55" i="51"/>
  <c r="A56" i="51"/>
  <c r="A57" i="51"/>
  <c r="A58" i="51"/>
  <c r="A59" i="51"/>
  <c r="A60" i="51"/>
  <c r="A61" i="51"/>
  <c r="A62" i="51"/>
  <c r="A63" i="51"/>
  <c r="A64" i="51"/>
  <c r="A65" i="51"/>
  <c r="A66" i="51"/>
  <c r="A67" i="51"/>
  <c r="A68" i="51"/>
  <c r="A69" i="51"/>
  <c r="A70" i="51"/>
  <c r="A71" i="51"/>
  <c r="A72" i="51"/>
  <c r="A73" i="51"/>
  <c r="A74" i="51"/>
  <c r="A75" i="51"/>
  <c r="A76" i="51"/>
  <c r="A77" i="51"/>
  <c r="A78" i="51"/>
  <c r="A79" i="51"/>
  <c r="A80" i="51"/>
  <c r="A81" i="51"/>
  <c r="A82" i="51"/>
  <c r="A83" i="51"/>
  <c r="A84" i="51"/>
  <c r="A85" i="51"/>
  <c r="A86" i="51"/>
  <c r="A87" i="51"/>
  <c r="A88" i="51"/>
  <c r="A89" i="51"/>
  <c r="A90" i="51"/>
  <c r="A91" i="51"/>
  <c r="A92" i="51"/>
  <c r="A93" i="51"/>
  <c r="A94" i="51"/>
  <c r="A95" i="51"/>
  <c r="A96" i="51"/>
  <c r="A97" i="51"/>
  <c r="A98" i="51"/>
  <c r="A99" i="51"/>
  <c r="A100" i="51"/>
  <c r="A101" i="51"/>
  <c r="A102" i="51"/>
  <c r="A103" i="51"/>
  <c r="A104" i="51"/>
  <c r="A105" i="51"/>
  <c r="A106" i="51"/>
  <c r="A107" i="51"/>
  <c r="A108" i="51"/>
  <c r="A109" i="51"/>
  <c r="A110" i="51"/>
  <c r="A111" i="51"/>
  <c r="A112" i="51"/>
  <c r="A113" i="51"/>
  <c r="A114" i="51"/>
  <c r="A115" i="51"/>
  <c r="A116" i="51"/>
  <c r="A117" i="51"/>
  <c r="A118" i="51"/>
  <c r="A119" i="51"/>
  <c r="A120" i="51"/>
  <c r="A121" i="51"/>
  <c r="A122" i="51"/>
  <c r="A123" i="51"/>
  <c r="A124" i="51"/>
  <c r="A125" i="51"/>
  <c r="A126" i="51"/>
  <c r="A127" i="51"/>
  <c r="A128" i="51"/>
  <c r="A129" i="51"/>
  <c r="A130" i="51"/>
  <c r="A131" i="51"/>
  <c r="A132" i="51"/>
  <c r="A133" i="51"/>
  <c r="A134" i="51"/>
  <c r="A135" i="51"/>
  <c r="A136" i="51"/>
  <c r="A137" i="51"/>
  <c r="A138" i="51"/>
  <c r="A139" i="51"/>
  <c r="A140" i="51"/>
  <c r="A141" i="51"/>
  <c r="A142" i="51"/>
  <c r="A143" i="51"/>
  <c r="A144" i="51"/>
  <c r="A145" i="51"/>
  <c r="A146" i="51"/>
  <c r="A147" i="51"/>
  <c r="A148" i="51"/>
  <c r="A149" i="51"/>
  <c r="A150" i="51"/>
  <c r="A151" i="51"/>
  <c r="A152" i="51"/>
  <c r="A153" i="51"/>
  <c r="A154" i="51"/>
  <c r="A155" i="51"/>
  <c r="A156" i="51"/>
  <c r="A157" i="51"/>
  <c r="A158" i="51"/>
  <c r="A159" i="51"/>
  <c r="A160" i="51"/>
  <c r="A161" i="51"/>
  <c r="A162" i="51"/>
  <c r="A163" i="51"/>
  <c r="A164" i="51"/>
  <c r="A165" i="51"/>
  <c r="A166" i="51"/>
  <c r="A167" i="51"/>
  <c r="A168" i="51"/>
  <c r="A169" i="51"/>
  <c r="A170" i="51"/>
  <c r="A171" i="51"/>
  <c r="A172" i="51"/>
  <c r="A173" i="51"/>
  <c r="A174" i="51"/>
  <c r="A175" i="51"/>
  <c r="A176" i="51"/>
  <c r="A177" i="51"/>
  <c r="A178" i="51"/>
  <c r="A179" i="51"/>
  <c r="A180" i="51"/>
  <c r="A181" i="51"/>
  <c r="A182" i="51"/>
  <c r="A183" i="51"/>
  <c r="A184" i="51"/>
  <c r="A185" i="51"/>
  <c r="A186" i="51"/>
  <c r="A187" i="51"/>
  <c r="A188" i="51"/>
  <c r="A189" i="51"/>
  <c r="A190" i="51"/>
  <c r="A191" i="51"/>
  <c r="A192" i="51"/>
  <c r="A193" i="51"/>
  <c r="A194" i="51"/>
  <c r="A195" i="51"/>
  <c r="A196" i="51"/>
  <c r="A197" i="51"/>
  <c r="A198" i="51"/>
  <c r="A199" i="51"/>
  <c r="A200" i="51"/>
  <c r="A201" i="51"/>
  <c r="A202" i="51"/>
  <c r="A203" i="51"/>
  <c r="A204" i="51"/>
  <c r="A205" i="51"/>
  <c r="A206" i="51"/>
  <c r="A207" i="51"/>
  <c r="A208" i="51"/>
  <c r="A209" i="51"/>
  <c r="A210" i="51"/>
  <c r="A211" i="51"/>
  <c r="A212" i="51"/>
  <c r="A213" i="51"/>
  <c r="A214" i="51"/>
  <c r="A215" i="51"/>
  <c r="A216" i="51"/>
  <c r="A217" i="51"/>
  <c r="A218" i="51"/>
  <c r="A219" i="51"/>
  <c r="A220" i="51"/>
  <c r="A221" i="51"/>
  <c r="A222" i="51"/>
  <c r="A223" i="51"/>
  <c r="A224" i="51"/>
  <c r="A225" i="51"/>
  <c r="A226" i="51"/>
  <c r="A227" i="51"/>
  <c r="A228" i="51"/>
  <c r="A229" i="51"/>
  <c r="A230" i="51"/>
  <c r="A231" i="51"/>
  <c r="A232" i="51"/>
  <c r="A233" i="51"/>
  <c r="A234" i="51"/>
  <c r="A235" i="51"/>
  <c r="A236" i="51"/>
  <c r="A237" i="51"/>
  <c r="A238" i="51"/>
  <c r="A239" i="51"/>
  <c r="A240" i="51"/>
  <c r="A241" i="51"/>
  <c r="A242" i="51"/>
  <c r="A243" i="51"/>
  <c r="A244" i="51"/>
  <c r="A245" i="51"/>
  <c r="A246" i="51"/>
  <c r="A247" i="51"/>
  <c r="A248" i="51"/>
  <c r="A249" i="51"/>
  <c r="A250" i="51"/>
  <c r="A251" i="51"/>
  <c r="A252" i="51"/>
  <c r="A253" i="51"/>
  <c r="A254" i="51"/>
  <c r="A255" i="51"/>
  <c r="A256" i="51"/>
  <c r="A257" i="51"/>
  <c r="A258" i="51"/>
  <c r="A259" i="51"/>
  <c r="A260" i="51"/>
  <c r="A261" i="51"/>
  <c r="A262" i="51"/>
  <c r="A263" i="51"/>
  <c r="A264" i="51"/>
  <c r="A265" i="51"/>
  <c r="A266" i="51"/>
  <c r="A267" i="51"/>
  <c r="A268" i="51"/>
  <c r="A269" i="51"/>
  <c r="A270" i="51"/>
  <c r="A271" i="51"/>
  <c r="A272" i="51"/>
  <c r="A273" i="51"/>
  <c r="A274" i="51"/>
  <c r="A275" i="51"/>
  <c r="A276" i="51"/>
  <c r="A277" i="51"/>
  <c r="A278" i="51"/>
  <c r="A279" i="51"/>
  <c r="A280" i="51"/>
  <c r="A281" i="51"/>
  <c r="A282" i="51"/>
  <c r="A283" i="51"/>
  <c r="A284" i="51"/>
  <c r="A285" i="51"/>
  <c r="A286" i="51"/>
  <c r="A287" i="51"/>
  <c r="A288" i="51"/>
  <c r="A289" i="51"/>
  <c r="A290" i="51"/>
  <c r="A291" i="51"/>
  <c r="A292" i="51"/>
  <c r="A293" i="51"/>
  <c r="A294" i="51"/>
  <c r="A295" i="51"/>
  <c r="A296" i="51"/>
  <c r="A297" i="51"/>
  <c r="A298" i="51"/>
  <c r="A299" i="51"/>
  <c r="A300" i="51"/>
  <c r="A301" i="51"/>
  <c r="A302" i="51"/>
  <c r="A303" i="51"/>
  <c r="A304" i="51"/>
  <c r="A2" i="51"/>
  <c r="B19" i="43"/>
  <c r="F19" i="43"/>
  <c r="B18" i="43"/>
  <c r="F18" i="43"/>
  <c r="B8" i="43"/>
  <c r="F8" i="43"/>
  <c r="B23" i="46"/>
  <c r="B24" i="46"/>
  <c r="B25" i="46"/>
  <c r="B26" i="46"/>
  <c r="B27" i="46"/>
  <c r="B28" i="46"/>
  <c r="B29" i="46"/>
  <c r="B30" i="46"/>
  <c r="B31" i="46"/>
  <c r="B32" i="46"/>
  <c r="B33" i="46"/>
  <c r="B34" i="46"/>
  <c r="B35" i="46"/>
  <c r="B36" i="46"/>
  <c r="B37" i="46"/>
  <c r="B38" i="46"/>
  <c r="B39" i="46"/>
  <c r="B40" i="46"/>
  <c r="B41" i="46"/>
  <c r="B42" i="46"/>
  <c r="B43" i="46"/>
  <c r="B44" i="46"/>
  <c r="B45" i="46"/>
  <c r="B46" i="46"/>
  <c r="B47" i="46"/>
  <c r="B48" i="46"/>
  <c r="B49" i="46"/>
  <c r="B50" i="46"/>
  <c r="B51" i="46"/>
  <c r="B52" i="46"/>
  <c r="B53" i="46"/>
  <c r="B54" i="46"/>
  <c r="B55" i="46"/>
  <c r="B56" i="46"/>
  <c r="B57" i="46"/>
  <c r="B58" i="46"/>
  <c r="B59" i="46"/>
  <c r="B60" i="46"/>
  <c r="B61" i="46"/>
  <c r="B62" i="46"/>
  <c r="B63" i="46"/>
  <c r="B64" i="46"/>
  <c r="B65" i="46"/>
  <c r="B66" i="46"/>
  <c r="B67" i="46"/>
  <c r="B68" i="46"/>
  <c r="B69" i="46"/>
  <c r="B70" i="46"/>
  <c r="B71" i="46"/>
  <c r="B72" i="46"/>
  <c r="B73" i="46"/>
  <c r="B74" i="46"/>
  <c r="B75" i="46"/>
  <c r="B76" i="46"/>
  <c r="B77" i="46"/>
  <c r="B78" i="46"/>
  <c r="B79" i="46"/>
  <c r="B80" i="46"/>
  <c r="B81" i="46"/>
  <c r="B82" i="46"/>
  <c r="B83" i="46"/>
  <c r="B84" i="46"/>
  <c r="B85" i="46"/>
  <c r="B86" i="46"/>
  <c r="B87" i="46"/>
  <c r="B88" i="46"/>
  <c r="B89" i="46"/>
  <c r="B90" i="46"/>
  <c r="B91" i="46"/>
  <c r="B92" i="46"/>
  <c r="B93" i="46"/>
  <c r="B94" i="46"/>
  <c r="B95" i="46"/>
  <c r="B96" i="46"/>
  <c r="B97" i="46"/>
  <c r="B98" i="46"/>
  <c r="B99" i="46"/>
  <c r="B100" i="46"/>
  <c r="B101" i="46"/>
  <c r="B102" i="46"/>
  <c r="B103" i="46"/>
  <c r="B104" i="46"/>
  <c r="B105" i="46"/>
  <c r="B106" i="46"/>
  <c r="B107" i="46"/>
  <c r="B108" i="46"/>
  <c r="B109" i="46"/>
  <c r="B110" i="46"/>
  <c r="B111" i="46"/>
  <c r="B112" i="46"/>
  <c r="B113" i="46"/>
  <c r="A102" i="49"/>
  <c r="A101" i="49"/>
  <c r="A100" i="49"/>
  <c r="A99" i="49"/>
  <c r="A98" i="49"/>
  <c r="A97" i="49"/>
  <c r="A96" i="49"/>
  <c r="A95" i="49"/>
  <c r="A94" i="49"/>
  <c r="A93" i="49"/>
  <c r="A92" i="49"/>
  <c r="A91" i="49"/>
  <c r="A90" i="49"/>
  <c r="A89" i="49"/>
  <c r="A88" i="49"/>
  <c r="A87" i="49"/>
  <c r="A86" i="49"/>
  <c r="A85" i="49"/>
  <c r="A84" i="49"/>
  <c r="A83" i="49"/>
  <c r="A82" i="49"/>
  <c r="A81" i="49"/>
  <c r="A80" i="49"/>
  <c r="A79" i="49"/>
  <c r="A78" i="49"/>
  <c r="A77" i="49"/>
  <c r="A76" i="49"/>
  <c r="A75" i="49"/>
  <c r="A74" i="49"/>
  <c r="A73" i="49"/>
  <c r="A72" i="49"/>
  <c r="A71" i="49"/>
  <c r="A70" i="49"/>
  <c r="A69" i="49"/>
  <c r="A68" i="49"/>
  <c r="A67" i="49"/>
  <c r="A66" i="49"/>
  <c r="A65" i="49"/>
  <c r="A64" i="49"/>
  <c r="A63" i="49"/>
  <c r="A62" i="49"/>
  <c r="A61" i="49"/>
  <c r="A60" i="49"/>
  <c r="A59" i="49"/>
  <c r="A58" i="49"/>
  <c r="A57" i="49"/>
  <c r="A56" i="49"/>
  <c r="A55" i="49"/>
  <c r="A54" i="49"/>
  <c r="A53" i="49"/>
  <c r="A52" i="49"/>
  <c r="A51" i="49"/>
  <c r="A50" i="49"/>
  <c r="A49" i="49"/>
  <c r="A48" i="49"/>
  <c r="A47" i="49"/>
  <c r="A46" i="49"/>
  <c r="A45" i="49"/>
  <c r="A44" i="49"/>
  <c r="A43" i="49"/>
  <c r="A42" i="49"/>
  <c r="A41" i="49"/>
  <c r="A40" i="49"/>
  <c r="A39" i="49"/>
  <c r="A38" i="49"/>
  <c r="A37" i="49"/>
  <c r="A36" i="49"/>
  <c r="A35" i="49"/>
  <c r="A34" i="49"/>
  <c r="A33" i="49"/>
  <c r="A32" i="49"/>
  <c r="A31" i="49"/>
  <c r="A30" i="49"/>
  <c r="A29" i="49"/>
  <c r="A28" i="49"/>
  <c r="A27" i="49"/>
  <c r="A26" i="49"/>
  <c r="A25" i="49"/>
  <c r="A24" i="49"/>
  <c r="A23" i="49"/>
  <c r="A22" i="49"/>
  <c r="A21" i="49"/>
  <c r="A20" i="49"/>
  <c r="A19" i="49"/>
  <c r="A18" i="49"/>
  <c r="A17" i="49"/>
  <c r="A16" i="49"/>
  <c r="A15" i="49"/>
  <c r="A14" i="49"/>
  <c r="A13" i="49"/>
  <c r="A12" i="49"/>
  <c r="A11" i="49"/>
  <c r="A10" i="49"/>
  <c r="A9" i="49"/>
  <c r="A8" i="49"/>
  <c r="A7" i="49"/>
  <c r="A6" i="49"/>
  <c r="A5" i="49"/>
  <c r="A4" i="49"/>
  <c r="A3" i="49"/>
  <c r="A2" i="49"/>
  <c r="B15" i="50"/>
  <c r="B14" i="50"/>
  <c r="B13" i="50"/>
  <c r="B12" i="50"/>
  <c r="B11" i="50"/>
  <c r="B10" i="50"/>
  <c r="B5" i="50"/>
  <c r="B4" i="50"/>
  <c r="H8" i="43"/>
  <c r="J34" i="24"/>
  <c r="K18" i="43" a="1"/>
  <c r="J24" i="24"/>
  <c r="K19" i="43" a="1"/>
  <c r="K8" i="43" a="1"/>
  <c r="J26" i="24"/>
  <c r="G18" i="43" a="1"/>
  <c r="G19" i="43" a="1"/>
  <c r="N34" i="24" l="1" a="1"/>
  <c r="N34" i="24" s="1"/>
  <c r="G19" i="43"/>
  <c r="K19" i="43"/>
  <c r="G18" i="43"/>
  <c r="K18" i="43"/>
  <c r="K8" i="43"/>
  <c r="H19" i="43"/>
  <c r="J18" i="43" a="1"/>
  <c r="J8" i="43" a="1"/>
  <c r="J19" i="43" a="1"/>
  <c r="G8" i="43" a="1"/>
  <c r="H18" i="43"/>
  <c r="J8" i="43" l="1"/>
  <c r="L8" i="43" s="1"/>
  <c r="I18" i="43"/>
  <c r="I19" i="43"/>
  <c r="G8" i="43"/>
  <c r="I8" i="43" s="1"/>
  <c r="J19" i="43"/>
  <c r="L19" i="43" s="1"/>
  <c r="J18" i="43"/>
  <c r="L18" i="43" s="1"/>
  <c r="P44" i="24" a="1"/>
  <c r="P44" i="24" s="1"/>
  <c r="M44" i="24" a="1"/>
  <c r="M44" i="24" s="1"/>
  <c r="L44" i="24" a="1"/>
  <c r="L44" i="24" s="1"/>
  <c r="B240" i="24"/>
  <c r="F240" i="24"/>
  <c r="G240" i="24" s="1"/>
  <c r="B166" i="24"/>
  <c r="Q166" i="24"/>
  <c r="U166" i="24" a="1"/>
  <c r="U166" i="24" s="1"/>
  <c r="B121" i="24"/>
  <c r="I121" i="24"/>
  <c r="J121" i="24" a="1"/>
  <c r="J121" i="24" s="1"/>
  <c r="B73" i="24"/>
  <c r="D73" i="24" a="1"/>
  <c r="D73" i="24" s="1"/>
  <c r="N44" i="24" s="1" a="1"/>
  <c r="N44" i="24" s="1"/>
  <c r="E73" i="24" a="1"/>
  <c r="E73" i="24" s="1"/>
  <c r="F73" i="24" a="1"/>
  <c r="F73" i="24" s="1"/>
  <c r="A2361" i="25"/>
  <c r="A2362" i="25"/>
  <c r="A2363" i="25"/>
  <c r="A2364" i="25"/>
  <c r="A2365" i="25"/>
  <c r="A2366" i="25"/>
  <c r="A2367" i="25"/>
  <c r="A2368" i="25"/>
  <c r="A2369" i="25"/>
  <c r="A2370" i="25"/>
  <c r="A2371" i="25"/>
  <c r="A2372" i="25"/>
  <c r="B2361" i="25"/>
  <c r="B2362" i="25"/>
  <c r="B2363" i="25"/>
  <c r="B2364" i="25"/>
  <c r="B2365" i="25"/>
  <c r="B2366" i="25"/>
  <c r="B2367" i="25"/>
  <c r="B2368" i="25"/>
  <c r="B2369" i="25"/>
  <c r="B2370" i="25"/>
  <c r="B2371" i="25"/>
  <c r="B2372" i="25"/>
  <c r="B2339" i="25"/>
  <c r="B2340" i="25"/>
  <c r="B2341" i="25"/>
  <c r="B2342" i="25"/>
  <c r="B2343" i="25"/>
  <c r="B2344" i="25"/>
  <c r="B2345" i="25"/>
  <c r="B2346" i="25"/>
  <c r="B2347" i="25"/>
  <c r="B2348" i="25"/>
  <c r="B2349" i="25"/>
  <c r="B2350" i="25"/>
  <c r="B2351" i="25"/>
  <c r="B2352" i="25"/>
  <c r="B2353" i="25"/>
  <c r="B2354" i="25"/>
  <c r="B2355" i="25"/>
  <c r="B2356" i="25"/>
  <c r="B2357" i="25"/>
  <c r="B2358" i="25"/>
  <c r="B2359" i="25"/>
  <c r="B2360" i="25"/>
  <c r="A2339" i="25"/>
  <c r="A2340" i="25"/>
  <c r="A2341" i="25"/>
  <c r="A2342" i="25"/>
  <c r="A2343" i="25"/>
  <c r="A2344" i="25"/>
  <c r="A2345" i="25"/>
  <c r="A2346" i="25"/>
  <c r="A2347" i="25"/>
  <c r="A2348" i="25"/>
  <c r="A2349" i="25"/>
  <c r="A2350" i="25"/>
  <c r="A2351" i="25"/>
  <c r="A2352" i="25"/>
  <c r="A2353" i="25"/>
  <c r="A2354" i="25"/>
  <c r="A2355" i="25"/>
  <c r="A2356" i="25"/>
  <c r="A2357" i="25"/>
  <c r="A2358" i="25"/>
  <c r="A2359" i="25"/>
  <c r="A2360" i="25"/>
  <c r="A2331" i="25"/>
  <c r="A2332" i="25"/>
  <c r="A2333" i="25"/>
  <c r="A2334" i="25"/>
  <c r="A2335" i="25"/>
  <c r="A2336" i="25"/>
  <c r="A2337" i="25"/>
  <c r="A2338" i="25"/>
  <c r="B2331" i="25"/>
  <c r="B2332" i="25"/>
  <c r="B2333" i="25"/>
  <c r="B2334" i="25"/>
  <c r="B2335" i="25"/>
  <c r="B2336" i="25"/>
  <c r="B2337" i="25"/>
  <c r="B2338" i="25"/>
  <c r="J44" i="24"/>
  <c r="H240" i="24" l="1"/>
  <c r="P32" i="24" l="1" a="1"/>
  <c r="P32" i="24" s="1"/>
  <c r="M32" i="24" a="1"/>
  <c r="M32" i="24" s="1"/>
  <c r="M33" i="24" a="1"/>
  <c r="M33" i="24" s="1"/>
  <c r="M36" i="24" a="1"/>
  <c r="M36" i="24" s="1"/>
  <c r="M37" i="24" a="1"/>
  <c r="M37" i="24" s="1"/>
  <c r="M38" i="24" a="1"/>
  <c r="M38" i="24" s="1"/>
  <c r="M39" i="24" a="1"/>
  <c r="M39" i="24" s="1"/>
  <c r="M40" i="24" a="1"/>
  <c r="M40" i="24" s="1"/>
  <c r="M42" i="24" a="1"/>
  <c r="M42" i="24" s="1"/>
  <c r="M43" i="24" a="1"/>
  <c r="M43" i="24" s="1"/>
  <c r="M45" i="24" a="1"/>
  <c r="M45" i="24" s="1"/>
  <c r="L32" i="24" a="1"/>
  <c r="L32" i="24" s="1"/>
  <c r="B241" i="24"/>
  <c r="F241" i="24"/>
  <c r="G241" i="24" s="1"/>
  <c r="B144" i="24"/>
  <c r="Q144" i="24"/>
  <c r="U144" i="24" a="1"/>
  <c r="U144" i="24" s="1"/>
  <c r="B105" i="24"/>
  <c r="I105" i="24"/>
  <c r="J105" i="24" a="1"/>
  <c r="J105" i="24" s="1"/>
  <c r="B61" i="24"/>
  <c r="D61" i="24" a="1"/>
  <c r="D61" i="24" s="1"/>
  <c r="N32" i="24" s="1" a="1"/>
  <c r="N32" i="24" s="1"/>
  <c r="E61" i="24" a="1"/>
  <c r="E61" i="24" s="1"/>
  <c r="F61" i="24" a="1"/>
  <c r="F61" i="24" s="1"/>
  <c r="B2325" i="25"/>
  <c r="B2326" i="25"/>
  <c r="B2327" i="25"/>
  <c r="B2328" i="25"/>
  <c r="B2329" i="25"/>
  <c r="B2330" i="25"/>
  <c r="A2325" i="25"/>
  <c r="A2326" i="25"/>
  <c r="A2327" i="25"/>
  <c r="A2328" i="25"/>
  <c r="A2329" i="25"/>
  <c r="A2330" i="25"/>
  <c r="A2324" i="25"/>
  <c r="B2324" i="25"/>
  <c r="J32" i="24"/>
  <c r="H241" i="24" l="1"/>
  <c r="F265" i="24" l="1"/>
  <c r="F266" i="24"/>
  <c r="F267" i="24"/>
  <c r="F268" i="24"/>
  <c r="G265" i="24"/>
  <c r="G266" i="24"/>
  <c r="G267" i="24"/>
  <c r="G268" i="24"/>
  <c r="B17" i="43"/>
  <c r="F17" i="43"/>
  <c r="J265" i="24"/>
  <c r="J266" i="24"/>
  <c r="J267" i="24"/>
  <c r="J268" i="24"/>
  <c r="B268" i="24"/>
  <c r="B267" i="24"/>
  <c r="B266" i="24"/>
  <c r="B265" i="24"/>
  <c r="C9" i="24"/>
  <c r="C11" i="24"/>
  <c r="C10" i="24"/>
  <c r="C3" i="24"/>
  <c r="K17" i="43" a="1"/>
  <c r="C6" i="24"/>
  <c r="C12" i="24"/>
  <c r="C8" i="24"/>
  <c r="C7" i="24"/>
  <c r="G17" i="43" a="1"/>
  <c r="K17" i="43" l="1"/>
  <c r="G17" i="43"/>
  <c r="H17" i="43"/>
  <c r="J17" i="43" a="1"/>
  <c r="C2" i="24"/>
  <c r="I17" i="43" l="1"/>
  <c r="J17" i="43"/>
  <c r="L17" i="43" s="1"/>
  <c r="U127" i="24" l="1" a="1"/>
  <c r="U127" i="24" s="1"/>
  <c r="U128" i="24" a="1"/>
  <c r="U128" i="24" s="1"/>
  <c r="U138" i="24" a="1"/>
  <c r="U138" i="24" s="1"/>
  <c r="U139" i="24" a="1"/>
  <c r="U139" i="24" s="1"/>
  <c r="U140" i="24" a="1"/>
  <c r="U140" i="24" s="1"/>
  <c r="U141" i="24" a="1"/>
  <c r="U141" i="24" s="1"/>
  <c r="U142" i="24" a="1"/>
  <c r="U142" i="24" s="1"/>
  <c r="U143" i="24" a="1"/>
  <c r="U143" i="24" s="1"/>
  <c r="U150" i="24" a="1"/>
  <c r="U150" i="24" s="1"/>
  <c r="U151" i="24" a="1"/>
  <c r="U151" i="24" s="1"/>
  <c r="U152" i="24" a="1"/>
  <c r="U152" i="24" s="1"/>
  <c r="U153" i="24" a="1"/>
  <c r="U153" i="24" s="1"/>
  <c r="U154" i="24" a="1"/>
  <c r="U154" i="24" s="1"/>
  <c r="U155" i="24" a="1"/>
  <c r="U155" i="24" s="1"/>
  <c r="U158" i="24" a="1"/>
  <c r="U158" i="24" s="1"/>
  <c r="U157" i="24" a="1"/>
  <c r="U157" i="24" s="1"/>
  <c r="U156" i="24" a="1"/>
  <c r="U156" i="24" s="1"/>
  <c r="U162" i="24" a="1"/>
  <c r="U162" i="24" s="1"/>
  <c r="U163" i="24" a="1"/>
  <c r="U163" i="24" s="1"/>
  <c r="U164" i="24" a="1"/>
  <c r="U164" i="24" s="1"/>
  <c r="U165" i="24" a="1"/>
  <c r="U165" i="24" s="1"/>
  <c r="U167" i="24" a="1"/>
  <c r="U167" i="24" s="1"/>
  <c r="U168" i="24" a="1"/>
  <c r="U168" i="24" s="1"/>
  <c r="U169" i="24" a="1"/>
  <c r="U169" i="24" s="1"/>
  <c r="S127" i="24" a="1"/>
  <c r="S127" i="24" s="1"/>
  <c r="S128" i="24" a="1"/>
  <c r="S128" i="24" s="1"/>
  <c r="S129" i="24" a="1"/>
  <c r="S129" i="24" s="1"/>
  <c r="S138" i="24" a="1"/>
  <c r="S138" i="24" s="1"/>
  <c r="S141" i="24" a="1"/>
  <c r="S141" i="24" s="1"/>
  <c r="S142" i="24" a="1"/>
  <c r="S142" i="24" s="1"/>
  <c r="S143" i="24" a="1"/>
  <c r="S143" i="24" s="1"/>
  <c r="S145" i="24" a="1"/>
  <c r="S145" i="24" s="1"/>
  <c r="S150" i="24" a="1"/>
  <c r="S150" i="24" s="1"/>
  <c r="S151" i="24" a="1"/>
  <c r="S151" i="24" s="1"/>
  <c r="S152" i="24" a="1"/>
  <c r="S152" i="24" s="1"/>
  <c r="S153" i="24" a="1"/>
  <c r="S153" i="24" s="1"/>
  <c r="S154" i="24" a="1"/>
  <c r="S154" i="24" s="1"/>
  <c r="S155" i="24" a="1"/>
  <c r="S155" i="24" s="1"/>
  <c r="S158" i="24" a="1"/>
  <c r="S158" i="24" s="1"/>
  <c r="S157" i="24" a="1"/>
  <c r="S157" i="24" s="1"/>
  <c r="S156" i="24" a="1"/>
  <c r="S156" i="24" s="1"/>
  <c r="S162" i="24" a="1"/>
  <c r="S162" i="24" s="1"/>
  <c r="S163" i="24" a="1"/>
  <c r="S163" i="24" s="1"/>
  <c r="S164" i="24" a="1"/>
  <c r="S164" i="24" s="1"/>
  <c r="S165" i="24" a="1"/>
  <c r="S165" i="24" s="1"/>
  <c r="S167" i="24" a="1"/>
  <c r="S167" i="24" s="1"/>
  <c r="S168" i="24" a="1"/>
  <c r="S168" i="24" s="1"/>
  <c r="S169" i="24" a="1"/>
  <c r="S169" i="24" s="1"/>
  <c r="T129" i="24" a="1"/>
  <c r="T129" i="24" s="1"/>
  <c r="T138" i="24" a="1"/>
  <c r="T138" i="24" s="1"/>
  <c r="T139" i="24" a="1"/>
  <c r="T139" i="24" s="1"/>
  <c r="T140" i="24" a="1"/>
  <c r="T140" i="24" s="1"/>
  <c r="T143" i="24" a="1"/>
  <c r="T143" i="24" s="1"/>
  <c r="T148" i="24" a="1"/>
  <c r="T148" i="24" s="1"/>
  <c r="T149" i="24" a="1"/>
  <c r="T149" i="24" s="1"/>
  <c r="T155" i="24" a="1"/>
  <c r="T155" i="24" s="1"/>
  <c r="T162" i="24" a="1"/>
  <c r="T162" i="24" s="1"/>
  <c r="T163" i="24" a="1"/>
  <c r="T163" i="24" s="1"/>
  <c r="T167" i="24" a="1"/>
  <c r="T167" i="24" s="1"/>
  <c r="T168" i="24" a="1"/>
  <c r="T168" i="24" s="1"/>
  <c r="T169" i="24" a="1"/>
  <c r="T169" i="24" s="1"/>
  <c r="K190" i="24" a="1"/>
  <c r="K190" i="24" s="1"/>
  <c r="K182" i="24" a="1"/>
  <c r="K182" i="24" s="1"/>
  <c r="K175" i="24" a="1"/>
  <c r="K175" i="24" s="1"/>
  <c r="K184" i="24" a="1"/>
  <c r="K184" i="24" s="1"/>
  <c r="K185" i="24" a="1"/>
  <c r="K185" i="24" s="1"/>
  <c r="K183" i="24" a="1"/>
  <c r="K183" i="24" s="1"/>
  <c r="K191" i="24" a="1"/>
  <c r="K191" i="24" s="1"/>
  <c r="K181" i="24" a="1"/>
  <c r="K181" i="24" s="1"/>
  <c r="K188" i="24" a="1"/>
  <c r="K188" i="24" s="1"/>
  <c r="K186" i="24" a="1"/>
  <c r="K186" i="24" s="1"/>
  <c r="K202" i="24" a="1"/>
  <c r="K202" i="24" s="1"/>
  <c r="K199" i="24" a="1"/>
  <c r="K199" i="24" s="1"/>
  <c r="K201" i="24" a="1"/>
  <c r="K201" i="24" s="1"/>
  <c r="K203" i="24" a="1"/>
  <c r="K203" i="24" s="1"/>
  <c r="K200" i="24" a="1"/>
  <c r="K200" i="24" s="1"/>
  <c r="K192" i="24" a="1"/>
  <c r="K192" i="24" s="1"/>
  <c r="K194" i="24" a="1"/>
  <c r="K194" i="24" s="1"/>
  <c r="K193" i="24" a="1"/>
  <c r="K193" i="24" s="1"/>
  <c r="K179" i="24" a="1"/>
  <c r="K179" i="24" s="1"/>
  <c r="K176" i="24" a="1"/>
  <c r="K176" i="24" s="1"/>
  <c r="K178" i="24" a="1"/>
  <c r="K178" i="24" s="1"/>
  <c r="K177" i="24" a="1"/>
  <c r="K177" i="24" s="1"/>
  <c r="K196" i="24" a="1"/>
  <c r="K196" i="24" s="1"/>
  <c r="K195" i="24" a="1"/>
  <c r="K195" i="24" s="1"/>
  <c r="K197" i="24" a="1"/>
  <c r="K197" i="24" s="1"/>
  <c r="K198" i="24" a="1"/>
  <c r="K198" i="24" s="1"/>
  <c r="B198" i="24" l="1"/>
  <c r="B129" i="24"/>
  <c r="Q129" i="24"/>
  <c r="B51" i="24"/>
  <c r="D51" i="24" a="1"/>
  <c r="D51" i="24" s="1"/>
  <c r="N22" i="24" s="1" a="1"/>
  <c r="N22" i="24" s="1"/>
  <c r="E51" i="24" a="1"/>
  <c r="E51" i="24" s="1"/>
  <c r="F51" i="24" a="1"/>
  <c r="F51" i="24" s="1"/>
  <c r="B83" i="24"/>
  <c r="I83" i="24"/>
  <c r="J83" i="24" a="1"/>
  <c r="J83" i="24" s="1"/>
  <c r="L22" i="24" a="1"/>
  <c r="L22" i="24" s="1"/>
  <c r="M22" i="24" a="1"/>
  <c r="M22" i="24" s="1"/>
  <c r="P22" i="24" a="1"/>
  <c r="P22" i="24" s="1"/>
  <c r="A2275" i="25"/>
  <c r="A2276" i="25"/>
  <c r="A2277" i="25"/>
  <c r="A2278" i="25"/>
  <c r="A2279" i="25"/>
  <c r="A2280" i="25"/>
  <c r="A2281" i="25"/>
  <c r="A2282" i="25"/>
  <c r="A2283" i="25"/>
  <c r="A2284" i="25"/>
  <c r="A2285" i="25"/>
  <c r="A2286" i="25"/>
  <c r="A2287" i="25"/>
  <c r="A2288" i="25"/>
  <c r="A2289" i="25"/>
  <c r="A2290" i="25"/>
  <c r="A2291" i="25"/>
  <c r="A2292" i="25"/>
  <c r="A2293" i="25"/>
  <c r="A2294" i="25"/>
  <c r="A2295" i="25"/>
  <c r="A2296" i="25"/>
  <c r="A2297" i="25"/>
  <c r="A2298" i="25"/>
  <c r="A2299" i="25"/>
  <c r="A2300" i="25"/>
  <c r="A2301" i="25"/>
  <c r="A2302" i="25"/>
  <c r="A2303" i="25"/>
  <c r="A2304" i="25"/>
  <c r="A2305" i="25"/>
  <c r="A2306" i="25"/>
  <c r="A2307" i="25"/>
  <c r="A2308" i="25"/>
  <c r="A2309" i="25"/>
  <c r="A2310" i="25"/>
  <c r="A2311" i="25"/>
  <c r="A2312" i="25"/>
  <c r="A2313" i="25"/>
  <c r="A2314" i="25"/>
  <c r="A2315" i="25"/>
  <c r="A2316" i="25"/>
  <c r="A2317" i="25"/>
  <c r="A2318" i="25"/>
  <c r="A2319" i="25"/>
  <c r="A2320" i="25"/>
  <c r="A2321" i="25"/>
  <c r="A2322" i="25"/>
  <c r="A2323" i="25"/>
  <c r="B2275" i="25"/>
  <c r="B2276" i="25"/>
  <c r="B2277" i="25"/>
  <c r="B2278" i="25"/>
  <c r="B2279" i="25"/>
  <c r="B2280" i="25"/>
  <c r="B2281" i="25"/>
  <c r="B2282" i="25"/>
  <c r="B2283" i="25"/>
  <c r="B2284" i="25"/>
  <c r="B2285" i="25"/>
  <c r="B2286" i="25"/>
  <c r="B2287" i="25"/>
  <c r="B2288" i="25"/>
  <c r="B2289" i="25"/>
  <c r="B2290" i="25"/>
  <c r="B2291" i="25"/>
  <c r="B2292" i="25"/>
  <c r="B2293" i="25"/>
  <c r="B2294" i="25"/>
  <c r="B2295" i="25"/>
  <c r="B2296" i="25"/>
  <c r="B2297" i="25"/>
  <c r="B2298" i="25"/>
  <c r="B2299" i="25"/>
  <c r="B2300" i="25"/>
  <c r="B2301" i="25"/>
  <c r="B2302" i="25"/>
  <c r="B2303" i="25"/>
  <c r="B2304" i="25"/>
  <c r="B2305" i="25"/>
  <c r="B2306" i="25"/>
  <c r="B2307" i="25"/>
  <c r="B2308" i="25"/>
  <c r="B2309" i="25"/>
  <c r="B2310" i="25"/>
  <c r="B2311" i="25"/>
  <c r="B2312" i="25"/>
  <c r="B2313" i="25"/>
  <c r="B2314" i="25"/>
  <c r="B2315" i="25"/>
  <c r="B2316" i="25"/>
  <c r="B2317" i="25"/>
  <c r="B2318" i="25"/>
  <c r="B2319" i="25"/>
  <c r="B2320" i="25"/>
  <c r="B2321" i="25"/>
  <c r="B2322" i="25"/>
  <c r="B2323" i="25"/>
  <c r="J22" i="24"/>
  <c r="H234" i="24" l="1"/>
  <c r="H235" i="24"/>
  <c r="H236" i="24"/>
  <c r="H237" i="24"/>
  <c r="H238" i="24"/>
  <c r="H239" i="24"/>
  <c r="F234" i="24"/>
  <c r="F235" i="24"/>
  <c r="F236" i="24"/>
  <c r="F237" i="24"/>
  <c r="F238" i="24"/>
  <c r="F239" i="24"/>
  <c r="F242" i="24"/>
  <c r="H242" i="24" s="1"/>
  <c r="F243" i="24"/>
  <c r="H243" i="24" s="1"/>
  <c r="F244" i="24"/>
  <c r="H244" i="24" s="1"/>
  <c r="F245" i="24"/>
  <c r="H245" i="24" s="1"/>
  <c r="F246" i="24"/>
  <c r="H246" i="24" s="1"/>
  <c r="F247" i="24"/>
  <c r="H247" i="24" s="1"/>
  <c r="A2226" i="25" l="1"/>
  <c r="A2227" i="25"/>
  <c r="A2228" i="25"/>
  <c r="A2229" i="25"/>
  <c r="A2230" i="25"/>
  <c r="A2231" i="25"/>
  <c r="A2232" i="25"/>
  <c r="A2233" i="25"/>
  <c r="A2234" i="25"/>
  <c r="A2235" i="25"/>
  <c r="A2236" i="25"/>
  <c r="A2237" i="25"/>
  <c r="A2238" i="25"/>
  <c r="A2239" i="25"/>
  <c r="A2240" i="25"/>
  <c r="A2241" i="25"/>
  <c r="A2242" i="25"/>
  <c r="A2243" i="25"/>
  <c r="A2244" i="25"/>
  <c r="A2245" i="25"/>
  <c r="A2246" i="25"/>
  <c r="A2247" i="25"/>
  <c r="A2248" i="25"/>
  <c r="A2249" i="25"/>
  <c r="A2250" i="25"/>
  <c r="A2251" i="25"/>
  <c r="A2252" i="25"/>
  <c r="A2253" i="25"/>
  <c r="A2254" i="25"/>
  <c r="A2255" i="25"/>
  <c r="A2256" i="25"/>
  <c r="A2257" i="25"/>
  <c r="A2258" i="25"/>
  <c r="A2259" i="25"/>
  <c r="A2260" i="25"/>
  <c r="A2261" i="25"/>
  <c r="A2262" i="25"/>
  <c r="A2263" i="25"/>
  <c r="A2264" i="25"/>
  <c r="A2265" i="25"/>
  <c r="A2266" i="25"/>
  <c r="A2267" i="25"/>
  <c r="A2268" i="25"/>
  <c r="A2269" i="25"/>
  <c r="A2270" i="25"/>
  <c r="A2271" i="25"/>
  <c r="A2272" i="25"/>
  <c r="A2273" i="25"/>
  <c r="A2274" i="25"/>
  <c r="B2226" i="25"/>
  <c r="B2227" i="25"/>
  <c r="B2228" i="25"/>
  <c r="B2229" i="25"/>
  <c r="B2230" i="25"/>
  <c r="B2231" i="25"/>
  <c r="B2232" i="25"/>
  <c r="B2233" i="25"/>
  <c r="B2234" i="25"/>
  <c r="B2235" i="25"/>
  <c r="B2236" i="25"/>
  <c r="B2237" i="25"/>
  <c r="B2238" i="25"/>
  <c r="B2239" i="25"/>
  <c r="B2240" i="25"/>
  <c r="B2241" i="25"/>
  <c r="B2242" i="25"/>
  <c r="B2243" i="25"/>
  <c r="B2244" i="25"/>
  <c r="B2245" i="25"/>
  <c r="B2246" i="25"/>
  <c r="B2247" i="25"/>
  <c r="B2248" i="25"/>
  <c r="B2249" i="25"/>
  <c r="B2250" i="25"/>
  <c r="B2251" i="25"/>
  <c r="B2252" i="25"/>
  <c r="B2253" i="25"/>
  <c r="B2254" i="25"/>
  <c r="B2255" i="25"/>
  <c r="B2256" i="25"/>
  <c r="B2257" i="25"/>
  <c r="B2258" i="25"/>
  <c r="B2259" i="25"/>
  <c r="B2260" i="25"/>
  <c r="B2261" i="25"/>
  <c r="B2262" i="25"/>
  <c r="B2263" i="25"/>
  <c r="B2264" i="25"/>
  <c r="B2265" i="25"/>
  <c r="B2266" i="25"/>
  <c r="B2267" i="25"/>
  <c r="B2268" i="25"/>
  <c r="B2269" i="25"/>
  <c r="B2270" i="25"/>
  <c r="B2271" i="25"/>
  <c r="B2272" i="25"/>
  <c r="B2273" i="25"/>
  <c r="B2274" i="25"/>
  <c r="A2177" i="25"/>
  <c r="A2178" i="25"/>
  <c r="A2179" i="25"/>
  <c r="A2180" i="25"/>
  <c r="A2181" i="25"/>
  <c r="A2182" i="25"/>
  <c r="A2183" i="25"/>
  <c r="A2184" i="25"/>
  <c r="A2185" i="25"/>
  <c r="A2186" i="25"/>
  <c r="A2187" i="25"/>
  <c r="A2188" i="25"/>
  <c r="A2189" i="25"/>
  <c r="A2190" i="25"/>
  <c r="A2191" i="25"/>
  <c r="A2192" i="25"/>
  <c r="A2193" i="25"/>
  <c r="A2194" i="25"/>
  <c r="A2195" i="25"/>
  <c r="A2196" i="25"/>
  <c r="A2197" i="25"/>
  <c r="A2198" i="25"/>
  <c r="A2199" i="25"/>
  <c r="A2200" i="25"/>
  <c r="A2201" i="25"/>
  <c r="A2202" i="25"/>
  <c r="A2203" i="25"/>
  <c r="A2204" i="25"/>
  <c r="A2205" i="25"/>
  <c r="A2206" i="25"/>
  <c r="A2207" i="25"/>
  <c r="A2208" i="25"/>
  <c r="A2209" i="25"/>
  <c r="A2210" i="25"/>
  <c r="A2211" i="25"/>
  <c r="A2212" i="25"/>
  <c r="A2213" i="25"/>
  <c r="A2214" i="25"/>
  <c r="A2215" i="25"/>
  <c r="A2216" i="25"/>
  <c r="A2217" i="25"/>
  <c r="A2218" i="25"/>
  <c r="A2219" i="25"/>
  <c r="A2220" i="25"/>
  <c r="A2221" i="25"/>
  <c r="A2222" i="25"/>
  <c r="A2223" i="25"/>
  <c r="A2224" i="25"/>
  <c r="A2225" i="25"/>
  <c r="B2177" i="25"/>
  <c r="B2178" i="25"/>
  <c r="B2179" i="25"/>
  <c r="B2180" i="25"/>
  <c r="B2181" i="25"/>
  <c r="B2182" i="25"/>
  <c r="B2183" i="25"/>
  <c r="B2184" i="25"/>
  <c r="B2185" i="25"/>
  <c r="B2186" i="25"/>
  <c r="B2187" i="25"/>
  <c r="B2188" i="25"/>
  <c r="B2189" i="25"/>
  <c r="B2190" i="25"/>
  <c r="B2191" i="25"/>
  <c r="B2192" i="25"/>
  <c r="B2193" i="25"/>
  <c r="B2194" i="25"/>
  <c r="B2195" i="25"/>
  <c r="B2196" i="25"/>
  <c r="B2197" i="25"/>
  <c r="B2198" i="25"/>
  <c r="B2199" i="25"/>
  <c r="B2200" i="25"/>
  <c r="B2201" i="25"/>
  <c r="B2202" i="25"/>
  <c r="B2203" i="25"/>
  <c r="B2204" i="25"/>
  <c r="B2205" i="25"/>
  <c r="B2206" i="25"/>
  <c r="B2207" i="25"/>
  <c r="B2208" i="25"/>
  <c r="B2209" i="25"/>
  <c r="B2210" i="25"/>
  <c r="B2211" i="25"/>
  <c r="B2212" i="25"/>
  <c r="B2213" i="25"/>
  <c r="B2214" i="25"/>
  <c r="B2215" i="25"/>
  <c r="B2216" i="25"/>
  <c r="B2217" i="25"/>
  <c r="B2218" i="25"/>
  <c r="B2219" i="25"/>
  <c r="B2220" i="25"/>
  <c r="B2221" i="25"/>
  <c r="B2222" i="25"/>
  <c r="B2223" i="25"/>
  <c r="B2224" i="25"/>
  <c r="B2225" i="25"/>
  <c r="B69" i="24" l="1"/>
  <c r="D69" i="24" a="1"/>
  <c r="D69" i="24" s="1"/>
  <c r="N40" i="24" s="1" a="1"/>
  <c r="N40" i="24" s="1"/>
  <c r="E69" i="24" a="1"/>
  <c r="E69" i="24" s="1"/>
  <c r="F69" i="24" a="1"/>
  <c r="F69" i="24" s="1"/>
  <c r="B181" i="24"/>
  <c r="B188" i="24"/>
  <c r="B157" i="24"/>
  <c r="B156" i="24"/>
  <c r="Q157" i="24"/>
  <c r="Q156" i="24"/>
  <c r="B196" i="24"/>
  <c r="B195" i="24"/>
  <c r="B197" i="24"/>
  <c r="B158" i="24"/>
  <c r="Q158" i="24"/>
  <c r="L40" i="24" a="1"/>
  <c r="L40" i="24" s="1"/>
  <c r="P40" i="24" a="1"/>
  <c r="P40" i="24" s="1"/>
  <c r="B117" i="24"/>
  <c r="I117" i="24"/>
  <c r="J117" i="24" a="1"/>
  <c r="J117" i="24" s="1"/>
  <c r="A2128" i="25"/>
  <c r="A2129" i="25"/>
  <c r="A2130" i="25"/>
  <c r="A2131" i="25"/>
  <c r="A2132" i="25"/>
  <c r="A2133" i="25"/>
  <c r="A2134" i="25"/>
  <c r="A2135" i="25"/>
  <c r="A2136" i="25"/>
  <c r="A2137" i="25"/>
  <c r="A2138" i="25"/>
  <c r="A2139" i="25"/>
  <c r="A2140" i="25"/>
  <c r="A2141" i="25"/>
  <c r="A2142" i="25"/>
  <c r="A2143" i="25"/>
  <c r="A2144" i="25"/>
  <c r="A2145" i="25"/>
  <c r="A2146" i="25"/>
  <c r="A2147" i="25"/>
  <c r="A2148" i="25"/>
  <c r="A2149" i="25"/>
  <c r="A2150" i="25"/>
  <c r="A2151" i="25"/>
  <c r="A2152" i="25"/>
  <c r="A2153" i="25"/>
  <c r="A2154" i="25"/>
  <c r="A2155" i="25"/>
  <c r="A2156" i="25"/>
  <c r="A2157" i="25"/>
  <c r="A2158" i="25"/>
  <c r="A2159" i="25"/>
  <c r="A2160" i="25"/>
  <c r="A2161" i="25"/>
  <c r="A2162" i="25"/>
  <c r="A2163" i="25"/>
  <c r="A2164" i="25"/>
  <c r="A2165" i="25"/>
  <c r="A2166" i="25"/>
  <c r="A2167" i="25"/>
  <c r="A2168" i="25"/>
  <c r="A2169" i="25"/>
  <c r="A2170" i="25"/>
  <c r="A2171" i="25"/>
  <c r="A2172" i="25"/>
  <c r="A2173" i="25"/>
  <c r="A2174" i="25"/>
  <c r="A2175" i="25"/>
  <c r="A2176" i="25"/>
  <c r="B2128" i="25"/>
  <c r="B2129" i="25"/>
  <c r="B2130" i="25"/>
  <c r="B2131" i="25"/>
  <c r="B2132" i="25"/>
  <c r="B2133" i="25"/>
  <c r="B2134" i="25"/>
  <c r="B2135" i="25"/>
  <c r="B2136" i="25"/>
  <c r="B2137" i="25"/>
  <c r="B2138" i="25"/>
  <c r="B2139" i="25"/>
  <c r="B2140" i="25"/>
  <c r="B2141" i="25"/>
  <c r="B2142" i="25"/>
  <c r="B2143" i="25"/>
  <c r="B2144" i="25"/>
  <c r="B2145" i="25"/>
  <c r="B2146" i="25"/>
  <c r="B2147" i="25"/>
  <c r="B2148" i="25"/>
  <c r="B2149" i="25"/>
  <c r="B2150" i="25"/>
  <c r="B2151" i="25"/>
  <c r="B2152" i="25"/>
  <c r="B2153" i="25"/>
  <c r="B2154" i="25"/>
  <c r="B2155" i="25"/>
  <c r="B2156" i="25"/>
  <c r="B2157" i="25"/>
  <c r="B2158" i="25"/>
  <c r="B2159" i="25"/>
  <c r="B2160" i="25"/>
  <c r="B2161" i="25"/>
  <c r="B2162" i="25"/>
  <c r="B2163" i="25"/>
  <c r="B2164" i="25"/>
  <c r="B2165" i="25"/>
  <c r="B2166" i="25"/>
  <c r="B2167" i="25"/>
  <c r="B2168" i="25"/>
  <c r="B2169" i="25"/>
  <c r="B2170" i="25"/>
  <c r="B2171" i="25"/>
  <c r="B2172" i="25"/>
  <c r="B2173" i="25"/>
  <c r="B2174" i="25"/>
  <c r="B2175" i="25"/>
  <c r="B2176" i="25"/>
  <c r="J40" i="24"/>
  <c r="Q164" i="24" l="1"/>
  <c r="P21" i="24" l="1" a="1"/>
  <c r="P21" i="24" s="1"/>
  <c r="P27" i="24" a="1"/>
  <c r="P27" i="24" s="1"/>
  <c r="P28" i="24" a="1"/>
  <c r="P28" i="24" s="1"/>
  <c r="P30" i="24" a="1"/>
  <c r="P30" i="24" s="1"/>
  <c r="P29" i="24" a="1"/>
  <c r="P29" i="24" s="1"/>
  <c r="P31" i="24" a="1"/>
  <c r="P31" i="24" s="1"/>
  <c r="P33" i="24" a="1"/>
  <c r="P33" i="24" s="1"/>
  <c r="P36" i="24" a="1"/>
  <c r="P36" i="24" s="1"/>
  <c r="P37" i="24" a="1"/>
  <c r="P37" i="24" s="1"/>
  <c r="P38" i="24" a="1"/>
  <c r="P38" i="24" s="1"/>
  <c r="P39" i="24" a="1"/>
  <c r="P39" i="24" s="1"/>
  <c r="P42" i="24" a="1"/>
  <c r="P42" i="24" s="1"/>
  <c r="P43" i="24" a="1"/>
  <c r="P43" i="24" s="1"/>
  <c r="P45" i="24" a="1"/>
  <c r="P45" i="24" s="1"/>
  <c r="N227" i="24" l="1" a="1"/>
  <c r="N227" i="24" s="1"/>
  <c r="N228" i="24" a="1"/>
  <c r="N228" i="24" s="1"/>
  <c r="O27" i="24" s="1" a="1"/>
  <c r="O27" i="24" s="1"/>
  <c r="M21" i="24" a="1"/>
  <c r="M21" i="24" s="1"/>
  <c r="M27" i="24" a="1"/>
  <c r="M27" i="24" s="1"/>
  <c r="M28" i="24" a="1"/>
  <c r="M28" i="24" s="1"/>
  <c r="M30" i="24" a="1"/>
  <c r="M30" i="24" s="1"/>
  <c r="M29" i="24" a="1"/>
  <c r="M29" i="24" s="1"/>
  <c r="M31" i="24" a="1"/>
  <c r="M31" i="24" s="1"/>
  <c r="L21" i="24" a="1"/>
  <c r="L21" i="24" s="1"/>
  <c r="L27" i="24" a="1"/>
  <c r="L27" i="24" s="1"/>
  <c r="L28" i="24" a="1"/>
  <c r="L28" i="24" s="1"/>
  <c r="L30" i="24" a="1"/>
  <c r="L30" i="24" s="1"/>
  <c r="L29" i="24" a="1"/>
  <c r="L29" i="24" s="1"/>
  <c r="L31" i="24" a="1"/>
  <c r="L31" i="24" s="1"/>
  <c r="L33" i="24" a="1"/>
  <c r="L33" i="24" s="1"/>
  <c r="L36" i="24" a="1"/>
  <c r="L36" i="24" s="1"/>
  <c r="L37" i="24" a="1"/>
  <c r="L37" i="24" s="1"/>
  <c r="L38" i="24" a="1"/>
  <c r="L38" i="24" s="1"/>
  <c r="L39" i="24" a="1"/>
  <c r="L39" i="24" s="1"/>
  <c r="L42" i="24" a="1"/>
  <c r="L42" i="24" s="1"/>
  <c r="L43" i="24" a="1"/>
  <c r="L43" i="24" s="1"/>
  <c r="L45" i="24" a="1"/>
  <c r="L45" i="24" s="1"/>
  <c r="O41" i="24" l="1" a="1"/>
  <c r="O41" i="24" s="1"/>
  <c r="Q41" i="24" s="1"/>
  <c r="O35" i="24" a="1"/>
  <c r="O35" i="24" s="1"/>
  <c r="Q35" i="24" s="1"/>
  <c r="O25" i="24" a="1"/>
  <c r="O25" i="24" s="1"/>
  <c r="Q25" i="24" s="1"/>
  <c r="O23" i="24" a="1"/>
  <c r="O23" i="24" s="1"/>
  <c r="Q23" i="24" s="1"/>
  <c r="O24" i="24" a="1"/>
  <c r="O24" i="24" s="1"/>
  <c r="Q24" i="24" s="1"/>
  <c r="O34" i="24" a="1"/>
  <c r="O34" i="24" s="1"/>
  <c r="Q34" i="24" s="1"/>
  <c r="O44" i="24" a="1"/>
  <c r="O44" i="24" s="1"/>
  <c r="Q44" i="24" s="1"/>
  <c r="O26" i="24" a="1"/>
  <c r="O26" i="24" s="1"/>
  <c r="Q26" i="24" s="1"/>
  <c r="O32" i="24" a="1"/>
  <c r="O32" i="24" s="1"/>
  <c r="Q32" i="24" s="1"/>
  <c r="O22" i="24" a="1"/>
  <c r="O22" i="24" s="1"/>
  <c r="Q22" i="24" s="1"/>
  <c r="O21" i="24" a="1"/>
  <c r="O21" i="24" s="1"/>
  <c r="O40" i="24" a="1"/>
  <c r="O40" i="24" s="1"/>
  <c r="Q40" i="24" s="1"/>
  <c r="O36" i="24" a="1"/>
  <c r="O36" i="24" s="1"/>
  <c r="O33" i="24" a="1"/>
  <c r="O33" i="24" s="1"/>
  <c r="O45" i="24" a="1"/>
  <c r="O45" i="24" s="1"/>
  <c r="O31" i="24" a="1"/>
  <c r="O31" i="24" s="1"/>
  <c r="O43" i="24" a="1"/>
  <c r="O43" i="24" s="1"/>
  <c r="O29" i="24" a="1"/>
  <c r="O29" i="24" s="1"/>
  <c r="O42" i="24" a="1"/>
  <c r="O42" i="24" s="1"/>
  <c r="O30" i="24" a="1"/>
  <c r="O30" i="24" s="1"/>
  <c r="O39" i="24" a="1"/>
  <c r="O39" i="24" s="1"/>
  <c r="O28" i="24" a="1"/>
  <c r="O28" i="24" s="1"/>
  <c r="O38" i="24" a="1"/>
  <c r="O38" i="24" s="1"/>
  <c r="O37" i="24" a="1"/>
  <c r="O37" i="24" s="1"/>
  <c r="B16" i="43"/>
  <c r="F16" i="43"/>
  <c r="K16" i="43" a="1"/>
  <c r="J16" i="43" a="1"/>
  <c r="J16" i="43" l="1"/>
  <c r="M16" i="43" s="1" a="1"/>
  <c r="M16" i="43" s="1"/>
  <c r="K16" i="43"/>
  <c r="B242" i="24"/>
  <c r="B243" i="24"/>
  <c r="B244" i="24"/>
  <c r="B245" i="24"/>
  <c r="B246" i="24"/>
  <c r="B247" i="24"/>
  <c r="G242" i="24"/>
  <c r="G243" i="24"/>
  <c r="G244" i="24"/>
  <c r="G245" i="24"/>
  <c r="G246" i="24"/>
  <c r="G247" i="24"/>
  <c r="G16" i="43" a="1"/>
  <c r="G16" i="43" l="1"/>
  <c r="L16" i="43"/>
  <c r="J81" i="24" l="1" a="1"/>
  <c r="J81" i="24" s="1"/>
  <c r="J82" i="24" a="1"/>
  <c r="J82" i="24" s="1"/>
  <c r="J93" i="24" a="1"/>
  <c r="J93" i="24" s="1"/>
  <c r="J94" i="24" a="1"/>
  <c r="J94" i="24" s="1"/>
  <c r="J95" i="24" a="1"/>
  <c r="J95" i="24" s="1"/>
  <c r="J100" i="24" a="1"/>
  <c r="J100" i="24" s="1"/>
  <c r="J101" i="24" a="1"/>
  <c r="J101" i="24" s="1"/>
  <c r="J96" i="24" a="1"/>
  <c r="J96" i="24" s="1"/>
  <c r="J97" i="24" a="1"/>
  <c r="J97" i="24" s="1"/>
  <c r="J98" i="24" a="1"/>
  <c r="J98" i="24" s="1"/>
  <c r="J99" i="24" a="1"/>
  <c r="J99" i="24" s="1"/>
  <c r="J102" i="24" a="1"/>
  <c r="J102" i="24" s="1"/>
  <c r="J103" i="24" a="1"/>
  <c r="J103" i="24" s="1"/>
  <c r="J104" i="24" a="1"/>
  <c r="J104" i="24" s="1"/>
  <c r="J106" i="24" a="1"/>
  <c r="J106" i="24" s="1"/>
  <c r="J109" i="24" a="1"/>
  <c r="J109" i="24" s="1"/>
  <c r="J110" i="24" a="1"/>
  <c r="J110" i="24" s="1"/>
  <c r="J111" i="24" a="1"/>
  <c r="J111" i="24" s="1"/>
  <c r="J112" i="24" a="1"/>
  <c r="J112" i="24" s="1"/>
  <c r="J113" i="24" a="1"/>
  <c r="J113" i="24" s="1"/>
  <c r="J114" i="24" a="1"/>
  <c r="J114" i="24" s="1"/>
  <c r="J115" i="24" a="1"/>
  <c r="J115" i="24" s="1"/>
  <c r="J116" i="24" a="1"/>
  <c r="J116" i="24" s="1"/>
  <c r="J119" i="24" a="1"/>
  <c r="J119" i="24" s="1"/>
  <c r="J120" i="24" a="1"/>
  <c r="J120" i="24" s="1"/>
  <c r="J122" i="24" a="1"/>
  <c r="J122" i="24" s="1"/>
  <c r="B82" i="24"/>
  <c r="B15" i="43"/>
  <c r="F15" i="43"/>
  <c r="B213" i="24"/>
  <c r="B212" i="24"/>
  <c r="B211" i="24"/>
  <c r="J15" i="43" a="1"/>
  <c r="K15" i="43" a="1"/>
  <c r="J15" i="43" l="1"/>
  <c r="M15" i="43" s="1"/>
  <c r="K15" i="43"/>
  <c r="B177" i="24"/>
  <c r="B193" i="24"/>
  <c r="B200" i="24"/>
  <c r="B186" i="24"/>
  <c r="G15" i="43" a="1"/>
  <c r="H15" i="43"/>
  <c r="G15" i="43" l="1"/>
  <c r="I15" i="43" s="1"/>
  <c r="L15" i="43"/>
  <c r="I81" i="24"/>
  <c r="I82" i="24"/>
  <c r="I93" i="24"/>
  <c r="I94" i="24"/>
  <c r="I95" i="24"/>
  <c r="I100" i="24"/>
  <c r="I101" i="24"/>
  <c r="I96" i="24"/>
  <c r="I97" i="24"/>
  <c r="I98" i="24"/>
  <c r="I99" i="24"/>
  <c r="I102" i="24"/>
  <c r="I103" i="24"/>
  <c r="I104" i="24"/>
  <c r="I106" i="24"/>
  <c r="I109" i="24"/>
  <c r="I110" i="24"/>
  <c r="I111" i="24"/>
  <c r="I112" i="24"/>
  <c r="I113" i="24"/>
  <c r="I114" i="24"/>
  <c r="I115" i="24"/>
  <c r="I116" i="24"/>
  <c r="I119" i="24"/>
  <c r="I120" i="24"/>
  <c r="I122" i="24"/>
  <c r="B14" i="43"/>
  <c r="F14" i="43"/>
  <c r="B13" i="43"/>
  <c r="F13" i="43"/>
  <c r="F50" i="24" a="1"/>
  <c r="F50" i="24" s="1"/>
  <c r="F56" i="24" a="1"/>
  <c r="F56" i="24" s="1"/>
  <c r="F57" i="24" a="1"/>
  <c r="F57" i="24" s="1"/>
  <c r="F59" i="24" a="1"/>
  <c r="F59" i="24" s="1"/>
  <c r="F58" i="24" a="1"/>
  <c r="F58" i="24" s="1"/>
  <c r="F60" i="24" a="1"/>
  <c r="F60" i="24" s="1"/>
  <c r="F62" i="24" a="1"/>
  <c r="F62" i="24" s="1"/>
  <c r="F65" i="24" a="1"/>
  <c r="F65" i="24" s="1"/>
  <c r="F66" i="24" a="1"/>
  <c r="F66" i="24" s="1"/>
  <c r="F67" i="24" a="1"/>
  <c r="F67" i="24" s="1"/>
  <c r="F68" i="24" a="1"/>
  <c r="F68" i="24" s="1"/>
  <c r="F71" i="24" a="1"/>
  <c r="F71" i="24" s="1"/>
  <c r="F72" i="24" a="1"/>
  <c r="F72" i="24" s="1"/>
  <c r="F74" i="24" a="1"/>
  <c r="F74" i="24" s="1"/>
  <c r="E50" i="24" a="1"/>
  <c r="E50" i="24" s="1"/>
  <c r="E56" i="24" a="1"/>
  <c r="E56" i="24" s="1"/>
  <c r="E57" i="24" a="1"/>
  <c r="E57" i="24" s="1"/>
  <c r="E59" i="24" a="1"/>
  <c r="E59" i="24" s="1"/>
  <c r="E58" i="24" a="1"/>
  <c r="E58" i="24" s="1"/>
  <c r="E60" i="24" a="1"/>
  <c r="E60" i="24" s="1"/>
  <c r="E62" i="24" a="1"/>
  <c r="E62" i="24" s="1"/>
  <c r="E65" i="24" a="1"/>
  <c r="E65" i="24" s="1"/>
  <c r="E66" i="24" a="1"/>
  <c r="E66" i="24" s="1"/>
  <c r="E67" i="24" a="1"/>
  <c r="E67" i="24" s="1"/>
  <c r="E68" i="24" a="1"/>
  <c r="E68" i="24" s="1"/>
  <c r="E71" i="24" a="1"/>
  <c r="E71" i="24" s="1"/>
  <c r="E72" i="24" a="1"/>
  <c r="E72" i="24" s="1"/>
  <c r="E74" i="24" a="1"/>
  <c r="E74" i="24" s="1"/>
  <c r="D50" i="24" a="1"/>
  <c r="D50" i="24" s="1"/>
  <c r="N21" i="24" s="1" a="1"/>
  <c r="N21" i="24" s="1"/>
  <c r="Q21" i="24" s="1"/>
  <c r="D56" i="24" a="1"/>
  <c r="D56" i="24" s="1"/>
  <c r="N27" i="24" s="1" a="1"/>
  <c r="N27" i="24" s="1"/>
  <c r="D57" i="24" a="1"/>
  <c r="D57" i="24" s="1"/>
  <c r="N28" i="24" s="1" a="1"/>
  <c r="N28" i="24" s="1"/>
  <c r="Q28" i="24" s="1"/>
  <c r="D59" i="24" a="1"/>
  <c r="D59" i="24" s="1"/>
  <c r="N30" i="24" s="1" a="1"/>
  <c r="N30" i="24" s="1"/>
  <c r="Q30" i="24" s="1"/>
  <c r="D58" i="24" a="1"/>
  <c r="D58" i="24" s="1"/>
  <c r="N29" i="24" s="1" a="1"/>
  <c r="N29" i="24" s="1"/>
  <c r="Q29" i="24" s="1"/>
  <c r="D60" i="24" a="1"/>
  <c r="D60" i="24" s="1"/>
  <c r="N31" i="24" s="1" a="1"/>
  <c r="N31" i="24" s="1"/>
  <c r="D62" i="24" a="1"/>
  <c r="D62" i="24" s="1"/>
  <c r="N33" i="24" s="1" a="1"/>
  <c r="N33" i="24" s="1"/>
  <c r="Q33" i="24" s="1"/>
  <c r="D65" i="24" a="1"/>
  <c r="D65" i="24" s="1"/>
  <c r="N36" i="24" s="1" a="1"/>
  <c r="N36" i="24" s="1"/>
  <c r="Q36" i="24" s="1"/>
  <c r="D66" i="24" a="1"/>
  <c r="D66" i="24" s="1"/>
  <c r="N37" i="24" s="1" a="1"/>
  <c r="N37" i="24" s="1"/>
  <c r="Q37" i="24" s="1"/>
  <c r="D67" i="24" a="1"/>
  <c r="D67" i="24" s="1"/>
  <c r="N38" i="24" s="1" a="1"/>
  <c r="N38" i="24" s="1"/>
  <c r="Q38" i="24" s="1"/>
  <c r="D68" i="24" a="1"/>
  <c r="D68" i="24" s="1"/>
  <c r="N39" i="24" s="1" a="1"/>
  <c r="N39" i="24" s="1"/>
  <c r="Q39" i="24" s="1"/>
  <c r="D71" i="24" a="1"/>
  <c r="D71" i="24" s="1"/>
  <c r="N42" i="24" s="1" a="1"/>
  <c r="N42" i="24" s="1"/>
  <c r="Q42" i="24" s="1"/>
  <c r="D72" i="24" a="1"/>
  <c r="D72" i="24" s="1"/>
  <c r="N43" i="24" s="1" a="1"/>
  <c r="N43" i="24" s="1"/>
  <c r="Q43" i="24" s="1"/>
  <c r="D74" i="24" a="1"/>
  <c r="D74" i="24" s="1"/>
  <c r="N45" i="24" s="1" a="1"/>
  <c r="N45" i="24" s="1"/>
  <c r="Q45" i="24" s="1"/>
  <c r="B58" i="24"/>
  <c r="B60" i="24"/>
  <c r="B62" i="24"/>
  <c r="B65" i="24"/>
  <c r="B66" i="24"/>
  <c r="B67" i="24"/>
  <c r="B68" i="24"/>
  <c r="B71" i="24"/>
  <c r="B72" i="24"/>
  <c r="B74" i="24"/>
  <c r="B179" i="24"/>
  <c r="J38" i="24"/>
  <c r="J28" i="24"/>
  <c r="J39" i="24"/>
  <c r="J21" i="24"/>
  <c r="C5" i="24"/>
  <c r="K13" i="43" a="1"/>
  <c r="G14" i="43" a="1"/>
  <c r="J27" i="24"/>
  <c r="J42" i="24"/>
  <c r="J43" i="24"/>
  <c r="J30" i="24"/>
  <c r="J45" i="24"/>
  <c r="J31" i="24"/>
  <c r="J37" i="24"/>
  <c r="J36" i="24"/>
  <c r="J33" i="24"/>
  <c r="K14" i="43" a="1"/>
  <c r="J29" i="24"/>
  <c r="J13" i="43" a="1"/>
  <c r="H35" i="24" l="1" a="1"/>
  <c r="H35" i="24" s="1"/>
  <c r="H41" i="24" a="1"/>
  <c r="H41" i="24" s="1"/>
  <c r="H23" i="24" a="1"/>
  <c r="H23" i="24" s="1"/>
  <c r="H25" i="24" a="1"/>
  <c r="H25" i="24" s="1"/>
  <c r="H34" i="24" a="1"/>
  <c r="H34" i="24" s="1"/>
  <c r="H24" i="24" a="1"/>
  <c r="H24" i="24" s="1"/>
  <c r="H26" i="24" a="1"/>
  <c r="H26" i="24" s="1"/>
  <c r="H44" i="24" a="1"/>
  <c r="H44" i="24" s="1"/>
  <c r="H32" i="24" a="1"/>
  <c r="H32" i="24" s="1"/>
  <c r="H22" i="24" a="1"/>
  <c r="H22" i="24" s="1"/>
  <c r="H40" i="24" a="1"/>
  <c r="H40" i="24" s="1"/>
  <c r="Q27" i="24"/>
  <c r="Q31" i="24"/>
  <c r="H21" i="24" a="1"/>
  <c r="H21" i="24" s="1"/>
  <c r="H27" i="24" a="1"/>
  <c r="H27" i="24" s="1"/>
  <c r="H38" i="24" a="1"/>
  <c r="H38" i="24" s="1"/>
  <c r="H33" i="24" a="1"/>
  <c r="H33" i="24" s="1"/>
  <c r="H28" i="24" a="1"/>
  <c r="H28" i="24" s="1"/>
  <c r="H39" i="24" a="1"/>
  <c r="H39" i="24" s="1"/>
  <c r="H45" i="24" a="1"/>
  <c r="H45" i="24" s="1"/>
  <c r="H36" i="24" a="1"/>
  <c r="H36" i="24" s="1"/>
  <c r="H30" i="24" a="1"/>
  <c r="H30" i="24" s="1"/>
  <c r="H42" i="24" a="1"/>
  <c r="H42" i="24" s="1"/>
  <c r="H43" i="24" a="1"/>
  <c r="H43" i="24" s="1"/>
  <c r="H37" i="24" a="1"/>
  <c r="H37" i="24" s="1"/>
  <c r="H29" i="24" a="1"/>
  <c r="H29" i="24" s="1"/>
  <c r="H31" i="24" a="1"/>
  <c r="H31" i="24" s="1"/>
  <c r="K14" i="43"/>
  <c r="G14" i="43"/>
  <c r="K13" i="43"/>
  <c r="J13" i="43"/>
  <c r="G13" i="43" a="1"/>
  <c r="J14" i="43" a="1"/>
  <c r="G13" i="43" l="1"/>
  <c r="L13" i="43"/>
  <c r="J14" i="43"/>
  <c r="L14" i="43" s="1"/>
  <c r="B93" i="24" l="1"/>
  <c r="B94" i="24"/>
  <c r="B95" i="24"/>
  <c r="B100" i="24"/>
  <c r="B101" i="24"/>
  <c r="B96" i="24"/>
  <c r="B97" i="24"/>
  <c r="B98" i="24"/>
  <c r="B99" i="24"/>
  <c r="B102" i="24"/>
  <c r="B103" i="24"/>
  <c r="B104" i="24"/>
  <c r="B106" i="24"/>
  <c r="B109" i="24"/>
  <c r="B110" i="24"/>
  <c r="B111" i="24"/>
  <c r="B112" i="24"/>
  <c r="B113" i="24"/>
  <c r="B114" i="24"/>
  <c r="B115" i="24"/>
  <c r="B116" i="24"/>
  <c r="B119" i="24"/>
  <c r="B120" i="24"/>
  <c r="B122" i="24"/>
  <c r="B81" i="24"/>
  <c r="I35" i="24" a="1"/>
  <c r="I27" i="24" a="1"/>
  <c r="I34" i="24" a="1"/>
  <c r="I26" i="24" a="1"/>
  <c r="I30" i="24" a="1"/>
  <c r="I33" i="24" a="1"/>
  <c r="I40" i="24" a="1"/>
  <c r="I29" i="24" a="1"/>
  <c r="I42" i="24" a="1"/>
  <c r="I23" i="24" a="1"/>
  <c r="I39" i="24" a="1"/>
  <c r="I28" i="24" a="1"/>
  <c r="I37" i="24" a="1"/>
  <c r="I32" i="24" a="1"/>
  <c r="I45" i="24" a="1"/>
  <c r="I22" i="24" a="1"/>
  <c r="I41" i="24" a="1"/>
  <c r="I44" i="24" a="1"/>
  <c r="I24" i="24" a="1"/>
  <c r="I43" i="24" a="1"/>
  <c r="I31" i="24" a="1"/>
  <c r="I21" i="24" a="1"/>
  <c r="I36" i="24" a="1"/>
  <c r="I25" i="24" a="1"/>
  <c r="I38" i="24" a="1"/>
  <c r="I35" i="24" l="1"/>
  <c r="I41" i="24"/>
  <c r="I23" i="24"/>
  <c r="I25" i="24"/>
  <c r="I34" i="24"/>
  <c r="I24" i="24"/>
  <c r="I26" i="24"/>
  <c r="I44" i="24"/>
  <c r="I32" i="24"/>
  <c r="I22" i="24"/>
  <c r="I40" i="24"/>
  <c r="I43" i="24"/>
  <c r="I28" i="24"/>
  <c r="I33" i="24"/>
  <c r="I39" i="24"/>
  <c r="I30" i="24"/>
  <c r="I42" i="24"/>
  <c r="I45" i="24"/>
  <c r="I36" i="24"/>
  <c r="I21" i="24"/>
  <c r="I29" i="24"/>
  <c r="I37" i="24"/>
  <c r="I27" i="24"/>
  <c r="I31" i="24"/>
  <c r="I38" i="24"/>
  <c r="A2" i="25"/>
  <c r="A3" i="25"/>
  <c r="A4" i="25"/>
  <c r="A5" i="25"/>
  <c r="A6" i="25"/>
  <c r="A7" i="25"/>
  <c r="A8" i="25"/>
  <c r="A9" i="25"/>
  <c r="A10" i="25"/>
  <c r="A11" i="25"/>
  <c r="A12" i="25"/>
  <c r="A13" i="25"/>
  <c r="A14" i="25"/>
  <c r="A15" i="25"/>
  <c r="A16" i="25"/>
  <c r="A17" i="25"/>
  <c r="A18" i="25"/>
  <c r="A19" i="25"/>
  <c r="A20" i="25"/>
  <c r="A21" i="25"/>
  <c r="A22" i="25"/>
  <c r="A23" i="25"/>
  <c r="A24" i="25"/>
  <c r="A25" i="25"/>
  <c r="A26" i="25"/>
  <c r="A27" i="25"/>
  <c r="A28" i="25"/>
  <c r="A29" i="25"/>
  <c r="A30" i="25"/>
  <c r="A31" i="25"/>
  <c r="A32" i="25"/>
  <c r="A33" i="25"/>
  <c r="A34" i="25"/>
  <c r="A35" i="25"/>
  <c r="A36" i="25"/>
  <c r="A37" i="25"/>
  <c r="A38" i="25"/>
  <c r="A39" i="25"/>
  <c r="A40" i="25"/>
  <c r="A41" i="25"/>
  <c r="A42" i="25"/>
  <c r="A43" i="25"/>
  <c r="A44" i="25"/>
  <c r="A45" i="25"/>
  <c r="A46" i="25"/>
  <c r="A47" i="25"/>
  <c r="A48" i="25"/>
  <c r="A49" i="25"/>
  <c r="A50" i="25"/>
  <c r="A51" i="25"/>
  <c r="A52" i="25"/>
  <c r="A53" i="25"/>
  <c r="A54" i="25"/>
  <c r="A55" i="25"/>
  <c r="A56" i="25"/>
  <c r="A57" i="25"/>
  <c r="A58" i="25"/>
  <c r="A59" i="25"/>
  <c r="A60" i="25"/>
  <c r="A61" i="25"/>
  <c r="A62" i="25"/>
  <c r="A63" i="25"/>
  <c r="A64" i="25"/>
  <c r="A65" i="25"/>
  <c r="A66" i="25"/>
  <c r="A67" i="25"/>
  <c r="A68" i="25"/>
  <c r="A69" i="25"/>
  <c r="A70" i="25"/>
  <c r="A71" i="25"/>
  <c r="A72" i="25"/>
  <c r="A73" i="25"/>
  <c r="A74" i="25"/>
  <c r="A75" i="25"/>
  <c r="A76" i="25"/>
  <c r="A77" i="25"/>
  <c r="A78" i="25"/>
  <c r="A79" i="25"/>
  <c r="A80" i="25"/>
  <c r="A81" i="25"/>
  <c r="A82" i="25"/>
  <c r="A83" i="25"/>
  <c r="A84" i="25"/>
  <c r="A85" i="25"/>
  <c r="A86" i="25"/>
  <c r="A87" i="25"/>
  <c r="A88" i="25"/>
  <c r="A89" i="25"/>
  <c r="A90" i="25"/>
  <c r="A91" i="25"/>
  <c r="A92" i="25"/>
  <c r="A93" i="25"/>
  <c r="A94" i="25"/>
  <c r="A95" i="25"/>
  <c r="A96" i="25"/>
  <c r="A97" i="25"/>
  <c r="A98" i="25"/>
  <c r="A99" i="25"/>
  <c r="A100" i="25"/>
  <c r="A101" i="25"/>
  <c r="A102" i="25"/>
  <c r="A103" i="25"/>
  <c r="A104" i="25"/>
  <c r="A105" i="25"/>
  <c r="A106" i="25"/>
  <c r="A107" i="25"/>
  <c r="A108" i="25"/>
  <c r="A109" i="25"/>
  <c r="A110" i="25"/>
  <c r="A111" i="25"/>
  <c r="A112" i="25"/>
  <c r="A113" i="25"/>
  <c r="A114" i="25"/>
  <c r="A115" i="25"/>
  <c r="A116" i="25"/>
  <c r="A117" i="25"/>
  <c r="A118" i="25"/>
  <c r="A119" i="25"/>
  <c r="A120" i="25"/>
  <c r="A121" i="25"/>
  <c r="A122" i="25"/>
  <c r="A123" i="25"/>
  <c r="A124" i="25"/>
  <c r="A125" i="25"/>
  <c r="A126" i="25"/>
  <c r="A127" i="25"/>
  <c r="A128" i="25"/>
  <c r="A129" i="25"/>
  <c r="A130" i="25"/>
  <c r="A131" i="25"/>
  <c r="A132" i="25"/>
  <c r="A133" i="25"/>
  <c r="A134" i="25"/>
  <c r="A135" i="25"/>
  <c r="A136" i="25"/>
  <c r="A137" i="25"/>
  <c r="A138" i="25"/>
  <c r="A139" i="25"/>
  <c r="A140" i="25"/>
  <c r="A141" i="25"/>
  <c r="A142" i="25"/>
  <c r="A143" i="25"/>
  <c r="A144" i="25"/>
  <c r="A145" i="25"/>
  <c r="A146" i="25"/>
  <c r="A147" i="25"/>
  <c r="A148" i="25"/>
  <c r="A149" i="25"/>
  <c r="A150" i="25"/>
  <c r="A151" i="25"/>
  <c r="A152" i="25"/>
  <c r="A153" i="25"/>
  <c r="A154" i="25"/>
  <c r="A155" i="25"/>
  <c r="A156" i="25"/>
  <c r="A157" i="25"/>
  <c r="A158" i="25"/>
  <c r="A159" i="25"/>
  <c r="A160" i="25"/>
  <c r="A161" i="25"/>
  <c r="A162" i="25"/>
  <c r="A163" i="25"/>
  <c r="A164" i="25"/>
  <c r="A165" i="25"/>
  <c r="A166" i="25"/>
  <c r="A167" i="25"/>
  <c r="A168" i="25"/>
  <c r="A169" i="25"/>
  <c r="A170" i="25"/>
  <c r="A171" i="25"/>
  <c r="A172" i="25"/>
  <c r="A173" i="25"/>
  <c r="A174" i="25"/>
  <c r="A175" i="25"/>
  <c r="A176" i="25"/>
  <c r="A177" i="25"/>
  <c r="A178" i="25"/>
  <c r="A179" i="25"/>
  <c r="A180" i="25"/>
  <c r="A181" i="25"/>
  <c r="A182" i="25"/>
  <c r="A183" i="25"/>
  <c r="A184" i="25"/>
  <c r="A185" i="25"/>
  <c r="A186" i="25"/>
  <c r="A187" i="25"/>
  <c r="A188" i="25"/>
  <c r="A189" i="25"/>
  <c r="A190" i="25"/>
  <c r="A191" i="25"/>
  <c r="A192" i="25"/>
  <c r="A193" i="25"/>
  <c r="A194" i="25"/>
  <c r="A195" i="25"/>
  <c r="A196" i="25"/>
  <c r="A197" i="25"/>
  <c r="A198" i="25"/>
  <c r="A199" i="25"/>
  <c r="A200" i="25"/>
  <c r="A201" i="25"/>
  <c r="A202" i="25"/>
  <c r="A203" i="25"/>
  <c r="A204" i="25"/>
  <c r="A205" i="25"/>
  <c r="A206" i="25"/>
  <c r="A207" i="25"/>
  <c r="A208" i="25"/>
  <c r="A209" i="25"/>
  <c r="A210" i="25"/>
  <c r="A211" i="25"/>
  <c r="A212" i="25"/>
  <c r="A213" i="25"/>
  <c r="A214" i="25"/>
  <c r="A215" i="25"/>
  <c r="A216" i="25"/>
  <c r="A217" i="25"/>
  <c r="A218" i="25"/>
  <c r="A219" i="25"/>
  <c r="A220" i="25"/>
  <c r="A221" i="25"/>
  <c r="A222" i="25"/>
  <c r="A223" i="25"/>
  <c r="A224" i="25"/>
  <c r="A225" i="25"/>
  <c r="A226" i="25"/>
  <c r="A227" i="25"/>
  <c r="A228" i="25"/>
  <c r="A229" i="25"/>
  <c r="A230" i="25"/>
  <c r="A231" i="25"/>
  <c r="A232" i="25"/>
  <c r="A233" i="25"/>
  <c r="A234" i="25"/>
  <c r="A235" i="25"/>
  <c r="A236" i="25"/>
  <c r="A237" i="25"/>
  <c r="A238" i="25"/>
  <c r="A239" i="25"/>
  <c r="A240" i="25"/>
  <c r="A241" i="25"/>
  <c r="A242" i="25"/>
  <c r="A243" i="25"/>
  <c r="A244" i="25"/>
  <c r="A245" i="25"/>
  <c r="A246" i="25"/>
  <c r="A247" i="25"/>
  <c r="A248" i="25"/>
  <c r="A249" i="25"/>
  <c r="A250" i="25"/>
  <c r="A251" i="25"/>
  <c r="A252" i="25"/>
  <c r="A253" i="25"/>
  <c r="A254" i="25"/>
  <c r="A255" i="25"/>
  <c r="A256" i="25"/>
  <c r="A257" i="25"/>
  <c r="A258" i="25"/>
  <c r="A259" i="25"/>
  <c r="A260" i="25"/>
  <c r="A261" i="25"/>
  <c r="A262" i="25"/>
  <c r="A263" i="25"/>
  <c r="A264" i="25"/>
  <c r="A265" i="25"/>
  <c r="A266" i="25"/>
  <c r="A267" i="25"/>
  <c r="A268" i="25"/>
  <c r="A269" i="25"/>
  <c r="A270" i="25"/>
  <c r="A271" i="25"/>
  <c r="A272" i="25"/>
  <c r="A273" i="25"/>
  <c r="A274" i="25"/>
  <c r="A275" i="25"/>
  <c r="A276" i="25"/>
  <c r="A277" i="25"/>
  <c r="A278" i="25"/>
  <c r="A279" i="25"/>
  <c r="A280" i="25"/>
  <c r="A281" i="25"/>
  <c r="A282" i="25"/>
  <c r="A283" i="25"/>
  <c r="A284" i="25"/>
  <c r="A285" i="25"/>
  <c r="A286" i="25"/>
  <c r="A287" i="25"/>
  <c r="A288" i="25"/>
  <c r="A289" i="25"/>
  <c r="A290" i="25"/>
  <c r="A291" i="25"/>
  <c r="A292" i="25"/>
  <c r="A293" i="25"/>
  <c r="A294" i="25"/>
  <c r="A295" i="25"/>
  <c r="A296" i="25"/>
  <c r="A297" i="25"/>
  <c r="A298" i="25"/>
  <c r="A299" i="25"/>
  <c r="A300" i="25"/>
  <c r="A301" i="25"/>
  <c r="A302" i="25"/>
  <c r="A303" i="25"/>
  <c r="A304" i="25"/>
  <c r="A305" i="25"/>
  <c r="A306" i="25"/>
  <c r="A307" i="25"/>
  <c r="A308" i="25"/>
  <c r="A309" i="25"/>
  <c r="A310" i="25"/>
  <c r="A311" i="25"/>
  <c r="A312" i="25"/>
  <c r="A313" i="25"/>
  <c r="A314" i="25"/>
  <c r="A315" i="25"/>
  <c r="A316" i="25"/>
  <c r="A317" i="25"/>
  <c r="A318" i="25"/>
  <c r="A319" i="25"/>
  <c r="A320" i="25"/>
  <c r="A321" i="25"/>
  <c r="A322" i="25"/>
  <c r="A323" i="25"/>
  <c r="A324" i="25"/>
  <c r="A325" i="25"/>
  <c r="A326" i="25"/>
  <c r="A327" i="25"/>
  <c r="A328" i="25"/>
  <c r="A329" i="25"/>
  <c r="A330" i="25"/>
  <c r="A331" i="25"/>
  <c r="A332" i="25"/>
  <c r="A333" i="25"/>
  <c r="A334" i="25"/>
  <c r="A335" i="25"/>
  <c r="A336" i="25"/>
  <c r="A337" i="25"/>
  <c r="A338" i="25"/>
  <c r="A339" i="25"/>
  <c r="A340" i="25"/>
  <c r="A341" i="25"/>
  <c r="A342" i="25"/>
  <c r="A343" i="25"/>
  <c r="A344" i="25"/>
  <c r="A345" i="25"/>
  <c r="A346" i="25"/>
  <c r="A347" i="25"/>
  <c r="A348" i="25"/>
  <c r="A349" i="25"/>
  <c r="A350" i="25"/>
  <c r="A351" i="25"/>
  <c r="A352" i="25"/>
  <c r="A353" i="25"/>
  <c r="A354" i="25"/>
  <c r="A355" i="25"/>
  <c r="A356" i="25"/>
  <c r="A357" i="25"/>
  <c r="A358" i="25"/>
  <c r="A359" i="25"/>
  <c r="A360" i="25"/>
  <c r="A361" i="25"/>
  <c r="A362" i="25"/>
  <c r="A363" i="25"/>
  <c r="A364" i="25"/>
  <c r="A365" i="25"/>
  <c r="A366" i="25"/>
  <c r="A367" i="25"/>
  <c r="A368" i="25"/>
  <c r="A369" i="25"/>
  <c r="A370" i="25"/>
  <c r="A371" i="25"/>
  <c r="A372" i="25"/>
  <c r="A373" i="25"/>
  <c r="A374" i="25"/>
  <c r="A375" i="25"/>
  <c r="A376" i="25"/>
  <c r="A377" i="25"/>
  <c r="A378" i="25"/>
  <c r="A379" i="25"/>
  <c r="A380" i="25"/>
  <c r="A381" i="25"/>
  <c r="A382" i="25"/>
  <c r="A383" i="25"/>
  <c r="A384" i="25"/>
  <c r="A385" i="25"/>
  <c r="A386" i="25"/>
  <c r="A387" i="25"/>
  <c r="A388" i="25"/>
  <c r="A389" i="25"/>
  <c r="A390" i="25"/>
  <c r="A391" i="25"/>
  <c r="A392" i="25"/>
  <c r="A393" i="25"/>
  <c r="A394" i="25"/>
  <c r="A395" i="25"/>
  <c r="A396" i="25"/>
  <c r="A397" i="25"/>
  <c r="A398" i="25"/>
  <c r="A399" i="25"/>
  <c r="A400" i="25"/>
  <c r="A401" i="25"/>
  <c r="A402" i="25"/>
  <c r="A403" i="25"/>
  <c r="A404" i="25"/>
  <c r="A405" i="25"/>
  <c r="A406" i="25"/>
  <c r="A407" i="25"/>
  <c r="A408" i="25"/>
  <c r="A409" i="25"/>
  <c r="A410" i="25"/>
  <c r="A411" i="25"/>
  <c r="A412" i="25"/>
  <c r="A413" i="25"/>
  <c r="A414" i="25"/>
  <c r="A415" i="25"/>
  <c r="A416" i="25"/>
  <c r="A417" i="25"/>
  <c r="A418" i="25"/>
  <c r="A419" i="25"/>
  <c r="A420" i="25"/>
  <c r="A421" i="25"/>
  <c r="A422" i="25"/>
  <c r="A423" i="25"/>
  <c r="A424" i="25"/>
  <c r="A425" i="25"/>
  <c r="A426" i="25"/>
  <c r="A427" i="25"/>
  <c r="A428" i="25"/>
  <c r="A429" i="25"/>
  <c r="A430" i="25"/>
  <c r="A431" i="25"/>
  <c r="A432" i="25"/>
  <c r="A433" i="25"/>
  <c r="A434" i="25"/>
  <c r="A435" i="25"/>
  <c r="A436" i="25"/>
  <c r="A437" i="25"/>
  <c r="A438" i="25"/>
  <c r="A439" i="25"/>
  <c r="A440" i="25"/>
  <c r="A441" i="25"/>
  <c r="A442" i="25"/>
  <c r="A443" i="25"/>
  <c r="A444" i="25"/>
  <c r="A445" i="25"/>
  <c r="A446" i="25"/>
  <c r="A447" i="25"/>
  <c r="A448" i="25"/>
  <c r="A449" i="25"/>
  <c r="A450" i="25"/>
  <c r="A451" i="25"/>
  <c r="A452" i="25"/>
  <c r="A453" i="25"/>
  <c r="A454" i="25"/>
  <c r="A455" i="25"/>
  <c r="A456" i="25"/>
  <c r="A457" i="25"/>
  <c r="A458" i="25"/>
  <c r="A459" i="25"/>
  <c r="A460" i="25"/>
  <c r="A461" i="25"/>
  <c r="A462" i="25"/>
  <c r="A463" i="25"/>
  <c r="A464" i="25"/>
  <c r="A465" i="25"/>
  <c r="A466" i="25"/>
  <c r="A467" i="25"/>
  <c r="A468" i="25"/>
  <c r="A469" i="25"/>
  <c r="A470" i="25"/>
  <c r="A471" i="25"/>
  <c r="A472" i="25"/>
  <c r="A473" i="25"/>
  <c r="A474" i="25"/>
  <c r="A475" i="25"/>
  <c r="A476" i="25"/>
  <c r="A477" i="25"/>
  <c r="A478" i="25"/>
  <c r="A479" i="25"/>
  <c r="A480" i="25"/>
  <c r="A481" i="25"/>
  <c r="A482" i="25"/>
  <c r="A483" i="25"/>
  <c r="A484" i="25"/>
  <c r="A485" i="25"/>
  <c r="A486" i="25"/>
  <c r="A487" i="25"/>
  <c r="A488" i="25"/>
  <c r="A489" i="25"/>
  <c r="A490" i="25"/>
  <c r="A491" i="25"/>
  <c r="A492" i="25"/>
  <c r="A493" i="25"/>
  <c r="A494" i="25"/>
  <c r="A495" i="25"/>
  <c r="A496" i="25"/>
  <c r="A497" i="25"/>
  <c r="A498" i="25"/>
  <c r="A499" i="25"/>
  <c r="A500" i="25"/>
  <c r="A501" i="25"/>
  <c r="A502" i="25"/>
  <c r="A503" i="25"/>
  <c r="A504" i="25"/>
  <c r="A505" i="25"/>
  <c r="A506" i="25"/>
  <c r="A507" i="25"/>
  <c r="A508" i="25"/>
  <c r="A509" i="25"/>
  <c r="A510" i="25"/>
  <c r="A511" i="25"/>
  <c r="A512" i="25"/>
  <c r="A513" i="25"/>
  <c r="A514" i="25"/>
  <c r="A515" i="25"/>
  <c r="A516" i="25"/>
  <c r="A517" i="25"/>
  <c r="A518" i="25"/>
  <c r="A519" i="25"/>
  <c r="A520" i="25"/>
  <c r="A521" i="25"/>
  <c r="A522" i="25"/>
  <c r="A523" i="25"/>
  <c r="A524" i="25"/>
  <c r="A525" i="25"/>
  <c r="A526" i="25"/>
  <c r="A527" i="25"/>
  <c r="A528" i="25"/>
  <c r="A529" i="25"/>
  <c r="A530" i="25"/>
  <c r="A531" i="25"/>
  <c r="A532" i="25"/>
  <c r="A533" i="25"/>
  <c r="A534" i="25"/>
  <c r="A535" i="25"/>
  <c r="A536" i="25"/>
  <c r="A537" i="25"/>
  <c r="A538" i="25"/>
  <c r="A539" i="25"/>
  <c r="A540" i="25"/>
  <c r="A541" i="25"/>
  <c r="A542" i="25"/>
  <c r="A543" i="25"/>
  <c r="A544" i="25"/>
  <c r="A545" i="25"/>
  <c r="A546" i="25"/>
  <c r="A547" i="25"/>
  <c r="A548" i="25"/>
  <c r="A549" i="25"/>
  <c r="A550" i="25"/>
  <c r="A551" i="25"/>
  <c r="A552" i="25"/>
  <c r="A553" i="25"/>
  <c r="A554" i="25"/>
  <c r="A555" i="25"/>
  <c r="A556" i="25"/>
  <c r="A557" i="25"/>
  <c r="A558" i="25"/>
  <c r="A559" i="25"/>
  <c r="A560" i="25"/>
  <c r="A561" i="25"/>
  <c r="A562" i="25"/>
  <c r="A563" i="25"/>
  <c r="A564" i="25"/>
  <c r="A565" i="25"/>
  <c r="A566" i="25"/>
  <c r="A567" i="25"/>
  <c r="A568" i="25"/>
  <c r="A569" i="25"/>
  <c r="A570" i="25"/>
  <c r="A571" i="25"/>
  <c r="A572" i="25"/>
  <c r="A573" i="25"/>
  <c r="A574" i="25"/>
  <c r="A575" i="25"/>
  <c r="A576" i="25"/>
  <c r="A577" i="25"/>
  <c r="A578" i="25"/>
  <c r="A579" i="25"/>
  <c r="A580" i="25"/>
  <c r="A581" i="25"/>
  <c r="A582" i="25"/>
  <c r="A583" i="25"/>
  <c r="A584" i="25"/>
  <c r="A585" i="25"/>
  <c r="A586" i="25"/>
  <c r="A587" i="25"/>
  <c r="A588" i="25"/>
  <c r="A589" i="25"/>
  <c r="A590" i="25"/>
  <c r="A591" i="25"/>
  <c r="A592" i="25"/>
  <c r="A593" i="25"/>
  <c r="A594" i="25"/>
  <c r="A595" i="25"/>
  <c r="A596" i="25"/>
  <c r="A597" i="25"/>
  <c r="A598" i="25"/>
  <c r="A599" i="25"/>
  <c r="A600" i="25"/>
  <c r="A601" i="25"/>
  <c r="A602" i="25"/>
  <c r="A603" i="25"/>
  <c r="A604" i="25"/>
  <c r="A605" i="25"/>
  <c r="A606" i="25"/>
  <c r="A607" i="25"/>
  <c r="A608" i="25"/>
  <c r="A609" i="25"/>
  <c r="A610" i="25"/>
  <c r="A611" i="25"/>
  <c r="A612" i="25"/>
  <c r="A613" i="25"/>
  <c r="A614" i="25"/>
  <c r="A615" i="25"/>
  <c r="A616" i="25"/>
  <c r="A617" i="25"/>
  <c r="A618" i="25"/>
  <c r="A619" i="25"/>
  <c r="A620" i="25"/>
  <c r="A621" i="25"/>
  <c r="A622" i="25"/>
  <c r="A623" i="25"/>
  <c r="A624" i="25"/>
  <c r="A625" i="25"/>
  <c r="A626" i="25"/>
  <c r="A627" i="25"/>
  <c r="A628" i="25"/>
  <c r="A629" i="25"/>
  <c r="A630" i="25"/>
  <c r="A631" i="25"/>
  <c r="A632" i="25"/>
  <c r="A633" i="25"/>
  <c r="A634" i="25"/>
  <c r="A635" i="25"/>
  <c r="A636" i="25"/>
  <c r="A637" i="25"/>
  <c r="A638" i="25"/>
  <c r="A639" i="25"/>
  <c r="A640" i="25"/>
  <c r="A641" i="25"/>
  <c r="A642" i="25"/>
  <c r="A643" i="25"/>
  <c r="A644" i="25"/>
  <c r="A645" i="25"/>
  <c r="A646" i="25"/>
  <c r="A647" i="25"/>
  <c r="A648" i="25"/>
  <c r="A649" i="25"/>
  <c r="A650" i="25"/>
  <c r="A651" i="25"/>
  <c r="A652" i="25"/>
  <c r="A653" i="25"/>
  <c r="A654" i="25"/>
  <c r="A655" i="25"/>
  <c r="A656" i="25"/>
  <c r="A657" i="25"/>
  <c r="A658" i="25"/>
  <c r="A659" i="25"/>
  <c r="A660" i="25"/>
  <c r="A661" i="25"/>
  <c r="A662" i="25"/>
  <c r="A663" i="25"/>
  <c r="A664" i="25"/>
  <c r="A665" i="25"/>
  <c r="A666" i="25"/>
  <c r="A667" i="25"/>
  <c r="A668" i="25"/>
  <c r="A669" i="25"/>
  <c r="A670" i="25"/>
  <c r="A671" i="25"/>
  <c r="A672" i="25"/>
  <c r="A673" i="25"/>
  <c r="A674" i="25"/>
  <c r="A675" i="25"/>
  <c r="A676" i="25"/>
  <c r="A677" i="25"/>
  <c r="A678" i="25"/>
  <c r="A679" i="25"/>
  <c r="A680" i="25"/>
  <c r="A681" i="25"/>
  <c r="A682" i="25"/>
  <c r="A683" i="25"/>
  <c r="A684" i="25"/>
  <c r="A685" i="25"/>
  <c r="A686" i="25"/>
  <c r="A687" i="25"/>
  <c r="A688" i="25"/>
  <c r="A689" i="25"/>
  <c r="A690" i="25"/>
  <c r="A691" i="25"/>
  <c r="A692" i="25"/>
  <c r="A693" i="25"/>
  <c r="A694" i="25"/>
  <c r="A695" i="25"/>
  <c r="A696" i="25"/>
  <c r="A697" i="25"/>
  <c r="A698" i="25"/>
  <c r="A699" i="25"/>
  <c r="A700" i="25"/>
  <c r="A701" i="25"/>
  <c r="A702" i="25"/>
  <c r="A703" i="25"/>
  <c r="A704" i="25"/>
  <c r="A705" i="25"/>
  <c r="A706" i="25"/>
  <c r="A707" i="25"/>
  <c r="A708" i="25"/>
  <c r="A709" i="25"/>
  <c r="A710" i="25"/>
  <c r="A711" i="25"/>
  <c r="A712" i="25"/>
  <c r="A713" i="25"/>
  <c r="A714" i="25"/>
  <c r="A715" i="25"/>
  <c r="A716" i="25"/>
  <c r="A717" i="25"/>
  <c r="A718" i="25"/>
  <c r="A719" i="25"/>
  <c r="A720" i="25"/>
  <c r="A721" i="25"/>
  <c r="A722" i="25"/>
  <c r="A723" i="25"/>
  <c r="A724" i="25"/>
  <c r="A725" i="25"/>
  <c r="A726" i="25"/>
  <c r="A727" i="25"/>
  <c r="A728" i="25"/>
  <c r="A729" i="25"/>
  <c r="A730" i="25"/>
  <c r="A731" i="25"/>
  <c r="A732" i="25"/>
  <c r="A733" i="25"/>
  <c r="A734" i="25"/>
  <c r="A735" i="25"/>
  <c r="A736" i="25"/>
  <c r="A737" i="25"/>
  <c r="A738" i="25"/>
  <c r="A739" i="25"/>
  <c r="A740" i="25"/>
  <c r="A741" i="25"/>
  <c r="A742" i="25"/>
  <c r="A743" i="25"/>
  <c r="A744" i="25"/>
  <c r="A745" i="25"/>
  <c r="A746" i="25"/>
  <c r="A747" i="25"/>
  <c r="A748" i="25"/>
  <c r="A749" i="25"/>
  <c r="A750" i="25"/>
  <c r="A751" i="25"/>
  <c r="A752" i="25"/>
  <c r="A753" i="25"/>
  <c r="A754" i="25"/>
  <c r="A755" i="25"/>
  <c r="A756" i="25"/>
  <c r="A757" i="25"/>
  <c r="A758" i="25"/>
  <c r="A759" i="25"/>
  <c r="A760" i="25"/>
  <c r="A761" i="25"/>
  <c r="A762" i="25"/>
  <c r="A763" i="25"/>
  <c r="A764" i="25"/>
  <c r="A765" i="25"/>
  <c r="A766" i="25"/>
  <c r="A767" i="25"/>
  <c r="A768" i="25"/>
  <c r="A769" i="25"/>
  <c r="A770" i="25"/>
  <c r="A771" i="25"/>
  <c r="A772" i="25"/>
  <c r="A773" i="25"/>
  <c r="A774" i="25"/>
  <c r="A775" i="25"/>
  <c r="A776" i="25"/>
  <c r="A777" i="25"/>
  <c r="A778" i="25"/>
  <c r="A779" i="25"/>
  <c r="A780" i="25"/>
  <c r="A781" i="25"/>
  <c r="A782" i="25"/>
  <c r="A783" i="25"/>
  <c r="A784" i="25"/>
  <c r="A785" i="25"/>
  <c r="A786" i="25"/>
  <c r="A787" i="25"/>
  <c r="A788" i="25"/>
  <c r="A789" i="25"/>
  <c r="A790" i="25"/>
  <c r="A791" i="25"/>
  <c r="A792" i="25"/>
  <c r="A793" i="25"/>
  <c r="A794" i="25"/>
  <c r="A795" i="25"/>
  <c r="A796" i="25"/>
  <c r="A797" i="25"/>
  <c r="A798" i="25"/>
  <c r="A799" i="25"/>
  <c r="A800" i="25"/>
  <c r="A801" i="25"/>
  <c r="A802" i="25"/>
  <c r="A803" i="25"/>
  <c r="A804" i="25"/>
  <c r="A805" i="25"/>
  <c r="A806" i="25"/>
  <c r="A807" i="25"/>
  <c r="A808" i="25"/>
  <c r="A809" i="25"/>
  <c r="A810" i="25"/>
  <c r="A811" i="25"/>
  <c r="A812" i="25"/>
  <c r="A813" i="25"/>
  <c r="A814" i="25"/>
  <c r="A815" i="25"/>
  <c r="A816" i="25"/>
  <c r="A817" i="25"/>
  <c r="A818" i="25"/>
  <c r="A819" i="25"/>
  <c r="A820" i="25"/>
  <c r="A821" i="25"/>
  <c r="A822" i="25"/>
  <c r="A823" i="25"/>
  <c r="A824" i="25"/>
  <c r="A825" i="25"/>
  <c r="A826" i="25"/>
  <c r="A827" i="25"/>
  <c r="A828" i="25"/>
  <c r="A829" i="25"/>
  <c r="A830" i="25"/>
  <c r="A831" i="25"/>
  <c r="A832" i="25"/>
  <c r="A833" i="25"/>
  <c r="A834" i="25"/>
  <c r="A835" i="25"/>
  <c r="A836" i="25"/>
  <c r="A837" i="25"/>
  <c r="A838" i="25"/>
  <c r="A839" i="25"/>
  <c r="A840" i="25"/>
  <c r="A841" i="25"/>
  <c r="A842" i="25"/>
  <c r="A843" i="25"/>
  <c r="A844" i="25"/>
  <c r="A845" i="25"/>
  <c r="A846" i="25"/>
  <c r="A847" i="25"/>
  <c r="A848" i="25"/>
  <c r="A849" i="25"/>
  <c r="A850" i="25"/>
  <c r="A851" i="25"/>
  <c r="A852" i="25"/>
  <c r="A853" i="25"/>
  <c r="A854" i="25"/>
  <c r="A855" i="25"/>
  <c r="A856" i="25"/>
  <c r="A857" i="25"/>
  <c r="A858" i="25"/>
  <c r="A859" i="25"/>
  <c r="A860" i="25"/>
  <c r="A861" i="25"/>
  <c r="A862" i="25"/>
  <c r="A863" i="25"/>
  <c r="A864" i="25"/>
  <c r="A865" i="25"/>
  <c r="A866" i="25"/>
  <c r="A867" i="25"/>
  <c r="A868" i="25"/>
  <c r="A869" i="25"/>
  <c r="A870" i="25"/>
  <c r="A871" i="25"/>
  <c r="A872" i="25"/>
  <c r="A873" i="25"/>
  <c r="A874" i="25"/>
  <c r="A875" i="25"/>
  <c r="A876" i="25"/>
  <c r="A877" i="25"/>
  <c r="A878" i="25"/>
  <c r="A879" i="25"/>
  <c r="A880" i="25"/>
  <c r="A881" i="25"/>
  <c r="A882" i="25"/>
  <c r="A883" i="25"/>
  <c r="A884" i="25"/>
  <c r="A885" i="25"/>
  <c r="A886" i="25"/>
  <c r="A887" i="25"/>
  <c r="A888" i="25"/>
  <c r="A889" i="25"/>
  <c r="A890" i="25"/>
  <c r="A891" i="25"/>
  <c r="A892" i="25"/>
  <c r="A893" i="25"/>
  <c r="A894" i="25"/>
  <c r="A895" i="25"/>
  <c r="A896" i="25"/>
  <c r="A897" i="25"/>
  <c r="A898" i="25"/>
  <c r="A899" i="25"/>
  <c r="A900" i="25"/>
  <c r="A901" i="25"/>
  <c r="A902" i="25"/>
  <c r="A903" i="25"/>
  <c r="A904" i="25"/>
  <c r="A905" i="25"/>
  <c r="A906" i="25"/>
  <c r="A907" i="25"/>
  <c r="A908" i="25"/>
  <c r="A909" i="25"/>
  <c r="A910" i="25"/>
  <c r="A911" i="25"/>
  <c r="A912" i="25"/>
  <c r="A913" i="25"/>
  <c r="A914" i="25"/>
  <c r="A915" i="25"/>
  <c r="A916" i="25"/>
  <c r="A917" i="25"/>
  <c r="A918" i="25"/>
  <c r="A919" i="25"/>
  <c r="A920" i="25"/>
  <c r="A921" i="25"/>
  <c r="A922" i="25"/>
  <c r="A923" i="25"/>
  <c r="A924" i="25"/>
  <c r="A925" i="25"/>
  <c r="A926" i="25"/>
  <c r="A927" i="25"/>
  <c r="A928" i="25"/>
  <c r="A929" i="25"/>
  <c r="A930" i="25"/>
  <c r="A931" i="25"/>
  <c r="A932" i="25"/>
  <c r="A933" i="25"/>
  <c r="A934" i="25"/>
  <c r="A935" i="25"/>
  <c r="A936" i="25"/>
  <c r="A937" i="25"/>
  <c r="A938" i="25"/>
  <c r="A939" i="25"/>
  <c r="A940" i="25"/>
  <c r="A941" i="25"/>
  <c r="A942" i="25"/>
  <c r="A943" i="25"/>
  <c r="A944" i="25"/>
  <c r="A945" i="25"/>
  <c r="A946" i="25"/>
  <c r="A947" i="25"/>
  <c r="A948" i="25"/>
  <c r="A949" i="25"/>
  <c r="A950" i="25"/>
  <c r="A951" i="25"/>
  <c r="A952" i="25"/>
  <c r="A953" i="25"/>
  <c r="A954" i="25"/>
  <c r="A955" i="25"/>
  <c r="A956" i="25"/>
  <c r="A957" i="25"/>
  <c r="A958" i="25"/>
  <c r="A959" i="25"/>
  <c r="A960" i="25"/>
  <c r="A961" i="25"/>
  <c r="A962" i="25"/>
  <c r="A963" i="25"/>
  <c r="A964" i="25"/>
  <c r="A965" i="25"/>
  <c r="A966" i="25"/>
  <c r="A967" i="25"/>
  <c r="A968" i="25"/>
  <c r="A969" i="25"/>
  <c r="A970" i="25"/>
  <c r="A971" i="25"/>
  <c r="A972" i="25"/>
  <c r="A973" i="25"/>
  <c r="A974" i="25"/>
  <c r="A975" i="25"/>
  <c r="A976" i="25"/>
  <c r="A977" i="25"/>
  <c r="A978" i="25"/>
  <c r="A979" i="25"/>
  <c r="A980" i="25"/>
  <c r="A981" i="25"/>
  <c r="A982" i="25"/>
  <c r="A983" i="25"/>
  <c r="A984" i="25"/>
  <c r="A985" i="25"/>
  <c r="A986" i="25"/>
  <c r="A987" i="25"/>
  <c r="A988" i="25"/>
  <c r="A989" i="25"/>
  <c r="A990" i="25"/>
  <c r="A991" i="25"/>
  <c r="A992" i="25"/>
  <c r="A993" i="25"/>
  <c r="A994" i="25"/>
  <c r="A995" i="25"/>
  <c r="A996" i="25"/>
  <c r="A997" i="25"/>
  <c r="A998" i="25"/>
  <c r="A999" i="25"/>
  <c r="A1000" i="25"/>
  <c r="A1001" i="25"/>
  <c r="A1002" i="25"/>
  <c r="A1003" i="25"/>
  <c r="A1004" i="25"/>
  <c r="A1005" i="25"/>
  <c r="A1006" i="25"/>
  <c r="A1007" i="25"/>
  <c r="A1008" i="25"/>
  <c r="A1009" i="25"/>
  <c r="A1010" i="25"/>
  <c r="A1011" i="25"/>
  <c r="A1012" i="25"/>
  <c r="A1013" i="25"/>
  <c r="A1014" i="25"/>
  <c r="A1015" i="25"/>
  <c r="A1016" i="25"/>
  <c r="A1017" i="25"/>
  <c r="A1018" i="25"/>
  <c r="A1019" i="25"/>
  <c r="A1020" i="25"/>
  <c r="A1021" i="25"/>
  <c r="A1022" i="25"/>
  <c r="A1023" i="25"/>
  <c r="A1024" i="25"/>
  <c r="A1025" i="25"/>
  <c r="A1026" i="25"/>
  <c r="A1027" i="25"/>
  <c r="A1028" i="25"/>
  <c r="A1029" i="25"/>
  <c r="A1030" i="25"/>
  <c r="A1031" i="25"/>
  <c r="A1032" i="25"/>
  <c r="A1033" i="25"/>
  <c r="A1034" i="25"/>
  <c r="A1035" i="25"/>
  <c r="A1036" i="25"/>
  <c r="A1037" i="25"/>
  <c r="A1038" i="25"/>
  <c r="A1039" i="25"/>
  <c r="A1040" i="25"/>
  <c r="A1041" i="25"/>
  <c r="A1042" i="25"/>
  <c r="A1043" i="25"/>
  <c r="A1044" i="25"/>
  <c r="A1045" i="25"/>
  <c r="A1046" i="25"/>
  <c r="A1047" i="25"/>
  <c r="A1048" i="25"/>
  <c r="A1049" i="25"/>
  <c r="A1050" i="25"/>
  <c r="A1051" i="25"/>
  <c r="A1052" i="25"/>
  <c r="A1053" i="25"/>
  <c r="A1054" i="25"/>
  <c r="A1055" i="25"/>
  <c r="A1056" i="25"/>
  <c r="A1057" i="25"/>
  <c r="A1058" i="25"/>
  <c r="A1059" i="25"/>
  <c r="A1060" i="25"/>
  <c r="A1061" i="25"/>
  <c r="A1062" i="25"/>
  <c r="A1063" i="25"/>
  <c r="A1064" i="25"/>
  <c r="A1065" i="25"/>
  <c r="A1066" i="25"/>
  <c r="A1067" i="25"/>
  <c r="A1068" i="25"/>
  <c r="A1069" i="25"/>
  <c r="A1070" i="25"/>
  <c r="A1071" i="25"/>
  <c r="A1072" i="25"/>
  <c r="A1073" i="25"/>
  <c r="A1074" i="25"/>
  <c r="A1075" i="25"/>
  <c r="A1076" i="25"/>
  <c r="A1077" i="25"/>
  <c r="A1078" i="25"/>
  <c r="A1079" i="25"/>
  <c r="A1080" i="25"/>
  <c r="A1081" i="25"/>
  <c r="A1082" i="25"/>
  <c r="A1083" i="25"/>
  <c r="A1084" i="25"/>
  <c r="A1085" i="25"/>
  <c r="A1086" i="25"/>
  <c r="A1087" i="25"/>
  <c r="A1088" i="25"/>
  <c r="A1089" i="25"/>
  <c r="A1090" i="25"/>
  <c r="A1091" i="25"/>
  <c r="A1092" i="25"/>
  <c r="A1093" i="25"/>
  <c r="A1094" i="25"/>
  <c r="A1095" i="25"/>
  <c r="A1096" i="25"/>
  <c r="A1097" i="25"/>
  <c r="A1098" i="25"/>
  <c r="A1099" i="25"/>
  <c r="A1100" i="25"/>
  <c r="A1101" i="25"/>
  <c r="A1102" i="25"/>
  <c r="A1103" i="25"/>
  <c r="A1104" i="25"/>
  <c r="A1105" i="25"/>
  <c r="A1106" i="25"/>
  <c r="A1107" i="25"/>
  <c r="A1108" i="25"/>
  <c r="A1109" i="25"/>
  <c r="A1110" i="25"/>
  <c r="A1111" i="25"/>
  <c r="A1112" i="25"/>
  <c r="A1113" i="25"/>
  <c r="A1114" i="25"/>
  <c r="A1115" i="25"/>
  <c r="A1116" i="25"/>
  <c r="A1117" i="25"/>
  <c r="A1118" i="25"/>
  <c r="A1119" i="25"/>
  <c r="A1120" i="25"/>
  <c r="A1121" i="25"/>
  <c r="A1122" i="25"/>
  <c r="A1123" i="25"/>
  <c r="A1124" i="25"/>
  <c r="A1125" i="25"/>
  <c r="A1126" i="25"/>
  <c r="A1127" i="25"/>
  <c r="A1128" i="25"/>
  <c r="A1129" i="25"/>
  <c r="A1130" i="25"/>
  <c r="A1131" i="25"/>
  <c r="A1132" i="25"/>
  <c r="A1133" i="25"/>
  <c r="A1134" i="25"/>
  <c r="A1135" i="25"/>
  <c r="A1136" i="25"/>
  <c r="A1137" i="25"/>
  <c r="A1138" i="25"/>
  <c r="A1139" i="25"/>
  <c r="A1140" i="25"/>
  <c r="A1141" i="25"/>
  <c r="A1142" i="25"/>
  <c r="A1143" i="25"/>
  <c r="A1144" i="25"/>
  <c r="A1145" i="25"/>
  <c r="A1146" i="25"/>
  <c r="A1147" i="25"/>
  <c r="A1148" i="25"/>
  <c r="A1149" i="25"/>
  <c r="A1150" i="25"/>
  <c r="A1151" i="25"/>
  <c r="A1152" i="25"/>
  <c r="A1153" i="25"/>
  <c r="A1154" i="25"/>
  <c r="A1155" i="25"/>
  <c r="A1156" i="25"/>
  <c r="A1157" i="25"/>
  <c r="A1158" i="25"/>
  <c r="A1159" i="25"/>
  <c r="A1160" i="25"/>
  <c r="A1161" i="25"/>
  <c r="A1162" i="25"/>
  <c r="A1163" i="25"/>
  <c r="A1164" i="25"/>
  <c r="A1165" i="25"/>
  <c r="A1166" i="25"/>
  <c r="A1167" i="25"/>
  <c r="A1168" i="25"/>
  <c r="A1169" i="25"/>
  <c r="A1170" i="25"/>
  <c r="A1171" i="25"/>
  <c r="A1172" i="25"/>
  <c r="A1173" i="25"/>
  <c r="A1174" i="25"/>
  <c r="A1175" i="25"/>
  <c r="A1176" i="25"/>
  <c r="A1177" i="25"/>
  <c r="A1178" i="25"/>
  <c r="A1179" i="25"/>
  <c r="A1180" i="25"/>
  <c r="A1181" i="25"/>
  <c r="A1182" i="25"/>
  <c r="A1183" i="25"/>
  <c r="A1184" i="25"/>
  <c r="A1185" i="25"/>
  <c r="A1186" i="25"/>
  <c r="A1187" i="25"/>
  <c r="A1188" i="25"/>
  <c r="A1189" i="25"/>
  <c r="A1190" i="25"/>
  <c r="A1191" i="25"/>
  <c r="A1192" i="25"/>
  <c r="A1193" i="25"/>
  <c r="A1194" i="25"/>
  <c r="A1195" i="25"/>
  <c r="A1196" i="25"/>
  <c r="A1197" i="25"/>
  <c r="A1198" i="25"/>
  <c r="A1199" i="25"/>
  <c r="A1200" i="25"/>
  <c r="A1201" i="25"/>
  <c r="A1202" i="25"/>
  <c r="A1203" i="25"/>
  <c r="A1204" i="25"/>
  <c r="A1205" i="25"/>
  <c r="A1206" i="25"/>
  <c r="A1207" i="25"/>
  <c r="A1208" i="25"/>
  <c r="A1209" i="25"/>
  <c r="A1210" i="25"/>
  <c r="A1211" i="25"/>
  <c r="A1212" i="25"/>
  <c r="A1213" i="25"/>
  <c r="A1214" i="25"/>
  <c r="A1215" i="25"/>
  <c r="A1216" i="25"/>
  <c r="A1217" i="25"/>
  <c r="A1218" i="25"/>
  <c r="A1219" i="25"/>
  <c r="A1220" i="25"/>
  <c r="A1221" i="25"/>
  <c r="A1222" i="25"/>
  <c r="A1223" i="25"/>
  <c r="A1224" i="25"/>
  <c r="A1225" i="25"/>
  <c r="A1226" i="25"/>
  <c r="A1227" i="25"/>
  <c r="A1228" i="25"/>
  <c r="A1229" i="25"/>
  <c r="A1230" i="25"/>
  <c r="A1231" i="25"/>
  <c r="A1232" i="25"/>
  <c r="A1233" i="25"/>
  <c r="A1234" i="25"/>
  <c r="A1235" i="25"/>
  <c r="A1236" i="25"/>
  <c r="A1237" i="25"/>
  <c r="A1238" i="25"/>
  <c r="A1239" i="25"/>
  <c r="A1240" i="25"/>
  <c r="A1241" i="25"/>
  <c r="A1242" i="25"/>
  <c r="A1243" i="25"/>
  <c r="A1244" i="25"/>
  <c r="A1245" i="25"/>
  <c r="A1246" i="25"/>
  <c r="A1247" i="25"/>
  <c r="A1248" i="25"/>
  <c r="A1249" i="25"/>
  <c r="A1250" i="25"/>
  <c r="A1251" i="25"/>
  <c r="A1252" i="25"/>
  <c r="A1253" i="25"/>
  <c r="A1254" i="25"/>
  <c r="A1255" i="25"/>
  <c r="A1256" i="25"/>
  <c r="A1257" i="25"/>
  <c r="A1258" i="25"/>
  <c r="A1259" i="25"/>
  <c r="A1260" i="25"/>
  <c r="A1261" i="25"/>
  <c r="A1262" i="25"/>
  <c r="A1263" i="25"/>
  <c r="A1264" i="25"/>
  <c r="A1265" i="25"/>
  <c r="A1266" i="25"/>
  <c r="A1267" i="25"/>
  <c r="A1268" i="25"/>
  <c r="A1269" i="25"/>
  <c r="A1270" i="25"/>
  <c r="A1271" i="25"/>
  <c r="A1272" i="25"/>
  <c r="A1273" i="25"/>
  <c r="A1274" i="25"/>
  <c r="A1275" i="25"/>
  <c r="A1276" i="25"/>
  <c r="A1277" i="25"/>
  <c r="A1278" i="25"/>
  <c r="A1279" i="25"/>
  <c r="A1280" i="25"/>
  <c r="A1281" i="25"/>
  <c r="A1282" i="25"/>
  <c r="A1283" i="25"/>
  <c r="A1284" i="25"/>
  <c r="A1285" i="25"/>
  <c r="A1286" i="25"/>
  <c r="A1287" i="25"/>
  <c r="A1288" i="25"/>
  <c r="A1289" i="25"/>
  <c r="A1290" i="25"/>
  <c r="A1291" i="25"/>
  <c r="A1292" i="25"/>
  <c r="A1293" i="25"/>
  <c r="A1294" i="25"/>
  <c r="A1295" i="25"/>
  <c r="A1296" i="25"/>
  <c r="A1297" i="25"/>
  <c r="A1298" i="25"/>
  <c r="A1299" i="25"/>
  <c r="A1300" i="25"/>
  <c r="A1301" i="25"/>
  <c r="A1302" i="25"/>
  <c r="A1303" i="25"/>
  <c r="A1304" i="25"/>
  <c r="A1305" i="25"/>
  <c r="A1306" i="25"/>
  <c r="A1307" i="25"/>
  <c r="A1308" i="25"/>
  <c r="A1309" i="25"/>
  <c r="A1310" i="25"/>
  <c r="A1311" i="25"/>
  <c r="A1312" i="25"/>
  <c r="A1313" i="25"/>
  <c r="A1314" i="25"/>
  <c r="A1315" i="25"/>
  <c r="A1316" i="25"/>
  <c r="A1317" i="25"/>
  <c r="A1318" i="25"/>
  <c r="A1319" i="25"/>
  <c r="A1320" i="25"/>
  <c r="A1321" i="25"/>
  <c r="A1322" i="25"/>
  <c r="A1323" i="25"/>
  <c r="A1324" i="25"/>
  <c r="A1325" i="25"/>
  <c r="A1326" i="25"/>
  <c r="A1327" i="25"/>
  <c r="A1328" i="25"/>
  <c r="A1329" i="25"/>
  <c r="A1330" i="25"/>
  <c r="A1331" i="25"/>
  <c r="A1332" i="25"/>
  <c r="A1333" i="25"/>
  <c r="A1334" i="25"/>
  <c r="A1335" i="25"/>
  <c r="A1336" i="25"/>
  <c r="A1337" i="25"/>
  <c r="A1338" i="25"/>
  <c r="A1339" i="25"/>
  <c r="A1340" i="25"/>
  <c r="A1341" i="25"/>
  <c r="A1342" i="25"/>
  <c r="A1343" i="25"/>
  <c r="A1344" i="25"/>
  <c r="A1345" i="25"/>
  <c r="A1346" i="25"/>
  <c r="A1347" i="25"/>
  <c r="A1348" i="25"/>
  <c r="A1349" i="25"/>
  <c r="A1350" i="25"/>
  <c r="A1351" i="25"/>
  <c r="A1352" i="25"/>
  <c r="A1353" i="25"/>
  <c r="A1354" i="25"/>
  <c r="A1355" i="25"/>
  <c r="A1356" i="25"/>
  <c r="A1357" i="25"/>
  <c r="A1358" i="25"/>
  <c r="A1359" i="25"/>
  <c r="A1360" i="25"/>
  <c r="A1361" i="25"/>
  <c r="A1362" i="25"/>
  <c r="A1363" i="25"/>
  <c r="A1364" i="25"/>
  <c r="A1365" i="25"/>
  <c r="A1366" i="25"/>
  <c r="A1367" i="25"/>
  <c r="A1368" i="25"/>
  <c r="A1369" i="25"/>
  <c r="A1370" i="25"/>
  <c r="A1371" i="25"/>
  <c r="A1372" i="25"/>
  <c r="A1373" i="25"/>
  <c r="A1374" i="25"/>
  <c r="A1375" i="25"/>
  <c r="A1376" i="25"/>
  <c r="A1377" i="25"/>
  <c r="A1378" i="25"/>
  <c r="A1379" i="25"/>
  <c r="A1380" i="25"/>
  <c r="A1381" i="25"/>
  <c r="A1382" i="25"/>
  <c r="A1383" i="25"/>
  <c r="A1384" i="25"/>
  <c r="A1385" i="25"/>
  <c r="A1386" i="25"/>
  <c r="A1387" i="25"/>
  <c r="A1388" i="25"/>
  <c r="A1389" i="25"/>
  <c r="A1390" i="25"/>
  <c r="A1391" i="25"/>
  <c r="A1392" i="25"/>
  <c r="A1393" i="25"/>
  <c r="A1394" i="25"/>
  <c r="A1395" i="25"/>
  <c r="A1396" i="25"/>
  <c r="A1397" i="25"/>
  <c r="A1398" i="25"/>
  <c r="A1399" i="25"/>
  <c r="A1400" i="25"/>
  <c r="A1401" i="25"/>
  <c r="A1402" i="25"/>
  <c r="A1403" i="25"/>
  <c r="A1404" i="25"/>
  <c r="A1405" i="25"/>
  <c r="A1406" i="25"/>
  <c r="A1407" i="25"/>
  <c r="A1408" i="25"/>
  <c r="A1409" i="25"/>
  <c r="A1410" i="25"/>
  <c r="A1411" i="25"/>
  <c r="A1412" i="25"/>
  <c r="A1413" i="25"/>
  <c r="A1414" i="25"/>
  <c r="A1415" i="25"/>
  <c r="A1416" i="25"/>
  <c r="A1417" i="25"/>
  <c r="A1418" i="25"/>
  <c r="A1419" i="25"/>
  <c r="A1420" i="25"/>
  <c r="A1421" i="25"/>
  <c r="A1422" i="25"/>
  <c r="A1423" i="25"/>
  <c r="A1424" i="25"/>
  <c r="A1425" i="25"/>
  <c r="A1426" i="25"/>
  <c r="A1427" i="25"/>
  <c r="A1428" i="25"/>
  <c r="A1429" i="25"/>
  <c r="A1430" i="25"/>
  <c r="A1431" i="25"/>
  <c r="A1432" i="25"/>
  <c r="A1433" i="25"/>
  <c r="A1434" i="25"/>
  <c r="A1435" i="25"/>
  <c r="A1436" i="25"/>
  <c r="A1437" i="25"/>
  <c r="A1438" i="25"/>
  <c r="A1439" i="25"/>
  <c r="A1440" i="25"/>
  <c r="A1441" i="25"/>
  <c r="A1442" i="25"/>
  <c r="A1443" i="25"/>
  <c r="A1444" i="25"/>
  <c r="A1445" i="25"/>
  <c r="A1446" i="25"/>
  <c r="A1447" i="25"/>
  <c r="A1448" i="25"/>
  <c r="A1449" i="25"/>
  <c r="A1450" i="25"/>
  <c r="A1451" i="25"/>
  <c r="A1452" i="25"/>
  <c r="A1453" i="25"/>
  <c r="A1454" i="25"/>
  <c r="A1455" i="25"/>
  <c r="A1456" i="25"/>
  <c r="A1457" i="25"/>
  <c r="A1458" i="25"/>
  <c r="A1459" i="25"/>
  <c r="A1460" i="25"/>
  <c r="A1461" i="25"/>
  <c r="A1462" i="25"/>
  <c r="A1463" i="25"/>
  <c r="A1464" i="25"/>
  <c r="A1465" i="25"/>
  <c r="A1466" i="25"/>
  <c r="A1467" i="25"/>
  <c r="A1468" i="25"/>
  <c r="A1469" i="25"/>
  <c r="A1470" i="25"/>
  <c r="A1471" i="25"/>
  <c r="A1472" i="25"/>
  <c r="A1473" i="25"/>
  <c r="A1474" i="25"/>
  <c r="A1475" i="25"/>
  <c r="A1476" i="25"/>
  <c r="A1477" i="25"/>
  <c r="A1478" i="25"/>
  <c r="A1479" i="25"/>
  <c r="A1480" i="25"/>
  <c r="A1481" i="25"/>
  <c r="A1482" i="25"/>
  <c r="A1483" i="25"/>
  <c r="A1484" i="25"/>
  <c r="A1485" i="25"/>
  <c r="A1486" i="25"/>
  <c r="A1487" i="25"/>
  <c r="A1488" i="25"/>
  <c r="A1489" i="25"/>
  <c r="A1490" i="25"/>
  <c r="A1491" i="25"/>
  <c r="A1492" i="25"/>
  <c r="A1493" i="25"/>
  <c r="A1494" i="25"/>
  <c r="A1495" i="25"/>
  <c r="A1496" i="25"/>
  <c r="A1497" i="25"/>
  <c r="A1498" i="25"/>
  <c r="A1499" i="25"/>
  <c r="A1500" i="25"/>
  <c r="A1501" i="25"/>
  <c r="A1502" i="25"/>
  <c r="A1503" i="25"/>
  <c r="A1504" i="25"/>
  <c r="A1505" i="25"/>
  <c r="A1506" i="25"/>
  <c r="A1507" i="25"/>
  <c r="A1508" i="25"/>
  <c r="A1509" i="25"/>
  <c r="A1510" i="25"/>
  <c r="A1511" i="25"/>
  <c r="A1512" i="25"/>
  <c r="A1513" i="25"/>
  <c r="A1514" i="25"/>
  <c r="A1515" i="25"/>
  <c r="A1516" i="25"/>
  <c r="A1517" i="25"/>
  <c r="A1518" i="25"/>
  <c r="A1519" i="25"/>
  <c r="A1520" i="25"/>
  <c r="A1521" i="25"/>
  <c r="A1522" i="25"/>
  <c r="A1523" i="25"/>
  <c r="A1524" i="25"/>
  <c r="A1525" i="25"/>
  <c r="A1526" i="25"/>
  <c r="A1527" i="25"/>
  <c r="A1528" i="25"/>
  <c r="A1529" i="25"/>
  <c r="A1530" i="25"/>
  <c r="A1531" i="25"/>
  <c r="A1532" i="25"/>
  <c r="A1533" i="25"/>
  <c r="A1534" i="25"/>
  <c r="A1535" i="25"/>
  <c r="A1536" i="25"/>
  <c r="A1537" i="25"/>
  <c r="A1538" i="25"/>
  <c r="A1539" i="25"/>
  <c r="A1540" i="25"/>
  <c r="A1541" i="25"/>
  <c r="A1542" i="25"/>
  <c r="A1543" i="25"/>
  <c r="A1544" i="25"/>
  <c r="A1545" i="25"/>
  <c r="A1546" i="25"/>
  <c r="A1547" i="25"/>
  <c r="A1548" i="25"/>
  <c r="A1549" i="25"/>
  <c r="A1550" i="25"/>
  <c r="A1551" i="25"/>
  <c r="A1552" i="25"/>
  <c r="A1553" i="25"/>
  <c r="A1554" i="25"/>
  <c r="A1555" i="25"/>
  <c r="A1556" i="25"/>
  <c r="A1557" i="25"/>
  <c r="A1558" i="25"/>
  <c r="A1559" i="25"/>
  <c r="A1560" i="25"/>
  <c r="A1561" i="25"/>
  <c r="A1562" i="25"/>
  <c r="A1563" i="25"/>
  <c r="A1564" i="25"/>
  <c r="A1565" i="25"/>
  <c r="A1566" i="25"/>
  <c r="A1567" i="25"/>
  <c r="A1568" i="25"/>
  <c r="A1569" i="25"/>
  <c r="A1570" i="25"/>
  <c r="A1571" i="25"/>
  <c r="A1572" i="25"/>
  <c r="A1573" i="25"/>
  <c r="A1574" i="25"/>
  <c r="A1575" i="25"/>
  <c r="A1576" i="25"/>
  <c r="A1577" i="25"/>
  <c r="A1578" i="25"/>
  <c r="A1579" i="25"/>
  <c r="A1580" i="25"/>
  <c r="A1581" i="25"/>
  <c r="A1582" i="25"/>
  <c r="A1583" i="25"/>
  <c r="A1584" i="25"/>
  <c r="A1585" i="25"/>
  <c r="A1586" i="25"/>
  <c r="A1587" i="25"/>
  <c r="A1588" i="25"/>
  <c r="A1589" i="25"/>
  <c r="A1590" i="25"/>
  <c r="A1591" i="25"/>
  <c r="A1592" i="25"/>
  <c r="A1593" i="25"/>
  <c r="A1594" i="25"/>
  <c r="A1595" i="25"/>
  <c r="A1596" i="25"/>
  <c r="A1597" i="25"/>
  <c r="A1598" i="25"/>
  <c r="A1599" i="25"/>
  <c r="A1600" i="25"/>
  <c r="A1601" i="25"/>
  <c r="A1602" i="25"/>
  <c r="A1603" i="25"/>
  <c r="A1604" i="25"/>
  <c r="A1605" i="25"/>
  <c r="A1606" i="25"/>
  <c r="A1607" i="25"/>
  <c r="A1608" i="25"/>
  <c r="A1609" i="25"/>
  <c r="A1610" i="25"/>
  <c r="A1611" i="25"/>
  <c r="A1612" i="25"/>
  <c r="A1613" i="25"/>
  <c r="A1614" i="25"/>
  <c r="A1615" i="25"/>
  <c r="A1616" i="25"/>
  <c r="A1617" i="25"/>
  <c r="A1618" i="25"/>
  <c r="A1619" i="25"/>
  <c r="A1620" i="25"/>
  <c r="A1621" i="25"/>
  <c r="A1622" i="25"/>
  <c r="A1623" i="25"/>
  <c r="A1624" i="25"/>
  <c r="A1625" i="25"/>
  <c r="A1626" i="25"/>
  <c r="A1627" i="25"/>
  <c r="A1628" i="25"/>
  <c r="A1629" i="25"/>
  <c r="A1630" i="25"/>
  <c r="A1631" i="25"/>
  <c r="A1632" i="25"/>
  <c r="A1633" i="25"/>
  <c r="A1634" i="25"/>
  <c r="A1635" i="25"/>
  <c r="A1636" i="25"/>
  <c r="A1637" i="25"/>
  <c r="A1638" i="25"/>
  <c r="A1639" i="25"/>
  <c r="A1640" i="25"/>
  <c r="A1641" i="25"/>
  <c r="A1642" i="25"/>
  <c r="A1643" i="25"/>
  <c r="A1644" i="25"/>
  <c r="A1645" i="25"/>
  <c r="A1646" i="25"/>
  <c r="A1647" i="25"/>
  <c r="A1648" i="25"/>
  <c r="A1649" i="25"/>
  <c r="A1650" i="25"/>
  <c r="A1651" i="25"/>
  <c r="A1652" i="25"/>
  <c r="A1653" i="25"/>
  <c r="A1654" i="25"/>
  <c r="A1655" i="25"/>
  <c r="A1656" i="25"/>
  <c r="A1657" i="25"/>
  <c r="A1658" i="25"/>
  <c r="A1659" i="25"/>
  <c r="A1660" i="25"/>
  <c r="A1661" i="25"/>
  <c r="A1662" i="25"/>
  <c r="A1663" i="25"/>
  <c r="A1664" i="25"/>
  <c r="A1665" i="25"/>
  <c r="A1666" i="25"/>
  <c r="A1667" i="25"/>
  <c r="A1668" i="25"/>
  <c r="A1669" i="25"/>
  <c r="A1670" i="25"/>
  <c r="A1671" i="25"/>
  <c r="A1672" i="25"/>
  <c r="A1673" i="25"/>
  <c r="A1674" i="25"/>
  <c r="A1675" i="25"/>
  <c r="A1676" i="25"/>
  <c r="A1677" i="25"/>
  <c r="A1678" i="25"/>
  <c r="A1679" i="25"/>
  <c r="A1680" i="25"/>
  <c r="A1681" i="25"/>
  <c r="A1682" i="25"/>
  <c r="A1683" i="25"/>
  <c r="A1684" i="25"/>
  <c r="A1685" i="25"/>
  <c r="A1686" i="25"/>
  <c r="A1687" i="25"/>
  <c r="A1688" i="25"/>
  <c r="A1689" i="25"/>
  <c r="A1690" i="25"/>
  <c r="A1691" i="25"/>
  <c r="A1692" i="25"/>
  <c r="A1693" i="25"/>
  <c r="A1694" i="25"/>
  <c r="A1695" i="25"/>
  <c r="A1696" i="25"/>
  <c r="A1697" i="25"/>
  <c r="A1698" i="25"/>
  <c r="A1699" i="25"/>
  <c r="A1700" i="25"/>
  <c r="A1701" i="25"/>
  <c r="A1702" i="25"/>
  <c r="A1703" i="25"/>
  <c r="A1704" i="25"/>
  <c r="A1705" i="25"/>
  <c r="A1706" i="25"/>
  <c r="A1707" i="25"/>
  <c r="A1708" i="25"/>
  <c r="A1709" i="25"/>
  <c r="A1710" i="25"/>
  <c r="A1711" i="25"/>
  <c r="A1712" i="25"/>
  <c r="A1713" i="25"/>
  <c r="A1714" i="25"/>
  <c r="A1715" i="25"/>
  <c r="A1716" i="25"/>
  <c r="A1717" i="25"/>
  <c r="A1718" i="25"/>
  <c r="A1719" i="25"/>
  <c r="A1720" i="25"/>
  <c r="A1721" i="25"/>
  <c r="A1722" i="25"/>
  <c r="A1723" i="25"/>
  <c r="A1724" i="25"/>
  <c r="A1725" i="25"/>
  <c r="A1726" i="25"/>
  <c r="A1727" i="25"/>
  <c r="A1728" i="25"/>
  <c r="A1729" i="25"/>
  <c r="A1730" i="25"/>
  <c r="A1731" i="25"/>
  <c r="A1732" i="25"/>
  <c r="A1733" i="25"/>
  <c r="A1734" i="25"/>
  <c r="A1735" i="25"/>
  <c r="A1736" i="25"/>
  <c r="A1737" i="25"/>
  <c r="A1738" i="25"/>
  <c r="A1739" i="25"/>
  <c r="A1740" i="25"/>
  <c r="A1741" i="25"/>
  <c r="A1742" i="25"/>
  <c r="A1743" i="25"/>
  <c r="A1744" i="25"/>
  <c r="A1745" i="25"/>
  <c r="A1746" i="25"/>
  <c r="A1747" i="25"/>
  <c r="A1748" i="25"/>
  <c r="A1749" i="25"/>
  <c r="A1750" i="25"/>
  <c r="A1751" i="25"/>
  <c r="A1752" i="25"/>
  <c r="A1753" i="25"/>
  <c r="A1754" i="25"/>
  <c r="A1755" i="25"/>
  <c r="A1756" i="25"/>
  <c r="A1757" i="25"/>
  <c r="A1758" i="25"/>
  <c r="A1759" i="25"/>
  <c r="A1760" i="25"/>
  <c r="A1761" i="25"/>
  <c r="A1762" i="25"/>
  <c r="A1763" i="25"/>
  <c r="A1764" i="25"/>
  <c r="A1765" i="25"/>
  <c r="A1766" i="25"/>
  <c r="A1767" i="25"/>
  <c r="A1768" i="25"/>
  <c r="A1769" i="25"/>
  <c r="A1770" i="25"/>
  <c r="A1771" i="25"/>
  <c r="A1772" i="25"/>
  <c r="A1773" i="25"/>
  <c r="A1774" i="25"/>
  <c r="A1775" i="25"/>
  <c r="A1776" i="25"/>
  <c r="A1777" i="25"/>
  <c r="A1778" i="25"/>
  <c r="A1779" i="25"/>
  <c r="A1780" i="25"/>
  <c r="A1781" i="25"/>
  <c r="A1782" i="25"/>
  <c r="A1783" i="25"/>
  <c r="A1784" i="25"/>
  <c r="A1785" i="25"/>
  <c r="A1786" i="25"/>
  <c r="A1787" i="25"/>
  <c r="A1788" i="25"/>
  <c r="A1789" i="25"/>
  <c r="A1790" i="25"/>
  <c r="A1791" i="25"/>
  <c r="A1792" i="25"/>
  <c r="A1793" i="25"/>
  <c r="A1794" i="25"/>
  <c r="A1795" i="25"/>
  <c r="A1796" i="25"/>
  <c r="A1797" i="25"/>
  <c r="A1798" i="25"/>
  <c r="A1799" i="25"/>
  <c r="A1800" i="25"/>
  <c r="A1801" i="25"/>
  <c r="A1802" i="25"/>
  <c r="A1803" i="25"/>
  <c r="A1804" i="25"/>
  <c r="A1805" i="25"/>
  <c r="A1806" i="25"/>
  <c r="A1807" i="25"/>
  <c r="A1808" i="25"/>
  <c r="A1809" i="25"/>
  <c r="A1810" i="25"/>
  <c r="A1811" i="25"/>
  <c r="A1812" i="25"/>
  <c r="A1813" i="25"/>
  <c r="A1814" i="25"/>
  <c r="A1815" i="25"/>
  <c r="A1816" i="25"/>
  <c r="A1817" i="25"/>
  <c r="A1818" i="25"/>
  <c r="A1819" i="25"/>
  <c r="A1820" i="25"/>
  <c r="A1821" i="25"/>
  <c r="A1822" i="25"/>
  <c r="A1823" i="25"/>
  <c r="A1824" i="25"/>
  <c r="A1825" i="25"/>
  <c r="A1826" i="25"/>
  <c r="A1827" i="25"/>
  <c r="A1828" i="25"/>
  <c r="A1829" i="25"/>
  <c r="A1830" i="25"/>
  <c r="A1831" i="25"/>
  <c r="A1832" i="25"/>
  <c r="A1833" i="25"/>
  <c r="A1834" i="25"/>
  <c r="A1835" i="25"/>
  <c r="A1836" i="25"/>
  <c r="A1837" i="25"/>
  <c r="A1838" i="25"/>
  <c r="A1839" i="25"/>
  <c r="A1840" i="25"/>
  <c r="A1841" i="25"/>
  <c r="A1842" i="25"/>
  <c r="A1843" i="25"/>
  <c r="A1844" i="25"/>
  <c r="A1845" i="25"/>
  <c r="A1846" i="25"/>
  <c r="A1847" i="25"/>
  <c r="A1848" i="25"/>
  <c r="A1849" i="25"/>
  <c r="A1850" i="25"/>
  <c r="A1851" i="25"/>
  <c r="A1852" i="25"/>
  <c r="A1853" i="25"/>
  <c r="A1854" i="25"/>
  <c r="A1855" i="25"/>
  <c r="A1856" i="25"/>
  <c r="A1857" i="25"/>
  <c r="A1858" i="25"/>
  <c r="A1859" i="25"/>
  <c r="A1860" i="25"/>
  <c r="A1861" i="25"/>
  <c r="A1862" i="25"/>
  <c r="A1863" i="25"/>
  <c r="A1864" i="25"/>
  <c r="A1865" i="25"/>
  <c r="A1866" i="25"/>
  <c r="A1867" i="25"/>
  <c r="A1868" i="25"/>
  <c r="A1869" i="25"/>
  <c r="A1870" i="25"/>
  <c r="A1871" i="25"/>
  <c r="A1872" i="25"/>
  <c r="A1873" i="25"/>
  <c r="A1874" i="25"/>
  <c r="A1875" i="25"/>
  <c r="A1876" i="25"/>
  <c r="A1877" i="25"/>
  <c r="A1878" i="25"/>
  <c r="A1879" i="25"/>
  <c r="A1880" i="25"/>
  <c r="A1881" i="25"/>
  <c r="A1882" i="25"/>
  <c r="A1883" i="25"/>
  <c r="A1884" i="25"/>
  <c r="A1885" i="25"/>
  <c r="A1886" i="25"/>
  <c r="A1887" i="25"/>
  <c r="A1888" i="25"/>
  <c r="A1889" i="25"/>
  <c r="A1890" i="25"/>
  <c r="A1891" i="25"/>
  <c r="A1892" i="25"/>
  <c r="A1893" i="25"/>
  <c r="A1894" i="25"/>
  <c r="A1895" i="25"/>
  <c r="A1896" i="25"/>
  <c r="A1897" i="25"/>
  <c r="A1898" i="25"/>
  <c r="A1899" i="25"/>
  <c r="A1900" i="25"/>
  <c r="A1901" i="25"/>
  <c r="A1902" i="25"/>
  <c r="A1903" i="25"/>
  <c r="A1904" i="25"/>
  <c r="A1905" i="25"/>
  <c r="A1906" i="25"/>
  <c r="A1907" i="25"/>
  <c r="A1908" i="25"/>
  <c r="A1909" i="25"/>
  <c r="A1910" i="25"/>
  <c r="A1911" i="25"/>
  <c r="A1912" i="25"/>
  <c r="A1913" i="25"/>
  <c r="A1914" i="25"/>
  <c r="A1915" i="25"/>
  <c r="A1916" i="25"/>
  <c r="A1917" i="25"/>
  <c r="A1918" i="25"/>
  <c r="A1919" i="25"/>
  <c r="A1920" i="25"/>
  <c r="A1921" i="25"/>
  <c r="A1922" i="25"/>
  <c r="A1923" i="25"/>
  <c r="A1924" i="25"/>
  <c r="A1925" i="25"/>
  <c r="A1926" i="25"/>
  <c r="A1927" i="25"/>
  <c r="A1928" i="25"/>
  <c r="A1929" i="25"/>
  <c r="A1930" i="25"/>
  <c r="A1931" i="25"/>
  <c r="A1932" i="25"/>
  <c r="A1933" i="25"/>
  <c r="A1934" i="25"/>
  <c r="A1935" i="25"/>
  <c r="A1936" i="25"/>
  <c r="A1937" i="25"/>
  <c r="A1938" i="25"/>
  <c r="A1939" i="25"/>
  <c r="A1940" i="25"/>
  <c r="A1941" i="25"/>
  <c r="A1942" i="25"/>
  <c r="A1943" i="25"/>
  <c r="A1944" i="25"/>
  <c r="A1945" i="25"/>
  <c r="A1946" i="25"/>
  <c r="A1947" i="25"/>
  <c r="A1948" i="25"/>
  <c r="A1949" i="25"/>
  <c r="A1950" i="25"/>
  <c r="A1951" i="25"/>
  <c r="A1952" i="25"/>
  <c r="A1953" i="25"/>
  <c r="A1954" i="25"/>
  <c r="A1955" i="25"/>
  <c r="A1956" i="25"/>
  <c r="A1957" i="25"/>
  <c r="A1958" i="25"/>
  <c r="A1959" i="25"/>
  <c r="A1960" i="25"/>
  <c r="A1961" i="25"/>
  <c r="A1962" i="25"/>
  <c r="A1963" i="25"/>
  <c r="A1964" i="25"/>
  <c r="A1965" i="25"/>
  <c r="A1966" i="25"/>
  <c r="A1967" i="25"/>
  <c r="A1968" i="25"/>
  <c r="A1969" i="25"/>
  <c r="A1970" i="25"/>
  <c r="A1971" i="25"/>
  <c r="A1972" i="25"/>
  <c r="A1973" i="25"/>
  <c r="A1974" i="25"/>
  <c r="A1975" i="25"/>
  <c r="A1976" i="25"/>
  <c r="A1977" i="25"/>
  <c r="A1978" i="25"/>
  <c r="A1979" i="25"/>
  <c r="A1980" i="25"/>
  <c r="A1981" i="25"/>
  <c r="A1982" i="25"/>
  <c r="A1983" i="25"/>
  <c r="A1984" i="25"/>
  <c r="A1985" i="25"/>
  <c r="A1986" i="25"/>
  <c r="A1987" i="25"/>
  <c r="A1988" i="25"/>
  <c r="A1989" i="25"/>
  <c r="A1990" i="25"/>
  <c r="A1991" i="25"/>
  <c r="A1992" i="25"/>
  <c r="A1993" i="25"/>
  <c r="A1994" i="25"/>
  <c r="A1995" i="25"/>
  <c r="A1996" i="25"/>
  <c r="A1997" i="25"/>
  <c r="A1998" i="25"/>
  <c r="A1999" i="25"/>
  <c r="A2000" i="25"/>
  <c r="A2001" i="25"/>
  <c r="A2002" i="25"/>
  <c r="A2003" i="25"/>
  <c r="A2004" i="25"/>
  <c r="A2005" i="25"/>
  <c r="A2006" i="25"/>
  <c r="A2007" i="25"/>
  <c r="A2008" i="25"/>
  <c r="A2009" i="25"/>
  <c r="A2010" i="25"/>
  <c r="A2011" i="25"/>
  <c r="A2012" i="25"/>
  <c r="A2013" i="25"/>
  <c r="A2014" i="25"/>
  <c r="A2015" i="25"/>
  <c r="A2016" i="25"/>
  <c r="A2017" i="25"/>
  <c r="A2018" i="25"/>
  <c r="A2019" i="25"/>
  <c r="A2020" i="25"/>
  <c r="A2021" i="25"/>
  <c r="A2022" i="25"/>
  <c r="A2030" i="25"/>
  <c r="A2051" i="25"/>
  <c r="A2072" i="25"/>
  <c r="A2093" i="25"/>
  <c r="A2114" i="25"/>
  <c r="A2031" i="25"/>
  <c r="A2052" i="25"/>
  <c r="A2073" i="25"/>
  <c r="A2094" i="25"/>
  <c r="A2115" i="25"/>
  <c r="A2032" i="25"/>
  <c r="A2053" i="25"/>
  <c r="A2074" i="25"/>
  <c r="A2095" i="25"/>
  <c r="A2116" i="25"/>
  <c r="A2033" i="25"/>
  <c r="A2054" i="25"/>
  <c r="A2075" i="25"/>
  <c r="A2096" i="25"/>
  <c r="A2117" i="25"/>
  <c r="A2034" i="25"/>
  <c r="A2055" i="25"/>
  <c r="A2076" i="25"/>
  <c r="A2097" i="25"/>
  <c r="A2118" i="25"/>
  <c r="A2035" i="25"/>
  <c r="A2056" i="25"/>
  <c r="A2077" i="25"/>
  <c r="A2098" i="25"/>
  <c r="A2119" i="25"/>
  <c r="A2036" i="25"/>
  <c r="A2057" i="25"/>
  <c r="A2078" i="25"/>
  <c r="A2099" i="25"/>
  <c r="A2120" i="25"/>
  <c r="A2023" i="25"/>
  <c r="A2044" i="25"/>
  <c r="A2065" i="25"/>
  <c r="A2086" i="25"/>
  <c r="A2107" i="25"/>
  <c r="A2024" i="25"/>
  <c r="A2045" i="25"/>
  <c r="A2066" i="25"/>
  <c r="A2087" i="25"/>
  <c r="A2108" i="25"/>
  <c r="A2025" i="25"/>
  <c r="A2046" i="25"/>
  <c r="A2067" i="25"/>
  <c r="A2088" i="25"/>
  <c r="A2109" i="25"/>
  <c r="A2026" i="25"/>
  <c r="A2047" i="25"/>
  <c r="A2068" i="25"/>
  <c r="A2089" i="25"/>
  <c r="A2110" i="25"/>
  <c r="A2027" i="25"/>
  <c r="A2048" i="25"/>
  <c r="A2069" i="25"/>
  <c r="A2090" i="25"/>
  <c r="A2111" i="25"/>
  <c r="A2028" i="25"/>
  <c r="A2049" i="25"/>
  <c r="A2070" i="25"/>
  <c r="A2091" i="25"/>
  <c r="A2112" i="25"/>
  <c r="A2029" i="25"/>
  <c r="A2050" i="25"/>
  <c r="A2071" i="25"/>
  <c r="A2092" i="25"/>
  <c r="A2113" i="25"/>
  <c r="A2037" i="25"/>
  <c r="A2058" i="25"/>
  <c r="A2079" i="25"/>
  <c r="A2100" i="25"/>
  <c r="A2121" i="25"/>
  <c r="A2038" i="25"/>
  <c r="A2059" i="25"/>
  <c r="A2080" i="25"/>
  <c r="A2101" i="25"/>
  <c r="A2122" i="25"/>
  <c r="A2039" i="25"/>
  <c r="A2060" i="25"/>
  <c r="A2081" i="25"/>
  <c r="A2102" i="25"/>
  <c r="A2123" i="25"/>
  <c r="A2040" i="25"/>
  <c r="A2061" i="25"/>
  <c r="A2082" i="25"/>
  <c r="A2103" i="25"/>
  <c r="A2124" i="25"/>
  <c r="A2041" i="25"/>
  <c r="A2062" i="25"/>
  <c r="A2083" i="25"/>
  <c r="A2104" i="25"/>
  <c r="A2125" i="25"/>
  <c r="A2042" i="25"/>
  <c r="A2063" i="25"/>
  <c r="A2084" i="25"/>
  <c r="A2105" i="25"/>
  <c r="A2126" i="25"/>
  <c r="A2043" i="25"/>
  <c r="A2064" i="25"/>
  <c r="A2085" i="25"/>
  <c r="A2106" i="25"/>
  <c r="A2127" i="25"/>
  <c r="B2" i="25"/>
  <c r="B3" i="25"/>
  <c r="B4" i="25"/>
  <c r="B5" i="25"/>
  <c r="B6" i="25"/>
  <c r="B7" i="25"/>
  <c r="B8" i="25"/>
  <c r="B9" i="25"/>
  <c r="B10" i="25"/>
  <c r="B11" i="25"/>
  <c r="B12" i="25"/>
  <c r="B13" i="25"/>
  <c r="B14" i="25"/>
  <c r="B15" i="25"/>
  <c r="B16" i="25"/>
  <c r="B17" i="25"/>
  <c r="B18" i="25"/>
  <c r="B19" i="25"/>
  <c r="B20" i="25"/>
  <c r="B21" i="25"/>
  <c r="B22" i="25"/>
  <c r="B23" i="25"/>
  <c r="B24" i="25"/>
  <c r="B25" i="25"/>
  <c r="B26" i="25"/>
  <c r="B27" i="25"/>
  <c r="B28" i="25"/>
  <c r="B29" i="25"/>
  <c r="B30" i="25"/>
  <c r="B31" i="25"/>
  <c r="B32" i="25"/>
  <c r="B33" i="25"/>
  <c r="B34" i="25"/>
  <c r="B35" i="25"/>
  <c r="B36" i="25"/>
  <c r="B37" i="25"/>
  <c r="B38" i="25"/>
  <c r="B39" i="25"/>
  <c r="B40" i="25"/>
  <c r="B41" i="25"/>
  <c r="B42" i="25"/>
  <c r="B43" i="25"/>
  <c r="B44" i="25"/>
  <c r="B45" i="25"/>
  <c r="B46" i="25"/>
  <c r="B47" i="25"/>
  <c r="B48" i="25"/>
  <c r="B49" i="25"/>
  <c r="B50" i="25"/>
  <c r="B51" i="25"/>
  <c r="B52" i="25"/>
  <c r="B53" i="25"/>
  <c r="B54" i="25"/>
  <c r="B55" i="25"/>
  <c r="B56" i="25"/>
  <c r="B57" i="25"/>
  <c r="B58" i="25"/>
  <c r="B59" i="25"/>
  <c r="B60" i="25"/>
  <c r="B61" i="25"/>
  <c r="B62" i="25"/>
  <c r="B63" i="25"/>
  <c r="B64" i="25"/>
  <c r="B65" i="25"/>
  <c r="B66" i="25"/>
  <c r="B67" i="25"/>
  <c r="B68" i="25"/>
  <c r="B69" i="25"/>
  <c r="B70" i="25"/>
  <c r="B71" i="25"/>
  <c r="B72" i="25"/>
  <c r="B73" i="25"/>
  <c r="B74" i="25"/>
  <c r="B75" i="25"/>
  <c r="B76" i="25"/>
  <c r="B77" i="25"/>
  <c r="B78" i="25"/>
  <c r="B79" i="25"/>
  <c r="B80" i="25"/>
  <c r="B81" i="25"/>
  <c r="B82" i="25"/>
  <c r="B83" i="25"/>
  <c r="B84" i="25"/>
  <c r="B85" i="25"/>
  <c r="B86" i="25"/>
  <c r="B87" i="25"/>
  <c r="B88" i="25"/>
  <c r="B89" i="25"/>
  <c r="B90" i="25"/>
  <c r="B91" i="25"/>
  <c r="B92" i="25"/>
  <c r="B93" i="25"/>
  <c r="B94" i="25"/>
  <c r="B95" i="25"/>
  <c r="B96" i="25"/>
  <c r="B97" i="25"/>
  <c r="B98" i="25"/>
  <c r="B99" i="25"/>
  <c r="B100" i="25"/>
  <c r="B101" i="25"/>
  <c r="B102" i="25"/>
  <c r="B103" i="25"/>
  <c r="B104" i="25"/>
  <c r="B105" i="25"/>
  <c r="B106" i="25"/>
  <c r="B107" i="25"/>
  <c r="B108" i="25"/>
  <c r="B109" i="25"/>
  <c r="B110" i="25"/>
  <c r="B111" i="25"/>
  <c r="B112" i="25"/>
  <c r="B113" i="25"/>
  <c r="B114" i="25"/>
  <c r="B115" i="25"/>
  <c r="B116" i="25"/>
  <c r="B117" i="25"/>
  <c r="B118" i="25"/>
  <c r="B119" i="25"/>
  <c r="B120" i="25"/>
  <c r="B121" i="25"/>
  <c r="B122" i="25"/>
  <c r="B123" i="25"/>
  <c r="B124" i="25"/>
  <c r="B125" i="25"/>
  <c r="B126" i="25"/>
  <c r="B127" i="25"/>
  <c r="B128" i="25"/>
  <c r="B129" i="25"/>
  <c r="B130" i="25"/>
  <c r="B131" i="25"/>
  <c r="B132" i="25"/>
  <c r="B133" i="25"/>
  <c r="B134" i="25"/>
  <c r="B135" i="25"/>
  <c r="B136" i="25"/>
  <c r="B137" i="25"/>
  <c r="B138" i="25"/>
  <c r="B139" i="25"/>
  <c r="B140" i="25"/>
  <c r="B141" i="25"/>
  <c r="B142" i="25"/>
  <c r="B143" i="25"/>
  <c r="B144" i="25"/>
  <c r="B145" i="25"/>
  <c r="B146" i="25"/>
  <c r="B147" i="25"/>
  <c r="B148" i="25"/>
  <c r="B149" i="25"/>
  <c r="B150" i="25"/>
  <c r="B151" i="25"/>
  <c r="B152" i="25"/>
  <c r="B153" i="25"/>
  <c r="B154" i="25"/>
  <c r="B155" i="25"/>
  <c r="B156" i="25"/>
  <c r="B157" i="25"/>
  <c r="B158" i="25"/>
  <c r="B159" i="25"/>
  <c r="B160" i="25"/>
  <c r="B161" i="25"/>
  <c r="B162" i="25"/>
  <c r="B163" i="25"/>
  <c r="B164" i="25"/>
  <c r="B165" i="25"/>
  <c r="B166" i="25"/>
  <c r="B167" i="25"/>
  <c r="B168" i="25"/>
  <c r="B169" i="25"/>
  <c r="B170" i="25"/>
  <c r="B171" i="25"/>
  <c r="B172" i="25"/>
  <c r="B173" i="25"/>
  <c r="B174" i="25"/>
  <c r="B175" i="25"/>
  <c r="B176" i="25"/>
  <c r="B177" i="25"/>
  <c r="B178" i="25"/>
  <c r="B179" i="25"/>
  <c r="B180" i="25"/>
  <c r="B181" i="25"/>
  <c r="B182" i="25"/>
  <c r="B183" i="25"/>
  <c r="B184" i="25"/>
  <c r="B185" i="25"/>
  <c r="B186" i="25"/>
  <c r="B187" i="25"/>
  <c r="B188" i="25"/>
  <c r="B189" i="25"/>
  <c r="B190" i="25"/>
  <c r="B191" i="25"/>
  <c r="B192" i="25"/>
  <c r="B193" i="25"/>
  <c r="B194" i="25"/>
  <c r="B195" i="25"/>
  <c r="B196" i="25"/>
  <c r="B197" i="25"/>
  <c r="B198" i="25"/>
  <c r="B199" i="25"/>
  <c r="B200" i="25"/>
  <c r="B201" i="25"/>
  <c r="B202" i="25"/>
  <c r="B203" i="25"/>
  <c r="B204" i="25"/>
  <c r="B205" i="25"/>
  <c r="B206" i="25"/>
  <c r="B207" i="25"/>
  <c r="B208" i="25"/>
  <c r="B209" i="25"/>
  <c r="B210" i="25"/>
  <c r="B211" i="25"/>
  <c r="B212" i="25"/>
  <c r="B213" i="25"/>
  <c r="B214" i="25"/>
  <c r="B215" i="25"/>
  <c r="B216" i="25"/>
  <c r="B217" i="25"/>
  <c r="B218" i="25"/>
  <c r="B219" i="25"/>
  <c r="B220" i="25"/>
  <c r="B221" i="25"/>
  <c r="B222" i="25"/>
  <c r="B223" i="25"/>
  <c r="B224" i="25"/>
  <c r="B225" i="25"/>
  <c r="B226" i="25"/>
  <c r="B227" i="25"/>
  <c r="B228" i="25"/>
  <c r="B229" i="25"/>
  <c r="B230" i="25"/>
  <c r="B231" i="25"/>
  <c r="B232" i="25"/>
  <c r="B233" i="25"/>
  <c r="B234" i="25"/>
  <c r="B235" i="25"/>
  <c r="B236" i="25"/>
  <c r="B237" i="25"/>
  <c r="B238" i="25"/>
  <c r="B239" i="25"/>
  <c r="B240" i="25"/>
  <c r="B241" i="25"/>
  <c r="B242" i="25"/>
  <c r="B243" i="25"/>
  <c r="B244" i="25"/>
  <c r="B245" i="25"/>
  <c r="B246" i="25"/>
  <c r="B247" i="25"/>
  <c r="B248" i="25"/>
  <c r="B249" i="25"/>
  <c r="B250" i="25"/>
  <c r="B251" i="25"/>
  <c r="B252" i="25"/>
  <c r="B253" i="25"/>
  <c r="B254" i="25"/>
  <c r="B255" i="25"/>
  <c r="B256" i="25"/>
  <c r="B257" i="25"/>
  <c r="B258" i="25"/>
  <c r="B259" i="25"/>
  <c r="B260" i="25"/>
  <c r="B261" i="25"/>
  <c r="B262" i="25"/>
  <c r="B263" i="25"/>
  <c r="B264" i="25"/>
  <c r="B265" i="25"/>
  <c r="B266" i="25"/>
  <c r="B267" i="25"/>
  <c r="B268" i="25"/>
  <c r="B269" i="25"/>
  <c r="B270" i="25"/>
  <c r="B271" i="25"/>
  <c r="B272" i="25"/>
  <c r="B273" i="25"/>
  <c r="B274" i="25"/>
  <c r="B275" i="25"/>
  <c r="B276" i="25"/>
  <c r="B277" i="25"/>
  <c r="B278" i="25"/>
  <c r="B279" i="25"/>
  <c r="B280" i="25"/>
  <c r="B281" i="25"/>
  <c r="B282" i="25"/>
  <c r="B283" i="25"/>
  <c r="B284" i="25"/>
  <c r="B285" i="25"/>
  <c r="B286" i="25"/>
  <c r="B287" i="25"/>
  <c r="B288" i="25"/>
  <c r="B289" i="25"/>
  <c r="B290" i="25"/>
  <c r="B291" i="25"/>
  <c r="B292" i="25"/>
  <c r="B293" i="25"/>
  <c r="B294" i="25"/>
  <c r="B295" i="25"/>
  <c r="B296" i="25"/>
  <c r="B297" i="25"/>
  <c r="B298" i="25"/>
  <c r="B299" i="25"/>
  <c r="B300" i="25"/>
  <c r="B301" i="25"/>
  <c r="B302" i="25"/>
  <c r="B303" i="25"/>
  <c r="B304" i="25"/>
  <c r="B305" i="25"/>
  <c r="B306" i="25"/>
  <c r="B307" i="25"/>
  <c r="B308" i="25"/>
  <c r="B309" i="25"/>
  <c r="B310" i="25"/>
  <c r="B311" i="25"/>
  <c r="B312" i="25"/>
  <c r="B313" i="25"/>
  <c r="B314" i="25"/>
  <c r="B315" i="25"/>
  <c r="B316" i="25"/>
  <c r="B317" i="25"/>
  <c r="B318" i="25"/>
  <c r="B319" i="25"/>
  <c r="B320" i="25"/>
  <c r="B321" i="25"/>
  <c r="B322" i="25"/>
  <c r="B323" i="25"/>
  <c r="B324" i="25"/>
  <c r="B325" i="25"/>
  <c r="B326" i="25"/>
  <c r="B327" i="25"/>
  <c r="B328" i="25"/>
  <c r="B329" i="25"/>
  <c r="B330" i="25"/>
  <c r="B331" i="25"/>
  <c r="B332" i="25"/>
  <c r="B333" i="25"/>
  <c r="B334" i="25"/>
  <c r="B335" i="25"/>
  <c r="B336" i="25"/>
  <c r="B337" i="25"/>
  <c r="B338" i="25"/>
  <c r="B339" i="25"/>
  <c r="B340" i="25"/>
  <c r="B341" i="25"/>
  <c r="B342" i="25"/>
  <c r="B343" i="25"/>
  <c r="B344" i="25"/>
  <c r="B345" i="25"/>
  <c r="B346" i="25"/>
  <c r="B347" i="25"/>
  <c r="B348" i="25"/>
  <c r="B349" i="25"/>
  <c r="B350" i="25"/>
  <c r="B351" i="25"/>
  <c r="B352" i="25"/>
  <c r="B353" i="25"/>
  <c r="B354" i="25"/>
  <c r="B355" i="25"/>
  <c r="B356" i="25"/>
  <c r="B357" i="25"/>
  <c r="B358" i="25"/>
  <c r="B359" i="25"/>
  <c r="B360" i="25"/>
  <c r="B361" i="25"/>
  <c r="B362" i="25"/>
  <c r="B363" i="25"/>
  <c r="B364" i="25"/>
  <c r="B365" i="25"/>
  <c r="B366" i="25"/>
  <c r="B367" i="25"/>
  <c r="B368" i="25"/>
  <c r="B369" i="25"/>
  <c r="B370" i="25"/>
  <c r="B371" i="25"/>
  <c r="B372" i="25"/>
  <c r="B373" i="25"/>
  <c r="B374" i="25"/>
  <c r="B375" i="25"/>
  <c r="B376" i="25"/>
  <c r="B377" i="25"/>
  <c r="B378" i="25"/>
  <c r="B379" i="25"/>
  <c r="B380" i="25"/>
  <c r="B381" i="25"/>
  <c r="B382" i="25"/>
  <c r="B383" i="25"/>
  <c r="B384" i="25"/>
  <c r="B385" i="25"/>
  <c r="B386" i="25"/>
  <c r="B387" i="25"/>
  <c r="B388" i="25"/>
  <c r="B389" i="25"/>
  <c r="B390" i="25"/>
  <c r="B391" i="25"/>
  <c r="B392" i="25"/>
  <c r="B393" i="25"/>
  <c r="B394" i="25"/>
  <c r="B395" i="25"/>
  <c r="B396" i="25"/>
  <c r="B397" i="25"/>
  <c r="B398" i="25"/>
  <c r="B399" i="25"/>
  <c r="B400" i="25"/>
  <c r="B401" i="25"/>
  <c r="B402" i="25"/>
  <c r="B403" i="25"/>
  <c r="B404" i="25"/>
  <c r="B405" i="25"/>
  <c r="B406" i="25"/>
  <c r="B407" i="25"/>
  <c r="B408" i="25"/>
  <c r="B409" i="25"/>
  <c r="B410" i="25"/>
  <c r="B411" i="25"/>
  <c r="B412" i="25"/>
  <c r="B413" i="25"/>
  <c r="B414" i="25"/>
  <c r="B415" i="25"/>
  <c r="B416" i="25"/>
  <c r="B417" i="25"/>
  <c r="B418" i="25"/>
  <c r="B419" i="25"/>
  <c r="B420" i="25"/>
  <c r="B421" i="25"/>
  <c r="B422" i="25"/>
  <c r="B423" i="25"/>
  <c r="B424" i="25"/>
  <c r="B425" i="25"/>
  <c r="B426" i="25"/>
  <c r="B427" i="25"/>
  <c r="B428" i="25"/>
  <c r="B429" i="25"/>
  <c r="B430" i="25"/>
  <c r="B431" i="25"/>
  <c r="B432" i="25"/>
  <c r="B433" i="25"/>
  <c r="B434" i="25"/>
  <c r="B435" i="25"/>
  <c r="B436" i="25"/>
  <c r="B437" i="25"/>
  <c r="B438" i="25"/>
  <c r="B439" i="25"/>
  <c r="B440" i="25"/>
  <c r="B441" i="25"/>
  <c r="B442" i="25"/>
  <c r="B443" i="25"/>
  <c r="B444" i="25"/>
  <c r="B445" i="25"/>
  <c r="B446" i="25"/>
  <c r="B447" i="25"/>
  <c r="B448" i="25"/>
  <c r="B449" i="25"/>
  <c r="B450" i="25"/>
  <c r="B451" i="25"/>
  <c r="B452" i="25"/>
  <c r="B453" i="25"/>
  <c r="B454" i="25"/>
  <c r="B455" i="25"/>
  <c r="B456" i="25"/>
  <c r="B457" i="25"/>
  <c r="B458" i="25"/>
  <c r="B459" i="25"/>
  <c r="B460" i="25"/>
  <c r="B461" i="25"/>
  <c r="B462" i="25"/>
  <c r="B463" i="25"/>
  <c r="B464" i="25"/>
  <c r="B465" i="25"/>
  <c r="B466" i="25"/>
  <c r="B467" i="25"/>
  <c r="B468" i="25"/>
  <c r="B469" i="25"/>
  <c r="B470" i="25"/>
  <c r="B471" i="25"/>
  <c r="B472" i="25"/>
  <c r="B473" i="25"/>
  <c r="B474" i="25"/>
  <c r="B475" i="25"/>
  <c r="B476" i="25"/>
  <c r="B477" i="25"/>
  <c r="B478" i="25"/>
  <c r="B479" i="25"/>
  <c r="B480" i="25"/>
  <c r="B481" i="25"/>
  <c r="B482" i="25"/>
  <c r="B483" i="25"/>
  <c r="B484" i="25"/>
  <c r="B485" i="25"/>
  <c r="B486" i="25"/>
  <c r="B487" i="25"/>
  <c r="B488" i="25"/>
  <c r="B489" i="25"/>
  <c r="B490" i="25"/>
  <c r="B491" i="25"/>
  <c r="B492" i="25"/>
  <c r="B493" i="25"/>
  <c r="B494" i="25"/>
  <c r="B495" i="25"/>
  <c r="B496" i="25"/>
  <c r="B497" i="25"/>
  <c r="B498" i="25"/>
  <c r="B499" i="25"/>
  <c r="B500" i="25"/>
  <c r="B501" i="25"/>
  <c r="B502" i="25"/>
  <c r="B503" i="25"/>
  <c r="B504" i="25"/>
  <c r="B505" i="25"/>
  <c r="B506" i="25"/>
  <c r="B507" i="25"/>
  <c r="B508" i="25"/>
  <c r="B509" i="25"/>
  <c r="B510" i="25"/>
  <c r="B511" i="25"/>
  <c r="B512" i="25"/>
  <c r="B513" i="25"/>
  <c r="B514" i="25"/>
  <c r="B515" i="25"/>
  <c r="B516" i="25"/>
  <c r="B517" i="25"/>
  <c r="B518" i="25"/>
  <c r="B519" i="25"/>
  <c r="B520" i="25"/>
  <c r="B521" i="25"/>
  <c r="B522" i="25"/>
  <c r="B523" i="25"/>
  <c r="B524" i="25"/>
  <c r="B525" i="25"/>
  <c r="B526" i="25"/>
  <c r="B527" i="25"/>
  <c r="B528" i="25"/>
  <c r="B529" i="25"/>
  <c r="B530" i="25"/>
  <c r="B531" i="25"/>
  <c r="B532" i="25"/>
  <c r="B533" i="25"/>
  <c r="B534" i="25"/>
  <c r="B535" i="25"/>
  <c r="B536" i="25"/>
  <c r="B537" i="25"/>
  <c r="B538" i="25"/>
  <c r="B539" i="25"/>
  <c r="B540" i="25"/>
  <c r="B541" i="25"/>
  <c r="B542" i="25"/>
  <c r="B543" i="25"/>
  <c r="B544" i="25"/>
  <c r="B545" i="25"/>
  <c r="B546" i="25"/>
  <c r="B547" i="25"/>
  <c r="B548" i="25"/>
  <c r="B549" i="25"/>
  <c r="B550" i="25"/>
  <c r="B551" i="25"/>
  <c r="B552" i="25"/>
  <c r="B553" i="25"/>
  <c r="B554" i="25"/>
  <c r="B555" i="25"/>
  <c r="B556" i="25"/>
  <c r="B557" i="25"/>
  <c r="B558" i="25"/>
  <c r="B559" i="25"/>
  <c r="B560" i="25"/>
  <c r="B561" i="25"/>
  <c r="B562" i="25"/>
  <c r="B563" i="25"/>
  <c r="B564" i="25"/>
  <c r="B565" i="25"/>
  <c r="B566" i="25"/>
  <c r="B567" i="25"/>
  <c r="B568" i="25"/>
  <c r="B569" i="25"/>
  <c r="B570" i="25"/>
  <c r="B571" i="25"/>
  <c r="B572" i="25"/>
  <c r="B573" i="25"/>
  <c r="B574" i="25"/>
  <c r="B575" i="25"/>
  <c r="B576" i="25"/>
  <c r="B577" i="25"/>
  <c r="B578" i="25"/>
  <c r="B579" i="25"/>
  <c r="B580" i="25"/>
  <c r="B581" i="25"/>
  <c r="B582" i="25"/>
  <c r="B583" i="25"/>
  <c r="B584" i="25"/>
  <c r="B585" i="25"/>
  <c r="B586" i="25"/>
  <c r="B587" i="25"/>
  <c r="B588" i="25"/>
  <c r="B589" i="25"/>
  <c r="B590" i="25"/>
  <c r="B591" i="25"/>
  <c r="B592" i="25"/>
  <c r="B593" i="25"/>
  <c r="B594" i="25"/>
  <c r="B595" i="25"/>
  <c r="B596" i="25"/>
  <c r="B597" i="25"/>
  <c r="B598" i="25"/>
  <c r="B599" i="25"/>
  <c r="B600" i="25"/>
  <c r="B601" i="25"/>
  <c r="B602" i="25"/>
  <c r="B603" i="25"/>
  <c r="B604" i="25"/>
  <c r="B605" i="25"/>
  <c r="B606" i="25"/>
  <c r="B607" i="25"/>
  <c r="B608" i="25"/>
  <c r="B609" i="25"/>
  <c r="B610" i="25"/>
  <c r="B611" i="25"/>
  <c r="B612" i="25"/>
  <c r="B613" i="25"/>
  <c r="B614" i="25"/>
  <c r="B615" i="25"/>
  <c r="B616" i="25"/>
  <c r="B617" i="25"/>
  <c r="B618" i="25"/>
  <c r="B619" i="25"/>
  <c r="B620" i="25"/>
  <c r="B621" i="25"/>
  <c r="B622" i="25"/>
  <c r="B623" i="25"/>
  <c r="B624" i="25"/>
  <c r="B625" i="25"/>
  <c r="B626" i="25"/>
  <c r="B627" i="25"/>
  <c r="B628" i="25"/>
  <c r="B629" i="25"/>
  <c r="B630" i="25"/>
  <c r="B631" i="25"/>
  <c r="B632" i="25"/>
  <c r="B633" i="25"/>
  <c r="B634" i="25"/>
  <c r="B635" i="25"/>
  <c r="B636" i="25"/>
  <c r="B637" i="25"/>
  <c r="B638" i="25"/>
  <c r="B639" i="25"/>
  <c r="B640" i="25"/>
  <c r="B641" i="25"/>
  <c r="B642" i="25"/>
  <c r="B643" i="25"/>
  <c r="B644" i="25"/>
  <c r="B645" i="25"/>
  <c r="B646" i="25"/>
  <c r="B647" i="25"/>
  <c r="B648" i="25"/>
  <c r="B649" i="25"/>
  <c r="B650" i="25"/>
  <c r="B651" i="25"/>
  <c r="B652" i="25"/>
  <c r="B653" i="25"/>
  <c r="B654" i="25"/>
  <c r="B655" i="25"/>
  <c r="B656" i="25"/>
  <c r="B657" i="25"/>
  <c r="B658" i="25"/>
  <c r="B659" i="25"/>
  <c r="B660" i="25"/>
  <c r="B661" i="25"/>
  <c r="B662" i="25"/>
  <c r="B663" i="25"/>
  <c r="B664" i="25"/>
  <c r="B665" i="25"/>
  <c r="B666" i="25"/>
  <c r="B667" i="25"/>
  <c r="B668" i="25"/>
  <c r="B669" i="25"/>
  <c r="B670" i="25"/>
  <c r="B671" i="25"/>
  <c r="B672" i="25"/>
  <c r="B673" i="25"/>
  <c r="B674" i="25"/>
  <c r="B675" i="25"/>
  <c r="B676" i="25"/>
  <c r="B677" i="25"/>
  <c r="B678" i="25"/>
  <c r="B679" i="25"/>
  <c r="B680" i="25"/>
  <c r="B681" i="25"/>
  <c r="B682" i="25"/>
  <c r="B683" i="25"/>
  <c r="B684" i="25"/>
  <c r="B685" i="25"/>
  <c r="B686" i="25"/>
  <c r="B687" i="25"/>
  <c r="B688" i="25"/>
  <c r="B689" i="25"/>
  <c r="B690" i="25"/>
  <c r="B691" i="25"/>
  <c r="B692" i="25"/>
  <c r="B693" i="25"/>
  <c r="B694" i="25"/>
  <c r="B695" i="25"/>
  <c r="B696" i="25"/>
  <c r="B697" i="25"/>
  <c r="B698" i="25"/>
  <c r="B699" i="25"/>
  <c r="B700" i="25"/>
  <c r="B701" i="25"/>
  <c r="B702" i="25"/>
  <c r="B703" i="25"/>
  <c r="B704" i="25"/>
  <c r="B705" i="25"/>
  <c r="B706" i="25"/>
  <c r="B707" i="25"/>
  <c r="B708" i="25"/>
  <c r="B709" i="25"/>
  <c r="B710" i="25"/>
  <c r="B711" i="25"/>
  <c r="B712" i="25"/>
  <c r="B713" i="25"/>
  <c r="B714" i="25"/>
  <c r="B715" i="25"/>
  <c r="B716" i="25"/>
  <c r="B717" i="25"/>
  <c r="B718" i="25"/>
  <c r="B719" i="25"/>
  <c r="B720" i="25"/>
  <c r="B721" i="25"/>
  <c r="B722" i="25"/>
  <c r="B723" i="25"/>
  <c r="B724" i="25"/>
  <c r="B725" i="25"/>
  <c r="B726" i="25"/>
  <c r="B727" i="25"/>
  <c r="B728" i="25"/>
  <c r="B729" i="25"/>
  <c r="B730" i="25"/>
  <c r="B731" i="25"/>
  <c r="B732" i="25"/>
  <c r="B733" i="25"/>
  <c r="B734" i="25"/>
  <c r="B735" i="25"/>
  <c r="B736" i="25"/>
  <c r="B737" i="25"/>
  <c r="B738" i="25"/>
  <c r="B739" i="25"/>
  <c r="B740" i="25"/>
  <c r="B741" i="25"/>
  <c r="B742" i="25"/>
  <c r="B743" i="25"/>
  <c r="B744" i="25"/>
  <c r="B745" i="25"/>
  <c r="B746" i="25"/>
  <c r="B747" i="25"/>
  <c r="B748" i="25"/>
  <c r="B749" i="25"/>
  <c r="B750" i="25"/>
  <c r="B751" i="25"/>
  <c r="B752" i="25"/>
  <c r="B753" i="25"/>
  <c r="B754" i="25"/>
  <c r="B755" i="25"/>
  <c r="B756" i="25"/>
  <c r="B757" i="25"/>
  <c r="B758" i="25"/>
  <c r="B759" i="25"/>
  <c r="B760" i="25"/>
  <c r="B761" i="25"/>
  <c r="B762" i="25"/>
  <c r="B763" i="25"/>
  <c r="B764" i="25"/>
  <c r="B765" i="25"/>
  <c r="B766" i="25"/>
  <c r="B767" i="25"/>
  <c r="B768" i="25"/>
  <c r="B769" i="25"/>
  <c r="B770" i="25"/>
  <c r="B771" i="25"/>
  <c r="B772" i="25"/>
  <c r="B773" i="25"/>
  <c r="B774" i="25"/>
  <c r="B775" i="25"/>
  <c r="B776" i="25"/>
  <c r="B777" i="25"/>
  <c r="B778" i="25"/>
  <c r="B779" i="25"/>
  <c r="B780" i="25"/>
  <c r="B781" i="25"/>
  <c r="B782" i="25"/>
  <c r="B783" i="25"/>
  <c r="B784" i="25"/>
  <c r="B785" i="25"/>
  <c r="B786" i="25"/>
  <c r="B787" i="25"/>
  <c r="B788" i="25"/>
  <c r="B789" i="25"/>
  <c r="B790" i="25"/>
  <c r="B791" i="25"/>
  <c r="B792" i="25"/>
  <c r="B793" i="25"/>
  <c r="B794" i="25"/>
  <c r="B795" i="25"/>
  <c r="B796" i="25"/>
  <c r="B797" i="25"/>
  <c r="B798" i="25"/>
  <c r="B799" i="25"/>
  <c r="B800" i="25"/>
  <c r="B801" i="25"/>
  <c r="B802" i="25"/>
  <c r="B803" i="25"/>
  <c r="B804" i="25"/>
  <c r="B805" i="25"/>
  <c r="B806" i="25"/>
  <c r="B807" i="25"/>
  <c r="B808" i="25"/>
  <c r="B809" i="25"/>
  <c r="B810" i="25"/>
  <c r="B811" i="25"/>
  <c r="B812" i="25"/>
  <c r="B813" i="25"/>
  <c r="B814" i="25"/>
  <c r="B815" i="25"/>
  <c r="B816" i="25"/>
  <c r="B817" i="25"/>
  <c r="B818" i="25"/>
  <c r="B819" i="25"/>
  <c r="B820" i="25"/>
  <c r="B821" i="25"/>
  <c r="B822" i="25"/>
  <c r="B823" i="25"/>
  <c r="B824" i="25"/>
  <c r="B825" i="25"/>
  <c r="B826" i="25"/>
  <c r="B827" i="25"/>
  <c r="B828" i="25"/>
  <c r="B829" i="25"/>
  <c r="B830" i="25"/>
  <c r="B831" i="25"/>
  <c r="B832" i="25"/>
  <c r="B833" i="25"/>
  <c r="B834" i="25"/>
  <c r="B835" i="25"/>
  <c r="B836" i="25"/>
  <c r="B837" i="25"/>
  <c r="B838" i="25"/>
  <c r="B839" i="25"/>
  <c r="B840" i="25"/>
  <c r="B841" i="25"/>
  <c r="B842" i="25"/>
  <c r="B843" i="25"/>
  <c r="B844" i="25"/>
  <c r="B845" i="25"/>
  <c r="B846" i="25"/>
  <c r="B847" i="25"/>
  <c r="B848" i="25"/>
  <c r="B849" i="25"/>
  <c r="B850" i="25"/>
  <c r="B851" i="25"/>
  <c r="B852" i="25"/>
  <c r="B853" i="25"/>
  <c r="B854" i="25"/>
  <c r="B855" i="25"/>
  <c r="B856" i="25"/>
  <c r="B857" i="25"/>
  <c r="B858" i="25"/>
  <c r="B859" i="25"/>
  <c r="B860" i="25"/>
  <c r="B861" i="25"/>
  <c r="B862" i="25"/>
  <c r="B863" i="25"/>
  <c r="B864" i="25"/>
  <c r="B865" i="25"/>
  <c r="B866" i="25"/>
  <c r="B867" i="25"/>
  <c r="B868" i="25"/>
  <c r="B869" i="25"/>
  <c r="B870" i="25"/>
  <c r="B871" i="25"/>
  <c r="B872" i="25"/>
  <c r="B873" i="25"/>
  <c r="B874" i="25"/>
  <c r="B875" i="25"/>
  <c r="B876" i="25"/>
  <c r="B877" i="25"/>
  <c r="B878" i="25"/>
  <c r="B879" i="25"/>
  <c r="B880" i="25"/>
  <c r="B881" i="25"/>
  <c r="B882" i="25"/>
  <c r="B883" i="25"/>
  <c r="B884" i="25"/>
  <c r="B885" i="25"/>
  <c r="B886" i="25"/>
  <c r="B887" i="25"/>
  <c r="B888" i="25"/>
  <c r="B889" i="25"/>
  <c r="B890" i="25"/>
  <c r="B891" i="25"/>
  <c r="B892" i="25"/>
  <c r="B893" i="25"/>
  <c r="B894" i="25"/>
  <c r="B895" i="25"/>
  <c r="B896" i="25"/>
  <c r="B897" i="25"/>
  <c r="B898" i="25"/>
  <c r="B899" i="25"/>
  <c r="B900" i="25"/>
  <c r="B901" i="25"/>
  <c r="B902" i="25"/>
  <c r="B903" i="25"/>
  <c r="B904" i="25"/>
  <c r="B905" i="25"/>
  <c r="B906" i="25"/>
  <c r="B907" i="25"/>
  <c r="B908" i="25"/>
  <c r="B909" i="25"/>
  <c r="B910" i="25"/>
  <c r="B911" i="25"/>
  <c r="B912" i="25"/>
  <c r="B913" i="25"/>
  <c r="B914" i="25"/>
  <c r="B915" i="25"/>
  <c r="B916" i="25"/>
  <c r="B917" i="25"/>
  <c r="B918" i="25"/>
  <c r="B919" i="25"/>
  <c r="B920" i="25"/>
  <c r="B921" i="25"/>
  <c r="B922" i="25"/>
  <c r="B923" i="25"/>
  <c r="B924" i="25"/>
  <c r="B925" i="25"/>
  <c r="B926" i="25"/>
  <c r="B927" i="25"/>
  <c r="B928" i="25"/>
  <c r="B929" i="25"/>
  <c r="B930" i="25"/>
  <c r="B931" i="25"/>
  <c r="B932" i="25"/>
  <c r="B933" i="25"/>
  <c r="B934" i="25"/>
  <c r="B935" i="25"/>
  <c r="B936" i="25"/>
  <c r="B937" i="25"/>
  <c r="B938" i="25"/>
  <c r="B939" i="25"/>
  <c r="B940" i="25"/>
  <c r="B941" i="25"/>
  <c r="B942" i="25"/>
  <c r="B943" i="25"/>
  <c r="B944" i="25"/>
  <c r="B945" i="25"/>
  <c r="B946" i="25"/>
  <c r="B947" i="25"/>
  <c r="B948" i="25"/>
  <c r="B949" i="25"/>
  <c r="B950" i="25"/>
  <c r="B951" i="25"/>
  <c r="B952" i="25"/>
  <c r="B953" i="25"/>
  <c r="B954" i="25"/>
  <c r="B955" i="25"/>
  <c r="B956" i="25"/>
  <c r="B957" i="25"/>
  <c r="B958" i="25"/>
  <c r="B959" i="25"/>
  <c r="B960" i="25"/>
  <c r="B961" i="25"/>
  <c r="B962" i="25"/>
  <c r="B963" i="25"/>
  <c r="B964" i="25"/>
  <c r="B965" i="25"/>
  <c r="B966" i="25"/>
  <c r="B967" i="25"/>
  <c r="B968" i="25"/>
  <c r="B969" i="25"/>
  <c r="B970" i="25"/>
  <c r="B971" i="25"/>
  <c r="B972" i="25"/>
  <c r="B973" i="25"/>
  <c r="B974" i="25"/>
  <c r="B975" i="25"/>
  <c r="B976" i="25"/>
  <c r="B977" i="25"/>
  <c r="B978" i="25"/>
  <c r="B979" i="25"/>
  <c r="B980" i="25"/>
  <c r="B981" i="25"/>
  <c r="B982" i="25"/>
  <c r="B983" i="25"/>
  <c r="B984" i="25"/>
  <c r="B985" i="25"/>
  <c r="B986" i="25"/>
  <c r="B987" i="25"/>
  <c r="B988" i="25"/>
  <c r="B989" i="25"/>
  <c r="B990" i="25"/>
  <c r="B991" i="25"/>
  <c r="B992" i="25"/>
  <c r="B993" i="25"/>
  <c r="B994" i="25"/>
  <c r="B995" i="25"/>
  <c r="B996" i="25"/>
  <c r="B997" i="25"/>
  <c r="B998" i="25"/>
  <c r="B999" i="25"/>
  <c r="B1000" i="25"/>
  <c r="B1001" i="25"/>
  <c r="B1002" i="25"/>
  <c r="B1003" i="25"/>
  <c r="B1004" i="25"/>
  <c r="B1005" i="25"/>
  <c r="B1006" i="25"/>
  <c r="B1007" i="25"/>
  <c r="B1008" i="25"/>
  <c r="B1009" i="25"/>
  <c r="B1010" i="25"/>
  <c r="B1011" i="25"/>
  <c r="B1012" i="25"/>
  <c r="B1013" i="25"/>
  <c r="B1014" i="25"/>
  <c r="B1015" i="25"/>
  <c r="B1016" i="25"/>
  <c r="B1017" i="25"/>
  <c r="B1018" i="25"/>
  <c r="B1019" i="25"/>
  <c r="B1020" i="25"/>
  <c r="B1021" i="25"/>
  <c r="B1022" i="25"/>
  <c r="B1023" i="25"/>
  <c r="B1024" i="25"/>
  <c r="B1025" i="25"/>
  <c r="B1026" i="25"/>
  <c r="B1027" i="25"/>
  <c r="B1028" i="25"/>
  <c r="B1029" i="25"/>
  <c r="B1030" i="25"/>
  <c r="B1031" i="25"/>
  <c r="B1032" i="25"/>
  <c r="B1033" i="25"/>
  <c r="B1034" i="25"/>
  <c r="B1035" i="25"/>
  <c r="B1036" i="25"/>
  <c r="B1037" i="25"/>
  <c r="B1038" i="25"/>
  <c r="B1039" i="25"/>
  <c r="B1040" i="25"/>
  <c r="B1041" i="25"/>
  <c r="B1042" i="25"/>
  <c r="B1043" i="25"/>
  <c r="B1044" i="25"/>
  <c r="B1045" i="25"/>
  <c r="B1046" i="25"/>
  <c r="B1047" i="25"/>
  <c r="B1048" i="25"/>
  <c r="B1049" i="25"/>
  <c r="B1050" i="25"/>
  <c r="B1051" i="25"/>
  <c r="B1052" i="25"/>
  <c r="B1053" i="25"/>
  <c r="B1054" i="25"/>
  <c r="B1055" i="25"/>
  <c r="B1056" i="25"/>
  <c r="B1057" i="25"/>
  <c r="B1058" i="25"/>
  <c r="B1059" i="25"/>
  <c r="B1060" i="25"/>
  <c r="B1061" i="25"/>
  <c r="B1062" i="25"/>
  <c r="B1063" i="25"/>
  <c r="B1064" i="25"/>
  <c r="B1065" i="25"/>
  <c r="B1066" i="25"/>
  <c r="B1067" i="25"/>
  <c r="B1068" i="25"/>
  <c r="B1069" i="25"/>
  <c r="B1070" i="25"/>
  <c r="B1071" i="25"/>
  <c r="B1072" i="25"/>
  <c r="B1073" i="25"/>
  <c r="B1074" i="25"/>
  <c r="B1075" i="25"/>
  <c r="B1076" i="25"/>
  <c r="B1077" i="25"/>
  <c r="B1078" i="25"/>
  <c r="B1079" i="25"/>
  <c r="B1080" i="25"/>
  <c r="B1081" i="25"/>
  <c r="B1082" i="25"/>
  <c r="B1083" i="25"/>
  <c r="B1084" i="25"/>
  <c r="B1085" i="25"/>
  <c r="B1086" i="25"/>
  <c r="B1087" i="25"/>
  <c r="B1088" i="25"/>
  <c r="B1089" i="25"/>
  <c r="B1090" i="25"/>
  <c r="B1091" i="25"/>
  <c r="B1092" i="25"/>
  <c r="B1093" i="25"/>
  <c r="B1094" i="25"/>
  <c r="B1095" i="25"/>
  <c r="B1096" i="25"/>
  <c r="B1097" i="25"/>
  <c r="B1098" i="25"/>
  <c r="B1099" i="25"/>
  <c r="B1100" i="25"/>
  <c r="B1101" i="25"/>
  <c r="B1102" i="25"/>
  <c r="B1103" i="25"/>
  <c r="B1104" i="25"/>
  <c r="B1105" i="25"/>
  <c r="B1106" i="25"/>
  <c r="B1107" i="25"/>
  <c r="B1108" i="25"/>
  <c r="B1109" i="25"/>
  <c r="B1110" i="25"/>
  <c r="B1111" i="25"/>
  <c r="B1112" i="25"/>
  <c r="B1113" i="25"/>
  <c r="B1114" i="25"/>
  <c r="B1115" i="25"/>
  <c r="B1116" i="25"/>
  <c r="B1117" i="25"/>
  <c r="B1118" i="25"/>
  <c r="B1119" i="25"/>
  <c r="B1120" i="25"/>
  <c r="B1121" i="25"/>
  <c r="B1122" i="25"/>
  <c r="B1123" i="25"/>
  <c r="B1124" i="25"/>
  <c r="B1125" i="25"/>
  <c r="B1126" i="25"/>
  <c r="B1127" i="25"/>
  <c r="B1128" i="25"/>
  <c r="B1129" i="25"/>
  <c r="B1130" i="25"/>
  <c r="B1131" i="25"/>
  <c r="B1132" i="25"/>
  <c r="B1133" i="25"/>
  <c r="B1134" i="25"/>
  <c r="B1135" i="25"/>
  <c r="B1136" i="25"/>
  <c r="B1137" i="25"/>
  <c r="B1138" i="25"/>
  <c r="B1139" i="25"/>
  <c r="B1140" i="25"/>
  <c r="B1141" i="25"/>
  <c r="B1142" i="25"/>
  <c r="B1143" i="25"/>
  <c r="B1144" i="25"/>
  <c r="B1145" i="25"/>
  <c r="B1146" i="25"/>
  <c r="B1147" i="25"/>
  <c r="B1148" i="25"/>
  <c r="B1149" i="25"/>
  <c r="B1150" i="25"/>
  <c r="B1151" i="25"/>
  <c r="B1152" i="25"/>
  <c r="B1153" i="25"/>
  <c r="B1154" i="25"/>
  <c r="B1155" i="25"/>
  <c r="B1156" i="25"/>
  <c r="B1157" i="25"/>
  <c r="B1158" i="25"/>
  <c r="B1159" i="25"/>
  <c r="B1160" i="25"/>
  <c r="B1161" i="25"/>
  <c r="B1162" i="25"/>
  <c r="B1163" i="25"/>
  <c r="B1164" i="25"/>
  <c r="B1165" i="25"/>
  <c r="B1166" i="25"/>
  <c r="B1167" i="25"/>
  <c r="B1168" i="25"/>
  <c r="B1169" i="25"/>
  <c r="B1170" i="25"/>
  <c r="B1171" i="25"/>
  <c r="B1172" i="25"/>
  <c r="B1173" i="25"/>
  <c r="B1174" i="25"/>
  <c r="B1175" i="25"/>
  <c r="B1176" i="25"/>
  <c r="B1177" i="25"/>
  <c r="B1178" i="25"/>
  <c r="B1179" i="25"/>
  <c r="B1180" i="25"/>
  <c r="B1181" i="25"/>
  <c r="B1182" i="25"/>
  <c r="B1183" i="25"/>
  <c r="B1184" i="25"/>
  <c r="B1185" i="25"/>
  <c r="B1186" i="25"/>
  <c r="B1187" i="25"/>
  <c r="B1188" i="25"/>
  <c r="B1189" i="25"/>
  <c r="B1190" i="25"/>
  <c r="B1191" i="25"/>
  <c r="B1192" i="25"/>
  <c r="B1193" i="25"/>
  <c r="B1194" i="25"/>
  <c r="B1195" i="25"/>
  <c r="B1196" i="25"/>
  <c r="B1197" i="25"/>
  <c r="B1198" i="25"/>
  <c r="B1199" i="25"/>
  <c r="B1200" i="25"/>
  <c r="B1201" i="25"/>
  <c r="B1202" i="25"/>
  <c r="B1203" i="25"/>
  <c r="B1204" i="25"/>
  <c r="B1205" i="25"/>
  <c r="B1206" i="25"/>
  <c r="B1207" i="25"/>
  <c r="B1208" i="25"/>
  <c r="B1209" i="25"/>
  <c r="B1210" i="25"/>
  <c r="B1211" i="25"/>
  <c r="B1212" i="25"/>
  <c r="B1213" i="25"/>
  <c r="B1214" i="25"/>
  <c r="B1215" i="25"/>
  <c r="B1216" i="25"/>
  <c r="B1217" i="25"/>
  <c r="B1218" i="25"/>
  <c r="B1219" i="25"/>
  <c r="B1220" i="25"/>
  <c r="B1221" i="25"/>
  <c r="B1222" i="25"/>
  <c r="B1223" i="25"/>
  <c r="B1224" i="25"/>
  <c r="B1225" i="25"/>
  <c r="B1226" i="25"/>
  <c r="B1227" i="25"/>
  <c r="B1228" i="25"/>
  <c r="B1229" i="25"/>
  <c r="B1230" i="25"/>
  <c r="B1231" i="25"/>
  <c r="B1232" i="25"/>
  <c r="B1233" i="25"/>
  <c r="B1234" i="25"/>
  <c r="B1235" i="25"/>
  <c r="B1236" i="25"/>
  <c r="B1237" i="25"/>
  <c r="B1238" i="25"/>
  <c r="B1239" i="25"/>
  <c r="B1240" i="25"/>
  <c r="B1241" i="25"/>
  <c r="B1242" i="25"/>
  <c r="B1243" i="25"/>
  <c r="B1244" i="25"/>
  <c r="B1245" i="25"/>
  <c r="B1246" i="25"/>
  <c r="B1247" i="25"/>
  <c r="B1248" i="25"/>
  <c r="B1249" i="25"/>
  <c r="B1250" i="25"/>
  <c r="B1251" i="25"/>
  <c r="B1252" i="25"/>
  <c r="B1253" i="25"/>
  <c r="B1254" i="25"/>
  <c r="B1255" i="25"/>
  <c r="B1256" i="25"/>
  <c r="B1257" i="25"/>
  <c r="B1258" i="25"/>
  <c r="B1259" i="25"/>
  <c r="B1260" i="25"/>
  <c r="B1261" i="25"/>
  <c r="B1262" i="25"/>
  <c r="B1263" i="25"/>
  <c r="B1264" i="25"/>
  <c r="B1265" i="25"/>
  <c r="B1266" i="25"/>
  <c r="B1267" i="25"/>
  <c r="B1268" i="25"/>
  <c r="B1269" i="25"/>
  <c r="B1270" i="25"/>
  <c r="B1271" i="25"/>
  <c r="B1272" i="25"/>
  <c r="B1273" i="25"/>
  <c r="B1274" i="25"/>
  <c r="B1275" i="25"/>
  <c r="B1276" i="25"/>
  <c r="B1277" i="25"/>
  <c r="B1278" i="25"/>
  <c r="B1279" i="25"/>
  <c r="B1280" i="25"/>
  <c r="B1281" i="25"/>
  <c r="B1282" i="25"/>
  <c r="B1283" i="25"/>
  <c r="B1284" i="25"/>
  <c r="B1285" i="25"/>
  <c r="B1286" i="25"/>
  <c r="B1287" i="25"/>
  <c r="B1288" i="25"/>
  <c r="B1289" i="25"/>
  <c r="B1290" i="25"/>
  <c r="B1291" i="25"/>
  <c r="B1292" i="25"/>
  <c r="B1293" i="25"/>
  <c r="B1294" i="25"/>
  <c r="B1295" i="25"/>
  <c r="B1296" i="25"/>
  <c r="B1297" i="25"/>
  <c r="B1298" i="25"/>
  <c r="B1299" i="25"/>
  <c r="B1300" i="25"/>
  <c r="B1301" i="25"/>
  <c r="B1302" i="25"/>
  <c r="B1303" i="25"/>
  <c r="B1304" i="25"/>
  <c r="B1305" i="25"/>
  <c r="B1306" i="25"/>
  <c r="B1307" i="25"/>
  <c r="B1308" i="25"/>
  <c r="B1309" i="25"/>
  <c r="B1310" i="25"/>
  <c r="B1311" i="25"/>
  <c r="B1312" i="25"/>
  <c r="B1313" i="25"/>
  <c r="B1314" i="25"/>
  <c r="B1315" i="25"/>
  <c r="B1316" i="25"/>
  <c r="B1317" i="25"/>
  <c r="B1318" i="25"/>
  <c r="B1319" i="25"/>
  <c r="B1320" i="25"/>
  <c r="B1321" i="25"/>
  <c r="B1322" i="25"/>
  <c r="B1323" i="25"/>
  <c r="B1324" i="25"/>
  <c r="B1325" i="25"/>
  <c r="B1326" i="25"/>
  <c r="B1327" i="25"/>
  <c r="B1328" i="25"/>
  <c r="B1329" i="25"/>
  <c r="B1330" i="25"/>
  <c r="B1331" i="25"/>
  <c r="B1332" i="25"/>
  <c r="B1333" i="25"/>
  <c r="B1334" i="25"/>
  <c r="B1335" i="25"/>
  <c r="B1336" i="25"/>
  <c r="B1337" i="25"/>
  <c r="B1338" i="25"/>
  <c r="B1339" i="25"/>
  <c r="B1340" i="25"/>
  <c r="B1341" i="25"/>
  <c r="B1342" i="25"/>
  <c r="B1343" i="25"/>
  <c r="B1344" i="25"/>
  <c r="B1345" i="25"/>
  <c r="B1346" i="25"/>
  <c r="B1347" i="25"/>
  <c r="B1348" i="25"/>
  <c r="B1349" i="25"/>
  <c r="B1350" i="25"/>
  <c r="B1351" i="25"/>
  <c r="B1352" i="25"/>
  <c r="B1353" i="25"/>
  <c r="B1354" i="25"/>
  <c r="B1355" i="25"/>
  <c r="B1356" i="25"/>
  <c r="B1357" i="25"/>
  <c r="B1358" i="25"/>
  <c r="B1359" i="25"/>
  <c r="B1360" i="25"/>
  <c r="B1361" i="25"/>
  <c r="B1362" i="25"/>
  <c r="B1363" i="25"/>
  <c r="B1364" i="25"/>
  <c r="B1365" i="25"/>
  <c r="B1366" i="25"/>
  <c r="B1367" i="25"/>
  <c r="B1368" i="25"/>
  <c r="B1369" i="25"/>
  <c r="B1370" i="25"/>
  <c r="B1371" i="25"/>
  <c r="B1372" i="25"/>
  <c r="B1373" i="25"/>
  <c r="B1374" i="25"/>
  <c r="B1375" i="25"/>
  <c r="B1376" i="25"/>
  <c r="B1377" i="25"/>
  <c r="B1378" i="25"/>
  <c r="B1379" i="25"/>
  <c r="B1380" i="25"/>
  <c r="B1381" i="25"/>
  <c r="B1382" i="25"/>
  <c r="B1383" i="25"/>
  <c r="B1384" i="25"/>
  <c r="B1385" i="25"/>
  <c r="B1386" i="25"/>
  <c r="B1387" i="25"/>
  <c r="B1388" i="25"/>
  <c r="B1389" i="25"/>
  <c r="B1390" i="25"/>
  <c r="B1391" i="25"/>
  <c r="B1392" i="25"/>
  <c r="B1393" i="25"/>
  <c r="B1394" i="25"/>
  <c r="B1395" i="25"/>
  <c r="B1396" i="25"/>
  <c r="B1397" i="25"/>
  <c r="B1398" i="25"/>
  <c r="B1399" i="25"/>
  <c r="B1400" i="25"/>
  <c r="B1401" i="25"/>
  <c r="B1402" i="25"/>
  <c r="B1403" i="25"/>
  <c r="B1404" i="25"/>
  <c r="B1405" i="25"/>
  <c r="B1406" i="25"/>
  <c r="B1407" i="25"/>
  <c r="B1408" i="25"/>
  <c r="B1409" i="25"/>
  <c r="B1410" i="25"/>
  <c r="B1411" i="25"/>
  <c r="B1412" i="25"/>
  <c r="B1413" i="25"/>
  <c r="B1414" i="25"/>
  <c r="B1415" i="25"/>
  <c r="B1416" i="25"/>
  <c r="B1417" i="25"/>
  <c r="B1418" i="25"/>
  <c r="B1419" i="25"/>
  <c r="B1420" i="25"/>
  <c r="B1421" i="25"/>
  <c r="B1422" i="25"/>
  <c r="B1423" i="25"/>
  <c r="B1424" i="25"/>
  <c r="B1425" i="25"/>
  <c r="B1426" i="25"/>
  <c r="B1427" i="25"/>
  <c r="B1428" i="25"/>
  <c r="B1429" i="25"/>
  <c r="B1430" i="25"/>
  <c r="B1431" i="25"/>
  <c r="B1432" i="25"/>
  <c r="B1433" i="25"/>
  <c r="B1434" i="25"/>
  <c r="B1435" i="25"/>
  <c r="B1436" i="25"/>
  <c r="B1437" i="25"/>
  <c r="B1438" i="25"/>
  <c r="B1439" i="25"/>
  <c r="B1440" i="25"/>
  <c r="B1441" i="25"/>
  <c r="B1442" i="25"/>
  <c r="B1443" i="25"/>
  <c r="B1444" i="25"/>
  <c r="B1445" i="25"/>
  <c r="B1446" i="25"/>
  <c r="B1447" i="25"/>
  <c r="B1448" i="25"/>
  <c r="B1449" i="25"/>
  <c r="B1450" i="25"/>
  <c r="B1451" i="25"/>
  <c r="B1452" i="25"/>
  <c r="B1453" i="25"/>
  <c r="B1454" i="25"/>
  <c r="B1455" i="25"/>
  <c r="B1456" i="25"/>
  <c r="B1457" i="25"/>
  <c r="B1458" i="25"/>
  <c r="B1459" i="25"/>
  <c r="B1460" i="25"/>
  <c r="B1461" i="25"/>
  <c r="B1462" i="25"/>
  <c r="B1463" i="25"/>
  <c r="B1464" i="25"/>
  <c r="B1465" i="25"/>
  <c r="B1466" i="25"/>
  <c r="B1467" i="25"/>
  <c r="B1468" i="25"/>
  <c r="B1469" i="25"/>
  <c r="B1470" i="25"/>
  <c r="B1471" i="25"/>
  <c r="B1472" i="25"/>
  <c r="B1473" i="25"/>
  <c r="B1474" i="25"/>
  <c r="B1475" i="25"/>
  <c r="B1476" i="25"/>
  <c r="B1477" i="25"/>
  <c r="B1478" i="25"/>
  <c r="B1479" i="25"/>
  <c r="B1480" i="25"/>
  <c r="B1481" i="25"/>
  <c r="B1482" i="25"/>
  <c r="B1483" i="25"/>
  <c r="B1484" i="25"/>
  <c r="B1485" i="25"/>
  <c r="B1486" i="25"/>
  <c r="B1487" i="25"/>
  <c r="B1488" i="25"/>
  <c r="B1489" i="25"/>
  <c r="B1490" i="25"/>
  <c r="B1491" i="25"/>
  <c r="B1492" i="25"/>
  <c r="B1493" i="25"/>
  <c r="B1494" i="25"/>
  <c r="B1495" i="25"/>
  <c r="B1496" i="25"/>
  <c r="B1497" i="25"/>
  <c r="B1498" i="25"/>
  <c r="B1499" i="25"/>
  <c r="B1500" i="25"/>
  <c r="B1501" i="25"/>
  <c r="B1502" i="25"/>
  <c r="B1503" i="25"/>
  <c r="B1504" i="25"/>
  <c r="B1505" i="25"/>
  <c r="B1506" i="25"/>
  <c r="B1507" i="25"/>
  <c r="B1508" i="25"/>
  <c r="B1509" i="25"/>
  <c r="B1510" i="25"/>
  <c r="B1511" i="25"/>
  <c r="B1512" i="25"/>
  <c r="B1513" i="25"/>
  <c r="B1514" i="25"/>
  <c r="B1515" i="25"/>
  <c r="B1516" i="25"/>
  <c r="B1517" i="25"/>
  <c r="B1518" i="25"/>
  <c r="B1519" i="25"/>
  <c r="B1520" i="25"/>
  <c r="B1521" i="25"/>
  <c r="B1522" i="25"/>
  <c r="B1523" i="25"/>
  <c r="B1524" i="25"/>
  <c r="B1525" i="25"/>
  <c r="B1526" i="25"/>
  <c r="B1527" i="25"/>
  <c r="B1528" i="25"/>
  <c r="B1529" i="25"/>
  <c r="B1530" i="25"/>
  <c r="B1531" i="25"/>
  <c r="B1532" i="25"/>
  <c r="B1533" i="25"/>
  <c r="B1534" i="25"/>
  <c r="B1535" i="25"/>
  <c r="B1536" i="25"/>
  <c r="B1537" i="25"/>
  <c r="B1538" i="25"/>
  <c r="B1539" i="25"/>
  <c r="B1540" i="25"/>
  <c r="B1541" i="25"/>
  <c r="B1542" i="25"/>
  <c r="B1543" i="25"/>
  <c r="B1544" i="25"/>
  <c r="B1545" i="25"/>
  <c r="B1546" i="25"/>
  <c r="B1547" i="25"/>
  <c r="B1548" i="25"/>
  <c r="B1549" i="25"/>
  <c r="B1550" i="25"/>
  <c r="B1551" i="25"/>
  <c r="B1552" i="25"/>
  <c r="B1553" i="25"/>
  <c r="B1554" i="25"/>
  <c r="B1555" i="25"/>
  <c r="B1556" i="25"/>
  <c r="B1557" i="25"/>
  <c r="B1558" i="25"/>
  <c r="B1559" i="25"/>
  <c r="B1560" i="25"/>
  <c r="B1561" i="25"/>
  <c r="B1562" i="25"/>
  <c r="B1563" i="25"/>
  <c r="B1564" i="25"/>
  <c r="B1565" i="25"/>
  <c r="B1566" i="25"/>
  <c r="B1567" i="25"/>
  <c r="B1568" i="25"/>
  <c r="B1569" i="25"/>
  <c r="B1570" i="25"/>
  <c r="B1571" i="25"/>
  <c r="B1572" i="25"/>
  <c r="B1573" i="25"/>
  <c r="B1574" i="25"/>
  <c r="B1575" i="25"/>
  <c r="B1576" i="25"/>
  <c r="B1577" i="25"/>
  <c r="B1578" i="25"/>
  <c r="B1579" i="25"/>
  <c r="B1580" i="25"/>
  <c r="B1581" i="25"/>
  <c r="B1582" i="25"/>
  <c r="B1583" i="25"/>
  <c r="B1584" i="25"/>
  <c r="B1585" i="25"/>
  <c r="B1586" i="25"/>
  <c r="B1587" i="25"/>
  <c r="B1588" i="25"/>
  <c r="B1589" i="25"/>
  <c r="B1590" i="25"/>
  <c r="B1591" i="25"/>
  <c r="B1592" i="25"/>
  <c r="B1593" i="25"/>
  <c r="B1594" i="25"/>
  <c r="B1595" i="25"/>
  <c r="B1596" i="25"/>
  <c r="B1597" i="25"/>
  <c r="B1598" i="25"/>
  <c r="B1599" i="25"/>
  <c r="B1600" i="25"/>
  <c r="B1601" i="25"/>
  <c r="B1602" i="25"/>
  <c r="B1603" i="25"/>
  <c r="B1604" i="25"/>
  <c r="B1605" i="25"/>
  <c r="B1606" i="25"/>
  <c r="B1607" i="25"/>
  <c r="B1608" i="25"/>
  <c r="B1609" i="25"/>
  <c r="B1610" i="25"/>
  <c r="B1611" i="25"/>
  <c r="B1612" i="25"/>
  <c r="B1613" i="25"/>
  <c r="B1614" i="25"/>
  <c r="B1615" i="25"/>
  <c r="B1616" i="25"/>
  <c r="B1617" i="25"/>
  <c r="B1618" i="25"/>
  <c r="B1619" i="25"/>
  <c r="B1620" i="25"/>
  <c r="B1621" i="25"/>
  <c r="B1622" i="25"/>
  <c r="B1623" i="25"/>
  <c r="B1624" i="25"/>
  <c r="B1625" i="25"/>
  <c r="B1626" i="25"/>
  <c r="B1627" i="25"/>
  <c r="B1628" i="25"/>
  <c r="B1629" i="25"/>
  <c r="B1630" i="25"/>
  <c r="B1631" i="25"/>
  <c r="B1632" i="25"/>
  <c r="B1633" i="25"/>
  <c r="B1634" i="25"/>
  <c r="B1635" i="25"/>
  <c r="B1636" i="25"/>
  <c r="B1637" i="25"/>
  <c r="B1638" i="25"/>
  <c r="B1639" i="25"/>
  <c r="B1640" i="25"/>
  <c r="B1641" i="25"/>
  <c r="B1642" i="25"/>
  <c r="B1643" i="25"/>
  <c r="B1644" i="25"/>
  <c r="B1645" i="25"/>
  <c r="B1646" i="25"/>
  <c r="B1647" i="25"/>
  <c r="B1648" i="25"/>
  <c r="B1649" i="25"/>
  <c r="B1650" i="25"/>
  <c r="B1651" i="25"/>
  <c r="B1652" i="25"/>
  <c r="B1653" i="25"/>
  <c r="B1654" i="25"/>
  <c r="B1655" i="25"/>
  <c r="B1656" i="25"/>
  <c r="B1657" i="25"/>
  <c r="B1658" i="25"/>
  <c r="B1659" i="25"/>
  <c r="B1660" i="25"/>
  <c r="B1661" i="25"/>
  <c r="B1662" i="25"/>
  <c r="B1663" i="25"/>
  <c r="B1664" i="25"/>
  <c r="B1665" i="25"/>
  <c r="B1666" i="25"/>
  <c r="B1667" i="25"/>
  <c r="B1668" i="25"/>
  <c r="B1669" i="25"/>
  <c r="B1670" i="25"/>
  <c r="B1671" i="25"/>
  <c r="B1672" i="25"/>
  <c r="B1673" i="25"/>
  <c r="B1674" i="25"/>
  <c r="B1675" i="25"/>
  <c r="B1676" i="25"/>
  <c r="B1677" i="25"/>
  <c r="B1678" i="25"/>
  <c r="B1679" i="25"/>
  <c r="B1680" i="25"/>
  <c r="B1681" i="25"/>
  <c r="B1682" i="25"/>
  <c r="B1683" i="25"/>
  <c r="B1684" i="25"/>
  <c r="B1685" i="25"/>
  <c r="B1686" i="25"/>
  <c r="B1687" i="25"/>
  <c r="B1688" i="25"/>
  <c r="B1689" i="25"/>
  <c r="B1690" i="25"/>
  <c r="B1691" i="25"/>
  <c r="B1692" i="25"/>
  <c r="B1693" i="25"/>
  <c r="B1694" i="25"/>
  <c r="B1695" i="25"/>
  <c r="B1696" i="25"/>
  <c r="B1697" i="25"/>
  <c r="B1698" i="25"/>
  <c r="B1699" i="25"/>
  <c r="B1700" i="25"/>
  <c r="B1701" i="25"/>
  <c r="B1702" i="25"/>
  <c r="B1703" i="25"/>
  <c r="B1704" i="25"/>
  <c r="B1705" i="25"/>
  <c r="B1706" i="25"/>
  <c r="B1707" i="25"/>
  <c r="B1708" i="25"/>
  <c r="B1709" i="25"/>
  <c r="B1710" i="25"/>
  <c r="B1711" i="25"/>
  <c r="B1712" i="25"/>
  <c r="B1713" i="25"/>
  <c r="B1714" i="25"/>
  <c r="B1715" i="25"/>
  <c r="B1716" i="25"/>
  <c r="B1717" i="25"/>
  <c r="B1718" i="25"/>
  <c r="B1719" i="25"/>
  <c r="B1720" i="25"/>
  <c r="B1721" i="25"/>
  <c r="B1722" i="25"/>
  <c r="B1723" i="25"/>
  <c r="B1724" i="25"/>
  <c r="B1725" i="25"/>
  <c r="B1726" i="25"/>
  <c r="B1727" i="25"/>
  <c r="B1728" i="25"/>
  <c r="B1729" i="25"/>
  <c r="B1730" i="25"/>
  <c r="B1731" i="25"/>
  <c r="B1732" i="25"/>
  <c r="B1733" i="25"/>
  <c r="B1734" i="25"/>
  <c r="B1735" i="25"/>
  <c r="B1736" i="25"/>
  <c r="B1737" i="25"/>
  <c r="B1738" i="25"/>
  <c r="B1739" i="25"/>
  <c r="B1740" i="25"/>
  <c r="B1741" i="25"/>
  <c r="B1742" i="25"/>
  <c r="B1743" i="25"/>
  <c r="B1744" i="25"/>
  <c r="B1745" i="25"/>
  <c r="B1746" i="25"/>
  <c r="B1747" i="25"/>
  <c r="B1748" i="25"/>
  <c r="B1749" i="25"/>
  <c r="B1750" i="25"/>
  <c r="B1751" i="25"/>
  <c r="B1752" i="25"/>
  <c r="B1753" i="25"/>
  <c r="B1754" i="25"/>
  <c r="B1755" i="25"/>
  <c r="B1756" i="25"/>
  <c r="B1757" i="25"/>
  <c r="B1758" i="25"/>
  <c r="B1759" i="25"/>
  <c r="B1760" i="25"/>
  <c r="B1761" i="25"/>
  <c r="B1762" i="25"/>
  <c r="B1763" i="25"/>
  <c r="B1764" i="25"/>
  <c r="B1765" i="25"/>
  <c r="B1766" i="25"/>
  <c r="B1767" i="25"/>
  <c r="B1768" i="25"/>
  <c r="B1769" i="25"/>
  <c r="B1770" i="25"/>
  <c r="B1771" i="25"/>
  <c r="B1772" i="25"/>
  <c r="B1773" i="25"/>
  <c r="B1774" i="25"/>
  <c r="B1775" i="25"/>
  <c r="B1776" i="25"/>
  <c r="B1777" i="25"/>
  <c r="B1778" i="25"/>
  <c r="B1779" i="25"/>
  <c r="B1780" i="25"/>
  <c r="B1781" i="25"/>
  <c r="B1782" i="25"/>
  <c r="B1783" i="25"/>
  <c r="B1784" i="25"/>
  <c r="B1785" i="25"/>
  <c r="B1786" i="25"/>
  <c r="B1787" i="25"/>
  <c r="B1788" i="25"/>
  <c r="B1789" i="25"/>
  <c r="B1790" i="25"/>
  <c r="B1791" i="25"/>
  <c r="B1792" i="25"/>
  <c r="B1793" i="25"/>
  <c r="B1794" i="25"/>
  <c r="B1795" i="25"/>
  <c r="B1796" i="25"/>
  <c r="B1797" i="25"/>
  <c r="B1798" i="25"/>
  <c r="B1799" i="25"/>
  <c r="B1800" i="25"/>
  <c r="B1801" i="25"/>
  <c r="B1802" i="25"/>
  <c r="B1803" i="25"/>
  <c r="B1804" i="25"/>
  <c r="B1805" i="25"/>
  <c r="B1806" i="25"/>
  <c r="B1807" i="25"/>
  <c r="B1808" i="25"/>
  <c r="B1809" i="25"/>
  <c r="B1810" i="25"/>
  <c r="B1811" i="25"/>
  <c r="B1812" i="25"/>
  <c r="B1813" i="25"/>
  <c r="B1814" i="25"/>
  <c r="B1815" i="25"/>
  <c r="B1816" i="25"/>
  <c r="B1817" i="25"/>
  <c r="B1818" i="25"/>
  <c r="B1819" i="25"/>
  <c r="B1820" i="25"/>
  <c r="B1821" i="25"/>
  <c r="B1822" i="25"/>
  <c r="B1823" i="25"/>
  <c r="B1824" i="25"/>
  <c r="B1825" i="25"/>
  <c r="B1826" i="25"/>
  <c r="B1827" i="25"/>
  <c r="B1828" i="25"/>
  <c r="B1829" i="25"/>
  <c r="B1830" i="25"/>
  <c r="B1831" i="25"/>
  <c r="B1832" i="25"/>
  <c r="B1833" i="25"/>
  <c r="B1834" i="25"/>
  <c r="B1835" i="25"/>
  <c r="B1836" i="25"/>
  <c r="B1837" i="25"/>
  <c r="B1838" i="25"/>
  <c r="B1839" i="25"/>
  <c r="B1840" i="25"/>
  <c r="B1841" i="25"/>
  <c r="B1842" i="25"/>
  <c r="B1843" i="25"/>
  <c r="B1844" i="25"/>
  <c r="B1845" i="25"/>
  <c r="B1846" i="25"/>
  <c r="B1847" i="25"/>
  <c r="B1848" i="25"/>
  <c r="B1849" i="25"/>
  <c r="B1850" i="25"/>
  <c r="B1851" i="25"/>
  <c r="B1852" i="25"/>
  <c r="B1853" i="25"/>
  <c r="B1854" i="25"/>
  <c r="B1855" i="25"/>
  <c r="B1856" i="25"/>
  <c r="B1857" i="25"/>
  <c r="B1858" i="25"/>
  <c r="B1859" i="25"/>
  <c r="B1860" i="25"/>
  <c r="B1861" i="25"/>
  <c r="B1862" i="25"/>
  <c r="B1863" i="25"/>
  <c r="B1864" i="25"/>
  <c r="B1865" i="25"/>
  <c r="B1866" i="25"/>
  <c r="B1867" i="25"/>
  <c r="B1868" i="25"/>
  <c r="B1869" i="25"/>
  <c r="B1870" i="25"/>
  <c r="B1871" i="25"/>
  <c r="B1872" i="25"/>
  <c r="B1873" i="25"/>
  <c r="B1874" i="25"/>
  <c r="B1875" i="25"/>
  <c r="B1876" i="25"/>
  <c r="B1877" i="25"/>
  <c r="B1878" i="25"/>
  <c r="B1879" i="25"/>
  <c r="B1880" i="25"/>
  <c r="B1881" i="25"/>
  <c r="B1882" i="25"/>
  <c r="B1883" i="25"/>
  <c r="B1884" i="25"/>
  <c r="B1885" i="25"/>
  <c r="B1886" i="25"/>
  <c r="B1887" i="25"/>
  <c r="B1888" i="25"/>
  <c r="B1889" i="25"/>
  <c r="B1890" i="25"/>
  <c r="B1891" i="25"/>
  <c r="B1892" i="25"/>
  <c r="B1893" i="25"/>
  <c r="B1894" i="25"/>
  <c r="B1895" i="25"/>
  <c r="B1896" i="25"/>
  <c r="B1897" i="25"/>
  <c r="B1898" i="25"/>
  <c r="B1899" i="25"/>
  <c r="B1900" i="25"/>
  <c r="B1901" i="25"/>
  <c r="B1902" i="25"/>
  <c r="B1903" i="25"/>
  <c r="B1904" i="25"/>
  <c r="B1905" i="25"/>
  <c r="B1906" i="25"/>
  <c r="B1907" i="25"/>
  <c r="B1908" i="25"/>
  <c r="B1909" i="25"/>
  <c r="B1910" i="25"/>
  <c r="B1911" i="25"/>
  <c r="B1912" i="25"/>
  <c r="B1913" i="25"/>
  <c r="B1914" i="25"/>
  <c r="B1915" i="25"/>
  <c r="B1916" i="25"/>
  <c r="B1917" i="25"/>
  <c r="B1918" i="25"/>
  <c r="B1919" i="25"/>
  <c r="B1920" i="25"/>
  <c r="B1921" i="25"/>
  <c r="B1922" i="25"/>
  <c r="B1923" i="25"/>
  <c r="B1924" i="25"/>
  <c r="B1925" i="25"/>
  <c r="B1926" i="25"/>
  <c r="B1927" i="25"/>
  <c r="B1928" i="25"/>
  <c r="B1929" i="25"/>
  <c r="B1930" i="25"/>
  <c r="B1931" i="25"/>
  <c r="B1932" i="25"/>
  <c r="B1933" i="25"/>
  <c r="B1934" i="25"/>
  <c r="B1935" i="25"/>
  <c r="B1936" i="25"/>
  <c r="B1937" i="25"/>
  <c r="B1938" i="25"/>
  <c r="B1939" i="25"/>
  <c r="B1940" i="25"/>
  <c r="B1941" i="25"/>
  <c r="B1942" i="25"/>
  <c r="B1943" i="25"/>
  <c r="B1944" i="25"/>
  <c r="B1945" i="25"/>
  <c r="B1946" i="25"/>
  <c r="B1947" i="25"/>
  <c r="B1948" i="25"/>
  <c r="B1949" i="25"/>
  <c r="B1950" i="25"/>
  <c r="B1951" i="25"/>
  <c r="B1952" i="25"/>
  <c r="B1953" i="25"/>
  <c r="B1954" i="25"/>
  <c r="B1955" i="25"/>
  <c r="B1956" i="25"/>
  <c r="B1957" i="25"/>
  <c r="B1958" i="25"/>
  <c r="B1959" i="25"/>
  <c r="B1960" i="25"/>
  <c r="B1961" i="25"/>
  <c r="B1962" i="25"/>
  <c r="B1963" i="25"/>
  <c r="B1964" i="25"/>
  <c r="B1965" i="25"/>
  <c r="B1966" i="25"/>
  <c r="B1967" i="25"/>
  <c r="B1968" i="25"/>
  <c r="B1969" i="25"/>
  <c r="B1970" i="25"/>
  <c r="B1971" i="25"/>
  <c r="B1972" i="25"/>
  <c r="B1973" i="25"/>
  <c r="B1974" i="25"/>
  <c r="B1975" i="25"/>
  <c r="B1976" i="25"/>
  <c r="B1977" i="25"/>
  <c r="B1978" i="25"/>
  <c r="B1979" i="25"/>
  <c r="B1980" i="25"/>
  <c r="B1981" i="25"/>
  <c r="B1982" i="25"/>
  <c r="B1983" i="25"/>
  <c r="B1984" i="25"/>
  <c r="B1985" i="25"/>
  <c r="B1986" i="25"/>
  <c r="B1987" i="25"/>
  <c r="B1988" i="25"/>
  <c r="B1989" i="25"/>
  <c r="B1990" i="25"/>
  <c r="B1991" i="25"/>
  <c r="B1992" i="25"/>
  <c r="B1993" i="25"/>
  <c r="B1994" i="25"/>
  <c r="B1995" i="25"/>
  <c r="B1996" i="25"/>
  <c r="B1997" i="25"/>
  <c r="B1998" i="25"/>
  <c r="B1999" i="25"/>
  <c r="B2000" i="25"/>
  <c r="B2001" i="25"/>
  <c r="B2002" i="25"/>
  <c r="B2003" i="25"/>
  <c r="B2004" i="25"/>
  <c r="B2005" i="25"/>
  <c r="B2006" i="25"/>
  <c r="B2007" i="25"/>
  <c r="B2008" i="25"/>
  <c r="B2009" i="25"/>
  <c r="B2010" i="25"/>
  <c r="B2011" i="25"/>
  <c r="B2012" i="25"/>
  <c r="B2013" i="25"/>
  <c r="B2014" i="25"/>
  <c r="B2015" i="25"/>
  <c r="B2016" i="25"/>
  <c r="B2017" i="25"/>
  <c r="B2018" i="25"/>
  <c r="B2019" i="25"/>
  <c r="B2020" i="25"/>
  <c r="B2021" i="25"/>
  <c r="B2022" i="25"/>
  <c r="B2030" i="25"/>
  <c r="B2051" i="25"/>
  <c r="B2072" i="25"/>
  <c r="B2093" i="25"/>
  <c r="B2114" i="25"/>
  <c r="B2031" i="25"/>
  <c r="B2052" i="25"/>
  <c r="B2073" i="25"/>
  <c r="B2094" i="25"/>
  <c r="B2115" i="25"/>
  <c r="B2032" i="25"/>
  <c r="B2053" i="25"/>
  <c r="B2074" i="25"/>
  <c r="B2095" i="25"/>
  <c r="B2116" i="25"/>
  <c r="B2033" i="25"/>
  <c r="B2054" i="25"/>
  <c r="B2075" i="25"/>
  <c r="B2096" i="25"/>
  <c r="B2117" i="25"/>
  <c r="B2034" i="25"/>
  <c r="B2055" i="25"/>
  <c r="B2076" i="25"/>
  <c r="B2097" i="25"/>
  <c r="B2118" i="25"/>
  <c r="B2035" i="25"/>
  <c r="B2056" i="25"/>
  <c r="B2077" i="25"/>
  <c r="B2098" i="25"/>
  <c r="B2119" i="25"/>
  <c r="B2036" i="25"/>
  <c r="B2057" i="25"/>
  <c r="B2078" i="25"/>
  <c r="B2099" i="25"/>
  <c r="B2120" i="25"/>
  <c r="B2023" i="25"/>
  <c r="B2044" i="25"/>
  <c r="B2065" i="25"/>
  <c r="B2086" i="25"/>
  <c r="B2107" i="25"/>
  <c r="B2024" i="25"/>
  <c r="B2045" i="25"/>
  <c r="B2066" i="25"/>
  <c r="B2087" i="25"/>
  <c r="B2108" i="25"/>
  <c r="B2025" i="25"/>
  <c r="B2046" i="25"/>
  <c r="B2067" i="25"/>
  <c r="B2088" i="25"/>
  <c r="B2109" i="25"/>
  <c r="B2026" i="25"/>
  <c r="B2047" i="25"/>
  <c r="B2068" i="25"/>
  <c r="B2089" i="25"/>
  <c r="B2110" i="25"/>
  <c r="B2027" i="25"/>
  <c r="B2048" i="25"/>
  <c r="B2069" i="25"/>
  <c r="B2090" i="25"/>
  <c r="B2111" i="25"/>
  <c r="B2028" i="25"/>
  <c r="B2049" i="25"/>
  <c r="B2070" i="25"/>
  <c r="B2091" i="25"/>
  <c r="B2112" i="25"/>
  <c r="B2029" i="25"/>
  <c r="B2050" i="25"/>
  <c r="B2071" i="25"/>
  <c r="B2092" i="25"/>
  <c r="B2113" i="25"/>
  <c r="B2037" i="25"/>
  <c r="B2058" i="25"/>
  <c r="B2079" i="25"/>
  <c r="B2100" i="25"/>
  <c r="B2121" i="25"/>
  <c r="B2038" i="25"/>
  <c r="B2059" i="25"/>
  <c r="B2080" i="25"/>
  <c r="B2101" i="25"/>
  <c r="B2122" i="25"/>
  <c r="B2039" i="25"/>
  <c r="B2060" i="25"/>
  <c r="B2081" i="25"/>
  <c r="B2102" i="25"/>
  <c r="B2123" i="25"/>
  <c r="B2040" i="25"/>
  <c r="B2061" i="25"/>
  <c r="B2082" i="25"/>
  <c r="B2103" i="25"/>
  <c r="B2124" i="25"/>
  <c r="B2041" i="25"/>
  <c r="B2062" i="25"/>
  <c r="B2083" i="25"/>
  <c r="B2104" i="25"/>
  <c r="B2125" i="25"/>
  <c r="B2042" i="25"/>
  <c r="B2063" i="25"/>
  <c r="B2084" i="25"/>
  <c r="B2105" i="25"/>
  <c r="B2126" i="25"/>
  <c r="B2043" i="25"/>
  <c r="B2064" i="25"/>
  <c r="B2085" i="25"/>
  <c r="B2106" i="25"/>
  <c r="B2127" i="25"/>
  <c r="B12" i="43"/>
  <c r="F12" i="43"/>
  <c r="B11" i="43"/>
  <c r="F11" i="43"/>
  <c r="B10" i="43"/>
  <c r="F10" i="43"/>
  <c r="B9" i="43"/>
  <c r="F9" i="43"/>
  <c r="B192" i="24"/>
  <c r="B194" i="24"/>
  <c r="B176" i="24"/>
  <c r="B178" i="24"/>
  <c r="B202" i="24"/>
  <c r="B199" i="24"/>
  <c r="B201" i="24"/>
  <c r="B203" i="24"/>
  <c r="F4" i="43"/>
  <c r="F5" i="43"/>
  <c r="F6" i="43"/>
  <c r="F7" i="43"/>
  <c r="B7" i="43"/>
  <c r="B4" i="46"/>
  <c r="B5" i="46"/>
  <c r="B6" i="46"/>
  <c r="B7" i="46"/>
  <c r="B8" i="46"/>
  <c r="B9" i="46"/>
  <c r="B10" i="46"/>
  <c r="B11" i="46"/>
  <c r="B12" i="46"/>
  <c r="B13" i="46"/>
  <c r="B14" i="46"/>
  <c r="B15" i="46"/>
  <c r="B16" i="46"/>
  <c r="B17" i="46"/>
  <c r="B18" i="46"/>
  <c r="B19" i="46"/>
  <c r="B20" i="46"/>
  <c r="K10" i="43" a="1"/>
  <c r="G9" i="43" a="1"/>
  <c r="G12" i="43" a="1"/>
  <c r="K12" i="43" a="1"/>
  <c r="K11" i="43" a="1"/>
  <c r="K7" i="43" a="1"/>
  <c r="G11" i="43" a="1"/>
  <c r="K9" i="43" a="1"/>
  <c r="G7" i="43" a="1"/>
  <c r="G4" i="43" a="1"/>
  <c r="G5" i="43" a="1"/>
  <c r="G6" i="43" a="1"/>
  <c r="G10" i="43" a="1"/>
  <c r="T147" i="24" l="1" a="1"/>
  <c r="T147" i="24" s="1"/>
  <c r="S147" i="24" a="1"/>
  <c r="S147" i="24" s="1"/>
  <c r="T159" i="24" a="1"/>
  <c r="T159" i="24" s="1"/>
  <c r="S159" i="24" a="1"/>
  <c r="S159" i="24" s="1"/>
  <c r="S160" i="24" a="1"/>
  <c r="S160" i="24" s="1"/>
  <c r="T160" i="24" a="1"/>
  <c r="T160" i="24" s="1"/>
  <c r="S161" i="24" a="1"/>
  <c r="S161" i="24" s="1"/>
  <c r="T161" i="24" a="1"/>
  <c r="T161" i="24" s="1"/>
  <c r="S130" i="24" a="1"/>
  <c r="S130" i="24" s="1"/>
  <c r="T130" i="24" a="1"/>
  <c r="T130" i="24" s="1"/>
  <c r="G9" i="43"/>
  <c r="T136" i="24" a="1"/>
  <c r="T136" i="24" s="1"/>
  <c r="T135" i="24" a="1"/>
  <c r="T135" i="24" s="1"/>
  <c r="S135" i="24" a="1"/>
  <c r="S135" i="24" s="1"/>
  <c r="S137" i="24" a="1"/>
  <c r="S137" i="24" s="1"/>
  <c r="T137" i="24" a="1"/>
  <c r="T137" i="24" s="1"/>
  <c r="T146" i="24" a="1"/>
  <c r="T146" i="24" s="1"/>
  <c r="T166" i="24" a="1"/>
  <c r="T166" i="24" s="1"/>
  <c r="S166" i="24" a="1"/>
  <c r="S166" i="24" s="1"/>
  <c r="S144" i="24" a="1"/>
  <c r="S144" i="24" s="1"/>
  <c r="T144" i="24" a="1"/>
  <c r="T144" i="24" s="1"/>
  <c r="S139" i="24" a="1"/>
  <c r="S139" i="24" s="1"/>
  <c r="T127" i="24" a="1"/>
  <c r="T127" i="24" s="1"/>
  <c r="T142" i="24" a="1"/>
  <c r="T142" i="24" s="1"/>
  <c r="T164" i="24" a="1"/>
  <c r="T164" i="24" s="1"/>
  <c r="S140" i="24" a="1"/>
  <c r="S140" i="24" s="1"/>
  <c r="T145" i="24" a="1"/>
  <c r="T145" i="24" s="1"/>
  <c r="T151" i="24" a="1"/>
  <c r="T151" i="24" s="1"/>
  <c r="T154" i="24" a="1"/>
  <c r="T154" i="24" s="1"/>
  <c r="T156" i="24" a="1"/>
  <c r="T156" i="24" s="1"/>
  <c r="S149" i="24" a="1"/>
  <c r="S149" i="24" s="1"/>
  <c r="T150" i="24" a="1"/>
  <c r="T150" i="24" s="1"/>
  <c r="U148" i="24" a="1"/>
  <c r="U148" i="24" s="1"/>
  <c r="T158" i="24" a="1"/>
  <c r="T158" i="24" s="1"/>
  <c r="U149" i="24" a="1"/>
  <c r="U149" i="24" s="1"/>
  <c r="T165" i="24" a="1"/>
  <c r="T165" i="24" s="1"/>
  <c r="T141" i="24" a="1"/>
  <c r="T141" i="24" s="1"/>
  <c r="T152" i="24" a="1"/>
  <c r="T152" i="24" s="1"/>
  <c r="T128" i="24" a="1"/>
  <c r="T128" i="24" s="1"/>
  <c r="T157" i="24" a="1"/>
  <c r="T157" i="24" s="1"/>
  <c r="U145" i="24" a="1"/>
  <c r="U145" i="24" s="1"/>
  <c r="T153" i="24" a="1"/>
  <c r="T153" i="24" s="1"/>
  <c r="S148" i="24" a="1"/>
  <c r="S148" i="24" s="1"/>
  <c r="U129" i="24" a="1"/>
  <c r="U129" i="24" s="1"/>
  <c r="G12" i="43"/>
  <c r="K12" i="43"/>
  <c r="G11" i="43"/>
  <c r="K11" i="43"/>
  <c r="G10" i="43"/>
  <c r="K10" i="43"/>
  <c r="K9" i="43"/>
  <c r="G7" i="43"/>
  <c r="G6" i="43"/>
  <c r="G5" i="43"/>
  <c r="G4" i="43"/>
  <c r="K7" i="43"/>
  <c r="H7" i="43"/>
  <c r="J6" i="43" a="1"/>
  <c r="J7" i="43" a="1"/>
  <c r="J9" i="43" a="1"/>
  <c r="J12" i="43" a="1"/>
  <c r="J11" i="43" a="1"/>
  <c r="J10" i="43" a="1"/>
  <c r="J5" i="43" a="1"/>
  <c r="J4" i="43" a="1"/>
  <c r="J4" i="43" l="1"/>
  <c r="M4" i="43" s="1" a="1"/>
  <c r="M4" i="43" s="1"/>
  <c r="J7" i="43"/>
  <c r="L7" i="43" s="1"/>
  <c r="J9" i="43"/>
  <c r="M9" i="43" s="1"/>
  <c r="J12" i="43"/>
  <c r="M12" i="43" s="1" a="1"/>
  <c r="M12" i="43" s="1"/>
  <c r="J5" i="43"/>
  <c r="I7" i="43"/>
  <c r="J6" i="43"/>
  <c r="M6" i="43" s="1"/>
  <c r="J11" i="43"/>
  <c r="J10" i="43"/>
  <c r="L10" i="43" s="1"/>
  <c r="L9" i="43" l="1"/>
  <c r="L12" i="43"/>
  <c r="L11" i="43"/>
  <c r="M11" i="43" a="1"/>
  <c r="M11" i="43" s="1"/>
  <c r="Q127" i="24"/>
  <c r="Q128" i="24"/>
  <c r="Q138" i="24"/>
  <c r="Q139" i="24"/>
  <c r="Q141" i="24"/>
  <c r="Q142" i="24"/>
  <c r="Q140" i="24"/>
  <c r="Q143" i="24"/>
  <c r="Q145" i="24"/>
  <c r="Q148" i="24"/>
  <c r="Q149" i="24"/>
  <c r="Q150" i="24"/>
  <c r="Q151" i="24"/>
  <c r="Q152" i="24"/>
  <c r="Q153" i="24"/>
  <c r="Q154" i="24"/>
  <c r="Q155" i="24"/>
  <c r="Q162" i="24"/>
  <c r="Q163" i="24"/>
  <c r="Q165" i="24"/>
  <c r="Q167" i="24"/>
  <c r="Q168" i="24"/>
  <c r="Q169" i="24"/>
  <c r="O155" i="24"/>
  <c r="B191" i="24"/>
  <c r="B155" i="24"/>
  <c r="B162" i="24"/>
  <c r="B140" i="24"/>
  <c r="B143" i="24"/>
  <c r="B145" i="24"/>
  <c r="B148" i="24"/>
  <c r="B149" i="24"/>
  <c r="B139" i="24"/>
  <c r="B138" i="24"/>
  <c r="B165" i="24" l="1"/>
  <c r="B163" i="24"/>
  <c r="B164" i="24"/>
  <c r="B128" i="24"/>
  <c r="B127" i="24"/>
  <c r="B183" i="24"/>
  <c r="B185" i="24"/>
  <c r="B184" i="24"/>
  <c r="H9" i="43"/>
  <c r="I9" i="43" l="1"/>
  <c r="B5" i="43" l="1"/>
  <c r="K5" i="43" a="1"/>
  <c r="K5" i="43" l="1"/>
  <c r="L5" i="43" s="1"/>
  <c r="H5" i="43"/>
  <c r="I5" i="43" l="1"/>
  <c r="D219" i="24" l="1"/>
  <c r="D220" i="24"/>
  <c r="B221" i="24"/>
  <c r="B220" i="24"/>
  <c r="B219" i="24"/>
  <c r="B190" i="24" l="1"/>
  <c r="B182" i="24"/>
  <c r="B175" i="24"/>
  <c r="H12" i="43"/>
  <c r="I12" i="43" l="1"/>
  <c r="B169" i="24" l="1"/>
  <c r="B167" i="24"/>
  <c r="B168" i="24"/>
  <c r="B151" i="24"/>
  <c r="B154" i="24"/>
  <c r="B150" i="24"/>
  <c r="B153" i="24"/>
  <c r="B152" i="24"/>
  <c r="B141" i="24"/>
  <c r="B142" i="24"/>
  <c r="E253" i="24"/>
  <c r="E254" i="24"/>
  <c r="E255" i="24"/>
  <c r="E256" i="24"/>
  <c r="E257" i="24"/>
  <c r="E258" i="24"/>
  <c r="E259" i="24"/>
  <c r="D253" i="24"/>
  <c r="D254" i="24"/>
  <c r="D255" i="24"/>
  <c r="D256" i="24"/>
  <c r="D257" i="24"/>
  <c r="D258" i="24"/>
  <c r="D259" i="24"/>
  <c r="K41" i="24" a="1"/>
  <c r="K44" i="24" a="1"/>
  <c r="K32" i="24" a="1"/>
  <c r="K29" i="24" a="1"/>
  <c r="K34" i="24" a="1"/>
  <c r="K42" i="24" a="1"/>
  <c r="K26" i="24" a="1"/>
  <c r="K35" i="24" a="1"/>
  <c r="K43" i="24" a="1"/>
  <c r="K22" i="24" a="1"/>
  <c r="K25" i="24" a="1"/>
  <c r="K21" i="24" a="1"/>
  <c r="K30" i="24" a="1"/>
  <c r="K36" i="24" a="1"/>
  <c r="K27" i="24" a="1"/>
  <c r="K37" i="24" a="1"/>
  <c r="H11" i="43"/>
  <c r="K24" i="24" a="1"/>
  <c r="K40" i="24" a="1"/>
  <c r="K39" i="24" a="1"/>
  <c r="K31" i="24" a="1"/>
  <c r="K38" i="24" a="1"/>
  <c r="K28" i="24" a="1"/>
  <c r="K33" i="24" a="1"/>
  <c r="K45" i="24" a="1"/>
  <c r="K35" i="24" l="1"/>
  <c r="K41" i="24"/>
  <c r="K25" i="24"/>
  <c r="K34" i="24"/>
  <c r="K24" i="24"/>
  <c r="K26" i="24"/>
  <c r="K44" i="24"/>
  <c r="K32" i="24"/>
  <c r="K22" i="24"/>
  <c r="K40" i="24"/>
  <c r="K36" i="24"/>
  <c r="K30" i="24"/>
  <c r="K39" i="24"/>
  <c r="K28" i="24"/>
  <c r="K42" i="24"/>
  <c r="K33" i="24"/>
  <c r="K45" i="24"/>
  <c r="K27" i="24"/>
  <c r="K43" i="24"/>
  <c r="K38" i="24"/>
  <c r="K31" i="24"/>
  <c r="K37" i="24"/>
  <c r="K29" i="24"/>
  <c r="K21" i="24"/>
  <c r="I11" i="43"/>
  <c r="B6" i="43"/>
  <c r="K23" i="24" a="1"/>
  <c r="H6" i="43"/>
  <c r="K6" i="43" a="1"/>
  <c r="K23" i="24" l="1"/>
  <c r="I6" i="43"/>
  <c r="K6" i="43"/>
  <c r="L6" i="43" s="1"/>
  <c r="B4" i="43"/>
  <c r="K4" i="43" a="1"/>
  <c r="K4" i="43" l="1"/>
  <c r="L4" i="43" s="1"/>
  <c r="B50" i="24"/>
  <c r="B56" i="24"/>
  <c r="B57" i="24"/>
  <c r="B59" i="24"/>
  <c r="B227" i="24"/>
  <c r="B228" i="24"/>
  <c r="B234" i="24"/>
  <c r="B235" i="24"/>
  <c r="B236" i="24"/>
  <c r="B237" i="24"/>
  <c r="B238" i="24"/>
  <c r="B239" i="24"/>
  <c r="B253" i="24"/>
  <c r="B254" i="24"/>
  <c r="B255" i="24"/>
  <c r="B256" i="24"/>
  <c r="B257" i="24"/>
  <c r="B258" i="24"/>
  <c r="B259" i="24"/>
  <c r="H14" i="43"/>
  <c r="H10" i="43"/>
  <c r="H4" i="43"/>
  <c r="H16" i="43"/>
  <c r="H13" i="43"/>
  <c r="I16" i="43" l="1"/>
  <c r="I13" i="43"/>
  <c r="I14" i="43"/>
  <c r="I10" i="43"/>
  <c r="I4" i="43"/>
  <c r="G235" i="24"/>
  <c r="G234" i="24"/>
  <c r="G237" i="24"/>
  <c r="G236" i="24"/>
  <c r="G239" i="24"/>
  <c r="G238" i="2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tc={CA6ADEB5-11BE-4132-A47A-25C518BB628C}</author>
    <author>tc={CF09B496-89B2-4E5E-8028-11313809749B}</author>
    <author>tc={548015E0-C233-447D-B530-1C0B3C21F640}</author>
    <author>tc={EF28D3A0-EE92-45D0-B99E-D3E043085B5F}</author>
    <author>tc={F3CD5873-CE76-472C-A04C-257704E0D773}</author>
  </authors>
  <commentList>
    <comment ref="I3" authorId="0" shapeId="0" xr:uid="{CA6ADEB5-11BE-4132-A47A-25C518BB628C}">
      <text>
        <t>[Threaded comment]
Your version of Excel allows you to read this threaded comment; however, any edits to it will get removed if the file is opened in a newer version of Excel. Learn more: https://go.microsoft.com/fwlink/?linkid=870924
Comment:
    Last row to import</t>
      </text>
    </comment>
    <comment ref="J3" authorId="1" shapeId="0" xr:uid="{CF09B496-89B2-4E5E-8028-11313809749B}">
      <text>
        <t>[Threaded comment]
Your version of Excel allows you to read this threaded comment; however, any edits to it will get removed if the file is opened in a newer version of Excel. Learn more: https://go.microsoft.com/fwlink/?linkid=870924
Comment:
    column index for the row id</t>
      </text>
    </comment>
    <comment ref="K3" authorId="2" shapeId="0" xr:uid="{548015E0-C233-447D-B530-1C0B3C21F640}">
      <text>
        <t>[Threaded comment]
Your version of Excel allows you to read this threaded comment; however, any edits to it will get removed if the file is opened in a newer version of Excel. Learn more: https://go.microsoft.com/fwlink/?linkid=870924
Comment:
    column index for the last column</t>
      </text>
    </comment>
    <comment ref="L3" authorId="3" shapeId="0" xr:uid="{EF28D3A0-EE92-45D0-B99E-D3E043085B5F}">
      <text>
        <t>[Threaded comment]
Your version of Excel allows you to read this threaded comment; however, any edits to it will get removed if the file is opened in a newer version of Excel. Learn more: https://go.microsoft.com/fwlink/?linkid=870924
Comment:
    Total number of table columns, including the row index</t>
      </text>
    </comment>
    <comment ref="M3" authorId="4" shapeId="0" xr:uid="{F3CD5873-CE76-472C-A04C-257704E0D773}">
      <text>
        <t>[Threaded comment]
Your version of Excel allows you to read this threaded comment; however, any edits to it will get removed if the file is opened in a newer version of Excel. Learn more: https://go.microsoft.com/fwlink/?linkid=870924
Comment:
    Which columns to exclude (relative to id_colIndex)</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tc={B1227AEC-55F2-4D4B-9D62-D8081C156293}</author>
    <author>tc={492F094F-8801-4499-80C3-4610B2EB4C3B}</author>
    <author>tc={40274E0A-9A04-480D-A5E8-2C38F8B3CAD3}</author>
    <author>tc={61FF9366-C253-4143-8900-DE7FDB924463}</author>
    <author>tc={542BB73C-7B7B-47C8-9756-BF410F525304}</author>
    <author>tc={7C7D377F-2B53-48B7-807A-23CFCBC48B83}</author>
    <author>tc={3962DDEC-520D-4477-AB4D-6A758B04F9CC}</author>
    <author>tc={46412BAC-F8AA-4C6A-9657-79D004ABECB6}</author>
    <author>tc={CEA9DDE6-3350-41DC-8E42-E0F398550E2B}</author>
    <author>tc={B944EC01-36D0-40EC-99E6-BA8270B055AE}</author>
    <author>tc={EF83C059-A623-47AC-AFC4-40246F6AF9B2}</author>
    <author>tc={74E8C379-DF77-4FAE-8C13-4D0000C68271}</author>
    <author>tc={984021BA-DD3F-4758-AAFF-698CBFB1E97F}</author>
    <author>tc={A0D64BDD-1681-4C8F-9929-C1898D0603B0}</author>
    <author>tc={A6091107-2825-473E-BBBE-411522F90494}</author>
    <author>tc={A03B3CB5-A1AE-46DC-B1DB-A9148D8693C3}</author>
    <author>tc={A5816E78-F7FA-40E3-ACC3-4CDB677E4DA9}</author>
  </authors>
  <commentList>
    <comment ref="E20" authorId="0" shapeId="0" xr:uid="{B1227AEC-55F2-4D4B-9D62-D8081C156293}">
      <text>
        <t>[Threaded comment]
Your version of Excel allows you to read this threaded comment; however, any edits to it will get removed if the file is opened in a newer version of Excel. Learn more: https://go.microsoft.com/fwlink/?linkid=870924
Comment:
    Boolean field -- indicates if sector is included in run of R script.</t>
      </text>
    </comment>
    <comment ref="H20" authorId="1" shapeId="0" xr:uid="{492F094F-8801-4499-80C3-4610B2EB4C3B}">
      <text>
        <t>[Threaded comment]
Your version of Excel allows you to read this threaded comment; however, any edits to it will get removed if the file is opened in a newer version of Excel. Learn more: https://go.microsoft.com/fwlink/?linkid=870924
Comment:
    Boolean field -- indicates if sector has 2010 and 2090 impact esimates. Corresponds to impact year table below.</t>
      </text>
    </comment>
    <comment ref="D49" authorId="2" shapeId="0" xr:uid="{40274E0A-9A04-480D-A5E8-2C38F8B3CAD3}">
      <text>
        <t>[Threaded comment]
Your version of Excel allows you to read this threaded comment; however, any edits to it will get removed if the file is opened in a newer version of Excel. Learn more: https://go.microsoft.com/fwlink/?linkid=870924
Comment:
    Empty values are replaced with "NA" in the R tool.</t>
      </text>
    </comment>
    <comment ref="E80" authorId="3" shapeId="0" xr:uid="{61FF9366-C253-4143-8900-DE7FDB924463}">
      <text>
        <t>[Threaded comment]
Your version of Excel allows you to read this threaded comment; however, any edits to it will get removed if the file is opened in a newer version of Excel. Learn more: https://go.microsoft.com/fwlink/?linkid=870924
Comment:
    No spaces in this ID!</t>
      </text>
    </comment>
    <comment ref="F80" authorId="4" shapeId="0" xr:uid="{542BB73C-7B7B-47C8-9756-BF410F525304}">
      <text>
        <t>[Threaded comment]
Your version of Excel allows you to read this threaded comment; however, any edits to it will get removed if the file is opened in a newer version of Excel. Learn more: https://go.microsoft.com/fwlink/?linkid=870924
Comment:
    "N/A" is converted to "NA" in the R Tool</t>
      </text>
    </comment>
    <comment ref="G80" authorId="5" shapeId="0" xr:uid="{7C7D377F-2B53-48B7-807A-23CFCBC48B83}">
      <text>
        <t>[Threaded comment]
Your version of Excel allows you to read this threaded comment; however, any edits to it will get removed if the file is opened in a newer version of Excel. Learn more: https://go.microsoft.com/fwlink/?linkid=870924
Comment:
    For sectors with multiple adaptation scenarios, one scenario is considered the "primary" scenario -- frequently focused on in summary graphics across all sectors.</t>
      </text>
    </comment>
    <comment ref="H80" authorId="6" shapeId="0" xr:uid="{3962DDEC-520D-4477-AB4D-6A758B04F9CC}">
      <text>
        <t>[Threaded comment]
Your version of Excel allows you to read this threaded comment; however, any edits to it will get removed if the file is opened in a newer version of Excel. Learn more: https://go.microsoft.com/fwlink/?linkid=870924
Comment:
    Boolean field -- indicates whether a sector includes sub-impact estimates. See sector table above for list of sub-impact estimates.</t>
      </text>
    </comment>
    <comment ref="F126" authorId="7" shapeId="0" xr:uid="{46412BAC-F8AA-4C6A-9657-79D004ABECB6}">
      <text>
        <t>[Threaded comment]
Your version of Excel allows you to read this threaded comment; however, any edits to it will get removed if the file is opened in a newer version of Excel. Learn more: https://go.microsoft.com/fwlink/?linkid=870924
Comment:
    Empty values are replaced with "NA" in the R tool.</t>
      </text>
    </comment>
    <comment ref="R126" authorId="8" shapeId="0" xr:uid="{CEA9DDE6-3350-41DC-8E42-E0F398550E2B}">
      <text>
        <t>[Threaded comment]
Your version of Excel allows you to read this threaded comment; however, any edits to it will get removed if the file is opened in a newer version of Excel. Learn more: https://go.microsoft.com/fwlink/?linkid=870924
Comment:
    Check presence of data in the table.</t>
      </text>
    </comment>
    <comment ref="I144" authorId="9" shapeId="0" xr:uid="{B944EC01-36D0-40EC-99E6-BA8270B055AE}">
      <text>
        <t>[Threaded comment]
Your version of Excel allows you to read this threaded comment; however, any edits to it will get removed if the file is opened in a newer version of Excel. Learn more: https://go.microsoft.com/fwlink/?linkid=870924
Comment:
    May add a physical scalar in the future - total regional property value
Reply:
    For now keeping it without, for consistency with coastal properties</t>
      </text>
    </comment>
    <comment ref="F174" authorId="10" shapeId="0" xr:uid="{EF83C059-A623-47AC-AFC4-40246F6AF9B2}">
      <text>
        <t>[Threaded comment]
Your version of Excel allows you to read this threaded comment; however, any edits to it will get removed if the file is opened in a newer version of Excel. Learn more: https://go.microsoft.com/fwlink/?linkid=870924
Comment:
    This field tracks whether the input scalar is a time series of scalars, or a single input used to calculate a trajectory of the scalar in R. "Dynamic" scalars are a full series; "constant" are a single value from which a series is calculated in the R script.</t>
      </text>
    </comment>
    <comment ref="I226" authorId="11" shapeId="0" xr:uid="{74E8C379-DF77-4FAE-8C13-4D0000C68271}">
      <text>
        <t>[Threaded comment]
Your version of Excel allows you to read this threaded comment; however, any edits to it will get removed if the file is opened in a newer version of Excel. Learn more: https://go.microsoft.com/fwlink/?linkid=870924
Comment:
    Year when change and impacts are zero</t>
      </text>
    </comment>
    <comment ref="K226" authorId="12" shapeId="0" xr:uid="{984021BA-DD3F-4758-AAFF-698CBFB1E97F}">
      <text>
        <t>[Threaded comment]
Your version of Excel allows you to read this threaded comment; however, any edits to it will get removed if the file is opened in a newer version of Excel. Learn more: https://go.microsoft.com/fwlink/?linkid=870924
Comment:
    Maximum value to extrapolate to, for models that go up to the maximum output value.</t>
      </text>
    </comment>
    <comment ref="D233" authorId="13" shapeId="0" xr:uid="{A0D64BDD-1681-4C8F-9929-C1898D0603B0}">
      <text>
        <t>[Threaded comment]
Your version of Excel allows you to read this threaded comment; however, any edits to it will get removed if the file is opened in a newer version of Excel. Learn more: https://go.microsoft.com/fwlink/?linkid=870924
Comment:
    Max extrapolation temperature</t>
      </text>
    </comment>
    <comment ref="F264" authorId="14" shapeId="0" xr:uid="{A6091107-2825-473E-BBBE-411522F90494}">
      <text>
        <t>[Threaded comment]
Your version of Excel allows you to read this threaded comment; however, any edits to it will get removed if the file is opened in a newer version of Excel. Learn more: https://go.microsoft.com/fwlink/?linkid=870924
Comment:
    Name of argument to import_inputs</t>
      </text>
    </comment>
    <comment ref="G264" authorId="15" shapeId="0" xr:uid="{A03B3CB5-A1AE-46DC-B1DB-A9148D8693C3}">
      <text>
        <t>[Threaded comment]
Your version of Excel allows you to read this threaded comment; however, any edits to it will get removed if the file is opened in a newer version of Excel. Learn more: https://go.microsoft.com/fwlink/?linkid=870924
Comment:
    Name of list element name of input to tempBin</t>
      </text>
    </comment>
    <comment ref="L264" authorId="16" shapeId="0" xr:uid="{A5816E78-F7FA-40E3-ACC3-4CDB677E4DA9}">
      <text>
        <t>[Threaded comment]
Your version of Excel allows you to read this threaded comment; however, any edits to it will get removed if the file is opened in a newer version of Excel. Learn more: https://go.microsoft.com/fwlink/?linkid=870924
Comment:
    Whether region is a dimension of the input</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tc={E7DCFB07-1746-4F5C-BF4C-2E465DB5DB4B}</author>
    <author>tc={37682E84-1B9B-45D5-9467-D5DB78D67CB2}</author>
  </authors>
  <commentList>
    <comment ref="D1" authorId="0" shapeId="0" xr:uid="{E7DCFB07-1746-4F5C-BF4C-2E465DB5DB4B}">
      <text>
        <t>[Threaded comment]
Your version of Excel allows you to read this threaded comment; however, any edits to it will get removed if the file is opened in a newer version of Excel. Learn more: https://go.microsoft.com/fwlink/?linkid=870924
Comment:
    Values in orange are for FrEDI NPD</t>
      </text>
    </comment>
    <comment ref="F1" authorId="1" shapeId="0" xr:uid="{37682E84-1B9B-45D5-9467-D5DB78D67CB2}">
      <text>
        <t>[Threaded comment]
Your version of Excel allows you to read this threaded comment; however, any edits to it will get removed if the file is opened in a newer version of Excel. Learn more: https://go.microsoft.com/fwlink/?linkid=870924
Comment:
    For VSL, Wages, and the value of violent and property crime, only values for 2010 are provided. These are extended to all years. Set year to the minimum year.</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tc={3FE5774D-3FD4-4D0B-9C00-402121E11837}</author>
  </authors>
  <commentList>
    <comment ref="I1" authorId="0" shapeId="0" xr:uid="{3FE5774D-3FD4-4D0B-9C00-402121E11837}">
      <text>
        <t>[Threaded comment]
Your version of Excel allows you to read this threaded comment; however, any edits to it will get removed if the file is opened in a newer version of Excel. Learn more: https://go.microsoft.com/fwlink/?linkid=870924
Comment:
    Not needed by R.</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<sst xmlns="http://schemas.openxmlformats.org/spreadsheetml/2006/main" count="20734" uniqueCount="1432">
  <si>
    <t>CanESM2</t>
  </si>
  <si>
    <t>CCSM4</t>
  </si>
  <si>
    <t>GISS-E2-R</t>
  </si>
  <si>
    <t>HadGEM2-ES</t>
  </si>
  <si>
    <t>MIROC5</t>
  </si>
  <si>
    <t>GFDL-CM3</t>
  </si>
  <si>
    <t>Midwest</t>
  </si>
  <si>
    <t>Northeast</t>
  </si>
  <si>
    <t>Northern Plains</t>
  </si>
  <si>
    <t>Northwest</t>
  </si>
  <si>
    <t>Southeast</t>
  </si>
  <si>
    <t>Southern Plains</t>
  </si>
  <si>
    <t>Southwest</t>
  </si>
  <si>
    <t>National Total</t>
  </si>
  <si>
    <t>hot</t>
  </si>
  <si>
    <t>GCM Average</t>
  </si>
  <si>
    <t>cold</t>
  </si>
  <si>
    <t>ExtremeTemp</t>
  </si>
  <si>
    <t>VSL</t>
  </si>
  <si>
    <t>CanESM2 2010 adj</t>
  </si>
  <si>
    <t>CCSM4 2010 adj</t>
  </si>
  <si>
    <t>GISS_E2_R 2010 adj</t>
  </si>
  <si>
    <t>HadGEM2_ES 2010 adj</t>
  </si>
  <si>
    <t>MIROC5 2010 adj</t>
  </si>
  <si>
    <t>GFDL_CM3 2010 adj</t>
  </si>
  <si>
    <t xml:space="preserve"> 2010 adj</t>
  </si>
  <si>
    <t/>
  </si>
  <si>
    <t>CanESM2 2090 adj</t>
  </si>
  <si>
    <t>CCSM4 2090 adj</t>
  </si>
  <si>
    <t>GISS_E2_R 2090 adj</t>
  </si>
  <si>
    <t>HadGEM2_ES 2090 adj</t>
  </si>
  <si>
    <t>MIROC5 2090 adj</t>
  </si>
  <si>
    <t>GFDL_CM3 2090 adj</t>
  </si>
  <si>
    <t xml:space="preserve"> 2090 adj</t>
  </si>
  <si>
    <t>Labor</t>
  </si>
  <si>
    <t>CanESM21</t>
  </si>
  <si>
    <t>CCSM41</t>
  </si>
  <si>
    <t>GISS-E2-R1</t>
  </si>
  <si>
    <t>HadGEM2-ES1</t>
  </si>
  <si>
    <t>MIROC51</t>
  </si>
  <si>
    <t>GFDL-CM31</t>
  </si>
  <si>
    <t>GCM Average1</t>
  </si>
  <si>
    <t>CanESM22</t>
  </si>
  <si>
    <t>CCSM42</t>
  </si>
  <si>
    <t>GISS-E2-R2</t>
  </si>
  <si>
    <t>HadGEM2-ES2</t>
  </si>
  <si>
    <t>MIROC52</t>
  </si>
  <si>
    <t>GFDL-CM32</t>
  </si>
  <si>
    <t>GCM Average2</t>
  </si>
  <si>
    <t>CanESM23</t>
  </si>
  <si>
    <t>CCSM43</t>
  </si>
  <si>
    <t>GISS-E2-R3</t>
  </si>
  <si>
    <t>HadGEM2-ES3</t>
  </si>
  <si>
    <t>MIROC53</t>
  </si>
  <si>
    <t>GFDL-CM33</t>
  </si>
  <si>
    <t>GCM Average3</t>
  </si>
  <si>
    <t>CanESM24</t>
  </si>
  <si>
    <t>CCSM44</t>
  </si>
  <si>
    <t>GISS-E2-R4</t>
  </si>
  <si>
    <t>HadGEM2-ES4</t>
  </si>
  <si>
    <t>MIROC54</t>
  </si>
  <si>
    <t>GFDL-CM34</t>
  </si>
  <si>
    <t>GCM Average4</t>
  </si>
  <si>
    <t>CanESM25</t>
  </si>
  <si>
    <t>CCSM45</t>
  </si>
  <si>
    <t>GISS-E2-R5</t>
  </si>
  <si>
    <t>HadGEM2-ES5</t>
  </si>
  <si>
    <t>MIROC55</t>
  </si>
  <si>
    <t>GFDL-CM35</t>
  </si>
  <si>
    <t>GCM Average5</t>
  </si>
  <si>
    <t>CanESM26</t>
  </si>
  <si>
    <t>CCSM46</t>
  </si>
  <si>
    <t>GISS-E2-R6</t>
  </si>
  <si>
    <t>HadGEM2-ES6</t>
  </si>
  <si>
    <t>MIROC56</t>
  </si>
  <si>
    <t>GFDL-CM36</t>
  </si>
  <si>
    <t>GCM Average6</t>
  </si>
  <si>
    <t>CanESM27</t>
  </si>
  <si>
    <t>CCSM47</t>
  </si>
  <si>
    <t>GISS-E2-R7</t>
  </si>
  <si>
    <t>HadGEM2-ES7</t>
  </si>
  <si>
    <t>MIROC57</t>
  </si>
  <si>
    <t>GFDL-CM37</t>
  </si>
  <si>
    <t>GCM Average7</t>
  </si>
  <si>
    <t>InlandFlooding</t>
  </si>
  <si>
    <t>SouthwestDust</t>
  </si>
  <si>
    <t>CoastalProperties</t>
  </si>
  <si>
    <t>NoAdapt</t>
  </si>
  <si>
    <t>Reactive</t>
  </si>
  <si>
    <t>WinterRec</t>
  </si>
  <si>
    <t>Alpine</t>
  </si>
  <si>
    <t>XC</t>
  </si>
  <si>
    <t>Snowmobiling</t>
  </si>
  <si>
    <t>CanESM212010</t>
  </si>
  <si>
    <t>CCSM412010</t>
  </si>
  <si>
    <t>GISS-E2-R12010</t>
  </si>
  <si>
    <t>HadGEM2-ES12010</t>
  </si>
  <si>
    <t>MIROC512010</t>
  </si>
  <si>
    <t>GFDL-CM312010</t>
  </si>
  <si>
    <t>GCM Average12010</t>
  </si>
  <si>
    <t>CanESM222010</t>
  </si>
  <si>
    <t>CCSM422010</t>
  </si>
  <si>
    <t>GISS-E2-R22010</t>
  </si>
  <si>
    <t>HadGEM2-ES22010</t>
  </si>
  <si>
    <t>MIROC522010</t>
  </si>
  <si>
    <t>GFDL-CM322010</t>
  </si>
  <si>
    <t>GCM Average22010</t>
  </si>
  <si>
    <t>CanESM232010</t>
  </si>
  <si>
    <t>CCSM432010</t>
  </si>
  <si>
    <t>GISS-E2-R32010</t>
  </si>
  <si>
    <t>HadGEM2-ES32010</t>
  </si>
  <si>
    <t>MIROC532010</t>
  </si>
  <si>
    <t>GFDL-CM332010</t>
  </si>
  <si>
    <t>GCM Average32010</t>
  </si>
  <si>
    <t>CanESM242010</t>
  </si>
  <si>
    <t>CCSM442010</t>
  </si>
  <si>
    <t>GISS-E2-R42010</t>
  </si>
  <si>
    <t>HadGEM2-ES42010</t>
  </si>
  <si>
    <t>MIROC542010</t>
  </si>
  <si>
    <t>GFDL-CM342010</t>
  </si>
  <si>
    <t>GCM Average42010</t>
  </si>
  <si>
    <t>CanESM252010</t>
  </si>
  <si>
    <t>CCSM452010</t>
  </si>
  <si>
    <t>GISS-E2-R52010</t>
  </si>
  <si>
    <t>HadGEM2-ES52010</t>
  </si>
  <si>
    <t>MIROC552010</t>
  </si>
  <si>
    <t>GFDL-CM352010</t>
  </si>
  <si>
    <t>GCM Average52010</t>
  </si>
  <si>
    <t>CanESM262010</t>
  </si>
  <si>
    <t>CCSM462010</t>
  </si>
  <si>
    <t>GISS-E2-R62010</t>
  </si>
  <si>
    <t>HadGEM2-ES62010</t>
  </si>
  <si>
    <t>MIROC562010</t>
  </si>
  <si>
    <t>GFDL-CM362010</t>
  </si>
  <si>
    <t>GCM Average62010</t>
  </si>
  <si>
    <t>CanESM272010</t>
  </si>
  <si>
    <t>CCSM472010</t>
  </si>
  <si>
    <t>GISS-E2-R72010</t>
  </si>
  <si>
    <t>HadGEM2-ES72010</t>
  </si>
  <si>
    <t>MIROC572010</t>
  </si>
  <si>
    <t>GFDL-CM372010</t>
  </si>
  <si>
    <t>GCM Average72010</t>
  </si>
  <si>
    <t>CanESM212090</t>
  </si>
  <si>
    <t>CCSM412090</t>
  </si>
  <si>
    <t>GISS-E2-R12090</t>
  </si>
  <si>
    <t>HadGEM2-ES12090</t>
  </si>
  <si>
    <t>MIROC512090</t>
  </si>
  <si>
    <t>GFDL-CM312090</t>
  </si>
  <si>
    <t>GCM Average12090</t>
  </si>
  <si>
    <t>CanESM222090</t>
  </si>
  <si>
    <t>CCSM422090</t>
  </si>
  <si>
    <t>GISS-E2-R22090</t>
  </si>
  <si>
    <t>HadGEM2-ES22090</t>
  </si>
  <si>
    <t>MIROC522090</t>
  </si>
  <si>
    <t>GFDL-CM322090</t>
  </si>
  <si>
    <t>GCM Average22090</t>
  </si>
  <si>
    <t>CanESM232090</t>
  </si>
  <si>
    <t>CCSM432090</t>
  </si>
  <si>
    <t>GISS-E2-R32090</t>
  </si>
  <si>
    <t>HadGEM2-ES32090</t>
  </si>
  <si>
    <t>MIROC532090</t>
  </si>
  <si>
    <t>GFDL-CM332090</t>
  </si>
  <si>
    <t>GCM Average32090</t>
  </si>
  <si>
    <t>CanESM242090</t>
  </si>
  <si>
    <t>CCSM442090</t>
  </si>
  <si>
    <t>GISS-E2-R42090</t>
  </si>
  <si>
    <t>HadGEM2-ES42090</t>
  </si>
  <si>
    <t>MIROC542090</t>
  </si>
  <si>
    <t>GFDL-CM342090</t>
  </si>
  <si>
    <t>GCM Average42090</t>
  </si>
  <si>
    <t>CanESM252090</t>
  </si>
  <si>
    <t>CCSM452090</t>
  </si>
  <si>
    <t>GISS-E2-R52090</t>
  </si>
  <si>
    <t>HadGEM2-ES52090</t>
  </si>
  <si>
    <t>MIROC552090</t>
  </si>
  <si>
    <t>GFDL-CM352090</t>
  </si>
  <si>
    <t>GCM Average52090</t>
  </si>
  <si>
    <t>CanESM262090</t>
  </si>
  <si>
    <t>CCSM462090</t>
  </si>
  <si>
    <t>GISS-E2-R62090</t>
  </si>
  <si>
    <t>HadGEM2-ES62090</t>
  </si>
  <si>
    <t>MIROC562090</t>
  </si>
  <si>
    <t>GFDL-CM362090</t>
  </si>
  <si>
    <t>GCM Average62090</t>
  </si>
  <si>
    <t>CanESM272090</t>
  </si>
  <si>
    <t>CCSM472090</t>
  </si>
  <si>
    <t>GISS-E2-R72090</t>
  </si>
  <si>
    <t>HadGEM2-ES72090</t>
  </si>
  <si>
    <t>MIROC572090</t>
  </si>
  <si>
    <t>GFDL-CM372090</t>
  </si>
  <si>
    <t>GCM Average72090</t>
  </si>
  <si>
    <t>AllMort</t>
  </si>
  <si>
    <t>AsthmaER</t>
  </si>
  <si>
    <t>AllResp</t>
  </si>
  <si>
    <t>AllCardiovasc</t>
  </si>
  <si>
    <t>ACMI</t>
  </si>
  <si>
    <t>Winter Recreation</t>
  </si>
  <si>
    <t>Southwest Dust</t>
  </si>
  <si>
    <t>Coastal Properties</t>
  </si>
  <si>
    <t>Extreme Temperature</t>
  </si>
  <si>
    <t>Impact Types</t>
  </si>
  <si>
    <t>N/A</t>
  </si>
  <si>
    <t>Hot</t>
  </si>
  <si>
    <t>Cold</t>
  </si>
  <si>
    <t>All Mortality</t>
  </si>
  <si>
    <t>All Respiratory</t>
  </si>
  <si>
    <t>Alpine Skiing</t>
  </si>
  <si>
    <t>Cross-Country Skiing</t>
  </si>
  <si>
    <t>Proactive</t>
  </si>
  <si>
    <t>Rail</t>
  </si>
  <si>
    <t>ID</t>
  </si>
  <si>
    <t>Regional Population</t>
  </si>
  <si>
    <t>Hospitalization (Respiratory)</t>
  </si>
  <si>
    <t>Hospitalization (Cardiovascular)</t>
  </si>
  <si>
    <t>Hospitalization (Acute Myocardial Infarction)</t>
  </si>
  <si>
    <t>Rail Miles</t>
  </si>
  <si>
    <t>Roads</t>
  </si>
  <si>
    <t>All Cardiovascular</t>
  </si>
  <si>
    <t>region</t>
  </si>
  <si>
    <t>sector_id</t>
  </si>
  <si>
    <t>ElecSD</t>
  </si>
  <si>
    <t>HTF</t>
  </si>
  <si>
    <t>High Tide Flooding and Traffic</t>
  </si>
  <si>
    <t>MarineFisheries</t>
  </si>
  <si>
    <t>Traffic delays and adaptation costs due to high tide flooding</t>
  </si>
  <si>
    <t>UrbanDrainage</t>
  </si>
  <si>
    <t>Urban Drainage</t>
  </si>
  <si>
    <t>WaterQuality</t>
  </si>
  <si>
    <t>Water Quality</t>
  </si>
  <si>
    <t>Notes</t>
  </si>
  <si>
    <t>Reasonable</t>
  </si>
  <si>
    <t>Direct</t>
  </si>
  <si>
    <t>year</t>
  </si>
  <si>
    <t>Regions</t>
  </si>
  <si>
    <t>region_label</t>
  </si>
  <si>
    <t>output_lookupID</t>
  </si>
  <si>
    <t>rail_miles</t>
  </si>
  <si>
    <t>road_miles_and_pop</t>
  </si>
  <si>
    <t>Sectors Table</t>
  </si>
  <si>
    <t>Table Name</t>
  </si>
  <si>
    <t>Worksheet</t>
  </si>
  <si>
    <t>Number of Data Rows</t>
  </si>
  <si>
    <t>co_regions</t>
  </si>
  <si>
    <t>co_sectors</t>
  </si>
  <si>
    <t>ID_columnName</t>
  </si>
  <si>
    <t>tableNames</t>
  </si>
  <si>
    <t>This worksheet contains the names of data tables to import into R</t>
  </si>
  <si>
    <t>sector_label</t>
  </si>
  <si>
    <t>Import</t>
  </si>
  <si>
    <t>Asthma ER</t>
  </si>
  <si>
    <t>road_miles</t>
  </si>
  <si>
    <t>reg_pop</t>
  </si>
  <si>
    <t>Table of default economic scalars.</t>
  </si>
  <si>
    <t>scalarLabel</t>
  </si>
  <si>
    <t>scalarName</t>
  </si>
  <si>
    <t>value</t>
  </si>
  <si>
    <t>none</t>
  </si>
  <si>
    <t>gdp_percap</t>
  </si>
  <si>
    <t>city_popWt</t>
  </si>
  <si>
    <t>swDust_popWt</t>
  </si>
  <si>
    <t>Electricity Supply and Demand Reference Costs</t>
  </si>
  <si>
    <t>elecSD_refCosts</t>
  </si>
  <si>
    <t>econScalarName</t>
  </si>
  <si>
    <t>Last Row</t>
  </si>
  <si>
    <t>Header Row</t>
  </si>
  <si>
    <t>CanESM21AllMort</t>
  </si>
  <si>
    <t>CCSM41AllMort</t>
  </si>
  <si>
    <t>GISS-E2-R1AllMort</t>
  </si>
  <si>
    <t>HadGEM2-ES1AllMort</t>
  </si>
  <si>
    <t>MIROC51AllMort</t>
  </si>
  <si>
    <t>GFDL-CM31AllMort</t>
  </si>
  <si>
    <t>GCM Average1AllMort</t>
  </si>
  <si>
    <t>CanESM22AllMort</t>
  </si>
  <si>
    <t>CCSM42AllMort</t>
  </si>
  <si>
    <t>GISS-E2-R2AllMort</t>
  </si>
  <si>
    <t>HadGEM2-ES2AllMort</t>
  </si>
  <si>
    <t>MIROC52AllMort</t>
  </si>
  <si>
    <t>GFDL-CM32AllMort</t>
  </si>
  <si>
    <t>GCM Average2AllMort</t>
  </si>
  <si>
    <t>CanESM23AllMort</t>
  </si>
  <si>
    <t>CCSM43AllMort</t>
  </si>
  <si>
    <t>GISS-E2-R3AllMort</t>
  </si>
  <si>
    <t>HadGEM2-ES3AllMort</t>
  </si>
  <si>
    <t>MIROC53AllMort</t>
  </si>
  <si>
    <t>GFDL-CM33AllMort</t>
  </si>
  <si>
    <t>GCM Average3AllMort</t>
  </si>
  <si>
    <t>CanESM24AllMort</t>
  </si>
  <si>
    <t>CCSM44AllMort</t>
  </si>
  <si>
    <t>GISS-E2-R4AllMort</t>
  </si>
  <si>
    <t>HadGEM2-ES4AllMort</t>
  </si>
  <si>
    <t>MIROC54AllMort</t>
  </si>
  <si>
    <t>GFDL-CM34AllMort</t>
  </si>
  <si>
    <t>GCM Average4AllMort</t>
  </si>
  <si>
    <t>CanESM25AllMort</t>
  </si>
  <si>
    <t>CCSM45AllMort</t>
  </si>
  <si>
    <t>GISS-E2-R5AllMort</t>
  </si>
  <si>
    <t>HadGEM2-ES5AllMort</t>
  </si>
  <si>
    <t>MIROC55AllMort</t>
  </si>
  <si>
    <t>GFDL-CM35AllMort</t>
  </si>
  <si>
    <t>GCM Average5AllMort</t>
  </si>
  <si>
    <t>CanESM26AllMort</t>
  </si>
  <si>
    <t>CCSM46AllMort</t>
  </si>
  <si>
    <t>GISS-E2-R6AllMort</t>
  </si>
  <si>
    <t>HadGEM2-ES6AllMort</t>
  </si>
  <si>
    <t>MIROC56AllMort</t>
  </si>
  <si>
    <t>GFDL-CM36AllMort</t>
  </si>
  <si>
    <t>GCM Average6AllMort</t>
  </si>
  <si>
    <t>CanESM27AllMort</t>
  </si>
  <si>
    <t>CCSM47AllMort</t>
  </si>
  <si>
    <t>GISS-E2-R7AllMort</t>
  </si>
  <si>
    <t>HadGEM2-ES7AllMort</t>
  </si>
  <si>
    <t>MIROC57AllMort</t>
  </si>
  <si>
    <t>GFDL-CM37AllMort</t>
  </si>
  <si>
    <t>GCM Average7AllMort</t>
  </si>
  <si>
    <t>CanESM21AllResp</t>
  </si>
  <si>
    <t>CCSM41AllResp</t>
  </si>
  <si>
    <t>GISS-E2-R1AllResp</t>
  </si>
  <si>
    <t>HadGEM2-ES1AllResp</t>
  </si>
  <si>
    <t>MIROC51AllResp</t>
  </si>
  <si>
    <t>GFDL-CM31AllResp</t>
  </si>
  <si>
    <t>GCM Average1AllResp</t>
  </si>
  <si>
    <t>CanESM22AllResp</t>
  </si>
  <si>
    <t>CCSM42AllResp</t>
  </si>
  <si>
    <t>GISS-E2-R2AllResp</t>
  </si>
  <si>
    <t>HadGEM2-ES2AllResp</t>
  </si>
  <si>
    <t>MIROC52AllResp</t>
  </si>
  <si>
    <t>GFDL-CM32AllResp</t>
  </si>
  <si>
    <t>GCM Average2AllResp</t>
  </si>
  <si>
    <t>CanESM23AllResp</t>
  </si>
  <si>
    <t>CCSM43AllResp</t>
  </si>
  <si>
    <t>GISS-E2-R3AllResp</t>
  </si>
  <si>
    <t>HadGEM2-ES3AllResp</t>
  </si>
  <si>
    <t>MIROC53AllResp</t>
  </si>
  <si>
    <t>GFDL-CM33AllResp</t>
  </si>
  <si>
    <t>GCM Average3AllResp</t>
  </si>
  <si>
    <t>CanESM24AllResp</t>
  </si>
  <si>
    <t>CCSM44AllResp</t>
  </si>
  <si>
    <t>GISS-E2-R4AllResp</t>
  </si>
  <si>
    <t>HadGEM2-ES4AllResp</t>
  </si>
  <si>
    <t>MIROC54AllResp</t>
  </si>
  <si>
    <t>GFDL-CM34AllResp</t>
  </si>
  <si>
    <t>GCM Average4AllResp</t>
  </si>
  <si>
    <t>CanESM25AllResp</t>
  </si>
  <si>
    <t>CCSM45AllResp</t>
  </si>
  <si>
    <t>GISS-E2-R5AllResp</t>
  </si>
  <si>
    <t>HadGEM2-ES5AllResp</t>
  </si>
  <si>
    <t>MIROC55AllResp</t>
  </si>
  <si>
    <t>GFDL-CM35AllResp</t>
  </si>
  <si>
    <t>GCM Average5AllResp</t>
  </si>
  <si>
    <t>CanESM26AllResp</t>
  </si>
  <si>
    <t>CCSM46AllResp</t>
  </si>
  <si>
    <t>GISS-E2-R6AllResp</t>
  </si>
  <si>
    <t>HadGEM2-ES6AllResp</t>
  </si>
  <si>
    <t>MIROC56AllResp</t>
  </si>
  <si>
    <t>GFDL-CM36AllResp</t>
  </si>
  <si>
    <t>GCM Average6AllResp</t>
  </si>
  <si>
    <t>CanESM27AllResp</t>
  </si>
  <si>
    <t>CCSM47AllResp</t>
  </si>
  <si>
    <t>GISS-E2-R7AllResp</t>
  </si>
  <si>
    <t>HadGEM2-ES7AllResp</t>
  </si>
  <si>
    <t>MIROC57AllResp</t>
  </si>
  <si>
    <t>GFDL-CM37AllResp</t>
  </si>
  <si>
    <t>GCM Average7AllResp</t>
  </si>
  <si>
    <t>CanESM21AllCardiovasc</t>
  </si>
  <si>
    <t>CCSM41AllCardiovasc</t>
  </si>
  <si>
    <t>GISS-E2-R1AllCardiovasc</t>
  </si>
  <si>
    <t>HadGEM2-ES1AllCardiovasc</t>
  </si>
  <si>
    <t>MIROC51AllCardiovasc</t>
  </si>
  <si>
    <t>GFDL-CM31AllCardiovasc</t>
  </si>
  <si>
    <t>GCM Average1AllCardiovasc</t>
  </si>
  <si>
    <t>CanESM22AllCardiovasc</t>
  </si>
  <si>
    <t>CCSM42AllCardiovasc</t>
  </si>
  <si>
    <t>GISS-E2-R2AllCardiovasc</t>
  </si>
  <si>
    <t>HadGEM2-ES2AllCardiovasc</t>
  </si>
  <si>
    <t>MIROC52AllCardiovasc</t>
  </si>
  <si>
    <t>GFDL-CM32AllCardiovasc</t>
  </si>
  <si>
    <t>GCM Average2AllCardiovasc</t>
  </si>
  <si>
    <t>CanESM23AllCardiovasc</t>
  </si>
  <si>
    <t>CCSM43AllCardiovasc</t>
  </si>
  <si>
    <t>GISS-E2-R3AllCardiovasc</t>
  </si>
  <si>
    <t>HadGEM2-ES3AllCardiovasc</t>
  </si>
  <si>
    <t>MIROC53AllCardiovasc</t>
  </si>
  <si>
    <t>GFDL-CM33AllCardiovasc</t>
  </si>
  <si>
    <t>GCM Average3AllCardiovasc</t>
  </si>
  <si>
    <t>CanESM24AllCardiovasc</t>
  </si>
  <si>
    <t>CCSM44AllCardiovasc</t>
  </si>
  <si>
    <t>GISS-E2-R4AllCardiovasc</t>
  </si>
  <si>
    <t>HadGEM2-ES4AllCardiovasc</t>
  </si>
  <si>
    <t>MIROC54AllCardiovasc</t>
  </si>
  <si>
    <t>GFDL-CM34AllCardiovasc</t>
  </si>
  <si>
    <t>GCM Average4AllCardiovasc</t>
  </si>
  <si>
    <t>CanESM25AllCardiovasc</t>
  </si>
  <si>
    <t>CCSM45AllCardiovasc</t>
  </si>
  <si>
    <t>GISS-E2-R5AllCardiovasc</t>
  </si>
  <si>
    <t>HadGEM2-ES5AllCardiovasc</t>
  </si>
  <si>
    <t>MIROC55AllCardiovasc</t>
  </si>
  <si>
    <t>GFDL-CM35AllCardiovasc</t>
  </si>
  <si>
    <t>GCM Average5AllCardiovasc</t>
  </si>
  <si>
    <t>CanESM26AllCardiovasc</t>
  </si>
  <si>
    <t>CCSM46AllCardiovasc</t>
  </si>
  <si>
    <t>GISS-E2-R6AllCardiovasc</t>
  </si>
  <si>
    <t>HadGEM2-ES6AllCardiovasc</t>
  </si>
  <si>
    <t>MIROC56AllCardiovasc</t>
  </si>
  <si>
    <t>GFDL-CM36AllCardiovasc</t>
  </si>
  <si>
    <t>GCM Average6AllCardiovasc</t>
  </si>
  <si>
    <t>CanESM27AllCardiovasc</t>
  </si>
  <si>
    <t>CCSM47AllCardiovasc</t>
  </si>
  <si>
    <t>GISS-E2-R7AllCardiovasc</t>
  </si>
  <si>
    <t>HadGEM2-ES7AllCardiovasc</t>
  </si>
  <si>
    <t>MIROC57AllCardiovasc</t>
  </si>
  <si>
    <t>GFDL-CM37AllCardiovasc</t>
  </si>
  <si>
    <t>GCM Average7AllCardiovasc</t>
  </si>
  <si>
    <t>CanESM21ACMI</t>
  </si>
  <si>
    <t>CCSM41ACMI</t>
  </si>
  <si>
    <t>GISS-E2-R1ACMI</t>
  </si>
  <si>
    <t>HadGEM2-ES1ACMI</t>
  </si>
  <si>
    <t>MIROC51ACMI</t>
  </si>
  <si>
    <t>GFDL-CM31ACMI</t>
  </si>
  <si>
    <t>GCM Average1ACMI</t>
  </si>
  <si>
    <t>CanESM22ACMI</t>
  </si>
  <si>
    <t>CCSM42ACMI</t>
  </si>
  <si>
    <t>GISS-E2-R2ACMI</t>
  </si>
  <si>
    <t>HadGEM2-ES2ACMI</t>
  </si>
  <si>
    <t>MIROC52ACMI</t>
  </si>
  <si>
    <t>GFDL-CM32ACMI</t>
  </si>
  <si>
    <t>GCM Average2ACMI</t>
  </si>
  <si>
    <t>CanESM23ACMI</t>
  </si>
  <si>
    <t>CCSM43ACMI</t>
  </si>
  <si>
    <t>GISS-E2-R3ACMI</t>
  </si>
  <si>
    <t>HadGEM2-ES3ACMI</t>
  </si>
  <si>
    <t>MIROC53ACMI</t>
  </si>
  <si>
    <t>GFDL-CM33ACMI</t>
  </si>
  <si>
    <t>GCM Average3ACMI</t>
  </si>
  <si>
    <t>CanESM24ACMI</t>
  </si>
  <si>
    <t>CCSM44ACMI</t>
  </si>
  <si>
    <t>GISS-E2-R4ACMI</t>
  </si>
  <si>
    <t>HadGEM2-ES4ACMI</t>
  </si>
  <si>
    <t>MIROC54ACMI</t>
  </si>
  <si>
    <t>GFDL-CM34ACMI</t>
  </si>
  <si>
    <t>GCM Average4ACMI</t>
  </si>
  <si>
    <t>CanESM25ACMI</t>
  </si>
  <si>
    <t>CCSM45ACMI</t>
  </si>
  <si>
    <t>GISS-E2-R5ACMI</t>
  </si>
  <si>
    <t>HadGEM2-ES5ACMI</t>
  </si>
  <si>
    <t>MIROC55ACMI</t>
  </si>
  <si>
    <t>GFDL-CM35ACMI</t>
  </si>
  <si>
    <t>GCM Average5ACMI</t>
  </si>
  <si>
    <t>CanESM26ACMI</t>
  </si>
  <si>
    <t>CCSM46ACMI</t>
  </si>
  <si>
    <t>GISS-E2-R6ACMI</t>
  </si>
  <si>
    <t>HadGEM2-ES6ACMI</t>
  </si>
  <si>
    <t>MIROC56ACMI</t>
  </si>
  <si>
    <t>GFDL-CM36ACMI</t>
  </si>
  <si>
    <t>GCM Average6ACMI</t>
  </si>
  <si>
    <t>CanESM27ACMI</t>
  </si>
  <si>
    <t>CCSM47ACMI</t>
  </si>
  <si>
    <t>GISS-E2-R7ACMI</t>
  </si>
  <si>
    <t>HadGEM2-ES7ACMI</t>
  </si>
  <si>
    <t>MIROC57ACMI</t>
  </si>
  <si>
    <t>GFDL-CM37ACMI</t>
  </si>
  <si>
    <t>GCM Average7ACMI</t>
  </si>
  <si>
    <t>CanESM21Proactive</t>
  </si>
  <si>
    <t>CCSM41Proactive</t>
  </si>
  <si>
    <t>GISS-E2-R1Proactive</t>
  </si>
  <si>
    <t>HadGEM2-ES1Proactive</t>
  </si>
  <si>
    <t>MIROC51Proactive</t>
  </si>
  <si>
    <t>GFDL-CM31Proactive</t>
  </si>
  <si>
    <t>GCM Average1Proactive</t>
  </si>
  <si>
    <t>CanESM22Proactive</t>
  </si>
  <si>
    <t>CCSM42Proactive</t>
  </si>
  <si>
    <t>GISS-E2-R2Proactive</t>
  </si>
  <si>
    <t>HadGEM2-ES2Proactive</t>
  </si>
  <si>
    <t>MIROC52Proactive</t>
  </si>
  <si>
    <t>GFDL-CM32Proactive</t>
  </si>
  <si>
    <t>GCM Average2Proactive</t>
  </si>
  <si>
    <t>CanESM23Proactive</t>
  </si>
  <si>
    <t>CCSM43Proactive</t>
  </si>
  <si>
    <t>GISS-E2-R3Proactive</t>
  </si>
  <si>
    <t>HadGEM2-ES3Proactive</t>
  </si>
  <si>
    <t>MIROC53Proactive</t>
  </si>
  <si>
    <t>GFDL-CM33Proactive</t>
  </si>
  <si>
    <t>GCM Average3Proactive</t>
  </si>
  <si>
    <t>CanESM24Proactive</t>
  </si>
  <si>
    <t>CCSM44Proactive</t>
  </si>
  <si>
    <t>GISS-E2-R4Proactive</t>
  </si>
  <si>
    <t>HadGEM2-ES4Proactive</t>
  </si>
  <si>
    <t>MIROC54Proactive</t>
  </si>
  <si>
    <t>GFDL-CM34Proactive</t>
  </si>
  <si>
    <t>GCM Average4Proactive</t>
  </si>
  <si>
    <t>CanESM25Proactive</t>
  </si>
  <si>
    <t>CCSM45Proactive</t>
  </si>
  <si>
    <t>GISS-E2-R5Proactive</t>
  </si>
  <si>
    <t>HadGEM2-ES5Proactive</t>
  </si>
  <si>
    <t>MIROC55Proactive</t>
  </si>
  <si>
    <t>GFDL-CM35Proactive</t>
  </si>
  <si>
    <t>GCM Average5Proactive</t>
  </si>
  <si>
    <t>CanESM26Proactive</t>
  </si>
  <si>
    <t>CCSM46Proactive</t>
  </si>
  <si>
    <t>GISS-E2-R6Proactive</t>
  </si>
  <si>
    <t>HadGEM2-ES6Proactive</t>
  </si>
  <si>
    <t>MIROC56Proactive</t>
  </si>
  <si>
    <t>GFDL-CM36Proactive</t>
  </si>
  <si>
    <t>GCM Average6Proactive</t>
  </si>
  <si>
    <t>CanESM27Proactive</t>
  </si>
  <si>
    <t>CCSM47Proactive</t>
  </si>
  <si>
    <t>GISS-E2-R7Proactive</t>
  </si>
  <si>
    <t>HadGEM2-ES7Proactive</t>
  </si>
  <si>
    <t>MIROC57Proactive</t>
  </si>
  <si>
    <t>GFDL-CM37Proactive</t>
  </si>
  <si>
    <t>GCM Average7Proactive</t>
  </si>
  <si>
    <t>CanESM21Reactive</t>
  </si>
  <si>
    <t>CCSM41Reactive</t>
  </si>
  <si>
    <t>GISS-E2-R1Reactive</t>
  </si>
  <si>
    <t>HadGEM2-ES1Reactive</t>
  </si>
  <si>
    <t>MIROC51Reactive</t>
  </si>
  <si>
    <t>GFDL-CM31Reactive</t>
  </si>
  <si>
    <t>GCM Average1Reactive</t>
  </si>
  <si>
    <t>CanESM22Reactive</t>
  </si>
  <si>
    <t>CCSM42Reactive</t>
  </si>
  <si>
    <t>GISS-E2-R2Reactive</t>
  </si>
  <si>
    <t>HadGEM2-ES2Reactive</t>
  </si>
  <si>
    <t>MIROC52Reactive</t>
  </si>
  <si>
    <t>GFDL-CM32Reactive</t>
  </si>
  <si>
    <t>GCM Average2Reactive</t>
  </si>
  <si>
    <t>CanESM23Reactive</t>
  </si>
  <si>
    <t>CCSM43Reactive</t>
  </si>
  <si>
    <t>GISS-E2-R3Reactive</t>
  </si>
  <si>
    <t>HadGEM2-ES3Reactive</t>
  </si>
  <si>
    <t>MIROC53Reactive</t>
  </si>
  <si>
    <t>GFDL-CM33Reactive</t>
  </si>
  <si>
    <t>GCM Average3Reactive</t>
  </si>
  <si>
    <t>CanESM24Reactive</t>
  </si>
  <si>
    <t>CCSM44Reactive</t>
  </si>
  <si>
    <t>GISS-E2-R4Reactive</t>
  </si>
  <si>
    <t>HadGEM2-ES4Reactive</t>
  </si>
  <si>
    <t>MIROC54Reactive</t>
  </si>
  <si>
    <t>GFDL-CM34Reactive</t>
  </si>
  <si>
    <t>GCM Average4Reactive</t>
  </si>
  <si>
    <t>CanESM25Reactive</t>
  </si>
  <si>
    <t>CCSM45Reactive</t>
  </si>
  <si>
    <t>GISS-E2-R5Reactive</t>
  </si>
  <si>
    <t>HadGEM2-ES5Reactive</t>
  </si>
  <si>
    <t>MIROC55Reactive</t>
  </si>
  <si>
    <t>GFDL-CM35Reactive</t>
  </si>
  <si>
    <t>GCM Average5Reactive</t>
  </si>
  <si>
    <t>CanESM26Reactive</t>
  </si>
  <si>
    <t>CCSM46Reactive</t>
  </si>
  <si>
    <t>GISS-E2-R6Reactive</t>
  </si>
  <si>
    <t>HadGEM2-ES6Reactive</t>
  </si>
  <si>
    <t>MIROC56Reactive</t>
  </si>
  <si>
    <t>GFDL-CM36Reactive</t>
  </si>
  <si>
    <t>GCM Average6Reactive</t>
  </si>
  <si>
    <t>CanESM27Reactive</t>
  </si>
  <si>
    <t>CCSM47Reactive</t>
  </si>
  <si>
    <t>GISS-E2-R7Reactive</t>
  </si>
  <si>
    <t>HadGEM2-ES7Reactive</t>
  </si>
  <si>
    <t>MIROC57Reactive</t>
  </si>
  <si>
    <t>GFDL-CM37Reactive</t>
  </si>
  <si>
    <t>GCM Average7Reactive</t>
  </si>
  <si>
    <t>AirQuality</t>
  </si>
  <si>
    <t>O3</t>
  </si>
  <si>
    <t>CanESM212011O3</t>
  </si>
  <si>
    <t>CCSM412011O3</t>
  </si>
  <si>
    <t>GISS-E2-R12011O3</t>
  </si>
  <si>
    <t>HadGEM2-ES12011O3</t>
  </si>
  <si>
    <t>MIROC512011O3</t>
  </si>
  <si>
    <t>GFDL-CM312011O3</t>
  </si>
  <si>
    <t>GCM Average12011O3</t>
  </si>
  <si>
    <t>CanESM222011O3</t>
  </si>
  <si>
    <t>CCSM422011O3</t>
  </si>
  <si>
    <t>GISS-E2-R22011O3</t>
  </si>
  <si>
    <t>HadGEM2-ES22011O3</t>
  </si>
  <si>
    <t>MIROC522011O3</t>
  </si>
  <si>
    <t>GFDL-CM322011O3</t>
  </si>
  <si>
    <t>GCM Average22011O3</t>
  </si>
  <si>
    <t>CanESM232011O3</t>
  </si>
  <si>
    <t>CCSM432011O3</t>
  </si>
  <si>
    <t>GISS-E2-R32011O3</t>
  </si>
  <si>
    <t>HadGEM2-ES32011O3</t>
  </si>
  <si>
    <t>MIROC532011O3</t>
  </si>
  <si>
    <t>GFDL-CM332011O3</t>
  </si>
  <si>
    <t>GCM Average32011O3</t>
  </si>
  <si>
    <t>CanESM242011O3</t>
  </si>
  <si>
    <t>CCSM442011O3</t>
  </si>
  <si>
    <t>GISS-E2-R42011O3</t>
  </si>
  <si>
    <t>HadGEM2-ES42011O3</t>
  </si>
  <si>
    <t>MIROC542011O3</t>
  </si>
  <si>
    <t>GFDL-CM342011O3</t>
  </si>
  <si>
    <t>GCM Average42011O3</t>
  </si>
  <si>
    <t>CanESM252011O3</t>
  </si>
  <si>
    <t>CCSM452011O3</t>
  </si>
  <si>
    <t>GISS-E2-R52011O3</t>
  </si>
  <si>
    <t>HadGEM2-ES52011O3</t>
  </si>
  <si>
    <t>MIROC552011O3</t>
  </si>
  <si>
    <t>GFDL-CM352011O3</t>
  </si>
  <si>
    <t>GCM Average52011O3</t>
  </si>
  <si>
    <t>CanESM262011O3</t>
  </si>
  <si>
    <t>CCSM462011O3</t>
  </si>
  <si>
    <t>GISS-E2-R62011O3</t>
  </si>
  <si>
    <t>HadGEM2-ES62011O3</t>
  </si>
  <si>
    <t>MIROC562011O3</t>
  </si>
  <si>
    <t>GFDL-CM362011O3</t>
  </si>
  <si>
    <t>GCM Average62011O3</t>
  </si>
  <si>
    <t>CanESM272011O3</t>
  </si>
  <si>
    <t>CCSM472011O3</t>
  </si>
  <si>
    <t>GISS-E2-R72011O3</t>
  </si>
  <si>
    <t>HadGEM2-ES72011O3</t>
  </si>
  <si>
    <t>MIROC572011O3</t>
  </si>
  <si>
    <t>GFDL-CM372011O3</t>
  </si>
  <si>
    <t>GCM Average72011O3</t>
  </si>
  <si>
    <t>CanESM212040O3</t>
  </si>
  <si>
    <t>CCSM412040O3</t>
  </si>
  <si>
    <t>GISS-E2-R12040O3</t>
  </si>
  <si>
    <t>HadGEM2-ES12040O3</t>
  </si>
  <si>
    <t>MIROC512040O3</t>
  </si>
  <si>
    <t>GFDL-CM312040O3</t>
  </si>
  <si>
    <t>GCM Average12040O3</t>
  </si>
  <si>
    <t>CanESM222040O3</t>
  </si>
  <si>
    <t>CCSM422040O3</t>
  </si>
  <si>
    <t>GISS-E2-R22040O3</t>
  </si>
  <si>
    <t>HadGEM2-ES22040O3</t>
  </si>
  <si>
    <t>MIROC522040O3</t>
  </si>
  <si>
    <t>GFDL-CM322040O3</t>
  </si>
  <si>
    <t>GCM Average22040O3</t>
  </si>
  <si>
    <t>CanESM232040O3</t>
  </si>
  <si>
    <t>CCSM432040O3</t>
  </si>
  <si>
    <t>GISS-E2-R32040O3</t>
  </si>
  <si>
    <t>HadGEM2-ES32040O3</t>
  </si>
  <si>
    <t>MIROC532040O3</t>
  </si>
  <si>
    <t>GFDL-CM332040O3</t>
  </si>
  <si>
    <t>GCM Average32040O3</t>
  </si>
  <si>
    <t>CanESM242040O3</t>
  </si>
  <si>
    <t>CCSM442040O3</t>
  </si>
  <si>
    <t>GISS-E2-R42040O3</t>
  </si>
  <si>
    <t>HadGEM2-ES42040O3</t>
  </si>
  <si>
    <t>MIROC542040O3</t>
  </si>
  <si>
    <t>GFDL-CM342040O3</t>
  </si>
  <si>
    <t>GCM Average42040O3</t>
  </si>
  <si>
    <t>CanESM252040O3</t>
  </si>
  <si>
    <t>CCSM452040O3</t>
  </si>
  <si>
    <t>GISS-E2-R52040O3</t>
  </si>
  <si>
    <t>HadGEM2-ES52040O3</t>
  </si>
  <si>
    <t>MIROC552040O3</t>
  </si>
  <si>
    <t>GFDL-CM352040O3</t>
  </si>
  <si>
    <t>GCM Average52040O3</t>
  </si>
  <si>
    <t>CanESM262040O3</t>
  </si>
  <si>
    <t>CCSM462040O3</t>
  </si>
  <si>
    <t>GISS-E2-R62040O3</t>
  </si>
  <si>
    <t>HadGEM2-ES62040O3</t>
  </si>
  <si>
    <t>MIROC562040O3</t>
  </si>
  <si>
    <t>GFDL-CM362040O3</t>
  </si>
  <si>
    <t>GCM Average62040O3</t>
  </si>
  <si>
    <t>CanESM272040O3</t>
  </si>
  <si>
    <t>CCSM472040O3</t>
  </si>
  <si>
    <t>GISS-E2-R72040O3</t>
  </si>
  <si>
    <t>HadGEM2-ES72040O3</t>
  </si>
  <si>
    <t>MIROC572040O3</t>
  </si>
  <si>
    <t>GFDL-CM372040O3</t>
  </si>
  <si>
    <t>GCM Average72040O3</t>
  </si>
  <si>
    <t>PM</t>
  </si>
  <si>
    <t>CanESM212011PM</t>
  </si>
  <si>
    <t>CCSM412011PM</t>
  </si>
  <si>
    <t>GISS-E2-R12011PM</t>
  </si>
  <si>
    <t>HadGEM2-ES12011PM</t>
  </si>
  <si>
    <t>MIROC512011PM</t>
  </si>
  <si>
    <t>GFDL-CM312011PM</t>
  </si>
  <si>
    <t>GCM Average12011PM</t>
  </si>
  <si>
    <t>CanESM222011PM</t>
  </si>
  <si>
    <t>CCSM422011PM</t>
  </si>
  <si>
    <t>GISS-E2-R22011PM</t>
  </si>
  <si>
    <t>HadGEM2-ES22011PM</t>
  </si>
  <si>
    <t>MIROC522011PM</t>
  </si>
  <si>
    <t>GFDL-CM322011PM</t>
  </si>
  <si>
    <t>GCM Average22011PM</t>
  </si>
  <si>
    <t>CanESM232011PM</t>
  </si>
  <si>
    <t>CCSM432011PM</t>
  </si>
  <si>
    <t>GISS-E2-R32011PM</t>
  </si>
  <si>
    <t>HadGEM2-ES32011PM</t>
  </si>
  <si>
    <t>MIROC532011PM</t>
  </si>
  <si>
    <t>GFDL-CM332011PM</t>
  </si>
  <si>
    <t>GCM Average32011PM</t>
  </si>
  <si>
    <t>CanESM242011PM</t>
  </si>
  <si>
    <t>CCSM442011PM</t>
  </si>
  <si>
    <t>GISS-E2-R42011PM</t>
  </si>
  <si>
    <t>HadGEM2-ES42011PM</t>
  </si>
  <si>
    <t>MIROC542011PM</t>
  </si>
  <si>
    <t>GFDL-CM342011PM</t>
  </si>
  <si>
    <t>GCM Average42011PM</t>
  </si>
  <si>
    <t>CanESM252011PM</t>
  </si>
  <si>
    <t>CCSM452011PM</t>
  </si>
  <si>
    <t>GISS-E2-R52011PM</t>
  </si>
  <si>
    <t>HadGEM2-ES52011PM</t>
  </si>
  <si>
    <t>MIROC552011PM</t>
  </si>
  <si>
    <t>GFDL-CM352011PM</t>
  </si>
  <si>
    <t>GCM Average52011PM</t>
  </si>
  <si>
    <t>CanESM262011PM</t>
  </si>
  <si>
    <t>CCSM462011PM</t>
  </si>
  <si>
    <t>GISS-E2-R62011PM</t>
  </si>
  <si>
    <t>HadGEM2-ES62011PM</t>
  </si>
  <si>
    <t>MIROC562011PM</t>
  </si>
  <si>
    <t>GFDL-CM362011PM</t>
  </si>
  <si>
    <t>GCM Average62011PM</t>
  </si>
  <si>
    <t>CanESM272011PM</t>
  </si>
  <si>
    <t>CCSM472011PM</t>
  </si>
  <si>
    <t>GISS-E2-R72011PM</t>
  </si>
  <si>
    <t>HadGEM2-ES72011PM</t>
  </si>
  <si>
    <t>MIROC572011PM</t>
  </si>
  <si>
    <t>GFDL-CM372011PM</t>
  </si>
  <si>
    <t>GCM Average72011PM</t>
  </si>
  <si>
    <t>CanESM212040PM</t>
  </si>
  <si>
    <t>CCSM412040PM</t>
  </si>
  <si>
    <t>GISS-E2-R12040PM</t>
  </si>
  <si>
    <t>HadGEM2-ES12040PM</t>
  </si>
  <si>
    <t>MIROC512040PM</t>
  </si>
  <si>
    <t>GFDL-CM312040PM</t>
  </si>
  <si>
    <t>GCM Average12040PM</t>
  </si>
  <si>
    <t>CanESM222040PM</t>
  </si>
  <si>
    <t>CCSM422040PM</t>
  </si>
  <si>
    <t>GISS-E2-R22040PM</t>
  </si>
  <si>
    <t>HadGEM2-ES22040PM</t>
  </si>
  <si>
    <t>MIROC522040PM</t>
  </si>
  <si>
    <t>GFDL-CM322040PM</t>
  </si>
  <si>
    <t>GCM Average22040PM</t>
  </si>
  <si>
    <t>CanESM232040PM</t>
  </si>
  <si>
    <t>CCSM432040PM</t>
  </si>
  <si>
    <t>GISS-E2-R32040PM</t>
  </si>
  <si>
    <t>HadGEM2-ES32040PM</t>
  </si>
  <si>
    <t>MIROC532040PM</t>
  </si>
  <si>
    <t>GFDL-CM332040PM</t>
  </si>
  <si>
    <t>GCM Average32040PM</t>
  </si>
  <si>
    <t>CanESM242040PM</t>
  </si>
  <si>
    <t>CCSM442040PM</t>
  </si>
  <si>
    <t>GISS-E2-R42040PM</t>
  </si>
  <si>
    <t>HadGEM2-ES42040PM</t>
  </si>
  <si>
    <t>MIROC542040PM</t>
  </si>
  <si>
    <t>GFDL-CM342040PM</t>
  </si>
  <si>
    <t>GCM Average42040PM</t>
  </si>
  <si>
    <t>CanESM252040PM</t>
  </si>
  <si>
    <t>CCSM452040PM</t>
  </si>
  <si>
    <t>GISS-E2-R52040PM</t>
  </si>
  <si>
    <t>HadGEM2-ES52040PM</t>
  </si>
  <si>
    <t>MIROC552040PM</t>
  </si>
  <si>
    <t>GFDL-CM352040PM</t>
  </si>
  <si>
    <t>GCM Average52040PM</t>
  </si>
  <si>
    <t>CanESM262040PM</t>
  </si>
  <si>
    <t>CCSM462040PM</t>
  </si>
  <si>
    <t>GISS-E2-R62040PM</t>
  </si>
  <si>
    <t>HadGEM2-ES62040PM</t>
  </si>
  <si>
    <t>MIROC562040PM</t>
  </si>
  <si>
    <t>GFDL-CM362040PM</t>
  </si>
  <si>
    <t>GCM Average62040PM</t>
  </si>
  <si>
    <t>CanESM272040PM</t>
  </si>
  <si>
    <t>CCSM472040PM</t>
  </si>
  <si>
    <t>GISS-E2-R72040PM</t>
  </si>
  <si>
    <t>HadGEM2-ES72040PM</t>
  </si>
  <si>
    <t>MIROC572040PM</t>
  </si>
  <si>
    <t>GFDL-CM372040PM</t>
  </si>
  <si>
    <t>GCM Average72040PM</t>
  </si>
  <si>
    <t>High Risk Worker Population</t>
  </si>
  <si>
    <t>highRiskLabor_pop</t>
  </si>
  <si>
    <t>include</t>
  </si>
  <si>
    <t>Wildfire</t>
  </si>
  <si>
    <t>Air Quality</t>
  </si>
  <si>
    <t>c0</t>
  </si>
  <si>
    <t>c1</t>
  </si>
  <si>
    <t>exp0</t>
  </si>
  <si>
    <t>year0</t>
  </si>
  <si>
    <t>High-Risk Worker Wages</t>
  </si>
  <si>
    <t>Mortality</t>
  </si>
  <si>
    <t>Morbidity</t>
  </si>
  <si>
    <t>Wildfire Response Costs</t>
  </si>
  <si>
    <t>wildfire_ResponseCosts</t>
  </si>
  <si>
    <t>ResponseCosts</t>
  </si>
  <si>
    <t>2011 Emissions</t>
  </si>
  <si>
    <t>Adaptation</t>
  </si>
  <si>
    <t>Direct Adaptation</t>
  </si>
  <si>
    <t>No Adaptation</t>
  </si>
  <si>
    <t>Proactive Adaptation</t>
  </si>
  <si>
    <t>Reactive Adaptation</t>
  </si>
  <si>
    <t>Reasonably Anticipated Adaptation</t>
  </si>
  <si>
    <t>row_id</t>
  </si>
  <si>
    <t>rail_growth_factor</t>
  </si>
  <si>
    <t>billion</t>
  </si>
  <si>
    <t>million</t>
  </si>
  <si>
    <t>thousand</t>
  </si>
  <si>
    <t>constant</t>
  </si>
  <si>
    <t>vsl_usd</t>
  </si>
  <si>
    <t>Hospitalization Costs (All Cardiovascular and ACMI)</t>
  </si>
  <si>
    <t>hospCosts_cardio</t>
  </si>
  <si>
    <t>hospCosts_resp</t>
  </si>
  <si>
    <t>Hospitalization Costs (Respiratory)</t>
  </si>
  <si>
    <t>Hospitalization Costs (Asthma ER)</t>
  </si>
  <si>
    <t>physScalarName</t>
  </si>
  <si>
    <t>City Population (weight)</t>
  </si>
  <si>
    <t>physAdjName</t>
  </si>
  <si>
    <t>Southwest Dusts (All Ages)</t>
  </si>
  <si>
    <t>damageAdjName</t>
  </si>
  <si>
    <t>Road Miles</t>
  </si>
  <si>
    <t>Population-Driven Demand Growth Factor for Grid Reliability</t>
  </si>
  <si>
    <t>Rail Traffic Growth Factor</t>
  </si>
  <si>
    <t>Ozone</t>
  </si>
  <si>
    <t>PM2.5</t>
  </si>
  <si>
    <t>Response Costs</t>
  </si>
  <si>
    <t>Coastal Property Damage</t>
  </si>
  <si>
    <t>LostWages</t>
  </si>
  <si>
    <t>Rail Impacts</t>
  </si>
  <si>
    <t>Water Quality Impacts</t>
  </si>
  <si>
    <t>Lost Wages for High-Risk Occupations</t>
  </si>
  <si>
    <t>Road Impacts</t>
  </si>
  <si>
    <t>Asthma ED Visits</t>
  </si>
  <si>
    <t>Extreme Cold</t>
  </si>
  <si>
    <t>Extreme Heat</t>
  </si>
  <si>
    <t>hospCosts_asthma</t>
  </si>
  <si>
    <t>scalarType</t>
  </si>
  <si>
    <t>econScalar</t>
  </si>
  <si>
    <t>damageAdj</t>
  </si>
  <si>
    <t>physScalar</t>
  </si>
  <si>
    <t>valueYear</t>
  </si>
  <si>
    <t>slr</t>
  </si>
  <si>
    <t>gcm</t>
  </si>
  <si>
    <t>region_dot</t>
  </si>
  <si>
    <t>region_underscore</t>
  </si>
  <si>
    <t>temp_C_conus</t>
  </si>
  <si>
    <t>pop_Midwest</t>
  </si>
  <si>
    <t>pop_Northeast</t>
  </si>
  <si>
    <t>pop_Northwest</t>
  </si>
  <si>
    <t>pop_Southeast</t>
  </si>
  <si>
    <t>pop_Southwest</t>
  </si>
  <si>
    <t>co_defaultScenario</t>
  </si>
  <si>
    <t>defaultScenario</t>
  </si>
  <si>
    <t>Table with default values for CONUS temperatures, GDP, and regional population</t>
  </si>
  <si>
    <t>impactYears</t>
  </si>
  <si>
    <t>impactTypes</t>
  </si>
  <si>
    <t>notes</t>
  </si>
  <si>
    <t>physAdj</t>
  </si>
  <si>
    <t>scalarData</t>
  </si>
  <si>
    <t>scalarDataframe</t>
  </si>
  <si>
    <t>co_impactYears</t>
  </si>
  <si>
    <t>co_impactTypes</t>
  </si>
  <si>
    <t>co_scalarInfo</t>
  </si>
  <si>
    <t>CanESM21No Adaptation</t>
  </si>
  <si>
    <t>CCSM41No Adaptation</t>
  </si>
  <si>
    <t>GISS-E2-R1No Adaptation</t>
  </si>
  <si>
    <t>HadGEM2-ES1No Adaptation</t>
  </si>
  <si>
    <t>MIROC51No Adaptation</t>
  </si>
  <si>
    <t>GFDL-CM31No Adaptation</t>
  </si>
  <si>
    <t>GCM Average1No Adaptation</t>
  </si>
  <si>
    <t>CanESM22No Adaptation</t>
  </si>
  <si>
    <t>CCSM42No Adaptation</t>
  </si>
  <si>
    <t>GISS-E2-R2No Adaptation</t>
  </si>
  <si>
    <t>HadGEM2-ES2No Adaptation</t>
  </si>
  <si>
    <t>MIROC52No Adaptation</t>
  </si>
  <si>
    <t>GFDL-CM32No Adaptation</t>
  </si>
  <si>
    <t>GCM Average2No Adaptation</t>
  </si>
  <si>
    <t>CanESM23No Adaptation</t>
  </si>
  <si>
    <t>CCSM43No Adaptation</t>
  </si>
  <si>
    <t>GISS-E2-R3No Adaptation</t>
  </si>
  <si>
    <t>HadGEM2-ES3No Adaptation</t>
  </si>
  <si>
    <t>MIROC53No Adaptation</t>
  </si>
  <si>
    <t>GFDL-CM33No Adaptation</t>
  </si>
  <si>
    <t>GCM Average3No Adaptation</t>
  </si>
  <si>
    <t>CanESM24No Adaptation</t>
  </si>
  <si>
    <t>CCSM44No Adaptation</t>
  </si>
  <si>
    <t>GISS-E2-R4No Adaptation</t>
  </si>
  <si>
    <t>HadGEM2-ES4No Adaptation</t>
  </si>
  <si>
    <t>MIROC54No Adaptation</t>
  </si>
  <si>
    <t>GFDL-CM34No Adaptation</t>
  </si>
  <si>
    <t>GCM Average4No Adaptation</t>
  </si>
  <si>
    <t>CanESM25No Adaptation</t>
  </si>
  <si>
    <t>CCSM45No Adaptation</t>
  </si>
  <si>
    <t>GISS-E2-R5No Adaptation</t>
  </si>
  <si>
    <t>HadGEM2-ES5No Adaptation</t>
  </si>
  <si>
    <t>MIROC55No Adaptation</t>
  </si>
  <si>
    <t>GFDL-CM35No Adaptation</t>
  </si>
  <si>
    <t>GCM Average5No Adaptation</t>
  </si>
  <si>
    <t>CanESM26No Adaptation</t>
  </si>
  <si>
    <t>CCSM46No Adaptation</t>
  </si>
  <si>
    <t>GISS-E2-R6No Adaptation</t>
  </si>
  <si>
    <t>HadGEM2-ES6No Adaptation</t>
  </si>
  <si>
    <t>MIROC56No Adaptation</t>
  </si>
  <si>
    <t>GFDL-CM36No Adaptation</t>
  </si>
  <si>
    <t>GCM Average6No Adaptation</t>
  </si>
  <si>
    <t>CanESM27No Adaptation</t>
  </si>
  <si>
    <t>CCSM47No Adaptation</t>
  </si>
  <si>
    <t>GISS-E2-R7No Adaptation</t>
  </si>
  <si>
    <t>HadGEM2-ES7No Adaptation</t>
  </si>
  <si>
    <t>MIROC57No Adaptation</t>
  </si>
  <si>
    <t>GFDL-CM37No Adaptation</t>
  </si>
  <si>
    <t>GCM Average7No Adaptation</t>
  </si>
  <si>
    <t>modelType</t>
  </si>
  <si>
    <t>constant_or_dynamic</t>
  </si>
  <si>
    <t>national_or_regional</t>
  </si>
  <si>
    <t>national</t>
  </si>
  <si>
    <t>regional</t>
  </si>
  <si>
    <t>dynamic</t>
  </si>
  <si>
    <t>For the reactive and no adaptation scenarios</t>
  </si>
  <si>
    <t>Road Miles and Population Adjustment Factor (No Adaptation and Reactive Adaptation)</t>
  </si>
  <si>
    <t>2010</t>
  </si>
  <si>
    <t>2090</t>
  </si>
  <si>
    <t>gdp_usd</t>
  </si>
  <si>
    <t>model_id</t>
  </si>
  <si>
    <t>model_dot</t>
  </si>
  <si>
    <t>model_underscore</t>
  </si>
  <si>
    <t>data_scaledImpacts</t>
  </si>
  <si>
    <t>dataType</t>
  </si>
  <si>
    <t>In data</t>
  </si>
  <si>
    <t>Calculated or input</t>
  </si>
  <si>
    <t>Calculated</t>
  </si>
  <si>
    <t>U.S. National GDP</t>
  </si>
  <si>
    <t>GDP per capita (national)</t>
  </si>
  <si>
    <t>None</t>
  </si>
  <si>
    <t>Has value of 1</t>
  </si>
  <si>
    <t>econMultiplierName</t>
  </si>
  <si>
    <t>co_econMultipliers</t>
  </si>
  <si>
    <t>check_data</t>
  </si>
  <si>
    <t>sector</t>
  </si>
  <si>
    <t>impactYear</t>
  </si>
  <si>
    <t>adaptation</t>
  </si>
  <si>
    <t>outputRowID</t>
  </si>
  <si>
    <t>id_colIndex</t>
  </si>
  <si>
    <t>last_colIndex</t>
  </si>
  <si>
    <t>num_tableCols</t>
  </si>
  <si>
    <t>NA</t>
  </si>
  <si>
    <t>Adapt</t>
  </si>
  <si>
    <t>impactType</t>
  </si>
  <si>
    <t>model</t>
  </si>
  <si>
    <t>impactType_label</t>
  </si>
  <si>
    <t>impactType_id</t>
  </si>
  <si>
    <t>impactType_description</t>
  </si>
  <si>
    <t>excludeCol_ids</t>
  </si>
  <si>
    <t>impactType_id_excel</t>
  </si>
  <si>
    <t>Table with impact type information</t>
  </si>
  <si>
    <t>Table with impact year information</t>
  </si>
  <si>
    <t>Table with information about scalars</t>
  </si>
  <si>
    <t>Table with information about regions</t>
  </si>
  <si>
    <t>Table with information about GCMs</t>
  </si>
  <si>
    <t>Table with information about economic multipliers</t>
  </si>
  <si>
    <t>pop_Northern.Plains</t>
  </si>
  <si>
    <t>pop_Southern.Plains</t>
  </si>
  <si>
    <t>econMultiplierDescription</t>
  </si>
  <si>
    <t>2040 Emissions</t>
  </si>
  <si>
    <t>--</t>
  </si>
  <si>
    <t>scaledImpacts</t>
  </si>
  <si>
    <t>0p3</t>
  </si>
  <si>
    <t>0p5</t>
  </si>
  <si>
    <t>1p0</t>
  </si>
  <si>
    <t>1p5</t>
  </si>
  <si>
    <t>2p0</t>
  </si>
  <si>
    <t>2p5</t>
  </si>
  <si>
    <t>Table with temperature-binned, scaled impacts</t>
  </si>
  <si>
    <t>model_label</t>
  </si>
  <si>
    <t>temperature</t>
  </si>
  <si>
    <t>Temperature</t>
  </si>
  <si>
    <t>GCM</t>
  </si>
  <si>
    <t>modelType_id</t>
  </si>
  <si>
    <t>modelType_label</t>
  </si>
  <si>
    <t>SLR</t>
  </si>
  <si>
    <t>degrees Celsius</t>
  </si>
  <si>
    <t>cm</t>
  </si>
  <si>
    <t>modelUnitType</t>
  </si>
  <si>
    <t>modelUnitDesc</t>
  </si>
  <si>
    <t>modelUnit_id</t>
  </si>
  <si>
    <t>celsius</t>
  </si>
  <si>
    <t>modelUnit_label</t>
  </si>
  <si>
    <t>co_models</t>
  </si>
  <si>
    <t>co_modelTypes</t>
  </si>
  <si>
    <t>controlTables</t>
  </si>
  <si>
    <t>modelUnitValue</t>
  </si>
  <si>
    <t>modelRefYear</t>
  </si>
  <si>
    <t>modelUnitScale</t>
  </si>
  <si>
    <t>Number of impact types</t>
  </si>
  <si>
    <t>Number of impact years</t>
  </si>
  <si>
    <t>Number of models</t>
  </si>
  <si>
    <t>Number of levels</t>
  </si>
  <si>
    <t>modelMaxOutput</t>
  </si>
  <si>
    <t>modelMaxExtrap</t>
  </si>
  <si>
    <t>Electricity Transmission Impacts</t>
  </si>
  <si>
    <t>Acute Myocardial Infarction</t>
  </si>
  <si>
    <t>ValleyFever</t>
  </si>
  <si>
    <t>Valley Fever</t>
  </si>
  <si>
    <t>Valley Fever Mortality Outcome Probability</t>
  </si>
  <si>
    <t>Valley Fever Morbidity Outcome Probability</t>
  </si>
  <si>
    <t>Valley Fever Lost Wages Outcome Probability</t>
  </si>
  <si>
    <t>vfever_prob_mortality</t>
  </si>
  <si>
    <t>vfever_prob_wages</t>
  </si>
  <si>
    <t>daily_wages</t>
  </si>
  <si>
    <t>vfever_illness_costs</t>
  </si>
  <si>
    <t>Daily Wages</t>
  </si>
  <si>
    <t>Valley Fever Average Cost of Illness</t>
  </si>
  <si>
    <t>Lost Wages</t>
  </si>
  <si>
    <t>Proactive costs of improving urban drainage infrastructure</t>
  </si>
  <si>
    <t>Change in power sector costs from reference scenario</t>
  </si>
  <si>
    <t>Lost ticket sales from alpine skiing</t>
  </si>
  <si>
    <t>Lost ticket sales from cross-country skiing</t>
  </si>
  <si>
    <t>Lost ticket sales from snowmobiling</t>
  </si>
  <si>
    <t>Table with information about model types (GCM vs SLR)</t>
  </si>
  <si>
    <t>Electricity Transmission and Distribution</t>
  </si>
  <si>
    <t>ElecTD</t>
  </si>
  <si>
    <t>elecTD_growthFactor</t>
  </si>
  <si>
    <t>Electricity Demand and Supply</t>
  </si>
  <si>
    <t>AsphaltRoads</t>
  </si>
  <si>
    <t>Damages per lane mile</t>
  </si>
  <si>
    <t>Asphalt Roads</t>
  </si>
  <si>
    <t>Asphalt Lane Miles</t>
  </si>
  <si>
    <t>asphaltRoads_laneMiles</t>
  </si>
  <si>
    <t>highRiskWages_usd</t>
  </si>
  <si>
    <t>vfever_morbidity_prob</t>
  </si>
  <si>
    <t>check_damageAdj</t>
  </si>
  <si>
    <t>check_econScalar</t>
  </si>
  <si>
    <t>check_physScalar</t>
  </si>
  <si>
    <t>scalar_rows</t>
  </si>
  <si>
    <t>Calculated value</t>
  </si>
  <si>
    <t>sectorprimary</t>
  </si>
  <si>
    <t>includeaggregate</t>
  </si>
  <si>
    <t>physicalmeasure</t>
  </si>
  <si>
    <t>Premature Mortality</t>
  </si>
  <si>
    <t>Acres Burned</t>
  </si>
  <si>
    <t>Hours Lost</t>
  </si>
  <si>
    <t>Number of scaled impact rows per region</t>
  </si>
  <si>
    <t>Column used for record-keeping of data checks</t>
  </si>
  <si>
    <t>Color Legend</t>
  </si>
  <si>
    <t>Table of Contents</t>
  </si>
  <si>
    <t>Model Types</t>
  </si>
  <si>
    <t>Impact Year Estimates</t>
  </si>
  <si>
    <t>Economic Multipliers</t>
  </si>
  <si>
    <t>Constants</t>
  </si>
  <si>
    <t>Hard-coded value/included in model</t>
  </si>
  <si>
    <t>Named constants</t>
  </si>
  <si>
    <t>Temperature and SLR-binning model types</t>
  </si>
  <si>
    <t>Temperature and SLR-binning models (GCMs and SLR scenarios)</t>
  </si>
  <si>
    <t>Binning Models</t>
  </si>
  <si>
    <t>interpolateEstimateYears</t>
  </si>
  <si>
    <t>Overview of sectors included in the model</t>
  </si>
  <si>
    <t>Overview of impact estimate years associated with each sector</t>
  </si>
  <si>
    <t>Overview of sector-adaptation combinations</t>
  </si>
  <si>
    <t>Overview of sector-impact type combinations</t>
  </si>
  <si>
    <t>Overview of physical scalars, physical adjustments, damage adjustments, economic scalars, and economic multipliers.</t>
  </si>
  <si>
    <t>Overview of economic multipliers</t>
  </si>
  <si>
    <t>List of regions</t>
  </si>
  <si>
    <t>Input Scenario Information</t>
  </si>
  <si>
    <t>inputName</t>
  </si>
  <si>
    <t>temp</t>
  </si>
  <si>
    <t>gdp</t>
  </si>
  <si>
    <t>pop</t>
  </si>
  <si>
    <t>inputType</t>
  </si>
  <si>
    <t>GDP</t>
  </si>
  <si>
    <t>regional population</t>
  </si>
  <si>
    <t>inputUnit</t>
  </si>
  <si>
    <t>2015$</t>
  </si>
  <si>
    <t>capita</t>
  </si>
  <si>
    <t>inputDesc</t>
  </si>
  <si>
    <t>Temperature (Celsius)</t>
  </si>
  <si>
    <t>GMSL (cm)</t>
  </si>
  <si>
    <t>GDP (2015$)</t>
  </si>
  <si>
    <t>Population (capita)</t>
  </si>
  <si>
    <t>inputMin</t>
  </si>
  <si>
    <t>inputMax</t>
  </si>
  <si>
    <t>GMSL (SLR)</t>
  </si>
  <si>
    <t>valueCol</t>
  </si>
  <si>
    <t>temp_C</t>
  </si>
  <si>
    <t>slr_cm</t>
  </si>
  <si>
    <t>co_inputScenarioInfo</t>
  </si>
  <si>
    <t>Table with information about input scenarios</t>
  </si>
  <si>
    <t>Information about input scenarios</t>
  </si>
  <si>
    <t>tempBinListName</t>
  </si>
  <si>
    <t>importArgName</t>
  </si>
  <si>
    <t>Description</t>
  </si>
  <si>
    <t>Field</t>
  </si>
  <si>
    <t>Worksheet for user inputs to R tool. Expand group (see “+” to right) for field descriptions</t>
  </si>
  <si>
    <r>
      <t xml:space="preserve">Table for tracking of tables in "controlTables" tab, which is </t>
    </r>
    <r>
      <rPr>
        <sz val="11"/>
        <rFont val="Calibri"/>
        <family val="2"/>
        <scheme val="minor"/>
      </rPr>
      <t>used by the R package to import function inputs.</t>
    </r>
    <r>
      <rPr>
        <sz val="11"/>
        <color theme="1"/>
        <rFont val="Calibri"/>
        <family val="2"/>
        <scheme val="minor"/>
      </rPr>
      <t xml:space="preserve"> Additional notes are provided in the "notes" field.</t>
    </r>
  </si>
  <si>
    <r>
      <t>Temperature or GMSL-binned data. Impacts estimates are scaled where appropriate to remove time-dependencies. Expand group (see “+” to right) for field descriptions.</t>
    </r>
    <r>
      <rPr>
        <sz val="11"/>
        <rFont val="Calibri"/>
        <family val="2"/>
        <scheme val="minor"/>
      </rPr>
      <t xml:space="preserve"> See Appendix A of the Documentation Report for more information on these values.</t>
    </r>
  </si>
  <si>
    <t>Scalars and adjustment factors applied to temperature or GMSL-binned data for inclusion of socioeconomic impact drivers or other time dependent factors. Expand group (see “+” to right) for field descriptions. See Appendix A of the Documentation Report for more information on these values.</t>
  </si>
  <si>
    <r>
      <t>Tables used for documentation of secto</t>
    </r>
    <r>
      <rPr>
        <sz val="11"/>
        <rFont val="Calibri"/>
        <family val="2"/>
        <scheme val="minor"/>
      </rPr>
      <t>rs parameters and to define sector processing in the R package</t>
    </r>
    <r>
      <rPr>
        <sz val="11"/>
        <color theme="1"/>
        <rFont val="Calibri"/>
        <family val="2"/>
        <scheme val="minor"/>
      </rPr>
      <t>. The table of contents at the top of the worksheet lists all of the tables included in the worksheet. Narrative information for each sector and for general framework setup can be found in the Temperature Binning Framework documentation.</t>
    </r>
  </si>
  <si>
    <t>GCM-Ensemble1</t>
  </si>
  <si>
    <t>GCM-Ensemble2</t>
  </si>
  <si>
    <t>GCM-Ensemble3</t>
  </si>
  <si>
    <t>GCM-Ensemble4</t>
  </si>
  <si>
    <t>GCM-Ensemble5</t>
  </si>
  <si>
    <t>GCM-Ensemble6</t>
  </si>
  <si>
    <t>GCM-Ensemble7</t>
  </si>
  <si>
    <t>Inland Flooding</t>
  </si>
  <si>
    <t>Expected annual damage (property damage valuation)</t>
  </si>
  <si>
    <t>GCM Ensemble</t>
  </si>
  <si>
    <t>WindDamage</t>
  </si>
  <si>
    <t>MRI-CGCM3</t>
  </si>
  <si>
    <t>MRI-CGCM31</t>
  </si>
  <si>
    <t>MRI-CGCM32</t>
  </si>
  <si>
    <t>MRI-CGCM33</t>
  </si>
  <si>
    <t>MRI-CGCM34</t>
  </si>
  <si>
    <t>MRI-CGCM35</t>
  </si>
  <si>
    <t>MRI-CGM3</t>
  </si>
  <si>
    <t>MRI-CGM36</t>
  </si>
  <si>
    <t>MRI-CGM37</t>
  </si>
  <si>
    <t>Wind Damage</t>
  </si>
  <si>
    <t>Cost of wind damage</t>
  </si>
  <si>
    <t>Default socioeconomic scenario</t>
  </si>
  <si>
    <t>Sectors Info</t>
  </si>
  <si>
    <t>adapt_id</t>
  </si>
  <si>
    <t>adapt_label</t>
  </si>
  <si>
    <t>NCPM costs with GDP/capita property adjustment, dated 09 2018. 11-year moving average, with using financial smoothing technique. Costs are $2015 dollars / year. Costs include abandonment, storm surge damage, nourishment, armor, and elevate .</t>
  </si>
  <si>
    <t>High Tide Flooding and Traffic with GDP and population growth, dated 04 2020. 11-year moving average for temp binning. Costs are $2015 dollars / year.</t>
  </si>
  <si>
    <t>Adaptations Info</t>
  </si>
  <si>
    <t>0_cm</t>
  </si>
  <si>
    <t>30_cm</t>
  </si>
  <si>
    <t>50_cm</t>
  </si>
  <si>
    <t>100_cm</t>
  </si>
  <si>
    <t>150_cm</t>
  </si>
  <si>
    <t>200_cm</t>
  </si>
  <si>
    <t>250_cm</t>
  </si>
  <si>
    <t>Midwest_30</t>
  </si>
  <si>
    <t>Midwest_50</t>
  </si>
  <si>
    <t>Midwest_100</t>
  </si>
  <si>
    <t>Midwest_150</t>
  </si>
  <si>
    <t>Midwest_200</t>
  </si>
  <si>
    <t>Midwest_250</t>
  </si>
  <si>
    <t>Northeast_30</t>
  </si>
  <si>
    <t>Northeast_50</t>
  </si>
  <si>
    <t>Northeast_100</t>
  </si>
  <si>
    <t>Northeast_150</t>
  </si>
  <si>
    <t>Northeast_200</t>
  </si>
  <si>
    <t>Northeast_250</t>
  </si>
  <si>
    <t>Northern Plains_30</t>
  </si>
  <si>
    <t>Northern Plains_50</t>
  </si>
  <si>
    <t>Northern Plains_100</t>
  </si>
  <si>
    <t>Northern Plains_150</t>
  </si>
  <si>
    <t>Northern Plains_200</t>
  </si>
  <si>
    <t>Northern Plains_250</t>
  </si>
  <si>
    <t>Northwest_30</t>
  </si>
  <si>
    <t>Northwest_50</t>
  </si>
  <si>
    <t>Northwest_100</t>
  </si>
  <si>
    <t>Northwest_150</t>
  </si>
  <si>
    <t>Northwest_200</t>
  </si>
  <si>
    <t>Northwest_250</t>
  </si>
  <si>
    <t>Southeast_30</t>
  </si>
  <si>
    <t>Southeast_50</t>
  </si>
  <si>
    <t>Southeast_100</t>
  </si>
  <si>
    <t>Southeast_150</t>
  </si>
  <si>
    <t>Southeast_200</t>
  </si>
  <si>
    <t>Southeast_250</t>
  </si>
  <si>
    <t>Southern Plains_30</t>
  </si>
  <si>
    <t>Southern Plains_50</t>
  </si>
  <si>
    <t>Southern Plains_100</t>
  </si>
  <si>
    <t>Southern Plains_150</t>
  </si>
  <si>
    <t>Southern Plains_200</t>
  </si>
  <si>
    <t>Southern Plains_250</t>
  </si>
  <si>
    <t>Southwest_30</t>
  </si>
  <si>
    <t>Southwest_50</t>
  </si>
  <si>
    <t>Southwest_100</t>
  </si>
  <si>
    <t>Southwest_150</t>
  </si>
  <si>
    <t>Southwest_200</t>
  </si>
  <si>
    <t>Southwest_250</t>
  </si>
  <si>
    <t>temp_C_global</t>
  </si>
  <si>
    <t>co_defaultTemps</t>
  </si>
  <si>
    <t>slrImpacts</t>
  </si>
  <si>
    <t>CILExtremeTemp</t>
  </si>
  <si>
    <t>CIL Extreme Temperature</t>
  </si>
  <si>
    <t>Scalar Information</t>
  </si>
  <si>
    <t>Marine Fisheries</t>
  </si>
  <si>
    <t>Decrease in revenue</t>
  </si>
  <si>
    <t>Without CO2 Fertilization</t>
  </si>
  <si>
    <t>With CO2 Fertilization</t>
  </si>
  <si>
    <t>Cotton</t>
  </si>
  <si>
    <t>Maize</t>
  </si>
  <si>
    <t>Soybean</t>
  </si>
  <si>
    <t>Wheat</t>
  </si>
  <si>
    <t>Lost Production Value</t>
  </si>
  <si>
    <t>CanESM21AsthmaER</t>
  </si>
  <si>
    <t>CCSM41AsthmaER</t>
  </si>
  <si>
    <t>GISS-E2-R1AsthmaER</t>
  </si>
  <si>
    <t>HadGEM2-ES1AsthmaER</t>
  </si>
  <si>
    <t>MIROC51AsthmaER</t>
  </si>
  <si>
    <t>GFDL-CM31AsthmaER</t>
  </si>
  <si>
    <t>GCM Average1AsthmaER</t>
  </si>
  <si>
    <t>CanESM22AsthmaER</t>
  </si>
  <si>
    <t>CCSM42AsthmaER</t>
  </si>
  <si>
    <t>GISS-E2-R2AsthmaER</t>
  </si>
  <si>
    <t>HadGEM2-ES2AsthmaER</t>
  </si>
  <si>
    <t>MIROC52AsthmaER</t>
  </si>
  <si>
    <t>GFDL-CM32AsthmaER</t>
  </si>
  <si>
    <t>GCM Average2AsthmaER</t>
  </si>
  <si>
    <t>CanESM23AsthmaER</t>
  </si>
  <si>
    <t>CCSM43AsthmaER</t>
  </si>
  <si>
    <t>GISS-E2-R3AsthmaER</t>
  </si>
  <si>
    <t>HadGEM2-ES3AsthmaER</t>
  </si>
  <si>
    <t>MIROC53AsthmaER</t>
  </si>
  <si>
    <t>GFDL-CM33AsthmaER</t>
  </si>
  <si>
    <t>GCM Average3AsthmaER</t>
  </si>
  <si>
    <t>CanESM24AsthmaER</t>
  </si>
  <si>
    <t>CCSM44AsthmaER</t>
  </si>
  <si>
    <t>GISS-E2-R4AsthmaER</t>
  </si>
  <si>
    <t>HadGEM2-ES4AsthmaER</t>
  </si>
  <si>
    <t>MIROC54AsthmaER</t>
  </si>
  <si>
    <t>GFDL-CM34AsthmaER</t>
  </si>
  <si>
    <t>GCM Average4AsthmaER</t>
  </si>
  <si>
    <t>CanESM25AsthmaER</t>
  </si>
  <si>
    <t>CCSM45AsthmaER</t>
  </si>
  <si>
    <t>GISS-E2-R5AsthmaER</t>
  </si>
  <si>
    <t>HadGEM2-ES5AsthmaER</t>
  </si>
  <si>
    <t>MIROC55AsthmaER</t>
  </si>
  <si>
    <t>GFDL-CM35AsthmaER</t>
  </si>
  <si>
    <t>GCM Average5AsthmaER</t>
  </si>
  <si>
    <t>CanESM26AsthmaER</t>
  </si>
  <si>
    <t>CCSM46AsthmaER</t>
  </si>
  <si>
    <t>GISS-E2-R6AsthmaER</t>
  </si>
  <si>
    <t>HadGEM2-ES6AsthmaER</t>
  </si>
  <si>
    <t>MIROC56AsthmaER</t>
  </si>
  <si>
    <t>GFDL-CM36AsthmaER</t>
  </si>
  <si>
    <t>GCM Average6AsthmaER</t>
  </si>
  <si>
    <t>CanESM27AsthmaER</t>
  </si>
  <si>
    <t>CCSM47AsthmaER</t>
  </si>
  <si>
    <t>GISS-E2-R7AsthmaER</t>
  </si>
  <si>
    <t>HadGEM2-ES7AsthmaER</t>
  </si>
  <si>
    <t>MIROC57AsthmaER</t>
  </si>
  <si>
    <t>GFDL-CM37AsthmaER</t>
  </si>
  <si>
    <t>GCM Average7AsthmaER</t>
  </si>
  <si>
    <t>withCO2</t>
  </si>
  <si>
    <t>withoutCO2</t>
  </si>
  <si>
    <t>"impactType_id" should have no spaces</t>
  </si>
  <si>
    <t>Property</t>
  </si>
  <si>
    <t>Violent</t>
  </si>
  <si>
    <t>property_crime_costs_usd</t>
  </si>
  <si>
    <t>Property Crime Costs</t>
  </si>
  <si>
    <t>violent_crime_costs_usd</t>
  </si>
  <si>
    <t>Violent Crime Costs</t>
  </si>
  <si>
    <t>CILAgriculture</t>
  </si>
  <si>
    <t>CILCrime</t>
  </si>
  <si>
    <t>CIL Agriculture</t>
  </si>
  <si>
    <t>CIL Crime</t>
  </si>
  <si>
    <t>Cost of crime</t>
  </si>
  <si>
    <t>Crimes</t>
  </si>
  <si>
    <t>co_variants</t>
  </si>
  <si>
    <t>Table with variant information</t>
  </si>
  <si>
    <t>Table of sector names and labels. Added variants impact years, and impact types list (columns 7-9), which the R Tool filters out.</t>
  </si>
  <si>
    <t>Variants Table</t>
  </si>
  <si>
    <t>If the sector only has one variant, "variant_id_excel" should be "N/A"</t>
  </si>
  <si>
    <t>When adding a new sector, check that "variant_id_excel" matches the value in the associated scaled impacts table ("scaledImpacts" or "slrImpacts").</t>
  </si>
  <si>
    <t>"variant_id" should have no spaces</t>
  </si>
  <si>
    <t>variant_label</t>
  </si>
  <si>
    <t>variant_id</t>
  </si>
  <si>
    <t>variant_id_excel</t>
  </si>
  <si>
    <t>variants</t>
  </si>
  <si>
    <t>Number of variants</t>
  </si>
  <si>
    <t>variant</t>
  </si>
  <si>
    <t>ATSExtremeTemp</t>
  </si>
  <si>
    <t>mean</t>
  </si>
  <si>
    <t>GCMAverage</t>
  </si>
  <si>
    <t>GCMAverage1</t>
  </si>
  <si>
    <t>GCMAverage2</t>
  </si>
  <si>
    <t>GCMAverage3</t>
  </si>
  <si>
    <t>GCMAverage4</t>
  </si>
  <si>
    <t>GCMAverage5</t>
  </si>
  <si>
    <t>GCMAverage6</t>
  </si>
  <si>
    <t>low CI</t>
  </si>
  <si>
    <t>high CI</t>
  </si>
  <si>
    <t>Mean</t>
  </si>
  <si>
    <t>Low Confidence Interval</t>
  </si>
  <si>
    <t>High Confidence Interval</t>
  </si>
  <si>
    <t>subImpacts</t>
  </si>
  <si>
    <t>ATS Extreme Temperature</t>
  </si>
  <si>
    <t>median</t>
  </si>
  <si>
    <t>Median</t>
  </si>
  <si>
    <t>Net mortality (heat and cold)</t>
  </si>
  <si>
    <t>low_CI</t>
  </si>
  <si>
    <t>high_CI</t>
  </si>
  <si>
    <t>Changes if new sector added</t>
  </si>
  <si>
    <t>New sector changes</t>
  </si>
  <si>
    <t>Yes</t>
  </si>
  <si>
    <t>New rows for each new sector</t>
  </si>
  <si>
    <t>Maybe</t>
  </si>
  <si>
    <t>New rows if a new sector uses a new type of scalar. Can check if the new `co_impactTypes` has any scalars that aren't in the reference `co_scalarInfo` and, if so, we expect the new `scalarDataframe` to have new rows. Each new scalar will have at least one new row. Minimum number of new rows depends on the attributes of the scalar (e.g., whether national or regional, etc.)</t>
  </si>
  <si>
    <t>New rows associated with the new sector if a sector is temperature-driven. Can check info from `co_sectors` to see if sector is temperature-driven (in which case, scaled impacts added to `data_scaledImpacts`) or SLR-driven (in which case, scaled impacts added to `slrImpacts`). Number of new rows will equal: Number of variants * Number of impact types * Number of impact years * Number of GCM models * Number of degrees (6)</t>
  </si>
  <si>
    <t>No</t>
  </si>
  <si>
    <t>No changes expected for a new sector</t>
  </si>
  <si>
    <t>New rows for each new sector for each variant type (a sector without a named variant will still add a new row in this table)</t>
  </si>
  <si>
    <t>New rows for each new sector (a sector without specific impact years will still add a new row in this table)</t>
  </si>
  <si>
    <t>New rows for each new sector, impact type, and variant (a sector without specific impact years will still add least one new row in this table)</t>
  </si>
  <si>
    <t>New rows if a new sector uses a new type of scalar. Can check if the new `co_impactTypes` has any scalars that aren't in the reference `co_scalarInfo` and, if so, we expect the new `co_scalarInfo` to have new rows (number of new rows = number of new scalars).</t>
  </si>
  <si>
    <t>Sometimes new sectors have new models. We could specific the new model(s) at the time we run the "new sector" test</t>
  </si>
  <si>
    <t>In theory, yes, but generally, no. We haven't added a new econMultiplier in ages. So let's assume it is no for the purposes of developing the test and revisit this if there is a special case</t>
  </si>
  <si>
    <t>GCM or SLR. That's it. Other changes would not be a "new sector" test…it would be a much larger model update.</t>
  </si>
  <si>
    <t>Only updates if there is an update to the SLR method</t>
  </si>
  <si>
    <t>New rows associated with the new sector if a sector is SLR-driven. Can check info from `co_sectors` to see if sector is temperature-driven (in which case, scaled impacts added to `data_scaledImpacts`) or SLR-driven (in which case, scaled impacts added to `slrImpacts`). Number of new rows will equal: Number of variants * Number of impact types * Number of impact years * Number of GCM models * Number of degrees (6)</t>
  </si>
  <si>
    <t>co_sectorsRef</t>
  </si>
  <si>
    <t>Reference info about sectors. Will have new rows for the new sector</t>
  </si>
  <si>
    <t>co_impactYearLevels</t>
  </si>
  <si>
    <t xml:space="preserve">In theory, yes, but generally, no. We haven't added a new impact year in ages. So let's assume it is no for the purposes of developing the test and revisit this if there is a special case. </t>
  </si>
  <si>
    <t>df_sectorsInfo</t>
  </si>
  <si>
    <t>Info about sectors, reshaped</t>
  </si>
  <si>
    <t>slrExtremes</t>
  </si>
  <si>
    <t>gdp_default</t>
  </si>
  <si>
    <t>pop_default</t>
  </si>
  <si>
    <t>national_pop_default</t>
  </si>
  <si>
    <t>df_mainScalars</t>
  </si>
  <si>
    <t>Only if new scalars are added. See checks for other scalar data frames (e.g., `co_scalarInfo`). Can check if the new `co_impactTypes` has any scalars that aren't in the reference `co_scalarInfo` and, if so, we expect the new `scalarDataframe` to have new rows. Each new scalar will have at least one new row. Minimum number of new rows depends on the attributes of the scalar (e.g., whether national or regional, etc.)</t>
  </si>
  <si>
    <t>df_results0</t>
  </si>
  <si>
    <t>New rows for each new sector, impact type,  variant, region, GCM model (including new models),  etc. Will also add rows for any new GCM model for all other combinations</t>
  </si>
  <si>
    <t>testDev</t>
  </si>
  <si>
    <t>Table with information about tests</t>
  </si>
  <si>
    <t>Table with heights in cm of SLR scenarios</t>
  </si>
  <si>
    <t>Table with SLR scaled impacts</t>
  </si>
  <si>
    <t>Table with default temperatures</t>
  </si>
  <si>
    <t>Vibrio</t>
  </si>
  <si>
    <t>Direct Medical Cost</t>
  </si>
  <si>
    <t>Lost Days</t>
  </si>
  <si>
    <t>DirectMedCost</t>
  </si>
  <si>
    <t>LostDays</t>
  </si>
  <si>
    <t xml:space="preserve"> </t>
  </si>
  <si>
    <t>MentalHealth</t>
  </si>
  <si>
    <t>Mental Health</t>
  </si>
  <si>
    <t>Mortality from suicide</t>
  </si>
  <si>
    <t>MH_popDemoAdj</t>
  </si>
  <si>
    <t>MH Demographic Proportion Adjustment Factor</t>
  </si>
  <si>
    <t>MH_popSliceAdj</t>
  </si>
  <si>
    <t>MH 5+ Population Proportion Adjustment Factor</t>
  </si>
  <si>
    <t>No Additional Adaptation</t>
  </si>
  <si>
    <t>States</t>
  </si>
  <si>
    <t>state</t>
  </si>
  <si>
    <t>postal</t>
  </si>
  <si>
    <t>fips</t>
  </si>
  <si>
    <t>Alabama</t>
  </si>
  <si>
    <t>AL</t>
  </si>
  <si>
    <t>Arizona</t>
  </si>
  <si>
    <t>AZ</t>
  </si>
  <si>
    <t>Arkansas</t>
  </si>
  <si>
    <t>AR</t>
  </si>
  <si>
    <t>California</t>
  </si>
  <si>
    <t>CA</t>
  </si>
  <si>
    <t>Colorado</t>
  </si>
  <si>
    <t>CO</t>
  </si>
  <si>
    <t>Connecticut</t>
  </si>
  <si>
    <t>CT</t>
  </si>
  <si>
    <t>Delaware</t>
  </si>
  <si>
    <t>DE</t>
  </si>
  <si>
    <t>District of Columbia</t>
  </si>
  <si>
    <t>DC</t>
  </si>
  <si>
    <t>Florida</t>
  </si>
  <si>
    <t>FL</t>
  </si>
  <si>
    <t>Georgia</t>
  </si>
  <si>
    <t>GA</t>
  </si>
  <si>
    <t>Idaho</t>
  </si>
  <si>
    <t>Illinois</t>
  </si>
  <si>
    <t>IL</t>
  </si>
  <si>
    <t>Indiana</t>
  </si>
  <si>
    <t>IN</t>
  </si>
  <si>
    <t>Iowa</t>
  </si>
  <si>
    <t>IA</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</si>
  <si>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</si>
  <si>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</si>
  <si>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</si>
  <si>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</si>
  <si>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</si>
  <si>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</si>
  <si>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</si>
  <si>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</si>
  <si>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</si>
  <si>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</si>
  <si>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</si>
  <si>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</si>
  <si>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</si>
  <si>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</si>
  <si>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</si>
  <si>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</si>
  <si>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</si>
  <si>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</si>
  <si>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</si>
  <si>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</si>
  <si>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</si>
  <si>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</si>
  <si>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</si>
  <si>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</si>
  <si>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</si>
  <si>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</si>
  <si>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</si>
  <si>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</si>
  <si>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</si>
  <si>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</si>
  <si>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</si>
  <si>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</si>
  <si>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</si>
  <si>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</si>
  <si>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</si>
  <si>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</si>
  <si>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</si>
  <si>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</si>
  <si>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</si>
  <si>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</si>
  <si>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</si>
  <si>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</si>
  <si>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</si>
  <si>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</si>
  <si>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</si>
  <si>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</si>
  <si>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</si>
  <si>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</si>
  <si>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</si>
  <si>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</si>
  <si>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</si>
  <si>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</si>
  <si>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</si>
  <si>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</si>
  <si>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</si>
  <si>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</si>
  <si>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</si>
  <si>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</si>
  <si>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</si>
  <si>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</si>
  <si>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</si>
  <si>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</si>
  <si>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</si>
  <si>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</si>
  <si>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</si>
  <si>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</si>
  <si>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</si>
  <si>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</si>
  <si>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</si>
  <si>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</si>
  <si>
    <t>List of states</t>
  </si>
  <si>
    <t>co_states</t>
  </si>
  <si>
    <t>Table with information about states</t>
  </si>
  <si>
    <t>byState</t>
  </si>
  <si>
    <t>maxUnitValue</t>
  </si>
  <si>
    <t>SLR Scalars</t>
  </si>
  <si>
    <t>Scalars for SLR sectors past 2090</t>
  </si>
  <si>
    <t>c2</t>
  </si>
  <si>
    <t>refYear</t>
  </si>
  <si>
    <t>Info on SLR scalars past 2090</t>
  </si>
  <si>
    <t>co_slrScalars</t>
  </si>
  <si>
    <t>Table with info about SLR scalars past 2090</t>
  </si>
  <si>
    <t>road_miles_and_pop_proactive</t>
  </si>
  <si>
    <t>Road Miles and Population Adjustment Factor (Proactive Adaptation)</t>
  </si>
  <si>
    <t>For the proactive adaptation</t>
  </si>
  <si>
    <t>road_miles_and_pop_other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</si>
</sst>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0.00_);_(* \(#,##0.00\);_(* &quot;-&quot;??_);_(@_)"/>
    <numFmt numFmtId="164" formatCode="_(* #,##0_);_(* \(#,##0\);_(* &quot;-&quot;??_);_(@_)"/>
    <numFmt numFmtId="165" formatCode="0.0000000000000000"/>
    <numFmt numFmtId="166" formatCode="0.0000"/>
  </numFmts>
  <fonts count="43" x14ac:knownFonts="1">
    <font>
      <sz val="11"/>
      <color theme="1"/>
      <name val="Calibri"/>
      <family val="2"/>
      <scheme val="minor"/>
    </font>
    <font>
      <b/>
      <sz val="11"/>
      <color theme="1"/>
      <name val="Calibri"/>
      <family val="2"/>
      <scheme val="minor"/>
    </font>
    <font>
      <b/>
      <i/>
      <sz val="11"/>
      <color theme="1"/>
      <name val="Calibri"/>
      <family val="2"/>
      <scheme val="minor"/>
    </font>
    <font>
      <sz val="11"/>
      <color theme="1"/>
      <name val="Calibri"/>
      <family val="2"/>
      <scheme val="minor"/>
    </font>
    <font>
      <i/>
      <sz val="8"/>
      <color theme="1" tint="0.499984740745262"/>
      <name val="Calibri"/>
      <family val="2"/>
      <scheme val="minor"/>
    </font>
    <font>
      <sz val="11"/>
      <color theme="0"/>
      <name val="Calibri"/>
      <family val="2"/>
      <scheme val="minor"/>
    </font>
    <font>
      <sz val="17"/>
      <color theme="0"/>
      <name val="Calibri"/>
      <family val="2"/>
      <scheme val="minor"/>
    </font>
    <font>
      <sz val="11"/>
      <color rgb="FF0B744D"/>
      <name val="Calibri"/>
      <family val="2"/>
      <scheme val="minor"/>
    </font>
    <font>
      <sz val="72"/>
      <color theme="0"/>
      <name val="Calibri Light"/>
      <family val="2"/>
      <scheme val="major"/>
    </font>
    <font>
      <sz val="11"/>
      <color theme="1"/>
      <name val="Calibri"/>
      <family val="2"/>
    </font>
    <font>
      <sz val="8"/>
      <name val="Calibri"/>
      <family val="2"/>
      <scheme val="minor"/>
    </font>
    <font>
      <b/>
      <sz val="9"/>
      <color theme="0"/>
      <name val="Arial"/>
      <family val="2"/>
    </font>
    <font>
      <sz val="10"/>
      <color theme="1"/>
      <name val="Calibri"/>
      <family val="2"/>
      <scheme val="minor"/>
    </font>
    <font>
      <b/>
      <sz val="10"/>
      <color theme="1"/>
      <name val="Calibri"/>
      <family val="2"/>
      <scheme val="minor"/>
    </font>
    <font>
      <sz val="10"/>
      <color indexed="8"/>
      <name val="Calibri"/>
      <family val="2"/>
    </font>
    <font>
      <b/>
      <sz val="10"/>
      <color theme="0"/>
      <name val="Calibri"/>
      <family val="2"/>
    </font>
    <font>
      <sz val="10"/>
      <color theme="0"/>
      <name val="Calibri"/>
      <family val="2"/>
    </font>
    <font>
      <sz val="9"/>
      <color theme="1"/>
      <name val="Calibri"/>
      <family val="2"/>
      <scheme val="minor"/>
    </font>
    <font>
      <sz val="9"/>
      <name val="Calibri"/>
      <family val="2"/>
      <scheme val="minor"/>
    </font>
    <font>
      <sz val="9"/>
      <color theme="1"/>
      <name val="Calibri"/>
      <family val="2"/>
    </font>
    <font>
      <b/>
      <sz val="11"/>
      <color theme="0"/>
      <name val="Calibri"/>
      <family val="2"/>
      <scheme val="minor"/>
    </font>
    <font>
      <sz val="9"/>
      <color theme="0"/>
      <name val="Calibri"/>
      <family val="2"/>
      <scheme val="minor"/>
    </font>
    <font>
      <sz val="8"/>
      <color theme="1"/>
      <name val="Calibri"/>
      <family val="2"/>
      <scheme val="minor"/>
    </font>
    <font>
      <sz val="8"/>
      <color theme="1"/>
      <name val="Calibri"/>
      <family val="2"/>
    </font>
    <font>
      <b/>
      <u/>
      <sz val="10"/>
      <color theme="4" tint="-0.499984740745262"/>
      <name val="Calibri"/>
      <family val="2"/>
      <scheme val="minor"/>
    </font>
    <font>
      <sz val="8"/>
      <color indexed="8"/>
      <name val="Calibri"/>
      <family val="2"/>
    </font>
    <font>
      <sz val="11"/>
      <color rgb="FFFF0000"/>
      <name val="Calibri"/>
      <family val="2"/>
      <scheme val="minor"/>
    </font>
    <font>
      <sz val="1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i/>
      <sz val="11"/>
      <color rgb="FF7F7F7F"/>
      <name val="Calibri"/>
      <family val="2"/>
      <scheme val="minor"/>
    </font>
    <font>
      <sz val="10"/>
      <name val="Arial"/>
      <family val="2"/>
    </font>
    <font>
      <sz val="11"/>
      <color indexed="8"/>
      <name val="Calibri"/>
      <family val="2"/>
      <scheme val="minor"/>
    </font>
    <font>
      <sz val="11"/>
      <color rgb="FF000000"/>
      <name val="Calibri"/>
      <family val="2"/>
      <scheme val="minor"/>
    </font>
  </fonts>
  <fills count="4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217346"/>
        <bgColor indexed="64"/>
      </patternFill>
    </fill>
    <fill>
      <patternFill patternType="solid">
        <fgColor rgb="FFFFFF99"/>
        <bgColor indexed="64"/>
      </patternFill>
    </fill>
    <fill>
      <patternFill patternType="solid">
        <fgColor rgb="FF339966"/>
        <bgColor indexed="64"/>
      </patternFill>
    </fill>
    <fill>
      <patternFill patternType="solid">
        <fgColor theme="8" tint="0.79998168889431442"/>
        <bgColor indexed="64"/>
      </patternFill>
    </fill>
    <fill>
      <patternFill patternType="solid">
        <fgColor theme="2"/>
        <bgColor indexed="64"/>
      </patternFill>
    </fill>
    <fill>
      <patternFill patternType="solid">
        <fgColor theme="2" tint="-0.249977111117893"/>
        <bgColor indexed="64"/>
      </patternFill>
    </fill>
    <fill>
      <patternFill patternType="solid">
        <fgColor rgb="FF002060"/>
        <bgColor indexed="64"/>
      </patternFill>
    </fill>
    <fill>
      <patternFill patternType="solid">
        <fgColor theme="4" tint="-0.249977111117893"/>
        <bgColor indexed="64"/>
      </patternFill>
    </fill>
    <fill>
      <patternFill patternType="solid">
        <fgColor theme="3" tint="0.79998168889431442"/>
        <bgColor indexed="64"/>
      </patternFill>
    </fill>
    <fill>
      <patternFill patternType="solid">
        <fgColor theme="3"/>
        <bgColor indexed="64"/>
      </patternFill>
    </fill>
    <fill>
      <patternFill patternType="solid">
        <fgColor theme="3" tint="0.39997558519241921"/>
        <bgColor indexed="64"/>
      </patternFill>
    </fill>
    <fill>
      <patternFill patternType="solid">
        <fgColor theme="9" tint="0.59999389629810485"/>
        <bgColor indexed="64"/>
      </patternFill>
    </fill>
    <fill>
      <patternFill patternType="solid">
        <fgColor rgb="FFFFFFFF"/>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C000"/>
        <bgColor indexed="64"/>
      </patternFill>
    </fill>
  </fills>
  <borders count="24">
    <border>
      <left/>
      <right/>
      <top/>
      <bottom/>
      <diagonal/>
    </border>
    <border>
      <left style="thin">
        <color auto="1"/>
      </left>
      <right style="thin">
        <color auto="1"/>
      </right>
      <top style="thin">
        <color theme="0" tint="-0.499984740745262"/>
      </top>
      <bottom style="thin">
        <color theme="0" tint="-0.499984740745262"/>
      </bottom>
      <diagonal/>
    </border>
    <border>
      <left/>
      <right/>
      <top style="medium">
        <color auto="1"/>
      </top>
      <bottom/>
      <diagonal/>
    </border>
    <border>
      <left style="thin">
        <color rgb="FFB2B2B2"/>
      </left>
      <right style="thin">
        <color rgb="FFB2B2B2"/>
      </right>
      <top style="thin">
        <color rgb="FFB2B2B2"/>
      </top>
      <bottom style="thin">
        <color rgb="FFB2B2B2"/>
      </bottom>
      <diagonal/>
    </border>
    <border>
      <left style="thick">
        <color rgb="FFF4B183"/>
      </left>
      <right style="thick">
        <color rgb="FFF4B183"/>
      </right>
      <top style="thick">
        <color rgb="FFF4B183"/>
      </top>
      <bottom style="thick">
        <color rgb="FFF4B183"/>
      </bottom>
      <diagonal/>
    </border>
    <border>
      <left style="thin">
        <color theme="1" tint="0.499984740745262"/>
      </left>
      <right style="thin">
        <color theme="1" tint="0.499984740745262"/>
      </right>
      <top style="thin">
        <color theme="1" tint="0.499984740745262"/>
      </top>
      <bottom style="thin">
        <color theme="1" tint="0.499984740745262"/>
      </bottom>
      <diagonal/>
    </border>
    <border>
      <left/>
      <right style="thin">
        <color theme="1" tint="0.499984740745262"/>
      </right>
      <top/>
      <bottom style="thin">
        <color theme="1" tint="0.499984740745262"/>
      </bottom>
      <diagonal/>
    </border>
    <border>
      <left style="thin">
        <color theme="1" tint="0.499984740745262"/>
      </left>
      <right style="thin">
        <color theme="1" tint="0.499984740745262"/>
      </right>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auto="1"/>
      </left>
      <right style="thin">
        <color auto="1"/>
      </right>
      <top style="thin">
        <color theme="0" tint="-0.499984740745262"/>
      </top>
      <bottom/>
      <diagonal/>
    </border>
    <border>
      <left style="thin">
        <color theme="1" tint="0.499984740745262"/>
      </left>
      <right/>
      <top style="thin">
        <color theme="1" tint="0.499984740745262"/>
      </top>
      <bottom/>
      <diagonal/>
    </border>
    <border>
      <left style="thin">
        <color indexed="64"/>
      </left>
      <right style="thin">
        <color indexed="64"/>
      </right>
      <top style="thin">
        <color indexed="64"/>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auto="1"/>
      </right>
      <top style="thin">
        <color theme="0" tint="-0.499984740745262"/>
      </top>
      <bottom style="thin">
        <color theme="0" tint="-0.499984740745262"/>
      </bottom>
      <diagonal/>
    </border>
    <border>
      <left/>
      <right style="thin">
        <color auto="1"/>
      </right>
      <top style="thin">
        <color theme="0" tint="-0.499984740745262"/>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s>
  <cellStyleXfs count="64">
    <xf numFmtId="0" fontId="0" fillId="0" borderId="0"/>
    <xf numFmtId="0" fontId="3" fillId="0" borderId="0"/>
    <xf numFmtId="43" fontId="3" fillId="0" borderId="0" applyFont="0" applyFill="0" applyBorder="0" applyAlignment="0" applyProtection="0"/>
    <xf numFmtId="0" fontId="6" fillId="4" borderId="0" applyNumberFormat="0" applyProtection="0">
      <alignment horizontal="left" wrapText="1" indent="4"/>
    </xf>
    <xf numFmtId="0" fontId="7" fillId="4" borderId="0" applyNumberFormat="0" applyProtection="0">
      <alignment horizontal="left" wrapText="1" indent="4"/>
    </xf>
    <xf numFmtId="0" fontId="8" fillId="4" borderId="0" applyNumberFormat="0" applyBorder="0" applyProtection="0">
      <alignment horizontal="left" indent="1"/>
    </xf>
    <xf numFmtId="0" fontId="9" fillId="0" borderId="0"/>
    <xf numFmtId="0" fontId="3" fillId="5" borderId="3"/>
    <xf numFmtId="0" fontId="3" fillId="2" borderId="0"/>
    <xf numFmtId="0" fontId="5" fillId="6" borderId="0" applyNumberFormat="0" applyBorder="0" applyProtection="0"/>
    <xf numFmtId="0" fontId="3" fillId="2" borderId="4"/>
    <xf numFmtId="0" fontId="3" fillId="0" borderId="0"/>
    <xf numFmtId="0" fontId="5" fillId="0" borderId="0"/>
    <xf numFmtId="0" fontId="3" fillId="0" borderId="0"/>
    <xf numFmtId="0" fontId="24" fillId="0" borderId="0" applyNumberForma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xf numFmtId="0" fontId="29" fillId="0" borderId="16" applyNumberFormat="0" applyFill="0" applyAlignment="0" applyProtection="0"/>
    <xf numFmtId="0" fontId="30" fillId="0" borderId="17" applyNumberFormat="0" applyFill="0" applyAlignment="0" applyProtection="0"/>
    <xf numFmtId="0" fontId="31" fillId="0" borderId="18" applyNumberFormat="0" applyFill="0" applyAlignment="0" applyProtection="0"/>
    <xf numFmtId="0" fontId="31" fillId="0" borderId="0" applyNumberFormat="0" applyFill="0" applyBorder="0" applyAlignment="0" applyProtection="0"/>
    <xf numFmtId="0" fontId="32" fillId="17" borderId="0" applyNumberFormat="0" applyBorder="0" applyAlignment="0" applyProtection="0"/>
    <xf numFmtId="0" fontId="33" fillId="18" borderId="0" applyNumberFormat="0" applyBorder="0" applyAlignment="0" applyProtection="0"/>
    <xf numFmtId="0" fontId="34" fillId="19" borderId="0" applyNumberFormat="0" applyBorder="0" applyAlignment="0" applyProtection="0"/>
    <xf numFmtId="0" fontId="35" fillId="20" borderId="19" applyNumberFormat="0" applyAlignment="0" applyProtection="0"/>
    <xf numFmtId="0" fontId="36" fillId="21" borderId="20" applyNumberFormat="0" applyAlignment="0" applyProtection="0"/>
    <xf numFmtId="0" fontId="37" fillId="21" borderId="19" applyNumberFormat="0" applyAlignment="0" applyProtection="0"/>
    <xf numFmtId="0" fontId="38" fillId="0" borderId="21" applyNumberFormat="0" applyFill="0" applyAlignment="0" applyProtection="0"/>
    <xf numFmtId="0" fontId="20" fillId="22" borderId="22" applyNumberFormat="0" applyAlignment="0" applyProtection="0"/>
    <xf numFmtId="0" fontId="26" fillId="0" borderId="0" applyNumberFormat="0" applyFill="0" applyBorder="0" applyAlignment="0" applyProtection="0"/>
    <xf numFmtId="0" fontId="3" fillId="23" borderId="3" applyNumberFormat="0" applyFont="0" applyAlignment="0" applyProtection="0"/>
    <xf numFmtId="0" fontId="39" fillId="0" borderId="0" applyNumberFormat="0" applyFill="0" applyBorder="0" applyAlignment="0" applyProtection="0"/>
    <xf numFmtId="0" fontId="1" fillId="0" borderId="23" applyNumberFormat="0" applyFill="0" applyAlignment="0" applyProtection="0"/>
    <xf numFmtId="0" fontId="5"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5"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5"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5" borderId="0" applyNumberFormat="0" applyBorder="0" applyAlignment="0" applyProtection="0"/>
    <xf numFmtId="0" fontId="5"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39" borderId="0" applyNumberFormat="0" applyBorder="0" applyAlignment="0" applyProtection="0"/>
    <xf numFmtId="0" fontId="5" fillId="40" borderId="0" applyNumberFormat="0" applyBorder="0" applyAlignment="0" applyProtection="0"/>
    <xf numFmtId="0" fontId="3" fillId="41" borderId="0" applyNumberFormat="0" applyBorder="0" applyAlignment="0" applyProtection="0"/>
    <xf numFmtId="0" fontId="3" fillId="42" borderId="0" applyNumberFormat="0" applyBorder="0" applyAlignment="0" applyProtection="0"/>
    <xf numFmtId="0" fontId="3" fillId="43" borderId="0" applyNumberFormat="0" applyBorder="0" applyAlignment="0" applyProtection="0"/>
    <xf numFmtId="0" fontId="5" fillId="44" borderId="0" applyNumberFormat="0" applyBorder="0" applyAlignment="0" applyProtection="0"/>
    <xf numFmtId="0" fontId="3" fillId="45" borderId="0" applyNumberFormat="0" applyBorder="0" applyAlignment="0" applyProtection="0"/>
    <xf numFmtId="0" fontId="3" fillId="46" borderId="0" applyNumberFormat="0" applyBorder="0" applyAlignment="0" applyProtection="0"/>
    <xf numFmtId="0" fontId="3" fillId="47" borderId="0" applyNumberFormat="0" applyBorder="0" applyAlignment="0" applyProtection="0"/>
    <xf numFmtId="0" fontId="40" fillId="0" borderId="0"/>
    <xf numFmtId="0" fontId="40" fillId="0" borderId="0"/>
    <xf numFmtId="0" fontId="41" fillId="0" borderId="0"/>
    <xf numFmtId="0" fontId="3" fillId="0" borderId="0"/>
    <xf numFmtId="0" fontId="9" fillId="0" borderId="0"/>
    <xf numFmtId="0" fontId="24" fillId="0" borderId="0" applyNumberFormat="0" applyFill="0" applyBorder="0" applyAlignment="0" applyProtection="0"/>
    <xf numFmtId="0" fontId="42" fillId="0" borderId="0"/>
  </cellStyleXfs>
  <cellXfs count="141">
    <xf numFmtId="0" fontId="0" fillId="0" borderId="0" xfId="0"/>
    <xf numFmtId="0" fontId="0" fillId="3" borderId="0" xfId="0" applyFill="1"/>
    <xf numFmtId="0" fontId="4" fillId="3" borderId="0" xfId="0" applyFont="1" applyFill="1"/>
    <xf numFmtId="0" fontId="0" fillId="0" borderId="0" xfId="0" applyAlignment="1">
      <alignment horizontal="left"/>
    </xf>
    <xf numFmtId="0" fontId="12" fillId="0" borderId="0" xfId="0" applyFont="1"/>
    <xf numFmtId="0" fontId="13" fillId="0" borderId="0" xfId="0" applyFont="1"/>
    <xf numFmtId="0" fontId="11" fillId="0" borderId="0" xfId="0" applyFont="1" applyAlignment="1">
      <alignment horizontal="left" vertical="top" wrapText="1"/>
    </xf>
    <xf numFmtId="0" fontId="12" fillId="0" borderId="0" xfId="0" applyFont="1" applyAlignment="1">
      <alignment horizontal="left" vertical="center"/>
    </xf>
    <xf numFmtId="0" fontId="1" fillId="0" borderId="0" xfId="0" applyFont="1"/>
    <xf numFmtId="0" fontId="17" fillId="0" borderId="0" xfId="0" applyFont="1" applyAlignment="1">
      <alignment horizontal="left" vertical="top"/>
    </xf>
    <xf numFmtId="0" fontId="17" fillId="0" borderId="0" xfId="0" applyFont="1"/>
    <xf numFmtId="0" fontId="19" fillId="0" borderId="0" xfId="0" applyFont="1"/>
    <xf numFmtId="0" fontId="12" fillId="0" borderId="0" xfId="0" applyFont="1" applyAlignment="1">
      <alignment horizontal="left" vertical="center" wrapText="1"/>
    </xf>
    <xf numFmtId="0" fontId="17" fillId="0" borderId="0" xfId="2" applyNumberFormat="1" applyFont="1" applyAlignment="1">
      <alignment horizontal="left"/>
    </xf>
    <xf numFmtId="0" fontId="12" fillId="7" borderId="0" xfId="0" applyFont="1" applyFill="1" applyAlignment="1">
      <alignment horizontal="left" vertical="center"/>
    </xf>
    <xf numFmtId="0" fontId="11" fillId="0" borderId="0" xfId="0" applyFont="1" applyAlignment="1">
      <alignment horizontal="left" vertical="center" wrapText="1"/>
    </xf>
    <xf numFmtId="0" fontId="19" fillId="0" borderId="0" xfId="0" applyFont="1" applyAlignment="1">
      <alignment horizontal="left" vertical="top"/>
    </xf>
    <xf numFmtId="0" fontId="17" fillId="7" borderId="0" xfId="0" applyFont="1" applyFill="1" applyAlignment="1">
      <alignment horizontal="left"/>
    </xf>
    <xf numFmtId="0" fontId="17" fillId="7" borderId="0" xfId="0" applyFont="1" applyFill="1"/>
    <xf numFmtId="164" fontId="17" fillId="7" borderId="0" xfId="2" applyNumberFormat="1" applyFont="1" applyFill="1"/>
    <xf numFmtId="0" fontId="0" fillId="0" borderId="0" xfId="0" applyAlignment="1">
      <alignment wrapText="1"/>
    </xf>
    <xf numFmtId="0" fontId="12" fillId="0" borderId="0" xfId="0" applyFont="1" applyAlignment="1">
      <alignment wrapText="1"/>
    </xf>
    <xf numFmtId="0" fontId="13" fillId="0" borderId="0" xfId="0" applyFont="1" applyAlignment="1">
      <alignment wrapText="1"/>
    </xf>
    <xf numFmtId="0" fontId="20" fillId="0" borderId="0" xfId="0" applyFont="1"/>
    <xf numFmtId="0" fontId="19" fillId="7" borderId="0" xfId="0" applyFont="1" applyFill="1" applyAlignment="1">
      <alignment horizontal="left"/>
    </xf>
    <xf numFmtId="0" fontId="18" fillId="7" borderId="0" xfId="0" applyFont="1" applyFill="1" applyAlignment="1">
      <alignment horizontal="left" vertical="center"/>
    </xf>
    <xf numFmtId="0" fontId="17" fillId="7" borderId="0" xfId="0" applyFont="1" applyFill="1" applyAlignment="1">
      <alignment horizontal="right"/>
    </xf>
    <xf numFmtId="0" fontId="14" fillId="0" borderId="5" xfId="0" applyFont="1" applyBorder="1" applyAlignment="1">
      <alignment horizontal="center" vertical="center" wrapText="1"/>
    </xf>
    <xf numFmtId="0" fontId="14" fillId="0" borderId="11" xfId="0" applyFont="1" applyBorder="1" applyAlignment="1">
      <alignment horizontal="center" vertical="center" wrapText="1"/>
    </xf>
    <xf numFmtId="0" fontId="14" fillId="0" borderId="9" xfId="0" applyFont="1" applyBorder="1" applyAlignment="1">
      <alignment horizontal="center" vertical="center" wrapText="1"/>
    </xf>
    <xf numFmtId="0" fontId="14" fillId="0" borderId="0" xfId="0" applyFont="1" applyAlignment="1">
      <alignment horizontal="center" vertical="center" wrapText="1"/>
    </xf>
    <xf numFmtId="0" fontId="12" fillId="0" borderId="0" xfId="0" applyFont="1" applyAlignment="1">
      <alignment horizontal="center" vertical="center" wrapText="1"/>
    </xf>
    <xf numFmtId="0" fontId="14" fillId="9" borderId="0" xfId="0" applyFont="1" applyFill="1" applyAlignment="1">
      <alignment horizontal="center" vertical="center"/>
    </xf>
    <xf numFmtId="0" fontId="2" fillId="0" borderId="0" xfId="0" applyFont="1" applyAlignment="1">
      <alignment horizontal="left"/>
    </xf>
    <xf numFmtId="1" fontId="2" fillId="0" borderId="0" xfId="0" applyNumberFormat="1" applyFont="1" applyAlignment="1">
      <alignment horizontal="center"/>
    </xf>
    <xf numFmtId="1" fontId="0" fillId="0" borderId="0" xfId="0" applyNumberFormat="1" applyAlignment="1">
      <alignment horizontal="left"/>
    </xf>
    <xf numFmtId="11" fontId="0" fillId="0" borderId="1" xfId="0" applyNumberFormat="1" applyBorder="1"/>
    <xf numFmtId="49" fontId="0" fillId="0" borderId="1" xfId="0" applyNumberFormat="1" applyBorder="1"/>
    <xf numFmtId="11" fontId="0" fillId="0" borderId="10" xfId="0" applyNumberFormat="1" applyBorder="1"/>
    <xf numFmtId="49" fontId="0" fillId="0" borderId="10" xfId="0" applyNumberFormat="1" applyBorder="1"/>
    <xf numFmtId="0" fontId="18" fillId="9" borderId="2" xfId="0" applyFont="1" applyFill="1" applyBorder="1" applyAlignment="1">
      <alignment horizontal="left"/>
    </xf>
    <xf numFmtId="0" fontId="18" fillId="9" borderId="0" xfId="0" applyFont="1" applyFill="1" applyAlignment="1">
      <alignment horizontal="left"/>
    </xf>
    <xf numFmtId="0" fontId="21" fillId="0" borderId="0" xfId="0" applyFont="1"/>
    <xf numFmtId="0" fontId="0" fillId="9" borderId="0" xfId="0" applyFill="1"/>
    <xf numFmtId="0" fontId="23" fillId="0" borderId="0" xfId="0" applyFont="1" applyAlignment="1">
      <alignment horizontal="left"/>
    </xf>
    <xf numFmtId="0" fontId="10" fillId="0" borderId="0" xfId="0" applyFont="1" applyAlignment="1">
      <alignment horizontal="left" vertical="center"/>
    </xf>
    <xf numFmtId="0" fontId="22" fillId="0" borderId="0" xfId="0" applyFont="1" applyAlignment="1">
      <alignment horizontal="left"/>
    </xf>
    <xf numFmtId="0" fontId="0" fillId="10" borderId="0" xfId="0" applyFill="1"/>
    <xf numFmtId="0" fontId="20" fillId="11" borderId="0" xfId="0" applyFont="1" applyFill="1" applyAlignment="1">
      <alignment horizontal="left" indent="1"/>
    </xf>
    <xf numFmtId="0" fontId="13" fillId="0" borderId="7" xfId="0" applyFont="1" applyBorder="1" applyAlignment="1">
      <alignment vertical="center" wrapText="1"/>
    </xf>
    <xf numFmtId="0" fontId="13" fillId="0" borderId="6" xfId="0" applyFont="1" applyBorder="1" applyAlignment="1">
      <alignment vertical="center" wrapText="1"/>
    </xf>
    <xf numFmtId="0" fontId="13" fillId="0" borderId="7" xfId="0" applyFont="1" applyBorder="1" applyAlignment="1">
      <alignment horizontal="center" vertical="center" wrapText="1"/>
    </xf>
    <xf numFmtId="0" fontId="14" fillId="9" borderId="0" xfId="0" applyFont="1" applyFill="1" applyAlignment="1">
      <alignment horizontal="center" vertical="center" wrapText="1"/>
    </xf>
    <xf numFmtId="0" fontId="12" fillId="9" borderId="0" xfId="0" applyFont="1" applyFill="1" applyAlignment="1">
      <alignment horizontal="center" vertical="center" wrapText="1"/>
    </xf>
    <xf numFmtId="0" fontId="25" fillId="0" borderId="5" xfId="0" applyFont="1" applyBorder="1" applyAlignment="1">
      <alignment vertical="center" wrapText="1"/>
    </xf>
    <xf numFmtId="0" fontId="25" fillId="0" borderId="9" xfId="0" applyFont="1" applyBorder="1" applyAlignment="1">
      <alignment vertical="center" wrapText="1"/>
    </xf>
    <xf numFmtId="0" fontId="25" fillId="7" borderId="0" xfId="0" applyFont="1" applyFill="1" applyAlignment="1">
      <alignment vertical="center"/>
    </xf>
    <xf numFmtId="0" fontId="25" fillId="7" borderId="0" xfId="0" applyFont="1" applyFill="1" applyAlignment="1">
      <alignment vertical="center" wrapText="1"/>
    </xf>
    <xf numFmtId="0" fontId="12" fillId="7" borderId="0" xfId="0" applyFont="1" applyFill="1" applyAlignment="1">
      <alignment horizontal="center" vertical="center"/>
    </xf>
    <xf numFmtId="0" fontId="25" fillId="7" borderId="0" xfId="0" applyFont="1" applyFill="1" applyAlignment="1">
      <alignment horizontal="left" vertical="center"/>
    </xf>
    <xf numFmtId="0" fontId="12" fillId="0" borderId="0" xfId="0" applyFont="1" applyAlignment="1">
      <alignment vertical="center"/>
    </xf>
    <xf numFmtId="0" fontId="12" fillId="0" borderId="0" xfId="0" applyFont="1" applyAlignment="1">
      <alignment vertical="center" wrapText="1"/>
    </xf>
    <xf numFmtId="0" fontId="12" fillId="0" borderId="0" xfId="0" applyFont="1" applyAlignment="1">
      <alignment horizontal="center" vertical="center"/>
    </xf>
    <xf numFmtId="0" fontId="25" fillId="7" borderId="0" xfId="0" applyFont="1" applyFill="1" applyAlignment="1">
      <alignment horizontal="left" vertical="center" wrapText="1"/>
    </xf>
    <xf numFmtId="0" fontId="12" fillId="8" borderId="0" xfId="0" applyFont="1" applyFill="1" applyAlignment="1">
      <alignment horizontal="center" vertical="center"/>
    </xf>
    <xf numFmtId="0" fontId="12" fillId="9" borderId="0" xfId="0" applyFont="1" applyFill="1" applyAlignment="1">
      <alignment horizontal="center" vertical="center"/>
    </xf>
    <xf numFmtId="0" fontId="25" fillId="7" borderId="0" xfId="0" quotePrefix="1" applyFont="1" applyFill="1" applyAlignment="1">
      <alignment horizontal="left" vertical="center" wrapText="1"/>
    </xf>
    <xf numFmtId="0" fontId="25" fillId="7" borderId="0" xfId="0" quotePrefix="1" applyFont="1" applyFill="1" applyAlignment="1">
      <alignment horizontal="left" vertical="center"/>
    </xf>
    <xf numFmtId="0" fontId="25" fillId="9" borderId="0" xfId="0" applyFont="1" applyFill="1" applyAlignment="1">
      <alignment horizontal="center" vertical="center" wrapText="1"/>
    </xf>
    <xf numFmtId="0" fontId="22" fillId="9" borderId="0" xfId="0" applyFont="1" applyFill="1" applyAlignment="1">
      <alignment vertical="center" wrapText="1"/>
    </xf>
    <xf numFmtId="0" fontId="15" fillId="0" borderId="0" xfId="0" applyFont="1" applyAlignment="1">
      <alignment horizontal="left" vertical="center"/>
    </xf>
    <xf numFmtId="0" fontId="15" fillId="0" borderId="0" xfId="0" applyFont="1" applyAlignment="1">
      <alignment horizontal="center" vertical="center"/>
    </xf>
    <xf numFmtId="0" fontId="16" fillId="0" borderId="0" xfId="0" applyFont="1" applyAlignment="1">
      <alignment vertical="center"/>
    </xf>
    <xf numFmtId="0" fontId="15" fillId="0" borderId="0" xfId="0" applyFont="1" applyAlignment="1">
      <alignment vertical="center" wrapText="1"/>
    </xf>
    <xf numFmtId="0" fontId="15" fillId="0" borderId="0" xfId="0" applyFont="1" applyAlignment="1">
      <alignment vertical="center"/>
    </xf>
    <xf numFmtId="0" fontId="14" fillId="7" borderId="0" xfId="0" applyFont="1" applyFill="1" applyAlignment="1">
      <alignment vertical="center" wrapText="1"/>
    </xf>
    <xf numFmtId="0" fontId="14" fillId="7" borderId="0" xfId="0" applyFont="1" applyFill="1" applyAlignment="1">
      <alignment vertical="center"/>
    </xf>
    <xf numFmtId="0" fontId="14" fillId="7" borderId="0" xfId="0" applyFont="1" applyFill="1" applyAlignment="1">
      <alignment horizontal="left" vertical="center"/>
    </xf>
    <xf numFmtId="0" fontId="13" fillId="0" borderId="0" xfId="0" applyFont="1" applyAlignment="1">
      <alignment vertical="center"/>
    </xf>
    <xf numFmtId="0" fontId="12" fillId="7" borderId="0" xfId="0" applyFont="1" applyFill="1" applyAlignment="1">
      <alignment vertical="center"/>
    </xf>
    <xf numFmtId="0" fontId="12" fillId="7" borderId="0" xfId="0" applyFont="1" applyFill="1" applyAlignment="1">
      <alignment horizontal="right" vertical="center" wrapText="1"/>
    </xf>
    <xf numFmtId="0" fontId="13" fillId="0" borderId="0" xfId="0" applyFont="1" applyAlignment="1">
      <alignment vertical="center" wrapText="1"/>
    </xf>
    <xf numFmtId="0" fontId="25" fillId="0" borderId="0" xfId="0" applyFont="1" applyAlignment="1">
      <alignment vertical="center"/>
    </xf>
    <xf numFmtId="0" fontId="22" fillId="7" borderId="0" xfId="0" applyFont="1" applyFill="1" applyAlignment="1">
      <alignment horizontal="left" vertical="center" wrapText="1"/>
    </xf>
    <xf numFmtId="0" fontId="22" fillId="7" borderId="0" xfId="0" applyFont="1" applyFill="1" applyAlignment="1">
      <alignment horizontal="center" vertical="center" wrapText="1"/>
    </xf>
    <xf numFmtId="0" fontId="24" fillId="0" borderId="0" xfId="14" applyAlignment="1">
      <alignment vertical="center"/>
    </xf>
    <xf numFmtId="0" fontId="22" fillId="7" borderId="12" xfId="0" applyFont="1" applyFill="1" applyBorder="1" applyAlignment="1">
      <alignment horizontal="center" vertical="center" wrapText="1"/>
    </xf>
    <xf numFmtId="0" fontId="22" fillId="8" borderId="12" xfId="0" applyFont="1" applyFill="1" applyBorder="1" applyAlignment="1">
      <alignment horizontal="center" vertical="center" wrapText="1"/>
    </xf>
    <xf numFmtId="0" fontId="22" fillId="9" borderId="12" xfId="0" applyFont="1" applyFill="1" applyBorder="1" applyAlignment="1">
      <alignment horizontal="center" vertical="center" wrapText="1"/>
    </xf>
    <xf numFmtId="0" fontId="20" fillId="11" borderId="0" xfId="0" applyFont="1" applyFill="1" applyAlignment="1">
      <alignment horizontal="left" vertical="center" indent="1"/>
    </xf>
    <xf numFmtId="0" fontId="0" fillId="12" borderId="0" xfId="0" applyFill="1"/>
    <xf numFmtId="0" fontId="0" fillId="12" borderId="0" xfId="0" applyFill="1" applyAlignment="1">
      <alignment wrapText="1"/>
    </xf>
    <xf numFmtId="0" fontId="20" fillId="13" borderId="0" xfId="0" applyFont="1" applyFill="1"/>
    <xf numFmtId="0" fontId="1" fillId="14" borderId="0" xfId="0" applyFont="1" applyFill="1"/>
    <xf numFmtId="0" fontId="1" fillId="12" borderId="0" xfId="0" applyFont="1" applyFill="1"/>
    <xf numFmtId="0" fontId="0" fillId="12" borderId="13" xfId="0" applyFill="1" applyBorder="1"/>
    <xf numFmtId="11" fontId="0" fillId="0" borderId="14" xfId="0" applyNumberFormat="1" applyBorder="1"/>
    <xf numFmtId="0" fontId="14" fillId="7" borderId="0" xfId="0" applyFont="1" applyFill="1" applyAlignment="1">
      <alignment horizontal="center" vertical="center"/>
    </xf>
    <xf numFmtId="0" fontId="0" fillId="0" borderId="0" xfId="0" applyAlignment="1">
      <alignment vertical="center"/>
    </xf>
    <xf numFmtId="0" fontId="0" fillId="0" borderId="0" xfId="0" applyAlignment="1">
      <alignment horizontal="left" vertical="center"/>
    </xf>
    <xf numFmtId="0" fontId="0" fillId="0" borderId="0" xfId="0" applyAlignment="1">
      <alignment vertical="center" wrapText="1"/>
    </xf>
    <xf numFmtId="0" fontId="17" fillId="0" borderId="0" xfId="0" applyFont="1" applyAlignment="1">
      <alignment vertical="center"/>
    </xf>
    <xf numFmtId="0" fontId="0" fillId="15" borderId="0" xfId="0" applyFill="1"/>
    <xf numFmtId="2" fontId="0" fillId="15" borderId="0" xfId="0" applyNumberFormat="1" applyFill="1"/>
    <xf numFmtId="0" fontId="17" fillId="15" borderId="0" xfId="0" applyFont="1" applyFill="1" applyAlignment="1">
      <alignment horizontal="left"/>
    </xf>
    <xf numFmtId="2" fontId="17" fillId="15" borderId="0" xfId="0" applyNumberFormat="1" applyFont="1" applyFill="1" applyAlignment="1">
      <alignment horizontal="right"/>
    </xf>
    <xf numFmtId="2" fontId="17" fillId="15" borderId="0" xfId="0" applyNumberFormat="1" applyFont="1" applyFill="1"/>
    <xf numFmtId="0" fontId="17" fillId="0" borderId="0" xfId="0" applyFont="1" applyAlignment="1">
      <alignment horizontal="left"/>
    </xf>
    <xf numFmtId="2" fontId="17" fillId="0" borderId="0" xfId="0" applyNumberFormat="1" applyFont="1"/>
    <xf numFmtId="0" fontId="12" fillId="16" borderId="0" xfId="0" applyFont="1" applyFill="1" applyAlignment="1">
      <alignment horizontal="center" vertical="center" wrapText="1"/>
    </xf>
    <xf numFmtId="11" fontId="0" fillId="0" borderId="0" xfId="0" applyNumberFormat="1"/>
    <xf numFmtId="11" fontId="0" fillId="0" borderId="15" xfId="0" applyNumberFormat="1" applyBorder="1"/>
    <xf numFmtId="0" fontId="22" fillId="7" borderId="0" xfId="0" applyFont="1" applyFill="1" applyAlignment="1">
      <alignment vertical="center" wrapText="1"/>
    </xf>
    <xf numFmtId="0" fontId="25" fillId="16" borderId="5" xfId="0" applyFont="1" applyFill="1" applyBorder="1" applyAlignment="1">
      <alignment vertical="center" wrapText="1"/>
    </xf>
    <xf numFmtId="0" fontId="14" fillId="16" borderId="5" xfId="0" applyFont="1" applyFill="1" applyBorder="1" applyAlignment="1">
      <alignment horizontal="center" vertical="center" wrapText="1"/>
    </xf>
    <xf numFmtId="0" fontId="22" fillId="7" borderId="0" xfId="0" applyFont="1" applyFill="1" applyAlignment="1">
      <alignment horizontal="left" vertical="center"/>
    </xf>
    <xf numFmtId="0" fontId="11" fillId="0" borderId="0" xfId="0" quotePrefix="1" applyFont="1" applyAlignment="1">
      <alignment horizontal="left" vertical="center" wrapText="1"/>
    </xf>
    <xf numFmtId="166" fontId="0" fillId="0" borderId="0" xfId="0" applyNumberFormat="1"/>
    <xf numFmtId="0" fontId="14" fillId="8" borderId="7" xfId="0" applyFont="1" applyFill="1" applyBorder="1" applyAlignment="1">
      <alignment horizontal="left" vertical="center" wrapText="1"/>
    </xf>
    <xf numFmtId="0" fontId="14" fillId="0" borderId="8" xfId="0" applyFont="1" applyBorder="1" applyAlignment="1">
      <alignment vertical="center" wrapText="1"/>
    </xf>
    <xf numFmtId="0" fontId="14" fillId="8" borderId="9" xfId="0" applyFont="1" applyFill="1" applyBorder="1" applyAlignment="1">
      <alignment horizontal="left" vertical="center" wrapText="1"/>
    </xf>
    <xf numFmtId="0" fontId="14" fillId="0" borderId="9" xfId="0" applyFont="1" applyBorder="1" applyAlignment="1">
      <alignment vertical="center" wrapText="1"/>
    </xf>
    <xf numFmtId="0" fontId="14" fillId="8" borderId="5" xfId="0" applyFont="1" applyFill="1" applyBorder="1" applyAlignment="1">
      <alignment horizontal="left" vertical="center" wrapText="1"/>
    </xf>
    <xf numFmtId="0" fontId="14" fillId="16" borderId="8" xfId="0" applyFont="1" applyFill="1" applyBorder="1" applyAlignment="1">
      <alignment vertical="center" wrapText="1"/>
    </xf>
    <xf numFmtId="0" fontId="14" fillId="0" borderId="5" xfId="0" applyFont="1" applyBorder="1" applyAlignment="1">
      <alignment vertical="center" wrapText="1"/>
    </xf>
    <xf numFmtId="0" fontId="25" fillId="7" borderId="5" xfId="0" applyFont="1" applyFill="1" applyBorder="1" applyAlignment="1">
      <alignment horizontal="left" vertical="center"/>
    </xf>
    <xf numFmtId="165" fontId="17" fillId="7" borderId="0" xfId="0" applyNumberFormat="1" applyFont="1" applyFill="1"/>
    <xf numFmtId="0" fontId="0" fillId="0" borderId="0" xfId="0" applyAlignment="1">
      <alignment vertical="top" wrapText="1"/>
    </xf>
    <xf numFmtId="0" fontId="1" fillId="12" borderId="0" xfId="0" applyFont="1" applyFill="1" applyAlignment="1">
      <alignment vertical="center"/>
    </xf>
    <xf numFmtId="0" fontId="1" fillId="0" borderId="0" xfId="0" applyFont="1" applyAlignment="1">
      <alignment vertical="center"/>
    </xf>
    <xf numFmtId="0" fontId="18" fillId="48" borderId="0" xfId="0" applyFont="1" applyFill="1" applyAlignment="1">
      <alignment horizontal="left" vertical="center"/>
    </xf>
    <xf numFmtId="0" fontId="17" fillId="48" borderId="0" xfId="0" applyFont="1" applyFill="1" applyAlignment="1">
      <alignment horizontal="left"/>
    </xf>
    <xf numFmtId="0" fontId="17" fillId="48" borderId="0" xfId="0" applyFont="1" applyFill="1" applyAlignment="1">
      <alignment horizontal="right"/>
    </xf>
    <xf numFmtId="0" fontId="19" fillId="48" borderId="0" xfId="0" applyFont="1" applyFill="1" applyAlignment="1">
      <alignment horizontal="left"/>
    </xf>
    <xf numFmtId="0" fontId="12" fillId="7" borderId="0" xfId="0" applyFont="1" applyFill="1" applyAlignment="1">
      <alignment horizontal="center" vertical="center" wrapText="1"/>
    </xf>
    <xf numFmtId="0" fontId="22" fillId="9" borderId="0" xfId="0" applyFont="1" applyFill="1" applyAlignment="1">
      <alignment horizontal="center" vertical="center" wrapText="1"/>
    </xf>
    <xf numFmtId="0" fontId="12" fillId="7" borderId="0" xfId="0" quotePrefix="1" applyFont="1" applyFill="1" applyAlignment="1">
      <alignment horizontal="center" vertical="center" wrapText="1"/>
    </xf>
    <xf numFmtId="43" fontId="0" fillId="0" borderId="0" xfId="2" applyFont="1"/>
    <xf numFmtId="0" fontId="12" fillId="7" borderId="0" xfId="0" applyFont="1" applyFill="1"/>
    <xf numFmtId="1" fontId="12" fillId="7" borderId="0" xfId="0" applyNumberFormat="1" applyFont="1" applyFill="1"/>
    <xf numFmtId="0" fontId="18" fillId="7" borderId="0" xfId="0" applyFont="1" applyFill="1" applyAlignment="1">
      <alignment horizontal="right"/>
    </xf>
  </cellXfs>
  <cellStyles count="64">
    <cellStyle name="20% - Accent1" xfId="34" builtinId="30" customBuiltin="1"/>
    <cellStyle name="20% - Accent2" xfId="38" builtinId="34" customBuiltin="1"/>
    <cellStyle name="20% - Accent3" xfId="42" builtinId="38" customBuiltin="1"/>
    <cellStyle name="20% - Accent4" xfId="46" builtinId="42" customBuiltin="1"/>
    <cellStyle name="20% - Accent5" xfId="50" builtinId="46" customBuiltin="1"/>
    <cellStyle name="20% - Accent6" xfId="54" builtinId="50" customBuiltin="1"/>
    <cellStyle name="40% - Accent1" xfId="35" builtinId="31" customBuiltin="1"/>
    <cellStyle name="40% - Accent2" xfId="39" builtinId="35" customBuiltin="1"/>
    <cellStyle name="40% - Accent3" xfId="43" builtinId="39" customBuiltin="1"/>
    <cellStyle name="40% - Accent4" xfId="47" builtinId="43" customBuiltin="1"/>
    <cellStyle name="40% - Accent5" xfId="51" builtinId="47" customBuiltin="1"/>
    <cellStyle name="40% - Accent6" xfId="55" builtinId="51" customBuiltin="1"/>
    <cellStyle name="60% - Accent1" xfId="36" builtinId="32" customBuiltin="1"/>
    <cellStyle name="60% - Accent2" xfId="40" builtinId="36" customBuiltin="1"/>
    <cellStyle name="60% - Accent3" xfId="44" builtinId="40" customBuiltin="1"/>
    <cellStyle name="60% - Accent4" xfId="48" builtinId="44" customBuiltin="1"/>
    <cellStyle name="60% - Accent5" xfId="52" builtinId="48" customBuiltin="1"/>
    <cellStyle name="60% - Accent6" xfId="56" builtinId="52" customBuiltin="1"/>
    <cellStyle name="Accent1" xfId="33" builtinId="29" customBuiltin="1"/>
    <cellStyle name="Accent2" xfId="37" builtinId="33" customBuiltin="1"/>
    <cellStyle name="Accent3" xfId="41" builtinId="37" customBuiltin="1"/>
    <cellStyle name="Accent4" xfId="45" builtinId="41" customBuiltin="1"/>
    <cellStyle name="Accent5" xfId="49" builtinId="45" customBuiltin="1"/>
    <cellStyle name="Accent6" xfId="53" builtinId="49" customBuiltin="1"/>
    <cellStyle name="Bad" xfId="22" builtinId="27" customBuiltin="1"/>
    <cellStyle name="Calculation" xfId="26" builtinId="22" customBuiltin="1"/>
    <cellStyle name="Check Cell" xfId="28" builtinId="23" customBuiltin="1"/>
    <cellStyle name="Comma" xfId="2" builtinId="3"/>
    <cellStyle name="Explanatory Text" xfId="31" builtinId="53" customBuiltin="1"/>
    <cellStyle name="Followed Hyperlink" xfId="15" builtinId="9" customBuiltin="1"/>
    <cellStyle name="Good" xfId="21" builtinId="26" customBuiltin="1"/>
    <cellStyle name="GrayCell 2 2" xfId="8" xr:uid="{00000000-0005-0000-0000-000002000000}"/>
    <cellStyle name="Heading 1" xfId="17" builtinId="16" customBuiltin="1"/>
    <cellStyle name="Heading 1 2" xfId="3" xr:uid="{00000000-0005-0000-0000-000003000000}"/>
    <cellStyle name="Heading 2" xfId="18" builtinId="17" customBuiltin="1"/>
    <cellStyle name="Heading 2 2" xfId="4" xr:uid="{00000000-0005-0000-0000-000004000000}"/>
    <cellStyle name="Heading 3" xfId="19" builtinId="18" customBuiltin="1"/>
    <cellStyle name="Heading 3 2" xfId="9" xr:uid="{00000000-0005-0000-0000-000005000000}"/>
    <cellStyle name="Heading 4" xfId="20" builtinId="19" customBuiltin="1"/>
    <cellStyle name="Hyperlink" xfId="14" builtinId="8" customBuiltin="1"/>
    <cellStyle name="Hyperlink 2" xfId="62" xr:uid="{741CD510-4DE3-40BE-A73B-EF6CC90FD2E5}"/>
    <cellStyle name="Input" xfId="24" builtinId="20" customBuiltin="1"/>
    <cellStyle name="Linked Cell" xfId="27" builtinId="24" customBuiltin="1"/>
    <cellStyle name="Neutral" xfId="23" builtinId="28" customBuiltin="1"/>
    <cellStyle name="Normal" xfId="0" builtinId="0"/>
    <cellStyle name="Normal 2" xfId="1" xr:uid="{00000000-0005-0000-0000-000008000000}"/>
    <cellStyle name="Normal 2 2" xfId="13" xr:uid="{00000000-0005-0000-0000-000009000000}"/>
    <cellStyle name="Normal 2 3" xfId="60" xr:uid="{84216A98-AB9B-44F1-8930-D406487F4642}"/>
    <cellStyle name="Normal 2 4" xfId="58" xr:uid="{080748F1-1551-4C19-8810-20ED05754348}"/>
    <cellStyle name="Normal 3" xfId="6" xr:uid="{00000000-0005-0000-0000-00000A000000}"/>
    <cellStyle name="Normal 3 2" xfId="11" xr:uid="{00000000-0005-0000-0000-00000B000000}"/>
    <cellStyle name="Normal 3 3" xfId="61" xr:uid="{53AC47BC-8EBE-438C-872D-312E7D65C071}"/>
    <cellStyle name="Normal 3 4" xfId="59" xr:uid="{D0956BCD-016D-4A1B-AC6D-E2B4220550A6}"/>
    <cellStyle name="Normal 4" xfId="57" xr:uid="{7C69384A-DF67-456F-8C33-B781FE304D4E}"/>
    <cellStyle name="Normal 5" xfId="63" xr:uid="{43354EC1-7F2F-45A3-9735-D7EDE57CEAD7}"/>
    <cellStyle name="Note" xfId="30" builtinId="10" customBuiltin="1"/>
    <cellStyle name="OrangeBorder 2" xfId="10" xr:uid="{00000000-0005-0000-0000-00000C000000}"/>
    <cellStyle name="Output" xfId="25" builtinId="21" customBuiltin="1"/>
    <cellStyle name="Title" xfId="16" builtinId="15" customBuiltin="1"/>
    <cellStyle name="Title 2" xfId="5" xr:uid="{00000000-0005-0000-0000-00000E000000}"/>
    <cellStyle name="Total" xfId="32" builtinId="25" customBuiltin="1"/>
    <cellStyle name="Warning Text" xfId="29" builtinId="11" customBuiltin="1"/>
    <cellStyle name="YellowCell 2 2" xfId="7" xr:uid="{00000000-0005-0000-0000-00000F000000}"/>
    <cellStyle name="z A Column text" xfId="12" xr:uid="{00000000-0005-0000-0000-000010000000}"/>
  </cellStyles>
  <dxfs count="316">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strike val="0"/>
        <outline val="0"/>
        <shadow val="0"/>
        <u val="none"/>
        <vertAlign val="baseline"/>
        <sz val="9"/>
        <color theme="1"/>
        <name val="Calibri"/>
        <family val="2"/>
        <scheme val="minor"/>
      </font>
      <numFmt numFmtId="2" formatCode="0.00"/>
      <fill>
        <patternFill patternType="none">
          <fgColor indexed="64"/>
          <bgColor auto="1"/>
        </patternFill>
      </fill>
    </dxf>
    <dxf>
      <font>
        <strike val="0"/>
        <outline val="0"/>
        <shadow val="0"/>
        <u val="none"/>
        <vertAlign val="baseline"/>
        <sz val="9"/>
        <color theme="1"/>
        <name val="Calibri"/>
        <family val="2"/>
        <scheme val="minor"/>
      </font>
      <numFmt numFmtId="2" formatCode="0.00"/>
      <fill>
        <patternFill patternType="none">
          <fgColor indexed="64"/>
          <bgColor auto="1"/>
        </patternFill>
      </fill>
    </dxf>
    <dxf>
      <font>
        <strike val="0"/>
        <outline val="0"/>
        <shadow val="0"/>
        <u val="none"/>
        <vertAlign val="baseline"/>
        <sz val="9"/>
        <color theme="1"/>
        <name val="Calibri"/>
        <family val="2"/>
        <scheme val="minor"/>
      </font>
      <numFmt numFmtId="2" formatCode="0.00"/>
      <fill>
        <patternFill patternType="none">
          <fgColor indexed="64"/>
          <bgColor auto="1"/>
        </patternFill>
      </fill>
    </dxf>
    <dxf>
      <font>
        <strike val="0"/>
        <outline val="0"/>
        <shadow val="0"/>
        <u val="none"/>
        <vertAlign val="baseline"/>
        <sz val="9"/>
        <color theme="1"/>
        <name val="Calibri"/>
        <family val="2"/>
        <scheme val="minor"/>
      </font>
      <numFmt numFmtId="2" formatCode="0.00"/>
      <fill>
        <patternFill patternType="none">
          <fgColor indexed="64"/>
          <bgColor auto="1"/>
        </patternFill>
      </fill>
    </dxf>
    <dxf>
      <font>
        <strike val="0"/>
        <outline val="0"/>
        <shadow val="0"/>
        <u val="none"/>
        <vertAlign val="baseline"/>
        <sz val="9"/>
        <color theme="1"/>
        <name val="Calibri"/>
        <family val="2"/>
        <scheme val="minor"/>
      </font>
      <numFmt numFmtId="2" formatCode="0.00"/>
      <fill>
        <patternFill patternType="none">
          <fgColor indexed="64"/>
          <bgColor auto="1"/>
        </patternFill>
      </fill>
    </dxf>
    <dxf>
      <font>
        <strike val="0"/>
        <outline val="0"/>
        <shadow val="0"/>
        <u val="none"/>
        <vertAlign val="baseline"/>
        <sz val="9"/>
        <color theme="1"/>
        <name val="Calibri"/>
        <family val="2"/>
        <scheme val="minor"/>
      </font>
      <numFmt numFmtId="2" formatCode="0.00"/>
      <fill>
        <patternFill patternType="none">
          <fgColor indexed="64"/>
          <bgColor auto="1"/>
        </patternFill>
      </fill>
    </dxf>
    <dxf>
      <font>
        <strike val="0"/>
        <outline val="0"/>
        <shadow val="0"/>
        <u val="none"/>
        <vertAlign val="baseline"/>
        <sz val="9"/>
        <color theme="1"/>
        <name val="Calibri"/>
        <family val="2"/>
        <scheme val="minor"/>
      </font>
      <numFmt numFmtId="2" formatCode="0.00"/>
      <fill>
        <patternFill patternType="none">
          <fgColor indexed="64"/>
          <bgColor indexed="65"/>
        </patternFill>
      </fill>
    </dxf>
    <dxf>
      <font>
        <strike val="0"/>
        <outline val="0"/>
        <shadow val="0"/>
        <u val="none"/>
        <vertAlign val="baseline"/>
        <sz val="9"/>
        <color theme="1"/>
        <name val="Calibri"/>
        <family val="2"/>
        <scheme val="minor"/>
      </font>
      <numFmt numFmtId="2" formatCode="0.00"/>
      <fill>
        <patternFill patternType="none">
          <fgColor indexed="64"/>
          <bgColor indexed="65"/>
        </patternFill>
      </fill>
    </dxf>
    <dxf>
      <font>
        <strike val="0"/>
        <outline val="0"/>
        <shadow val="0"/>
        <u val="none"/>
        <vertAlign val="baseline"/>
        <sz val="9"/>
        <color theme="1"/>
        <name val="Calibri"/>
        <family val="2"/>
        <scheme val="minor"/>
      </font>
      <numFmt numFmtId="2" formatCode="0.00"/>
      <fill>
        <patternFill patternType="none">
          <fgColor indexed="64"/>
          <bgColor indexed="65"/>
        </patternFill>
      </fill>
    </dxf>
    <dxf>
      <font>
        <strike val="0"/>
        <outline val="0"/>
        <shadow val="0"/>
        <u val="none"/>
        <vertAlign val="baseline"/>
        <sz val="9"/>
        <color theme="1"/>
        <name val="Calibri"/>
        <family val="2"/>
        <scheme val="minor"/>
      </font>
      <numFmt numFmtId="2" formatCode="0.00"/>
      <fill>
        <patternFill patternType="none">
          <fgColor indexed="64"/>
          <bgColor indexed="65"/>
        </patternFill>
      </fill>
    </dxf>
    <dxf>
      <font>
        <strike val="0"/>
        <outline val="0"/>
        <shadow val="0"/>
        <u val="none"/>
        <vertAlign val="baseline"/>
        <sz val="9"/>
        <color theme="1"/>
        <name val="Calibri"/>
        <family val="2"/>
        <scheme val="minor"/>
      </font>
      <numFmt numFmtId="2" formatCode="0.00"/>
      <fill>
        <patternFill patternType="none">
          <fgColor indexed="64"/>
          <bgColor indexed="65"/>
        </patternFill>
      </fill>
    </dxf>
    <dxf>
      <font>
        <strike val="0"/>
        <outline val="0"/>
        <shadow val="0"/>
        <u val="none"/>
        <vertAlign val="baseline"/>
        <sz val="9"/>
        <color theme="1"/>
        <name val="Calibri"/>
        <family val="2"/>
        <scheme val="minor"/>
      </font>
      <numFmt numFmtId="2" formatCode="0.00"/>
      <fill>
        <patternFill patternType="none">
          <fgColor indexed="64"/>
          <bgColor indexed="65"/>
        </patternFill>
      </fill>
    </dxf>
    <dxf>
      <font>
        <strike val="0"/>
        <outline val="0"/>
        <shadow val="0"/>
        <u val="none"/>
        <vertAlign val="baseline"/>
        <sz val="9"/>
        <color theme="1"/>
        <name val="Calibri"/>
        <family val="2"/>
        <scheme val="minor"/>
      </font>
      <numFmt numFmtId="2" formatCode="0.00"/>
      <fill>
        <patternFill patternType="none">
          <fgColor indexed="64"/>
          <bgColor auto="1"/>
        </patternFill>
      </fill>
    </dxf>
    <dxf>
      <font>
        <strike val="0"/>
        <outline val="0"/>
        <shadow val="0"/>
        <u val="none"/>
        <vertAlign val="baseline"/>
        <sz val="9"/>
        <color theme="1"/>
        <name val="Calibri"/>
        <family val="2"/>
        <scheme val="minor"/>
      </font>
      <numFmt numFmtId="2" formatCode="0.00"/>
      <fill>
        <patternFill patternType="none">
          <fgColor indexed="64"/>
          <bgColor auto="1"/>
        </patternFill>
      </fill>
    </dxf>
    <dxf>
      <font>
        <strike val="0"/>
        <outline val="0"/>
        <shadow val="0"/>
        <u val="none"/>
        <vertAlign val="baseline"/>
        <sz val="9"/>
        <color theme="1"/>
        <name val="Calibri"/>
        <family val="2"/>
        <scheme val="minor"/>
      </font>
      <numFmt numFmtId="2" formatCode="0.00"/>
      <fill>
        <patternFill patternType="none">
          <fgColor indexed="64"/>
          <bgColor auto="1"/>
        </patternFill>
      </fill>
    </dxf>
    <dxf>
      <font>
        <strike val="0"/>
        <outline val="0"/>
        <shadow val="0"/>
        <u val="none"/>
        <vertAlign val="baseline"/>
        <sz val="9"/>
        <color theme="1"/>
        <name val="Calibri"/>
        <family val="2"/>
        <scheme val="minor"/>
      </font>
      <numFmt numFmtId="2" formatCode="0.00"/>
      <fill>
        <patternFill patternType="none">
          <fgColor indexed="64"/>
          <bgColor auto="1"/>
        </patternFill>
      </fill>
    </dxf>
    <dxf>
      <font>
        <strike val="0"/>
        <outline val="0"/>
        <shadow val="0"/>
        <u val="none"/>
        <vertAlign val="baseline"/>
        <sz val="9"/>
        <color theme="1"/>
        <name val="Calibri"/>
        <family val="2"/>
        <scheme val="minor"/>
      </font>
      <numFmt numFmtId="2" formatCode="0.00"/>
      <fill>
        <patternFill patternType="none">
          <fgColor indexed="64"/>
          <bgColor auto="1"/>
        </patternFill>
      </fill>
    </dxf>
    <dxf>
      <font>
        <strike val="0"/>
        <outline val="0"/>
        <shadow val="0"/>
        <u val="none"/>
        <vertAlign val="baseline"/>
        <sz val="9"/>
        <color theme="1"/>
        <name val="Calibri"/>
        <family val="2"/>
        <scheme val="minor"/>
      </font>
      <numFmt numFmtId="2" formatCode="0.00"/>
      <fill>
        <patternFill patternType="none">
          <fgColor indexed="64"/>
          <bgColor auto="1"/>
        </patternFill>
      </fill>
    </dxf>
    <dxf>
      <font>
        <strike val="0"/>
        <outline val="0"/>
        <shadow val="0"/>
        <u val="none"/>
        <vertAlign val="baseline"/>
        <sz val="9"/>
        <color theme="1"/>
        <name val="Calibri"/>
        <family val="2"/>
        <scheme val="minor"/>
      </font>
      <numFmt numFmtId="2" formatCode="0.00"/>
      <fill>
        <patternFill patternType="none">
          <fgColor indexed="64"/>
          <bgColor auto="1"/>
        </patternFill>
      </fill>
    </dxf>
    <dxf>
      <font>
        <strike val="0"/>
        <outline val="0"/>
        <shadow val="0"/>
        <u val="none"/>
        <vertAlign val="baseline"/>
        <sz val="9"/>
        <color theme="1"/>
        <name val="Calibri"/>
        <family val="2"/>
        <scheme val="minor"/>
      </font>
      <numFmt numFmtId="2" formatCode="0.00"/>
      <fill>
        <patternFill patternType="none">
          <fgColor indexed="64"/>
          <bgColor auto="1"/>
        </patternFill>
      </fill>
    </dxf>
    <dxf>
      <font>
        <strike val="0"/>
        <outline val="0"/>
        <shadow val="0"/>
        <u val="none"/>
        <vertAlign val="baseline"/>
        <sz val="9"/>
        <color theme="1"/>
        <name val="Calibri"/>
        <family val="2"/>
        <scheme val="minor"/>
      </font>
      <numFmt numFmtId="2" formatCode="0.00"/>
      <fill>
        <patternFill patternType="none">
          <fgColor indexed="64"/>
          <bgColor auto="1"/>
        </patternFill>
      </fill>
    </dxf>
    <dxf>
      <font>
        <strike val="0"/>
        <outline val="0"/>
        <shadow val="0"/>
        <u val="none"/>
        <vertAlign val="baseline"/>
        <sz val="9"/>
        <color theme="1"/>
        <name val="Calibri"/>
        <family val="2"/>
        <scheme val="minor"/>
      </font>
      <numFmt numFmtId="2" formatCode="0.00"/>
      <fill>
        <patternFill patternType="solid">
          <fgColor indexed="64"/>
          <bgColor theme="9" tint="0.59999389629810485"/>
        </patternFill>
      </fill>
    </dxf>
    <dxf>
      <font>
        <strike val="0"/>
        <outline val="0"/>
        <shadow val="0"/>
        <u val="none"/>
        <vertAlign val="baseline"/>
        <sz val="9"/>
        <color theme="1"/>
        <name val="Calibri"/>
        <family val="2"/>
        <scheme val="minor"/>
      </font>
      <numFmt numFmtId="2" formatCode="0.00"/>
      <fill>
        <patternFill patternType="solid">
          <fgColor indexed="64"/>
          <bgColor theme="9" tint="0.59999389629810485"/>
        </patternFill>
      </fill>
    </dxf>
    <dxf>
      <font>
        <strike val="0"/>
        <outline val="0"/>
        <shadow val="0"/>
        <u val="none"/>
        <vertAlign val="baseline"/>
        <sz val="9"/>
        <color theme="1"/>
        <name val="Calibri"/>
        <family val="2"/>
        <scheme val="minor"/>
      </font>
      <numFmt numFmtId="2" formatCode="0.00"/>
      <fill>
        <patternFill patternType="solid">
          <fgColor indexed="64"/>
          <bgColor theme="9" tint="0.59999389629810485"/>
        </patternFill>
      </fill>
    </dxf>
    <dxf>
      <font>
        <b val="0"/>
        <i val="0"/>
        <strike val="0"/>
        <condense val="0"/>
        <extend val="0"/>
        <outline val="0"/>
        <shadow val="0"/>
        <u val="none"/>
        <vertAlign val="baseline"/>
        <sz val="9"/>
        <color theme="1"/>
        <name val="Calibri"/>
        <family val="2"/>
        <scheme val="minor"/>
      </font>
      <numFmt numFmtId="2" formatCode="0.00"/>
      <fill>
        <patternFill patternType="solid">
          <fgColor indexed="64"/>
          <bgColor theme="9" tint="0.59999389629810485"/>
        </patternFill>
      </fill>
      <alignment horizontal="right" vertical="bottom" textRotation="0" wrapText="0" indent="0" justifyLastLine="0" shrinkToFit="0" readingOrder="0"/>
    </dxf>
    <dxf>
      <font>
        <b val="0"/>
        <i val="0"/>
        <strike val="0"/>
        <condense val="0"/>
        <extend val="0"/>
        <outline val="0"/>
        <shadow val="0"/>
        <u val="none"/>
        <vertAlign val="baseline"/>
        <sz val="9"/>
        <color theme="1"/>
        <name val="Calibri"/>
        <family val="2"/>
        <scheme val="minor"/>
      </font>
      <numFmt numFmtId="2" formatCode="0.00"/>
      <fill>
        <patternFill patternType="solid">
          <fgColor indexed="64"/>
          <bgColor theme="9" tint="0.59999389629810485"/>
        </patternFill>
      </fill>
      <alignment horizontal="right" vertical="bottom" textRotation="0" wrapText="0" indent="0" justifyLastLine="0" shrinkToFit="0" readingOrder="0"/>
    </dxf>
    <dxf>
      <font>
        <b val="0"/>
        <i val="0"/>
        <strike val="0"/>
        <condense val="0"/>
        <extend val="0"/>
        <outline val="0"/>
        <shadow val="0"/>
        <u val="none"/>
        <vertAlign val="baseline"/>
        <sz val="9"/>
        <color theme="1"/>
        <name val="Calibri"/>
        <family val="2"/>
        <scheme val="minor"/>
      </font>
      <numFmt numFmtId="2" formatCode="0.00"/>
      <fill>
        <patternFill patternType="solid">
          <fgColor indexed="64"/>
          <bgColor theme="9" tint="0.59999389629810485"/>
        </patternFill>
      </fill>
      <alignment horizontal="right" vertical="bottom" textRotation="0" wrapText="0" indent="0" justifyLastLine="0" shrinkToFit="0" readingOrder="0"/>
    </dxf>
    <dxf>
      <font>
        <b val="0"/>
        <i val="0"/>
        <strike val="0"/>
        <condense val="0"/>
        <extend val="0"/>
        <outline val="0"/>
        <shadow val="0"/>
        <u val="none"/>
        <vertAlign val="baseline"/>
        <sz val="9"/>
        <color theme="1"/>
        <name val="Calibri"/>
        <family val="2"/>
        <scheme val="minor"/>
      </font>
      <numFmt numFmtId="2" formatCode="0.00"/>
      <fill>
        <patternFill patternType="solid">
          <fgColor indexed="64"/>
          <bgColor theme="9" tint="0.59999389629810485"/>
        </patternFill>
      </fill>
      <alignment horizontal="right" vertical="bottom" textRotation="0" wrapText="0" indent="0" justifyLastLine="0" shrinkToFit="0" readingOrder="0"/>
    </dxf>
    <dxf>
      <font>
        <b val="0"/>
        <i val="0"/>
        <strike val="0"/>
        <condense val="0"/>
        <extend val="0"/>
        <outline val="0"/>
        <shadow val="0"/>
        <u val="none"/>
        <vertAlign val="baseline"/>
        <sz val="9"/>
        <color theme="1"/>
        <name val="Calibri"/>
        <family val="2"/>
        <scheme val="minor"/>
      </font>
      <numFmt numFmtId="2" formatCode="0.00"/>
      <fill>
        <patternFill patternType="solid">
          <fgColor indexed="64"/>
          <bgColor theme="9" tint="0.59999389629810485"/>
        </patternFill>
      </fill>
      <alignment horizontal="right" vertical="bottom" textRotation="0" wrapText="0" indent="0" justifyLastLine="0" shrinkToFit="0" readingOrder="0"/>
    </dxf>
    <dxf>
      <font>
        <b val="0"/>
        <i val="0"/>
        <strike val="0"/>
        <condense val="0"/>
        <extend val="0"/>
        <outline val="0"/>
        <shadow val="0"/>
        <u val="none"/>
        <vertAlign val="baseline"/>
        <sz val="9"/>
        <color theme="1"/>
        <name val="Calibri"/>
        <family val="2"/>
        <scheme val="minor"/>
      </font>
      <numFmt numFmtId="2" formatCode="0.00"/>
      <fill>
        <patternFill patternType="solid">
          <fgColor indexed="64"/>
          <bgColor theme="9" tint="0.59999389629810485"/>
        </patternFill>
      </fill>
      <alignment horizontal="right" vertical="bottom" textRotation="0" wrapText="0" indent="0" justifyLastLine="0" shrinkToFit="0" readingOrder="0"/>
    </dxf>
    <dxf>
      <font>
        <strike val="0"/>
        <outline val="0"/>
        <shadow val="0"/>
        <u val="none"/>
        <vertAlign val="baseline"/>
        <sz val="9"/>
        <color theme="1"/>
        <name val="Calibri"/>
        <family val="2"/>
        <scheme val="minor"/>
      </font>
      <numFmt numFmtId="2" formatCode="0.00"/>
      <fill>
        <patternFill patternType="solid">
          <fgColor indexed="64"/>
          <bgColor theme="9" tint="0.59999389629810485"/>
        </patternFill>
      </fill>
    </dxf>
    <dxf>
      <font>
        <strike val="0"/>
        <outline val="0"/>
        <shadow val="0"/>
        <u val="none"/>
        <vertAlign val="baseline"/>
        <sz val="9"/>
        <color theme="1"/>
        <name val="Calibri"/>
        <family val="2"/>
        <scheme val="minor"/>
      </font>
      <numFmt numFmtId="2" formatCode="0.00"/>
      <fill>
        <patternFill patternType="solid">
          <fgColor indexed="64"/>
          <bgColor theme="9" tint="0.59999389629810485"/>
        </patternFill>
      </fill>
    </dxf>
    <dxf>
      <font>
        <strike val="0"/>
        <outline val="0"/>
        <shadow val="0"/>
        <u val="none"/>
        <vertAlign val="baseline"/>
        <sz val="9"/>
        <color theme="1"/>
        <name val="Calibri"/>
        <family val="2"/>
        <scheme val="minor"/>
      </font>
      <numFmt numFmtId="2" formatCode="0.00"/>
      <fill>
        <patternFill patternType="solid">
          <fgColor indexed="64"/>
          <bgColor theme="9" tint="0.59999389629810485"/>
        </patternFill>
      </fill>
    </dxf>
    <dxf>
      <font>
        <strike val="0"/>
        <outline val="0"/>
        <shadow val="0"/>
        <u val="none"/>
        <vertAlign val="baseline"/>
        <sz val="9"/>
        <color theme="1"/>
        <name val="Calibri"/>
        <family val="2"/>
        <scheme val="minor"/>
      </font>
      <numFmt numFmtId="2" formatCode="0.00"/>
      <fill>
        <patternFill patternType="solid">
          <fgColor indexed="64"/>
          <bgColor theme="9" tint="0.59999389629810485"/>
        </patternFill>
      </fill>
    </dxf>
    <dxf>
      <font>
        <strike val="0"/>
        <outline val="0"/>
        <shadow val="0"/>
        <u val="none"/>
        <vertAlign val="baseline"/>
        <sz val="9"/>
        <color theme="1"/>
        <name val="Calibri"/>
        <family val="2"/>
        <scheme val="minor"/>
      </font>
      <numFmt numFmtId="2" formatCode="0.00"/>
      <fill>
        <patternFill patternType="solid">
          <fgColor indexed="64"/>
          <bgColor theme="9" tint="0.59999389629810485"/>
        </patternFill>
      </fill>
    </dxf>
    <dxf>
      <font>
        <strike val="0"/>
        <outline val="0"/>
        <shadow val="0"/>
        <u val="none"/>
        <vertAlign val="baseline"/>
        <sz val="9"/>
        <color theme="1"/>
        <name val="Calibri"/>
        <family val="2"/>
        <scheme val="minor"/>
      </font>
      <numFmt numFmtId="2" formatCode="0.00"/>
      <fill>
        <patternFill patternType="solid">
          <fgColor indexed="64"/>
          <bgColor theme="9" tint="0.59999389629810485"/>
        </patternFill>
      </fill>
    </dxf>
    <dxf>
      <font>
        <b val="0"/>
        <i val="0"/>
        <strike val="0"/>
        <condense val="0"/>
        <extend val="0"/>
        <outline val="0"/>
        <shadow val="0"/>
        <u val="none"/>
        <vertAlign val="baseline"/>
        <sz val="9"/>
        <color theme="1"/>
        <name val="Calibri"/>
        <family val="2"/>
        <scheme val="minor"/>
      </font>
      <numFmt numFmtId="2" formatCode="0.00"/>
      <fill>
        <patternFill patternType="solid">
          <fgColor indexed="64"/>
          <bgColor theme="9" tint="0.59999389629810485"/>
        </patternFill>
      </fill>
      <alignment horizontal="right" vertical="bottom" textRotation="0" wrapText="0" indent="0" justifyLastLine="0" shrinkToFit="0" readingOrder="0"/>
    </dxf>
    <dxf>
      <font>
        <b val="0"/>
        <i val="0"/>
        <strike val="0"/>
        <condense val="0"/>
        <extend val="0"/>
        <outline val="0"/>
        <shadow val="0"/>
        <u val="none"/>
        <vertAlign val="baseline"/>
        <sz val="9"/>
        <color theme="1"/>
        <name val="Calibri"/>
        <family val="2"/>
        <scheme val="minor"/>
      </font>
      <numFmt numFmtId="2" formatCode="0.00"/>
      <fill>
        <patternFill patternType="solid">
          <fgColor indexed="64"/>
          <bgColor theme="9" tint="0.59999389629810485"/>
        </patternFill>
      </fill>
      <alignment horizontal="right" vertical="bottom" textRotation="0" wrapText="0" indent="0" justifyLastLine="0" shrinkToFit="0" readingOrder="0"/>
    </dxf>
    <dxf>
      <font>
        <b val="0"/>
        <i val="0"/>
        <strike val="0"/>
        <condense val="0"/>
        <extend val="0"/>
        <outline val="0"/>
        <shadow val="0"/>
        <u val="none"/>
        <vertAlign val="baseline"/>
        <sz val="9"/>
        <color theme="1"/>
        <name val="Calibri"/>
        <family val="2"/>
        <scheme val="minor"/>
      </font>
      <numFmt numFmtId="2" formatCode="0.00"/>
      <fill>
        <patternFill patternType="solid">
          <fgColor indexed="64"/>
          <bgColor theme="9" tint="0.59999389629810485"/>
        </patternFill>
      </fill>
      <alignment horizontal="right" vertical="bottom" textRotation="0" wrapText="0" indent="0" justifyLastLine="0" shrinkToFit="0" readingOrder="0"/>
    </dxf>
    <dxf>
      <font>
        <b val="0"/>
        <i val="0"/>
        <strike val="0"/>
        <condense val="0"/>
        <extend val="0"/>
        <outline val="0"/>
        <shadow val="0"/>
        <u val="none"/>
        <vertAlign val="baseline"/>
        <sz val="9"/>
        <color theme="1"/>
        <name val="Calibri"/>
        <family val="2"/>
        <scheme val="minor"/>
      </font>
      <numFmt numFmtId="2" formatCode="0.00"/>
      <fill>
        <patternFill patternType="solid">
          <fgColor indexed="64"/>
          <bgColor theme="9" tint="0.59999389629810485"/>
        </patternFill>
      </fill>
      <alignment horizontal="right" vertical="bottom" textRotation="0" wrapText="0" indent="0" justifyLastLine="0" shrinkToFit="0" readingOrder="0"/>
    </dxf>
    <dxf>
      <font>
        <b val="0"/>
        <i val="0"/>
        <strike val="0"/>
        <condense val="0"/>
        <extend val="0"/>
        <outline val="0"/>
        <shadow val="0"/>
        <u val="none"/>
        <vertAlign val="baseline"/>
        <sz val="9"/>
        <color theme="1"/>
        <name val="Calibri"/>
        <family val="2"/>
        <scheme val="minor"/>
      </font>
      <numFmt numFmtId="2" formatCode="0.00"/>
      <fill>
        <patternFill patternType="solid">
          <fgColor indexed="64"/>
          <bgColor theme="9" tint="0.59999389629810485"/>
        </patternFill>
      </fill>
      <alignment horizontal="right" vertical="bottom" textRotation="0" wrapText="0" indent="0" justifyLastLine="0" shrinkToFit="0" readingOrder="0"/>
    </dxf>
    <dxf>
      <font>
        <b val="0"/>
        <i val="0"/>
        <strike val="0"/>
        <condense val="0"/>
        <extend val="0"/>
        <outline val="0"/>
        <shadow val="0"/>
        <u val="none"/>
        <vertAlign val="baseline"/>
        <sz val="9"/>
        <color theme="1"/>
        <name val="Calibri"/>
        <family val="2"/>
        <scheme val="minor"/>
      </font>
      <numFmt numFmtId="2" formatCode="0.00"/>
      <fill>
        <patternFill patternType="solid">
          <fgColor indexed="64"/>
          <bgColor theme="9" tint="0.59999389629810485"/>
        </patternFill>
      </fill>
      <alignment horizontal="right" vertical="bottom" textRotation="0" wrapText="0" indent="0" justifyLastLine="0" shrinkToFit="0" readingOrder="0"/>
    </dxf>
    <dxf>
      <font>
        <b val="0"/>
        <i val="0"/>
        <strike val="0"/>
        <condense val="0"/>
        <extend val="0"/>
        <outline val="0"/>
        <shadow val="0"/>
        <u val="none"/>
        <vertAlign val="baseline"/>
        <sz val="9"/>
        <color theme="1"/>
        <name val="Calibri"/>
        <family val="2"/>
        <scheme val="minor"/>
      </font>
      <fill>
        <patternFill patternType="solid">
          <fgColor indexed="64"/>
          <bgColor theme="9" tint="0.59999389629810485"/>
        </patternFill>
      </fill>
      <alignment horizontal="left" vertical="bottom" textRotation="0" wrapText="0" indent="0" justifyLastLine="0" shrinkToFit="0" readingOrder="0"/>
    </dxf>
    <dxf>
      <font>
        <b val="0"/>
        <i val="0"/>
        <strike val="0"/>
        <condense val="0"/>
        <extend val="0"/>
        <outline val="0"/>
        <shadow val="0"/>
        <u val="none"/>
        <vertAlign val="baseline"/>
        <sz val="9"/>
        <color theme="1"/>
        <name val="Calibri"/>
        <family val="2"/>
        <scheme val="minor"/>
      </font>
      <fill>
        <patternFill patternType="solid">
          <fgColor indexed="64"/>
          <bgColor theme="9" tint="0.59999389629810485"/>
        </patternFill>
      </fill>
      <alignment horizontal="left" vertical="bottom" textRotation="0" wrapText="0" indent="0" justifyLastLine="0" shrinkToFit="0" readingOrder="0"/>
    </dxf>
    <dxf>
      <font>
        <b val="0"/>
        <i val="0"/>
        <strike val="0"/>
        <condense val="0"/>
        <extend val="0"/>
        <outline val="0"/>
        <shadow val="0"/>
        <u val="none"/>
        <vertAlign val="baseline"/>
        <sz val="9"/>
        <color theme="1"/>
        <name val="Calibri"/>
        <family val="2"/>
        <scheme val="minor"/>
      </font>
      <fill>
        <patternFill patternType="solid">
          <fgColor indexed="64"/>
          <bgColor theme="9" tint="0.59999389629810485"/>
        </patternFill>
      </fill>
      <alignment horizontal="left" vertical="bottom" textRotation="0" wrapText="0" indent="0" justifyLastLine="0" shrinkToFit="0" readingOrder="0"/>
    </dxf>
    <dxf>
      <font>
        <b val="0"/>
        <i val="0"/>
        <strike val="0"/>
        <condense val="0"/>
        <extend val="0"/>
        <outline val="0"/>
        <shadow val="0"/>
        <u val="none"/>
        <vertAlign val="baseline"/>
        <sz val="9"/>
        <color theme="1"/>
        <name val="Calibri"/>
        <family val="2"/>
        <scheme val="minor"/>
      </font>
      <fill>
        <patternFill patternType="solid">
          <fgColor indexed="64"/>
          <bgColor theme="9" tint="0.59999389629810485"/>
        </patternFill>
      </fill>
      <alignment horizontal="left" vertical="bottom" textRotation="0" wrapText="0" indent="0" justifyLastLine="0" shrinkToFit="0" readingOrder="0"/>
    </dxf>
    <dxf>
      <font>
        <strike val="0"/>
        <outline val="0"/>
        <shadow val="0"/>
        <u val="none"/>
        <vertAlign val="baseline"/>
        <sz val="9"/>
        <color theme="1"/>
        <name val="Calibri"/>
        <family val="2"/>
        <scheme val="minor"/>
      </font>
      <fill>
        <patternFill patternType="solid">
          <fgColor indexed="64"/>
          <bgColor theme="9" tint="0.59999389629810485"/>
        </patternFill>
      </fill>
      <alignment horizontal="left" vertical="bottom" textRotation="0" wrapText="0" indent="0" justifyLastLine="0" shrinkToFit="0" readingOrder="0"/>
    </dxf>
    <dxf>
      <font>
        <strike val="0"/>
        <outline val="0"/>
        <shadow val="0"/>
        <u val="none"/>
        <vertAlign val="baseline"/>
        <sz val="9"/>
        <color theme="1"/>
        <name val="Calibri"/>
        <family val="2"/>
        <scheme val="minor"/>
      </font>
      <numFmt numFmtId="0" formatCode="General"/>
      <fill>
        <patternFill patternType="none">
          <fgColor indexed="64"/>
          <bgColor auto="1"/>
        </patternFill>
      </fill>
      <alignment horizontal="left" vertical="bottom" textRotation="0" wrapText="0" indent="0" justifyLastLine="0" shrinkToFit="0" readingOrder="0"/>
    </dxf>
    <dxf>
      <font>
        <strike val="0"/>
        <outline val="0"/>
        <shadow val="0"/>
        <u val="none"/>
        <vertAlign val="baseline"/>
        <sz val="9"/>
        <color theme="1"/>
        <name val="Calibri"/>
        <family val="2"/>
        <scheme val="minor"/>
      </font>
      <fill>
        <patternFill patternType="none">
          <fgColor indexed="64"/>
          <bgColor auto="1"/>
        </patternFill>
      </fill>
    </dxf>
    <dxf>
      <font>
        <b val="0"/>
        <i val="0"/>
        <strike val="0"/>
        <condense val="0"/>
        <extend val="0"/>
        <outline val="0"/>
        <shadow val="0"/>
        <u val="none"/>
        <vertAlign val="baseline"/>
        <sz val="9"/>
        <color theme="1"/>
        <name val="Calibri"/>
        <family val="2"/>
        <scheme val="minor"/>
      </font>
      <fill>
        <patternFill patternType="none">
          <fgColor indexed="64"/>
          <bgColor indexed="65"/>
        </patternFill>
      </fill>
      <alignment horizontal="general" vertical="center" textRotation="0" wrapText="0" indent="0" justifyLastLine="0" shrinkToFit="0" readingOrder="0"/>
    </dxf>
    <dxf>
      <numFmt numFmtId="2" formatCode="0.00"/>
      <fill>
        <patternFill patternType="solid">
          <fgColor indexed="64"/>
          <bgColor theme="9" tint="0.59999389629810485"/>
        </patternFill>
      </fill>
    </dxf>
    <dxf>
      <numFmt numFmtId="2" formatCode="0.00"/>
      <fill>
        <patternFill patternType="solid">
          <fgColor indexed="64"/>
          <bgColor theme="9" tint="0.59999389629810485"/>
        </patternFill>
      </fill>
    </dxf>
    <dxf>
      <numFmt numFmtId="2" formatCode="0.00"/>
      <fill>
        <patternFill patternType="solid">
          <fgColor indexed="64"/>
          <bgColor theme="9" tint="0.59999389629810485"/>
        </patternFill>
      </fill>
    </dxf>
    <dxf>
      <numFmt numFmtId="2" formatCode="0.00"/>
      <fill>
        <patternFill patternType="solid">
          <fgColor indexed="64"/>
          <bgColor theme="9" tint="0.59999389629810485"/>
        </patternFill>
      </fill>
    </dxf>
    <dxf>
      <numFmt numFmtId="2" formatCode="0.00"/>
      <fill>
        <patternFill patternType="solid">
          <fgColor indexed="64"/>
          <bgColor theme="9" tint="0.59999389629810485"/>
        </patternFill>
      </fill>
    </dxf>
    <dxf>
      <numFmt numFmtId="2" formatCode="0.00"/>
      <fill>
        <patternFill patternType="solid">
          <fgColor indexed="64"/>
          <bgColor theme="9" tint="0.59999389629810485"/>
        </patternFill>
      </fill>
    </dxf>
    <dxf>
      <numFmt numFmtId="2" formatCode="0.00"/>
      <fill>
        <patternFill patternType="solid">
          <fgColor indexed="64"/>
          <bgColor theme="9" tint="0.59999389629810485"/>
        </patternFill>
      </fill>
    </dxf>
    <dxf>
      <fill>
        <patternFill patternType="solid">
          <fgColor indexed="64"/>
          <bgColor theme="9" tint="0.59999389629810485"/>
        </patternFill>
      </fill>
    </dxf>
    <dxf>
      <numFmt numFmtId="0" formatCode="General"/>
      <alignment horizontal="left" vertical="bottom" textRotation="0" wrapText="0" indent="0" justifyLastLine="0" shrinkToFit="0" readingOrder="0"/>
    </dxf>
    <dxf>
      <numFmt numFmtId="15" formatCode="0.00E+00"/>
      <fill>
        <patternFill patternType="solid">
          <fgColor indexed="64"/>
          <bgColor theme="0"/>
        </patternFill>
      </fill>
      <border diagonalUp="0" diagonalDown="0">
        <left style="thin">
          <color auto="1"/>
        </left>
        <right style="thin">
          <color auto="1"/>
        </right>
        <top style="thin">
          <color theme="0" tint="-0.499984740745262"/>
        </top>
        <bottom style="thin">
          <color theme="0" tint="-0.499984740745262"/>
        </bottom>
        <vertical/>
        <horizontal/>
      </border>
    </dxf>
    <dxf>
      <numFmt numFmtId="15" formatCode="0.00E+00"/>
      <fill>
        <patternFill patternType="none">
          <fgColor indexed="64"/>
          <bgColor auto="1"/>
        </patternFill>
      </fill>
      <border diagonalUp="0" diagonalDown="0" outline="0">
        <left style="thin">
          <color auto="1"/>
        </left>
        <right style="thin">
          <color auto="1"/>
        </right>
        <top style="thin">
          <color theme="0" tint="-0.499984740745262"/>
        </top>
        <bottom style="thin">
          <color theme="0" tint="-0.499984740745262"/>
        </bottom>
      </border>
    </dxf>
    <dxf>
      <numFmt numFmtId="15" formatCode="0.00E+00"/>
      <fill>
        <patternFill patternType="none">
          <fgColor indexed="64"/>
          <bgColor auto="1"/>
        </patternFill>
      </fill>
      <border diagonalUp="0" diagonalDown="0" outline="0">
        <left style="thin">
          <color auto="1"/>
        </left>
        <right style="thin">
          <color auto="1"/>
        </right>
        <top style="thin">
          <color theme="0" tint="-0.499984740745262"/>
        </top>
        <bottom style="thin">
          <color theme="0" tint="-0.499984740745262"/>
        </bottom>
      </border>
    </dxf>
    <dxf>
      <numFmt numFmtId="15" formatCode="0.00E+00"/>
      <fill>
        <patternFill patternType="none">
          <fgColor indexed="64"/>
          <bgColor auto="1"/>
        </patternFill>
      </fill>
      <border diagonalUp="0" diagonalDown="0" outline="0">
        <left style="thin">
          <color auto="1"/>
        </left>
        <right style="thin">
          <color auto="1"/>
        </right>
        <top style="thin">
          <color theme="0" tint="-0.499984740745262"/>
        </top>
        <bottom style="thin">
          <color theme="0" tint="-0.499984740745262"/>
        </bottom>
      </border>
    </dxf>
    <dxf>
      <numFmt numFmtId="30" formatCode="@"/>
      <fill>
        <patternFill patternType="none">
          <fgColor indexed="64"/>
          <bgColor auto="1"/>
        </patternFill>
      </fill>
      <border diagonalUp="0" diagonalDown="0" outline="0">
        <left style="thin">
          <color auto="1"/>
        </left>
        <right style="thin">
          <color auto="1"/>
        </right>
        <top style="thin">
          <color theme="0" tint="-0.499984740745262"/>
        </top>
        <bottom style="thin">
          <color theme="0" tint="-0.499984740745262"/>
        </bottom>
      </border>
    </dxf>
    <dxf>
      <numFmt numFmtId="15" formatCode="0.00E+00"/>
      <fill>
        <patternFill patternType="none">
          <fgColor indexed="64"/>
          <bgColor auto="1"/>
        </patternFill>
      </fill>
      <border diagonalUp="0" diagonalDown="0" outline="0">
        <left style="thin">
          <color auto="1"/>
        </left>
        <right style="thin">
          <color auto="1"/>
        </right>
        <top style="thin">
          <color theme="0" tint="-0.499984740745262"/>
        </top>
        <bottom style="thin">
          <color theme="0" tint="-0.499984740745262"/>
        </bottom>
      </border>
    </dxf>
    <dxf>
      <numFmt numFmtId="15" formatCode="0.00E+00"/>
      <fill>
        <patternFill patternType="none">
          <fgColor indexed="64"/>
          <bgColor auto="1"/>
        </patternFill>
      </fill>
      <border diagonalUp="0" diagonalDown="0" outline="0">
        <left/>
        <right style="thin">
          <color auto="1"/>
        </right>
        <top style="thin">
          <color theme="0" tint="-0.499984740745262"/>
        </top>
        <bottom style="thin">
          <color theme="0" tint="-0.499984740745262"/>
        </bottom>
      </border>
    </dxf>
    <dxf>
      <fill>
        <patternFill patternType="solid">
          <fgColor indexed="64"/>
          <bgColor theme="2" tint="-0.249977111117893"/>
        </patternFill>
      </fill>
    </dxf>
    <dxf>
      <numFmt numFmtId="1" formatCode="0"/>
      <fill>
        <patternFill patternType="none">
          <fgColor indexed="64"/>
          <bgColor auto="1"/>
        </patternFill>
      </fill>
      <alignment horizontal="left" vertical="bottom" textRotation="0" wrapText="0" indent="0" justifyLastLine="0" shrinkToFit="0" readingOrder="0"/>
    </dxf>
    <dxf>
      <font>
        <b/>
        <i/>
        <strike val="0"/>
        <condense val="0"/>
        <extend val="0"/>
        <outline val="0"/>
        <shadow val="0"/>
        <u val="none"/>
        <vertAlign val="baseline"/>
        <sz val="11"/>
        <color theme="1"/>
        <name val="Calibri"/>
        <family val="2"/>
        <scheme val="minor"/>
      </font>
      <numFmt numFmtId="1" formatCode="0"/>
      <fill>
        <patternFill patternType="none">
          <fgColor indexed="64"/>
          <bgColor auto="1"/>
        </patternFill>
      </fill>
      <alignment horizontal="center" vertical="bottom" textRotation="0" wrapText="0" indent="0" justifyLastLine="0" shrinkToFit="0" readingOrder="0"/>
    </dxf>
    <dxf>
      <font>
        <b/>
        <i/>
        <strike val="0"/>
        <condense val="0"/>
        <extend val="0"/>
        <outline val="0"/>
        <shadow val="0"/>
        <u val="none"/>
        <vertAlign val="baseline"/>
        <sz val="11"/>
        <color theme="1"/>
        <name val="Calibri"/>
        <family val="2"/>
        <scheme val="minor"/>
      </font>
      <numFmt numFmtId="1" formatCode="0"/>
      <fill>
        <patternFill patternType="none">
          <fgColor indexed="64"/>
          <bgColor auto="1"/>
        </patternFill>
      </fill>
      <alignment horizontal="center" vertical="bottom" textRotation="0" wrapText="0" indent="0" justifyLastLine="0" shrinkToFit="0" readingOrder="0"/>
    </dxf>
    <dxf>
      <font>
        <b/>
        <i/>
        <strike val="0"/>
        <condense val="0"/>
        <extend val="0"/>
        <outline val="0"/>
        <shadow val="0"/>
        <u val="none"/>
        <vertAlign val="baseline"/>
        <sz val="11"/>
        <color theme="1"/>
        <name val="Calibri"/>
        <family val="2"/>
        <scheme val="minor"/>
      </font>
      <numFmt numFmtId="1" formatCode="0"/>
      <fill>
        <patternFill patternType="none">
          <fgColor indexed="64"/>
          <bgColor auto="1"/>
        </patternFill>
      </fill>
      <alignment horizontal="center" vertical="bottom" textRotation="0" wrapText="0" indent="0" justifyLastLine="0" shrinkToFit="0" readingOrder="0"/>
    </dxf>
    <dxf>
      <font>
        <b/>
        <i/>
        <strike val="0"/>
        <condense val="0"/>
        <extend val="0"/>
        <outline val="0"/>
        <shadow val="0"/>
        <u val="none"/>
        <vertAlign val="baseline"/>
        <sz val="11"/>
        <color theme="1"/>
        <name val="Calibri"/>
        <family val="2"/>
        <scheme val="minor"/>
      </font>
      <fill>
        <patternFill patternType="none">
          <fgColor indexed="64"/>
          <bgColor auto="1"/>
        </patternFill>
      </fill>
      <alignment horizontal="left" vertical="bottom" textRotation="0" wrapText="0" indent="0" justifyLastLine="0" shrinkToFit="0" readingOrder="0"/>
    </dxf>
    <dxf>
      <font>
        <b/>
        <i/>
        <strike val="0"/>
        <condense val="0"/>
        <extend val="0"/>
        <outline val="0"/>
        <shadow val="0"/>
        <u val="none"/>
        <vertAlign val="baseline"/>
        <sz val="11"/>
        <color theme="1"/>
        <name val="Calibri"/>
        <family val="2"/>
        <scheme val="minor"/>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9"/>
        <color auto="1"/>
        <name val="Calibri"/>
        <family val="2"/>
        <scheme val="minor"/>
      </font>
      <numFmt numFmtId="0" formatCode="General"/>
      <fill>
        <patternFill patternType="solid">
          <fgColor indexed="64"/>
          <bgColor theme="2" tint="-0.249977111117893"/>
        </patternFill>
      </fill>
      <alignment horizontal="left" vertical="bottom" textRotation="0" wrapText="0" indent="0" justifyLastLine="0" shrinkToFit="0" readingOrder="0"/>
    </dxf>
    <dxf>
      <numFmt numFmtId="0" formatCode="General"/>
      <fill>
        <patternFill patternType="none">
          <fgColor indexed="64"/>
          <bgColor auto="1"/>
        </patternFill>
      </fill>
      <alignment horizontal="left"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fill>
        <patternFill patternType="none">
          <fgColor indexed="64"/>
          <bgColor auto="1"/>
        </patternFill>
      </fill>
    </dxf>
    <dxf>
      <font>
        <strike val="0"/>
        <outline val="0"/>
        <shadow val="0"/>
        <u val="none"/>
        <vertAlign val="baseline"/>
        <sz val="9"/>
        <name val="Calibri"/>
        <family val="2"/>
        <scheme val="minor"/>
      </font>
      <fill>
        <patternFill patternType="solid">
          <fgColor indexed="64"/>
          <bgColor theme="8" tint="0.79998168889431442"/>
        </patternFill>
      </fill>
      <alignment horizontal="right" vertical="bottom" textRotation="0" wrapText="0" indent="0" justifyLastLine="0" shrinkToFit="0" readingOrder="0"/>
    </dxf>
    <dxf>
      <font>
        <b val="0"/>
        <i val="0"/>
        <strike val="0"/>
        <condense val="0"/>
        <extend val="0"/>
        <outline val="0"/>
        <shadow val="0"/>
        <u val="none"/>
        <vertAlign val="baseline"/>
        <sz val="9"/>
        <color auto="1"/>
        <name val="Calibri"/>
        <family val="2"/>
        <scheme val="minor"/>
      </font>
      <fill>
        <patternFill patternType="solid">
          <fgColor indexed="64"/>
          <bgColor theme="8" tint="0.79998168889431442"/>
        </patternFill>
      </fill>
      <alignment horizontal="left" vertical="center" textRotation="0" wrapText="0" indent="0" justifyLastLine="0" shrinkToFit="0" readingOrder="0"/>
    </dxf>
    <dxf>
      <font>
        <strike val="0"/>
        <outline val="0"/>
        <shadow val="0"/>
        <u val="none"/>
        <vertAlign val="baseline"/>
        <sz val="9"/>
        <name val="Calibri"/>
        <family val="2"/>
        <scheme val="minor"/>
      </font>
      <fill>
        <patternFill patternType="solid">
          <fgColor indexed="64"/>
          <bgColor theme="8" tint="0.79998168889431442"/>
        </patternFill>
      </fill>
    </dxf>
    <dxf>
      <font>
        <b val="0"/>
        <i val="0"/>
        <strike val="0"/>
        <condense val="0"/>
        <extend val="0"/>
        <outline val="0"/>
        <shadow val="0"/>
        <u val="none"/>
        <vertAlign val="baseline"/>
        <sz val="9"/>
        <color theme="1"/>
        <name val="Calibri"/>
        <family val="2"/>
        <scheme val="none"/>
      </font>
      <fill>
        <patternFill patternType="solid">
          <fgColor indexed="64"/>
          <bgColor theme="8" tint="0.79998168889431442"/>
        </patternFill>
      </fill>
      <alignment horizontal="left" vertical="bottom" textRotation="0" wrapText="0" indent="0" justifyLastLine="0" shrinkToFit="0" readingOrder="0"/>
    </dxf>
    <dxf>
      <font>
        <strike val="0"/>
        <outline val="0"/>
        <shadow val="0"/>
        <u val="none"/>
        <vertAlign val="baseline"/>
        <sz val="8"/>
        <name val="Calibri"/>
        <family val="2"/>
        <scheme val="none"/>
      </font>
      <numFmt numFmtId="0" formatCode="General"/>
      <fill>
        <patternFill patternType="none">
          <fgColor indexed="64"/>
          <bgColor indexed="65"/>
        </patternFill>
      </fill>
      <alignment horizontal="left" vertical="bottom" textRotation="0" wrapText="0" indent="0" justifyLastLine="0" shrinkToFit="0" readingOrder="0"/>
    </dxf>
    <dxf>
      <font>
        <strike val="0"/>
        <outline val="0"/>
        <shadow val="0"/>
        <u val="none"/>
        <vertAlign val="baseline"/>
        <sz val="9"/>
        <name val="Calibri"/>
        <family val="2"/>
        <scheme val="none"/>
      </font>
      <numFmt numFmtId="0" formatCode="General"/>
      <fill>
        <patternFill patternType="none">
          <fgColor indexed="64"/>
          <bgColor indexed="65"/>
        </patternFill>
      </fill>
      <alignment horizontal="left" vertical="top" textRotation="0" wrapText="0" indent="0" justifyLastLine="0" shrinkToFit="0" readingOrder="0"/>
    </dxf>
    <dxf>
      <font>
        <strike val="0"/>
        <outline val="0"/>
        <shadow val="0"/>
        <u val="none"/>
        <vertAlign val="baseline"/>
        <sz val="9"/>
        <name val="Calibri"/>
        <family val="2"/>
        <scheme val="minor"/>
      </font>
      <numFmt numFmtId="0" formatCode="General"/>
      <fill>
        <patternFill patternType="none">
          <fgColor indexed="64"/>
          <bgColor indexed="65"/>
        </patternFill>
      </fill>
      <alignment horizontal="left" vertical="top" textRotation="0" wrapText="0" indent="0" justifyLastLine="0" shrinkToFit="0" readingOrder="0"/>
    </dxf>
    <dxf>
      <font>
        <strike val="0"/>
        <outline val="0"/>
        <shadow val="0"/>
        <u val="none"/>
        <vertAlign val="baseline"/>
        <sz val="9"/>
        <name val="Calibri"/>
        <family val="2"/>
        <scheme val="none"/>
      </font>
      <fill>
        <patternFill patternType="none">
          <fgColor rgb="FF000000"/>
          <bgColor rgb="FFFFFFFF"/>
        </patternFill>
      </fill>
    </dxf>
    <dxf>
      <font>
        <b/>
        <i val="0"/>
        <strike val="0"/>
        <condense val="0"/>
        <extend val="0"/>
        <outline val="0"/>
        <shadow val="0"/>
        <u val="none"/>
        <vertAlign val="baseline"/>
        <sz val="9"/>
        <color auto="1"/>
        <name val="Arial"/>
        <family val="2"/>
        <scheme val="none"/>
      </font>
      <alignment horizontal="center" vertical="center" textRotation="0" wrapText="1"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vertical="center" textRotation="0" indent="0" justifyLastLine="0" shrinkToFit="0" readingOrder="0"/>
    </dxf>
    <dxf>
      <alignment vertical="center" textRotation="0" indent="0" justifyLastLine="0" shrinkToFit="0" readingOrder="0"/>
    </dxf>
    <dxf>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font>
        <strike val="0"/>
        <outline val="0"/>
        <shadow val="0"/>
        <u val="none"/>
        <vertAlign val="baseline"/>
        <sz val="9"/>
        <color theme="1"/>
        <name val="Calibri"/>
        <family val="2"/>
        <scheme val="minor"/>
      </font>
      <numFmt numFmtId="165" formatCode="0.0000000000000000"/>
      <fill>
        <patternFill patternType="solid">
          <fgColor indexed="64"/>
          <bgColor theme="8" tint="0.79998168889431442"/>
        </patternFill>
      </fill>
    </dxf>
    <dxf>
      <font>
        <strike val="0"/>
        <outline val="0"/>
        <shadow val="0"/>
        <u val="none"/>
        <vertAlign val="baseline"/>
        <sz val="9"/>
        <color theme="1"/>
        <name val="Calibri"/>
        <family val="2"/>
        <scheme val="minor"/>
      </font>
      <fill>
        <patternFill patternType="solid">
          <fgColor indexed="64"/>
          <bgColor theme="8" tint="0.79998168889431442"/>
        </patternFill>
      </fill>
    </dxf>
    <dxf>
      <font>
        <strike val="0"/>
        <outline val="0"/>
        <shadow val="0"/>
        <u val="none"/>
        <vertAlign val="baseline"/>
        <sz val="9"/>
        <color theme="1"/>
        <name val="Calibri"/>
        <family val="2"/>
        <scheme val="minor"/>
      </font>
      <numFmt numFmtId="0" formatCode="General"/>
      <alignment horizontal="left" vertical="bottom" textRotation="0" wrapText="0" indent="0" justifyLastLine="0" shrinkToFit="0" readingOrder="0"/>
    </dxf>
    <dxf>
      <font>
        <strike val="0"/>
        <outline val="0"/>
        <shadow val="0"/>
        <u val="none"/>
        <vertAlign val="baseline"/>
        <sz val="9"/>
        <color theme="1"/>
        <name val="Calibri"/>
        <family val="2"/>
        <scheme val="minor"/>
      </font>
    </dxf>
    <dxf>
      <font>
        <strike val="0"/>
        <outline val="0"/>
        <shadow val="0"/>
        <u val="none"/>
        <vertAlign val="baseline"/>
        <sz val="9"/>
        <color theme="1"/>
        <name val="Calibri"/>
        <family val="2"/>
        <scheme val="minor"/>
      </font>
    </dxf>
    <dxf>
      <font>
        <b val="0"/>
        <i val="0"/>
        <strike val="0"/>
        <condense val="0"/>
        <extend val="0"/>
        <outline val="0"/>
        <shadow val="0"/>
        <u val="none"/>
        <vertAlign val="baseline"/>
        <sz val="9"/>
        <color theme="1"/>
        <name val="Calibri"/>
        <family val="2"/>
        <scheme val="minor"/>
      </font>
      <numFmt numFmtId="164" formatCode="_(* #,##0_);_(* \(#,##0\);_(* &quot;-&quot;??_);_(@_)"/>
      <fill>
        <patternFill patternType="solid">
          <fgColor indexed="64"/>
          <bgColor theme="8" tint="0.79998168889431442"/>
        </patternFill>
      </fill>
    </dxf>
    <dxf>
      <font>
        <b val="0"/>
        <i val="0"/>
        <strike val="0"/>
        <condense val="0"/>
        <extend val="0"/>
        <outline val="0"/>
        <shadow val="0"/>
        <u val="none"/>
        <vertAlign val="baseline"/>
        <sz val="9"/>
        <color theme="1"/>
        <name val="Calibri"/>
        <family val="2"/>
        <scheme val="minor"/>
      </font>
      <numFmt numFmtId="164" formatCode="_(* #,##0_);_(* \(#,##0\);_(* &quot;-&quot;??_);_(@_)"/>
      <fill>
        <patternFill patternType="solid">
          <fgColor indexed="64"/>
          <bgColor theme="8" tint="0.79998168889431442"/>
        </patternFill>
      </fill>
    </dxf>
    <dxf>
      <font>
        <b val="0"/>
        <i val="0"/>
        <strike val="0"/>
        <condense val="0"/>
        <extend val="0"/>
        <outline val="0"/>
        <shadow val="0"/>
        <u val="none"/>
        <vertAlign val="baseline"/>
        <sz val="9"/>
        <color theme="1"/>
        <name val="Calibri"/>
        <family val="2"/>
        <scheme val="minor"/>
      </font>
      <numFmt numFmtId="164" formatCode="_(* #,##0_);_(* \(#,##0\);_(* &quot;-&quot;??_);_(@_)"/>
      <fill>
        <patternFill patternType="solid">
          <fgColor indexed="64"/>
          <bgColor theme="8" tint="0.79998168889431442"/>
        </patternFill>
      </fill>
    </dxf>
    <dxf>
      <font>
        <b val="0"/>
        <i val="0"/>
        <strike val="0"/>
        <condense val="0"/>
        <extend val="0"/>
        <outline val="0"/>
        <shadow val="0"/>
        <u val="none"/>
        <vertAlign val="baseline"/>
        <sz val="9"/>
        <color theme="1"/>
        <name val="Calibri"/>
        <family val="2"/>
        <scheme val="minor"/>
      </font>
      <numFmt numFmtId="164" formatCode="_(* #,##0_);_(* \(#,##0\);_(* &quot;-&quot;??_);_(@_)"/>
      <fill>
        <patternFill patternType="solid">
          <fgColor indexed="64"/>
          <bgColor theme="8" tint="0.79998168889431442"/>
        </patternFill>
      </fill>
    </dxf>
    <dxf>
      <font>
        <b val="0"/>
        <i val="0"/>
        <strike val="0"/>
        <condense val="0"/>
        <extend val="0"/>
        <outline val="0"/>
        <shadow val="0"/>
        <u val="none"/>
        <vertAlign val="baseline"/>
        <sz val="9"/>
        <color theme="1"/>
        <name val="Calibri"/>
        <family val="2"/>
        <scheme val="minor"/>
      </font>
      <numFmt numFmtId="164" formatCode="_(* #,##0_);_(* \(#,##0\);_(* &quot;-&quot;??_);_(@_)"/>
      <fill>
        <patternFill patternType="solid">
          <fgColor indexed="64"/>
          <bgColor theme="8" tint="0.79998168889431442"/>
        </patternFill>
      </fill>
    </dxf>
    <dxf>
      <font>
        <b val="0"/>
        <i val="0"/>
        <strike val="0"/>
        <condense val="0"/>
        <extend val="0"/>
        <outline val="0"/>
        <shadow val="0"/>
        <u val="none"/>
        <vertAlign val="baseline"/>
        <sz val="9"/>
        <color theme="1"/>
        <name val="Calibri"/>
        <family val="2"/>
        <scheme val="minor"/>
      </font>
      <numFmt numFmtId="164" formatCode="_(* #,##0_);_(* \(#,##0\);_(* &quot;-&quot;??_);_(@_)"/>
      <fill>
        <patternFill patternType="solid">
          <fgColor indexed="64"/>
          <bgColor theme="8" tint="0.79998168889431442"/>
        </patternFill>
      </fill>
    </dxf>
    <dxf>
      <font>
        <b val="0"/>
        <i val="0"/>
        <strike val="0"/>
        <condense val="0"/>
        <extend val="0"/>
        <outline val="0"/>
        <shadow val="0"/>
        <u val="none"/>
        <vertAlign val="baseline"/>
        <sz val="9"/>
        <color theme="1"/>
        <name val="Calibri"/>
        <family val="2"/>
        <scheme val="minor"/>
      </font>
      <numFmt numFmtId="164" formatCode="_(* #,##0_);_(* \(#,##0\);_(* &quot;-&quot;??_);_(@_)"/>
      <fill>
        <patternFill patternType="solid">
          <fgColor indexed="64"/>
          <bgColor theme="8" tint="0.79998168889431442"/>
        </patternFill>
      </fill>
    </dxf>
    <dxf>
      <font>
        <b val="0"/>
        <i val="0"/>
        <strike val="0"/>
        <condense val="0"/>
        <extend val="0"/>
        <outline val="0"/>
        <shadow val="0"/>
        <u val="none"/>
        <vertAlign val="baseline"/>
        <sz val="9"/>
        <color theme="1"/>
        <name val="Calibri"/>
        <family val="2"/>
        <scheme val="minor"/>
      </font>
      <numFmt numFmtId="164" formatCode="_(* #,##0_);_(* \(#,##0\);_(* &quot;-&quot;??_);_(@_)"/>
      <fill>
        <patternFill patternType="solid">
          <fgColor indexed="64"/>
          <bgColor theme="8" tint="0.79998168889431442"/>
        </patternFill>
      </fill>
    </dxf>
    <dxf>
      <font>
        <strike val="0"/>
        <outline val="0"/>
        <shadow val="0"/>
        <u val="none"/>
        <vertAlign val="baseline"/>
        <sz val="9"/>
        <color theme="1"/>
        <name val="Calibri"/>
        <family val="2"/>
        <scheme val="minor"/>
      </font>
      <fill>
        <patternFill patternType="solid">
          <fgColor indexed="64"/>
          <bgColor theme="8" tint="0.79998168889431442"/>
        </patternFill>
      </fill>
      <alignment horizontal="left" vertical="bottom" textRotation="0" wrapText="0" indent="0" justifyLastLine="0" shrinkToFit="0" readingOrder="0"/>
    </dxf>
    <dxf>
      <font>
        <b val="0"/>
        <i val="0"/>
        <strike val="0"/>
        <condense val="0"/>
        <extend val="0"/>
        <outline val="0"/>
        <shadow val="0"/>
        <u val="none"/>
        <vertAlign val="baseline"/>
        <sz val="9"/>
        <color theme="1"/>
        <name val="Calibri"/>
        <family val="2"/>
        <scheme val="minor"/>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9"/>
        <color theme="1"/>
        <name val="Calibri"/>
        <family val="2"/>
        <scheme val="minor"/>
      </font>
    </dxf>
    <dxf>
      <font>
        <strike val="0"/>
        <outline val="0"/>
        <shadow val="0"/>
        <u val="none"/>
        <vertAlign val="baseline"/>
        <sz val="9"/>
        <color theme="1"/>
        <name val="Calibri"/>
        <family val="2"/>
        <scheme val="minor"/>
      </font>
    </dxf>
    <dxf>
      <font>
        <strike val="0"/>
        <outline val="0"/>
        <shadow val="0"/>
        <u val="none"/>
        <vertAlign val="baseline"/>
        <sz val="10"/>
        <name val="Calibri"/>
        <family val="2"/>
      </font>
      <numFmt numFmtId="0" formatCode="General"/>
      <fill>
        <patternFill patternType="solid">
          <fgColor indexed="64"/>
          <bgColor theme="8" tint="0.79998168889431442"/>
        </patternFill>
      </fill>
      <alignment horizontal="general" vertical="center" textRotation="0" wrapText="0" indent="0" justifyLastLine="0" shrinkToFit="0" readingOrder="0"/>
    </dxf>
    <dxf>
      <font>
        <strike val="0"/>
        <outline val="0"/>
        <shadow val="0"/>
        <u val="none"/>
        <vertAlign val="baseline"/>
        <sz val="10"/>
        <name val="Calibri"/>
        <family val="2"/>
      </font>
      <fill>
        <patternFill patternType="solid">
          <fgColor indexed="64"/>
          <bgColor theme="8" tint="0.79998168889431442"/>
        </patternFill>
      </fill>
      <alignment vertical="center" textRotation="0" indent="0" justifyLastLine="0" shrinkToFit="0" readingOrder="0"/>
    </dxf>
    <dxf>
      <font>
        <strike val="0"/>
        <outline val="0"/>
        <shadow val="0"/>
        <u val="none"/>
        <vertAlign val="baseline"/>
        <sz val="10"/>
        <name val="Calibri"/>
        <family val="2"/>
      </font>
      <fill>
        <patternFill patternType="solid">
          <fgColor indexed="64"/>
          <bgColor theme="8" tint="0.79998168889431442"/>
        </patternFill>
      </fill>
      <alignment vertical="center" textRotation="0" indent="0" justifyLastLine="0" shrinkToFit="0" readingOrder="0"/>
    </dxf>
    <dxf>
      <font>
        <strike val="0"/>
        <outline val="0"/>
        <shadow val="0"/>
        <u val="none"/>
        <vertAlign val="baseline"/>
        <sz val="10"/>
        <name val="Calibri"/>
        <family val="2"/>
      </font>
      <fill>
        <patternFill patternType="solid">
          <fgColor indexed="64"/>
          <bgColor theme="8" tint="0.79998168889431442"/>
        </patternFill>
      </fill>
      <alignment vertical="center" textRotation="0" indent="0" justifyLastLine="0" shrinkToFit="0" readingOrder="0"/>
    </dxf>
    <dxf>
      <font>
        <strike val="0"/>
        <outline val="0"/>
        <shadow val="0"/>
        <u val="none"/>
        <vertAlign val="baseline"/>
        <sz val="10"/>
        <name val="Calibri"/>
        <family val="2"/>
      </font>
      <fill>
        <patternFill patternType="solid">
          <fgColor indexed="64"/>
          <bgColor theme="8" tint="0.79998168889431442"/>
        </patternFill>
      </fill>
      <alignment vertical="center" textRotation="0" indent="0" justifyLastLine="0" shrinkToFit="0" readingOrder="0"/>
    </dxf>
    <dxf>
      <font>
        <strike val="0"/>
        <outline val="0"/>
        <shadow val="0"/>
        <u val="none"/>
        <vertAlign val="baseline"/>
        <sz val="10"/>
        <name val="Calibri"/>
        <family val="2"/>
      </font>
      <fill>
        <patternFill patternType="solid">
          <fgColor indexed="64"/>
          <bgColor theme="8" tint="0.79998168889431442"/>
        </patternFill>
      </fill>
      <alignment vertical="center" textRotation="0" indent="0" justifyLastLine="0" shrinkToFit="0" readingOrder="0"/>
    </dxf>
    <dxf>
      <font>
        <b val="0"/>
        <i val="0"/>
        <strike val="0"/>
        <condense val="0"/>
        <extend val="0"/>
        <outline val="0"/>
        <shadow val="0"/>
        <u val="none"/>
        <vertAlign val="baseline"/>
        <sz val="10"/>
        <color theme="1"/>
        <name val="Calibri"/>
        <family val="2"/>
        <scheme val="minor"/>
      </font>
      <numFmt numFmtId="0" formatCode="General"/>
      <fill>
        <patternFill patternType="solid">
          <fgColor indexed="64"/>
          <bgColor theme="8" tint="0.79998168889431442"/>
        </patternFill>
      </fill>
      <alignment horizontal="center" vertical="center" textRotation="0" wrapText="0" indent="0" justifyLastLine="0" shrinkToFit="0" readingOrder="0"/>
    </dxf>
    <dxf>
      <font>
        <strike val="0"/>
        <outline val="0"/>
        <shadow val="0"/>
        <u val="none"/>
        <vertAlign val="baseline"/>
        <sz val="10"/>
        <name val="Calibri"/>
        <family val="2"/>
      </font>
      <fill>
        <patternFill patternType="solid">
          <fgColor indexed="64"/>
          <bgColor theme="8" tint="0.79998168889431442"/>
        </patternFill>
      </fill>
      <alignment vertical="center" textRotation="0" indent="0" justifyLastLine="0" shrinkToFit="0" readingOrder="0"/>
    </dxf>
    <dxf>
      <font>
        <strike val="0"/>
        <outline val="0"/>
        <shadow val="0"/>
        <u val="none"/>
        <vertAlign val="baseline"/>
        <sz val="10"/>
        <name val="Calibri"/>
        <family val="2"/>
      </font>
      <numFmt numFmtId="0" formatCode="General"/>
      <alignment horizontal="left" vertical="center" textRotation="0" wrapText="0" indent="0" justifyLastLine="0" shrinkToFit="0" readingOrder="0"/>
    </dxf>
    <dxf>
      <font>
        <strike val="0"/>
        <outline val="0"/>
        <shadow val="0"/>
        <u val="none"/>
        <vertAlign val="baseline"/>
        <sz val="10"/>
        <name val="Calibri"/>
        <family val="2"/>
      </font>
      <alignment vertical="center" textRotation="0" indent="0" justifyLastLine="0" shrinkToFit="0" readingOrder="0"/>
    </dxf>
    <dxf>
      <font>
        <strike val="0"/>
        <outline val="0"/>
        <shadow val="0"/>
        <u val="none"/>
        <vertAlign val="baseline"/>
        <sz val="10"/>
        <name val="Calibri"/>
        <family val="2"/>
      </font>
      <alignment vertical="center" textRotation="0" indent="0" justifyLastLine="0" shrinkToFit="0" readingOrder="0"/>
    </dxf>
    <dxf>
      <font>
        <strike val="0"/>
        <outline val="0"/>
        <shadow val="0"/>
        <u val="none"/>
        <vertAlign val="baseline"/>
        <sz val="10"/>
        <color theme="1"/>
        <name val="Calibri"/>
        <family val="2"/>
        <scheme val="minor"/>
      </font>
      <numFmt numFmtId="1" formatCode="0"/>
      <fill>
        <patternFill patternType="solid">
          <fgColor indexed="64"/>
          <bgColor theme="8" tint="0.79998168889431442"/>
        </patternFill>
      </fill>
    </dxf>
    <dxf>
      <font>
        <strike val="0"/>
        <outline val="0"/>
        <shadow val="0"/>
        <u val="none"/>
        <vertAlign val="baseline"/>
        <sz val="10"/>
        <color theme="1"/>
        <name val="Calibri"/>
        <family val="2"/>
        <scheme val="minor"/>
      </font>
      <fill>
        <patternFill patternType="solid">
          <fgColor indexed="64"/>
          <bgColor theme="8" tint="0.79998168889431442"/>
        </patternFill>
      </fill>
    </dxf>
    <dxf>
      <font>
        <strike val="0"/>
        <outline val="0"/>
        <shadow val="0"/>
        <u val="none"/>
        <vertAlign val="baseline"/>
        <sz val="10"/>
        <color theme="1"/>
        <name val="Calibri"/>
        <family val="2"/>
        <scheme val="minor"/>
      </font>
      <fill>
        <patternFill patternType="solid">
          <fgColor indexed="64"/>
          <bgColor theme="8" tint="0.79998168889431442"/>
        </patternFill>
      </fill>
    </dxf>
    <dxf>
      <font>
        <strike val="0"/>
        <outline val="0"/>
        <shadow val="0"/>
        <u val="none"/>
        <vertAlign val="baseline"/>
        <sz val="10"/>
        <color theme="1"/>
        <name val="Calibri"/>
        <family val="2"/>
        <scheme val="minor"/>
      </font>
      <fill>
        <patternFill patternType="solid">
          <fgColor indexed="64"/>
          <bgColor theme="8" tint="0.79998168889431442"/>
        </patternFill>
      </fill>
    </dxf>
    <dxf>
      <font>
        <b val="0"/>
        <i val="0"/>
        <strike val="0"/>
        <condense val="0"/>
        <extend val="0"/>
        <outline val="0"/>
        <shadow val="0"/>
        <u val="none"/>
        <vertAlign val="baseline"/>
        <sz val="10"/>
        <color theme="1"/>
        <name val="Calibri"/>
        <family val="2"/>
        <scheme val="minor"/>
      </font>
      <numFmt numFmtId="0" formatCode="General"/>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0" formatCode="General"/>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0" formatCode="General"/>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fill>
        <patternFill patternType="solid">
          <fgColor indexed="64"/>
          <bgColor theme="8" tint="0.79998168889431442"/>
        </patternFill>
      </fill>
      <alignment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fill>
        <patternFill patternType="solid">
          <fgColor indexed="64"/>
          <bgColor theme="8" tint="0.79998168889431442"/>
        </patternFill>
      </fill>
      <alignment horizontal="left"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fill>
        <patternFill patternType="solid">
          <fgColor indexed="64"/>
          <bgColor theme="8" tint="0.79998168889431442"/>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fill>
        <patternFill patternType="solid">
          <fgColor indexed="64"/>
          <bgColor theme="8" tint="0.79998168889431442"/>
        </patternFill>
      </fill>
      <alignment vertical="center" textRotation="0" indent="0" justifyLastLine="0" shrinkToFit="0" readingOrder="0"/>
    </dxf>
    <dxf>
      <font>
        <b val="0"/>
        <i val="0"/>
        <strike val="0"/>
        <condense val="0"/>
        <extend val="0"/>
        <outline val="0"/>
        <shadow val="0"/>
        <u val="none"/>
        <vertAlign val="baseline"/>
        <sz val="10"/>
        <color theme="1"/>
        <name val="Calibri"/>
        <family val="2"/>
        <scheme val="minor"/>
      </font>
      <fill>
        <patternFill patternType="solid">
          <fgColor indexed="64"/>
          <bgColor theme="8" tint="0.79998168889431442"/>
        </patternFill>
      </fill>
      <alignment horizontal="left"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vertical="center" textRotation="0" indent="0" justifyLastLine="0" shrinkToFit="0" readingOrder="0"/>
    </dxf>
    <dxf>
      <font>
        <b val="0"/>
        <i val="0"/>
        <strike val="0"/>
        <condense val="0"/>
        <extend val="0"/>
        <outline val="0"/>
        <shadow val="0"/>
        <u val="none"/>
        <vertAlign val="baseline"/>
        <sz val="10"/>
        <color theme="1"/>
        <name val="Calibri"/>
        <family val="2"/>
        <scheme val="minor"/>
      </font>
      <alignment vertical="center" textRotation="0" indent="0" justifyLastLine="0" shrinkToFit="0" readingOrder="0"/>
    </dxf>
    <dxf>
      <font>
        <b val="0"/>
        <i val="0"/>
        <strike val="0"/>
        <condense val="0"/>
        <extend val="0"/>
        <outline val="0"/>
        <shadow val="0"/>
        <u val="none"/>
        <vertAlign val="baseline"/>
        <sz val="10"/>
        <color theme="1"/>
        <name val="Calibri"/>
        <family val="2"/>
        <scheme val="minor"/>
      </font>
      <numFmt numFmtId="0" formatCode="General"/>
      <fill>
        <patternFill patternType="solid">
          <fgColor indexed="64"/>
          <bgColor theme="2" tint="-0.249977111117893"/>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0" formatCode="General"/>
      <fill>
        <patternFill patternType="solid">
          <fgColor indexed="64"/>
          <bgColor theme="2" tint="-0.249977111117893"/>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0" formatCode="General"/>
      <fill>
        <patternFill patternType="solid">
          <fgColor indexed="64"/>
          <bgColor theme="2" tint="-0.249977111117893"/>
        </patternFill>
      </fill>
      <alignment horizontal="center" vertical="center" textRotation="0" wrapText="0" indent="0" justifyLastLine="0" shrinkToFit="0" readingOrder="0"/>
    </dxf>
    <dxf>
      <font>
        <b val="0"/>
        <i val="0"/>
        <strike val="0"/>
        <condense val="0"/>
        <extend val="0"/>
        <outline val="0"/>
        <shadow val="0"/>
        <u val="none"/>
        <vertAlign val="baseline"/>
        <sz val="8"/>
        <color indexed="8"/>
        <name val="Calibri"/>
        <family val="2"/>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8"/>
        <color indexed="8"/>
        <name val="Calibri"/>
        <family val="2"/>
        <scheme val="none"/>
      </font>
      <numFmt numFmtId="0" formatCode="General"/>
      <alignment vertical="center" textRotation="0" indent="0" justifyLastLine="0" shrinkToFit="0" readingOrder="0"/>
    </dxf>
    <dxf>
      <font>
        <b val="0"/>
        <i val="0"/>
        <strike val="0"/>
        <condense val="0"/>
        <extend val="0"/>
        <outline val="0"/>
        <shadow val="0"/>
        <u val="none"/>
        <vertAlign val="baseline"/>
        <sz val="10"/>
        <color indexed="8"/>
        <name val="Calibri"/>
        <family val="2"/>
        <scheme val="none"/>
      </font>
      <numFmt numFmtId="0" formatCode="General"/>
      <fill>
        <patternFill patternType="solid">
          <fgColor indexed="64"/>
          <bgColor theme="8"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0"/>
        <color indexed="8"/>
        <name val="Calibri"/>
        <family val="2"/>
        <scheme val="none"/>
      </font>
      <numFmt numFmtId="0" formatCode="General"/>
      <fill>
        <patternFill patternType="solid">
          <fgColor indexed="64"/>
          <bgColor theme="8"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0"/>
        <color indexed="8"/>
        <name val="Calibri"/>
        <family val="2"/>
        <scheme val="none"/>
      </font>
      <numFmt numFmtId="0" formatCode="General"/>
      <fill>
        <patternFill patternType="solid">
          <fgColor indexed="64"/>
          <bgColor theme="8"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0"/>
        <color indexed="8"/>
        <name val="Calibri"/>
        <family val="2"/>
        <scheme val="none"/>
      </font>
      <numFmt numFmtId="0" formatCode="General"/>
      <fill>
        <patternFill patternType="solid">
          <fgColor indexed="64"/>
          <bgColor theme="8"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fill>
        <patternFill patternType="solid">
          <fgColor indexed="64"/>
          <bgColor theme="8" tint="0.79998168889431442"/>
        </patternFill>
      </fill>
      <alignment horizontal="general" vertical="center" textRotation="0" wrapText="1" indent="0" justifyLastLine="0" shrinkToFit="0" readingOrder="0"/>
    </dxf>
    <dxf>
      <font>
        <b val="0"/>
        <i val="0"/>
        <strike val="0"/>
        <condense val="0"/>
        <extend val="0"/>
        <outline val="0"/>
        <shadow val="0"/>
        <u val="none"/>
        <vertAlign val="baseline"/>
        <sz val="8"/>
        <color theme="1"/>
        <name val="Calibri"/>
        <family val="2"/>
        <scheme val="minor"/>
      </font>
      <fill>
        <patternFill patternType="solid">
          <fgColor indexed="64"/>
          <bgColor theme="8" tint="0.79998168889431442"/>
        </patternFill>
      </fill>
      <alignmen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fill>
        <patternFill patternType="solid">
          <fgColor indexed="64"/>
          <bgColor theme="8" tint="0.79998168889431442"/>
        </patternFill>
      </fill>
      <alignment horizontal="left" vertical="center" textRotation="0" wrapText="0" indent="0" justifyLastLine="0" shrinkToFit="0" readingOrder="0"/>
    </dxf>
    <dxf>
      <font>
        <b val="0"/>
        <i val="0"/>
        <strike val="0"/>
        <condense val="0"/>
        <extend val="0"/>
        <outline val="0"/>
        <shadow val="0"/>
        <u val="none"/>
        <vertAlign val="baseline"/>
        <sz val="8"/>
        <color theme="1"/>
        <name val="Calibri"/>
        <family val="2"/>
        <scheme val="minor"/>
      </font>
      <fill>
        <patternFill patternType="solid">
          <fgColor indexed="64"/>
          <bgColor theme="8" tint="0.79998168889431442"/>
        </patternFill>
      </fill>
      <alignment horizontal="left" vertical="center" textRotation="0" wrapText="1" indent="0" justifyLastLine="0" shrinkToFit="0" readingOrder="0"/>
    </dxf>
    <dxf>
      <font>
        <b val="0"/>
        <i val="0"/>
        <strike val="0"/>
        <condense val="0"/>
        <extend val="0"/>
        <outline val="0"/>
        <shadow val="0"/>
        <u val="none"/>
        <vertAlign val="baseline"/>
        <sz val="8"/>
        <color indexed="8"/>
        <name val="Calibri"/>
        <family val="2"/>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8"/>
        <color indexed="8"/>
        <name val="Calibri"/>
        <family val="2"/>
        <scheme val="none"/>
      </font>
      <fill>
        <patternFill patternType="solid">
          <fgColor indexed="64"/>
          <bgColor theme="8" tint="0.79998168889431442"/>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fill>
        <patternFill patternType="solid">
          <fgColor indexed="64"/>
          <bgColor theme="8" tint="0.79998168889431442"/>
        </patternFill>
      </fill>
      <alignment horizontal="left"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fill>
        <patternFill patternType="solid">
          <fgColor indexed="64"/>
          <bgColor theme="8" tint="0.79998168889431442"/>
        </patternFill>
      </fill>
      <alignment horizontal="left"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0" formatCode="General"/>
      <alignment horizontal="left"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0" formatCode="General"/>
      <alignment horizontal="left"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vertical="center" textRotation="0" indent="0" justifyLastLine="0" shrinkToFit="0" readingOrder="0"/>
    </dxf>
    <dxf>
      <font>
        <b val="0"/>
        <i val="0"/>
        <strike val="0"/>
        <condense val="0"/>
        <extend val="0"/>
        <outline val="0"/>
        <shadow val="0"/>
        <u val="none"/>
        <vertAlign val="baseline"/>
        <sz val="10"/>
        <color theme="1"/>
        <name val="Calibri"/>
        <family val="2"/>
        <scheme val="minor"/>
      </font>
      <alignment vertical="center" textRotation="0" indent="0" justifyLastLine="0" shrinkToFit="0" readingOrder="0"/>
    </dxf>
    <dxf>
      <font>
        <b val="0"/>
        <i val="0"/>
        <strike val="0"/>
        <condense val="0"/>
        <extend val="0"/>
        <outline val="0"/>
        <shadow val="0"/>
        <u val="none"/>
        <vertAlign val="baseline"/>
        <sz val="10"/>
        <color theme="1"/>
        <name val="Calibri"/>
        <family val="2"/>
        <scheme val="minor"/>
      </font>
      <fill>
        <patternFill patternType="solid">
          <fgColor indexed="64"/>
          <bgColor theme="8" tint="0.79998168889431442"/>
        </patternFill>
      </fill>
      <alignment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fill>
        <patternFill patternType="solid">
          <fgColor indexed="64"/>
          <bgColor theme="8" tint="0.79998168889431442"/>
        </patternFill>
      </fill>
      <alignment horizontal="left"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vertical="center" textRotation="0" wrapText="0"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fill>
        <patternFill patternType="solid">
          <fgColor indexed="64"/>
          <bgColor theme="2" tint="-0.249977111117893"/>
        </patternFill>
      </fill>
      <alignment horizontal="general" vertical="center" textRotation="0" wrapText="1" indent="0" justifyLastLine="0" shrinkToFit="0" readingOrder="0"/>
    </dxf>
    <dxf>
      <font>
        <b val="0"/>
        <i val="0"/>
        <strike val="0"/>
        <condense val="0"/>
        <extend val="0"/>
        <outline val="0"/>
        <shadow val="0"/>
        <u val="none"/>
        <vertAlign val="baseline"/>
        <sz val="8"/>
        <color theme="1"/>
        <name val="Calibri"/>
        <family val="2"/>
        <scheme val="minor"/>
      </font>
      <fill>
        <patternFill patternType="solid">
          <fgColor indexed="64"/>
          <bgColor theme="2" tint="-0.249977111117893"/>
        </patternFill>
      </fill>
      <alignment horizontal="general" vertical="center" textRotation="0" wrapText="1"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fill>
        <patternFill patternType="solid">
          <fgColor indexed="64"/>
          <bgColor theme="2" tint="-0.249977111117893"/>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0" formatCode="General"/>
      <fill>
        <patternFill patternType="solid">
          <fgColor indexed="64"/>
          <bgColor theme="8" tint="0.79998168889431442"/>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fill>
        <patternFill patternType="solid">
          <fgColor indexed="64"/>
          <bgColor theme="8" tint="0.79998168889431442"/>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fill>
        <patternFill patternType="solid">
          <fgColor indexed="64"/>
          <bgColor theme="8" tint="0.79998168889431442"/>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fill>
        <patternFill patternType="solid">
          <fgColor indexed="64"/>
          <bgColor theme="8" tint="0.79998168889431442"/>
        </patternFill>
      </fill>
      <alignment horizontal="center" vertical="center" textRotation="0" wrapText="1" indent="0" justifyLastLine="0" shrinkToFit="0" readingOrder="0"/>
    </dxf>
    <dxf>
      <font>
        <b val="0"/>
        <i val="0"/>
        <strike val="0"/>
        <condense val="0"/>
        <extend val="0"/>
        <outline val="0"/>
        <shadow val="0"/>
        <u val="none"/>
        <vertAlign val="baseline"/>
        <sz val="8"/>
        <color indexed="8"/>
        <name val="Calibri"/>
        <family val="2"/>
        <scheme val="none"/>
      </font>
      <fill>
        <patternFill patternType="solid">
          <fgColor indexed="64"/>
          <bgColor theme="8" tint="0.79998168889431442"/>
        </patternFill>
      </fill>
      <alignment horizontal="general" vertical="center" textRotation="0" wrapText="1" indent="0" justifyLastLine="0" shrinkToFit="0" readingOrder="0"/>
    </dxf>
    <dxf>
      <font>
        <b val="0"/>
        <i val="0"/>
        <strike val="0"/>
        <condense val="0"/>
        <extend val="0"/>
        <outline val="0"/>
        <shadow val="0"/>
        <u val="none"/>
        <vertAlign val="baseline"/>
        <sz val="8"/>
        <color indexed="8"/>
        <name val="Calibri"/>
        <family val="2"/>
        <scheme val="none"/>
      </font>
      <fill>
        <patternFill patternType="solid">
          <fgColor indexed="64"/>
          <bgColor theme="8" tint="0.79998168889431442"/>
        </patternFill>
      </fill>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0" formatCode="General"/>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vertical="center" textRotation="0" indent="0" justifyLastLine="0" shrinkToFit="0" readingOrder="0"/>
    </dxf>
    <dxf>
      <font>
        <strike val="0"/>
        <outline val="0"/>
        <shadow val="0"/>
        <u val="none"/>
        <vertAlign val="baseline"/>
        <sz val="10"/>
        <name val="Calibri"/>
        <family val="2"/>
      </font>
      <numFmt numFmtId="0" formatCode="General"/>
      <fill>
        <patternFill patternType="solid">
          <fgColor indexed="64"/>
          <bgColor theme="2" tint="-0.249977111117893"/>
        </patternFill>
      </fill>
      <alignment horizontal="center" vertical="center" textRotation="0" wrapText="0" indent="0" justifyLastLine="0" shrinkToFit="0" readingOrder="0"/>
    </dxf>
    <dxf>
      <font>
        <strike val="0"/>
        <outline val="0"/>
        <shadow val="0"/>
        <u val="none"/>
        <vertAlign val="baseline"/>
        <sz val="10"/>
        <name val="Calibri"/>
        <family val="2"/>
      </font>
      <numFmt numFmtId="0" formatCode="General"/>
      <fill>
        <patternFill patternType="solid">
          <fgColor indexed="64"/>
          <bgColor theme="2" tint="-0.249977111117893"/>
        </patternFill>
      </fill>
      <alignment horizontal="center" vertical="center" textRotation="0" wrapText="0" indent="0" justifyLastLine="0" shrinkToFit="0" readingOrder="0"/>
    </dxf>
    <dxf>
      <font>
        <strike val="0"/>
        <outline val="0"/>
        <shadow val="0"/>
        <u val="none"/>
        <vertAlign val="baseline"/>
        <sz val="10"/>
        <name val="Calibri"/>
        <family val="2"/>
      </font>
      <numFmt numFmtId="0" formatCode="General"/>
      <fill>
        <patternFill patternType="solid">
          <fgColor indexed="64"/>
          <bgColor theme="2" tint="-0.249977111117893"/>
        </patternFill>
      </fill>
      <alignment horizontal="center" vertical="center" textRotation="0" wrapText="0" indent="0" justifyLastLine="0" shrinkToFit="0" readingOrder="0"/>
    </dxf>
    <dxf>
      <font>
        <strike val="0"/>
        <outline val="0"/>
        <shadow val="0"/>
        <u val="none"/>
        <vertAlign val="baseline"/>
        <sz val="10"/>
        <name val="Calibri"/>
        <family val="2"/>
      </font>
      <numFmt numFmtId="0" formatCode="General"/>
      <fill>
        <patternFill patternType="solid">
          <fgColor indexed="64"/>
          <bgColor theme="2" tint="-0.249977111117893"/>
        </patternFill>
      </fill>
      <alignment horizontal="center" vertical="center" textRotation="0" wrapText="0" indent="0" justifyLastLine="0" shrinkToFit="0" readingOrder="0"/>
    </dxf>
    <dxf>
      <font>
        <strike val="0"/>
        <outline val="0"/>
        <shadow val="0"/>
        <u val="none"/>
        <vertAlign val="baseline"/>
        <sz val="10"/>
        <name val="Calibri"/>
        <family val="2"/>
      </font>
      <numFmt numFmtId="0" formatCode="General"/>
      <fill>
        <patternFill patternType="solid">
          <fgColor indexed="64"/>
          <bgColor theme="2"/>
        </patternFill>
      </fill>
      <alignment horizontal="center" vertical="center" textRotation="0" wrapText="0" indent="0" justifyLastLine="0" shrinkToFit="0" readingOrder="0"/>
    </dxf>
    <dxf>
      <font>
        <strike val="0"/>
        <outline val="0"/>
        <shadow val="0"/>
        <u val="none"/>
        <vertAlign val="baseline"/>
        <sz val="10"/>
        <name val="Calibri"/>
        <family val="2"/>
      </font>
      <fill>
        <patternFill patternType="solid">
          <fgColor indexed="64"/>
          <bgColor theme="8" tint="0.79998168889431442"/>
        </patternFill>
      </fill>
      <alignment horizontal="center" vertical="center" textRotation="0" wrapText="0" indent="0" justifyLastLine="0" shrinkToFit="0" readingOrder="0"/>
    </dxf>
    <dxf>
      <font>
        <strike val="0"/>
        <outline val="0"/>
        <shadow val="0"/>
        <u val="none"/>
        <vertAlign val="baseline"/>
        <sz val="10"/>
        <name val="Calibri"/>
        <family val="2"/>
      </font>
      <fill>
        <patternFill patternType="solid">
          <fgColor indexed="64"/>
          <bgColor theme="8" tint="0.79998168889431442"/>
        </patternFill>
      </fill>
      <alignment horizontal="center" vertical="center" textRotation="0" wrapText="0" indent="0" justifyLastLine="0" shrinkToFit="0" readingOrder="0"/>
    </dxf>
    <dxf>
      <font>
        <strike val="0"/>
        <outline val="0"/>
        <shadow val="0"/>
        <u val="none"/>
        <vertAlign val="baseline"/>
        <sz val="10"/>
        <name val="Calibri"/>
        <family val="2"/>
      </font>
      <fill>
        <patternFill patternType="solid">
          <fgColor indexed="64"/>
          <bgColor theme="8" tint="0.79998168889431442"/>
        </patternFill>
      </fill>
      <alignment horizontal="center" vertical="center" textRotation="0" wrapText="0" indent="0" justifyLastLine="0" shrinkToFit="0" readingOrder="0"/>
    </dxf>
    <dxf>
      <font>
        <strike val="0"/>
        <outline val="0"/>
        <shadow val="0"/>
        <u val="none"/>
        <vertAlign val="baseline"/>
        <sz val="8"/>
        <color indexed="8"/>
        <name val="Calibri"/>
        <family val="2"/>
        <scheme val="none"/>
      </font>
      <numFmt numFmtId="0" formatCode="General"/>
      <fill>
        <patternFill patternType="solid">
          <fgColor indexed="64"/>
          <bgColor theme="8" tint="0.79998168889431442"/>
        </patternFill>
      </fill>
      <alignment horizontal="left" vertical="center" textRotation="0" wrapText="0" indent="0" justifyLastLine="0" shrinkToFit="0" readingOrder="0"/>
    </dxf>
    <dxf>
      <font>
        <strike val="0"/>
        <outline val="0"/>
        <shadow val="0"/>
        <u val="none"/>
        <vertAlign val="baseline"/>
        <sz val="8"/>
        <color indexed="8"/>
        <name val="Calibri"/>
        <family val="2"/>
        <scheme val="none"/>
      </font>
      <fill>
        <patternFill patternType="solid">
          <fgColor indexed="64"/>
          <bgColor theme="8" tint="0.79998168889431442"/>
        </patternFill>
      </fill>
      <alignment horizontal="left" vertical="center" textRotation="0" wrapText="0" indent="0" justifyLastLine="0" shrinkToFit="0" readingOrder="0"/>
    </dxf>
    <dxf>
      <font>
        <b val="0"/>
        <i val="0"/>
        <strike val="0"/>
        <condense val="0"/>
        <extend val="0"/>
        <outline val="0"/>
        <shadow val="0"/>
        <u val="none"/>
        <vertAlign val="baseline"/>
        <sz val="8"/>
        <color indexed="8"/>
        <name val="Calibri"/>
        <family val="2"/>
        <scheme val="none"/>
      </font>
      <fill>
        <patternFill patternType="solid">
          <fgColor indexed="64"/>
          <bgColor theme="8" tint="0.79998168889431442"/>
        </patternFill>
      </fill>
      <alignment horizontal="left" vertical="center" textRotation="0" wrapText="0" indent="0" justifyLastLine="0" shrinkToFit="0" readingOrder="0"/>
    </dxf>
    <dxf>
      <font>
        <strike val="0"/>
        <outline val="0"/>
        <shadow val="0"/>
        <u val="none"/>
        <vertAlign val="baseline"/>
        <sz val="8"/>
        <color indexed="8"/>
        <name val="Calibri"/>
        <family val="2"/>
        <scheme val="none"/>
      </font>
      <fill>
        <patternFill patternType="solid">
          <fgColor indexed="64"/>
          <bgColor theme="8" tint="0.79998168889431442"/>
        </patternFill>
      </fill>
      <alignment horizontal="left" vertical="center" textRotation="0" wrapText="0" indent="0" justifyLastLine="0" shrinkToFit="0" readingOrder="0"/>
    </dxf>
    <dxf>
      <font>
        <strike val="0"/>
        <outline val="0"/>
        <shadow val="0"/>
        <u val="none"/>
        <vertAlign val="baseline"/>
        <sz val="8"/>
        <color indexed="8"/>
        <name val="Calibri"/>
        <family val="2"/>
        <scheme val="none"/>
      </font>
      <fill>
        <patternFill patternType="solid">
          <fgColor indexed="64"/>
          <bgColor theme="8" tint="0.79998168889431442"/>
        </patternFill>
      </fill>
      <alignment horizontal="left" vertical="center" textRotation="0" wrapText="0" indent="0" justifyLastLine="0" shrinkToFit="0" readingOrder="0"/>
    </dxf>
    <dxf>
      <font>
        <b val="0"/>
        <i val="0"/>
        <strike val="0"/>
        <condense val="0"/>
        <extend val="0"/>
        <outline val="0"/>
        <shadow val="0"/>
        <u val="none"/>
        <vertAlign val="baseline"/>
        <sz val="8"/>
        <color indexed="8"/>
        <name val="Calibri"/>
        <family val="2"/>
        <scheme val="none"/>
      </font>
      <fill>
        <patternFill patternType="solid">
          <fgColor indexed="64"/>
          <bgColor theme="8" tint="0.79998168889431442"/>
        </patternFill>
      </fill>
      <alignment horizontal="left" vertical="center" textRotation="0" wrapText="0" indent="0" justifyLastLine="0" shrinkToFit="0" readingOrder="0"/>
    </dxf>
    <dxf>
      <font>
        <b val="0"/>
        <i val="0"/>
        <strike val="0"/>
        <condense val="0"/>
        <extend val="0"/>
        <outline val="0"/>
        <shadow val="0"/>
        <u val="none"/>
        <vertAlign val="baseline"/>
        <sz val="8"/>
        <color indexed="8"/>
        <name val="Calibri"/>
        <family val="2"/>
        <scheme val="none"/>
      </font>
      <fill>
        <patternFill patternType="solid">
          <fgColor indexed="64"/>
          <bgColor theme="8" tint="0.79998168889431442"/>
        </patternFill>
      </fill>
      <alignment horizontal="left" vertical="center" textRotation="0" wrapText="1" indent="0" justifyLastLine="0" shrinkToFit="0" readingOrder="0"/>
    </dxf>
    <dxf>
      <font>
        <b val="0"/>
        <i val="0"/>
        <strike val="0"/>
        <condense val="0"/>
        <extend val="0"/>
        <outline val="0"/>
        <shadow val="0"/>
        <u val="none"/>
        <vertAlign val="baseline"/>
        <sz val="8"/>
        <color theme="1"/>
        <name val="Calibri"/>
        <family val="2"/>
        <scheme val="minor"/>
      </font>
      <fill>
        <patternFill patternType="solid">
          <fgColor indexed="64"/>
          <bgColor theme="8" tint="0.79998168889431442"/>
        </patternFill>
      </fill>
      <alignment horizontal="left" vertical="center" textRotation="0" wrapText="0" indent="0" justifyLastLine="0" shrinkToFit="0" readingOrder="0"/>
    </dxf>
    <dxf>
      <font>
        <strike val="0"/>
        <outline val="0"/>
        <shadow val="0"/>
        <u val="none"/>
        <vertAlign val="baseline"/>
        <sz val="8"/>
        <name val="Calibri"/>
        <family val="2"/>
      </font>
      <fill>
        <patternFill patternType="solid">
          <fgColor indexed="64"/>
          <bgColor theme="8" tint="0.79998168889431442"/>
        </patternFill>
      </fill>
      <alignment horizontal="left" vertical="center" textRotation="0" wrapText="1" indent="0" justifyLastLine="0" shrinkToFit="0" readingOrder="0"/>
    </dxf>
    <dxf>
      <font>
        <strike val="0"/>
        <outline val="0"/>
        <shadow val="0"/>
        <u val="none"/>
        <vertAlign val="baseline"/>
        <sz val="8"/>
        <color indexed="8"/>
        <name val="Calibri"/>
        <family val="2"/>
        <scheme val="none"/>
      </font>
      <fill>
        <patternFill patternType="solid">
          <fgColor indexed="64"/>
          <bgColor theme="8" tint="0.79998168889431442"/>
        </patternFill>
      </fill>
      <alignment horizontal="left" vertical="center" textRotation="0" wrapText="0" indent="0" justifyLastLine="0" shrinkToFit="0" readingOrder="0"/>
    </dxf>
    <dxf>
      <font>
        <strike val="0"/>
        <outline val="0"/>
        <shadow val="0"/>
        <u val="none"/>
        <vertAlign val="baseline"/>
        <sz val="10"/>
        <name val="Calibri"/>
        <family val="2"/>
      </font>
      <numFmt numFmtId="0" formatCode="General"/>
      <fill>
        <patternFill patternType="solid">
          <fgColor indexed="64"/>
          <bgColor theme="8" tint="0.79998168889431442"/>
        </patternFill>
      </fill>
      <alignment horizontal="left" vertical="center" textRotation="0" wrapText="0" indent="0" justifyLastLine="0" shrinkToFit="0" readingOrder="0"/>
    </dxf>
    <dxf>
      <font>
        <strike val="0"/>
        <outline val="0"/>
        <shadow val="0"/>
        <u val="none"/>
        <vertAlign val="baseline"/>
        <sz val="10"/>
        <name val="Calibri"/>
        <family val="2"/>
      </font>
      <numFmt numFmtId="0" formatCode="General"/>
      <alignment horizontal="left" vertical="center" textRotation="0" wrapText="0" indent="0" justifyLastLine="0" shrinkToFit="0" readingOrder="0"/>
    </dxf>
    <dxf>
      <font>
        <strike val="0"/>
        <outline val="0"/>
        <shadow val="0"/>
        <u val="none"/>
        <vertAlign val="baseline"/>
        <sz val="10"/>
        <name val="Calibri"/>
        <family val="2"/>
      </font>
      <alignment horizontal="left" vertical="center" textRotation="0" wrapText="0" indent="0" justifyLastLine="0" shrinkToFit="0" readingOrder="0"/>
    </dxf>
    <dxf>
      <font>
        <strike val="0"/>
        <outline val="0"/>
        <shadow val="0"/>
        <u val="none"/>
        <vertAlign val="baseline"/>
        <sz val="10"/>
        <name val="Calibri"/>
        <family val="2"/>
      </font>
      <alignment vertical="center" textRotation="0" indent="0" justifyLastLine="0" shrinkToFit="0" readingOrder="0"/>
    </dxf>
    <dxf>
      <font>
        <b val="0"/>
        <i val="0"/>
        <strike val="0"/>
        <condense val="0"/>
        <extend val="0"/>
        <outline val="0"/>
        <shadow val="0"/>
        <u val="none"/>
        <vertAlign val="baseline"/>
        <sz val="10"/>
        <color theme="1"/>
        <name val="Calibri"/>
        <family val="2"/>
        <scheme val="minor"/>
      </font>
      <numFmt numFmtId="0" formatCode="General"/>
      <alignment horizontal="center" vertical="center" textRotation="0" wrapText="0" indent="0" justifyLastLine="0" shrinkToFit="0" readingOrder="0"/>
    </dxf>
    <dxf>
      <font>
        <strike val="0"/>
        <outline val="0"/>
        <shadow val="0"/>
        <u val="none"/>
        <vertAlign val="baseline"/>
        <sz val="10"/>
        <name val="Calibri"/>
        <family val="2"/>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0" formatCode="General"/>
      <alignment horizontal="center" vertical="center" textRotation="0" wrapText="1" indent="0" justifyLastLine="0" shrinkToFit="0" readingOrder="0"/>
    </dxf>
    <dxf>
      <font>
        <strike val="0"/>
        <outline val="0"/>
        <shadow val="0"/>
        <u val="none"/>
        <vertAlign val="baseline"/>
        <sz val="10"/>
        <name val="Calibri"/>
        <family val="2"/>
      </font>
      <numFmt numFmtId="0" formatCode="Genera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0" formatCode="General"/>
      <alignment horizontal="center" vertical="center" textRotation="0" wrapText="0" indent="0" justifyLastLine="0" shrinkToFit="0" readingOrder="0"/>
    </dxf>
    <dxf>
      <font>
        <strike val="0"/>
        <outline val="0"/>
        <shadow val="0"/>
        <u val="none"/>
        <vertAlign val="baseline"/>
        <sz val="10"/>
        <name val="Calibri"/>
        <family val="2"/>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fill>
        <patternFill patternType="solid">
          <fgColor indexed="64"/>
          <bgColor theme="8" tint="0.79998168889431442"/>
        </patternFill>
      </fill>
      <alignment horizontal="left" vertical="center" textRotation="0" wrapText="0" indent="0" justifyLastLine="0" shrinkToFit="0" readingOrder="0"/>
    </dxf>
    <dxf>
      <font>
        <strike val="0"/>
        <outline val="0"/>
        <shadow val="0"/>
        <u val="none"/>
        <vertAlign val="baseline"/>
        <sz val="10"/>
        <name val="Calibri"/>
        <family val="2"/>
      </font>
      <fill>
        <patternFill patternType="solid">
          <fgColor indexed="64"/>
          <bgColor theme="8" tint="0.79998168889431442"/>
        </patternFill>
      </fill>
      <alignment horizontal="left"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0" formatCode="General"/>
      <alignment horizontal="left" vertical="center" textRotation="0" wrapText="0" indent="0" justifyLastLine="0" shrinkToFit="0" readingOrder="0"/>
    </dxf>
    <dxf>
      <font>
        <strike val="0"/>
        <outline val="0"/>
        <shadow val="0"/>
        <u val="none"/>
        <vertAlign val="baseline"/>
        <sz val="10"/>
        <name val="Calibri"/>
        <family val="2"/>
      </font>
      <numFmt numFmtId="0" formatCode="General"/>
      <alignment horizontal="left" vertical="center" textRotation="0" wrapText="0" indent="0" justifyLastLine="0" shrinkToFit="0" readingOrder="0"/>
    </dxf>
    <dxf>
      <font>
        <strike val="0"/>
        <outline val="0"/>
        <shadow val="0"/>
        <u val="none"/>
        <vertAlign val="baseline"/>
        <sz val="10"/>
        <name val="Calibri"/>
        <family val="2"/>
      </font>
      <alignment horizontal="left" vertical="center" textRotation="0" wrapText="0" indent="0" justifyLastLine="0" shrinkToFit="0" readingOrder="0"/>
    </dxf>
    <dxf>
      <font>
        <strike val="0"/>
        <outline val="0"/>
        <shadow val="0"/>
        <u val="none"/>
        <vertAlign val="baseline"/>
        <sz val="10"/>
        <name val="Calibri"/>
        <family val="2"/>
      </font>
      <alignment vertical="center" textRotation="0" indent="0" justifyLastLine="0" shrinkToFit="0" readingOrder="0"/>
    </dxf>
    <dxf>
      <font>
        <b val="0"/>
        <i val="0"/>
        <strike val="0"/>
        <condense val="0"/>
        <extend val="0"/>
        <outline val="0"/>
        <shadow val="0"/>
        <u val="none"/>
        <vertAlign val="baseline"/>
        <sz val="10"/>
        <color theme="1"/>
        <name val="Calibri"/>
        <family val="2"/>
        <scheme val="minor"/>
      </font>
      <numFmt numFmtId="0" formatCode="General"/>
      <alignment horizontal="general" vertical="center" textRotation="0" wrapText="1" indent="0" justifyLastLine="0" shrinkToFit="0" readingOrder="0"/>
    </dxf>
    <dxf>
      <font>
        <strike val="0"/>
        <outline val="0"/>
        <shadow val="0"/>
        <u val="none"/>
        <vertAlign val="baseline"/>
        <sz val="10"/>
        <name val="Calibri"/>
        <family val="2"/>
      </font>
      <numFmt numFmtId="0" formatCode="General"/>
      <alignment vertical="center" textRotation="0" wrapText="1" indent="0" justifyLastLine="0" shrinkToFit="0" readingOrder="0"/>
    </dxf>
    <dxf>
      <font>
        <strike val="0"/>
        <outline val="0"/>
        <shadow val="0"/>
        <u val="none"/>
        <vertAlign val="baseline"/>
        <sz val="10"/>
        <name val="Calibri"/>
        <family val="2"/>
      </font>
      <numFmt numFmtId="0" formatCode="General"/>
      <alignment vertical="center" textRotation="0" indent="0" justifyLastLine="0" shrinkToFit="0" readingOrder="0"/>
    </dxf>
    <dxf>
      <font>
        <strike val="0"/>
        <outline val="0"/>
        <shadow val="0"/>
        <u val="none"/>
        <vertAlign val="baseline"/>
        <sz val="10"/>
        <name val="Calibri"/>
        <family val="2"/>
      </font>
      <fill>
        <patternFill patternType="solid">
          <fgColor indexed="64"/>
          <bgColor theme="8" tint="0.79998168889431442"/>
        </patternFill>
      </fill>
      <alignment vertical="center" textRotation="0" indent="0" justifyLastLine="0" shrinkToFit="0" readingOrder="0"/>
    </dxf>
    <dxf>
      <font>
        <strike val="0"/>
        <outline val="0"/>
        <shadow val="0"/>
        <u val="none"/>
        <vertAlign val="baseline"/>
        <sz val="10"/>
        <name val="Calibri"/>
        <family val="2"/>
      </font>
      <fill>
        <patternFill patternType="solid">
          <fgColor indexed="64"/>
          <bgColor theme="8" tint="0.79998168889431442"/>
        </patternFill>
      </fill>
      <alignment horizontal="general" vertical="center" textRotation="0" wrapText="0" indent="0" justifyLastLine="0" shrinkToFit="0" readingOrder="0"/>
    </dxf>
    <dxf>
      <font>
        <strike val="0"/>
        <outline val="0"/>
        <shadow val="0"/>
        <u val="none"/>
        <vertAlign val="baseline"/>
        <sz val="10"/>
        <name val="Calibri"/>
        <family val="2"/>
      </font>
      <fill>
        <patternFill patternType="solid">
          <fgColor indexed="64"/>
          <bgColor theme="8" tint="0.79998168889431442"/>
        </patternFill>
      </fill>
      <alignment vertical="center" textRotation="0" indent="0" justifyLastLine="0" shrinkToFit="0" readingOrder="0"/>
    </dxf>
    <dxf>
      <font>
        <strike val="0"/>
        <outline val="0"/>
        <shadow val="0"/>
        <u val="none"/>
        <vertAlign val="baseline"/>
        <sz val="10"/>
        <name val="Calibri"/>
        <family val="2"/>
      </font>
      <numFmt numFmtId="0" formatCode="General"/>
      <alignment horizontal="left" vertical="center" textRotation="0" wrapText="0" indent="0" justifyLastLine="0" shrinkToFit="0" readingOrder="0"/>
    </dxf>
    <dxf>
      <font>
        <strike val="0"/>
        <outline val="0"/>
        <shadow val="0"/>
        <u val="none"/>
        <vertAlign val="baseline"/>
        <sz val="10"/>
        <name val="Calibri"/>
        <family val="2"/>
      </font>
      <alignment vertical="center" textRotation="0" indent="0" justifyLastLine="0" shrinkToFit="0" readingOrder="0"/>
    </dxf>
    <dxf>
      <font>
        <strike val="0"/>
        <outline val="0"/>
        <shadow val="0"/>
        <u val="none"/>
        <vertAlign val="baseline"/>
        <sz val="10"/>
        <name val="Calibri"/>
        <family val="2"/>
      </font>
      <alignment vertical="center" textRotation="0" indent="0" justifyLastLine="0" shrinkToFit="0" readingOrder="0"/>
    </dxf>
    <dxf>
      <font>
        <strike val="0"/>
        <outline val="0"/>
        <shadow val="0"/>
        <u val="none"/>
        <vertAlign val="baseline"/>
        <sz val="10"/>
        <name val="Calibri"/>
        <family val="2"/>
      </font>
      <numFmt numFmtId="0" formatCode="General"/>
      <alignment vertical="center" textRotation="0" wrapText="1" indent="0" justifyLastLine="0" shrinkToFit="0" readingOrder="0"/>
    </dxf>
    <dxf>
      <font>
        <strike val="0"/>
        <outline val="0"/>
        <shadow val="0"/>
        <u val="none"/>
        <vertAlign val="baseline"/>
        <sz val="10"/>
        <name val="Calibri"/>
        <family val="2"/>
      </font>
      <numFmt numFmtId="0" formatCode="General"/>
      <alignment vertical="center" textRotation="0" indent="0" justifyLastLine="0" shrinkToFit="0" readingOrder="0"/>
    </dxf>
    <dxf>
      <font>
        <strike val="0"/>
        <outline val="0"/>
        <shadow val="0"/>
        <u val="none"/>
        <vertAlign val="baseline"/>
        <sz val="10"/>
        <name val="Calibri"/>
        <family val="2"/>
      </font>
      <fill>
        <patternFill patternType="solid">
          <fgColor indexed="64"/>
          <bgColor theme="8" tint="0.79998168889431442"/>
        </patternFill>
      </fill>
      <alignment vertical="center" textRotation="0" indent="0" justifyLastLine="0" shrinkToFit="0" readingOrder="0"/>
    </dxf>
    <dxf>
      <font>
        <strike val="0"/>
        <outline val="0"/>
        <shadow val="0"/>
        <u val="none"/>
        <vertAlign val="baseline"/>
        <sz val="10"/>
        <name val="Calibri"/>
        <family val="2"/>
      </font>
      <numFmt numFmtId="0" formatCode="General"/>
      <alignment horizontal="left" vertical="center" textRotation="0" wrapText="0" indent="0" justifyLastLine="0" shrinkToFit="0" readingOrder="0"/>
    </dxf>
    <dxf>
      <font>
        <strike val="0"/>
        <outline val="0"/>
        <shadow val="0"/>
        <u val="none"/>
        <vertAlign val="baseline"/>
        <sz val="10"/>
        <name val="Calibri"/>
        <family val="2"/>
      </font>
      <alignment vertical="center" textRotation="0" indent="0" justifyLastLine="0" shrinkToFit="0" readingOrder="0"/>
    </dxf>
    <dxf>
      <font>
        <strike val="0"/>
        <outline val="0"/>
        <shadow val="0"/>
        <u val="none"/>
        <vertAlign val="baseline"/>
        <sz val="10"/>
        <name val="Calibri"/>
        <family val="2"/>
      </font>
      <alignment vertical="center" textRotation="0" indent="0" justifyLastLine="0" shrinkToFit="0" readingOrder="0"/>
    </dxf>
    <dxf>
      <font>
        <b val="0"/>
        <i val="0"/>
        <strike val="0"/>
        <condense val="0"/>
        <extend val="0"/>
        <outline val="0"/>
        <shadow val="0"/>
        <u val="none"/>
        <vertAlign val="baseline"/>
        <sz val="10"/>
        <color indexed="8"/>
        <name val="Calibri"/>
        <family val="2"/>
        <scheme val="none"/>
      </font>
      <numFmt numFmtId="0" formatCode="General"/>
      <fill>
        <patternFill patternType="solid">
          <fgColor indexed="64"/>
          <bgColor theme="2" tint="-0.249977111117893"/>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0"/>
        <color indexed="8"/>
        <name val="Calibri"/>
        <family val="2"/>
        <scheme val="none"/>
      </font>
      <numFmt numFmtId="0" formatCode="General"/>
      <fill>
        <patternFill patternType="solid">
          <fgColor indexed="64"/>
          <bgColor theme="2" tint="-0.249977111117893"/>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0"/>
        <color indexed="8"/>
        <name val="Calibri"/>
        <family val="2"/>
        <scheme val="none"/>
      </font>
      <numFmt numFmtId="0" formatCode="General"/>
      <fill>
        <patternFill patternType="solid">
          <fgColor indexed="64"/>
          <bgColor theme="8" tint="0.79998168889431442"/>
        </patternFill>
      </fill>
      <alignment horizontal="left" vertical="center" textRotation="0" wrapText="0" indent="0" justifyLastLine="0" shrinkToFit="0" readingOrder="0"/>
      <protection locked="1" hidden="0"/>
    </dxf>
    <dxf>
      <font>
        <b val="0"/>
        <i val="0"/>
        <strike val="0"/>
        <condense val="0"/>
        <extend val="0"/>
        <outline val="0"/>
        <shadow val="0"/>
        <u val="none"/>
        <vertAlign val="baseline"/>
        <sz val="10"/>
        <color indexed="8"/>
        <name val="Calibri"/>
        <family val="2"/>
        <scheme val="none"/>
      </font>
      <numFmt numFmtId="0" formatCode="General"/>
      <fill>
        <patternFill patternType="solid">
          <fgColor indexed="64"/>
          <bgColor theme="8" tint="0.79998168889431442"/>
        </patternFill>
      </fill>
      <alignment horizontal="left" vertical="center" textRotation="0" wrapText="0" indent="0" justifyLastLine="0" shrinkToFit="0" readingOrder="0"/>
      <protection locked="1" hidden="0"/>
    </dxf>
    <dxf>
      <font>
        <b val="0"/>
        <i val="0"/>
        <strike val="0"/>
        <condense val="0"/>
        <extend val="0"/>
        <outline val="0"/>
        <shadow val="0"/>
        <u val="none"/>
        <vertAlign val="baseline"/>
        <sz val="10"/>
        <color indexed="8"/>
        <name val="Calibri"/>
        <family val="2"/>
        <scheme val="none"/>
      </font>
      <numFmt numFmtId="0" formatCode="General"/>
      <fill>
        <patternFill patternType="solid">
          <fgColor indexed="64"/>
          <bgColor theme="8" tint="0.79998168889431442"/>
        </patternFill>
      </fill>
      <alignment horizontal="left" vertical="center" textRotation="0" wrapText="0" indent="0" justifyLastLine="0" shrinkToFit="0" readingOrder="0"/>
      <protection locked="1" hidden="0"/>
    </dxf>
    <dxf>
      <font>
        <b val="0"/>
        <i val="0"/>
        <strike val="0"/>
        <condense val="0"/>
        <extend val="0"/>
        <outline val="0"/>
        <shadow val="0"/>
        <u val="none"/>
        <vertAlign val="baseline"/>
        <sz val="10"/>
        <color indexed="8"/>
        <name val="Calibri"/>
        <family val="2"/>
        <scheme val="none"/>
      </font>
      <numFmt numFmtId="0" formatCode="General"/>
      <fill>
        <patternFill patternType="solid">
          <fgColor indexed="64"/>
          <bgColor theme="8" tint="0.79998168889431442"/>
        </patternFill>
      </fill>
      <alignment horizontal="left" vertical="center" textRotation="0" wrapText="0" indent="0" justifyLastLine="0" shrinkToFit="0" readingOrder="0"/>
      <protection locked="1" hidden="0"/>
    </dxf>
    <dxf>
      <font>
        <b val="0"/>
        <i val="0"/>
        <strike val="0"/>
        <condense val="0"/>
        <extend val="0"/>
        <outline val="0"/>
        <shadow val="0"/>
        <u val="none"/>
        <vertAlign val="baseline"/>
        <sz val="10"/>
        <color indexed="8"/>
        <name val="Calibri"/>
        <family val="2"/>
        <scheme val="none"/>
      </font>
      <numFmt numFmtId="0" formatCode="General"/>
      <fill>
        <patternFill patternType="solid">
          <fgColor indexed="64"/>
          <bgColor theme="8" tint="0.79998168889431442"/>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0"/>
        <color indexed="8"/>
        <name val="Calibri"/>
        <family val="2"/>
        <scheme val="none"/>
      </font>
      <numFmt numFmtId="0" formatCode="General"/>
      <fill>
        <patternFill patternType="solid">
          <fgColor indexed="64"/>
          <bgColor theme="8" tint="0.79998168889431442"/>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0"/>
        <color indexed="8"/>
        <name val="Calibri"/>
        <family val="2"/>
        <scheme val="none"/>
      </font>
      <numFmt numFmtId="0" formatCode="General"/>
      <fill>
        <patternFill patternType="solid">
          <fgColor indexed="64"/>
          <bgColor theme="8" tint="0.79998168889431442"/>
        </patternFill>
      </fill>
      <alignment horizontal="general" vertical="center" textRotation="0" wrapText="1" indent="0" justifyLastLine="0" shrinkToFit="0" readingOrder="0"/>
      <protection locked="1" hidden="0"/>
    </dxf>
    <dxf>
      <font>
        <b val="0"/>
        <i val="0"/>
        <strike val="0"/>
        <condense val="0"/>
        <extend val="0"/>
        <outline val="0"/>
        <shadow val="0"/>
        <u val="none"/>
        <vertAlign val="baseline"/>
        <sz val="10"/>
        <color indexed="8"/>
        <name val="Calibri"/>
        <family val="2"/>
        <scheme val="none"/>
      </font>
      <numFmt numFmtId="0" formatCode="General"/>
      <fill>
        <patternFill patternType="solid">
          <fgColor indexed="64"/>
          <bgColor theme="8" tint="0.79998168889431442"/>
        </patternFill>
      </fill>
      <alignment horizontal="general" vertical="center" textRotation="0" wrapText="1" indent="0" justifyLastLine="0" shrinkToFit="0" readingOrder="0"/>
      <protection locked="1" hidden="0"/>
    </dxf>
    <dxf>
      <font>
        <strike val="0"/>
        <outline val="0"/>
        <shadow val="0"/>
        <u val="none"/>
        <vertAlign val="baseline"/>
        <sz val="10"/>
        <name val="Calibri"/>
        <family val="2"/>
      </font>
      <fill>
        <patternFill patternType="solid">
          <fgColor indexed="64"/>
          <bgColor theme="8" tint="0.79998168889431442"/>
        </patternFill>
      </fill>
      <alignment horizontal="left" vertical="center" textRotation="0" wrapText="0" indent="0" justifyLastLine="0" shrinkToFit="0" readingOrder="0"/>
    </dxf>
    <dxf>
      <font>
        <strike val="0"/>
        <outline val="0"/>
        <shadow val="0"/>
        <u val="none"/>
        <vertAlign val="baseline"/>
        <sz val="10"/>
        <name val="Calibri"/>
        <family val="2"/>
      </font>
      <fill>
        <patternFill patternType="solid">
          <fgColor indexed="64"/>
          <bgColor theme="8" tint="0.79998168889431442"/>
        </patternFill>
      </fill>
      <alignment horizontal="left" vertical="center" textRotation="0" wrapText="0" indent="0" justifyLastLine="0" shrinkToFit="0" readingOrder="0"/>
    </dxf>
    <dxf>
      <font>
        <strike val="0"/>
        <outline val="0"/>
        <shadow val="0"/>
        <u val="none"/>
        <vertAlign val="baseline"/>
        <sz val="10"/>
        <name val="Calibri"/>
        <family val="2"/>
      </font>
      <numFmt numFmtId="0" formatCode="General"/>
      <alignment horizontal="left" vertical="center" textRotation="0" wrapText="0" indent="0" justifyLastLine="0" shrinkToFit="0" readingOrder="0"/>
    </dxf>
    <dxf>
      <font>
        <b val="0"/>
        <i val="0"/>
        <strike val="0"/>
        <condense val="0"/>
        <extend val="0"/>
        <outline val="0"/>
        <shadow val="0"/>
        <u val="none"/>
        <vertAlign val="baseline"/>
        <sz val="10"/>
        <color indexed="8"/>
        <name val="Calibri"/>
        <family val="2"/>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i val="0"/>
        <strike val="0"/>
        <condense val="0"/>
        <extend val="0"/>
        <outline val="0"/>
        <shadow val="0"/>
        <u val="none"/>
        <vertAlign val="baseline"/>
        <sz val="10"/>
        <color theme="0"/>
        <name val="Calibri"/>
        <family val="2"/>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8"/>
        <color indexed="8"/>
        <name val="Calibri"/>
        <family val="2"/>
        <scheme val="none"/>
      </font>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8"/>
        <color indexed="8"/>
        <name val="Calibri"/>
        <family val="2"/>
        <scheme val="none"/>
      </font>
      <numFmt numFmtId="0" formatCode="General"/>
      <fill>
        <patternFill patternType="none">
          <fgColor indexed="64"/>
          <bgColor theme="2" tint="-0.249977111117893"/>
        </patternFill>
      </fill>
      <alignment horizontal="center" vertical="center" textRotation="0" wrapText="1" indent="0" justifyLastLine="0" shrinkToFit="0" readingOrder="0"/>
      <protection locked="1" hidden="0"/>
    </dxf>
    <dxf>
      <font>
        <b val="0"/>
        <i val="0"/>
        <strike val="0"/>
        <condense val="0"/>
        <extend val="0"/>
        <outline val="0"/>
        <shadow val="0"/>
        <u val="none"/>
        <vertAlign val="baseline"/>
        <sz val="8"/>
        <color indexed="8"/>
        <name val="Calibri"/>
        <family val="2"/>
        <scheme val="none"/>
      </font>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8"/>
        <color indexed="8"/>
        <name val="Calibri"/>
        <family val="2"/>
        <scheme val="none"/>
      </font>
      <numFmt numFmtId="0" formatCode="General"/>
      <fill>
        <patternFill patternType="none">
          <fgColor indexed="64"/>
          <bgColor theme="2" tint="-0.249977111117893"/>
        </patternFill>
      </fill>
      <alignment horizontal="center" vertical="center" textRotation="0" wrapText="1" indent="0" justifyLastLine="0" shrinkToFit="0" readingOrder="0"/>
      <protection locked="1" hidden="0"/>
    </dxf>
    <dxf>
      <font>
        <b val="0"/>
        <i val="0"/>
        <strike val="0"/>
        <condense val="0"/>
        <extend val="0"/>
        <outline val="0"/>
        <shadow val="0"/>
        <u val="none"/>
        <vertAlign val="baseline"/>
        <sz val="8"/>
        <color indexed="8"/>
        <name val="Calibri"/>
        <family val="2"/>
        <scheme val="none"/>
      </font>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8"/>
        <color indexed="8"/>
        <name val="Calibri"/>
        <family val="2"/>
        <scheme val="none"/>
      </font>
      <numFmt numFmtId="0" formatCode="General"/>
      <fill>
        <patternFill patternType="none">
          <fgColor indexed="64"/>
          <bgColor theme="2" tint="-0.249977111117893"/>
        </patternFill>
      </fill>
      <alignment horizontal="center" vertical="center" textRotation="0" wrapText="1" indent="0" justifyLastLine="0" shrinkToFit="0" readingOrder="0"/>
      <protection locked="1" hidden="0"/>
    </dxf>
    <dxf>
      <font>
        <b val="0"/>
        <i val="0"/>
        <strike val="0"/>
        <condense val="0"/>
        <extend val="0"/>
        <outline val="0"/>
        <shadow val="0"/>
        <u val="none"/>
        <vertAlign val="baseline"/>
        <sz val="8"/>
        <color indexed="8"/>
        <name val="Calibri"/>
        <family val="2"/>
        <scheme val="none"/>
      </font>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8"/>
        <color indexed="8"/>
        <name val="Calibri"/>
        <family val="2"/>
        <scheme val="none"/>
      </font>
      <numFmt numFmtId="0" formatCode="General"/>
      <fill>
        <patternFill patternType="none">
          <fgColor indexed="64"/>
          <bgColor theme="2" tint="-0.249977111117893"/>
        </patternFill>
      </fill>
      <alignment horizontal="center" vertical="center" textRotation="0" wrapText="1" indent="0" justifyLastLine="0" shrinkToFit="0" readingOrder="0"/>
      <protection locked="1" hidden="0"/>
    </dxf>
    <dxf>
      <font>
        <b val="0"/>
        <i val="0"/>
        <strike val="0"/>
        <condense val="0"/>
        <extend val="0"/>
        <outline val="0"/>
        <shadow val="0"/>
        <u val="none"/>
        <vertAlign val="baseline"/>
        <sz val="8"/>
        <color indexed="8"/>
        <name val="Calibri"/>
        <family val="2"/>
        <scheme val="none"/>
      </font>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8"/>
        <color indexed="8"/>
        <name val="Calibri"/>
        <family val="2"/>
        <scheme val="none"/>
      </font>
      <numFmt numFmtId="0" formatCode="General"/>
      <fill>
        <patternFill patternType="none">
          <fgColor indexed="64"/>
          <bgColor theme="2" tint="-0.249977111117893"/>
        </patternFill>
      </fill>
      <alignment horizontal="center" vertical="center" textRotation="0" wrapText="1" indent="0" justifyLastLine="0" shrinkToFit="0" readingOrder="0"/>
      <protection locked="1" hidden="0"/>
    </dxf>
    <dxf>
      <font>
        <b val="0"/>
        <i val="0"/>
        <strike val="0"/>
        <condense val="0"/>
        <extend val="0"/>
        <outline val="0"/>
        <shadow val="0"/>
        <u val="none"/>
        <vertAlign val="baseline"/>
        <sz val="8"/>
        <color indexed="8"/>
        <name val="Calibri"/>
        <family val="2"/>
        <scheme val="none"/>
      </font>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8"/>
        <color indexed="8"/>
        <name val="Calibri"/>
        <family val="2"/>
        <scheme val="none"/>
      </font>
      <numFmt numFmtId="0" formatCode="General"/>
      <fill>
        <patternFill patternType="none">
          <fgColor indexed="64"/>
          <bgColor theme="2" tint="-0.249977111117893"/>
        </patternFill>
      </fill>
      <alignment horizontal="center" vertical="center" textRotation="0" wrapText="1" indent="0" justifyLastLine="0" shrinkToFit="0" readingOrder="0"/>
      <protection locked="1" hidden="0"/>
    </dxf>
    <dxf>
      <font>
        <b val="0"/>
        <i val="0"/>
        <strike val="0"/>
        <condense val="0"/>
        <extend val="0"/>
        <outline val="0"/>
        <shadow val="0"/>
        <u val="none"/>
        <vertAlign val="baseline"/>
        <sz val="8"/>
        <color indexed="8"/>
        <name val="Calibri"/>
        <family val="2"/>
        <scheme val="none"/>
      </font>
      <numFmt numFmtId="0" formatCode="General"/>
      <fill>
        <patternFill patternType="none">
          <fgColor indexed="64"/>
          <bgColor indexed="65"/>
        </patternFill>
      </fill>
      <alignment horizontal="center" vertical="center" textRotation="0" wrapText="1" indent="0" justifyLastLine="0" shrinkToFit="0" readingOrder="0"/>
      <border diagonalUp="0" diagonalDown="0" outline="0">
        <left/>
        <right/>
        <top/>
        <bottom/>
      </border>
      <protection locked="1" hidden="0"/>
    </dxf>
    <dxf>
      <font>
        <b val="0"/>
        <i val="0"/>
        <strike val="0"/>
        <condense val="0"/>
        <extend val="0"/>
        <outline val="0"/>
        <shadow val="0"/>
        <u val="none"/>
        <vertAlign val="baseline"/>
        <sz val="8"/>
        <color indexed="8"/>
        <name val="Calibri"/>
        <family val="2"/>
        <scheme val="none"/>
      </font>
      <numFmt numFmtId="0" formatCode="General"/>
      <fill>
        <patternFill patternType="none">
          <fgColor indexed="64"/>
          <bgColor theme="2" tint="-0.249977111117893"/>
        </patternFill>
      </fill>
      <alignment horizontal="center" vertical="center" textRotation="0" wrapText="1" indent="0" justifyLastLine="0" shrinkToFit="0" readingOrder="0"/>
      <protection locked="1" hidden="0"/>
    </dxf>
    <dxf>
      <font>
        <b val="0"/>
        <i val="0"/>
        <strike val="0"/>
        <condense val="0"/>
        <extend val="0"/>
        <outline val="0"/>
        <shadow val="0"/>
        <u val="none"/>
        <vertAlign val="baseline"/>
        <sz val="8"/>
        <color indexed="8"/>
        <name val="Calibri"/>
        <family val="2"/>
        <scheme val="none"/>
      </font>
      <numFmt numFmtId="0" formatCode="General"/>
      <fill>
        <patternFill patternType="none">
          <fgColor indexed="64"/>
          <bgColor indexed="65"/>
        </patternFill>
      </fill>
      <alignment horizontal="center" vertical="center" textRotation="0" wrapText="1" indent="0" justifyLastLine="0" shrinkToFit="0" readingOrder="0"/>
      <border diagonalUp="0" diagonalDown="0" outline="0">
        <left/>
        <right/>
        <top/>
        <bottom/>
      </border>
      <protection locked="1" hidden="0"/>
    </dxf>
    <dxf>
      <font>
        <b val="0"/>
        <i val="0"/>
        <strike val="0"/>
        <condense val="0"/>
        <extend val="0"/>
        <outline val="0"/>
        <shadow val="0"/>
        <u val="none"/>
        <vertAlign val="baseline"/>
        <sz val="8"/>
        <color indexed="8"/>
        <name val="Calibri"/>
        <family val="2"/>
        <scheme val="none"/>
      </font>
      <numFmt numFmtId="0" formatCode="General"/>
      <fill>
        <patternFill patternType="none">
          <fgColor indexed="64"/>
          <bgColor theme="2" tint="-0.249977111117893"/>
        </patternFill>
      </fill>
      <alignment horizontal="center" vertical="center" textRotation="0" wrapText="1" indent="0" justifyLastLine="0" shrinkToFit="0" readingOrder="0"/>
      <protection locked="1" hidden="0"/>
    </dxf>
    <dxf>
      <font>
        <b val="0"/>
        <i val="0"/>
        <strike val="0"/>
        <condense val="0"/>
        <extend val="0"/>
        <outline val="0"/>
        <shadow val="0"/>
        <u val="none"/>
        <vertAlign val="baseline"/>
        <sz val="8"/>
        <color indexed="8"/>
        <name val="Calibri"/>
        <family val="2"/>
        <scheme val="none"/>
      </font>
      <numFmt numFmtId="0" formatCode="General"/>
      <fill>
        <patternFill patternType="none">
          <fgColor indexed="64"/>
          <bgColor indexed="65"/>
        </patternFill>
      </fill>
      <alignment horizontal="center" vertical="center" textRotation="0" wrapText="1" indent="0" justifyLastLine="0" shrinkToFit="0" readingOrder="0"/>
      <border diagonalUp="0" diagonalDown="0" outline="0">
        <left/>
        <right/>
        <top/>
        <bottom/>
      </border>
      <protection locked="1" hidden="0"/>
    </dxf>
    <dxf>
      <font>
        <b val="0"/>
        <i val="0"/>
        <strike val="0"/>
        <condense val="0"/>
        <extend val="0"/>
        <outline val="0"/>
        <shadow val="0"/>
        <u val="none"/>
        <vertAlign val="baseline"/>
        <sz val="8"/>
        <color indexed="8"/>
        <name val="Calibri"/>
        <family val="2"/>
        <scheme val="none"/>
      </font>
      <numFmt numFmtId="0" formatCode="General"/>
      <fill>
        <patternFill patternType="none">
          <fgColor indexed="64"/>
          <bgColor theme="2" tint="-0.249977111117893"/>
        </patternFill>
      </fill>
      <alignment horizontal="center" vertical="center" textRotation="0" wrapText="1" indent="0" justifyLastLine="0" shrinkToFit="0" readingOrder="0"/>
      <protection locked="1" hidden="0"/>
    </dxf>
    <dxf>
      <font>
        <b val="0"/>
        <i val="0"/>
        <strike val="0"/>
        <condense val="0"/>
        <extend val="0"/>
        <outline val="0"/>
        <shadow val="0"/>
        <u val="none"/>
        <vertAlign val="baseline"/>
        <sz val="10"/>
        <color indexed="8"/>
        <name val="Calibri"/>
        <family val="2"/>
        <scheme val="none"/>
      </font>
      <numFmt numFmtId="0" formatCode="General"/>
      <fill>
        <patternFill patternType="solid">
          <fgColor indexed="64"/>
          <bgColor theme="2" tint="-0.249977111117893"/>
        </patternFill>
      </fill>
      <alignment horizontal="center" vertical="center" textRotation="0" wrapText="1"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indexed="8"/>
        <name val="Calibri"/>
        <family val="2"/>
        <scheme val="none"/>
      </font>
      <numFmt numFmtId="0" formatCode="General"/>
      <fill>
        <patternFill patternType="solid">
          <fgColor indexed="64"/>
          <bgColor theme="2" tint="-0.249977111117893"/>
        </patternFill>
      </fill>
      <alignment horizontal="center" vertical="center" textRotation="0" wrapText="1" indent="0" justifyLastLine="0" shrinkToFit="0" readingOrder="0"/>
      <protection locked="1" hidden="0"/>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alignment horizontal="center" vertical="center" textRotation="0" wrapText="1" indent="0" justifyLastLine="0" shrinkToFit="0" readingOrder="0"/>
      <border diagonalUp="0" diagonalDown="0" outline="0">
        <left/>
        <right/>
        <top/>
        <bottom/>
      </border>
    </dxf>
    <dxf>
      <font>
        <b val="0"/>
        <i val="0"/>
        <strike val="0"/>
        <condense val="0"/>
        <extend val="0"/>
        <outline val="0"/>
        <shadow val="0"/>
        <u val="none"/>
        <vertAlign val="baseline"/>
        <sz val="10"/>
        <color indexed="8"/>
        <name val="Calibri"/>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alignment horizontal="center" vertical="center" textRotation="0" wrapText="1" indent="0" justifyLastLine="0" shrinkToFit="0" readingOrder="0"/>
      <border diagonalUp="0" diagonalDown="0" outline="0">
        <left/>
        <right/>
        <top/>
        <bottom/>
      </border>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indexed="8"/>
        <name val="Calibri"/>
        <family val="2"/>
        <scheme val="none"/>
      </font>
      <numFmt numFmtId="0" formatCode="General"/>
      <fill>
        <patternFill patternType="none">
          <fgColor indexed="64"/>
          <bgColor indexed="65"/>
        </patternFill>
      </fill>
      <alignment horizontal="center" vertical="center" textRotation="0" wrapText="1" indent="0" justifyLastLine="0" shrinkToFit="0" readingOrder="0"/>
      <border diagonalUp="0" diagonalDown="0" outline="0">
        <left style="thin">
          <color theme="1" tint="0.499984740745262"/>
        </left>
        <right/>
        <top style="thin">
          <color theme="1" tint="0.499984740745262"/>
        </top>
        <bottom/>
      </border>
      <protection locked="1" hidden="0"/>
    </dxf>
    <dxf>
      <font>
        <b val="0"/>
        <i val="0"/>
        <strike val="0"/>
        <condense val="0"/>
        <extend val="0"/>
        <outline val="0"/>
        <shadow val="0"/>
        <u val="none"/>
        <vertAlign val="baseline"/>
        <sz val="10"/>
        <color indexed="8"/>
        <name val="Calibri"/>
        <family val="2"/>
        <scheme val="none"/>
      </font>
      <numFmt numFmtId="0" formatCode="General"/>
      <fill>
        <patternFill patternType="none">
          <fgColor indexed="64"/>
          <bgColor auto="1"/>
        </patternFill>
      </fill>
      <alignment horizontal="center" vertical="center" textRotation="0" wrapText="1" indent="0" justifyLastLine="0" shrinkToFit="0" readingOrder="0"/>
      <border diagonalUp="0" diagonalDown="0" outline="0">
        <left style="thin">
          <color theme="1" tint="0.499984740745262"/>
        </left>
        <right/>
        <top style="thin">
          <color theme="1" tint="0.499984740745262"/>
        </top>
        <bottom/>
      </border>
      <protection locked="1" hidden="0"/>
    </dxf>
    <dxf>
      <font>
        <b val="0"/>
        <i val="0"/>
        <strike val="0"/>
        <condense val="0"/>
        <extend val="0"/>
        <outline val="0"/>
        <shadow val="0"/>
        <u val="none"/>
        <vertAlign val="baseline"/>
        <sz val="8"/>
        <color indexed="8"/>
        <name val="Calibri"/>
        <family val="2"/>
        <scheme val="none"/>
      </font>
      <numFmt numFmtId="0" formatCode="General"/>
      <fill>
        <patternFill patternType="none">
          <fgColor indexed="64"/>
          <bgColor indexed="65"/>
        </patternFill>
      </fill>
      <alignment horizontal="general" vertical="center" textRotation="0" wrapText="1" indent="0" justifyLastLine="0" shrinkToFit="0" readingOrder="0"/>
      <border diagonalUp="0" diagonalDown="0" outline="0">
        <left style="thin">
          <color theme="1" tint="0.499984740745262"/>
        </left>
        <right style="thin">
          <color theme="1" tint="0.499984740745262"/>
        </right>
        <top style="thin">
          <color theme="1" tint="0.499984740745262"/>
        </top>
        <bottom/>
      </border>
      <protection locked="1" hidden="0"/>
    </dxf>
    <dxf>
      <font>
        <b val="0"/>
        <i val="0"/>
        <strike val="0"/>
        <condense val="0"/>
        <extend val="0"/>
        <outline val="0"/>
        <shadow val="0"/>
        <u val="none"/>
        <vertAlign val="baseline"/>
        <sz val="8"/>
        <color indexed="8"/>
        <name val="Calibri"/>
        <family val="2"/>
        <scheme val="none"/>
      </font>
      <numFmt numFmtId="0" formatCode="General"/>
      <fill>
        <patternFill patternType="none">
          <fgColor indexed="64"/>
          <bgColor auto="1"/>
        </patternFill>
      </fill>
      <alignment horizontal="general" vertical="center" textRotation="0" wrapText="1" indent="0" justifyLastLine="0" shrinkToFit="0" readingOrder="0"/>
      <border diagonalUp="0" diagonalDown="0" outline="0">
        <left style="thin">
          <color theme="1" tint="0.499984740745262"/>
        </left>
        <right style="thin">
          <color theme="1" tint="0.499984740745262"/>
        </right>
        <top style="thin">
          <color theme="1" tint="0.499984740745262"/>
        </top>
        <bottom style="thin">
          <color theme="1" tint="0.499984740745262"/>
        </bottom>
      </border>
      <protection locked="1" hidden="0"/>
    </dxf>
    <dxf>
      <font>
        <b val="0"/>
        <i val="0"/>
        <strike val="0"/>
        <condense val="0"/>
        <extend val="0"/>
        <outline val="0"/>
        <shadow val="0"/>
        <u val="none"/>
        <vertAlign val="baseline"/>
        <sz val="10"/>
        <color indexed="8"/>
        <name val="Calibri"/>
        <family val="2"/>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outline="0">
        <left style="thin">
          <color theme="1" tint="0.499984740745262"/>
        </left>
        <right style="thin">
          <color theme="1" tint="0.499984740745262"/>
        </right>
        <top style="thin">
          <color theme="1" tint="0.499984740745262"/>
        </top>
        <bottom/>
      </border>
      <protection locked="1" hidden="0"/>
    </dxf>
    <dxf>
      <font>
        <b val="0"/>
        <i val="0"/>
        <strike val="0"/>
        <condense val="0"/>
        <extend val="0"/>
        <outline val="0"/>
        <shadow val="0"/>
        <u val="none"/>
        <vertAlign val="baseline"/>
        <sz val="10"/>
        <color indexed="8"/>
        <name val="Calibri"/>
        <family val="2"/>
        <scheme val="none"/>
      </font>
      <numFmt numFmtId="0" formatCode="General"/>
      <fill>
        <patternFill patternType="none">
          <fgColor indexed="64"/>
          <bgColor auto="1"/>
        </patternFill>
      </fill>
      <alignment horizontal="general" vertical="center" textRotation="0" wrapText="1" indent="0" justifyLastLine="0" shrinkToFit="0" readingOrder="0"/>
      <border diagonalUp="0" diagonalDown="0" outline="0">
        <left style="thin">
          <color theme="1" tint="0.499984740745262"/>
        </left>
        <right style="thin">
          <color theme="1" tint="0.499984740745262"/>
        </right>
        <top style="thin">
          <color theme="1" tint="0.499984740745262"/>
        </top>
        <bottom style="thin">
          <color theme="1" tint="0.499984740745262"/>
        </bottom>
      </border>
      <protection locked="1" hidden="0"/>
    </dxf>
    <dxf>
      <font>
        <b val="0"/>
        <i val="0"/>
        <strike val="0"/>
        <condense val="0"/>
        <extend val="0"/>
        <outline val="0"/>
        <shadow val="0"/>
        <u val="none"/>
        <vertAlign val="baseline"/>
        <sz val="10"/>
        <color indexed="8"/>
        <name val="Calibri"/>
        <family val="2"/>
        <scheme val="none"/>
      </font>
      <numFmt numFmtId="0" formatCode="General"/>
      <fill>
        <patternFill patternType="solid">
          <fgColor indexed="64"/>
          <bgColor theme="2"/>
        </patternFill>
      </fill>
      <alignment horizontal="left" vertical="center" textRotation="0" wrapText="0" indent="0" justifyLastLine="0" shrinkToFit="0" readingOrder="0"/>
      <border diagonalUp="0" diagonalDown="0" outline="0">
        <left style="thin">
          <color theme="1" tint="0.499984740745262"/>
        </left>
        <right style="thin">
          <color theme="1" tint="0.499984740745262"/>
        </right>
        <top style="thin">
          <color theme="1" tint="0.499984740745262"/>
        </top>
        <bottom/>
      </border>
      <protection locked="1" hidden="0"/>
    </dxf>
    <dxf>
      <font>
        <b val="0"/>
        <i val="0"/>
        <strike val="0"/>
        <condense val="0"/>
        <extend val="0"/>
        <outline val="0"/>
        <shadow val="0"/>
        <u val="none"/>
        <vertAlign val="baseline"/>
        <sz val="10"/>
        <color indexed="8"/>
        <name val="Calibri"/>
        <family val="2"/>
        <scheme val="none"/>
      </font>
      <numFmt numFmtId="0" formatCode="General"/>
      <fill>
        <patternFill patternType="solid">
          <fgColor indexed="64"/>
          <bgColor theme="2"/>
        </patternFill>
      </fill>
      <alignment horizontal="left" vertical="center" textRotation="0" wrapText="1" indent="0" justifyLastLine="0" shrinkToFit="0" readingOrder="0"/>
      <border diagonalUp="0" diagonalDown="0" outline="0">
        <left style="thin">
          <color theme="1" tint="0.499984740745262"/>
        </left>
        <right style="thin">
          <color theme="1" tint="0.499984740745262"/>
        </right>
        <top style="thin">
          <color theme="1" tint="0.499984740745262"/>
        </top>
        <bottom style="thin">
          <color theme="1" tint="0.499984740745262"/>
        </bottom>
      </border>
      <protection locked="1" hidden="0"/>
    </dxf>
    <dxf>
      <border>
        <top style="thin">
          <color theme="1" tint="0.499984740745262"/>
        </top>
      </border>
    </dxf>
    <dxf>
      <border diagonalUp="0" diagonalDown="0">
        <left style="thin">
          <color theme="1" tint="0.499984740745262"/>
        </left>
        <right style="thin">
          <color theme="1" tint="0.499984740745262"/>
        </right>
        <top style="thin">
          <color theme="1" tint="0.499984740745262"/>
        </top>
        <bottom style="thin">
          <color theme="1" tint="0.499984740745262"/>
        </bottom>
      </border>
    </dxf>
    <dxf>
      <font>
        <b val="0"/>
        <i val="0"/>
        <strike val="0"/>
        <condense val="0"/>
        <extend val="0"/>
        <outline val="0"/>
        <shadow val="0"/>
        <u val="none"/>
        <vertAlign val="baseline"/>
        <sz val="10"/>
        <color indexed="8"/>
        <name val="Calibri"/>
        <family val="2"/>
        <scheme val="none"/>
      </font>
      <fill>
        <patternFill patternType="none">
          <fgColor indexed="64"/>
          <bgColor indexed="65"/>
        </patternFill>
      </fill>
      <alignment horizontal="general" vertical="center" textRotation="0" wrapText="1" indent="0" justifyLastLine="0" shrinkToFit="0" readingOrder="0"/>
      <protection locked="1" hidden="0"/>
    </dxf>
    <dxf>
      <border>
        <bottom style="thin">
          <color theme="1" tint="0.499984740745262"/>
        </bottom>
      </border>
    </dxf>
    <dxf>
      <font>
        <b/>
        <i val="0"/>
        <strike val="0"/>
        <condense val="0"/>
        <extend val="0"/>
        <outline val="0"/>
        <shadow val="0"/>
        <u val="none"/>
        <vertAlign val="baseline"/>
        <sz val="10"/>
        <color theme="1"/>
        <name val="Calibri"/>
        <family val="2"/>
        <scheme val="minor"/>
      </font>
      <alignment horizontal="general" vertical="center" textRotation="0" wrapText="1" indent="0" justifyLastLine="0" shrinkToFit="0" readingOrder="0"/>
      <border diagonalUp="0" diagonalDown="0" outline="0">
        <left style="thin">
          <color theme="1" tint="0.499984740745262"/>
        </left>
        <right style="thin">
          <color theme="1" tint="0.499984740745262"/>
        </right>
        <top/>
        <bottom/>
      </border>
    </dxf>
    <dxf>
      <font>
        <b val="0"/>
        <i val="0"/>
        <strike val="0"/>
        <condense val="0"/>
        <extend val="0"/>
        <outline val="0"/>
        <shadow val="0"/>
        <u val="none"/>
        <vertAlign val="baseline"/>
        <sz val="8"/>
        <color theme="1"/>
        <name val="Calibri"/>
        <family val="2"/>
        <scheme val="minor"/>
      </font>
      <fill>
        <patternFill>
          <fgColor indexed="64"/>
          <bgColor theme="8" tint="0.79998168889431442"/>
        </patternFill>
      </fill>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fill>
        <patternFill>
          <fgColor indexed="64"/>
          <bgColor theme="8"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fill>
        <patternFill>
          <fgColor indexed="64"/>
          <bgColor theme="8" tint="0.79998168889431442"/>
        </patternFill>
      </fill>
      <alignment horizontal="left" vertical="center" textRotation="0"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fill>
        <patternFill>
          <fgColor indexed="64"/>
          <bgColor theme="8" tint="0.79998168889431442"/>
        </patternFill>
      </fill>
      <alignment horizontal="left" vertical="center" textRotation="0" wrapText="1" indent="0" justifyLastLine="0" shrinkToFit="0" readingOrder="0"/>
    </dxf>
    <dxf>
      <font>
        <b val="0"/>
        <i val="0"/>
        <strike val="0"/>
        <condense val="0"/>
        <extend val="0"/>
        <outline val="0"/>
        <shadow val="0"/>
        <u val="none"/>
        <vertAlign val="baseline"/>
        <sz val="8"/>
        <color theme="1"/>
        <name val="Calibri"/>
        <family val="2"/>
        <scheme val="minor"/>
      </font>
      <fill>
        <patternFill>
          <fgColor indexed="64"/>
          <bgColor theme="8" tint="0.79998168889431442"/>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0" formatCode="General"/>
      <alignment horizontal="center" vertical="center" textRotation="0" indent="0" justifyLastLine="0" shrinkToFit="0" readingOrder="0"/>
    </dxf>
    <dxf>
      <font>
        <b val="0"/>
        <i val="0"/>
        <strike val="0"/>
        <condense val="0"/>
        <extend val="0"/>
        <outline val="0"/>
        <shadow val="0"/>
        <u val="none"/>
        <vertAlign val="baseline"/>
        <sz val="10"/>
        <color theme="1"/>
        <name val="Calibri"/>
        <family val="2"/>
        <scheme val="minor"/>
      </font>
      <numFmt numFmtId="0" formatCode="General"/>
      <alignment horizontal="center" vertical="center" textRotation="0" indent="0" justifyLastLine="0" shrinkToFit="0" readingOrder="0"/>
    </dxf>
    <dxf>
      <font>
        <b val="0"/>
        <i val="0"/>
        <strike val="0"/>
        <condense val="0"/>
        <extend val="0"/>
        <outline val="0"/>
        <shadow val="0"/>
        <u val="none"/>
        <vertAlign val="baseline"/>
        <sz val="10"/>
        <color theme="1"/>
        <name val="Calibri"/>
        <family val="2"/>
        <scheme val="minor"/>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0" formatCode="General"/>
      <alignment horizontal="center" vertical="center" textRotation="0" indent="0" justifyLastLine="0" shrinkToFit="0" readingOrder="0"/>
    </dxf>
    <dxf>
      <font>
        <b val="0"/>
        <i val="0"/>
        <strike val="0"/>
        <condense val="0"/>
        <extend val="0"/>
        <outline val="0"/>
        <shadow val="0"/>
        <u val="none"/>
        <vertAlign val="baseline"/>
        <sz val="10"/>
        <color theme="1"/>
        <name val="Calibri"/>
        <family val="2"/>
        <scheme val="minor"/>
      </font>
      <numFmt numFmtId="0" formatCode="General"/>
      <alignment horizontal="center" vertical="center" textRotation="0" indent="0" justifyLastLine="0" shrinkToFit="0" readingOrder="0"/>
    </dxf>
    <dxf>
      <font>
        <b val="0"/>
        <i val="0"/>
        <strike val="0"/>
        <condense val="0"/>
        <extend val="0"/>
        <outline val="0"/>
        <shadow val="0"/>
        <u val="none"/>
        <vertAlign val="baseline"/>
        <sz val="10"/>
        <color theme="1"/>
        <name val="Calibri"/>
        <family val="2"/>
        <scheme val="minor"/>
      </font>
      <numFmt numFmtId="0" formatCode="General"/>
      <fill>
        <patternFill>
          <fgColor indexed="64"/>
          <bgColor theme="8" tint="0.79998168889431442"/>
        </patternFill>
      </fill>
      <alignment horizontal="center" vertical="center" textRotation="0" indent="0" justifyLastLine="0" shrinkToFit="0" readingOrder="0"/>
    </dxf>
    <dxf>
      <font>
        <b val="0"/>
        <i val="0"/>
        <strike val="0"/>
        <condense val="0"/>
        <extend val="0"/>
        <outline val="0"/>
        <shadow val="0"/>
        <u val="none"/>
        <vertAlign val="baseline"/>
        <sz val="10"/>
        <color theme="1"/>
        <name val="Calibri"/>
        <family val="2"/>
        <scheme val="minor"/>
      </font>
      <fill>
        <patternFill>
          <fgColor indexed="64"/>
          <bgColor theme="8" tint="0.79998168889431442"/>
        </patternFill>
      </fill>
      <alignment horizontal="left" vertical="center" textRotation="0" indent="0" justifyLastLine="0" shrinkToFit="0" readingOrder="0"/>
    </dxf>
    <dxf>
      <font>
        <b val="0"/>
        <i val="0"/>
        <strike val="0"/>
        <condense val="0"/>
        <extend val="0"/>
        <outline val="0"/>
        <shadow val="0"/>
        <u val="none"/>
        <vertAlign val="baseline"/>
        <sz val="10"/>
        <color theme="1"/>
        <name val="Calibri"/>
        <family val="2"/>
        <scheme val="minor"/>
      </font>
      <fill>
        <patternFill>
          <fgColor indexed="64"/>
          <bgColor theme="8"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fill>
        <patternFill>
          <fgColor indexed="64"/>
          <bgColor theme="8" tint="0.79998168889431442"/>
        </patternFill>
      </fill>
      <alignment horizontal="left" vertical="center" textRotation="0"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font>
      <alignment horizontal="general"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3"/>
        </patternFill>
      </fill>
    </dxf>
    <dxf>
      <font>
        <b/>
        <i val="0"/>
        <color theme="0"/>
      </font>
      <fill>
        <patternFill>
          <bgColor theme="4" tint="-0.499984740745262"/>
        </patternFill>
      </fill>
    </dxf>
    <dxf>
      <font>
        <b val="0"/>
        <i val="0"/>
        <color theme="1"/>
      </font>
      <fill>
        <patternFill>
          <bgColor theme="2"/>
        </patternFill>
      </fill>
      <border>
        <left style="thin">
          <color theme="1" tint="0.499984740745262"/>
        </left>
        <right style="thin">
          <color theme="1" tint="0.499984740745262"/>
        </right>
        <top style="thin">
          <color theme="1" tint="0.499984740745262"/>
        </top>
        <bottom style="thin">
          <color theme="1" tint="0.499984740745262"/>
        </bottom>
        <vertical style="thin">
          <color theme="1" tint="0.499984740745262"/>
        </vertical>
        <horizontal style="thin">
          <color theme="1" tint="0.499984740745262"/>
        </horizontal>
      </border>
    </dxf>
    <dxf>
      <font>
        <b val="0"/>
        <i val="0"/>
        <color theme="1"/>
      </font>
      <fill>
        <patternFill>
          <bgColor theme="2"/>
        </patternFill>
      </fill>
      <border>
        <left style="thin">
          <color theme="1" tint="0.499984740745262"/>
        </left>
        <right style="thin">
          <color theme="1" tint="0.499984740745262"/>
        </right>
        <top style="thin">
          <color theme="1" tint="0.499984740745262"/>
        </top>
        <bottom style="thin">
          <color theme="1" tint="0.499984740745262"/>
        </bottom>
        <vertical style="thin">
          <color theme="1" tint="0.499984740745262"/>
        </vertical>
        <horizontal style="thin">
          <color theme="1" tint="0.499984740745262"/>
        </horizontal>
      </border>
    </dxf>
  </dxfs>
  <tableStyles count="2" defaultTableStyle="Table Style 2" defaultPivotStyle="PivotStyleLight16">
    <tableStyle name="Table Style 1" pivot="0" count="1" xr9:uid="{03CADF67-A835-4D43-81C5-75376CF934E2}">
      <tableStyleElement type="wholeTable" dxfId="315"/>
    </tableStyle>
    <tableStyle name="Table Style 2" pivot="0" count="2" xr9:uid="{5906E8DD-1157-4888-9A27-3B2DB57DF7A2}">
      <tableStyleElement type="wholeTable" dxfId="314"/>
      <tableStyleElement type="headerRow" dxfId="313"/>
    </tableStyle>
  </tableStyles>
  <colors>
    <mruColors>
      <color rgb="FFFFFFFF"/>
      <color rgb="FFCBAD8F"/>
      <color rgb="FFD2B89E"/>
      <color rgb="FFFFFFE7"/>
      <color rgb="FFFFFFCC"/>
      <color rgb="FFFFCCCC"/>
      <color rgb="FF9FBDE1"/>
      <color rgb="FFA9BDE1"/>
      <color rgb="FFC7E9AF"/>
      <color rgb="FFB9D9A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drawings/drawing1.xml><?xml version="1.0" encoding="utf-8"?>
<xdr:wsDr xmlns:xdr="http://schemas.openxmlformats.org/drawingml/2006/spreadsheetDrawing" xmlns:a="http://schemas.openxmlformats.org/drawingml/2006/main">
  <xdr:twoCellAnchor>
    <xdr:from>
      <xdr:col>1</xdr:col>
      <xdr:colOff>1</xdr:colOff>
      <xdr:row>1</xdr:row>
      <xdr:rowOff>0</xdr:rowOff>
    </xdr:from>
    <xdr:to>
      <xdr:col>2</xdr:col>
      <xdr:colOff>9086851</xdr:colOff>
      <xdr:row>5</xdr:row>
      <xdr:rowOff>19050</xdr:rowOff>
    </xdr:to>
    <xdr:sp macro="" textlink="">
      <xdr:nvSpPr>
        <xdr:cNvPr id="2" name="TextBox 1">
          <a:extLst>
            <a:ext uri="{FF2B5EF4-FFF2-40B4-BE49-F238E27FC236}">
              <a16:creationId xmlns:a16="http://schemas.microsoft.com/office/drawing/2014/main" id="{0AA701E7-1229-4319-A283-2BA943461D49}"/>
            </a:ext>
          </a:extLst>
        </xdr:cNvPr>
        <xdr:cNvSpPr txBox="1"/>
      </xdr:nvSpPr>
      <xdr:spPr>
        <a:xfrm>
          <a:off x="609601" y="190500"/>
          <a:ext cx="10096500" cy="781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Data</a:t>
          </a:r>
          <a:r>
            <a:rPr lang="en-US" sz="1100" b="1" baseline="0"/>
            <a:t> in this workbook: </a:t>
          </a:r>
          <a:r>
            <a:rPr lang="en-US" sz="1100" baseline="0"/>
            <a:t>The data in this workbook underly the Temperature Binning tool. This version of the data correspond to impact estimates presented in the Temperature Binning Framework documentation. T</a:t>
          </a:r>
          <a:r>
            <a:rPr lang="en-US" sz="1100" baseline="0">
              <a:solidFill>
                <a:sysClr val="windowText" lastClr="000000"/>
              </a:solidFill>
            </a:rPr>
            <a:t>his workbook can be read into the R script documented in Appendix B in the ciraTempBin function.</a:t>
          </a:r>
          <a:endParaRPr lang="en-US" sz="1100">
            <a:solidFill>
              <a:sysClr val="windowText" lastClr="000000"/>
            </a:solidFill>
          </a:endParaRP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1</xdr:col>
      <xdr:colOff>47625</xdr:colOff>
      <xdr:row>23</xdr:row>
      <xdr:rowOff>149225</xdr:rowOff>
    </xdr:from>
    <xdr:ext cx="2089150" cy="984250"/>
    <xdr:sp macro="" textlink="">
      <xdr:nvSpPr>
        <xdr:cNvPr id="2" name="TextBox 1">
          <a:extLst>
            <a:ext uri="{FF2B5EF4-FFF2-40B4-BE49-F238E27FC236}">
              <a16:creationId xmlns:a16="http://schemas.microsoft.com/office/drawing/2014/main" id="{00000000-0008-0000-0C00-000002000000}"/>
            </a:ext>
          </a:extLst>
        </xdr:cNvPr>
        <xdr:cNvSpPr txBox="1"/>
      </xdr:nvSpPr>
      <xdr:spPr>
        <a:xfrm>
          <a:off x="838200" y="3806825"/>
          <a:ext cx="2089150" cy="984250"/>
        </a:xfrm>
        <a:prstGeom prst="rect">
          <a:avLst/>
        </a:prstGeom>
        <a:solidFill>
          <a:schemeClr val="bg1"/>
        </a:solidFill>
        <a:ln w="19050">
          <a:solidFill>
            <a:schemeClr val="bg2">
              <a:lumMod val="50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t>This worksheet contains lists</a:t>
          </a:r>
          <a:r>
            <a:rPr lang="en-US" sz="1100" baseline="0"/>
            <a:t> used throughout the database for data standardization, validation, and control purposes.</a:t>
          </a:r>
          <a:endParaRPr lang="en-US" sz="1100"/>
        </a:p>
      </xdr:txBody>
    </xdr:sp>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DBDF25E7-D35C-4344-9B72-491345FCBF34}" name="Table19" displayName="Table19" ref="B9:C34" totalsRowShown="0" headerRowDxfId="312">
  <autoFilter ref="B9:C34" xr:uid="{DBDF25E7-D35C-4344-9B72-491345FCBF34}"/>
  <tableColumns count="2">
    <tableColumn id="1" xr3:uid="{306AD3FA-EE0B-4D9C-828A-C0B76198AE0B}" name="Worksheet" dataDxfId="311"/>
    <tableColumn id="2" xr3:uid="{873A529C-ADE9-47CF-B36A-585DA33D7B04}" name="Description"/>
  </tableColumns>
  <tableStyleInfo name="Table Style 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4AF7C1DD-F7B4-486D-93FC-71528609946F}" name="doc_tablesList" displayName="doc_tablesList" ref="B3:N22" totalsRowShown="0" headerRowDxfId="310" dataDxfId="309">
  <autoFilter ref="B3:N22" xr:uid="{AD244AAD-EF2A-4E3D-905E-7CC1947F3F1F}"/>
  <sortState xmlns:xlrd2="http://schemas.microsoft.com/office/spreadsheetml/2017/richdata2" ref="B4:N6">
    <sortCondition descending="1" ref="D4:D6"/>
    <sortCondition ref="E4:E6"/>
    <sortCondition ref="C4:C6"/>
  </sortState>
  <tableColumns count="13">
    <tableColumn id="1" xr3:uid="{6892DC4A-A19B-418A-9799-A326D8EAC317}" name="ID" dataDxfId="308">
      <calculatedColumnFormula xml:space="preserve"> ROW( doc_tablesList[[#This Row],[ID]] ) - ROW(doc_tablesList[[#Headers],[ID]] )</calculatedColumnFormula>
    </tableColumn>
    <tableColumn id="2" xr3:uid="{238E4D6F-DBDF-41A4-8350-E77587A7D4B3}" name="Table Name" dataDxfId="307"/>
    <tableColumn id="8" xr3:uid="{D46F7497-B3FD-485E-91E8-C8117D6673FA}" name="Import" dataDxfId="306"/>
    <tableColumn id="3" xr3:uid="{39F2BFBD-30E6-473D-B9E5-9F407D5928C3}" name="Worksheet" dataDxfId="305"/>
    <tableColumn id="9" xr3:uid="{507E67A6-0C2B-4342-A04B-6A8E615993E3}" name="ID_columnName" dataDxfId="304">
      <calculatedColumnFormula xml:space="preserve"> "row_id"</calculatedColumnFormula>
    </tableColumn>
    <tableColumn id="4" xr3:uid="{961C935C-163D-4860-BA16-6CB492916203}" name="Header Row" dataDxfId="303">
      <calculatedColumnFormula array="1" xml:space="preserve"> INDEX( ROW( INDIRECT( _xlfn.TEXTJOIN( "", , doc_tablesList[[#This Row],[Table Name]], "[[#Headers],[", doc_tablesList[[#This Row],[ID_columnName]], "]]" ) ) ), 1 )</calculatedColumnFormula>
    </tableColumn>
    <tableColumn id="5" xr3:uid="{DD236923-3140-4EC8-BB36-1598D08E868D}" name="Number of Data Rows" dataDxfId="302">
      <calculatedColumnFormula xml:space="preserve"> MAX( INDIRECT( _xlfn.TEXTJOIN( "", , doc_tablesList[[#This Row],[Table Name]], "[", doc_tablesList[[#This Row],[ID_columnName]], "]" ) ) )</calculatedColumnFormula>
    </tableColumn>
    <tableColumn id="13" xr3:uid="{F53E64F1-7445-4927-A376-2FB765265648}" name="Last Row" dataDxfId="301">
      <calculatedColumnFormula xml:space="preserve"> doc_tablesList[[#This Row],[Number of Data Rows]] + doc_tablesList[[#This Row],[Header Row]]</calculatedColumnFormula>
    </tableColumn>
    <tableColumn id="6" xr3:uid="{86A51CF5-A3BA-4019-9C90-7A94C7FBA534}" name="id_colIndex" dataDxfId="300">
      <calculatedColumnFormula array="1" xml:space="preserve"> INDEX( COLUMN( INDIRECT( doc_tablesList[[#This Row],[Table Name]] &amp; "[" &amp; doc_tablesList[[#This Row],[ID_columnName]] &amp; "]" ) ), 1 )</calculatedColumnFormula>
    </tableColumn>
    <tableColumn id="7" xr3:uid="{DD29767F-0B22-4C97-9012-467EF6380323}" name="last_colIndex" dataDxfId="299">
      <calculatedColumnFormula array="1" xml:space="preserve"> MAX( COLUMN( INDIRECT( doc_tablesList[[#This Row],[Table Name]] ) ) )</calculatedColumnFormula>
    </tableColumn>
    <tableColumn id="12" xr3:uid="{7F09C7E5-85E6-4334-8C65-926F0EE13A13}" name="num_tableCols" dataDxfId="298">
      <calculatedColumnFormula xml:space="preserve"> doc_tablesList[[#This Row],[last_colIndex]] - doc_tablesList[[#This Row],[id_colIndex]] + 1</calculatedColumnFormula>
    </tableColumn>
    <tableColumn id="11" xr3:uid="{C4016964-772D-4CB1-A4CA-7E815387BA94}" name="excludeCol_ids" dataDxfId="297"/>
    <tableColumn id="10" xr3:uid="{1AD286DF-FF1E-4EA7-92C2-04966DE58B94}" name="Notes" dataDxfId="296"/>
  </tableColumns>
  <tableStyleInfo name="Table Style 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EF872F1E-6955-405B-B61A-5AA538BA1B9E}" name="testDev" displayName="testDev" ref="B3:E28" totalsRowShown="0" headerRowDxfId="295" dataDxfId="294">
  <autoFilter ref="B3:E28" xr:uid="{EF872F1E-6955-405B-B61A-5AA538BA1B9E}"/>
  <sortState xmlns:xlrd2="http://schemas.microsoft.com/office/spreadsheetml/2017/richdata2" ref="B4:E6">
    <sortCondition descending="1" ref="D4:D6"/>
    <sortCondition ref="E4:E6"/>
    <sortCondition ref="C4:C6"/>
  </sortState>
  <tableColumns count="4">
    <tableColumn id="1" xr3:uid="{F4105D57-2925-402A-AD59-A6C04C18DAF5}" name="row_id" dataDxfId="293">
      <calculatedColumnFormula xml:space="preserve"> ROW( testDev[[#This Row],[row_id]] ) - ROW(testDev[[#Headers],[row_id]] )</calculatedColumnFormula>
    </tableColumn>
    <tableColumn id="2" xr3:uid="{724C3667-B22B-4E0E-A26D-84EB27DA32DC}" name="Table Name" dataDxfId="292"/>
    <tableColumn id="8" xr3:uid="{2DE33227-E2C9-4F8F-BDC2-7C7EB619B32B}" name="Changes if new sector added" dataDxfId="291"/>
    <tableColumn id="3" xr3:uid="{91AE5770-239D-41B2-B469-E73127600B2A}" name="New sector changes" dataDxfId="290"/>
  </tableColumns>
  <tableStyleInfo name="Table Style 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FB08D13-3C4C-4BB6-9ED3-E44A55D938B0}" name="co_sectors" displayName="co_sectors" ref="B20:Q45" totalsRowShown="0" headerRowDxfId="289" dataDxfId="287" headerRowBorderDxfId="288" tableBorderDxfId="286" totalsRowBorderDxfId="285">
  <sortState xmlns:xlrd2="http://schemas.microsoft.com/office/spreadsheetml/2017/richdata2" ref="B21:Q45">
    <sortCondition ref="D21:D45"/>
  </sortState>
  <tableColumns count="16">
    <tableColumn id="14" xr3:uid="{60C3EA8F-72E0-495B-8B73-6D682443C60B}" name="row_id" dataDxfId="284" totalsRowDxfId="283">
      <calculatedColumnFormula xml:space="preserve"> ROW( co_sectors[[#This Row],[row_id]] ) - ROW( co_sectors[[#Headers],[row_id]] )</calculatedColumnFormula>
    </tableColumn>
    <tableColumn id="1" xr3:uid="{05E901B8-39C9-4448-8C69-F1824616C5B3}" name="sector_id" dataDxfId="282" totalsRowDxfId="281"/>
    <tableColumn id="2" xr3:uid="{8435BE36-75E6-4124-BCAF-A700C82839D8}" name="sector_label" dataDxfId="280" totalsRowDxfId="279"/>
    <tableColumn id="6" xr3:uid="{2BB914B0-56FF-4336-B8AD-DDDF5E8FE532}" name="include" dataDxfId="278" totalsRowDxfId="277"/>
    <tableColumn id="8" xr3:uid="{18B4827C-060D-4556-903A-BB8A82781CB7}" name="modelType" dataDxfId="276" totalsRowDxfId="275"/>
    <tableColumn id="12" xr3:uid="{5469339C-733E-42AE-A900-9ED6C4EB5971}" name="byState" dataDxfId="274" totalsRowDxfId="273"/>
    <tableColumn id="9" xr3:uid="{031B452A-F7AD-42C2-B528-CC3050A26AA0}" name="interpolateEstimateYears" dataDxfId="272" totalsRowDxfId="271">
      <calculatedColumnFormula array="1" xml:space="preserve"> IF( AND( SUMPRODUCT( co_impactYears[2010], --( co_sectors[[#This Row],[sector_id]] = co_impactYears[sector_id] ) ) &gt; 1,  SUMPRODUCT( co_impactYears[2090], --( co_sectors[[#This Row],[sector_id]] = co_impactYears[sector_id] ) ) &gt; 1 ), 1, 0 )</calculatedColumnFormula>
    </tableColumn>
    <tableColumn id="4" xr3:uid="{60EA29EE-87DF-48ED-AC00-5DE87371BD83}" name="variants" dataDxfId="270" totalsRowDxfId="269">
      <calculatedColumnFormula array="1" xml:space="preserve"> _xlfn.TEXTJOIN( ", ", 1,
  IF( OFFSET( INDIRECT( ADDRESS( ROW( co_variants[[#Headers],[row_id]] ),  COLUMN( co_variants[[#Headers],[sector_id]] ), , , "controlTables" ) ), 1, 0, MAX( co_variants[row_id] ), 1 ) = co_sectors[[#This Row],[sector_id]], co_variants[variant_label], "" )
)</calculatedColumnFormula>
    </tableColumn>
    <tableColumn id="5" xr3:uid="{037FAF60-CB1C-4C29-A873-6D3C321F2480}" name="impactYears" dataDxfId="268" totalsRowDxfId="267">
      <calculatedColumnFormula xml:space="preserve"> _xlfn.TEXTJOIN( ", ", 1,
  OFFSET( INDIRECT( ADDRESS( ROW( INDEX( co_impactYears[sector_id], MATCH( co_sectors[[#This Row],[sector_id]], co_impactYears[sector_id], 0 ) ) ),  COLUMN( co_impactYears[[#Headers],[sector_id]] ), , , "controlTables" ) ), 0, 1, 1, 4 )
)</calculatedColumnFormula>
    </tableColumn>
    <tableColumn id="7" xr3:uid="{28F0B34D-48CC-469A-9D3C-5A943883A167}" name="impactTypes" dataDxfId="266" totalsRowDxfId="265">
      <calculatedColumnFormula array="1" xml:space="preserve">  _xlfn.TEXTJOIN( ", ", 1,
  IF( OFFSET( INDIRECT( ADDRESS( ROW( co_impactTypes[[#Headers],[row_id]] ),  COLUMN( co_impactTypes[[#Headers],[sector_id]] ), , , "controlTables" ) ), 1, 0, MAX( co_impactTypes[row_id] ), 1 ) = co_sectors[[#This Row],[sector_id]], co_impactTypes[impactType_label], "" )
)</calculatedColumnFormula>
    </tableColumn>
    <tableColumn id="10" xr3:uid="{C86349E6-E4A5-4E4F-8866-5A0EC09E18B2}" name="Number of variants" dataDxfId="264" totalsRowDxfId="263">
      <calculatedColumnFormula array="1" xml:space="preserve"> SUMPRODUCT( --( co_sectors[[#This Row],[sector_id]] = co_variants[sector_id] ) )</calculatedColumnFormula>
    </tableColumn>
    <tableColumn id="11" xr3:uid="{5F0E2743-320C-46C8-BF83-E0748C4ED15D}" name="Number of impact types" dataDxfId="262" totalsRowDxfId="261">
      <calculatedColumnFormula array="1" xml:space="preserve"> SUMPRODUCT( --( co_sectors[[#This Row],[sector_id]] = co_impactTypes[sector_id] ) )</calculatedColumnFormula>
    </tableColumn>
    <tableColumn id="13" xr3:uid="{39CDE92C-BE84-47A0-A80A-EB0EC7367742}" name="Number of impact years" dataDxfId="260" totalsRowDxfId="259">
      <calculatedColumnFormula array="1" xml:space="preserve"> IF( INDEX( co_impactYears[N/A], MATCH( 1, --( co_sectors[[#This Row],[sector_id]] = co_impactYears[sector_id] ), 0 ) ) = "N/A", 1, 2 )</calculatedColumnFormula>
    </tableColumn>
    <tableColumn id="16" xr3:uid="{E3198681-898F-4937-B8ED-BD8ED473A1BE}" name="Number of models" dataDxfId="258" totalsRowDxfId="257">
      <calculatedColumnFormula array="1" xml:space="preserve"> INDEX( co_modelTypes[Number of models], MATCH( 1, --( co_sectors[[#This Row],[modelType]] = co_modelTypes[modelType_id] ), 0 ) ) + IF( co_sectors[[#This Row],[modelType]] = "gcm", 1, 0 )</calculatedColumnFormula>
    </tableColumn>
    <tableColumn id="17" xr3:uid="{DBD1B445-C68F-4939-A34A-D2B09294BF9A}" name="Number of levels" dataDxfId="256" totalsRowDxfId="255">
      <calculatedColumnFormula array="1" xml:space="preserve"> INDEX( co_modelTypes[Number of levels], MATCH( 1, --( co_sectors[[#This Row],[modelType]] = co_modelTypes[modelType_id] ), 0 ) )</calculatedColumnFormula>
    </tableColumn>
    <tableColumn id="15" xr3:uid="{C358BCD2-A4F6-42BE-BD1A-9696C39CEE35}" name="Number of scaled impact rows per region" dataDxfId="254" totalsRowDxfId="253">
      <calculatedColumnFormula xml:space="preserve"> PRODUCT( co_sectors[[#This Row],[Number of variants]:[Number of levels]] )</calculatedColumnFormula>
    </tableColumn>
  </tableColumns>
  <tableStyleInfo name="Table Style 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0839C52-E413-4982-A35C-46B477F75688}" name="co_modelTypes" displayName="co_modelTypes" ref="B226:N228" totalsRowShown="0" headerRowDxfId="252" dataDxfId="251">
  <tableColumns count="13">
    <tableColumn id="1" xr3:uid="{11DFD282-93A9-4795-9369-6627D14BB282}" name="row_id" dataDxfId="250">
      <calculatedColumnFormula xml:space="preserve"> ROW( co_modelTypes[[#This Row],[row_id]] ) - ROW( co_modelTypes[[#Headers],[row_id]] )</calculatedColumnFormula>
    </tableColumn>
    <tableColumn id="5" xr3:uid="{083A43A4-471A-4911-84CB-93A1DE17EDC1}" name="modelType_id" dataDxfId="249"/>
    <tableColumn id="6" xr3:uid="{5A95B322-31B8-49BE-B215-52BB75258F9F}" name="modelType_label" dataDxfId="248"/>
    <tableColumn id="2" xr3:uid="{7172DDAD-67EF-469B-A2DF-E5E2773966BC}" name="modelUnit_id" dataDxfId="247"/>
    <tableColumn id="8" xr3:uid="{0E585296-9334-4F27-8B15-1B944CD33E6C}" name="modelUnit_label" dataDxfId="246"/>
    <tableColumn id="3" xr3:uid="{540088D4-3239-4E2E-B19D-9DEA7196BB93}" name="modelUnitType" dataDxfId="245"/>
    <tableColumn id="7" xr3:uid="{EDB25577-4E2B-4262-9DF5-F68DC828D4E8}" name="modelUnitDesc" dataDxfId="244"/>
    <tableColumn id="4" xr3:uid="{72573958-4C31-41E8-A620-C05E0EAD6C20}" name="modelRefYear" dataDxfId="243"/>
    <tableColumn id="14" xr3:uid="{24E03EC5-2F20-4779-B9C9-9AA4430B9341}" name="modelMaxOutput" dataDxfId="242"/>
    <tableColumn id="9" xr3:uid="{537B6620-4A1F-465E-B24B-88B4E9CB99EF}" name="modelMaxExtrap" dataDxfId="241"/>
    <tableColumn id="10" xr3:uid="{5F1496AF-7FEE-4618-AAE6-2E8C8F5433BE}" name="modelUnitScale" dataDxfId="240"/>
    <tableColumn id="13" xr3:uid="{2D80CF7B-1072-423B-9E13-7F9B3844DD63}" name="Number of levels" dataDxfId="239"/>
    <tableColumn id="12" xr3:uid="{D1A4CB2D-7AE0-4E8A-AC5A-FA532FF3EFB2}" name="Number of models" dataDxfId="238">
      <calculatedColumnFormula array="1" xml:space="preserve"> SUMPRODUCT( --( co_models[modelType] = co_modelTypes[[#This Row],[modelType_id]] ) )</calculatedColumnFormula>
    </tableColumn>
  </tableColumns>
  <tableStyleInfo name="Table Style 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BCED586-17E1-4B5C-A781-976D1E5A11BF}" name="co_regions" displayName="co_regions" ref="B252:E259" totalsRowShown="0" headerRowDxfId="237" dataDxfId="236">
  <tableColumns count="4">
    <tableColumn id="1" xr3:uid="{18599272-3810-42BA-A220-485AFB1D6807}" name="row_id" dataDxfId="235">
      <calculatedColumnFormula xml:space="preserve"> ROW( co_regions[[#This Row],[row_id]] ) - ROW( co_regions[[#Headers],[row_id]] )</calculatedColumnFormula>
    </tableColumn>
    <tableColumn id="3" xr3:uid="{56B07D04-3458-4687-B04E-181849066DB3}" name="region_label" dataDxfId="234"/>
    <tableColumn id="4" xr3:uid="{C002439A-2823-4374-8AD2-D03BE0946361}" name="region_dot" dataDxfId="233">
      <calculatedColumnFormula xml:space="preserve"> SUBSTITUTE( co_regions[[#This Row],[region_label]], " ", "." )</calculatedColumnFormula>
    </tableColumn>
    <tableColumn id="5" xr3:uid="{FFA64F27-24E0-4D92-8E8A-6A4675CEB856}" name="region_underscore" dataDxfId="232">
      <calculatedColumnFormula xml:space="preserve"> SUBSTITUTE( co_regions[[#This Row],[region_label]], " ", "_" )</calculatedColumnFormula>
    </tableColumn>
  </tableColumns>
  <tableStyleInfo name="Table Style 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D29BCDB-B6F2-4FB9-B21C-6B30EFCFDCE7}" name="co_models" displayName="co_models" ref="B233:H247" totalsRowShown="0" headerRowDxfId="231" dataDxfId="230">
  <tableColumns count="7">
    <tableColumn id="1" xr3:uid="{BF1485BD-F9FE-4F5B-9D9F-D9CB3D918F44}" name="row_id" dataDxfId="229">
      <calculatedColumnFormula xml:space="preserve"> ROW( co_models[[#This Row],[row_id]] ) - ROW( co_models[[#Headers],[row_id]] )</calculatedColumnFormula>
    </tableColumn>
    <tableColumn id="2" xr3:uid="{A209304D-718C-45BB-922A-A83B3EC89858}" name="model_id" dataDxfId="228"/>
    <tableColumn id="5" xr3:uid="{CBC70E09-D146-4CF4-911F-60EB221755C0}" name="maxUnitValue" dataDxfId="227"/>
    <tableColumn id="20" xr3:uid="{A1F83970-3B0E-4464-8376-1B37DBE20974}" name="modelType" dataDxfId="226"/>
    <tableColumn id="4" xr3:uid="{07FC9EA5-74D5-4155-BD5E-E00DD3D52BAE}" name="model_dot" dataDxfId="225">
      <calculatedColumnFormula xml:space="preserve"> IF( co_models[[#This Row],[modelType]] = "gcm", SUBSTITUTE( SUBSTITUTE( co_models[[#This Row],[model_id]], " ", "." ), "-", "." ),
         VALUE( SUBSTITUTE( co_models[[#This Row],[model_id]], "p", "." ) ) * 100 &amp; "cm" )</calculatedColumnFormula>
    </tableColumn>
    <tableColumn id="6" xr3:uid="{2D75E915-5C37-41D0-8D80-E36A15696E43}" name="model_underscore" dataDxfId="224">
      <calculatedColumnFormula xml:space="preserve"> SUBSTITUTE( co_models[[#This Row],[model_dot]], ".", "_" )</calculatedColumnFormula>
    </tableColumn>
    <tableColumn id="3" xr3:uid="{F9DE0808-4FD0-4FB6-9363-B580ED760D5C}" name="model_label" dataDxfId="223">
      <calculatedColumnFormula xml:space="preserve"> IF( co_models[[#This Row],[modelType]] = "gcm", co_models[[#This Row],[model_id]], SUBSTITUTE( co_models[[#This Row],[model_dot]], "cm", " cm" ) )</calculatedColumnFormula>
    </tableColumn>
  </tableColumns>
  <tableStyleInfo name="Table Style 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BBCD2EA-5DCC-406C-B109-DA7E04AF91C0}" name="co_impactYears" displayName="co_impactYears" ref="B49:F74" totalsRowShown="0" headerRowDxfId="222" dataDxfId="221">
  <autoFilter ref="B49:F74" xr:uid="{965CD6B2-887D-46C8-9D98-6C6AECBC7B1A}"/>
  <sortState xmlns:xlrd2="http://schemas.microsoft.com/office/spreadsheetml/2017/richdata2" ref="B50:F74">
    <sortCondition ref="C50:C74"/>
  </sortState>
  <tableColumns count="5">
    <tableColumn id="1" xr3:uid="{CDF8B6C0-3166-4A5F-954A-6DD921A48F0D}" name="row_id" dataDxfId="220" totalsRowDxfId="219">
      <calculatedColumnFormula xml:space="preserve"> ROW( co_impactYears[[#This Row],[row_id]] ) - ROW(co_impactYears[[#Headers],[row_id]] )</calculatedColumnFormula>
    </tableColumn>
    <tableColumn id="2" xr3:uid="{CE04D22F-F326-49F0-9B89-F7BBAC07F272}" name="sector_id" dataDxfId="218" totalsRowDxfId="217"/>
    <tableColumn id="4" xr3:uid="{D085A6D5-2B6A-46B4-9638-D837648BB08B}" name="N/A" dataDxfId="216" totalsRowDxfId="215">
      <calculatedColumnFormula array="1" xml:space="preserve"> IF( SUMPRODUCT( --( VALUE( controlTables!E$49 ) = data_scaledImpacts[impactYear] ), --( co_impactYears[[#This Row],[sector_id]] = data_scaledImpacts[sector] ) ) &gt; 0, "", controlTables!D$49  )</calculatedColumnFormula>
    </tableColumn>
    <tableColumn id="5" xr3:uid="{EB302892-BCFD-4CA5-B470-8D81C8E73DDE}" name="2010" dataDxfId="214" totalsRowDxfId="213">
      <calculatedColumnFormula array="1" xml:space="preserve"> IF( SUMPRODUCT( --( VALUE( controlTables!E$49 ) = data_scaledImpacts[impactYear] ), --( co_impactYears[[#This Row],[sector_id]] = data_scaledImpacts[sector] ) ) &gt; 0, VALUE( controlTables!E$49 ), "" )</calculatedColumnFormula>
    </tableColumn>
    <tableColumn id="6" xr3:uid="{FADA0A2C-2C06-4E27-9064-B329CB26787D}" name="2090" dataDxfId="212" totalsRowDxfId="211">
      <calculatedColumnFormula array="1" xml:space="preserve"> IF( SUMPRODUCT( --( VALUE( controlTables!F$49 ) = data_scaledImpacts[impactYear] ), --( co_impactYears[[#This Row],[sector_id]] = data_scaledImpacts[sector] ) ) &gt; 0, VALUE( controlTables!F$49 ), "" )</calculatedColumnFormula>
    </tableColumn>
  </tableColumns>
  <tableStyleInfo name="Table Style 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BAD307D6-4C07-4313-AAAB-5A0F25B0CD27}" name="co_impactTypes" displayName="co_impactTypes" ref="B126:U169" totalsRowShown="0" headerRowDxfId="210" dataDxfId="209">
  <autoFilter ref="B126:U169" xr:uid="{E446364F-959A-4BFF-80B5-CD65050C4865}"/>
  <sortState xmlns:xlrd2="http://schemas.microsoft.com/office/spreadsheetml/2017/richdata2" ref="B127:U169">
    <sortCondition ref="C127:C169"/>
    <sortCondition ref="D127:D169"/>
  </sortState>
  <tableColumns count="20">
    <tableColumn id="1" xr3:uid="{3C0C87EC-3301-4189-A438-330FBC0C23CE}" name="row_id" dataDxfId="208">
      <calculatedColumnFormula xml:space="preserve"> ROW( co_impactTypes[[#This Row],[row_id]] ) - ROW(co_impactTypes[[#Headers],[row_id]] )</calculatedColumnFormula>
    </tableColumn>
    <tableColumn id="5" xr3:uid="{695E7B0A-9CCF-4B48-8FB4-7B2C8AC23CA2}" name="sector_id" dataDxfId="207"/>
    <tableColumn id="3" xr3:uid="{AC7D2590-5F6F-4E8A-8395-3ACC925DD65E}" name="impactType_label" dataDxfId="206"/>
    <tableColumn id="2" xr3:uid="{389F4E81-E357-4437-B986-87606739FD52}" name="impactType_id" dataDxfId="205"/>
    <tableColumn id="8" xr3:uid="{535B73E2-6287-4418-B8AA-E50E0120DCC2}" name="impactType_id_excel" dataDxfId="204"/>
    <tableColumn id="7" xr3:uid="{252ECC08-A081-4155-A2E4-6E6953775245}" name="impactType_description" dataDxfId="203"/>
    <tableColumn id="18" xr3:uid="{20E67458-91EF-4192-9F05-0BEE3F89945B}" name="physicalmeasure" dataDxfId="202"/>
    <tableColumn id="6" xr3:uid="{3CFD45D4-B79B-4F80-92FC-337937E46944}" name="physScalarName" dataDxfId="201"/>
    <tableColumn id="9" xr3:uid="{40E9B945-11EE-47C9-B5D8-A41A8FC63734}" name="physAdjName" dataDxfId="200"/>
    <tableColumn id="16" xr3:uid="{5C5AE37A-2086-491F-BF3C-F22CC928E516}" name="damageAdjName" dataDxfId="199"/>
    <tableColumn id="10" xr3:uid="{2A5B466E-A990-49E9-92E3-0103059D4863}" name="econScalarName" dataDxfId="198"/>
    <tableColumn id="11" xr3:uid="{74F77DB7-A970-4C19-A8F9-04E79FC664FD}" name="econMultiplierName" dataDxfId="197"/>
    <tableColumn id="12" xr3:uid="{DA200B1A-95FB-4000-933E-BC048A1E0631}" name="c0" dataDxfId="196"/>
    <tableColumn id="13" xr3:uid="{F6CED4C7-F96B-4766-BD90-7B52A49FAABA}" name="c1" dataDxfId="195"/>
    <tableColumn id="14" xr3:uid="{E36983CA-3DF1-4DD8-A727-E60C1D905346}" name="exp0" dataDxfId="194"/>
    <tableColumn id="15" xr3:uid="{861014FE-4437-4D17-8CED-BC8B72417DD9}" name="year0" dataDxfId="193">
      <calculatedColumnFormula xml:space="preserve"> IF(co_impactTypes[[#This Row],[econMultiplierName]]="None", "N/A", 2010)</calculatedColumnFormula>
    </tableColumn>
    <tableColumn id="4" xr3:uid="{B36EDE81-6CA0-42FB-A8A9-9A4FA4A5EFCA}" name="check_data" dataDxfId="192">
      <calculatedColumnFormula array="1" xml:space="preserve"> IF( INDEX( co_sectors[modelType], MATCH( 1, --( co_impactTypes[[#This Row],[sector_id]] = co_sectors[sector_id] ), 0 ) ) = "gcm",
         --( SUMPRODUCT( --( co_impactTypes[[#This Row],[sector_id]] = data_scaledImpacts[sector] ), --( co_impactTypes[[#This Row],[impactType_id_excel]] = data_scaledImpacts[impactType] ) ) &gt; 1 ),
         --( SUMPRODUCT( --( co_impactTypes[[#This Row],[sector_id]] = slrImpacts[sector] ), --( co_impactTypes[[#This Row],[impactType_id_excel]] = slrImpacts[impactType] ) ) &gt; 1 ) )</calculatedColumnFormula>
    </tableColumn>
    <tableColumn id="19" xr3:uid="{A07F3776-B865-4AD7-9209-74BC15E3A158}" name="check_damageAdj" dataDxfId="191">
      <calculatedColumnFormula array="1" xml:space="preserve"> IF( co_impactTypes[[#This Row],[damageAdjName]] = "none", 1, --( SUMPRODUCT( --IF( ISERROR( FIND( co_impactTypes[[#This Row],[damageAdjName]], scalarDataframe[scalarName] ) ), 0, 1 ), --( "damageAdj" = scalarDataframe[scalarType] ) ) &gt;= 1 ) )</calculatedColumnFormula>
    </tableColumn>
    <tableColumn id="20" xr3:uid="{FE20944F-F9FD-40B6-A69D-C10FCEA8F93E}" name="check_econScalar" dataDxfId="190">
      <calculatedColumnFormula array="1" xml:space="preserve"> IF( co_impactTypes[[#This Row],[econScalarName]] = "none", 1, --( SUMPRODUCT( --IF( ISERROR( FIND( co_impactTypes[[#This Row],[econScalarName]], scalarDataframe[scalarName] ) ), 0, 1 ), --( "econScalar" = scalarDataframe[scalarType] ) ) &gt;= 1 ) )</calculatedColumnFormula>
    </tableColumn>
    <tableColumn id="21" xr3:uid="{68BF59BC-CE0C-4900-B696-25B03FE278B9}" name="check_physScalar" dataDxfId="189">
      <calculatedColumnFormula array="1" xml:space="preserve"> IF( NOT( ISERROR( FIND( co_impactTypes[[#This Row],[physScalarName]], "none, reg_pop" ) ) ), 1, --( SUMPRODUCT( --IF( ISERROR( FIND( co_impactTypes[[#This Row],[physScalarName]], scalarDataframe[scalarName] ) ), 0, 1 ), --( "physScalar" = scalarDataframe[scalarType] ) ) &gt;= 1 ) )</calculatedColumnFormula>
    </tableColumn>
  </tableColumns>
  <tableStyleInfo name="Table Style 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7F79E836-A486-4549-B875-6F873C0BCABB}" name="co_scalarInfo" displayName="co_scalarInfo" ref="B174:K205" totalsRowShown="0" headerRowDxfId="188" dataDxfId="187">
  <sortState xmlns:xlrd2="http://schemas.microsoft.com/office/spreadsheetml/2017/richdata2" ref="B175:K203">
    <sortCondition ref="E175:E203"/>
    <sortCondition ref="C175:C203"/>
  </sortState>
  <tableColumns count="10">
    <tableColumn id="1" xr3:uid="{B5AB138C-E49F-456B-8F7B-6A701BD94314}" name="row_id" dataDxfId="186">
      <calculatedColumnFormula xml:space="preserve"> ROW( co_scalarInfo[[#This Row],[row_id]] ) - ROW( co_scalarInfo[[#Headers],[row_id]] )</calculatedColumnFormula>
    </tableColumn>
    <tableColumn id="4" xr3:uid="{057C556C-4A5B-41BF-9EA5-CD5D06EC20A3}" name="scalarName" dataDxfId="185"/>
    <tableColumn id="2" xr3:uid="{11586BC8-9866-411F-AFB1-B54CDBE58BC8}" name="scalarLabel" dataDxfId="184"/>
    <tableColumn id="3" xr3:uid="{59273865-10D7-4E58-A34B-98B12FD27367}" name="scalarType" dataDxfId="183"/>
    <tableColumn id="6" xr3:uid="{44722630-DE32-4127-9D36-E5716D7B6FB1}" name="constant_or_dynamic" dataDxfId="182"/>
    <tableColumn id="7" xr3:uid="{06B55EB3-A830-4A09-BCEF-732F610DB775}" name="national_or_regional" dataDxfId="181"/>
    <tableColumn id="12" xr3:uid="{DA5FA732-C673-49CC-B393-EEDF239C5944}" name="valueYear" dataDxfId="180"/>
    <tableColumn id="9" xr3:uid="{072DFA28-3A99-48D9-9F87-0B9663CC8EBE}" name="dataType" dataDxfId="179"/>
    <tableColumn id="8" xr3:uid="{083C27B7-8723-4638-8D25-C880E916AEB0}" name="notes" dataDxfId="178"/>
    <tableColumn id="10" xr3:uid="{59B283EF-319C-46BD-B32A-C633A7A331B3}" name="scalar_rows" dataDxfId="177">
      <calculatedColumnFormula array="1" xml:space="preserve"> SUMPRODUCT( --( co_scalarInfo[[#This Row],[scalarName]] = scalarDataframe[scalarName] ) )</calculatedColumnFormula>
    </tableColumn>
  </tableColumns>
  <tableStyleInfo name="Table Style 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62C1689B-D9D6-412A-917F-C64CA7854F7C}" name="co_constants" displayName="co_constants" ref="B218:D221" totalsRowShown="0" headerRowDxfId="176" dataDxfId="175">
  <tableColumns count="3">
    <tableColumn id="1" xr3:uid="{D7815580-A46D-4035-AF95-6DFB7EDC1C86}" name="row_id" dataDxfId="174">
      <calculatedColumnFormula xml:space="preserve"> ROW( co_constants[[#This Row],[row_id]] ) - ROW( co_constants[[#Headers],[row_id]] )</calculatedColumnFormula>
    </tableColumn>
    <tableColumn id="4" xr3:uid="{7CEFD3F0-E79C-4BEE-B910-4D600E302386}" name="constant" dataDxfId="173"/>
    <tableColumn id="3" xr3:uid="{DB7DDBBB-C95A-4211-819C-B05A5C2E7319}" name="value" dataDxfId="172"/>
  </tableColumns>
  <tableStyleInfo name="Table Style 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6C2AD6E-F129-4852-8BB5-5A249C234872}" name="co_variants" displayName="co_variants" ref="B80:K122" totalsRowShown="0" headerRowDxfId="171" dataDxfId="170">
  <autoFilter ref="B80:K122" xr:uid="{2B645CB4-F641-4C38-A983-F38F00FA7B52}"/>
  <sortState xmlns:xlrd2="http://schemas.microsoft.com/office/spreadsheetml/2017/richdata2" ref="B81:K122">
    <sortCondition ref="C81:C122"/>
  </sortState>
  <tableColumns count="10">
    <tableColumn id="1" xr3:uid="{1BCFA006-CF85-4F3A-AC79-60916A48ED39}" name="row_id" dataDxfId="169" totalsRowDxfId="168">
      <calculatedColumnFormula xml:space="preserve"> ROW( co_variants[[#This Row],[row_id]] ) - ROW( co_variants[[#Headers],[row_id]] )</calculatedColumnFormula>
    </tableColumn>
    <tableColumn id="18" xr3:uid="{11CBE921-72AF-48C1-82DE-27D30284B810}" name="sector_id" dataDxfId="167" totalsRowDxfId="166"/>
    <tableColumn id="3" xr3:uid="{1A31D87B-CDD5-4D8C-A4C9-8892B2B2C1E8}" name="variant_label" dataDxfId="165" totalsRowDxfId="164"/>
    <tableColumn id="4" xr3:uid="{BD980D22-60C8-4EA5-878C-1F6646D73814}" name="variant_id" dataDxfId="163" totalsRowDxfId="162"/>
    <tableColumn id="2" xr3:uid="{AFC0EA26-897A-4565-AC43-EDE7CD2C7E8A}" name="variant_id_excel" dataDxfId="161" totalsRowDxfId="160"/>
    <tableColumn id="7" xr3:uid="{77C8D2EF-4466-45BD-90C6-9DB11F371760}" name="sectorprimary" dataDxfId="159" totalsRowDxfId="158"/>
    <tableColumn id="6" xr3:uid="{677E6396-DB82-43C2-B1C8-9CF8A385BC06}" name="includeaggregate" dataDxfId="157" totalsRowDxfId="156"/>
    <tableColumn id="19" xr3:uid="{C16D6C81-A98D-4F3D-B812-6AFD7158219C}" name="damageAdjName" dataDxfId="155" totalsRowDxfId="154">
      <calculatedColumnFormula xml:space="preserve"> INDEX( co_impactTypes[damageAdjName], MATCH( co_variants[[#This Row],[sector_id]], co_impactTypes[sector_id], 0 ) ) &amp;
   IF( co_variants[[#This Row],[sector_id]] = "Roads", IF( co_variants[[#This Row],[variant_id_excel]] = "Proactive", "_proactive", "_other" ), "" )</calculatedColumnFormula>
    </tableColumn>
    <tableColumn id="5" xr3:uid="{482B7E0B-B273-4443-9C16-D8457B220112}" name="check_data" dataDxfId="153" totalsRowDxfId="152">
      <calculatedColumnFormula array="1" xml:space="preserve"> --( SUMPRODUCT( --( co_variants[[#This Row],[sector_id]] = data_scaledImpacts[sector] ), --( co_variants[[#This Row],[variant_id_excel]] = data_scaledImpacts[variant] ) ) &gt; 1 )</calculatedColumnFormula>
    </tableColumn>
    <tableColumn id="8" xr3:uid="{DBDAE92A-E63D-41B7-BD88-AE325DF1F4FE}" name="subImpacts" dataDxfId="151">
      <calculatedColumnFormula array="1" xml:space="preserve"> --( SUMPRODUCT( --( co_impactTypes[sector_id] = co_variants[[#This Row],[sector_id]] ) ) &gt; 1 )</calculatedColumnFormula>
    </tableColumn>
  </tableColumns>
  <tableStyleInfo name="Table Style 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C208A9D-6726-48D1-84E7-1F3146AFFCB6}" name="co_econMultipliers" displayName="co_econMultipliers" ref="B210:E213" totalsRowShown="0" headerRowDxfId="150" dataDxfId="149">
  <tableColumns count="4">
    <tableColumn id="1" xr3:uid="{B5687CDE-96CA-4DF3-A45A-B2EDE1CC9A93}" name="row_id" dataDxfId="148">
      <calculatedColumnFormula xml:space="preserve"> ROW( co_econMultipliers[[#This Row],[row_id]] ) - ROW( co_econMultipliers[[#Headers],[row_id]] )</calculatedColumnFormula>
    </tableColumn>
    <tableColumn id="4" xr3:uid="{76AF9F40-EEBA-4ABF-82CC-7580151C94E2}" name="econMultiplierName" dataDxfId="147"/>
    <tableColumn id="3" xr3:uid="{BB4C0E23-5864-41DA-8215-7C526A80B49B}" name="econMultiplierDescription" dataDxfId="146"/>
    <tableColumn id="2" xr3:uid="{013806BA-C4E3-46FD-AD7B-D198CFA696CD}" name="valueYear" dataDxfId="145"/>
  </tableColumns>
  <tableStyleInfo name="Table Style 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90989828-E88F-4E7D-9FFC-173F0C723DE9}" name="co_inputScenarioInfo" displayName="co_inputScenarioInfo" ref="B264:L268" totalsRowShown="0" headerRowDxfId="144" dataDxfId="143">
  <tableColumns count="11">
    <tableColumn id="1" xr3:uid="{66AD6D28-7A41-4AD2-93FD-110433F1C5A5}" name="row_id" dataDxfId="142">
      <calculatedColumnFormula xml:space="preserve"> ROW( co_inputScenarioInfo[[#This Row],[row_id]] ) - ROW( co_inputScenarioInfo[[#Headers],[row_id]] )</calculatedColumnFormula>
    </tableColumn>
    <tableColumn id="4" xr3:uid="{45198473-3D48-41CD-B663-D0AF13813C66}" name="inputName" dataDxfId="141"/>
    <tableColumn id="3" xr3:uid="{E3847F4D-6384-49D5-8156-9EC8E8221B62}" name="inputType" dataDxfId="140"/>
    <tableColumn id="5" xr3:uid="{98CB64F8-23F0-4402-9CE1-03695A07036B}" name="inputDesc" dataDxfId="139"/>
    <tableColumn id="11" xr3:uid="{6767F0F8-BE35-4ED7-8CC4-4EC46910597F}" name="importArgName" dataDxfId="138">
      <calculatedColumnFormula xml:space="preserve"> co_inputScenarioInfo[[#This Row],[inputName]] &amp; "file"</calculatedColumnFormula>
    </tableColumn>
    <tableColumn id="10" xr3:uid="{1DA97935-2C19-401C-B17D-EF908498B36F}" name="tempBinListName" dataDxfId="137">
      <calculatedColumnFormula xml:space="preserve"> co_inputScenarioInfo[[#This Row],[inputName]] &amp; "Input"</calculatedColumnFormula>
    </tableColumn>
    <tableColumn id="2" xr3:uid="{F9249B62-F8E8-46B3-88F1-E8E0903FDD4A}" name="inputUnit" dataDxfId="136"/>
    <tableColumn id="6" xr3:uid="{48BBD66A-C5AD-477C-84C9-E5FFE0D43B87}" name="inputMin" dataDxfId="135"/>
    <tableColumn id="7" xr3:uid="{05D78FF1-5FB5-4CB5-AB55-8F3089B354DC}" name="inputMax" dataDxfId="134">
      <calculatedColumnFormula xml:space="preserve"> IF( ISNA( MATCH( co_inputScenarioInfo[[#This Row],[inputType]], co_modelTypes[modelUnitType], 0 ) ), "", INDEX( co_modelTypes[modelMaxExtrap], MATCH( co_inputScenarioInfo[[#This Row],[inputType]], co_modelTypes[modelUnitType], 0 ) ) )</calculatedColumnFormula>
    </tableColumn>
    <tableColumn id="8" xr3:uid="{1C94F8DC-2CA2-47FD-A5E1-761F8E67704A}" name="valueCol" dataDxfId="133"/>
    <tableColumn id="9" xr3:uid="{AAA49909-67E1-4978-90ED-573C388A520B}" name="region" dataDxfId="132"/>
  </tableColumns>
  <tableStyleInfo name="Table Style 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260FF6F7-3417-4AB0-990E-0C31BC977851}" name="co_states" displayName="co_states" ref="B273:F322" totalsRowShown="0" headerRowDxfId="131">
  <tableColumns count="5">
    <tableColumn id="1" xr3:uid="{B802A69B-2E07-40A2-ADE9-DCABCB2E04A6}" name="row_id" dataDxfId="130">
      <calculatedColumnFormula xml:space="preserve"> ROW( co_states[[#This Row],[row_id]] ) - ROW( co_states[[#Headers],[row_id]] )</calculatedColumnFormula>
    </tableColumn>
    <tableColumn id="2" xr3:uid="{5B715195-2EAE-439A-84CF-1C26F65065E0}" name="state" dataDxfId="129"/>
    <tableColumn id="3" xr3:uid="{42CA1BFA-BDCF-464B-91DB-4C9663461C1C}" name="postal" dataDxfId="128"/>
    <tableColumn id="4" xr3:uid="{F4F2D0D4-82EF-41DF-B43B-E23CB36CF080}" name="region" dataDxfId="127"/>
    <tableColumn id="5" xr3:uid="{5807F5A8-31A9-4CC5-8FA0-243CB9917CD4}" name="fips" dataDxfId="126"/>
  </tableColumns>
  <tableStyleInfo name="Table Style 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6A7C1084-4BD5-408B-BBB5-2FC0F198D7F4}" name="co_slrScalars" displayName="co_slrScalars" ref="B328:J330" totalsRowShown="0" headerRowDxfId="125" dataDxfId="124">
  <tableColumns count="9">
    <tableColumn id="1" xr3:uid="{39608CCF-EBE2-4EFA-BA66-990DD890C7D3}" name="row_id" dataDxfId="123">
      <calculatedColumnFormula xml:space="preserve"> ROW( co_slrScalars[[#This Row],[row_id]] ) - ROW( co_slrScalars[[#Headers],[row_id]] )</calculatedColumnFormula>
    </tableColumn>
    <tableColumn id="3" xr3:uid="{24491F20-89B9-4A6B-A87E-CDB3D398E1DA}" name="sector" dataDxfId="122"/>
    <tableColumn id="10" xr3:uid="{7CA3A6D3-6BD4-4ECC-97EA-654B9C9F8783}" name="byState" dataDxfId="121">
      <calculatedColumnFormula array="1" xml:space="preserve"> INDEX( co_sectors[byState], MATCH( 1, --( co_slrScalars[[#This Row],[sector]] = co_sectors[sector_id] ), 0 ) )</calculatedColumnFormula>
    </tableColumn>
    <tableColumn id="2" xr3:uid="{60DDD337-313C-431F-83CE-788A259B2B14}" name="physScalarName" dataDxfId="120"/>
    <tableColumn id="6" xr3:uid="{AB34CD40-6627-470D-9B2F-2360E9A41A63}" name="econMultiplierName" dataDxfId="119"/>
    <tableColumn id="7" xr3:uid="{774FF8C9-540D-4647-BB5C-0F27D92917EB}" name="c1" dataDxfId="118"/>
    <tableColumn id="8" xr3:uid="{6D77C177-ACD8-474A-9CEF-58627396E0D5}" name="exp0" dataDxfId="117"/>
    <tableColumn id="9" xr3:uid="{45D5B794-1A45-47DA-8A77-45C881CC1B29}" name="c2" dataDxfId="116"/>
    <tableColumn id="4" xr3:uid="{07C4CFF2-DEE6-4176-813C-12CE016805C3}" name="refYear" dataDxfId="115"/>
  </tableColumns>
  <tableStyleInfo name="Table Style 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508CBCFD-6FBC-400F-A115-6D591C6D043C}" name="co_defaultScenario" displayName="co_defaultScenario" ref="B3:K20" totalsRowShown="0" headerRowDxfId="114" dataDxfId="113" dataCellStyle="Comma">
  <tableColumns count="10">
    <tableColumn id="12" xr3:uid="{0A89CE4B-8BE5-43BC-A51C-BD6CBE39EF8F}" name="row_id" dataDxfId="112" dataCellStyle="Comma">
      <calculatedColumnFormula xml:space="preserve"> ROW( co_defaultScenario[[#This Row],[row_id]] ) - ROW( co_defaultScenario[[#Headers],[row_id]] )</calculatedColumnFormula>
    </tableColumn>
    <tableColumn id="1" xr3:uid="{7A7DBB26-4C96-4158-9520-0B868F638DE3}" name="year" dataDxfId="111"/>
    <tableColumn id="3" xr3:uid="{5D94A0B8-5B52-499B-B23D-0A2D5730D551}" name="gdp_usd" dataDxfId="110" dataCellStyle="Comma"/>
    <tableColumn id="5" xr3:uid="{659D6246-4041-4DBC-AAED-B31108854E59}" name="pop_Midwest" dataDxfId="109" dataCellStyle="Comma"/>
    <tableColumn id="6" xr3:uid="{BF3527D1-840B-4CB0-8FA1-F7702C9908AE}" name="pop_Northeast" dataDxfId="108" dataCellStyle="Comma"/>
    <tableColumn id="7" xr3:uid="{35DB272A-66EC-46CE-93A9-20F94779BAF3}" name="pop_Northern.Plains" dataDxfId="107" dataCellStyle="Comma"/>
    <tableColumn id="8" xr3:uid="{55BC306A-A00D-4EE4-9211-F6147BF5E330}" name="pop_Northwest" dataDxfId="106" dataCellStyle="Comma"/>
    <tableColumn id="9" xr3:uid="{EA9DDCB9-3C37-4492-BE49-198660067F46}" name="pop_Southeast" dataDxfId="105" dataCellStyle="Comma"/>
    <tableColumn id="10" xr3:uid="{502BAA2C-0C26-48E2-9897-F916C0768CFF}" name="pop_Southern.Plains" dataDxfId="104" dataCellStyle="Comma"/>
    <tableColumn id="11" xr3:uid="{6C7C02DD-C215-4B9C-8FA9-4B3C99468E87}" name="pop_Southwest" dataDxfId="103" dataCellStyle="Comma"/>
  </tableColumns>
  <tableStyleInfo name="Table Style 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C0179B68-B689-4953-B236-407D919FF6CA}" name="co_defaultTemps" displayName="co_defaultTemps" ref="B22:D113" totalsRowShown="0" headerRowDxfId="102" dataDxfId="101">
  <autoFilter ref="B22:D113" xr:uid="{C0179B68-B689-4953-B236-407D919FF6CA}"/>
  <tableColumns count="3">
    <tableColumn id="1" xr3:uid="{229C0172-6118-4531-8FC2-3A035D17EE27}" name="row_id" dataDxfId="100">
      <calculatedColumnFormula xml:space="preserve"> ROW( co_defaultTemps[[#This Row],[row_id]] ) - ROW( co_defaultTemps[[#Headers],[row_id]] )</calculatedColumnFormula>
    </tableColumn>
    <tableColumn id="2" xr3:uid="{FE9368F1-AE5E-44BC-8FFF-69FF82E02318}" name="year" dataDxfId="99"/>
    <tableColumn id="3" xr3:uid="{45630D5D-C977-4FC5-9F88-824121D0F964}" name="temp_C_global" dataDxfId="98"/>
  </tableColumns>
  <tableStyleInfo name="Table Style 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D47D4A9-4D0B-4BD8-9445-F4282AA644C2}" name="Readme_adaptations" displayName="Readme_adaptations" ref="B9:E15" totalsRowShown="0">
  <autoFilter ref="B9:E15" xr:uid="{0D47D4A9-4D0B-4BD8-9445-F4282AA644C2}"/>
  <tableColumns count="4">
    <tableColumn id="1" xr3:uid="{F4BD4BA2-1D8F-424B-9A8C-E20589922BC9}" name="row_id" dataDxfId="97">
      <calculatedColumnFormula xml:space="preserve"> ROW( Readme_adaptations[[#This Row],[row_id]] ) - ROW( Readme_adaptations[[#Headers],[row_id]] )</calculatedColumnFormula>
    </tableColumn>
    <tableColumn id="4" xr3:uid="{8F8CD713-0ECF-4957-8E94-F3FC5C746031}" name="sector_id" dataDxfId="96"/>
    <tableColumn id="2" xr3:uid="{13712644-0D89-49D5-9571-32BD03BF1BD3}" name="adapt_id"/>
    <tableColumn id="3" xr3:uid="{B89736B7-3040-4F82-B2CC-EB15F47F50B3}" name="adapt_label"/>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8C7AF19-DB28-47F8-BE56-AE985DF1009B}" name="Readme_sectors" displayName="Readme_sectors" ref="B3:F5" totalsRowShown="0" headerRowDxfId="95" dataDxfId="94">
  <autoFilter ref="B3:F5" xr:uid="{58C7AF19-DB28-47F8-BE56-AE985DF1009B}"/>
  <tableColumns count="5">
    <tableColumn id="1" xr3:uid="{055BC283-B8DC-4F37-B787-CE15D79337AE}" name="row_id" dataDxfId="93">
      <calculatedColumnFormula xml:space="preserve"> ROW( Readme_sectors[[#This Row],[row_id]] ) - ROW( Readme_sectors[[#Headers],[row_id]] )</calculatedColumnFormula>
    </tableColumn>
    <tableColumn id="4" xr3:uid="{F1DE1E87-7416-4EC2-83F4-443E818D69E2}" name="sector_id" dataDxfId="92"/>
    <tableColumn id="2" xr3:uid="{69F42C58-EA29-416E-A03E-490DCD1DAC6F}" name="adapt_id" dataDxfId="91"/>
    <tableColumn id="3" xr3:uid="{995768DD-996C-4A25-A331-EA651CF80A08}" name="adapt_label" dataDxfId="90"/>
    <tableColumn id="5" xr3:uid="{B607221E-C635-413E-A992-7E4B369F50F2}" name="Description" dataDxfId="89"/>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2B2CFCB9-8388-4210-AFCE-8B123CC145D0}" name="scalarDataframe" displayName="scalarDataframe" ref="A1:G1490" totalsRowShown="0" headerRowDxfId="88" dataDxfId="87">
  <autoFilter ref="A1:G1490" xr:uid="{E9B767FF-FD4A-47EB-A1BE-8DA7BBC209F8}"/>
  <sortState xmlns:xlrd2="http://schemas.microsoft.com/office/spreadsheetml/2017/richdata2" ref="A2:G542">
    <sortCondition ref="B2:B542"/>
    <sortCondition ref="D2:D542"/>
    <sortCondition ref="E2:E542"/>
    <sortCondition ref="F2:F542"/>
  </sortState>
  <tableColumns count="7">
    <tableColumn id="15" xr3:uid="{47E242B8-C79E-4A22-9797-F43FBC4A8546}" name="row_id" dataDxfId="86">
      <calculatedColumnFormula xml:space="preserve"> ROW( scalarDataframe[[#This Row],[row_id]] ) - ROW( scalarDataframe[[#Headers],[row_id]] )</calculatedColumnFormula>
    </tableColumn>
    <tableColumn id="7" xr3:uid="{5629A03B-F5E7-4251-8BE0-29755F9DEEF4}" name="scalarType" dataDxfId="85">
      <calculatedColumnFormula xml:space="preserve"> INDEX( co_scalarInfo[scalarType], MATCH( scalarDataframe[[#This Row],[scalarName]],  co_scalarInfo[scalarName], 0 ) )</calculatedColumnFormula>
    </tableColumn>
    <tableColumn id="6" xr3:uid="{EAB00170-C54B-4F2E-A83B-7CD2973B9217}" name="scalarLabel" dataDxfId="84">
      <calculatedColumnFormula xml:space="preserve"> INDEX( co_scalarInfo[scalarLabel], MATCH( scalarDataframe[[#This Row],[scalarName]], co_scalarInfo[scalarName], 0 ) )</calculatedColumnFormula>
    </tableColumn>
    <tableColumn id="1" xr3:uid="{BEF24C34-21C6-484B-99B8-4D2302D0D7DE}" name="scalarName" dataDxfId="83"/>
    <tableColumn id="5" xr3:uid="{FACDE178-C405-470C-9ED1-05FB40F80840}" name="region" dataDxfId="82"/>
    <tableColumn id="14" xr3:uid="{BCE95E2F-5B10-4D18-9633-30354597338F}" name="year" dataDxfId="81"/>
    <tableColumn id="9" xr3:uid="{DE2AE657-02B0-46A2-B4A9-F8887225A818}" name="value" dataDxfId="80"/>
  </tableColumns>
  <tableStyleInfo name="Table Style 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9C19C728-CE00-47CE-9DBE-60E591396E65}" name="data_scaledImpacts" displayName="data_scaledImpacts" ref="A1:P3074" totalsRowShown="0" headerRowDxfId="79">
  <autoFilter ref="A1:P3074" xr:uid="{5CD43D7E-4F04-4DD4-ACD0-77BCB9950DDA}">
    <filterColumn colId="2">
      <filters>
        <filter val="Roads"/>
      </filters>
    </filterColumn>
  </autoFilter>
  <sortState xmlns:xlrd2="http://schemas.microsoft.com/office/spreadsheetml/2017/richdata2" ref="A2023:P2127">
    <sortCondition ref="C2:C2323"/>
    <sortCondition ref="D2:D2323"/>
    <sortCondition ref="H2:H2323"/>
    <sortCondition ref="F2:F2323"/>
    <sortCondition ref="E2:E2323"/>
  </sortState>
  <tableColumns count="16">
    <tableColumn id="1" xr3:uid="{7F6FB5FE-7C4F-486B-8E48-DDB11C089824}" name="row_id" dataDxfId="78">
      <calculatedColumnFormula xml:space="preserve"> ROW( data_scaledImpacts[[#This Row],[row_id]] ) - ROW( data_scaledImpacts[[#Headers],[row_id]] )</calculatedColumnFormula>
    </tableColumn>
    <tableColumn id="2" xr3:uid="{2DEF2382-F499-4843-895A-686011F97248}" name="output_lookupID" dataDxfId="77">
      <calculatedColumnFormula xml:space="preserve"> _xlfn.TEXTJOIN( "", , data_scaledImpacts[[#This Row],[sector]:[impactType]] )</calculatedColumnFormula>
    </tableColumn>
    <tableColumn id="3" xr3:uid="{A07F71E0-9C40-47D4-89FF-270CA2449A8D}" name="sector" dataDxfId="76"/>
    <tableColumn id="4" xr3:uid="{DA36AA1F-6D86-4CA8-8836-A83B43C67B05}" name="model" dataDxfId="75"/>
    <tableColumn id="5" xr3:uid="{EDD0DD68-817F-473E-B837-7D264DAF7650}" name="modelUnitValue" dataDxfId="74"/>
    <tableColumn id="6" xr3:uid="{E4181268-243D-4157-BBEA-8F6D73BCFDA4}" name="impactYear" dataDxfId="73"/>
    <tableColumn id="7" xr3:uid="{6BC8264A-FD6A-4A74-A54E-E4BEFFC2FF0E}" name="variant" dataDxfId="72"/>
    <tableColumn id="8" xr3:uid="{35492AA1-EFA5-4FC6-9F20-F1C21885CFDF}" name="impactType" dataDxfId="71"/>
    <tableColumn id="9" xr3:uid="{8E5D0643-1EAD-47B7-8617-B171A8E0D4EB}" name="outputRowID" dataDxfId="70"/>
    <tableColumn id="10" xr3:uid="{122E93D1-4EA3-4143-97BA-B5275F944BBD}" name="Midwest" dataDxfId="69"/>
    <tableColumn id="11" xr3:uid="{418427BF-1380-45E4-AD6C-C5977A99F193}" name="Northeast" dataDxfId="68"/>
    <tableColumn id="12" xr3:uid="{9DEAAC4E-3E55-4B79-9BAD-D335847FE7D8}" name="Northern Plains" dataDxfId="67"/>
    <tableColumn id="13" xr3:uid="{D6C03439-E08A-406A-9A6A-F53A9BBCE9D2}" name="Northwest" dataDxfId="66"/>
    <tableColumn id="14" xr3:uid="{FF22C76C-80D3-41A5-A330-0813F552BE4C}" name="Southeast" dataDxfId="65"/>
    <tableColumn id="15" xr3:uid="{6C639293-A12E-4E73-9BF5-C4950AD60486}" name="Southern Plains" dataDxfId="64"/>
    <tableColumn id="16" xr3:uid="{FF5717EE-9829-4FC1-94B6-E37C39E8D565}" name="Southwest" dataDxfId="63"/>
  </tableColumns>
  <tableStyleInfo name="Table Style 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F6E1C40-0D2A-408F-87EE-36A6B84C2F85}" name="slr_cm" displayName="slr_cm" ref="A1:I102" totalsRowShown="0">
  <autoFilter ref="A1:I102" xr:uid="{1F6E1C40-0D2A-408F-87EE-36A6B84C2F85}"/>
  <tableColumns count="9">
    <tableColumn id="9" xr3:uid="{F80AE68D-CB1F-4EA7-B8F9-94BBA2F3B4C7}" name="row_id" dataDxfId="62">
      <calculatedColumnFormula xml:space="preserve"> ROW( slr_cm[[#This Row],[row_id]] ) - ROW( slr_cm[[#Headers],[row_id]] )</calculatedColumnFormula>
    </tableColumn>
    <tableColumn id="1" xr3:uid="{FA4EDD13-4E7E-45A3-BAE3-E9197F3C6F46}" name="year" dataDxfId="61"/>
    <tableColumn id="2" xr3:uid="{8C03079C-35A7-401C-8DAF-080D8590CAF6}" name="0_cm" dataDxfId="60"/>
    <tableColumn id="8" xr3:uid="{BF06645C-1E6B-49DC-BFF3-41DC055BA794}" name="30_cm" dataDxfId="59"/>
    <tableColumn id="7" xr3:uid="{A579CC42-A3A8-4F15-AA9F-71AF71D9FC92}" name="50_cm" dataDxfId="58"/>
    <tableColumn id="6" xr3:uid="{3B78BF10-85AF-4256-B6E0-8C448D28F844}" name="100_cm" dataDxfId="57"/>
    <tableColumn id="5" xr3:uid="{B9B22AB8-C0E3-43FA-8E5B-D07A4AB2C538}" name="150_cm" dataDxfId="56"/>
    <tableColumn id="4" xr3:uid="{763A0097-0CCB-4D1D-A0D6-FDF4FE810AFE}" name="200_cm" dataDxfId="55"/>
    <tableColumn id="3" xr3:uid="{FB0A96A9-E5BF-4003-9D05-D514A5B55CB9}" name="250_cm" dataDxfId="54"/>
  </tableColumns>
  <tableStyleInfo name="Table Style 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1E2BDA83-F146-4F19-98EB-1C14987FA9A2}" name="slrImpacts" displayName="slrImpacts" comment="Impacts data for the SLR sectors" ref="A1:AV607" totalsRowShown="0" headerRowDxfId="53" dataDxfId="52">
  <autoFilter ref="A1:AV607" xr:uid="{1E2BDA83-F146-4F19-98EB-1C14987FA9A2}"/>
  <tableColumns count="48">
    <tableColumn id="1" xr3:uid="{1AF6ADF4-8505-4AE3-B9CF-7B2E19067C27}" name="row_id" dataDxfId="51">
      <calculatedColumnFormula xml:space="preserve"> ROW( slrImpacts[[#This Row],[row_id]] ) - ROW( slrImpacts[[#Headers],[row_id]] )</calculatedColumnFormula>
    </tableColumn>
    <tableColumn id="2" xr3:uid="{43959032-2245-415B-8ED2-21DB4CD1B12D}" name="year" dataDxfId="50"/>
    <tableColumn id="34" xr3:uid="{36F985FC-77EB-47D2-A1FE-2F2082E6D376}" name="sector" dataDxfId="49"/>
    <tableColumn id="33" xr3:uid="{2B5236CB-9F95-4A4C-87A0-3CE9BE2C7E73}" name="variant" dataDxfId="48"/>
    <tableColumn id="47" xr3:uid="{C72A8BD2-368D-4792-B823-AB419436D208}" name="impactType" dataDxfId="47"/>
    <tableColumn id="48" xr3:uid="{DFF477B8-9820-4C99-8CCB-2CCE11ECACF1}" name="impactYear" dataDxfId="46"/>
    <tableColumn id="40" xr3:uid="{59ABB601-B3FB-4C8C-9E90-0D4D313FAF3F}" name="Midwest_30" dataDxfId="45"/>
    <tableColumn id="39" xr3:uid="{F84FDD51-A91A-4DC6-816F-44511CF9870D}" name="Midwest_50" dataDxfId="44"/>
    <tableColumn id="38" xr3:uid="{193117A6-0076-4C6E-92F6-E195305CA75F}" name="Midwest_100" dataDxfId="43"/>
    <tableColumn id="37" xr3:uid="{E95A863E-DC23-49E3-8747-1140239EB542}" name="Midwest_150" dataDxfId="42"/>
    <tableColumn id="36" xr3:uid="{9DCAC172-4EFA-4F72-94A9-25FFCE6BABCB}" name="Midwest_200" dataDxfId="41"/>
    <tableColumn id="35" xr3:uid="{00596647-30A5-4FDE-A2C2-91C99C976DEE}" name="Midwest_250" dataDxfId="40"/>
    <tableColumn id="3" xr3:uid="{83D2C515-6A08-43C8-B8A0-3D6BA255FF7F}" name="Northeast_30" dataDxfId="39"/>
    <tableColumn id="4" xr3:uid="{74F081E1-9034-47BC-A276-9B7F094EE5A3}" name="Northeast_50" dataDxfId="38"/>
    <tableColumn id="5" xr3:uid="{8F3D127C-0F6E-43FB-B037-CC9DA3EAEA3F}" name="Northeast_100" dataDxfId="37"/>
    <tableColumn id="6" xr3:uid="{0B383C74-86B0-4E8A-845D-73DCE318AF7B}" name="Northeast_150" dataDxfId="36"/>
    <tableColumn id="7" xr3:uid="{E052B2E8-57BD-4F48-A568-09E673E2128C}" name="Northeast_200" dataDxfId="35"/>
    <tableColumn id="8" xr3:uid="{55B448A4-20D4-488F-A0A4-162F80E5057D}" name="Northeast_250" dataDxfId="34"/>
    <tableColumn id="46" xr3:uid="{ACCB58E3-4DBC-47FB-9071-3026A9D2CD18}" name="Northern Plains_30" dataDxfId="33"/>
    <tableColumn id="45" xr3:uid="{B443D41D-6370-4E34-9C3A-032FAA2D4EB9}" name="Northern Plains_50" dataDxfId="32"/>
    <tableColumn id="44" xr3:uid="{9B782C49-A9FB-4697-9075-383E342315C1}" name="Northern Plains_100" dataDxfId="31"/>
    <tableColumn id="43" xr3:uid="{00CE473E-B64A-42FF-BF91-E6528F343B44}" name="Northern Plains_150" dataDxfId="30"/>
    <tableColumn id="42" xr3:uid="{C209AAAD-9D09-45FE-97E8-3F06D9F9BD04}" name="Northern Plains_200" dataDxfId="29"/>
    <tableColumn id="41" xr3:uid="{610E1419-80D8-4CBA-BBE1-60989C94E642}" name="Northern Plains_250" dataDxfId="28"/>
    <tableColumn id="9" xr3:uid="{42F55640-6505-49F6-A864-7FE23725A39C}" name="Northwest_30" dataDxfId="27"/>
    <tableColumn id="10" xr3:uid="{6F6846C5-B6E4-4804-824A-32DB6379905F}" name="Northwest_50" dataDxfId="26"/>
    <tableColumn id="11" xr3:uid="{34152EE8-AA27-4972-A142-D7B0660F7ED4}" name="Northwest_100" dataDxfId="25"/>
    <tableColumn id="12" xr3:uid="{26DDDCE7-D1BE-4EBB-BB1B-67E6A1E6B729}" name="Northwest_150" dataDxfId="24"/>
    <tableColumn id="13" xr3:uid="{A5BC1F5E-D5B8-4EBB-8261-AD1947BA3A5E}" name="Northwest_200" dataDxfId="23"/>
    <tableColumn id="14" xr3:uid="{BF9A5867-33A2-4645-A46F-7B030AA78FAA}" name="Northwest_250" dataDxfId="22"/>
    <tableColumn id="15" xr3:uid="{DC131674-9A7E-4E00-B1F9-B404E865183F}" name="Southeast_30" dataDxfId="21"/>
    <tableColumn id="16" xr3:uid="{46332F35-94C5-424B-8B00-288002E867C6}" name="Southeast_50" dataDxfId="20"/>
    <tableColumn id="17" xr3:uid="{CCE5A40C-062C-4528-84C8-C057DBF195FF}" name="Southeast_100" dataDxfId="19"/>
    <tableColumn id="18" xr3:uid="{D9200857-AC1F-4DAE-A17A-C7DE6B22AD9A}" name="Southeast_150" dataDxfId="18"/>
    <tableColumn id="19" xr3:uid="{FFCB728A-6B07-4E7F-BD0B-F3FEDCF9EF70}" name="Southeast_200" dataDxfId="17"/>
    <tableColumn id="20" xr3:uid="{67E39E52-C626-4D35-B947-6885E61FCCF6}" name="Southeast_250" dataDxfId="16"/>
    <tableColumn id="27" xr3:uid="{989D7D26-3A17-4BEA-875A-F41C9D179548}" name="Southern Plains_30" dataDxfId="15"/>
    <tableColumn id="28" xr3:uid="{8212CD6D-3B08-45EC-A7DD-F3E879A4E433}" name="Southern Plains_50" dataDxfId="14"/>
    <tableColumn id="29" xr3:uid="{535F6147-6830-4343-88CD-EA49EB1C82ED}" name="Southern Plains_100" dataDxfId="13"/>
    <tableColumn id="30" xr3:uid="{64107A0B-DEF5-4093-BDD7-CCBF08CB819F}" name="Southern Plains_150" dataDxfId="12"/>
    <tableColumn id="31" xr3:uid="{DA051E0B-C5DA-4D3E-9988-13D784BC4003}" name="Southern Plains_200" dataDxfId="11"/>
    <tableColumn id="32" xr3:uid="{0DB15A09-B6D5-4A12-943F-EB86B7C8BFC9}" name="Southern Plains_250" dataDxfId="10"/>
    <tableColumn id="21" xr3:uid="{ABF1E75D-2BCB-4098-9306-ED4F6FF6E6D0}" name="Southwest_30" dataDxfId="9"/>
    <tableColumn id="22" xr3:uid="{00B9C446-629F-46C9-B629-9804A9A27C17}" name="Southwest_50" dataDxfId="8"/>
    <tableColumn id="23" xr3:uid="{E76D3773-0B2F-44FB-B02D-FC48DF45BD1C}" name="Southwest_100" dataDxfId="7"/>
    <tableColumn id="24" xr3:uid="{4C48D194-9727-43DD-9FE8-D0B8E5BD072C}" name="Southwest_150" dataDxfId="6"/>
    <tableColumn id="25" xr3:uid="{D22B7013-4A18-40D3-B394-33A65BA629A1}" name="Southwest_200" dataDxfId="5"/>
    <tableColumn id="26" xr3:uid="{A5E2AB4E-C94A-4C64-889A-1D0CEE4CF2F3}" name="Southwest_250" dataDxfId="4"/>
  </tableColumns>
  <tableStyleInfo name="Table Style 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I3" dT="2020-12-02T16:07:31.92" personId="{00000000-0000-0000-0000-000000000000}" id="{CA6ADEB5-11BE-4132-A47A-25C518BB628C}">
    <text>Last row to import</text>
  </threadedComment>
  <threadedComment ref="J3" dT="2021-01-25T18:15:12.77" personId="{00000000-0000-0000-0000-000000000000}" id="{CF09B496-89B2-4E5E-8028-11313809749B}">
    <text>column index for the row id</text>
  </threadedComment>
  <threadedComment ref="K3" dT="2021-01-25T18:15:27.55" personId="{00000000-0000-0000-0000-000000000000}" id="{548015E0-C233-447D-B530-1C0B3C21F640}">
    <text>column index for the last column</text>
  </threadedComment>
  <threadedComment ref="L3" dT="2020-12-02T16:12:27.85" personId="{00000000-0000-0000-0000-000000000000}" id="{EF28D3A0-EE92-45D0-B99E-D3E043085B5F}">
    <text>Total number of table columns, including the row index</text>
  </threadedComment>
  <threadedComment ref="M3" dT="2020-11-24T20:55:43.68" personId="{00000000-0000-0000-0000-000000000000}" id="{F3CD5873-CE76-472C-A04C-257704E0D773}">
    <text>Which columns to exclude (relative to id_colIndex)</text>
  </threadedComment>
</ThreadedComments>
</file>

<file path=xl/threadedComments/threadedComment2.xml><?xml version="1.0" encoding="utf-8"?>
<ThreadedComments xmlns="http://schemas.microsoft.com/office/spreadsheetml/2018/threadedcomments" xmlns:x="http://schemas.openxmlformats.org/spreadsheetml/2006/main">
  <threadedComment ref="E20" dT="2021-04-02T15:07:48.34" personId="{00000000-0000-0000-0000-000000000000}" id="{B1227AEC-55F2-4D4B-9D62-D8081C156293}">
    <text>Boolean field -- indicates if sector is included in run of R script.</text>
  </threadedComment>
  <threadedComment ref="H20" dT="2021-04-02T15:08:18.98" personId="{00000000-0000-0000-0000-000000000000}" id="{492F094F-8801-4499-80C3-4610B2EB4C3B}">
    <text>Boolean field -- indicates if sector has 2010 and 2090 impact esimates. Corresponds to impact year table below.</text>
  </threadedComment>
  <threadedComment ref="D49" dT="2021-01-25T18:27:33.65" personId="{00000000-0000-0000-0000-000000000000}" id="{40274E0A-9A04-480D-A5E8-2C38F8B3CAD3}">
    <text>Empty values are replaced with "NA" in the R tool.</text>
  </threadedComment>
  <threadedComment ref="E80" dT="2022-09-13T14:35:47.65" personId="{00000000-0000-0000-0000-000000000000}" id="{61FF9366-C253-4143-8900-DE7FDB924463}">
    <text>No spaces in this ID!</text>
  </threadedComment>
  <threadedComment ref="F80" dT="2021-01-25T18:27:05.88" personId="{00000000-0000-0000-0000-000000000000}" id="{542BB73C-7B7B-47C8-9756-BF410F525304}">
    <text>"N/A" is converted to "NA" in the R Tool</text>
  </threadedComment>
  <threadedComment ref="G80" dT="2021-04-02T15:18:13.84" personId="{00000000-0000-0000-0000-000000000000}" id="{7C7D377F-2B53-48B7-807A-23CFCBC48B83}">
    <text>For sectors with multiple adaptation scenarios, one scenario is considered the "primary" scenario -- frequently focused on in summary graphics across all sectors.</text>
  </threadedComment>
  <threadedComment ref="H80" dT="2021-04-02T15:33:36.18" personId="{00000000-0000-0000-0000-000000000000}" id="{3962DDEC-520D-4477-AB4D-6A758B04F9CC}">
    <text>Boolean field -- indicates whether a sector includes sub-impact estimates. See sector table above for list of sub-impact estimates.</text>
  </threadedComment>
  <threadedComment ref="F126" dT="2021-01-25T18:27:53.76" personId="{00000000-0000-0000-0000-000000000000}" id="{46412BAC-F8AA-4C6A-9657-79D004ABECB6}">
    <text>Empty values are replaced with "NA" in the R tool.</text>
  </threadedComment>
  <threadedComment ref="R126" dT="2021-01-25T18:07:09.78" personId="{00000000-0000-0000-0000-000000000000}" id="{CEA9DDE6-3350-41DC-8E42-E0F398550E2B}">
    <text>Check presence of data in the table.</text>
  </threadedComment>
  <threadedComment ref="I144" dT="2021-04-29T18:53:19.81" personId="{00000000-0000-0000-0000-000000000000}" id="{B944EC01-36D0-40EC-99E6-BA8270B055AE}">
    <text>May add a physical scalar in the future - total regional property value</text>
  </threadedComment>
  <threadedComment ref="I144" dT="2021-04-29T18:53:45.21" personId="{00000000-0000-0000-0000-000000000000}" id="{D0F6E8CF-0610-4E7B-8A56-BC47CE157016}" parentId="{B944EC01-36D0-40EC-99E6-BA8270B055AE}">
    <text>For now keeping it without, for consistency with coastal properties</text>
  </threadedComment>
  <threadedComment ref="F174" dT="2021-04-02T15:36:58.50" personId="{00000000-0000-0000-0000-000000000000}" id="{EF83C059-A623-47AC-AFC4-40246F6AF9B2}">
    <text>This field tracks whether the input scalar is a time series of scalars, or a single input used to calculate a trajectory of the scalar in R. "Dynamic" scalars are a full series; "constant" are a single value from which a series is calculated in the R script.</text>
  </threadedComment>
  <threadedComment ref="I226" dT="2021-02-11T17:01:11.40" personId="{00000000-0000-0000-0000-000000000000}" id="{74E8C379-DF77-4FAE-8C13-4D0000C68271}">
    <text>Year when change and impacts are zero</text>
  </threadedComment>
  <threadedComment ref="K226" dT="2021-02-15T18:58:52.31" personId="{00000000-0000-0000-0000-000000000000}" id="{984021BA-DD3F-4758-AAFF-698CBFB1E97F}">
    <text>Maximum value to extrapolate to, for models that go up to the maximum output value.</text>
  </threadedComment>
  <threadedComment ref="D233" dT="2023-12-08T22:41:08.83" personId="{00000000-0000-0000-0000-000000000000}" id="{A0D64BDD-1681-4C8F-9929-C1898D0603B0}">
    <text>Max extrapolation temperature</text>
  </threadedComment>
  <threadedComment ref="F264" dT="2021-03-30T17:50:58.78" personId="{00000000-0000-0000-0000-000000000000}" id="{A6091107-2825-473E-BBBE-411522F90494}">
    <text>Name of argument to import_inputs</text>
  </threadedComment>
  <threadedComment ref="G264" dT="2021-03-30T17:49:55.46" personId="{00000000-0000-0000-0000-000000000000}" id="{A03B3CB5-A1AE-46DC-B1DB-A9148D8693C3}">
    <text>Name of list element name of input to tempBin</text>
  </threadedComment>
  <threadedComment ref="L264" dT="2021-03-30T17:10:38.36" personId="{00000000-0000-0000-0000-000000000000}" id="{A5816E78-F7FA-40E3-ACC3-4CDB677E4DA9}">
    <text>Whether region is a dimension of the input</text>
  </threadedComment>
</ThreadedComments>
</file>

<file path=xl/threadedComments/threadedComment3.xml><?xml version="1.0" encoding="utf-8"?>
<ThreadedComments xmlns="http://schemas.microsoft.com/office/spreadsheetml/2018/threadedcomments" xmlns:x="http://schemas.openxmlformats.org/spreadsheetml/2006/main">
  <threadedComment ref="D1" dT="2022-10-25T21:46:16.18" personId="{00000000-0000-0000-0000-000000000000}" id="{E7DCFB07-1746-4F5C-BF4C-2E465DB5DB4B}">
    <text>Values in orange are for FrEDI NPD</text>
  </threadedComment>
  <threadedComment ref="F1" dT="2020-11-03T15:43:59.03" personId="{00000000-0000-0000-0000-000000000000}" id="{37682E84-1B9B-45D5-9467-D5DB78D67CB2}">
    <text>For VSL, Wages, and the value of violent and property crime, only values for 2010 are provided. These are extended to all years. Set year to the minimum year.</text>
  </threadedComment>
</ThreadedComments>
</file>

<file path=xl/threadedComments/threadedComment4.xml><?xml version="1.0" encoding="utf-8"?>
<ThreadedComments xmlns="http://schemas.microsoft.com/office/spreadsheetml/2018/threadedcomments" xmlns:x="http://schemas.openxmlformats.org/spreadsheetml/2006/main">
  <threadedComment ref="I1" dT="2020-10-21T16:27:52.40" personId="{00000000-0000-0000-0000-000000000000}" id="{3FE5774D-3FD4-4D0B-9C00-402121E11837}">
    <text>Not needed by R.</text>
  </threadedComment>
</ThreadedComments>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table" Target="../tables/table9.xml"/><Relationship Id="rId13" Type="http://schemas.openxmlformats.org/officeDocument/2006/relationships/table" Target="../tables/table14.xml"/><Relationship Id="rId3" Type="http://schemas.openxmlformats.org/officeDocument/2006/relationships/table" Target="../tables/table4.xml"/><Relationship Id="rId7" Type="http://schemas.openxmlformats.org/officeDocument/2006/relationships/table" Target="../tables/table8.xml"/><Relationship Id="rId12" Type="http://schemas.openxmlformats.org/officeDocument/2006/relationships/table" Target="../tables/table13.xml"/><Relationship Id="rId17" Type="http://schemas.microsoft.com/office/2017/10/relationships/threadedComment" Target="../threadedComments/threadedComment2.xml"/><Relationship Id="rId2" Type="http://schemas.openxmlformats.org/officeDocument/2006/relationships/vmlDrawing" Target="../drawings/vmlDrawing2.vml"/><Relationship Id="rId16" Type="http://schemas.openxmlformats.org/officeDocument/2006/relationships/comments" Target="../comments2.xml"/><Relationship Id="rId1" Type="http://schemas.openxmlformats.org/officeDocument/2006/relationships/printerSettings" Target="../printerSettings/printerSettings4.bin"/><Relationship Id="rId6" Type="http://schemas.openxmlformats.org/officeDocument/2006/relationships/table" Target="../tables/table7.xml"/><Relationship Id="rId11" Type="http://schemas.openxmlformats.org/officeDocument/2006/relationships/table" Target="../tables/table12.xml"/><Relationship Id="rId5" Type="http://schemas.openxmlformats.org/officeDocument/2006/relationships/table" Target="../tables/table6.xml"/><Relationship Id="rId15" Type="http://schemas.openxmlformats.org/officeDocument/2006/relationships/table" Target="../tables/table16.xml"/><Relationship Id="rId10" Type="http://schemas.openxmlformats.org/officeDocument/2006/relationships/table" Target="../tables/table11.xml"/><Relationship Id="rId4" Type="http://schemas.openxmlformats.org/officeDocument/2006/relationships/table" Target="../tables/table5.xml"/><Relationship Id="rId9" Type="http://schemas.openxmlformats.org/officeDocument/2006/relationships/table" Target="../tables/table10.xml"/><Relationship Id="rId14" Type="http://schemas.openxmlformats.org/officeDocument/2006/relationships/table" Target="../tables/table15.xml"/></Relationships>
</file>

<file path=xl/worksheets/_rels/sheet5.xml.rels><?xml version="1.0" encoding="UTF-8" standalone="yes"?>
<Relationships xmlns="http://schemas.openxmlformats.org/package/2006/relationships"><Relationship Id="rId3" Type="http://schemas.openxmlformats.org/officeDocument/2006/relationships/table" Target="../tables/table18.xml"/><Relationship Id="rId2" Type="http://schemas.openxmlformats.org/officeDocument/2006/relationships/table" Target="../tables/table17.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20.xml"/><Relationship Id="rId1" Type="http://schemas.openxmlformats.org/officeDocument/2006/relationships/table" Target="../tables/table19.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1.xml"/><Relationship Id="rId2" Type="http://schemas.openxmlformats.org/officeDocument/2006/relationships/vmlDrawing" Target="../drawings/vmlDrawing3.vml"/><Relationship Id="rId1" Type="http://schemas.openxmlformats.org/officeDocument/2006/relationships/printerSettings" Target="../printerSettings/printerSettings6.bin"/><Relationship Id="rId5" Type="http://schemas.microsoft.com/office/2017/10/relationships/threadedComment" Target="../threadedComments/threadedComment3.xml"/><Relationship Id="rId4" Type="http://schemas.openxmlformats.org/officeDocument/2006/relationships/comments" Target="../comments3.xml"/></Relationships>
</file>

<file path=xl/worksheets/_rels/sheet8.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vmlDrawing" Target="../drawings/vmlDrawing4.vml"/><Relationship Id="rId1" Type="http://schemas.openxmlformats.org/officeDocument/2006/relationships/printerSettings" Target="../printerSettings/printerSettings7.bin"/><Relationship Id="rId5" Type="http://schemas.microsoft.com/office/2017/10/relationships/threadedComment" Target="../threadedComments/threadedComment4.xml"/><Relationship Id="rId4" Type="http://schemas.openxmlformats.org/officeDocument/2006/relationships/comments" Target="../comments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2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09DCCD-31D5-4E57-B847-7CAFC2742EA8}">
  <sheetPr>
    <outlinePr summaryBelow="0"/>
  </sheetPr>
  <dimension ref="B9:C51"/>
  <sheetViews>
    <sheetView workbookViewId="0"/>
  </sheetViews>
  <sheetFormatPr defaultRowHeight="14.5" outlineLevelRow="1" x14ac:dyDescent="0.35"/>
  <cols>
    <col min="2" max="2" width="15.1796875" bestFit="1" customWidth="1"/>
    <col min="3" max="3" width="137.26953125" customWidth="1"/>
  </cols>
  <sheetData>
    <row r="9" spans="2:3" x14ac:dyDescent="0.35">
      <c r="B9" s="92" t="s">
        <v>240</v>
      </c>
      <c r="C9" s="92" t="s">
        <v>1066</v>
      </c>
    </row>
    <row r="10" spans="2:3" ht="29.25" customHeight="1" x14ac:dyDescent="0.35">
      <c r="B10" s="128" t="s">
        <v>245</v>
      </c>
      <c r="C10" s="91" t="s">
        <v>1069</v>
      </c>
    </row>
    <row r="11" spans="2:3" ht="32.25" customHeight="1" x14ac:dyDescent="0.35">
      <c r="B11" s="129" t="s">
        <v>966</v>
      </c>
      <c r="C11" s="127" t="s">
        <v>1072</v>
      </c>
    </row>
    <row r="12" spans="2:3" ht="15" customHeight="1" collapsed="1" x14ac:dyDescent="0.35">
      <c r="B12" s="128" t="s">
        <v>829</v>
      </c>
      <c r="C12" s="91" t="s">
        <v>1068</v>
      </c>
    </row>
    <row r="13" spans="2:3" ht="15" hidden="1" customHeight="1" outlineLevel="1" collapsed="1" x14ac:dyDescent="0.35">
      <c r="B13" s="128"/>
      <c r="C13" s="93" t="s">
        <v>1067</v>
      </c>
    </row>
    <row r="14" spans="2:3" ht="15" hidden="1" customHeight="1" outlineLevel="1" x14ac:dyDescent="0.35">
      <c r="B14" s="129"/>
      <c r="C14" s="90" t="s">
        <v>780</v>
      </c>
    </row>
    <row r="15" spans="2:3" ht="15" hidden="1" customHeight="1" outlineLevel="1" x14ac:dyDescent="0.35">
      <c r="B15" s="129"/>
      <c r="C15" t="s">
        <v>232</v>
      </c>
    </row>
    <row r="16" spans="2:3" ht="45" hidden="1" customHeight="1" outlineLevel="1" x14ac:dyDescent="0.35">
      <c r="B16" s="129"/>
      <c r="C16" s="90" t="s">
        <v>822</v>
      </c>
    </row>
    <row r="17" spans="2:3" ht="45" hidden="1" customHeight="1" outlineLevel="1" x14ac:dyDescent="0.35">
      <c r="B17" s="129"/>
      <c r="C17" t="s">
        <v>899</v>
      </c>
    </row>
    <row r="18" spans="2:3" ht="45" hidden="1" customHeight="1" outlineLevel="1" x14ac:dyDescent="0.35">
      <c r="B18" s="129"/>
      <c r="C18" s="90" t="s">
        <v>823</v>
      </c>
    </row>
    <row r="19" spans="2:3" ht="45" hidden="1" customHeight="1" outlineLevel="1" x14ac:dyDescent="0.35">
      <c r="B19" s="129"/>
      <c r="C19" t="s">
        <v>824</v>
      </c>
    </row>
    <row r="20" spans="2:3" ht="45" hidden="1" customHeight="1" outlineLevel="1" x14ac:dyDescent="0.35">
      <c r="B20" s="129"/>
      <c r="C20" s="90" t="s">
        <v>937</v>
      </c>
    </row>
    <row r="21" spans="2:3" ht="45" hidden="1" customHeight="1" outlineLevel="1" x14ac:dyDescent="0.35">
      <c r="B21" s="129"/>
      <c r="C21" t="s">
        <v>825</v>
      </c>
    </row>
    <row r="22" spans="2:3" ht="45" hidden="1" customHeight="1" outlineLevel="1" x14ac:dyDescent="0.35">
      <c r="B22" s="129"/>
      <c r="C22" s="90" t="s">
        <v>826</v>
      </c>
    </row>
    <row r="23" spans="2:3" ht="45" hidden="1" customHeight="1" outlineLevel="1" x14ac:dyDescent="0.35">
      <c r="B23" s="129"/>
      <c r="C23" t="s">
        <v>938</v>
      </c>
    </row>
    <row r="24" spans="2:3" ht="45" hidden="1" customHeight="1" outlineLevel="1" x14ac:dyDescent="0.35">
      <c r="B24" s="129"/>
      <c r="C24" s="90" t="s">
        <v>827</v>
      </c>
    </row>
    <row r="25" spans="2:3" ht="30.75" customHeight="1" collapsed="1" x14ac:dyDescent="0.35">
      <c r="B25" s="129" t="s">
        <v>835</v>
      </c>
      <c r="C25" s="20" t="s">
        <v>1071</v>
      </c>
    </row>
    <row r="26" spans="2:3" ht="15" hidden="1" customHeight="1" outlineLevel="1" collapsed="1" x14ac:dyDescent="0.35">
      <c r="B26" s="129"/>
      <c r="C26" s="93" t="s">
        <v>1067</v>
      </c>
    </row>
    <row r="27" spans="2:3" ht="15" hidden="1" customHeight="1" outlineLevel="1" x14ac:dyDescent="0.35">
      <c r="B27" s="129"/>
      <c r="C27" s="90" t="s">
        <v>780</v>
      </c>
    </row>
    <row r="28" spans="2:3" ht="15" hidden="1" customHeight="1" outlineLevel="1" x14ac:dyDescent="0.35">
      <c r="B28" s="129"/>
      <c r="C28" t="s">
        <v>813</v>
      </c>
    </row>
    <row r="29" spans="2:3" ht="15" hidden="1" customHeight="1" outlineLevel="1" x14ac:dyDescent="0.35">
      <c r="B29" s="129"/>
      <c r="C29" s="90" t="s">
        <v>253</v>
      </c>
    </row>
    <row r="30" spans="2:3" ht="15" hidden="1" customHeight="1" outlineLevel="1" x14ac:dyDescent="0.35">
      <c r="B30" s="129"/>
      <c r="C30" t="s">
        <v>254</v>
      </c>
    </row>
    <row r="31" spans="2:3" ht="15" hidden="1" customHeight="1" outlineLevel="1" x14ac:dyDescent="0.35">
      <c r="B31" s="129"/>
      <c r="C31" s="90" t="s">
        <v>218</v>
      </c>
    </row>
    <row r="32" spans="2:3" ht="15" hidden="1" customHeight="1" outlineLevel="1" x14ac:dyDescent="0.35">
      <c r="B32" s="129"/>
      <c r="C32" t="s">
        <v>232</v>
      </c>
    </row>
    <row r="33" spans="2:3" ht="15" hidden="1" customHeight="1" outlineLevel="1" x14ac:dyDescent="0.35">
      <c r="B33" s="129"/>
      <c r="C33" s="94" t="s">
        <v>255</v>
      </c>
    </row>
    <row r="34" spans="2:3" ht="31.5" customHeight="1" collapsed="1" x14ac:dyDescent="0.35">
      <c r="B34" s="128" t="s">
        <v>942</v>
      </c>
      <c r="C34" s="91" t="s">
        <v>1070</v>
      </c>
    </row>
    <row r="35" spans="2:3" hidden="1" outlineLevel="1" collapsed="1" x14ac:dyDescent="0.35">
      <c r="B35" s="90"/>
      <c r="C35" s="93" t="s">
        <v>1067</v>
      </c>
    </row>
    <row r="36" spans="2:3" hidden="1" outlineLevel="1" x14ac:dyDescent="0.35">
      <c r="C36" s="90" t="s">
        <v>780</v>
      </c>
    </row>
    <row r="37" spans="2:3" hidden="1" outlineLevel="1" x14ac:dyDescent="0.35">
      <c r="C37" t="s">
        <v>235</v>
      </c>
    </row>
    <row r="38" spans="2:3" hidden="1" outlineLevel="1" x14ac:dyDescent="0.35">
      <c r="C38" s="90" t="s">
        <v>915</v>
      </c>
    </row>
    <row r="39" spans="2:3" hidden="1" outlineLevel="1" x14ac:dyDescent="0.35">
      <c r="C39" t="s">
        <v>925</v>
      </c>
    </row>
    <row r="40" spans="2:3" hidden="1" outlineLevel="1" x14ac:dyDescent="0.35">
      <c r="C40" s="90" t="s">
        <v>967</v>
      </c>
    </row>
    <row r="41" spans="2:3" hidden="1" outlineLevel="1" x14ac:dyDescent="0.35">
      <c r="C41" t="s">
        <v>916</v>
      </c>
    </row>
    <row r="42" spans="2:3" hidden="1" outlineLevel="1" x14ac:dyDescent="0.35">
      <c r="C42" s="95" t="s">
        <v>917</v>
      </c>
    </row>
    <row r="43" spans="2:3" hidden="1" outlineLevel="1" x14ac:dyDescent="0.35">
      <c r="C43" t="s">
        <v>924</v>
      </c>
    </row>
    <row r="44" spans="2:3" hidden="1" outlineLevel="1" x14ac:dyDescent="0.35">
      <c r="C44" s="90" t="s">
        <v>918</v>
      </c>
    </row>
    <row r="45" spans="2:3" hidden="1" outlineLevel="1" x14ac:dyDescent="0.35">
      <c r="C45" t="s">
        <v>6</v>
      </c>
    </row>
    <row r="46" spans="2:3" hidden="1" outlineLevel="1" x14ac:dyDescent="0.35">
      <c r="C46" s="90" t="s">
        <v>7</v>
      </c>
    </row>
    <row r="47" spans="2:3" hidden="1" outlineLevel="1" x14ac:dyDescent="0.35">
      <c r="C47" t="s">
        <v>8</v>
      </c>
    </row>
    <row r="48" spans="2:3" hidden="1" outlineLevel="1" x14ac:dyDescent="0.35">
      <c r="C48" s="90" t="s">
        <v>9</v>
      </c>
    </row>
    <row r="49" spans="3:3" hidden="1" outlineLevel="1" x14ac:dyDescent="0.35">
      <c r="C49" t="s">
        <v>10</v>
      </c>
    </row>
    <row r="50" spans="3:3" hidden="1" outlineLevel="1" x14ac:dyDescent="0.35">
      <c r="C50" s="90" t="s">
        <v>11</v>
      </c>
    </row>
    <row r="51" spans="3:3" hidden="1" outlineLevel="1" x14ac:dyDescent="0.35">
      <c r="C51" t="s">
        <v>12</v>
      </c>
    </row>
  </sheetData>
  <pageMargins left="0.7" right="0.7" top="0.75" bottom="0.75" header="0.3" footer="0.3"/>
  <pageSetup orientation="portrait" horizontalDpi="1200" verticalDpi="1200"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58833-B4B3-4B26-967D-EE9A13947EEE}">
  <sheetPr codeName="Sheet7">
    <tabColor theme="5" tint="0.39997558519241921"/>
  </sheetPr>
  <dimension ref="A1:N22"/>
  <sheetViews>
    <sheetView topLeftCell="B1" workbookViewId="0">
      <pane xSplit="2" topLeftCell="D1" activePane="topRight" state="frozen"/>
      <selection activeCell="B1" sqref="B1"/>
      <selection pane="topRight" activeCell="N22" sqref="N22"/>
    </sheetView>
  </sheetViews>
  <sheetFormatPr defaultRowHeight="14.5" x14ac:dyDescent="0.35"/>
  <cols>
    <col min="1" max="1" width="11.81640625" customWidth="1"/>
    <col min="3" max="3" width="22.81640625" customWidth="1"/>
    <col min="4" max="13" width="14.54296875" customWidth="1"/>
    <col min="14" max="14" width="60.54296875" style="20" customWidth="1"/>
    <col min="15" max="15" width="14.54296875" customWidth="1"/>
    <col min="16" max="16" width="60.54296875" customWidth="1"/>
    <col min="17" max="17" width="15.7265625" customWidth="1"/>
  </cols>
  <sheetData>
    <row r="1" spans="1:14" x14ac:dyDescent="0.35">
      <c r="A1" t="s">
        <v>245</v>
      </c>
      <c r="B1" s="4" t="s">
        <v>246</v>
      </c>
    </row>
    <row r="2" spans="1:14" x14ac:dyDescent="0.35">
      <c r="B2" s="4"/>
    </row>
    <row r="3" spans="1:14" ht="26" x14ac:dyDescent="0.35">
      <c r="B3" s="12" t="s">
        <v>210</v>
      </c>
      <c r="C3" s="12" t="s">
        <v>239</v>
      </c>
      <c r="D3" s="31" t="s">
        <v>248</v>
      </c>
      <c r="E3" s="12" t="s">
        <v>240</v>
      </c>
      <c r="F3" s="31" t="s">
        <v>244</v>
      </c>
      <c r="G3" s="31" t="s">
        <v>264</v>
      </c>
      <c r="H3" s="31" t="s">
        <v>241</v>
      </c>
      <c r="I3" s="31" t="s">
        <v>263</v>
      </c>
      <c r="J3" s="31" t="s">
        <v>919</v>
      </c>
      <c r="K3" s="31" t="s">
        <v>920</v>
      </c>
      <c r="L3" s="31" t="s">
        <v>921</v>
      </c>
      <c r="M3" s="31" t="s">
        <v>929</v>
      </c>
      <c r="N3" s="12" t="s">
        <v>229</v>
      </c>
    </row>
    <row r="4" spans="1:14" ht="21" x14ac:dyDescent="0.35">
      <c r="B4" s="7">
        <f xml:space="preserve"> ROW( doc_tablesList[[#This Row],[ID]] ) - ROW(doc_tablesList[[#Headers],[ID]] )</f>
        <v>1</v>
      </c>
      <c r="C4" s="14" t="s">
        <v>243</v>
      </c>
      <c r="D4" s="58">
        <v>1</v>
      </c>
      <c r="E4" s="14" t="s">
        <v>966</v>
      </c>
      <c r="F4" s="58" t="str">
        <f t="shared" ref="F4:F7" si="0" xml:space="preserve"> "row_id"</f>
        <v>row_id</v>
      </c>
      <c r="G4" s="62" cm="1">
        <f t="array" aca="1" ref="G4" ca="1" xml:space="preserve"> INDEX( ROW( INDIRECT( _xlfn.TEXTJOIN( "", , doc_tablesList[[#This Row],[Table Name]], "[[#Headers],[", doc_tablesList[[#This Row],[ID_columnName]], "]]" ) ) ), 1 )</f>
        <v>20</v>
      </c>
      <c r="H4" s="62">
        <f ca="1" xml:space="preserve"> MAX( INDIRECT( _xlfn.TEXTJOIN( "", , doc_tablesList[[#This Row],[Table Name]], "[", doc_tablesList[[#This Row],[ID_columnName]], "]" ) ) )</f>
        <v>25</v>
      </c>
      <c r="I4" s="62">
        <f ca="1" xml:space="preserve"> doc_tablesList[[#This Row],[Number of Data Rows]] + doc_tablesList[[#This Row],[Header Row]]</f>
        <v>45</v>
      </c>
      <c r="J4" s="62" cm="1">
        <f t="array" aca="1" ref="J4" ca="1" xml:space="preserve"> INDEX( COLUMN( INDIRECT( doc_tablesList[[#This Row],[Table Name]] &amp; "[" &amp; doc_tablesList[[#This Row],[ID_columnName]] &amp; "]" ) ), 1 )</f>
        <v>2</v>
      </c>
      <c r="K4" s="62" cm="1">
        <f t="array" aca="1" ref="K4" ca="1" xml:space="preserve"> MAX( COLUMN( INDIRECT( doc_tablesList[[#This Row],[Table Name]] ) ) )</f>
        <v>17</v>
      </c>
      <c r="L4" s="62">
        <f ca="1" xml:space="preserve"> doc_tablesList[[#This Row],[last_colIndex]] - doc_tablesList[[#This Row],[id_colIndex]] + 1</f>
        <v>16</v>
      </c>
      <c r="M4" s="84" t="str" cm="1">
        <f t="array" aca="1" ref="M4" ca="1" xml:space="preserve"> _xlfn.TEXTJOIN( ", ", ,  COLUMN( co_sectors[[#Headers],[interpolateEstimateYears]] )  - doc_tablesList[[#This Row],[id_colIndex]] + 1,
COLUMN( co_sectors[[#Headers],[Number of variants]:[Number of scaled impact rows per region]] ) - doc_tablesList[[#This Row],[id_colIndex]] + 1 )</f>
        <v>7, 11, 12, 13, 14, 15, 16</v>
      </c>
      <c r="N4" s="83" t="s">
        <v>1232</v>
      </c>
    </row>
    <row r="5" spans="1:14" x14ac:dyDescent="0.35">
      <c r="B5" s="7">
        <f xml:space="preserve"> ROW( doc_tablesList[[#This Row],[ID]] ) - ROW(doc_tablesList[[#Headers],[ID]] )</f>
        <v>2</v>
      </c>
      <c r="C5" s="14" t="s">
        <v>836</v>
      </c>
      <c r="D5" s="58">
        <v>1</v>
      </c>
      <c r="E5" s="14" t="s">
        <v>835</v>
      </c>
      <c r="F5" s="58" t="str">
        <f t="shared" si="0"/>
        <v>row_id</v>
      </c>
      <c r="G5" s="62" cm="1">
        <f t="array" aca="1" ref="G5" ca="1" xml:space="preserve"> INDEX( ROW( INDIRECT( _xlfn.TEXTJOIN( "", , doc_tablesList[[#This Row],[Table Name]], "[[#Headers],[", doc_tablesList[[#This Row],[ID_columnName]], "]]" ) ) ), 1 )</f>
        <v>1</v>
      </c>
      <c r="H5" s="62">
        <f ca="1" xml:space="preserve"> MAX( INDIRECT( _xlfn.TEXTJOIN( "", , doc_tablesList[[#This Row],[Table Name]], "[", doc_tablesList[[#This Row],[ID_columnName]], "]" ) ) )</f>
        <v>1489</v>
      </c>
      <c r="I5" s="62">
        <f ca="1" xml:space="preserve"> doc_tablesList[[#This Row],[Number of Data Rows]] + doc_tablesList[[#This Row],[Header Row]]</f>
        <v>1490</v>
      </c>
      <c r="J5" s="62" cm="1">
        <f t="array" aca="1" ref="J5" ca="1" xml:space="preserve"> INDEX( COLUMN( INDIRECT( doc_tablesList[[#This Row],[Table Name]] &amp; "[" &amp; doc_tablesList[[#This Row],[ID_columnName]] &amp; "]" ) ), 1 )</f>
        <v>1</v>
      </c>
      <c r="K5" s="62" cm="1">
        <f t="array" aca="1" ref="K5" ca="1" xml:space="preserve"> MAX( COLUMN( INDIRECT( doc_tablesList[[#This Row],[Table Name]] ) ) )</f>
        <v>7</v>
      </c>
      <c r="L5" s="62">
        <f ca="1" xml:space="preserve"> doc_tablesList[[#This Row],[last_colIndex]] - doc_tablesList[[#This Row],[id_colIndex]] + 1</f>
        <v>7</v>
      </c>
      <c r="M5" s="84"/>
      <c r="N5" s="83" t="s">
        <v>252</v>
      </c>
    </row>
    <row r="6" spans="1:14" x14ac:dyDescent="0.35">
      <c r="B6" s="7">
        <f xml:space="preserve"> ROW( doc_tablesList[[#This Row],[ID]] ) - ROW(doc_tablesList[[#Headers],[ID]] )</f>
        <v>3</v>
      </c>
      <c r="C6" s="14" t="s">
        <v>903</v>
      </c>
      <c r="D6" s="58">
        <v>1</v>
      </c>
      <c r="E6" s="14" t="s">
        <v>942</v>
      </c>
      <c r="F6" s="58" t="str">
        <f t="shared" si="0"/>
        <v>row_id</v>
      </c>
      <c r="G6" s="62" cm="1">
        <f t="array" aca="1" ref="G6" ca="1" xml:space="preserve"> INDEX( ROW( INDIRECT( _xlfn.TEXTJOIN( "", , doc_tablesList[[#This Row],[Table Name]], "[[#Headers],[", doc_tablesList[[#This Row],[ID_columnName]], "]]" ) ) ), 1 )</f>
        <v>1</v>
      </c>
      <c r="H6" s="62">
        <f ca="1" xml:space="preserve"> MAX( INDIRECT( _xlfn.TEXTJOIN( "", , doc_tablesList[[#This Row],[Table Name]], "[", doc_tablesList[[#This Row],[ID_columnName]], "]" ) ) )</f>
        <v>3073</v>
      </c>
      <c r="I6" s="62">
        <f ca="1" xml:space="preserve"> doc_tablesList[[#This Row],[Number of Data Rows]] + doc_tablesList[[#This Row],[Header Row]]</f>
        <v>3074</v>
      </c>
      <c r="J6" s="62" cm="1">
        <f t="array" aca="1" ref="J6" ca="1" xml:space="preserve"> INDEX( COLUMN( INDIRECT( doc_tablesList[[#This Row],[Table Name]] &amp; "[" &amp; doc_tablesList[[#This Row],[ID_columnName]] &amp; "]" ) ), 1 )</f>
        <v>1</v>
      </c>
      <c r="K6" s="62" cm="1">
        <f t="array" aca="1" ref="K6" ca="1" xml:space="preserve"> MAX( COLUMN( INDIRECT( doc_tablesList[[#This Row],[Table Name]] ) ) )</f>
        <v>16</v>
      </c>
      <c r="L6" s="62">
        <f ca="1" xml:space="preserve"> doc_tablesList[[#This Row],[last_colIndex]] - doc_tablesList[[#This Row],[id_colIndex]] + 1</f>
        <v>16</v>
      </c>
      <c r="M6" s="84" t="str">
        <f ca="1" xml:space="preserve"> _xlfn.TEXTJOIN( ", ", , COLUMN( data_scaledImpacts[[#Headers],[output_lookupID]] ), COLUMN( data_scaledImpacts[[#Headers],[outputRowID]] )  - doc_tablesList[[#This Row],[id_colIndex]] + 1 )</f>
        <v>2, 9</v>
      </c>
      <c r="N6" s="83" t="s">
        <v>949</v>
      </c>
    </row>
    <row r="7" spans="1:14" x14ac:dyDescent="0.35">
      <c r="B7" s="7">
        <f xml:space="preserve"> ROW( doc_tablesList[[#This Row],[ID]] ) - ROW(doc_tablesList[[#Headers],[ID]] )</f>
        <v>4</v>
      </c>
      <c r="C7" s="14" t="s">
        <v>828</v>
      </c>
      <c r="D7" s="58">
        <v>1</v>
      </c>
      <c r="E7" s="14" t="s">
        <v>829</v>
      </c>
      <c r="F7" s="58" t="str">
        <f t="shared" si="0"/>
        <v>row_id</v>
      </c>
      <c r="G7" s="62" cm="1">
        <f t="array" aca="1" ref="G7" ca="1" xml:space="preserve"> INDEX( ROW( INDIRECT( _xlfn.TEXTJOIN( "", , doc_tablesList[[#This Row],[Table Name]], "[[#Headers],[", doc_tablesList[[#This Row],[ID_columnName]], "]]" ) ) ), 1 )</f>
        <v>3</v>
      </c>
      <c r="H7" s="62">
        <f ca="1" xml:space="preserve"> MAX( INDIRECT( _xlfn.TEXTJOIN( "", , doc_tablesList[[#This Row],[Table Name]], "[", doc_tablesList[[#This Row],[ID_columnName]], "]" ) ) )</f>
        <v>17</v>
      </c>
      <c r="I7" s="62">
        <f ca="1" xml:space="preserve"> doc_tablesList[[#This Row],[Number of Data Rows]] + doc_tablesList[[#This Row],[Header Row]]</f>
        <v>20</v>
      </c>
      <c r="J7" s="62" cm="1">
        <f t="array" aca="1" ref="J7" ca="1" xml:space="preserve"> INDEX( COLUMN( INDIRECT( doc_tablesList[[#This Row],[Table Name]] &amp; "[" &amp; doc_tablesList[[#This Row],[ID_columnName]] &amp; "]" ) ), 1 )</f>
        <v>2</v>
      </c>
      <c r="K7" s="62" cm="1">
        <f t="array" aca="1" ref="K7" ca="1" xml:space="preserve"> MAX( COLUMN( INDIRECT( doc_tablesList[[#This Row],[Table Name]] ) ) )</f>
        <v>11</v>
      </c>
      <c r="L7" s="62">
        <f ca="1" xml:space="preserve"> doc_tablesList[[#This Row],[last_colIndex]] - doc_tablesList[[#This Row],[id_colIndex]] + 1</f>
        <v>10</v>
      </c>
      <c r="M7" s="84"/>
      <c r="N7" s="83" t="s">
        <v>830</v>
      </c>
    </row>
    <row r="8" spans="1:14" x14ac:dyDescent="0.35">
      <c r="B8" s="7">
        <f xml:space="preserve"> ROW( doc_tablesList[[#This Row],[ID]] ) - ROW(doc_tablesList[[#Headers],[ID]] )</f>
        <v>5</v>
      </c>
      <c r="C8" s="14" t="s">
        <v>1152</v>
      </c>
      <c r="D8" s="58">
        <v>1</v>
      </c>
      <c r="E8" s="14" t="s">
        <v>829</v>
      </c>
      <c r="F8" s="58" t="str">
        <f xml:space="preserve"> "row_id"</f>
        <v>row_id</v>
      </c>
      <c r="G8" s="62" cm="1">
        <f t="array" aca="1" ref="G8" ca="1" xml:space="preserve"> INDEX( ROW( INDIRECT( _xlfn.TEXTJOIN( "", , doc_tablesList[[#This Row],[Table Name]], "[[#Headers],[", doc_tablesList[[#This Row],[ID_columnName]], "]]" ) ) ), 1 )</f>
        <v>22</v>
      </c>
      <c r="H8" s="62">
        <f ca="1" xml:space="preserve"> MAX( INDIRECT( _xlfn.TEXTJOIN( "", , doc_tablesList[[#This Row],[Table Name]], "[", doc_tablesList[[#This Row],[ID_columnName]], "]" ) ) )</f>
        <v>91</v>
      </c>
      <c r="I8" s="62">
        <f ca="1" xml:space="preserve"> doc_tablesList[[#This Row],[Number of Data Rows]] + doc_tablesList[[#This Row],[Header Row]]</f>
        <v>113</v>
      </c>
      <c r="J8" s="62" cm="1">
        <f t="array" aca="1" ref="J8" ca="1" xml:space="preserve"> INDEX( COLUMN( INDIRECT( doc_tablesList[[#This Row],[Table Name]] &amp; "[" &amp; doc_tablesList[[#This Row],[ID_columnName]] &amp; "]" ) ), 1 )</f>
        <v>2</v>
      </c>
      <c r="K8" s="62" cm="1">
        <f t="array" aca="1" ref="K8" ca="1" xml:space="preserve"> MAX( COLUMN( INDIRECT( doc_tablesList[[#This Row],[Table Name]] ) ) )</f>
        <v>4</v>
      </c>
      <c r="L8" s="62">
        <f ca="1" xml:space="preserve"> doc_tablesList[[#This Row],[last_colIndex]] - doc_tablesList[[#This Row],[id_colIndex]] + 1</f>
        <v>3</v>
      </c>
      <c r="M8" s="84"/>
      <c r="N8" s="83" t="s">
        <v>1300</v>
      </c>
    </row>
    <row r="9" spans="1:14" x14ac:dyDescent="0.35">
      <c r="B9" s="7">
        <f xml:space="preserve"> ROW( doc_tablesList[[#This Row],[ID]] ) - ROW(doc_tablesList[[#Headers],[ID]] )</f>
        <v>6</v>
      </c>
      <c r="C9" s="14" t="s">
        <v>1230</v>
      </c>
      <c r="D9" s="58">
        <v>1</v>
      </c>
      <c r="E9" s="14" t="s">
        <v>966</v>
      </c>
      <c r="F9" s="58" t="str">
        <f t="shared" ref="F9:F14" si="1" xml:space="preserve"> "row_id"</f>
        <v>row_id</v>
      </c>
      <c r="G9" s="62" cm="1">
        <f t="array" aca="1" ref="G9" ca="1" xml:space="preserve"> INDEX( ROW( INDIRECT( _xlfn.TEXTJOIN( "", , doc_tablesList[[#This Row],[Table Name]], "[[#Headers],[", doc_tablesList[[#This Row],[ID_columnName]], "]]" ) ) ), 1 )</f>
        <v>80</v>
      </c>
      <c r="H9" s="62">
        <f ca="1" xml:space="preserve"> MAX( INDIRECT( _xlfn.TEXTJOIN( "", , doc_tablesList[[#This Row],[Table Name]], "[", doc_tablesList[[#This Row],[ID_columnName]], "]" ) ) )</f>
        <v>42</v>
      </c>
      <c r="I9" s="62">
        <f ca="1" xml:space="preserve"> doc_tablesList[[#This Row],[Number of Data Rows]] + doc_tablesList[[#This Row],[Header Row]]</f>
        <v>122</v>
      </c>
      <c r="J9" s="62" cm="1">
        <f t="array" aca="1" ref="J9" ca="1" xml:space="preserve"> INDEX( COLUMN( INDIRECT( doc_tablesList[[#This Row],[Table Name]] &amp; "[" &amp; doc_tablesList[[#This Row],[ID_columnName]] &amp; "]" ) ), 1 )</f>
        <v>2</v>
      </c>
      <c r="K9" s="62" cm="1">
        <f t="array" aca="1" ref="K9" ca="1" xml:space="preserve"> MAX( COLUMN( INDIRECT( doc_tablesList[[#This Row],[Table Name]] ) ) )</f>
        <v>11</v>
      </c>
      <c r="L9" s="62">
        <f ca="1" xml:space="preserve"> doc_tablesList[[#This Row],[last_colIndex]] - doc_tablesList[[#This Row],[id_colIndex]] + 1</f>
        <v>10</v>
      </c>
      <c r="M9" s="84" t="str">
        <f ca="1" xml:space="preserve"> _xlfn.TEXTJOIN( ", ", ,
COLUMN( co_variants[[#Headers],[check_data]] )  - doc_tablesList[[#This Row],[id_colIndex]] + 1,
COLUMN( co_variants[[#Headers],[subImpacts]] )  - doc_tablesList[[#This Row],[id_colIndex]] + 1
 )</f>
        <v>9, 10</v>
      </c>
      <c r="N9" s="83" t="s">
        <v>1231</v>
      </c>
    </row>
    <row r="10" spans="1:14" x14ac:dyDescent="0.35">
      <c r="B10" s="7">
        <f xml:space="preserve"> ROW( doc_tablesList[[#This Row],[ID]] ) - ROW(doc_tablesList[[#Headers],[ID]] )</f>
        <v>7</v>
      </c>
      <c r="C10" s="14" t="s">
        <v>837</v>
      </c>
      <c r="D10" s="58">
        <v>1</v>
      </c>
      <c r="E10" s="14" t="s">
        <v>966</v>
      </c>
      <c r="F10" s="58" t="str">
        <f t="shared" si="1"/>
        <v>row_id</v>
      </c>
      <c r="G10" s="62" cm="1">
        <f t="array" aca="1" ref="G10" ca="1" xml:space="preserve"> INDEX( ROW( INDIRECT( _xlfn.TEXTJOIN( "", , doc_tablesList[[#This Row],[Table Name]], "[[#Headers],[", doc_tablesList[[#This Row],[ID_columnName]], "]]" ) ) ), 1 )</f>
        <v>49</v>
      </c>
      <c r="H10" s="62">
        <f ca="1" xml:space="preserve"> MAX( INDIRECT( _xlfn.TEXTJOIN( "", , doc_tablesList[[#This Row],[Table Name]], "[", doc_tablesList[[#This Row],[ID_columnName]], "]" ) ) )</f>
        <v>25</v>
      </c>
      <c r="I10" s="62">
        <f ca="1" xml:space="preserve"> doc_tablesList[[#This Row],[Number of Data Rows]] + doc_tablesList[[#This Row],[Header Row]]</f>
        <v>74</v>
      </c>
      <c r="J10" s="62" cm="1">
        <f t="array" aca="1" ref="J10" ca="1" xml:space="preserve"> INDEX( COLUMN( INDIRECT( doc_tablesList[[#This Row],[Table Name]] &amp; "[" &amp; doc_tablesList[[#This Row],[ID_columnName]] &amp; "]" ) ), 1 )</f>
        <v>2</v>
      </c>
      <c r="K10" s="62" cm="1">
        <f t="array" aca="1" ref="K10" ca="1" xml:space="preserve"> MAX( COLUMN( INDIRECT( doc_tablesList[[#This Row],[Table Name]] ) ) )</f>
        <v>6</v>
      </c>
      <c r="L10" s="62">
        <f ca="1" xml:space="preserve"> doc_tablesList[[#This Row],[last_colIndex]] - doc_tablesList[[#This Row],[id_colIndex]] + 1</f>
        <v>5</v>
      </c>
      <c r="M10" s="84"/>
      <c r="N10" s="83" t="s">
        <v>932</v>
      </c>
    </row>
    <row r="11" spans="1:14" x14ac:dyDescent="0.35">
      <c r="B11" s="7">
        <f xml:space="preserve"> ROW( doc_tablesList[[#This Row],[ID]] ) - ROW(doc_tablesList[[#Headers],[ID]] )</f>
        <v>8</v>
      </c>
      <c r="C11" s="14" t="s">
        <v>838</v>
      </c>
      <c r="D11" s="58">
        <v>1</v>
      </c>
      <c r="E11" s="14" t="s">
        <v>966</v>
      </c>
      <c r="F11" s="58" t="str">
        <f t="shared" si="1"/>
        <v>row_id</v>
      </c>
      <c r="G11" s="62" cm="1">
        <f t="array" aca="1" ref="G11" ca="1" xml:space="preserve"> INDEX( ROW( INDIRECT( _xlfn.TEXTJOIN( "", , doc_tablesList[[#This Row],[Table Name]], "[[#Headers],[", doc_tablesList[[#This Row],[ID_columnName]], "]]" ) ) ), 1 )</f>
        <v>126</v>
      </c>
      <c r="H11" s="62">
        <f ca="1" xml:space="preserve"> MAX( INDIRECT( _xlfn.TEXTJOIN( "", , doc_tablesList[[#This Row],[Table Name]], "[", doc_tablesList[[#This Row],[ID_columnName]], "]" ) ) )</f>
        <v>43</v>
      </c>
      <c r="I11" s="62">
        <f ca="1" xml:space="preserve"> doc_tablesList[[#This Row],[Number of Data Rows]] + doc_tablesList[[#This Row],[Header Row]]</f>
        <v>169</v>
      </c>
      <c r="J11" s="62" cm="1">
        <f t="array" aca="1" ref="J11" ca="1" xml:space="preserve"> INDEX( COLUMN( INDIRECT( doc_tablesList[[#This Row],[Table Name]] &amp; "[" &amp; doc_tablesList[[#This Row],[ID_columnName]] &amp; "]" ) ), 1 )</f>
        <v>2</v>
      </c>
      <c r="K11" s="62" cm="1">
        <f t="array" aca="1" ref="K11" ca="1" xml:space="preserve"> MAX( COLUMN( INDIRECT( doc_tablesList[[#This Row],[Table Name]] ) ) )</f>
        <v>21</v>
      </c>
      <c r="L11" s="62">
        <f ca="1" xml:space="preserve"> doc_tablesList[[#This Row],[last_colIndex]] - doc_tablesList[[#This Row],[id_colIndex]] + 1</f>
        <v>20</v>
      </c>
      <c r="M11" s="84" t="str" cm="1">
        <f t="array" aca="1" ref="M11" ca="1" xml:space="preserve"> _xlfn.TEXTJOIN( ", ", , COLUMN( co_impactTypes[[#Headers],[check_data]:[check_physScalar]] )  - doc_tablesList[[#This Row],[id_colIndex]] + 1 )</f>
        <v>17, 18, 19, 20</v>
      </c>
      <c r="N11" s="83" t="s">
        <v>931</v>
      </c>
    </row>
    <row r="12" spans="1:14" x14ac:dyDescent="0.35">
      <c r="B12" s="7">
        <f xml:space="preserve"> ROW( doc_tablesList[[#This Row],[ID]] ) - ROW(doc_tablesList[[#Headers],[ID]] )</f>
        <v>9</v>
      </c>
      <c r="C12" s="14" t="s">
        <v>839</v>
      </c>
      <c r="D12" s="58">
        <v>1</v>
      </c>
      <c r="E12" s="14" t="s">
        <v>966</v>
      </c>
      <c r="F12" s="58" t="str">
        <f t="shared" si="1"/>
        <v>row_id</v>
      </c>
      <c r="G12" s="62" cm="1">
        <f t="array" aca="1" ref="G12" ca="1" xml:space="preserve"> INDEX( ROW( INDIRECT( _xlfn.TEXTJOIN( "", , doc_tablesList[[#This Row],[Table Name]], "[[#Headers],[", doc_tablesList[[#This Row],[ID_columnName]], "]]" ) ) ), 1 )</f>
        <v>174</v>
      </c>
      <c r="H12" s="62">
        <f ca="1" xml:space="preserve"> MAX( INDIRECT( _xlfn.TEXTJOIN( "", , doc_tablesList[[#This Row],[Table Name]], "[", doc_tablesList[[#This Row],[ID_columnName]], "]" ) ) )</f>
        <v>31</v>
      </c>
      <c r="I12" s="62">
        <f ca="1" xml:space="preserve"> doc_tablesList[[#This Row],[Number of Data Rows]] + doc_tablesList[[#This Row],[Header Row]]</f>
        <v>205</v>
      </c>
      <c r="J12" s="62" cm="1">
        <f t="array" aca="1" ref="J12" ca="1" xml:space="preserve"> INDEX( COLUMN( INDIRECT( doc_tablesList[[#This Row],[Table Name]] &amp; "[" &amp; doc_tablesList[[#This Row],[ID_columnName]] &amp; "]" ) ), 1 )</f>
        <v>2</v>
      </c>
      <c r="K12" s="62" cm="1">
        <f t="array" aca="1" ref="K12" ca="1" xml:space="preserve"> MAX( COLUMN( INDIRECT( doc_tablesList[[#This Row],[Table Name]] ) ) )</f>
        <v>11</v>
      </c>
      <c r="L12" s="62">
        <f ca="1" xml:space="preserve"> doc_tablesList[[#This Row],[last_colIndex]] - doc_tablesList[[#This Row],[id_colIndex]] + 1</f>
        <v>10</v>
      </c>
      <c r="M12" s="84" t="str" cm="1">
        <f t="array" aca="1" ref="M12" ca="1" xml:space="preserve"> _xlfn.TEXTJOIN( ", ", , COLUMN( co_scalarInfo[[#Headers],[dataType]:[scalar_rows]])  - doc_tablesList[[#This Row],[id_colIndex]] + 1 )</f>
        <v>8, 9, 10</v>
      </c>
      <c r="N12" s="83" t="s">
        <v>933</v>
      </c>
    </row>
    <row r="13" spans="1:14" x14ac:dyDescent="0.35">
      <c r="B13" s="7">
        <f xml:space="preserve"> ROW( doc_tablesList[[#This Row],[ID]] ) - ROW(doc_tablesList[[#Headers],[ID]] )</f>
        <v>10</v>
      </c>
      <c r="C13" s="14" t="s">
        <v>242</v>
      </c>
      <c r="D13" s="58">
        <v>1</v>
      </c>
      <c r="E13" s="14" t="s">
        <v>966</v>
      </c>
      <c r="F13" s="58" t="str">
        <f t="shared" si="1"/>
        <v>row_id</v>
      </c>
      <c r="G13" s="62" cm="1">
        <f t="array" aca="1" ref="G13" ca="1" xml:space="preserve"> INDEX( ROW( INDIRECT( _xlfn.TEXTJOIN( "", , doc_tablesList[[#This Row],[Table Name]], "[[#Headers],[", doc_tablesList[[#This Row],[ID_columnName]], "]]" ) ) ), 1 )</f>
        <v>252</v>
      </c>
      <c r="H13" s="62">
        <f ca="1" xml:space="preserve"> MAX( INDIRECT( _xlfn.TEXTJOIN( "", , doc_tablesList[[#This Row],[Table Name]], "[", doc_tablesList[[#This Row],[ID_columnName]], "]" ) ) )</f>
        <v>7</v>
      </c>
      <c r="I13" s="62">
        <f ca="1" xml:space="preserve"> doc_tablesList[[#This Row],[Number of Data Rows]] + doc_tablesList[[#This Row],[Header Row]]</f>
        <v>259</v>
      </c>
      <c r="J13" s="62" cm="1">
        <f t="array" aca="1" ref="J13" ca="1" xml:space="preserve"> INDEX( COLUMN( INDIRECT( doc_tablesList[[#This Row],[Table Name]] &amp; "[" &amp; doc_tablesList[[#This Row],[ID_columnName]] &amp; "]" ) ), 1 )</f>
        <v>2</v>
      </c>
      <c r="K13" s="62" cm="1">
        <f t="array" aca="1" ref="K13" ca="1" xml:space="preserve"> MAX( COLUMN( INDIRECT( doc_tablesList[[#This Row],[Table Name]] ) ) )</f>
        <v>5</v>
      </c>
      <c r="L13" s="62">
        <f ca="1" xml:space="preserve"> doc_tablesList[[#This Row],[last_colIndex]] - doc_tablesList[[#This Row],[id_colIndex]] + 1</f>
        <v>4</v>
      </c>
      <c r="M13" s="84"/>
      <c r="N13" s="83" t="s">
        <v>934</v>
      </c>
    </row>
    <row r="14" spans="1:14" x14ac:dyDescent="0.35">
      <c r="B14" s="7">
        <f xml:space="preserve"> ROW( doc_tablesList[[#This Row],[ID]] ) - ROW(doc_tablesList[[#Headers],[ID]] )</f>
        <v>11</v>
      </c>
      <c r="C14" s="14" t="s">
        <v>964</v>
      </c>
      <c r="D14" s="58">
        <v>1</v>
      </c>
      <c r="E14" s="14" t="s">
        <v>966</v>
      </c>
      <c r="F14" s="58" t="str">
        <f t="shared" si="1"/>
        <v>row_id</v>
      </c>
      <c r="G14" s="62" cm="1">
        <f t="array" aca="1" ref="G14" ca="1" xml:space="preserve"> INDEX( ROW( INDIRECT( _xlfn.TEXTJOIN( "", , doc_tablesList[[#This Row],[Table Name]], "[[#Headers],[", doc_tablesList[[#This Row],[ID_columnName]], "]]" ) ) ), 1 )</f>
        <v>233</v>
      </c>
      <c r="H14" s="62">
        <f ca="1" xml:space="preserve"> MAX( INDIRECT( _xlfn.TEXTJOIN( "", , doc_tablesList[[#This Row],[Table Name]], "[", doc_tablesList[[#This Row],[ID_columnName]], "]" ) ) )</f>
        <v>14</v>
      </c>
      <c r="I14" s="62">
        <f ca="1" xml:space="preserve"> doc_tablesList[[#This Row],[Number of Data Rows]] + doc_tablesList[[#This Row],[Header Row]]</f>
        <v>247</v>
      </c>
      <c r="J14" s="62" cm="1">
        <f t="array" aca="1" ref="J14" ca="1" xml:space="preserve"> INDEX( COLUMN( INDIRECT( doc_tablesList[[#This Row],[Table Name]] &amp; "[" &amp; doc_tablesList[[#This Row],[ID_columnName]] &amp; "]" ) ), 1 )</f>
        <v>2</v>
      </c>
      <c r="K14" s="62" cm="1">
        <f t="array" aca="1" ref="K14" ca="1" xml:space="preserve"> MAX( COLUMN( INDIRECT( doc_tablesList[[#This Row],[Table Name]] ) ) )</f>
        <v>8</v>
      </c>
      <c r="L14" s="62">
        <f ca="1" xml:space="preserve"> doc_tablesList[[#This Row],[last_colIndex]] - doc_tablesList[[#This Row],[id_colIndex]] + 1</f>
        <v>7</v>
      </c>
      <c r="M14" s="84"/>
      <c r="N14" s="83" t="s">
        <v>935</v>
      </c>
    </row>
    <row r="15" spans="1:14" x14ac:dyDescent="0.35">
      <c r="B15" s="7">
        <f xml:space="preserve"> ROW( doc_tablesList[[#This Row],[ID]] ) - ROW(doc_tablesList[[#Headers],[ID]] )</f>
        <v>12</v>
      </c>
      <c r="C15" s="14" t="s">
        <v>913</v>
      </c>
      <c r="D15" s="58">
        <v>1</v>
      </c>
      <c r="E15" s="14" t="s">
        <v>966</v>
      </c>
      <c r="F15" s="58" t="str">
        <f t="shared" ref="F15:F20" si="2" xml:space="preserve"> "row_id"</f>
        <v>row_id</v>
      </c>
      <c r="G15" s="62" cm="1">
        <f t="array" aca="1" ref="G15" ca="1" xml:space="preserve"> INDEX( ROW( INDIRECT( _xlfn.TEXTJOIN( "", , doc_tablesList[[#This Row],[Table Name]], "[[#Headers],[", doc_tablesList[[#This Row],[ID_columnName]], "]]" ) ) ), 1 )</f>
        <v>210</v>
      </c>
      <c r="H15" s="62">
        <f ca="1" xml:space="preserve"> MAX( INDIRECT( _xlfn.TEXTJOIN( "", , doc_tablesList[[#This Row],[Table Name]], "[", doc_tablesList[[#This Row],[ID_columnName]], "]" ) ) )</f>
        <v>3</v>
      </c>
      <c r="I15" s="62">
        <f ca="1" xml:space="preserve"> doc_tablesList[[#This Row],[Number of Data Rows]] + doc_tablesList[[#This Row],[Header Row]]</f>
        <v>213</v>
      </c>
      <c r="J15" s="62" cm="1">
        <f t="array" aca="1" ref="J15" ca="1" xml:space="preserve"> INDEX( COLUMN( INDIRECT( doc_tablesList[[#This Row],[Table Name]] &amp; "[" &amp; doc_tablesList[[#This Row],[ID_columnName]] &amp; "]" ) ), 1 )</f>
        <v>2</v>
      </c>
      <c r="K15" s="62" cm="1">
        <f t="array" aca="1" ref="K15" ca="1" xml:space="preserve"> MAX( COLUMN( INDIRECT( doc_tablesList[[#This Row],[Table Name]] ) ) )</f>
        <v>5</v>
      </c>
      <c r="L15" s="62">
        <f ca="1" xml:space="preserve"> doc_tablesList[[#This Row],[last_colIndex]] - doc_tablesList[[#This Row],[id_colIndex]] + 1</f>
        <v>4</v>
      </c>
      <c r="M15" s="84" t="str">
        <f ca="1" xml:space="preserve"> _xlfn.TEXTJOIN( ", ", , COLUMN( co_econMultipliers[[#Headers],[valueYear]] )  - doc_tablesList[[#This Row],[id_colIndex]] + 1 )</f>
        <v>4</v>
      </c>
      <c r="N15" s="83" t="s">
        <v>936</v>
      </c>
    </row>
    <row r="16" spans="1:14" x14ac:dyDescent="0.35">
      <c r="B16" s="7">
        <f xml:space="preserve"> ROW( doc_tablesList[[#This Row],[ID]] ) - ROW(doc_tablesList[[#Headers],[ID]] )</f>
        <v>13</v>
      </c>
      <c r="C16" s="14" t="s">
        <v>965</v>
      </c>
      <c r="D16" s="58">
        <v>1</v>
      </c>
      <c r="E16" s="14" t="s">
        <v>966</v>
      </c>
      <c r="F16" s="58" t="str">
        <f t="shared" si="2"/>
        <v>row_id</v>
      </c>
      <c r="G16" s="62" cm="1">
        <f t="array" aca="1" ref="G16" ca="1" xml:space="preserve"> INDEX( ROW( INDIRECT( _xlfn.TEXTJOIN( "", , doc_tablesList[[#This Row],[Table Name]], "[[#Headers],[", doc_tablesList[[#This Row],[ID_columnName]], "]]" ) ) ), 1 )</f>
        <v>226</v>
      </c>
      <c r="H16" s="62">
        <f ca="1" xml:space="preserve"> MAX( INDIRECT( _xlfn.TEXTJOIN( "", , doc_tablesList[[#This Row],[Table Name]], "[", doc_tablesList[[#This Row],[ID_columnName]], "]" ) ) )</f>
        <v>2</v>
      </c>
      <c r="I16" s="62">
        <f ca="1" xml:space="preserve"> doc_tablesList[[#This Row],[Number of Data Rows]] + doc_tablesList[[#This Row],[Header Row]]</f>
        <v>228</v>
      </c>
      <c r="J16" s="62" cm="1">
        <f t="array" aca="1" ref="J16" ca="1" xml:space="preserve"> INDEX( COLUMN( INDIRECT( doc_tablesList[[#This Row],[Table Name]] &amp; "[" &amp; doc_tablesList[[#This Row],[ID_columnName]] &amp; "]" ) ), 1 )</f>
        <v>2</v>
      </c>
      <c r="K16" s="62" cm="1">
        <f t="array" aca="1" ref="K16" ca="1" xml:space="preserve"> MAX( COLUMN( INDIRECT( doc_tablesList[[#This Row],[Table Name]] ) ) )</f>
        <v>14</v>
      </c>
      <c r="L16" s="62">
        <f ca="1" xml:space="preserve"> doc_tablesList[[#This Row],[last_colIndex]] - doc_tablesList[[#This Row],[id_colIndex]] + 1</f>
        <v>13</v>
      </c>
      <c r="M16" s="84" t="str" cm="1">
        <f t="array" aca="1" ref="M16" ca="1" xml:space="preserve"> _xlfn.TEXTJOIN( ", ", , COLUMN( co_modelTypes[[#Headers],[Number of levels]:[Number of models]] )  - doc_tablesList[[#This Row],[id_colIndex]] + 1 )</f>
        <v>12, 13</v>
      </c>
      <c r="N16" s="83" t="s">
        <v>995</v>
      </c>
    </row>
    <row r="17" spans="2:14" x14ac:dyDescent="0.35">
      <c r="B17" s="7">
        <f xml:space="preserve"> ROW( doc_tablesList[[#This Row],[ID]] ) - ROW(doc_tablesList[[#Headers],[ID]] )</f>
        <v>14</v>
      </c>
      <c r="C17" s="14" t="s">
        <v>1061</v>
      </c>
      <c r="D17" s="58">
        <v>1</v>
      </c>
      <c r="E17" s="14" t="s">
        <v>966</v>
      </c>
      <c r="F17" s="58" t="str">
        <f t="shared" si="2"/>
        <v>row_id</v>
      </c>
      <c r="G17" s="62" cm="1">
        <f t="array" aca="1" ref="G17" ca="1" xml:space="preserve"> INDEX( ROW( INDIRECT( _xlfn.TEXTJOIN( "", , doc_tablesList[[#This Row],[Table Name]], "[[#Headers],[", doc_tablesList[[#This Row],[ID_columnName]], "]]" ) ) ), 1 )</f>
        <v>264</v>
      </c>
      <c r="H17" s="62">
        <f ca="1" xml:space="preserve"> MAX( INDIRECT( _xlfn.TEXTJOIN( "", , doc_tablesList[[#This Row],[Table Name]], "[", doc_tablesList[[#This Row],[ID_columnName]], "]" ) ) )</f>
        <v>4</v>
      </c>
      <c r="I17" s="62">
        <f ca="1" xml:space="preserve"> doc_tablesList[[#This Row],[Number of Data Rows]] + doc_tablesList[[#This Row],[Header Row]]</f>
        <v>268</v>
      </c>
      <c r="J17" s="62" cm="1">
        <f t="array" aca="1" ref="J17" ca="1" xml:space="preserve"> INDEX( COLUMN( INDIRECT( doc_tablesList[[#This Row],[Table Name]] &amp; "[" &amp; doc_tablesList[[#This Row],[ID_columnName]] &amp; "]" ) ), 1 )</f>
        <v>2</v>
      </c>
      <c r="K17" s="62" cm="1">
        <f t="array" aca="1" ref="K17" ca="1" xml:space="preserve"> MAX( COLUMN( INDIRECT( doc_tablesList[[#This Row],[Table Name]] ) ) )</f>
        <v>12</v>
      </c>
      <c r="L17" s="62">
        <f ca="1" xml:space="preserve"> doc_tablesList[[#This Row],[last_colIndex]] - doc_tablesList[[#This Row],[id_colIndex]] + 1</f>
        <v>11</v>
      </c>
      <c r="M17" s="84"/>
      <c r="N17" s="83" t="s">
        <v>1062</v>
      </c>
    </row>
    <row r="18" spans="2:14" x14ac:dyDescent="0.35">
      <c r="B18" s="7">
        <f xml:space="preserve"> ROW( doc_tablesList[[#This Row],[ID]] ) - ROW(doc_tablesList[[#Headers],[ID]] )</f>
        <v>15</v>
      </c>
      <c r="C18" s="14" t="s">
        <v>1060</v>
      </c>
      <c r="D18" s="58">
        <v>1</v>
      </c>
      <c r="E18" s="14" t="s">
        <v>1060</v>
      </c>
      <c r="F18" s="58" t="str">
        <f t="shared" si="2"/>
        <v>row_id</v>
      </c>
      <c r="G18" s="62" cm="1">
        <f t="array" aca="1" ref="G18" ca="1" xml:space="preserve"> INDEX( ROW( INDIRECT( _xlfn.TEXTJOIN( "", , doc_tablesList[[#This Row],[Table Name]], "[[#Headers],[", doc_tablesList[[#This Row],[ID_columnName]], "]]" ) ) ), 1 )</f>
        <v>1</v>
      </c>
      <c r="H18" s="62">
        <f ca="1" xml:space="preserve"> MAX( INDIRECT( _xlfn.TEXTJOIN( "", , doc_tablesList[[#This Row],[Table Name]], "[", doc_tablesList[[#This Row],[ID_columnName]], "]" ) ) )</f>
        <v>101</v>
      </c>
      <c r="I18" s="62">
        <f ca="1" xml:space="preserve"> doc_tablesList[[#This Row],[Number of Data Rows]] + doc_tablesList[[#This Row],[Header Row]]</f>
        <v>102</v>
      </c>
      <c r="J18" s="62" cm="1">
        <f t="array" aca="1" ref="J18" ca="1" xml:space="preserve"> INDEX( COLUMN( INDIRECT( doc_tablesList[[#This Row],[Table Name]] &amp; "[" &amp; doc_tablesList[[#This Row],[ID_columnName]] &amp; "]" ) ), 1 )</f>
        <v>1</v>
      </c>
      <c r="K18" s="62" cm="1">
        <f t="array" aca="1" ref="K18" ca="1" xml:space="preserve"> MAX( COLUMN( INDIRECT( doc_tablesList[[#This Row],[Table Name]] ) ) )</f>
        <v>9</v>
      </c>
      <c r="L18" s="62">
        <f ca="1" xml:space="preserve"> doc_tablesList[[#This Row],[last_colIndex]] - doc_tablesList[[#This Row],[id_colIndex]] + 1</f>
        <v>9</v>
      </c>
      <c r="M18" s="84"/>
      <c r="N18" s="83" t="s">
        <v>1298</v>
      </c>
    </row>
    <row r="19" spans="2:14" x14ac:dyDescent="0.35">
      <c r="B19" s="7">
        <f xml:space="preserve"> ROW( doc_tablesList[[#This Row],[ID]] ) - ROW(doc_tablesList[[#Headers],[ID]] )</f>
        <v>16</v>
      </c>
      <c r="C19" s="14" t="s">
        <v>1153</v>
      </c>
      <c r="D19" s="58">
        <v>1</v>
      </c>
      <c r="E19" s="14" t="s">
        <v>1153</v>
      </c>
      <c r="F19" s="58" t="str">
        <f t="shared" si="2"/>
        <v>row_id</v>
      </c>
      <c r="G19" s="62" cm="1">
        <f t="array" aca="1" ref="G19" ca="1" xml:space="preserve"> INDEX( ROW( INDIRECT( _xlfn.TEXTJOIN( "", , doc_tablesList[[#This Row],[Table Name]], "[[#Headers],[", doc_tablesList[[#This Row],[ID_columnName]], "]]" ) ) ), 1 )</f>
        <v>1</v>
      </c>
      <c r="H19" s="62">
        <f ca="1" xml:space="preserve"> MAX( INDIRECT( _xlfn.TEXTJOIN( "", , doc_tablesList[[#This Row],[Table Name]], "[", doc_tablesList[[#This Row],[ID_columnName]], "]" ) ) )</f>
        <v>606</v>
      </c>
      <c r="I19" s="62">
        <f ca="1" xml:space="preserve"> doc_tablesList[[#This Row],[Number of Data Rows]] + doc_tablesList[[#This Row],[Header Row]]</f>
        <v>607</v>
      </c>
      <c r="J19" s="62" cm="1">
        <f t="array" aca="1" ref="J19" ca="1" xml:space="preserve"> INDEX( COLUMN( INDIRECT( doc_tablesList[[#This Row],[Table Name]] &amp; "[" &amp; doc_tablesList[[#This Row],[ID_columnName]] &amp; "]" ) ), 1 )</f>
        <v>1</v>
      </c>
      <c r="K19" s="62" cm="1">
        <f t="array" aca="1" ref="K19" ca="1" xml:space="preserve"> MAX( COLUMN( INDIRECT( doc_tablesList[[#This Row],[Table Name]] ) ) )</f>
        <v>48</v>
      </c>
      <c r="L19" s="62">
        <f ca="1" xml:space="preserve"> doc_tablesList[[#This Row],[last_colIndex]] - doc_tablesList[[#This Row],[id_colIndex]] + 1</f>
        <v>48</v>
      </c>
      <c r="M19" s="84"/>
      <c r="N19" s="83" t="s">
        <v>1299</v>
      </c>
    </row>
    <row r="20" spans="2:14" x14ac:dyDescent="0.35">
      <c r="B20" s="7">
        <f xml:space="preserve"> ROW( doc_tablesList[[#This Row],[ID]] ) - ROW(doc_tablesList[[#Headers],[ID]] )</f>
        <v>17</v>
      </c>
      <c r="C20" s="14" t="s">
        <v>1296</v>
      </c>
      <c r="D20" s="58">
        <v>1</v>
      </c>
      <c r="E20" s="14" t="s">
        <v>1296</v>
      </c>
      <c r="F20" s="58" t="str">
        <f t="shared" si="2"/>
        <v>row_id</v>
      </c>
      <c r="G20" s="62" cm="1">
        <f t="array" aca="1" ref="G20" ca="1" xml:space="preserve"> INDEX( ROW( INDIRECT( _xlfn.TEXTJOIN( "", , doc_tablesList[[#This Row],[Table Name]], "[[#Headers],[", doc_tablesList[[#This Row],[ID_columnName]], "]]" ) ) ), 1 )</f>
        <v>3</v>
      </c>
      <c r="H20" s="62">
        <f ca="1" xml:space="preserve"> MAX( INDIRECT( _xlfn.TEXTJOIN( "", , doc_tablesList[[#This Row],[Table Name]], "[", doc_tablesList[[#This Row],[ID_columnName]], "]" ) ) )</f>
        <v>25</v>
      </c>
      <c r="I20" s="62">
        <f ca="1" xml:space="preserve"> doc_tablesList[[#This Row],[Number of Data Rows]] + doc_tablesList[[#This Row],[Header Row]]</f>
        <v>28</v>
      </c>
      <c r="J20" s="62" cm="1">
        <f t="array" aca="1" ref="J20" ca="1" xml:space="preserve"> INDEX( COLUMN( INDIRECT( doc_tablesList[[#This Row],[Table Name]] &amp; "[" &amp; doc_tablesList[[#This Row],[ID_columnName]] &amp; "]" ) ), 1 )</f>
        <v>2</v>
      </c>
      <c r="K20" s="62" cm="1">
        <f t="array" aca="1" ref="K20" ca="1" xml:space="preserve"> MAX( COLUMN( INDIRECT( doc_tablesList[[#This Row],[Table Name]] ) ) )</f>
        <v>5</v>
      </c>
      <c r="L20" s="62">
        <f ca="1" xml:space="preserve"> doc_tablesList[[#This Row],[last_colIndex]] - doc_tablesList[[#This Row],[id_colIndex]] + 1</f>
        <v>4</v>
      </c>
      <c r="M20" s="84"/>
      <c r="N20" s="83" t="s">
        <v>1297</v>
      </c>
    </row>
    <row r="21" spans="2:14" x14ac:dyDescent="0.35">
      <c r="B21" s="7">
        <f xml:space="preserve"> ROW( doc_tablesList[[#This Row],[ID]] ) - ROW(doc_tablesList[[#Headers],[ID]] )</f>
        <v>18</v>
      </c>
      <c r="C21" s="14" t="s">
        <v>1417</v>
      </c>
      <c r="D21" s="58">
        <v>1</v>
      </c>
      <c r="E21" s="14" t="s">
        <v>966</v>
      </c>
      <c r="F21" s="58" t="str">
        <f xml:space="preserve"> "row_id"</f>
        <v>row_id</v>
      </c>
      <c r="G21" s="62" cm="1">
        <f t="array" aca="1" ref="G21" ca="1" xml:space="preserve"> INDEX( ROW( INDIRECT( _xlfn.TEXTJOIN( "", , doc_tablesList[[#This Row],[Table Name]], "[[#Headers],[", doc_tablesList[[#This Row],[ID_columnName]], "]]" ) ) ), 1 )</f>
        <v>273</v>
      </c>
      <c r="H21" s="62">
        <f ca="1" xml:space="preserve"> MAX( INDIRECT( _xlfn.TEXTJOIN( "", , doc_tablesList[[#This Row],[Table Name]], "[", doc_tablesList[[#This Row],[ID_columnName]], "]" ) ) )</f>
        <v>49</v>
      </c>
      <c r="I21" s="62">
        <f ca="1" xml:space="preserve"> doc_tablesList[[#This Row],[Number of Data Rows]] + doc_tablesList[[#This Row],[Header Row]]</f>
        <v>322</v>
      </c>
      <c r="J21" s="62" cm="1">
        <f t="array" aca="1" ref="J21" ca="1" xml:space="preserve"> INDEX( COLUMN( INDIRECT( doc_tablesList[[#This Row],[Table Name]] &amp; "[" &amp; doc_tablesList[[#This Row],[ID_columnName]] &amp; "]" ) ), 1 )</f>
        <v>2</v>
      </c>
      <c r="K21" s="62" cm="1">
        <f t="array" aca="1" ref="K21" ca="1" xml:space="preserve"> MAX( COLUMN( INDIRECT( doc_tablesList[[#This Row],[Table Name]] ) ) )</f>
        <v>6</v>
      </c>
      <c r="L21" s="62">
        <f ca="1" xml:space="preserve"> doc_tablesList[[#This Row],[last_colIndex]] - doc_tablesList[[#This Row],[id_colIndex]] + 1</f>
        <v>5</v>
      </c>
      <c r="M21" s="84"/>
      <c r="N21" s="83" t="s">
        <v>1418</v>
      </c>
    </row>
    <row r="22" spans="2:14" x14ac:dyDescent="0.35">
      <c r="B22" s="7">
        <f xml:space="preserve"> ROW( doc_tablesList[[#This Row],[ID]] ) - ROW(doc_tablesList[[#Headers],[ID]] )</f>
        <v>19</v>
      </c>
      <c r="C22" s="14" t="s">
        <v>1426</v>
      </c>
      <c r="D22" s="58">
        <v>1</v>
      </c>
      <c r="E22" s="14" t="s">
        <v>966</v>
      </c>
      <c r="F22" s="58" t="s">
        <v>780</v>
      </c>
      <c r="G22" s="62" cm="1">
        <f t="array" aca="1" ref="G22" ca="1" xml:space="preserve"> INDEX( ROW( INDIRECT( _xlfn.TEXTJOIN( "", , doc_tablesList[[#This Row],[Table Name]], "[[#Headers],[", doc_tablesList[[#This Row],[ID_columnName]], "]]" ) ) ), 1 )</f>
        <v>328</v>
      </c>
      <c r="H22" s="62">
        <f ca="1" xml:space="preserve"> MAX( INDIRECT( _xlfn.TEXTJOIN( "", , doc_tablesList[[#This Row],[Table Name]], "[", doc_tablesList[[#This Row],[ID_columnName]], "]" ) ) )</f>
        <v>2</v>
      </c>
      <c r="I22" s="62">
        <f ca="1" xml:space="preserve"> doc_tablesList[[#This Row],[Number of Data Rows]] + doc_tablesList[[#This Row],[Header Row]]</f>
        <v>330</v>
      </c>
      <c r="J22" s="62" cm="1">
        <f t="array" aca="1" ref="J22" ca="1" xml:space="preserve"> INDEX( COLUMN( INDIRECT( doc_tablesList[[#This Row],[Table Name]] &amp; "[" &amp; doc_tablesList[[#This Row],[ID_columnName]] &amp; "]" ) ), 1 )</f>
        <v>2</v>
      </c>
      <c r="K22" s="62" cm="1">
        <f t="array" aca="1" ref="K22" ca="1" xml:space="preserve"> MAX( COLUMN( INDIRECT( doc_tablesList[[#This Row],[Table Name]] ) ) )</f>
        <v>10</v>
      </c>
      <c r="L22" s="62">
        <f ca="1" xml:space="preserve"> doc_tablesList[[#This Row],[last_colIndex]] - doc_tablesList[[#This Row],[id_colIndex]] + 1</f>
        <v>9</v>
      </c>
      <c r="M22" s="84"/>
      <c r="N22" s="83" t="s">
        <v>1427</v>
      </c>
    </row>
  </sheetData>
  <pageMargins left="0.7" right="0.7" top="0.75" bottom="0.75" header="0.3" footer="0.3"/>
  <pageSetup orientation="portrait" horizontalDpi="90" verticalDpi="90" r:id="rId1"/>
  <drawing r:id="rId2"/>
  <legacyDrawing r:id="rId3"/>
  <tableParts count="1">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AC7EF1-95B0-477B-A02D-086B6A131F7A}">
  <sheetPr>
    <tabColor theme="5" tint="0.39997558519241921"/>
  </sheetPr>
  <dimension ref="A1:E28"/>
  <sheetViews>
    <sheetView workbookViewId="0">
      <selection activeCell="E4" sqref="E4:E28"/>
    </sheetView>
  </sheetViews>
  <sheetFormatPr defaultRowHeight="14.5" x14ac:dyDescent="0.35"/>
  <cols>
    <col min="1" max="1" width="11.81640625" customWidth="1"/>
    <col min="3" max="3" width="22.81640625" customWidth="1"/>
    <col min="4" max="4" width="14.54296875" customWidth="1"/>
    <col min="5" max="5" width="84.1796875" customWidth="1"/>
  </cols>
  <sheetData>
    <row r="1" spans="1:5" x14ac:dyDescent="0.35">
      <c r="A1" t="s">
        <v>245</v>
      </c>
      <c r="B1" s="4" t="s">
        <v>246</v>
      </c>
    </row>
    <row r="2" spans="1:5" x14ac:dyDescent="0.35">
      <c r="B2" s="4"/>
    </row>
    <row r="3" spans="1:5" ht="26" x14ac:dyDescent="0.35">
      <c r="B3" s="12" t="s">
        <v>780</v>
      </c>
      <c r="C3" s="12" t="s">
        <v>239</v>
      </c>
      <c r="D3" s="31" t="s">
        <v>1264</v>
      </c>
      <c r="E3" s="12" t="s">
        <v>1265</v>
      </c>
    </row>
    <row r="4" spans="1:5" x14ac:dyDescent="0.35">
      <c r="B4" s="7">
        <f xml:space="preserve"> ROW( testDev[[#This Row],[row_id]] ) - ROW(testDev[[#Headers],[row_id]] )</f>
        <v>1</v>
      </c>
      <c r="C4" s="14" t="s">
        <v>243</v>
      </c>
      <c r="D4" s="58" t="s">
        <v>1266</v>
      </c>
      <c r="E4" s="83" t="s">
        <v>1267</v>
      </c>
    </row>
    <row r="5" spans="1:5" ht="31.5" x14ac:dyDescent="0.35">
      <c r="B5" s="7">
        <f xml:space="preserve"> ROW( testDev[[#This Row],[row_id]] ) - ROW(testDev[[#Headers],[row_id]] )</f>
        <v>2</v>
      </c>
      <c r="C5" s="14" t="s">
        <v>836</v>
      </c>
      <c r="D5" s="58" t="s">
        <v>1268</v>
      </c>
      <c r="E5" s="83" t="s">
        <v>1269</v>
      </c>
    </row>
    <row r="6" spans="1:5" ht="42" x14ac:dyDescent="0.35">
      <c r="B6" s="7">
        <f xml:space="preserve"> ROW( testDev[[#This Row],[row_id]] ) - ROW(testDev[[#Headers],[row_id]] )</f>
        <v>3</v>
      </c>
      <c r="C6" s="14" t="s">
        <v>903</v>
      </c>
      <c r="D6" s="58" t="s">
        <v>1266</v>
      </c>
      <c r="E6" s="83" t="s">
        <v>1270</v>
      </c>
    </row>
    <row r="7" spans="1:5" x14ac:dyDescent="0.35">
      <c r="B7" s="7">
        <f xml:space="preserve"> ROW( testDev[[#This Row],[row_id]] ) - ROW(testDev[[#Headers],[row_id]] )</f>
        <v>4</v>
      </c>
      <c r="C7" s="14" t="s">
        <v>828</v>
      </c>
      <c r="D7" s="58" t="s">
        <v>1271</v>
      </c>
      <c r="E7" s="83" t="s">
        <v>1272</v>
      </c>
    </row>
    <row r="8" spans="1:5" x14ac:dyDescent="0.35">
      <c r="B8" s="7">
        <f xml:space="preserve"> ROW( testDev[[#This Row],[row_id]] ) - ROW(testDev[[#Headers],[row_id]] )</f>
        <v>5</v>
      </c>
      <c r="C8" s="14" t="s">
        <v>1152</v>
      </c>
      <c r="D8" s="58" t="s">
        <v>1271</v>
      </c>
      <c r="E8" s="83" t="s">
        <v>1272</v>
      </c>
    </row>
    <row r="9" spans="1:5" x14ac:dyDescent="0.35">
      <c r="B9" s="7">
        <f xml:space="preserve"> ROW( testDev[[#This Row],[row_id]] ) - ROW(testDev[[#Headers],[row_id]] )</f>
        <v>6</v>
      </c>
      <c r="C9" s="14" t="s">
        <v>1230</v>
      </c>
      <c r="D9" s="58" t="s">
        <v>1266</v>
      </c>
      <c r="E9" s="83" t="s">
        <v>1273</v>
      </c>
    </row>
    <row r="10" spans="1:5" x14ac:dyDescent="0.35">
      <c r="B10" s="7">
        <f xml:space="preserve"> ROW( testDev[[#This Row],[row_id]] ) - ROW(testDev[[#Headers],[row_id]] )</f>
        <v>7</v>
      </c>
      <c r="C10" s="14" t="s">
        <v>837</v>
      </c>
      <c r="D10" s="58" t="s">
        <v>1266</v>
      </c>
      <c r="E10" s="83" t="s">
        <v>1274</v>
      </c>
    </row>
    <row r="11" spans="1:5" ht="21" x14ac:dyDescent="0.35">
      <c r="B11" s="7">
        <f xml:space="preserve"> ROW( testDev[[#This Row],[row_id]] ) - ROW(testDev[[#Headers],[row_id]] )</f>
        <v>8</v>
      </c>
      <c r="C11" s="14" t="s">
        <v>838</v>
      </c>
      <c r="D11" s="58" t="s">
        <v>1266</v>
      </c>
      <c r="E11" s="83" t="s">
        <v>1275</v>
      </c>
    </row>
    <row r="12" spans="1:5" ht="21" x14ac:dyDescent="0.35">
      <c r="B12" s="7">
        <f xml:space="preserve"> ROW( testDev[[#This Row],[row_id]] ) - ROW(testDev[[#Headers],[row_id]] )</f>
        <v>9</v>
      </c>
      <c r="C12" s="14" t="s">
        <v>839</v>
      </c>
      <c r="D12" s="58" t="s">
        <v>1268</v>
      </c>
      <c r="E12" s="83" t="s">
        <v>1276</v>
      </c>
    </row>
    <row r="13" spans="1:5" x14ac:dyDescent="0.35">
      <c r="B13" s="7">
        <f xml:space="preserve"> ROW( testDev[[#This Row],[row_id]] ) - ROW(testDev[[#Headers],[row_id]] )</f>
        <v>10</v>
      </c>
      <c r="C13" s="14" t="s">
        <v>242</v>
      </c>
      <c r="D13" s="58" t="s">
        <v>1271</v>
      </c>
      <c r="E13" s="83" t="s">
        <v>1272</v>
      </c>
    </row>
    <row r="14" spans="1:5" x14ac:dyDescent="0.35">
      <c r="B14" s="7">
        <f xml:space="preserve"> ROW( testDev[[#This Row],[row_id]] ) - ROW(testDev[[#Headers],[row_id]] )</f>
        <v>11</v>
      </c>
      <c r="C14" s="14" t="s">
        <v>964</v>
      </c>
      <c r="D14" s="58" t="s">
        <v>1268</v>
      </c>
      <c r="E14" s="83" t="s">
        <v>1277</v>
      </c>
    </row>
    <row r="15" spans="1:5" ht="21" x14ac:dyDescent="0.35">
      <c r="B15" s="7">
        <f xml:space="preserve"> ROW( testDev[[#This Row],[row_id]] ) - ROW(testDev[[#Headers],[row_id]] )</f>
        <v>12</v>
      </c>
      <c r="C15" s="14" t="s">
        <v>913</v>
      </c>
      <c r="D15" s="58" t="s">
        <v>1271</v>
      </c>
      <c r="E15" s="83" t="s">
        <v>1278</v>
      </c>
    </row>
    <row r="16" spans="1:5" x14ac:dyDescent="0.35">
      <c r="B16" s="7">
        <f xml:space="preserve"> ROW( testDev[[#This Row],[row_id]] ) - ROW(testDev[[#Headers],[row_id]] )</f>
        <v>13</v>
      </c>
      <c r="C16" s="14" t="s">
        <v>965</v>
      </c>
      <c r="D16" s="58" t="s">
        <v>1271</v>
      </c>
      <c r="E16" s="83" t="s">
        <v>1279</v>
      </c>
    </row>
    <row r="17" spans="2:5" x14ac:dyDescent="0.35">
      <c r="B17" s="7">
        <f xml:space="preserve"> ROW( testDev[[#This Row],[row_id]] ) - ROW(testDev[[#Headers],[row_id]] )</f>
        <v>14</v>
      </c>
      <c r="C17" s="14" t="s">
        <v>1061</v>
      </c>
      <c r="D17" s="58" t="s">
        <v>1271</v>
      </c>
      <c r="E17" s="83" t="s">
        <v>1272</v>
      </c>
    </row>
    <row r="18" spans="2:5" x14ac:dyDescent="0.35">
      <c r="B18" s="7">
        <f xml:space="preserve"> ROW( testDev[[#This Row],[row_id]] ) - ROW(testDev[[#Headers],[row_id]] )</f>
        <v>15</v>
      </c>
      <c r="C18" s="14" t="s">
        <v>1060</v>
      </c>
      <c r="D18" s="58" t="s">
        <v>1271</v>
      </c>
      <c r="E18" s="83" t="s">
        <v>1280</v>
      </c>
    </row>
    <row r="19" spans="2:5" ht="42" x14ac:dyDescent="0.35">
      <c r="B19" s="7">
        <f xml:space="preserve"> ROW( testDev[[#This Row],[row_id]] ) - ROW(testDev[[#Headers],[row_id]] )</f>
        <v>16</v>
      </c>
      <c r="C19" s="14" t="s">
        <v>1153</v>
      </c>
      <c r="D19" s="58" t="s">
        <v>1268</v>
      </c>
      <c r="E19" s="83" t="s">
        <v>1281</v>
      </c>
    </row>
    <row r="20" spans="2:5" x14ac:dyDescent="0.35">
      <c r="B20" s="7">
        <f xml:space="preserve"> ROW( testDev[[#This Row],[row_id]] ) - ROW(testDev[[#Headers],[row_id]] )</f>
        <v>17</v>
      </c>
      <c r="C20" s="14" t="s">
        <v>1282</v>
      </c>
      <c r="D20" s="58" t="s">
        <v>1266</v>
      </c>
      <c r="E20" s="83" t="s">
        <v>1283</v>
      </c>
    </row>
    <row r="21" spans="2:5" ht="21" x14ac:dyDescent="0.35">
      <c r="B21" s="7">
        <f xml:space="preserve"> ROW( testDev[[#This Row],[row_id]] ) - ROW(testDev[[#Headers],[row_id]] )</f>
        <v>18</v>
      </c>
      <c r="C21" s="14" t="s">
        <v>1284</v>
      </c>
      <c r="D21" s="58" t="s">
        <v>1271</v>
      </c>
      <c r="E21" s="83" t="s">
        <v>1285</v>
      </c>
    </row>
    <row r="22" spans="2:5" x14ac:dyDescent="0.35">
      <c r="B22" s="7">
        <f xml:space="preserve"> ROW( testDev[[#This Row],[row_id]] ) - ROW(testDev[[#Headers],[row_id]] )</f>
        <v>19</v>
      </c>
      <c r="C22" s="14" t="s">
        <v>1286</v>
      </c>
      <c r="D22" s="58" t="s">
        <v>1266</v>
      </c>
      <c r="E22" s="83" t="s">
        <v>1287</v>
      </c>
    </row>
    <row r="23" spans="2:5" x14ac:dyDescent="0.35">
      <c r="B23" s="7">
        <f xml:space="preserve"> ROW( testDev[[#This Row],[row_id]] ) - ROW(testDev[[#Headers],[row_id]] )</f>
        <v>20</v>
      </c>
      <c r="C23" s="14" t="s">
        <v>1288</v>
      </c>
      <c r="D23" s="58" t="s">
        <v>1271</v>
      </c>
      <c r="E23" s="83" t="s">
        <v>1272</v>
      </c>
    </row>
    <row r="24" spans="2:5" x14ac:dyDescent="0.35">
      <c r="B24" s="7">
        <f xml:space="preserve"> ROW( testDev[[#This Row],[row_id]] ) - ROW(testDev[[#Headers],[row_id]] )</f>
        <v>21</v>
      </c>
      <c r="C24" s="14" t="s">
        <v>1289</v>
      </c>
      <c r="D24" s="58" t="s">
        <v>1271</v>
      </c>
      <c r="E24" s="83" t="s">
        <v>1272</v>
      </c>
    </row>
    <row r="25" spans="2:5" x14ac:dyDescent="0.35">
      <c r="B25" s="7">
        <f xml:space="preserve"> ROW( testDev[[#This Row],[row_id]] ) - ROW(testDev[[#Headers],[row_id]] )</f>
        <v>22</v>
      </c>
      <c r="C25" s="14" t="s">
        <v>1290</v>
      </c>
      <c r="D25" s="58" t="s">
        <v>1271</v>
      </c>
      <c r="E25" s="83" t="s">
        <v>1272</v>
      </c>
    </row>
    <row r="26" spans="2:5" x14ac:dyDescent="0.35">
      <c r="B26" s="7">
        <f xml:space="preserve"> ROW( testDev[[#This Row],[row_id]] ) - ROW(testDev[[#Headers],[row_id]] )</f>
        <v>23</v>
      </c>
      <c r="C26" s="14" t="s">
        <v>1291</v>
      </c>
      <c r="D26" s="58" t="s">
        <v>1271</v>
      </c>
      <c r="E26" s="83" t="s">
        <v>1272</v>
      </c>
    </row>
    <row r="27" spans="2:5" ht="42" x14ac:dyDescent="0.35">
      <c r="B27" s="7">
        <f xml:space="preserve"> ROW( testDev[[#This Row],[row_id]] ) - ROW(testDev[[#Headers],[row_id]] )</f>
        <v>24</v>
      </c>
      <c r="C27" s="14" t="s">
        <v>1292</v>
      </c>
      <c r="D27" s="58" t="s">
        <v>1268</v>
      </c>
      <c r="E27" s="83" t="s">
        <v>1293</v>
      </c>
    </row>
    <row r="28" spans="2:5" ht="21" x14ac:dyDescent="0.35">
      <c r="B28" s="7">
        <f xml:space="preserve"> ROW( testDev[[#This Row],[row_id]] ) - ROW(testDev[[#Headers],[row_id]] )</f>
        <v>25</v>
      </c>
      <c r="C28" s="14" t="s">
        <v>1294</v>
      </c>
      <c r="D28" s="58" t="s">
        <v>1266</v>
      </c>
      <c r="E28" s="83" t="s">
        <v>1295</v>
      </c>
    </row>
  </sheetData>
  <pageMargins left="0.7" right="0.7" top="0.75" bottom="0.75" header="0.3" footer="0.3"/>
  <pageSetup orientation="portrait" horizontalDpi="4294967293" verticalDpi="0" r:id="rId1"/>
  <tableParts count="1">
    <tablePart r:id="rId2"/>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5">
    <tabColor theme="5" tint="0.39997558519241921"/>
  </sheetPr>
  <dimension ref="A1:U330"/>
  <sheetViews>
    <sheetView tabSelected="1" topLeftCell="A119" zoomScale="90" zoomScaleNormal="90" workbookViewId="0">
      <pane xSplit="3" topLeftCell="D1" activePane="topRight" state="frozen"/>
      <selection pane="topRight" activeCell="E137" sqref="E137"/>
    </sheetView>
  </sheetViews>
  <sheetFormatPr defaultColWidth="8.7265625" defaultRowHeight="13" x14ac:dyDescent="0.3"/>
  <cols>
    <col min="1" max="1" width="8.7265625" style="4"/>
    <col min="2" max="2" width="11.1796875" style="4" customWidth="1"/>
    <col min="3" max="3" width="32" style="4" customWidth="1"/>
    <col min="4" max="4" width="20.54296875" style="4" customWidth="1"/>
    <col min="5" max="5" width="20.54296875" style="21" customWidth="1"/>
    <col min="6" max="7" width="20.54296875" style="4" customWidth="1"/>
    <col min="8" max="21" width="18.54296875" style="4" customWidth="1"/>
    <col min="22" max="22" width="17" style="4" customWidth="1"/>
    <col min="23" max="16384" width="8.7265625" style="4"/>
  </cols>
  <sheetData>
    <row r="1" spans="1:21" ht="14.5" x14ac:dyDescent="0.35">
      <c r="A1" s="47"/>
      <c r="B1" s="48" t="s">
        <v>1021</v>
      </c>
      <c r="C1" s="48"/>
      <c r="D1" s="48"/>
      <c r="E1" s="48"/>
      <c r="F1" s="48"/>
      <c r="G1" s="48"/>
      <c r="H1" s="48"/>
      <c r="I1" s="48"/>
      <c r="J1" s="48"/>
      <c r="K1" s="48"/>
      <c r="L1" s="48"/>
      <c r="M1" s="48"/>
      <c r="N1" s="48"/>
      <c r="O1" s="48"/>
      <c r="P1" s="48"/>
      <c r="Q1" s="48"/>
      <c r="R1" s="48"/>
      <c r="S1" s="48"/>
      <c r="T1" s="48"/>
      <c r="U1" s="48"/>
    </row>
    <row r="2" spans="1:21" x14ac:dyDescent="0.3">
      <c r="C2" s="85" t="str">
        <f ca="1" xml:space="preserve"> OFFSET( INDIRECT( ADDRESS( ROW( co_sectors[[#Headers],[row_id]] ), COLUMN( co_sectors[[#Headers],[row_id]] ), , , ) ), -2, , 1, 1 )</f>
        <v>Sectors Table</v>
      </c>
      <c r="D2" s="4" t="s">
        <v>1032</v>
      </c>
    </row>
    <row r="3" spans="1:21" x14ac:dyDescent="0.3">
      <c r="C3" s="85" t="str">
        <f ca="1" xml:space="preserve"> OFFSET( INDIRECT( ADDRESS( ROW( co_impactYears[[#Headers],[row_id]] ), COLUMN( co_impactYears[[#Headers],[row_id]] ), , , ) ), -2, , 1, 1 )</f>
        <v>Impact Year Estimates</v>
      </c>
      <c r="D3" s="4" t="s">
        <v>1033</v>
      </c>
    </row>
    <row r="4" spans="1:21" x14ac:dyDescent="0.3">
      <c r="C4" s="85" t="str">
        <f ca="1" xml:space="preserve"> OFFSET( INDIRECT( ADDRESS( ROW( co_variants[[#Headers],[row_id]] ), COLUMN( co_variants[[#Headers],[row_id]] ), , , ) ), -4, , 1, 1 )</f>
        <v>Variants Table</v>
      </c>
      <c r="D4" s="4" t="s">
        <v>1034</v>
      </c>
    </row>
    <row r="5" spans="1:21" x14ac:dyDescent="0.3">
      <c r="C5" s="85" t="str">
        <f ca="1" xml:space="preserve"> OFFSET( INDIRECT( ADDRESS( ROW( co_impactTypes[[#Headers],[row_id]] ), COLUMN( co_impactTypes[[#Headers],[row_id]] ), , , ) ), -2, , 1, 1 )</f>
        <v>Impact Types</v>
      </c>
      <c r="D5" s="4" t="s">
        <v>1035</v>
      </c>
    </row>
    <row r="6" spans="1:21" x14ac:dyDescent="0.3">
      <c r="C6" s="85" t="str">
        <f ca="1" xml:space="preserve"> OFFSET( INDIRECT( ADDRESS( ROW( co_scalarInfo[[#Headers],[row_id]] ), COLUMN( co_scalarInfo[[#Headers],[row_id]] ), , , ) ), -2, , 1, 1 )</f>
        <v>Scalar Information</v>
      </c>
      <c r="D6" s="4" t="s">
        <v>1036</v>
      </c>
    </row>
    <row r="7" spans="1:21" x14ac:dyDescent="0.3">
      <c r="C7" s="85" t="str">
        <f ca="1" xml:space="preserve"> OFFSET( INDIRECT( ADDRESS( ROW( co_econMultipliers[[#Headers],[row_id]] ), COLUMN( co_econMultipliers[[#Headers],[row_id]] ), , , ) ), -2, , 1, 1 )</f>
        <v>Economic Multipliers</v>
      </c>
      <c r="D7" s="4" t="s">
        <v>1037</v>
      </c>
    </row>
    <row r="8" spans="1:21" x14ac:dyDescent="0.3">
      <c r="C8" s="85" t="str">
        <f ca="1" xml:space="preserve"> OFFSET( INDIRECT( ADDRESS( ROW( co_constants[[#Headers],[row_id]] ), COLUMN( co_constants[[#Headers],[row_id]] ), , , ) ), -2, , 1, 1 )</f>
        <v>Constants</v>
      </c>
      <c r="D8" s="4" t="s">
        <v>1027</v>
      </c>
    </row>
    <row r="9" spans="1:21" x14ac:dyDescent="0.3">
      <c r="C9" s="85" t="str">
        <f ca="1" xml:space="preserve"> OFFSET( INDIRECT( ADDRESS( ROW( co_modelTypes[[#Headers],[row_id]] ), COLUMN( co_modelTypes[[#Headers],[row_id]] ), , , ) ), -2, , 1, 1 )</f>
        <v>Model Types</v>
      </c>
      <c r="D9" s="4" t="s">
        <v>1028</v>
      </c>
    </row>
    <row r="10" spans="1:21" x14ac:dyDescent="0.3">
      <c r="C10" s="85" t="str">
        <f ca="1" xml:space="preserve"> OFFSET( INDIRECT( ADDRESS( ROW( co_models[[#Headers],[row_id]] ), COLUMN( co_models[[#Headers],[row_id]] ), , , ) ), -2, , 1, 1 )</f>
        <v>Binning Models</v>
      </c>
      <c r="D10" s="4" t="s">
        <v>1029</v>
      </c>
    </row>
    <row r="11" spans="1:21" x14ac:dyDescent="0.3">
      <c r="C11" s="85" t="str">
        <f ca="1" xml:space="preserve"> OFFSET( INDIRECT( ADDRESS( ROW( co_regions[[#Headers],[row_id]] ), COLUMN( co_regions[[#Headers],[row_id]] ), , , ) ), -2, , 1, 1 )</f>
        <v>Regions</v>
      </c>
      <c r="D11" s="4" t="s">
        <v>1038</v>
      </c>
    </row>
    <row r="12" spans="1:21" x14ac:dyDescent="0.3">
      <c r="C12" s="85" t="str">
        <f ca="1" xml:space="preserve"> OFFSET( INDIRECT( ADDRESS( ROW( co_inputScenarioInfo[[#Headers],[row_id]] ), COLUMN( co_inputScenarioInfo[[#Headers],[row_id]] ), , , ) ), -2, , 1, 1 )</f>
        <v>Input Scenario Information</v>
      </c>
      <c r="D12" s="4" t="s">
        <v>1063</v>
      </c>
    </row>
    <row r="13" spans="1:21" x14ac:dyDescent="0.3">
      <c r="C13" s="85" t="str">
        <f ca="1" xml:space="preserve"> OFFSET( INDIRECT( ADDRESS( ROW( co_states[[#Headers],[row_id]] ), COLUMN( co_states[[#Headers],[row_id]] ), , , ) ), -2, , 1, 1 )</f>
        <v>States</v>
      </c>
      <c r="D13" s="4" t="s">
        <v>1416</v>
      </c>
    </row>
    <row r="14" spans="1:21" x14ac:dyDescent="0.3">
      <c r="C14" s="85" t="str">
        <f ca="1" xml:space="preserve"> OFFSET( INDIRECT( ADDRESS( ROW( co_slrScalars[[#Headers],[row_id]] ), COLUMN( co_slrScalars[[#Headers],[row_id]] ), , , ) ), -3, , 1, 1 )</f>
        <v>SLR Scalars</v>
      </c>
      <c r="D14" s="4" t="s">
        <v>1425</v>
      </c>
    </row>
    <row r="16" spans="1:21" ht="21" x14ac:dyDescent="0.3">
      <c r="C16" s="89" t="s">
        <v>1020</v>
      </c>
      <c r="D16" s="86" t="s">
        <v>1026</v>
      </c>
      <c r="E16" s="87" t="s">
        <v>1011</v>
      </c>
      <c r="F16" s="88" t="s">
        <v>1019</v>
      </c>
    </row>
    <row r="18" spans="1:21" ht="14.5" x14ac:dyDescent="0.35">
      <c r="A18" s="47"/>
      <c r="B18" s="48" t="s">
        <v>238</v>
      </c>
      <c r="C18" s="48"/>
      <c r="D18" s="48"/>
      <c r="E18" s="48"/>
      <c r="F18" s="48"/>
      <c r="G18" s="48"/>
      <c r="H18" s="48"/>
      <c r="I18" s="48"/>
      <c r="J18" s="48"/>
      <c r="K18" s="48"/>
      <c r="L18" s="48"/>
      <c r="M18" s="48"/>
      <c r="N18" s="48"/>
      <c r="O18" s="48"/>
      <c r="P18" s="48"/>
      <c r="Q18" s="48"/>
      <c r="R18" s="48"/>
      <c r="S18" s="48"/>
      <c r="T18" s="48"/>
      <c r="U18" s="48"/>
    </row>
    <row r="20" spans="1:21" ht="39" x14ac:dyDescent="0.3">
      <c r="B20" s="49" t="s">
        <v>780</v>
      </c>
      <c r="C20" s="50" t="s">
        <v>219</v>
      </c>
      <c r="D20" s="49" t="s">
        <v>247</v>
      </c>
      <c r="E20" s="51" t="s">
        <v>760</v>
      </c>
      <c r="F20" s="51" t="s">
        <v>889</v>
      </c>
      <c r="G20" s="51" t="s">
        <v>1419</v>
      </c>
      <c r="H20" s="51" t="s">
        <v>1031</v>
      </c>
      <c r="I20" s="51" t="s">
        <v>1240</v>
      </c>
      <c r="J20" s="51" t="s">
        <v>831</v>
      </c>
      <c r="K20" s="51" t="s">
        <v>832</v>
      </c>
      <c r="L20" s="51" t="s">
        <v>1241</v>
      </c>
      <c r="M20" s="51" t="s">
        <v>970</v>
      </c>
      <c r="N20" s="51" t="s">
        <v>971</v>
      </c>
      <c r="O20" s="51" t="s">
        <v>972</v>
      </c>
      <c r="P20" s="51" t="s">
        <v>973</v>
      </c>
      <c r="Q20" s="51" t="s">
        <v>1018</v>
      </c>
    </row>
    <row r="21" spans="1:21" ht="21" x14ac:dyDescent="0.3">
      <c r="B21" s="118">
        <f xml:space="preserve"> ROW( co_sectors[[#This Row],[row_id]] ) - ROW( co_sectors[[#Headers],[row_id]] )</f>
        <v>1</v>
      </c>
      <c r="C21" s="119" t="s">
        <v>559</v>
      </c>
      <c r="D21" s="54" t="s">
        <v>762</v>
      </c>
      <c r="E21" s="27">
        <v>1</v>
      </c>
      <c r="F21" s="30" t="s">
        <v>819</v>
      </c>
      <c r="G21" s="30">
        <v>1</v>
      </c>
      <c r="H21" s="52" cm="1">
        <f t="array" ref="H21" xml:space="preserve"> IF( AND( SUMPRODUCT( co_impactYears[2010], --( co_sectors[[#This Row],[sector_id]] = co_impactYears[sector_id] ) ) &gt; 1,  SUMPRODUCT( co_impactYears[2090], --( co_sectors[[#This Row],[sector_id]] = co_impactYears[sector_id] ) ) &gt; 1 ), 1, 0 )</f>
        <v>0</v>
      </c>
      <c r="I21" s="68" t="str" cm="1">
        <f t="array" aca="1" ref="I21" ca="1" xml:space="preserve"> _xlfn.TEXTJOIN( ", ", 1,
  IF( OFFSET( INDIRECT( ADDRESS( ROW( co_variants[[#Headers],[row_id]] ),  COLUMN( co_variants[[#Headers],[sector_id]] ), , , "controlTables" ) ), 1, 0, MAX( co_variants[row_id] ), 1 ) = co_sectors[[#This Row],[sector_id]], co_variants[variant_label], "" )
)</f>
        <v>2011 Emissions, 2040 Emissions</v>
      </c>
      <c r="J21" s="68" t="str">
        <f ca="1" xml:space="preserve"> _xlfn.TEXTJOIN( ", ", 1,
  OFFSET( INDIRECT( ADDRESS( ROW( INDEX( co_impactYears[sector_id], MATCH( co_sectors[[#This Row],[sector_id]], co_impactYears[sector_id], 0 ) ) ),  COLUMN( co_impactYears[[#Headers],[sector_id]] ), , , "controlTables" ) ), 0, 1, 1, 4 )
)</f>
        <v>N/A</v>
      </c>
      <c r="K21" s="68" t="str" cm="1">
        <f t="array" aca="1" ref="K21" ca="1" xml:space="preserve">  _xlfn.TEXTJOIN( ", ", 1,
  IF( OFFSET( INDIRECT( ADDRESS( ROW( co_impactTypes[[#Headers],[row_id]] ),  COLUMN( co_impactTypes[[#Headers],[sector_id]] ), , , "controlTables" ) ), 1, 0, MAX( co_impactTypes[row_id] ), 1 ) = co_sectors[[#This Row],[sector_id]], co_impactTypes[impactType_label], "" )
)</f>
        <v>Ozone, PM2.5</v>
      </c>
      <c r="L21" s="68" cm="1">
        <f t="array" ref="L21" xml:space="preserve"> SUMPRODUCT( --( co_sectors[[#This Row],[sector_id]] = co_variants[sector_id] ) )</f>
        <v>2</v>
      </c>
      <c r="M21" s="68" cm="1">
        <f t="array" ref="M21" xml:space="preserve"> SUMPRODUCT( --( co_sectors[[#This Row],[sector_id]] = co_impactTypes[sector_id] ) )</f>
        <v>2</v>
      </c>
      <c r="N21" s="68" cm="1">
        <f t="array" ref="N21" xml:space="preserve"> IF( INDEX( co_impactYears[N/A], MATCH( 1, --( co_sectors[[#This Row],[sector_id]] = co_impactYears[sector_id] ), 0 ) ) = "N/A", 1, 2 )</f>
        <v>1</v>
      </c>
      <c r="O21" s="68" cm="1">
        <f t="array" ref="O21" xml:space="preserve"> INDEX( co_modelTypes[Number of models], MATCH( 1, --( co_sectors[[#This Row],[modelType]] = co_modelTypes[modelType_id] ), 0 ) ) + IF( co_sectors[[#This Row],[modelType]] = "gcm", 1, 0 )</f>
        <v>9</v>
      </c>
      <c r="P21" s="68" cm="1">
        <f t="array" ref="P21" xml:space="preserve"> INDEX( co_modelTypes[Number of levels], MATCH( 1, --( co_sectors[[#This Row],[modelType]] = co_modelTypes[modelType_id] ), 0 ) )</f>
        <v>7</v>
      </c>
      <c r="Q21" s="68">
        <f xml:space="preserve"> PRODUCT( co_sectors[[#This Row],[Number of variants]:[Number of levels]] )</f>
        <v>252</v>
      </c>
    </row>
    <row r="22" spans="1:21" x14ac:dyDescent="0.3">
      <c r="B22" s="120">
        <f xml:space="preserve"> ROW( co_sectors[[#This Row],[row_id]] ) - ROW( co_sectors[[#Headers],[row_id]] )</f>
        <v>2</v>
      </c>
      <c r="C22" s="121" t="s">
        <v>1000</v>
      </c>
      <c r="D22" s="55" t="s">
        <v>1002</v>
      </c>
      <c r="E22" s="28">
        <v>1</v>
      </c>
      <c r="F22" s="31" t="s">
        <v>819</v>
      </c>
      <c r="G22" s="31">
        <v>1</v>
      </c>
      <c r="H22" s="52" cm="1">
        <f t="array" ref="H22" xml:space="preserve"> IF( AND( SUMPRODUCT( co_impactYears[2010], --( co_sectors[[#This Row],[sector_id]] = co_impactYears[sector_id] ) ) &gt; 1,  SUMPRODUCT( co_impactYears[2090], --( co_sectors[[#This Row],[sector_id]] = co_impactYears[sector_id] ) ) &gt; 1 ), 1, 0 )</f>
        <v>0</v>
      </c>
      <c r="I22" s="68" t="str" cm="1">
        <f t="array" aca="1" ref="I22" ca="1" xml:space="preserve"> _xlfn.TEXTJOIN( ", ", 1,
  IF( OFFSET( INDIRECT( ADDRESS( ROW( co_variants[[#Headers],[row_id]] ),  COLUMN( co_variants[[#Headers],[sector_id]] ), , , "controlTables" ) ), 1, 0, MAX( co_variants[row_id] ), 1 ) = co_sectors[[#This Row],[sector_id]], co_variants[variant_label], "" )
)</f>
        <v>N/A</v>
      </c>
      <c r="J22" s="68" t="str">
        <f ca="1" xml:space="preserve"> _xlfn.TEXTJOIN( ", ", 1,
  OFFSET( INDIRECT( ADDRESS( ROW( INDEX( co_impactYears[sector_id], MATCH( co_sectors[[#This Row],[sector_id]], co_impactYears[sector_id], 0 ) ) ),  COLUMN( co_impactYears[[#Headers],[sector_id]] ), , , "controlTables" ) ), 0, 1, 1, 4 )
)</f>
        <v>N/A</v>
      </c>
      <c r="K22" s="68" t="str" cm="1">
        <f t="array" aca="1" ref="K22" ca="1" xml:space="preserve">  _xlfn.TEXTJOIN( ", ", 1,
  IF( OFFSET( INDIRECT( ADDRESS( ROW( co_impactTypes[[#Headers],[row_id]] ),  COLUMN( co_impactTypes[[#Headers],[sector_id]] ), , , "controlTables" ) ), 1, 0, MAX( co_impactTypes[row_id] ), 1 ) = co_sectors[[#This Row],[sector_id]], co_impactTypes[impactType_label], "" )
)</f>
        <v>N/A</v>
      </c>
      <c r="L22" s="68" cm="1">
        <f t="array" ref="L22" xml:space="preserve"> SUMPRODUCT( --( co_sectors[[#This Row],[sector_id]] = co_variants[sector_id] ) )</f>
        <v>1</v>
      </c>
      <c r="M22" s="68" cm="1">
        <f t="array" ref="M22" xml:space="preserve"> SUMPRODUCT( --( co_sectors[[#This Row],[sector_id]] = co_impactTypes[sector_id] ) )</f>
        <v>1</v>
      </c>
      <c r="N22" s="68" cm="1">
        <f t="array" ref="N22" xml:space="preserve"> IF( INDEX( co_impactYears[N/A], MATCH( 1, --( co_sectors[[#This Row],[sector_id]] = co_impactYears[sector_id] ), 0 ) ) = "N/A", 1, 2 )</f>
        <v>1</v>
      </c>
      <c r="O22" s="68" cm="1">
        <f t="array" ref="O22" xml:space="preserve"> INDEX( co_modelTypes[Number of models], MATCH( 1, --( co_sectors[[#This Row],[modelType]] = co_modelTypes[modelType_id] ), 0 ) ) + IF( co_sectors[[#This Row],[modelType]] = "gcm", 1, 0 )</f>
        <v>9</v>
      </c>
      <c r="P22" s="68" cm="1">
        <f t="array" ref="P22" xml:space="preserve"> INDEX( co_modelTypes[Number of levels], MATCH( 1, --( co_sectors[[#This Row],[modelType]] = co_modelTypes[modelType_id] ), 0 ) )</f>
        <v>7</v>
      </c>
      <c r="Q22" s="68">
        <f xml:space="preserve"> PRODUCT( co_sectors[[#This Row],[Number of variants]:[Number of levels]] )</f>
        <v>63</v>
      </c>
    </row>
    <row r="23" spans="1:21" ht="31.5" x14ac:dyDescent="0.3">
      <c r="B23" s="122">
        <f xml:space="preserve"> ROW( co_sectors[[#This Row],[row_id]] ) - ROW( co_sectors[[#Headers],[row_id]] )</f>
        <v>3</v>
      </c>
      <c r="C23" s="119" t="s">
        <v>1243</v>
      </c>
      <c r="D23" s="54" t="s">
        <v>1258</v>
      </c>
      <c r="E23" s="27">
        <v>1</v>
      </c>
      <c r="F23" s="31" t="s">
        <v>819</v>
      </c>
      <c r="G23" s="31">
        <v>1</v>
      </c>
      <c r="H23" s="52" cm="1">
        <f t="array" ref="H23" xml:space="preserve"> IF( AND( SUMPRODUCT( co_impactYears[2010], --( co_sectors[[#This Row],[sector_id]] = co_impactYears[sector_id] ) ) &gt; 1,  SUMPRODUCT( co_impactYears[2090], --( co_sectors[[#This Row],[sector_id]] = co_impactYears[sector_id] ) ) &gt; 1 ), 1, 0 )</f>
        <v>0</v>
      </c>
      <c r="I23" s="68" t="str" cm="1">
        <f t="array" aca="1" ref="I23" ca="1" xml:space="preserve"> _xlfn.TEXTJOIN( ", ", 1,
  IF( OFFSET( INDIRECT( ADDRESS( ROW( co_variants[[#Headers],[row_id]] ),  COLUMN( co_variants[[#Headers],[sector_id]] ), , , "controlTables" ) ), 1, 0, MAX( co_variants[row_id] ), 1 ) = co_sectors[[#This Row],[sector_id]], co_variants[variant_label], "" )
)</f>
        <v>Mean, Low Confidence Interval, High Confidence Interval</v>
      </c>
      <c r="J23" s="68" t="str">
        <f ca="1" xml:space="preserve"> _xlfn.TEXTJOIN( ", ", 1,
  OFFSET( INDIRECT( ADDRESS( ROW( INDEX( co_impactYears[sector_id], MATCH( co_sectors[[#This Row],[sector_id]], co_impactYears[sector_id], 0 ) ) ),  COLUMN( co_impactYears[[#Headers],[sector_id]] ), , , "controlTables" ) ), 0, 1, 1, 4 )
)</f>
        <v>N/A</v>
      </c>
      <c r="K23" s="68" t="str" cm="1">
        <f t="array" aca="1" ref="K23" ca="1" xml:space="preserve">  _xlfn.TEXTJOIN( ", ", 1,
  IF( OFFSET( INDIRECT( ADDRESS( ROW( co_impactTypes[[#Headers],[row_id]] ),  COLUMN( co_impactTypes[[#Headers],[sector_id]] ), , , "controlTables" ) ), 1, 0, MAX( co_impactTypes[row_id] ), 1 ) = co_sectors[[#This Row],[sector_id]], co_impactTypes[impactType_label], "" )
)</f>
        <v>N/A</v>
      </c>
      <c r="L23" s="68" cm="1">
        <f t="array" ref="L23" xml:space="preserve"> SUMPRODUCT( --( co_sectors[[#This Row],[sector_id]] = co_variants[sector_id] ) )</f>
        <v>3</v>
      </c>
      <c r="M23" s="68" cm="1">
        <f t="array" ref="M23" xml:space="preserve"> SUMPRODUCT( --( co_sectors[[#This Row],[sector_id]] = co_impactTypes[sector_id] ) )</f>
        <v>1</v>
      </c>
      <c r="N23" s="68" cm="1">
        <f t="array" ref="N23" xml:space="preserve"> IF( INDEX( co_impactYears[N/A], MATCH( 1, --( co_sectors[[#This Row],[sector_id]] = co_impactYears[sector_id] ), 0 ) ) = "N/A", 1, 2 )</f>
        <v>1</v>
      </c>
      <c r="O23" s="68" cm="1">
        <f t="array" ref="O23" xml:space="preserve"> INDEX( co_modelTypes[Number of models], MATCH( 1, --( co_sectors[[#This Row],[modelType]] = co_modelTypes[modelType_id] ), 0 ) ) + IF( co_sectors[[#This Row],[modelType]] = "gcm", 1, 0 )</f>
        <v>9</v>
      </c>
      <c r="P23" s="68" cm="1">
        <f t="array" ref="P23" xml:space="preserve"> INDEX( co_modelTypes[Number of levels], MATCH( 1, --( co_sectors[[#This Row],[modelType]] = co_modelTypes[modelType_id] ), 0 ) )</f>
        <v>7</v>
      </c>
      <c r="Q23" s="68">
        <f xml:space="preserve"> PRODUCT( co_sectors[[#This Row],[Number of variants]:[Number of levels]] )</f>
        <v>189</v>
      </c>
    </row>
    <row r="24" spans="1:21" ht="21" x14ac:dyDescent="0.3">
      <c r="B24" s="122">
        <f xml:space="preserve"> ROW( co_sectors[[#This Row],[row_id]] ) - ROW( co_sectors[[#Headers],[row_id]] )</f>
        <v>4</v>
      </c>
      <c r="C24" s="119" t="s">
        <v>1224</v>
      </c>
      <c r="D24" s="54" t="s">
        <v>1226</v>
      </c>
      <c r="E24" s="27">
        <v>1</v>
      </c>
      <c r="F24" s="31" t="s">
        <v>819</v>
      </c>
      <c r="G24" s="31">
        <v>0</v>
      </c>
      <c r="H24" s="52" cm="1">
        <f t="array" ref="H24" xml:space="preserve"> IF( AND( SUMPRODUCT( co_impactYears[2010], --( co_sectors[[#This Row],[sector_id]] = co_impactYears[sector_id] ) ) &gt; 1,  SUMPRODUCT( co_impactYears[2090], --( co_sectors[[#This Row],[sector_id]] = co_impactYears[sector_id] ) ) &gt; 1 ), 1, 0 )</f>
        <v>0</v>
      </c>
      <c r="I24" s="68" t="str" cm="1">
        <f t="array" aca="1" ref="I24" ca="1" xml:space="preserve"> _xlfn.TEXTJOIN( ", ", 1,
  IF( OFFSET( INDIRECT( ADDRESS( ROW( co_variants[[#Headers],[row_id]] ),  COLUMN( co_variants[[#Headers],[sector_id]] ), , , "controlTables" ) ), 1, 0, MAX( co_variants[row_id] ), 1 ) = co_sectors[[#This Row],[sector_id]], co_variants[variant_label], "" )
)</f>
        <v>With CO2 Fertilization, Without CO2 Fertilization</v>
      </c>
      <c r="J24" s="68" t="str">
        <f ca="1" xml:space="preserve"> _xlfn.TEXTJOIN( ", ", 1,
  OFFSET( INDIRECT( ADDRESS( ROW( INDEX( co_impactYears[sector_id], MATCH( co_sectors[[#This Row],[sector_id]], co_impactYears[sector_id], 0 ) ) ),  COLUMN( co_impactYears[[#Headers],[sector_id]] ), , , "controlTables" ) ), 0, 1, 1, 4 )
)</f>
        <v>N/A</v>
      </c>
      <c r="K24" s="68" t="str" cm="1">
        <f t="array" aca="1" ref="K24" ca="1" xml:space="preserve">  _xlfn.TEXTJOIN( ", ", 1,
  IF( OFFSET( INDIRECT( ADDRESS( ROW( co_impactTypes[[#Headers],[row_id]] ),  COLUMN( co_impactTypes[[#Headers],[sector_id]] ), , , "controlTables" ) ), 1, 0, MAX( co_impactTypes[row_id] ), 1 ) = co_sectors[[#This Row],[sector_id]], co_impactTypes[impactType_label], "" )
)</f>
        <v>Cotton, Maize, Soybean, Wheat</v>
      </c>
      <c r="L24" s="68" cm="1">
        <f t="array" ref="L24" xml:space="preserve"> SUMPRODUCT( --( co_sectors[[#This Row],[sector_id]] = co_variants[sector_id] ) )</f>
        <v>2</v>
      </c>
      <c r="M24" s="68" cm="1">
        <f t="array" ref="M24" xml:space="preserve"> SUMPRODUCT( --( co_sectors[[#This Row],[sector_id]] = co_impactTypes[sector_id] ) )</f>
        <v>4</v>
      </c>
      <c r="N24" s="68" cm="1">
        <f t="array" ref="N24" xml:space="preserve"> IF( INDEX( co_impactYears[N/A], MATCH( 1, --( co_sectors[[#This Row],[sector_id]] = co_impactYears[sector_id] ), 0 ) ) = "N/A", 1, 2 )</f>
        <v>1</v>
      </c>
      <c r="O24" s="68" cm="1">
        <f t="array" ref="O24" xml:space="preserve"> INDEX( co_modelTypes[Number of models], MATCH( 1, --( co_sectors[[#This Row],[modelType]] = co_modelTypes[modelType_id] ), 0 ) ) + IF( co_sectors[[#This Row],[modelType]] = "gcm", 1, 0 )</f>
        <v>9</v>
      </c>
      <c r="P24" s="68" cm="1">
        <f t="array" ref="P24" xml:space="preserve"> INDEX( co_modelTypes[Number of levels], MATCH( 1, --( co_sectors[[#This Row],[modelType]] = co_modelTypes[modelType_id] ), 0 ) )</f>
        <v>7</v>
      </c>
      <c r="Q24" s="68">
        <f xml:space="preserve"> PRODUCT( co_sectors[[#This Row],[Number of variants]:[Number of levels]] )</f>
        <v>504</v>
      </c>
    </row>
    <row r="25" spans="1:21" x14ac:dyDescent="0.3">
      <c r="B25" s="122">
        <f xml:space="preserve"> ROW( co_sectors[[#This Row],[row_id]] ) - ROW( co_sectors[[#Headers],[row_id]] )</f>
        <v>5</v>
      </c>
      <c r="C25" s="119" t="s">
        <v>1225</v>
      </c>
      <c r="D25" s="54" t="s">
        <v>1227</v>
      </c>
      <c r="E25" s="27">
        <v>1</v>
      </c>
      <c r="F25" s="30" t="s">
        <v>819</v>
      </c>
      <c r="G25" s="30">
        <v>0</v>
      </c>
      <c r="H25" s="52" cm="1">
        <f t="array" ref="H25" xml:space="preserve"> IF( AND( SUMPRODUCT( co_impactYears[2010], --( co_sectors[[#This Row],[sector_id]] = co_impactYears[sector_id] ) ) &gt; 1,  SUMPRODUCT( co_impactYears[2090], --( co_sectors[[#This Row],[sector_id]] = co_impactYears[sector_id] ) ) &gt; 1 ), 1, 0 )</f>
        <v>0</v>
      </c>
      <c r="I25" s="68" t="str" cm="1">
        <f t="array" aca="1" ref="I25" ca="1" xml:space="preserve"> _xlfn.TEXTJOIN( ", ", 1,
  IF( OFFSET( INDIRECT( ADDRESS( ROW( co_variants[[#Headers],[row_id]] ),  COLUMN( co_variants[[#Headers],[sector_id]] ), , , "controlTables" ) ), 1, 0, MAX( co_variants[row_id] ), 1 ) = co_sectors[[#This Row],[sector_id]], co_variants[variant_label], "" )
)</f>
        <v>N/A</v>
      </c>
      <c r="J25" s="68" t="str">
        <f ca="1" xml:space="preserve"> _xlfn.TEXTJOIN( ", ", 1,
  OFFSET( INDIRECT( ADDRESS( ROW( INDEX( co_impactYears[sector_id], MATCH( co_sectors[[#This Row],[sector_id]], co_impactYears[sector_id], 0 ) ) ),  COLUMN( co_impactYears[[#Headers],[sector_id]] ), , , "controlTables" ) ), 0, 1, 1, 4 )
)</f>
        <v>N/A</v>
      </c>
      <c r="K25" s="68" t="str" cm="1">
        <f t="array" aca="1" ref="K25" ca="1" xml:space="preserve">  _xlfn.TEXTJOIN( ", ", 1,
  IF( OFFSET( INDIRECT( ADDRESS( ROW( co_impactTypes[[#Headers],[row_id]] ),  COLUMN( co_impactTypes[[#Headers],[sector_id]] ), , , "controlTables" ) ), 1, 0, MAX( co_impactTypes[row_id] ), 1 ) = co_sectors[[#This Row],[sector_id]], co_impactTypes[impactType_label], "" )
)</f>
        <v>Property, Violent</v>
      </c>
      <c r="L25" s="68" cm="1">
        <f t="array" ref="L25" xml:space="preserve"> SUMPRODUCT( --( co_sectors[[#This Row],[sector_id]] = co_variants[sector_id] ) )</f>
        <v>1</v>
      </c>
      <c r="M25" s="68" cm="1">
        <f t="array" ref="M25" xml:space="preserve"> SUMPRODUCT( --( co_sectors[[#This Row],[sector_id]] = co_impactTypes[sector_id] ) )</f>
        <v>2</v>
      </c>
      <c r="N25" s="68" cm="1">
        <f t="array" ref="N25" xml:space="preserve"> IF( INDEX( co_impactYears[N/A], MATCH( 1, --( co_sectors[[#This Row],[sector_id]] = co_impactYears[sector_id] ), 0 ) ) = "N/A", 1, 2 )</f>
        <v>1</v>
      </c>
      <c r="O25" s="68" cm="1">
        <f t="array" ref="O25" xml:space="preserve"> INDEX( co_modelTypes[Number of models], MATCH( 1, --( co_sectors[[#This Row],[modelType]] = co_modelTypes[modelType_id] ), 0 ) ) + IF( co_sectors[[#This Row],[modelType]] = "gcm", 1, 0 )</f>
        <v>9</v>
      </c>
      <c r="P25" s="68" cm="1">
        <f t="array" ref="P25" xml:space="preserve"> INDEX( co_modelTypes[Number of levels], MATCH( 1, --( co_sectors[[#This Row],[modelType]] = co_modelTypes[modelType_id] ), 0 ) )</f>
        <v>7</v>
      </c>
      <c r="Q25" s="68">
        <f xml:space="preserve"> PRODUCT( co_sectors[[#This Row],[Number of variants]:[Number of levels]] )</f>
        <v>126</v>
      </c>
    </row>
    <row r="26" spans="1:21" ht="31.5" x14ac:dyDescent="0.3">
      <c r="B26" s="122">
        <f xml:space="preserve"> ROW( co_sectors[[#This Row],[row_id]] ) - ROW( co_sectors[[#Headers],[row_id]] )</f>
        <v>6</v>
      </c>
      <c r="C26" s="123" t="s">
        <v>1154</v>
      </c>
      <c r="D26" s="113" t="s">
        <v>1155</v>
      </c>
      <c r="E26" s="114">
        <v>1</v>
      </c>
      <c r="F26" s="109" t="s">
        <v>819</v>
      </c>
      <c r="G26" s="109">
        <v>0</v>
      </c>
      <c r="H26" s="52" cm="1">
        <f t="array" ref="H26" xml:space="preserve"> IF( AND( SUMPRODUCT( co_impactYears[2010], --( co_sectors[[#This Row],[sector_id]] = co_impactYears[sector_id] ) ) &gt; 1,  SUMPRODUCT( co_impactYears[2090], --( co_sectors[[#This Row],[sector_id]] = co_impactYears[sector_id] ) ) &gt; 1 ), 1, 0 )</f>
        <v>0</v>
      </c>
      <c r="I26" s="68" t="str" cm="1">
        <f t="array" aca="1" ref="I26" ca="1" xml:space="preserve"> _xlfn.TEXTJOIN( ", ", 1,
  IF( OFFSET( INDIRECT( ADDRESS( ROW( co_variants[[#Headers],[row_id]] ),  COLUMN( co_variants[[#Headers],[sector_id]] ), , , "controlTables" ) ), 1, 0, MAX( co_variants[row_id] ), 1 ) = co_sectors[[#This Row],[sector_id]], co_variants[variant_label], "" )
)</f>
        <v>Median, Low Confidence Interval, High Confidence Interval</v>
      </c>
      <c r="J26" s="68" t="str">
        <f ca="1" xml:space="preserve"> _xlfn.TEXTJOIN( ", ", 1,
  OFFSET( INDIRECT( ADDRESS( ROW( INDEX( co_impactYears[sector_id], MATCH( co_sectors[[#This Row],[sector_id]], co_impactYears[sector_id], 0 ) ) ),  COLUMN( co_impactYears[[#Headers],[sector_id]] ), , , "controlTables" ) ), 0, 1, 1, 4 )
)</f>
        <v>N/A</v>
      </c>
      <c r="K26" s="68" t="str" cm="1">
        <f t="array" aca="1" ref="K26" ca="1" xml:space="preserve">  _xlfn.TEXTJOIN( ", ", 1,
  IF( OFFSET( INDIRECT( ADDRESS( ROW( co_impactTypes[[#Headers],[row_id]] ),  COLUMN( co_impactTypes[[#Headers],[sector_id]] ), , , "controlTables" ) ), 1, 0, MAX( co_impactTypes[row_id] ), 1 ) = co_sectors[[#This Row],[sector_id]], co_impactTypes[impactType_label], "" )
)</f>
        <v>N/A</v>
      </c>
      <c r="L26" s="68" cm="1">
        <f t="array" ref="L26" xml:space="preserve"> SUMPRODUCT( --( co_sectors[[#This Row],[sector_id]] = co_variants[sector_id] ) )</f>
        <v>3</v>
      </c>
      <c r="M26" s="68" cm="1">
        <f t="array" ref="M26" xml:space="preserve"> SUMPRODUCT( --( co_sectors[[#This Row],[sector_id]] = co_impactTypes[sector_id] ) )</f>
        <v>1</v>
      </c>
      <c r="N26" s="68" cm="1">
        <f t="array" ref="N26" xml:space="preserve"> IF( INDEX( co_impactYears[N/A], MATCH( 1, --( co_sectors[[#This Row],[sector_id]] = co_impactYears[sector_id] ), 0 ) ) = "N/A", 1, 2 )</f>
        <v>1</v>
      </c>
      <c r="O26" s="68" cm="1">
        <f t="array" ref="O26" xml:space="preserve"> INDEX( co_modelTypes[Number of models], MATCH( 1, --( co_sectors[[#This Row],[modelType]] = co_modelTypes[modelType_id] ), 0 ) ) + IF( co_sectors[[#This Row],[modelType]] = "gcm", 1, 0 )</f>
        <v>9</v>
      </c>
      <c r="P26" s="68" cm="1">
        <f t="array" ref="P26" xml:space="preserve"> INDEX( co_modelTypes[Number of levels], MATCH( 1, --( co_sectors[[#This Row],[modelType]] = co_modelTypes[modelType_id] ), 0 ) )</f>
        <v>7</v>
      </c>
      <c r="Q26" s="68">
        <f xml:space="preserve"> PRODUCT( co_sectors[[#This Row],[Number of variants]:[Number of levels]] )</f>
        <v>189</v>
      </c>
    </row>
    <row r="27" spans="1:21" ht="31.5" x14ac:dyDescent="0.3">
      <c r="B27" s="122">
        <f xml:space="preserve"> ROW( co_sectors[[#This Row],[row_id]] ) - ROW( co_sectors[[#Headers],[row_id]] )</f>
        <v>7</v>
      </c>
      <c r="C27" s="119" t="s">
        <v>86</v>
      </c>
      <c r="D27" s="54" t="s">
        <v>198</v>
      </c>
      <c r="E27" s="27">
        <v>1</v>
      </c>
      <c r="F27" s="31" t="s">
        <v>818</v>
      </c>
      <c r="G27" s="31">
        <v>0</v>
      </c>
      <c r="H27" s="53" cm="1">
        <f t="array" ref="H27" xml:space="preserve"> IF( AND( SUMPRODUCT( co_impactYears[2010], --( co_sectors[[#This Row],[sector_id]] = co_impactYears[sector_id] ) ) &gt; 1,  SUMPRODUCT( co_impactYears[2090], --( co_sectors[[#This Row],[sector_id]] = co_impactYears[sector_id] ) ) &gt; 1 ), 1, 0 )</f>
        <v>0</v>
      </c>
      <c r="I27" s="68" t="str" cm="1">
        <f t="array" aca="1" ref="I27" ca="1" xml:space="preserve"> _xlfn.TEXTJOIN( ", ", 1,
  IF( OFFSET( INDIRECT( ADDRESS( ROW( co_variants[[#Headers],[row_id]] ),  COLUMN( co_variants[[#Headers],[sector_id]] ), , , "controlTables" ) ), 1, 0, MAX( co_variants[row_id] ), 1 ) = co_sectors[[#This Row],[sector_id]], co_variants[variant_label], "" )
)</f>
        <v>No Additional Adaptation, Proactive Adaptation, Reactive Adaptation</v>
      </c>
      <c r="J27" s="68" t="str">
        <f ca="1" xml:space="preserve"> _xlfn.TEXTJOIN( ", ", 1,
  OFFSET( INDIRECT( ADDRESS( ROW( INDEX( co_impactYears[sector_id], MATCH( co_sectors[[#This Row],[sector_id]], co_impactYears[sector_id], 0 ) ) ),  COLUMN( co_impactYears[[#Headers],[sector_id]] ), , , "controlTables" ) ), 0, 1, 1, 4 )
)</f>
        <v>N/A</v>
      </c>
      <c r="K27" s="68" t="str" cm="1">
        <f t="array" aca="1" ref="K27" ca="1" xml:space="preserve">  _xlfn.TEXTJOIN( ", ", 1,
  IF( OFFSET( INDIRECT( ADDRESS( ROW( co_impactTypes[[#Headers],[row_id]] ),  COLUMN( co_impactTypes[[#Headers],[sector_id]] ), , , "controlTables" ) ), 1, 0, MAX( co_impactTypes[row_id] ), 1 ) = co_sectors[[#This Row],[sector_id]], co_impactTypes[impactType_label], "" )
)</f>
        <v>N/A</v>
      </c>
      <c r="L27" s="68" cm="1">
        <f t="array" ref="L27" xml:space="preserve"> SUMPRODUCT( --( co_sectors[[#This Row],[sector_id]] = co_variants[sector_id] ) )</f>
        <v>3</v>
      </c>
      <c r="M27" s="68" cm="1">
        <f t="array" ref="M27" xml:space="preserve"> SUMPRODUCT( --( co_sectors[[#This Row],[sector_id]] = co_impactTypes[sector_id] ) )</f>
        <v>1</v>
      </c>
      <c r="N27" s="68" cm="1">
        <f t="array" ref="N27" xml:space="preserve"> IF( INDEX( co_impactYears[N/A], MATCH( 1, --( co_sectors[[#This Row],[sector_id]] = co_impactYears[sector_id] ), 0 ) ) = "N/A", 1, 2 )</f>
        <v>1</v>
      </c>
      <c r="O27" s="68" cm="1">
        <f t="array" ref="O27" xml:space="preserve"> INDEX( co_modelTypes[Number of models], MATCH( 1, --( co_sectors[[#This Row],[modelType]] = co_modelTypes[modelType_id] ), 0 ) ) + IF( co_sectors[[#This Row],[modelType]] = "gcm", 1, 0 )</f>
        <v>6</v>
      </c>
      <c r="P27" s="68" cm="1">
        <f t="array" ref="P27" xml:space="preserve"> INDEX( co_modelTypes[Number of levels], MATCH( 1, --( co_sectors[[#This Row],[modelType]] = co_modelTypes[modelType_id] ), 0 ) )</f>
        <v>6</v>
      </c>
      <c r="Q27" s="68">
        <f xml:space="preserve"> PRODUCT( co_sectors[[#This Row],[Number of variants]:[Number of levels]] )</f>
        <v>108</v>
      </c>
    </row>
    <row r="28" spans="1:21" x14ac:dyDescent="0.3">
      <c r="B28" s="122">
        <f xml:space="preserve"> ROW( co_sectors[[#This Row],[row_id]] ) - ROW( co_sectors[[#Headers],[row_id]] )</f>
        <v>8</v>
      </c>
      <c r="C28" s="124" t="s">
        <v>220</v>
      </c>
      <c r="D28" s="54" t="s">
        <v>999</v>
      </c>
      <c r="E28" s="28">
        <v>1</v>
      </c>
      <c r="F28" s="30" t="s">
        <v>819</v>
      </c>
      <c r="G28" s="30">
        <v>0</v>
      </c>
      <c r="H28" s="52" cm="1">
        <f t="array" ref="H28" xml:space="preserve"> IF( AND( SUMPRODUCT( co_impactYears[2010], --( co_sectors[[#This Row],[sector_id]] = co_impactYears[sector_id] ) ) &gt; 1,  SUMPRODUCT( co_impactYears[2090], --( co_sectors[[#This Row],[sector_id]] = co_impactYears[sector_id] ) ) &gt; 1 ), 1, 0 )</f>
        <v>0</v>
      </c>
      <c r="I28" s="68" t="str" cm="1">
        <f t="array" aca="1" ref="I28" ca="1" xml:space="preserve"> _xlfn.TEXTJOIN( ", ", 1,
  IF( OFFSET( INDIRECT( ADDRESS( ROW( co_variants[[#Headers],[row_id]] ),  COLUMN( co_variants[[#Headers],[sector_id]] ), , , "controlTables" ) ), 1, 0, MAX( co_variants[row_id] ), 1 ) = co_sectors[[#This Row],[sector_id]], co_variants[variant_label], "" )
)</f>
        <v>N/A</v>
      </c>
      <c r="J28" s="68" t="str">
        <f ca="1" xml:space="preserve"> _xlfn.TEXTJOIN( ", ", 1,
  OFFSET( INDIRECT( ADDRESS( ROW( INDEX( co_impactYears[sector_id], MATCH( co_sectors[[#This Row],[sector_id]], co_impactYears[sector_id], 0 ) ) ),  COLUMN( co_impactYears[[#Headers],[sector_id]] ), , , "controlTables" ) ), 0, 1, 1, 4 )
)</f>
        <v>N/A</v>
      </c>
      <c r="K28" s="68" t="str" cm="1">
        <f t="array" aca="1" ref="K28" ca="1" xml:space="preserve">  _xlfn.TEXTJOIN( ", ", 1,
  IF( OFFSET( INDIRECT( ADDRESS( ROW( co_impactTypes[[#Headers],[row_id]] ),  COLUMN( co_impactTypes[[#Headers],[sector_id]] ), , , "controlTables" ) ), 1, 0, MAX( co_impactTypes[row_id] ), 1 ) = co_sectors[[#This Row],[sector_id]], co_impactTypes[impactType_label], "" )
)</f>
        <v>N/A</v>
      </c>
      <c r="L28" s="68" cm="1">
        <f t="array" ref="L28" xml:space="preserve"> SUMPRODUCT( --( co_sectors[[#This Row],[sector_id]] = co_variants[sector_id] ) )</f>
        <v>1</v>
      </c>
      <c r="M28" s="68" cm="1">
        <f t="array" ref="M28" xml:space="preserve"> SUMPRODUCT( --( co_sectors[[#This Row],[sector_id]] = co_impactTypes[sector_id] ) )</f>
        <v>1</v>
      </c>
      <c r="N28" s="68" cm="1">
        <f t="array" ref="N28" xml:space="preserve"> IF( INDEX( co_impactYears[N/A], MATCH( 1, --( co_sectors[[#This Row],[sector_id]] = co_impactYears[sector_id] ), 0 ) ) = "N/A", 1, 2 )</f>
        <v>1</v>
      </c>
      <c r="O28" s="68" cm="1">
        <f t="array" ref="O28" xml:space="preserve"> INDEX( co_modelTypes[Number of models], MATCH( 1, --( co_sectors[[#This Row],[modelType]] = co_modelTypes[modelType_id] ), 0 ) ) + IF( co_sectors[[#This Row],[modelType]] = "gcm", 1, 0 )</f>
        <v>9</v>
      </c>
      <c r="P28" s="68" cm="1">
        <f t="array" ref="P28" xml:space="preserve"> INDEX( co_modelTypes[Number of levels], MATCH( 1, --( co_sectors[[#This Row],[modelType]] = co_modelTypes[modelType_id] ), 0 ) )</f>
        <v>7</v>
      </c>
      <c r="Q28" s="68">
        <f xml:space="preserve"> PRODUCT( co_sectors[[#This Row],[Number of variants]:[Number of levels]] )</f>
        <v>63</v>
      </c>
    </row>
    <row r="29" spans="1:21" ht="31.5" x14ac:dyDescent="0.3">
      <c r="B29" s="122">
        <f xml:space="preserve"> ROW( co_sectors[[#This Row],[row_id]] ) - ROW( co_sectors[[#Headers],[row_id]] )</f>
        <v>9</v>
      </c>
      <c r="C29" s="124" t="s">
        <v>997</v>
      </c>
      <c r="D29" s="54" t="s">
        <v>996</v>
      </c>
      <c r="E29" s="28">
        <v>1</v>
      </c>
      <c r="F29" s="30" t="s">
        <v>819</v>
      </c>
      <c r="G29" s="30">
        <v>1</v>
      </c>
      <c r="H29" s="52" cm="1">
        <f t="array" ref="H29" xml:space="preserve"> IF( AND( SUMPRODUCT( co_impactYears[2010], --( co_sectors[[#This Row],[sector_id]] = co_impactYears[sector_id] ) ) &gt; 1,  SUMPRODUCT( co_impactYears[2090], --( co_sectors[[#This Row],[sector_id]] = co_impactYears[sector_id] ) ) &gt; 1 ), 1, 0 )</f>
        <v>0</v>
      </c>
      <c r="I29" s="68" t="str" cm="1">
        <f t="array" aca="1" ref="I29" ca="1" xml:space="preserve"> _xlfn.TEXTJOIN( ", ", 1,
  IF( OFFSET( INDIRECT( ADDRESS( ROW( co_variants[[#Headers],[row_id]] ),  COLUMN( co_variants[[#Headers],[sector_id]] ), , , "controlTables" ) ), 1, 0, MAX( co_variants[row_id] ), 1 ) = co_sectors[[#This Row],[sector_id]], co_variants[variant_label], "" )
)</f>
        <v>No Additional Adaptation, Proactive Adaptation, Reactive Adaptation</v>
      </c>
      <c r="J29" s="68" t="str">
        <f ca="1" xml:space="preserve"> _xlfn.TEXTJOIN( ", ", 1,
  OFFSET( INDIRECT( ADDRESS( ROW( INDEX( co_impactYears[sector_id], MATCH( co_sectors[[#This Row],[sector_id]], co_impactYears[sector_id], 0 ) ) ),  COLUMN( co_impactYears[[#Headers],[sector_id]] ), , , "controlTables" ) ), 0, 1, 1, 4 )
)</f>
        <v>N/A</v>
      </c>
      <c r="K29" s="68" t="str" cm="1">
        <f t="array" aca="1" ref="K29" ca="1" xml:space="preserve">  _xlfn.TEXTJOIN( ", ", 1,
  IF( OFFSET( INDIRECT( ADDRESS( ROW( co_impactTypes[[#Headers],[row_id]] ),  COLUMN( co_impactTypes[[#Headers],[sector_id]] ), , , "controlTables" ) ), 1, 0, MAX( co_impactTypes[row_id] ), 1 ) = co_sectors[[#This Row],[sector_id]], co_impactTypes[impactType_label], "" )
)</f>
        <v>N/A</v>
      </c>
      <c r="L29" s="68" cm="1">
        <f t="array" ref="L29" xml:space="preserve"> SUMPRODUCT( --( co_sectors[[#This Row],[sector_id]] = co_variants[sector_id] ) )</f>
        <v>3</v>
      </c>
      <c r="M29" s="68" cm="1">
        <f t="array" ref="M29" xml:space="preserve"> SUMPRODUCT( --( co_sectors[[#This Row],[sector_id]] = co_impactTypes[sector_id] ) )</f>
        <v>1</v>
      </c>
      <c r="N29" s="68" cm="1">
        <f t="array" ref="N29" xml:space="preserve"> IF( INDEX( co_impactYears[N/A], MATCH( 1, --( co_sectors[[#This Row],[sector_id]] = co_impactYears[sector_id] ), 0 ) ) = "N/A", 1, 2 )</f>
        <v>1</v>
      </c>
      <c r="O29" s="68" cm="1">
        <f t="array" ref="O29" xml:space="preserve"> INDEX( co_modelTypes[Number of models], MATCH( 1, --( co_sectors[[#This Row],[modelType]] = co_modelTypes[modelType_id] ), 0 ) ) + IF( co_sectors[[#This Row],[modelType]] = "gcm", 1, 0 )</f>
        <v>9</v>
      </c>
      <c r="P29" s="68" cm="1">
        <f t="array" ref="P29" xml:space="preserve"> INDEX( co_modelTypes[Number of levels], MATCH( 1, --( co_sectors[[#This Row],[modelType]] = co_modelTypes[modelType_id] ), 0 ) )</f>
        <v>7</v>
      </c>
      <c r="Q29" s="68">
        <f xml:space="preserve"> PRODUCT( co_sectors[[#This Row],[Number of variants]:[Number of levels]] )</f>
        <v>189</v>
      </c>
    </row>
    <row r="30" spans="1:21" ht="21" x14ac:dyDescent="0.3">
      <c r="B30" s="122">
        <f xml:space="preserve"> ROW( co_sectors[[#This Row],[row_id]] ) - ROW( co_sectors[[#Headers],[row_id]] )</f>
        <v>10</v>
      </c>
      <c r="C30" s="119" t="s">
        <v>17</v>
      </c>
      <c r="D30" s="54" t="s">
        <v>199</v>
      </c>
      <c r="E30" s="27">
        <v>1</v>
      </c>
      <c r="F30" s="30" t="s">
        <v>819</v>
      </c>
      <c r="G30" s="30">
        <v>0</v>
      </c>
      <c r="H30" s="52" cm="1">
        <f t="array" ref="H30" xml:space="preserve"> IF( AND( SUMPRODUCT( co_impactYears[2010], --( co_sectors[[#This Row],[sector_id]] = co_impactYears[sector_id] ) ) &gt; 1,  SUMPRODUCT( co_impactYears[2090], --( co_sectors[[#This Row],[sector_id]] = co_impactYears[sector_id] ) ) &gt; 1 ), 1, 0 )</f>
        <v>1</v>
      </c>
      <c r="I30" s="68" t="str" cm="1">
        <f t="array" aca="1" ref="I30" ca="1" xml:space="preserve"> _xlfn.TEXTJOIN( ", ", 1,
  IF( OFFSET( INDIRECT( ADDRESS( ROW( co_variants[[#Headers],[row_id]] ),  COLUMN( co_variants[[#Headers],[sector_id]] ), , , "controlTables" ) ), 1, 0, MAX( co_variants[row_id] ), 1 ) = co_sectors[[#This Row],[sector_id]], co_variants[variant_label], "" )
)</f>
        <v>Adaptation, No Additional Adaptation</v>
      </c>
      <c r="J30" s="68" t="str">
        <f ca="1" xml:space="preserve"> _xlfn.TEXTJOIN( ", ", 1,
  OFFSET( INDIRECT( ADDRESS( ROW( INDEX( co_impactYears[sector_id], MATCH( co_sectors[[#This Row],[sector_id]], co_impactYears[sector_id], 0 ) ) ),  COLUMN( co_impactYears[[#Headers],[sector_id]] ), , , "controlTables" ) ), 0, 1, 1, 4 )
)</f>
        <v>2010, 2090</v>
      </c>
      <c r="K30" s="68" t="str" cm="1">
        <f t="array" aca="1" ref="K30" ca="1" xml:space="preserve">  _xlfn.TEXTJOIN( ", ", 1,
  IF( OFFSET( INDIRECT( ADDRESS( ROW( co_impactTypes[[#Headers],[row_id]] ),  COLUMN( co_impactTypes[[#Headers],[sector_id]] ), , , "controlTables" ) ), 1, 0, MAX( co_impactTypes[row_id] ), 1 ) = co_sectors[[#This Row],[sector_id]], co_impactTypes[impactType_label], "" )
)</f>
        <v>Cold, Hot</v>
      </c>
      <c r="L30" s="68" cm="1">
        <f t="array" ref="L30" xml:space="preserve"> SUMPRODUCT( --( co_sectors[[#This Row],[sector_id]] = co_variants[sector_id] ) )</f>
        <v>2</v>
      </c>
      <c r="M30" s="68" cm="1">
        <f t="array" ref="M30" xml:space="preserve"> SUMPRODUCT( --( co_sectors[[#This Row],[sector_id]] = co_impactTypes[sector_id] ) )</f>
        <v>2</v>
      </c>
      <c r="N30" s="68" cm="1">
        <f t="array" ref="N30" xml:space="preserve"> IF( INDEX( co_impactYears[N/A], MATCH( 1, --( co_sectors[[#This Row],[sector_id]] = co_impactYears[sector_id] ), 0 ) ) = "N/A", 1, 2 )</f>
        <v>2</v>
      </c>
      <c r="O30" s="68" cm="1">
        <f t="array" ref="O30" xml:space="preserve"> INDEX( co_modelTypes[Number of models], MATCH( 1, --( co_sectors[[#This Row],[modelType]] = co_modelTypes[modelType_id] ), 0 ) ) + IF( co_sectors[[#This Row],[modelType]] = "gcm", 1, 0 )</f>
        <v>9</v>
      </c>
      <c r="P30" s="68" cm="1">
        <f t="array" ref="P30" xml:space="preserve"> INDEX( co_modelTypes[Number of levels], MATCH( 1, --( co_sectors[[#This Row],[modelType]] = co_modelTypes[modelType_id] ), 0 ) )</f>
        <v>7</v>
      </c>
      <c r="Q30" s="68">
        <f xml:space="preserve"> PRODUCT( co_sectors[[#This Row],[Number of variants]:[Number of levels]] )</f>
        <v>504</v>
      </c>
    </row>
    <row r="31" spans="1:21" ht="42" x14ac:dyDescent="0.3">
      <c r="B31" s="122">
        <f xml:space="preserve"> ROW( co_sectors[[#This Row],[row_id]] ) - ROW( co_sectors[[#Headers],[row_id]] )</f>
        <v>11</v>
      </c>
      <c r="C31" s="119" t="s">
        <v>221</v>
      </c>
      <c r="D31" s="54" t="s">
        <v>222</v>
      </c>
      <c r="E31" s="27">
        <v>1</v>
      </c>
      <c r="F31" s="31" t="s">
        <v>818</v>
      </c>
      <c r="G31" s="31">
        <v>1</v>
      </c>
      <c r="H31" s="53" cm="1">
        <f t="array" ref="H31" xml:space="preserve"> IF( AND( SUMPRODUCT( co_impactYears[2010], --( co_sectors[[#This Row],[sector_id]] = co_impactYears[sector_id] ) ) &gt; 1,  SUMPRODUCT( co_impactYears[2090], --( co_sectors[[#This Row],[sector_id]] = co_impactYears[sector_id] ) ) &gt; 1 ), 1, 0 )</f>
        <v>0</v>
      </c>
      <c r="I31" s="68" t="str" cm="1">
        <f t="array" aca="1" ref="I31" ca="1" xml:space="preserve"> _xlfn.TEXTJOIN( ", ", 1,
  IF( OFFSET( INDIRECT( ADDRESS( ROW( co_variants[[#Headers],[row_id]] ),  COLUMN( co_variants[[#Headers],[sector_id]] ), , , "controlTables" ) ), 1, 0, MAX( co_variants[row_id] ), 1 ) = co_sectors[[#This Row],[sector_id]], co_variants[variant_label], "" )
)</f>
        <v>Direct Adaptation, No Additional Adaptation, Reasonably Anticipated Adaptation</v>
      </c>
      <c r="J31" s="68" t="str">
        <f ca="1" xml:space="preserve"> _xlfn.TEXTJOIN( ", ", 1,
  OFFSET( INDIRECT( ADDRESS( ROW( INDEX( co_impactYears[sector_id], MATCH( co_sectors[[#This Row],[sector_id]], co_impactYears[sector_id], 0 ) ) ),  COLUMN( co_impactYears[[#Headers],[sector_id]] ), , , "controlTables" ) ), 0, 1, 1, 4 )
)</f>
        <v>N/A</v>
      </c>
      <c r="K31" s="68" t="str" cm="1">
        <f t="array" aca="1" ref="K31" ca="1" xml:space="preserve">  _xlfn.TEXTJOIN( ", ", 1,
  IF( OFFSET( INDIRECT( ADDRESS( ROW( co_impactTypes[[#Headers],[row_id]] ),  COLUMN( co_impactTypes[[#Headers],[sector_id]] ), , , "controlTables" ) ), 1, 0, MAX( co_impactTypes[row_id] ), 1 ) = co_sectors[[#This Row],[sector_id]], co_impactTypes[impactType_label], "" )
)</f>
        <v>N/A</v>
      </c>
      <c r="L31" s="68" cm="1">
        <f t="array" ref="L31" xml:space="preserve"> SUMPRODUCT( --( co_sectors[[#This Row],[sector_id]] = co_variants[sector_id] ) )</f>
        <v>3</v>
      </c>
      <c r="M31" s="68" cm="1">
        <f t="array" ref="M31" xml:space="preserve"> SUMPRODUCT( --( co_sectors[[#This Row],[sector_id]] = co_impactTypes[sector_id] ) )</f>
        <v>1</v>
      </c>
      <c r="N31" s="68" cm="1">
        <f t="array" ref="N31" xml:space="preserve"> IF( INDEX( co_impactYears[N/A], MATCH( 1, --( co_sectors[[#This Row],[sector_id]] = co_impactYears[sector_id] ), 0 ) ) = "N/A", 1, 2 )</f>
        <v>1</v>
      </c>
      <c r="O31" s="68" cm="1">
        <f t="array" ref="O31" xml:space="preserve"> INDEX( co_modelTypes[Number of models], MATCH( 1, --( co_sectors[[#This Row],[modelType]] = co_modelTypes[modelType_id] ), 0 ) ) + IF( co_sectors[[#This Row],[modelType]] = "gcm", 1, 0 )</f>
        <v>6</v>
      </c>
      <c r="P31" s="68" cm="1">
        <f t="array" ref="P31" xml:space="preserve"> INDEX( co_modelTypes[Number of levels], MATCH( 1, --( co_sectors[[#This Row],[modelType]] = co_modelTypes[modelType_id] ), 0 ) )</f>
        <v>6</v>
      </c>
      <c r="Q31" s="68">
        <f xml:space="preserve"> PRODUCT( co_sectors[[#This Row],[Number of variants]:[Number of levels]] )</f>
        <v>108</v>
      </c>
    </row>
    <row r="32" spans="1:21" x14ac:dyDescent="0.3">
      <c r="B32" s="122">
        <f xml:space="preserve"> ROW( co_sectors[[#This Row],[row_id]] ) - ROW( co_sectors[[#Headers],[row_id]] )</f>
        <v>12</v>
      </c>
      <c r="C32" s="119" t="s">
        <v>84</v>
      </c>
      <c r="D32" s="54" t="s">
        <v>1080</v>
      </c>
      <c r="E32" s="27">
        <v>1</v>
      </c>
      <c r="F32" s="31" t="s">
        <v>819</v>
      </c>
      <c r="G32" s="31">
        <v>0</v>
      </c>
      <c r="H32" s="52" cm="1">
        <f t="array" ref="H32" xml:space="preserve"> IF( AND( SUMPRODUCT( co_impactYears[2010], --( co_sectors[[#This Row],[sector_id]] = co_impactYears[sector_id] ) ) &gt; 1,  SUMPRODUCT( co_impactYears[2090], --( co_sectors[[#This Row],[sector_id]] = co_impactYears[sector_id] ) ) &gt; 1 ), 1, 0 )</f>
        <v>0</v>
      </c>
      <c r="I32" s="68" t="str" cm="1">
        <f t="array" aca="1" ref="I32" ca="1" xml:space="preserve"> _xlfn.TEXTJOIN( ", ", 1,
  IF( OFFSET( INDIRECT( ADDRESS( ROW( co_variants[[#Headers],[row_id]] ),  COLUMN( co_variants[[#Headers],[sector_id]] ), , , "controlTables" ) ), 1, 0, MAX( co_variants[row_id] ), 1 ) = co_sectors[[#This Row],[sector_id]], co_variants[variant_label], "" )
)</f>
        <v>N/A</v>
      </c>
      <c r="J32" s="68" t="str">
        <f ca="1" xml:space="preserve"> _xlfn.TEXTJOIN( ", ", 1,
  OFFSET( INDIRECT( ADDRESS( ROW( INDEX( co_impactYears[sector_id], MATCH( co_sectors[[#This Row],[sector_id]], co_impactYears[sector_id], 0 ) ) ),  COLUMN( co_impactYears[[#Headers],[sector_id]] ), , , "controlTables" ) ), 0, 1, 1, 4 )
)</f>
        <v>N/A</v>
      </c>
      <c r="K32" s="68" t="str" cm="1">
        <f t="array" aca="1" ref="K32" ca="1" xml:space="preserve">  _xlfn.TEXTJOIN( ", ", 1,
  IF( OFFSET( INDIRECT( ADDRESS( ROW( co_impactTypes[[#Headers],[row_id]] ),  COLUMN( co_impactTypes[[#Headers],[sector_id]] ), , , "controlTables" ) ), 1, 0, MAX( co_impactTypes[row_id] ), 1 ) = co_sectors[[#This Row],[sector_id]], co_impactTypes[impactType_label], "" )
)</f>
        <v>N/A</v>
      </c>
      <c r="L32" s="68" cm="1">
        <f t="array" ref="L32" xml:space="preserve"> SUMPRODUCT( --( co_sectors[[#This Row],[sector_id]] = co_variants[sector_id] ) )</f>
        <v>1</v>
      </c>
      <c r="M32" s="68" cm="1">
        <f t="array" ref="M32" xml:space="preserve"> SUMPRODUCT( --( co_sectors[[#This Row],[sector_id]] = co_impactTypes[sector_id] ) )</f>
        <v>1</v>
      </c>
      <c r="N32" s="68" cm="1">
        <f t="array" ref="N32" xml:space="preserve"> IF( INDEX( co_impactYears[N/A], MATCH( 1, --( co_sectors[[#This Row],[sector_id]] = co_impactYears[sector_id] ), 0 ) ) = "N/A", 1, 2 )</f>
        <v>1</v>
      </c>
      <c r="O32" s="68" cm="1">
        <f t="array" ref="O32" xml:space="preserve"> INDEX( co_modelTypes[Number of models], MATCH( 1, --( co_sectors[[#This Row],[modelType]] = co_modelTypes[modelType_id] ), 0 ) ) + IF( co_sectors[[#This Row],[modelType]] = "gcm", 1, 0 )</f>
        <v>9</v>
      </c>
      <c r="P32" s="68" cm="1">
        <f t="array" ref="P32" xml:space="preserve"> INDEX( co_modelTypes[Number of levels], MATCH( 1, --( co_sectors[[#This Row],[modelType]] = co_modelTypes[modelType_id] ), 0 ) )</f>
        <v>7</v>
      </c>
      <c r="Q32" s="68">
        <f xml:space="preserve"> PRODUCT( co_sectors[[#This Row],[Number of variants]:[Number of levels]] )</f>
        <v>63</v>
      </c>
    </row>
    <row r="33" spans="1:21" x14ac:dyDescent="0.3">
      <c r="B33" s="122">
        <f xml:space="preserve"> ROW( co_sectors[[#This Row],[row_id]] ) - ROW( co_sectors[[#Headers],[row_id]] )</f>
        <v>13</v>
      </c>
      <c r="C33" s="119" t="s">
        <v>34</v>
      </c>
      <c r="D33" s="54" t="s">
        <v>34</v>
      </c>
      <c r="E33" s="27">
        <v>1</v>
      </c>
      <c r="F33" s="30" t="s">
        <v>819</v>
      </c>
      <c r="G33" s="30">
        <v>1</v>
      </c>
      <c r="H33" s="52" cm="1">
        <f t="array" ref="H33" xml:space="preserve"> IF( AND( SUMPRODUCT( co_impactYears[2010], --( co_sectors[[#This Row],[sector_id]] = co_impactYears[sector_id] ) ) &gt; 1,  SUMPRODUCT( co_impactYears[2090], --( co_sectors[[#This Row],[sector_id]] = co_impactYears[sector_id] ) ) &gt; 1 ), 1, 0 )</f>
        <v>0</v>
      </c>
      <c r="I33" s="68" t="str" cm="1">
        <f t="array" aca="1" ref="I33" ca="1" xml:space="preserve"> _xlfn.TEXTJOIN( ", ", 1,
  IF( OFFSET( INDIRECT( ADDRESS( ROW( co_variants[[#Headers],[row_id]] ),  COLUMN( co_variants[[#Headers],[sector_id]] ), , , "controlTables" ) ), 1, 0, MAX( co_variants[row_id] ), 1 ) = co_sectors[[#This Row],[sector_id]], co_variants[variant_label], "" )
)</f>
        <v>N/A</v>
      </c>
      <c r="J33" s="68" t="str">
        <f ca="1" xml:space="preserve"> _xlfn.TEXTJOIN( ", ", 1,
  OFFSET( INDIRECT( ADDRESS( ROW( INDEX( co_impactYears[sector_id], MATCH( co_sectors[[#This Row],[sector_id]], co_impactYears[sector_id], 0 ) ) ),  COLUMN( co_impactYears[[#Headers],[sector_id]] ), , , "controlTables" ) ), 0, 1, 1, 4 )
)</f>
        <v>N/A</v>
      </c>
      <c r="K33" s="68" t="str" cm="1">
        <f t="array" aca="1" ref="K33" ca="1" xml:space="preserve">  _xlfn.TEXTJOIN( ", ", 1,
  IF( OFFSET( INDIRECT( ADDRESS( ROW( co_impactTypes[[#Headers],[row_id]] ),  COLUMN( co_impactTypes[[#Headers],[sector_id]] ), , , "controlTables" ) ), 1, 0, MAX( co_impactTypes[row_id] ), 1 ) = co_sectors[[#This Row],[sector_id]], co_impactTypes[impactType_label], "" )
)</f>
        <v>N/A</v>
      </c>
      <c r="L33" s="68" cm="1">
        <f t="array" ref="L33" xml:space="preserve"> SUMPRODUCT( --( co_sectors[[#This Row],[sector_id]] = co_variants[sector_id] ) )</f>
        <v>1</v>
      </c>
      <c r="M33" s="68" cm="1">
        <f t="array" ref="M33" xml:space="preserve"> SUMPRODUCT( --( co_sectors[[#This Row],[sector_id]] = co_impactTypes[sector_id] ) )</f>
        <v>1</v>
      </c>
      <c r="N33" s="68" cm="1">
        <f t="array" ref="N33" xml:space="preserve"> IF( INDEX( co_impactYears[N/A], MATCH( 1, --( co_sectors[[#This Row],[sector_id]] = co_impactYears[sector_id] ), 0 ) ) = "N/A", 1, 2 )</f>
        <v>1</v>
      </c>
      <c r="O33" s="68" cm="1">
        <f t="array" ref="O33" xml:space="preserve"> INDEX( co_modelTypes[Number of models], MATCH( 1, --( co_sectors[[#This Row],[modelType]] = co_modelTypes[modelType_id] ), 0 ) ) + IF( co_sectors[[#This Row],[modelType]] = "gcm", 1, 0 )</f>
        <v>9</v>
      </c>
      <c r="P33" s="68" cm="1">
        <f t="array" ref="P33" xml:space="preserve"> INDEX( co_modelTypes[Number of levels], MATCH( 1, --( co_sectors[[#This Row],[modelType]] = co_modelTypes[modelType_id] ), 0 ) )</f>
        <v>7</v>
      </c>
      <c r="Q33" s="68">
        <f xml:space="preserve"> PRODUCT( co_sectors[[#This Row],[Number of variants]:[Number of levels]] )</f>
        <v>63</v>
      </c>
    </row>
    <row r="34" spans="1:21" x14ac:dyDescent="0.3">
      <c r="B34" s="122">
        <f xml:space="preserve"> ROW( co_sectors[[#This Row],[row_id]] ) - ROW( co_sectors[[#Headers],[row_id]] )</f>
        <v>14</v>
      </c>
      <c r="C34" s="123" t="s">
        <v>223</v>
      </c>
      <c r="D34" s="113" t="s">
        <v>1157</v>
      </c>
      <c r="E34" s="114">
        <v>1</v>
      </c>
      <c r="F34" s="109" t="s">
        <v>819</v>
      </c>
      <c r="G34" s="109">
        <v>0</v>
      </c>
      <c r="H34" s="52" cm="1">
        <f t="array" ref="H34" xml:space="preserve"> IF( AND( SUMPRODUCT( co_impactYears[2010], --( co_sectors[[#This Row],[sector_id]] = co_impactYears[sector_id] ) ) &gt; 1,  SUMPRODUCT( co_impactYears[2090], --( co_sectors[[#This Row],[sector_id]] = co_impactYears[sector_id] ) ) &gt; 1 ), 1, 0 )</f>
        <v>0</v>
      </c>
      <c r="I34" s="68" t="str" cm="1">
        <f t="array" aca="1" ref="I34" ca="1" xml:space="preserve"> _xlfn.TEXTJOIN( ", ", 1,
  IF( OFFSET( INDIRECT( ADDRESS( ROW( co_variants[[#Headers],[row_id]] ),  COLUMN( co_variants[[#Headers],[sector_id]] ), , , "controlTables" ) ), 1, 0, MAX( co_variants[row_id] ), 1 ) = co_sectors[[#This Row],[sector_id]], co_variants[variant_label], "" )
)</f>
        <v>N/A</v>
      </c>
      <c r="J34" s="68" t="str">
        <f ca="1" xml:space="preserve"> _xlfn.TEXTJOIN( ", ", 1,
  OFFSET( INDIRECT( ADDRESS( ROW( INDEX( co_impactYears[sector_id], MATCH( co_sectors[[#This Row],[sector_id]], co_impactYears[sector_id], 0 ) ) ),  COLUMN( co_impactYears[[#Headers],[sector_id]] ), , , "controlTables" ) ), 0, 1, 1, 4 )
)</f>
        <v>N/A</v>
      </c>
      <c r="K34" s="68" t="str" cm="1">
        <f t="array" aca="1" ref="K34" ca="1" xml:space="preserve">  _xlfn.TEXTJOIN( ", ", 1,
  IF( OFFSET( INDIRECT( ADDRESS( ROW( co_impactTypes[[#Headers],[row_id]] ),  COLUMN( co_impactTypes[[#Headers],[sector_id]] ), , , "controlTables" ) ), 1, 0, MAX( co_impactTypes[row_id] ), 1 ) = co_sectors[[#This Row],[sector_id]], co_impactTypes[impactType_label], "" )
)</f>
        <v>N/A</v>
      </c>
      <c r="L34" s="68" cm="1">
        <f t="array" ref="L34" xml:space="preserve"> SUMPRODUCT( --( co_sectors[[#This Row],[sector_id]] = co_variants[sector_id] ) )</f>
        <v>1</v>
      </c>
      <c r="M34" s="68" cm="1">
        <f t="array" ref="M34" xml:space="preserve"> SUMPRODUCT( --( co_sectors[[#This Row],[sector_id]] = co_impactTypes[sector_id] ) )</f>
        <v>1</v>
      </c>
      <c r="N34" s="68" cm="1">
        <f t="array" ref="N34" xml:space="preserve"> IF( INDEX( co_impactYears[N/A], MATCH( 1, --( co_sectors[[#This Row],[sector_id]] = co_impactYears[sector_id] ), 0 ) ) = "N/A", 1, 2 )</f>
        <v>1</v>
      </c>
      <c r="O34" s="68" cm="1">
        <f t="array" ref="O34" xml:space="preserve"> INDEX( co_modelTypes[Number of models], MATCH( 1, --( co_sectors[[#This Row],[modelType]] = co_modelTypes[modelType_id] ), 0 ) ) + IF( co_sectors[[#This Row],[modelType]] = "gcm", 1, 0 )</f>
        <v>9</v>
      </c>
      <c r="P34" s="68" cm="1">
        <f t="array" ref="P34" xml:space="preserve"> INDEX( co_modelTypes[Number of levels], MATCH( 1, --( co_sectors[[#This Row],[modelType]] = co_modelTypes[modelType_id] ), 0 ) )</f>
        <v>7</v>
      </c>
      <c r="Q34" s="68">
        <f xml:space="preserve"> PRODUCT( co_sectors[[#This Row],[Number of variants]:[Number of levels]] )</f>
        <v>63</v>
      </c>
    </row>
    <row r="35" spans="1:21" x14ac:dyDescent="0.3">
      <c r="B35" s="122">
        <f xml:space="preserve"> ROW( co_sectors[[#This Row],[row_id]] ) - ROW( co_sectors[[#Headers],[row_id]] )</f>
        <v>15</v>
      </c>
      <c r="C35" s="124" t="s">
        <v>1307</v>
      </c>
      <c r="D35" s="54" t="s">
        <v>1308</v>
      </c>
      <c r="E35" s="28">
        <v>1</v>
      </c>
      <c r="F35" s="31" t="s">
        <v>819</v>
      </c>
      <c r="G35" s="31">
        <v>1</v>
      </c>
      <c r="H35" s="52" cm="1">
        <f t="array" ref="H35" xml:space="preserve"> IF( AND( SUMPRODUCT( co_impactYears[2010], --( co_sectors[[#This Row],[sector_id]] = co_impactYears[sector_id] ) ) &gt; 1,  SUMPRODUCT( co_impactYears[2090], --( co_sectors[[#This Row],[sector_id]] = co_impactYears[sector_id] ) ) &gt; 1 ), 1, 0 )</f>
        <v>0</v>
      </c>
      <c r="I35" s="68" t="str" cm="1">
        <f t="array" aca="1" ref="I35" ca="1" xml:space="preserve"> _xlfn.TEXTJOIN( ", ", 1,
  IF( OFFSET( INDIRECT( ADDRESS( ROW( co_variants[[#Headers],[row_id]] ),  COLUMN( co_variants[[#Headers],[sector_id]] ), , , "controlTables" ) ), 1, 0, MAX( co_variants[row_id] ), 1 ) = co_sectors[[#This Row],[sector_id]], co_variants[variant_label], "" )
)</f>
        <v>N/A</v>
      </c>
      <c r="J35" s="68" t="str">
        <f ca="1" xml:space="preserve"> _xlfn.TEXTJOIN( ", ", 1,
  OFFSET( INDIRECT( ADDRESS( ROW( INDEX( co_impactYears[sector_id], MATCH( co_sectors[[#This Row],[sector_id]], co_impactYears[sector_id], 0 ) ) ),  COLUMN( co_impactYears[[#Headers],[sector_id]] ), , , "controlTables" ) ), 0, 1, 1, 4 )
)</f>
        <v>N/A</v>
      </c>
      <c r="K35" s="68" t="str" cm="1">
        <f t="array" aca="1" ref="K35" ca="1" xml:space="preserve">  _xlfn.TEXTJOIN( ", ", 1,
  IF( OFFSET( INDIRECT( ADDRESS( ROW( co_impactTypes[[#Headers],[row_id]] ),  COLUMN( co_impactTypes[[#Headers],[sector_id]] ), , , "controlTables" ) ), 1, 0, MAX( co_impactTypes[row_id] ), 1 ) = co_sectors[[#This Row],[sector_id]], co_impactTypes[impactType_label], "" )
)</f>
        <v>N/A</v>
      </c>
      <c r="L35" s="68" cm="1">
        <f t="array" ref="L35" xml:space="preserve"> SUMPRODUCT( --( co_sectors[[#This Row],[sector_id]] = co_variants[sector_id] ) )</f>
        <v>1</v>
      </c>
      <c r="M35" s="68" cm="1">
        <f t="array" ref="M35" xml:space="preserve"> SUMPRODUCT( --( co_sectors[[#This Row],[sector_id]] = co_impactTypes[sector_id] ) )</f>
        <v>1</v>
      </c>
      <c r="N35" s="68" cm="1">
        <f t="array" ref="N35" xml:space="preserve"> IF( INDEX( co_impactYears[N/A], MATCH( 1, --( co_sectors[[#This Row],[sector_id]] = co_impactYears[sector_id] ), 0 ) ) = "N/A", 1, 2 )</f>
        <v>1</v>
      </c>
      <c r="O35" s="68" cm="1">
        <f t="array" ref="O35" xml:space="preserve"> INDEX( co_modelTypes[Number of models], MATCH( 1, --( co_sectors[[#This Row],[modelType]] = co_modelTypes[modelType_id] ), 0 ) ) + IF( co_sectors[[#This Row],[modelType]] = "gcm", 1, 0 )</f>
        <v>9</v>
      </c>
      <c r="P35" s="68" cm="1">
        <f t="array" ref="P35" xml:space="preserve"> INDEX( co_modelTypes[Number of levels], MATCH( 1, --( co_sectors[[#This Row],[modelType]] = co_modelTypes[modelType_id] ), 0 ) )</f>
        <v>7</v>
      </c>
      <c r="Q35" s="68">
        <f xml:space="preserve"> PRODUCT( co_sectors[[#This Row],[Number of variants]:[Number of levels]] )</f>
        <v>63</v>
      </c>
    </row>
    <row r="36" spans="1:21" ht="31.5" x14ac:dyDescent="0.3">
      <c r="B36" s="120">
        <f xml:space="preserve"> ROW( co_sectors[[#This Row],[row_id]] ) - ROW( co_sectors[[#Headers],[row_id]] )</f>
        <v>16</v>
      </c>
      <c r="C36" s="121" t="s">
        <v>209</v>
      </c>
      <c r="D36" s="55" t="s">
        <v>209</v>
      </c>
      <c r="E36" s="28">
        <v>1</v>
      </c>
      <c r="F36" s="30" t="s">
        <v>819</v>
      </c>
      <c r="G36" s="30">
        <v>1</v>
      </c>
      <c r="H36" s="52" cm="1">
        <f t="array" ref="H36" xml:space="preserve"> IF( AND( SUMPRODUCT( co_impactYears[2010], --( co_sectors[[#This Row],[sector_id]] = co_impactYears[sector_id] ) ) &gt; 1,  SUMPRODUCT( co_impactYears[2090], --( co_sectors[[#This Row],[sector_id]] = co_impactYears[sector_id] ) ) &gt; 1 ), 1, 0 )</f>
        <v>0</v>
      </c>
      <c r="I36" s="68" t="str" cm="1">
        <f t="array" aca="1" ref="I36" ca="1" xml:space="preserve"> _xlfn.TEXTJOIN( ", ", 1,
  IF( OFFSET( INDIRECT( ADDRESS( ROW( co_variants[[#Headers],[row_id]] ),  COLUMN( co_variants[[#Headers],[sector_id]] ), , , "controlTables" ) ), 1, 0, MAX( co_variants[row_id] ), 1 ) = co_sectors[[#This Row],[sector_id]], co_variants[variant_label], "" )
)</f>
        <v>No Additional Adaptation, Proactive Adaptation, Reactive Adaptation</v>
      </c>
      <c r="J36" s="68" t="str">
        <f ca="1" xml:space="preserve"> _xlfn.TEXTJOIN( ", ", 1,
  OFFSET( INDIRECT( ADDRESS( ROW( INDEX( co_impactYears[sector_id], MATCH( co_sectors[[#This Row],[sector_id]], co_impactYears[sector_id], 0 ) ) ),  COLUMN( co_impactYears[[#Headers],[sector_id]] ), , , "controlTables" ) ), 0, 1, 1, 4 )
)</f>
        <v>N/A</v>
      </c>
      <c r="K36" s="68" t="str" cm="1">
        <f t="array" aca="1" ref="K36" ca="1" xml:space="preserve">  _xlfn.TEXTJOIN( ", ", 1,
  IF( OFFSET( INDIRECT( ADDRESS( ROW( co_impactTypes[[#Headers],[row_id]] ),  COLUMN( co_impactTypes[[#Headers],[sector_id]] ), , , "controlTables" ) ), 1, 0, MAX( co_impactTypes[row_id] ), 1 ) = co_sectors[[#This Row],[sector_id]], co_impactTypes[impactType_label], "" )
)</f>
        <v>N/A</v>
      </c>
      <c r="L36" s="68" cm="1">
        <f t="array" ref="L36" xml:space="preserve"> SUMPRODUCT( --( co_sectors[[#This Row],[sector_id]] = co_variants[sector_id] ) )</f>
        <v>3</v>
      </c>
      <c r="M36" s="68" cm="1">
        <f t="array" ref="M36" xml:space="preserve"> SUMPRODUCT( --( co_sectors[[#This Row],[sector_id]] = co_impactTypes[sector_id] ) )</f>
        <v>1</v>
      </c>
      <c r="N36" s="68" cm="1">
        <f t="array" ref="N36" xml:space="preserve"> IF( INDEX( co_impactYears[N/A], MATCH( 1, --( co_sectors[[#This Row],[sector_id]] = co_impactYears[sector_id] ), 0 ) ) = "N/A", 1, 2 )</f>
        <v>1</v>
      </c>
      <c r="O36" s="68" cm="1">
        <f t="array" ref="O36" xml:space="preserve"> INDEX( co_modelTypes[Number of models], MATCH( 1, --( co_sectors[[#This Row],[modelType]] = co_modelTypes[modelType_id] ), 0 ) ) + IF( co_sectors[[#This Row],[modelType]] = "gcm", 1, 0 )</f>
        <v>9</v>
      </c>
      <c r="P36" s="68" cm="1">
        <f t="array" ref="P36" xml:space="preserve"> INDEX( co_modelTypes[Number of levels], MATCH( 1, --( co_sectors[[#This Row],[modelType]] = co_modelTypes[modelType_id] ), 0 ) )</f>
        <v>7</v>
      </c>
      <c r="Q36" s="68">
        <f xml:space="preserve"> PRODUCT( co_sectors[[#This Row],[Number of variants]:[Number of levels]] )</f>
        <v>189</v>
      </c>
    </row>
    <row r="37" spans="1:21" ht="31.5" x14ac:dyDescent="0.3">
      <c r="B37" s="122">
        <f xml:space="preserve"> ROW( co_sectors[[#This Row],[row_id]] ) - ROW( co_sectors[[#Headers],[row_id]] )</f>
        <v>17</v>
      </c>
      <c r="C37" s="119" t="s">
        <v>216</v>
      </c>
      <c r="D37" s="54" t="s">
        <v>216</v>
      </c>
      <c r="E37" s="29">
        <v>1</v>
      </c>
      <c r="F37" s="30" t="s">
        <v>819</v>
      </c>
      <c r="G37" s="30">
        <v>1</v>
      </c>
      <c r="H37" s="52" cm="1">
        <f t="array" ref="H37" xml:space="preserve"> IF( AND( SUMPRODUCT( co_impactYears[2010], --( co_sectors[[#This Row],[sector_id]] = co_impactYears[sector_id] ) ) &gt; 1,  SUMPRODUCT( co_impactYears[2090], --( co_sectors[[#This Row],[sector_id]] = co_impactYears[sector_id] ) ) &gt; 1 ), 1, 0 )</f>
        <v>0</v>
      </c>
      <c r="I37" s="68" t="str" cm="1">
        <f t="array" aca="1" ref="I37" ca="1" xml:space="preserve"> _xlfn.TEXTJOIN( ", ", 1,
  IF( OFFSET( INDIRECT( ADDRESS( ROW( co_variants[[#Headers],[row_id]] ),  COLUMN( co_variants[[#Headers],[sector_id]] ), , , "controlTables" ) ), 1, 0, MAX( co_variants[row_id] ), 1 ) = co_sectors[[#This Row],[sector_id]], co_variants[variant_label], "" )
)</f>
        <v>No Additional Adaptation, Proactive Adaptation, Reactive Adaptation</v>
      </c>
      <c r="J37" s="68" t="str">
        <f ca="1" xml:space="preserve"> _xlfn.TEXTJOIN( ", ", 1,
  OFFSET( INDIRECT( ADDRESS( ROW( INDEX( co_impactYears[sector_id], MATCH( co_sectors[[#This Row],[sector_id]], co_impactYears[sector_id], 0 ) ) ),  COLUMN( co_impactYears[[#Headers],[sector_id]] ), , , "controlTables" ) ), 0, 1, 1, 4 )
)</f>
        <v>N/A</v>
      </c>
      <c r="K37" s="68" t="str" cm="1">
        <f t="array" aca="1" ref="K37" ca="1" xml:space="preserve">  _xlfn.TEXTJOIN( ", ", 1,
  IF( OFFSET( INDIRECT( ADDRESS( ROW( co_impactTypes[[#Headers],[row_id]] ),  COLUMN( co_impactTypes[[#Headers],[sector_id]] ), , , "controlTables" ) ), 1, 0, MAX( co_impactTypes[row_id] ), 1 ) = co_sectors[[#This Row],[sector_id]], co_impactTypes[impactType_label], "" )
)</f>
        <v>N/A</v>
      </c>
      <c r="L37" s="68" cm="1">
        <f t="array" ref="L37" xml:space="preserve"> SUMPRODUCT( --( co_sectors[[#This Row],[sector_id]] = co_variants[sector_id] ) )</f>
        <v>3</v>
      </c>
      <c r="M37" s="68" cm="1">
        <f t="array" ref="M37" xml:space="preserve"> SUMPRODUCT( --( co_sectors[[#This Row],[sector_id]] = co_impactTypes[sector_id] ) )</f>
        <v>1</v>
      </c>
      <c r="N37" s="68" cm="1">
        <f t="array" ref="N37" xml:space="preserve"> IF( INDEX( co_impactYears[N/A], MATCH( 1, --( co_sectors[[#This Row],[sector_id]] = co_impactYears[sector_id] ), 0 ) ) = "N/A", 1, 2 )</f>
        <v>1</v>
      </c>
      <c r="O37" s="68" cm="1">
        <f t="array" ref="O37" xml:space="preserve"> INDEX( co_modelTypes[Number of models], MATCH( 1, --( co_sectors[[#This Row],[modelType]] = co_modelTypes[modelType_id] ), 0 ) ) + IF( co_sectors[[#This Row],[modelType]] = "gcm", 1, 0 )</f>
        <v>9</v>
      </c>
      <c r="P37" s="68" cm="1">
        <f t="array" ref="P37" xml:space="preserve"> INDEX( co_modelTypes[Number of levels], MATCH( 1, --( co_sectors[[#This Row],[modelType]] = co_modelTypes[modelType_id] ), 0 ) )</f>
        <v>7</v>
      </c>
      <c r="Q37" s="68">
        <f xml:space="preserve"> PRODUCT( co_sectors[[#This Row],[Number of variants]:[Number of levels]] )</f>
        <v>189</v>
      </c>
    </row>
    <row r="38" spans="1:21" ht="42" x14ac:dyDescent="0.3">
      <c r="B38" s="120">
        <f xml:space="preserve"> ROW( co_sectors[[#This Row],[row_id]] ) - ROW( co_sectors[[#Headers],[row_id]] )</f>
        <v>18</v>
      </c>
      <c r="C38" s="121" t="s">
        <v>85</v>
      </c>
      <c r="D38" s="55" t="s">
        <v>197</v>
      </c>
      <c r="E38" s="29">
        <v>1</v>
      </c>
      <c r="F38" s="30" t="s">
        <v>819</v>
      </c>
      <c r="G38" s="30">
        <v>0</v>
      </c>
      <c r="H38" s="52" cm="1">
        <f t="array" ref="H38" xml:space="preserve"> IF( AND( SUMPRODUCT( co_impactYears[2010], --( co_sectors[[#This Row],[sector_id]] = co_impactYears[sector_id] ) ) &gt; 1,  SUMPRODUCT( co_impactYears[2090], --( co_sectors[[#This Row],[sector_id]] = co_impactYears[sector_id] ) ) &gt; 1 ), 1, 0 )</f>
        <v>1</v>
      </c>
      <c r="I38" s="68" t="str" cm="1">
        <f t="array" aca="1" ref="I38" ca="1" xml:space="preserve"> _xlfn.TEXTJOIN( ", ", 1,
  IF( OFFSET( INDIRECT( ADDRESS( ROW( co_variants[[#Headers],[row_id]] ),  COLUMN( co_variants[[#Headers],[sector_id]] ), , , "controlTables" ) ), 1, 0, MAX( co_variants[row_id] ), 1 ) = co_sectors[[#This Row],[sector_id]], co_variants[variant_label], "" )
)</f>
        <v>N/A</v>
      </c>
      <c r="J38" s="68" t="str">
        <f ca="1" xml:space="preserve"> _xlfn.TEXTJOIN( ", ", 1,
  OFFSET( INDIRECT( ADDRESS( ROW( INDEX( co_impactYears[sector_id], MATCH( co_sectors[[#This Row],[sector_id]], co_impactYears[sector_id], 0 ) ) ),  COLUMN( co_impactYears[[#Headers],[sector_id]] ), , , "controlTables" ) ), 0, 1, 1, 4 )
)</f>
        <v>2010, 2090</v>
      </c>
      <c r="K38" s="68" t="str" cm="1">
        <f t="array" aca="1" ref="K38" ca="1" xml:space="preserve">  _xlfn.TEXTJOIN( ", ", 1,
  IF( OFFSET( INDIRECT( ADDRESS( ROW( co_impactTypes[[#Headers],[row_id]] ),  COLUMN( co_impactTypes[[#Headers],[sector_id]] ), , , "controlTables" ) ), 1, 0, MAX( co_impactTypes[row_id] ), 1 ) = co_sectors[[#This Row],[sector_id]], co_impactTypes[impactType_label], "" )
)</f>
        <v>Acute Myocardial Infarction, All Cardiovascular, All Mortality, All Respiratory, Asthma ER</v>
      </c>
      <c r="L38" s="68" cm="1">
        <f t="array" ref="L38" xml:space="preserve"> SUMPRODUCT( --( co_sectors[[#This Row],[sector_id]] = co_variants[sector_id] ) )</f>
        <v>1</v>
      </c>
      <c r="M38" s="68" cm="1">
        <f t="array" ref="M38" xml:space="preserve"> SUMPRODUCT( --( co_sectors[[#This Row],[sector_id]] = co_impactTypes[sector_id] ) )</f>
        <v>5</v>
      </c>
      <c r="N38" s="68" cm="1">
        <f t="array" ref="N38" xml:space="preserve"> IF( INDEX( co_impactYears[N/A], MATCH( 1, --( co_sectors[[#This Row],[sector_id]] = co_impactYears[sector_id] ), 0 ) ) = "N/A", 1, 2 )</f>
        <v>2</v>
      </c>
      <c r="O38" s="68" cm="1">
        <f t="array" ref="O38" xml:space="preserve"> INDEX( co_modelTypes[Number of models], MATCH( 1, --( co_sectors[[#This Row],[modelType]] = co_modelTypes[modelType_id] ), 0 ) ) + IF( co_sectors[[#This Row],[modelType]] = "gcm", 1, 0 )</f>
        <v>9</v>
      </c>
      <c r="P38" s="68" cm="1">
        <f t="array" ref="P38" xml:space="preserve"> INDEX( co_modelTypes[Number of levels], MATCH( 1, --( co_sectors[[#This Row],[modelType]] = co_modelTypes[modelType_id] ), 0 ) )</f>
        <v>7</v>
      </c>
      <c r="Q38" s="68">
        <f xml:space="preserve"> PRODUCT( co_sectors[[#This Row],[Number of variants]:[Number of levels]] )</f>
        <v>630</v>
      </c>
    </row>
    <row r="39" spans="1:21" x14ac:dyDescent="0.3">
      <c r="B39" s="122">
        <f xml:space="preserve"> ROW( co_sectors[[#This Row],[row_id]] ) - ROW( co_sectors[[#Headers],[row_id]] )</f>
        <v>19</v>
      </c>
      <c r="C39" s="124" t="s">
        <v>225</v>
      </c>
      <c r="D39" s="54" t="s">
        <v>226</v>
      </c>
      <c r="E39" s="28">
        <v>1</v>
      </c>
      <c r="F39" s="30" t="s">
        <v>819</v>
      </c>
      <c r="G39" s="30">
        <v>0</v>
      </c>
      <c r="H39" s="52" cm="1">
        <f t="array" ref="H39" xml:space="preserve"> IF( AND( SUMPRODUCT( co_impactYears[2010], --( co_sectors[[#This Row],[sector_id]] = co_impactYears[sector_id] ) ) &gt; 1,  SUMPRODUCT( co_impactYears[2090], --( co_sectors[[#This Row],[sector_id]] = co_impactYears[sector_id] ) ) &gt; 1 ), 1, 0 )</f>
        <v>0</v>
      </c>
      <c r="I39" s="68" t="str" cm="1">
        <f t="array" aca="1" ref="I39" ca="1" xml:space="preserve"> _xlfn.TEXTJOIN( ", ", 1,
  IF( OFFSET( INDIRECT( ADDRESS( ROW( co_variants[[#Headers],[row_id]] ),  COLUMN( co_variants[[#Headers],[sector_id]] ), , , "controlTables" ) ), 1, 0, MAX( co_variants[row_id] ), 1 ) = co_sectors[[#This Row],[sector_id]], co_variants[variant_label], "" )
)</f>
        <v>N/A</v>
      </c>
      <c r="J39" s="68" t="str">
        <f ca="1" xml:space="preserve"> _xlfn.TEXTJOIN( ", ", 1,
  OFFSET( INDIRECT( ADDRESS( ROW( INDEX( co_impactYears[sector_id], MATCH( co_sectors[[#This Row],[sector_id]], co_impactYears[sector_id], 0 ) ) ),  COLUMN( co_impactYears[[#Headers],[sector_id]] ), , , "controlTables" ) ), 0, 1, 1, 4 )
)</f>
        <v>N/A</v>
      </c>
      <c r="K39" s="68" t="str" cm="1">
        <f t="array" aca="1" ref="K39" ca="1" xml:space="preserve">  _xlfn.TEXTJOIN( ", ", 1,
  IF( OFFSET( INDIRECT( ADDRESS( ROW( co_impactTypes[[#Headers],[row_id]] ),  COLUMN( co_impactTypes[[#Headers],[sector_id]] ), , , "controlTables" ) ), 1, 0, MAX( co_impactTypes[row_id] ), 1 ) = co_sectors[[#This Row],[sector_id]], co_impactTypes[impactType_label], "" )
)</f>
        <v>N/A</v>
      </c>
      <c r="L39" s="68" cm="1">
        <f t="array" ref="L39" xml:space="preserve"> SUMPRODUCT( --( co_sectors[[#This Row],[sector_id]] = co_variants[sector_id] ) )</f>
        <v>1</v>
      </c>
      <c r="M39" s="68" cm="1">
        <f t="array" ref="M39" xml:space="preserve"> SUMPRODUCT( --( co_sectors[[#This Row],[sector_id]] = co_impactTypes[sector_id] ) )</f>
        <v>1</v>
      </c>
      <c r="N39" s="68" cm="1">
        <f t="array" ref="N39" xml:space="preserve"> IF( INDEX( co_impactYears[N/A], MATCH( 1, --( co_sectors[[#This Row],[sector_id]] = co_impactYears[sector_id] ), 0 ) ) = "N/A", 1, 2 )</f>
        <v>1</v>
      </c>
      <c r="O39" s="68" cm="1">
        <f t="array" ref="O39" xml:space="preserve"> INDEX( co_modelTypes[Number of models], MATCH( 1, --( co_sectors[[#This Row],[modelType]] = co_modelTypes[modelType_id] ), 0 ) ) + IF( co_sectors[[#This Row],[modelType]] = "gcm", 1, 0 )</f>
        <v>9</v>
      </c>
      <c r="P39" s="68" cm="1">
        <f t="array" ref="P39" xml:space="preserve"> INDEX( co_modelTypes[Number of levels], MATCH( 1, --( co_sectors[[#This Row],[modelType]] = co_modelTypes[modelType_id] ), 0 ) )</f>
        <v>7</v>
      </c>
      <c r="Q39" s="68">
        <f xml:space="preserve"> PRODUCT( co_sectors[[#This Row],[Number of variants]:[Number of levels]] )</f>
        <v>63</v>
      </c>
    </row>
    <row r="40" spans="1:21" ht="21" x14ac:dyDescent="0.3">
      <c r="B40" s="120">
        <f xml:space="preserve"> ROW( co_sectors[[#This Row],[row_id]] ) - ROW( co_sectors[[#Headers],[row_id]] )</f>
        <v>20</v>
      </c>
      <c r="C40" s="121" t="s">
        <v>978</v>
      </c>
      <c r="D40" s="55" t="s">
        <v>979</v>
      </c>
      <c r="E40" s="29">
        <v>1</v>
      </c>
      <c r="F40" s="31" t="s">
        <v>819</v>
      </c>
      <c r="G40" s="31">
        <v>0</v>
      </c>
      <c r="H40" s="52" cm="1">
        <f t="array" ref="H40" xml:space="preserve"> IF( AND( SUMPRODUCT( co_impactYears[2010], --( co_sectors[[#This Row],[sector_id]] = co_impactYears[sector_id] ) ) &gt; 1,  SUMPRODUCT( co_impactYears[2090], --( co_sectors[[#This Row],[sector_id]] = co_impactYears[sector_id] ) ) &gt; 1 ), 1, 0 )</f>
        <v>0</v>
      </c>
      <c r="I40" s="68" t="str" cm="1">
        <f t="array" aca="1" ref="I40" ca="1" xml:space="preserve"> _xlfn.TEXTJOIN( ", ", 1,
  IF( OFFSET( INDIRECT( ADDRESS( ROW( co_variants[[#Headers],[row_id]] ),  COLUMN( co_variants[[#Headers],[sector_id]] ), , , "controlTables" ) ), 1, 0, MAX( co_variants[row_id] ), 1 ) = co_sectors[[#This Row],[sector_id]], co_variants[variant_label], "" )
)</f>
        <v>N/A</v>
      </c>
      <c r="J40" s="68" t="str">
        <f ca="1" xml:space="preserve"> _xlfn.TEXTJOIN( ", ", 1,
  OFFSET( INDIRECT( ADDRESS( ROW( INDEX( co_impactYears[sector_id], MATCH( co_sectors[[#This Row],[sector_id]], co_impactYears[sector_id], 0 ) ) ),  COLUMN( co_impactYears[[#Headers],[sector_id]] ), , , "controlTables" ) ), 0, 1, 1, 4 )
)</f>
        <v>N/A</v>
      </c>
      <c r="K40" s="68" t="str" cm="1">
        <f t="array" aca="1" ref="K40" ca="1" xml:space="preserve">  _xlfn.TEXTJOIN( ", ", 1,
  IF( OFFSET( INDIRECT( ADDRESS( ROW( co_impactTypes[[#Headers],[row_id]] ),  COLUMN( co_impactTypes[[#Headers],[sector_id]] ), , , "controlTables" ) ), 1, 0, MAX( co_impactTypes[row_id] ), 1 ) = co_sectors[[#This Row],[sector_id]], co_impactTypes[impactType_label], "" )
)</f>
        <v>Lost Wages, Morbidity, Mortality</v>
      </c>
      <c r="L40" s="68" cm="1">
        <f t="array" ref="L40" xml:space="preserve"> SUMPRODUCT( --( co_sectors[[#This Row],[sector_id]] = co_variants[sector_id] ) )</f>
        <v>1</v>
      </c>
      <c r="M40" s="68" cm="1">
        <f t="array" ref="M40" xml:space="preserve"> SUMPRODUCT( --( co_sectors[[#This Row],[sector_id]] = co_impactTypes[sector_id] ) )</f>
        <v>3</v>
      </c>
      <c r="N40" s="68" cm="1">
        <f t="array" ref="N40" xml:space="preserve"> IF( INDEX( co_impactYears[N/A], MATCH( 1, --( co_sectors[[#This Row],[sector_id]] = co_impactYears[sector_id] ), 0 ) ) = "N/A", 1, 2 )</f>
        <v>1</v>
      </c>
      <c r="O40" s="68" cm="1">
        <f t="array" ref="O40" xml:space="preserve"> INDEX( co_modelTypes[Number of models], MATCH( 1, --( co_sectors[[#This Row],[modelType]] = co_modelTypes[modelType_id] ), 0 ) ) + IF( co_sectors[[#This Row],[modelType]] = "gcm", 1, 0 )</f>
        <v>9</v>
      </c>
      <c r="P40" s="68" cm="1">
        <f t="array" ref="P40" xml:space="preserve"> INDEX( co_modelTypes[Number of levels], MATCH( 1, --( co_sectors[[#This Row],[modelType]] = co_modelTypes[modelType_id] ), 0 ) )</f>
        <v>7</v>
      </c>
      <c r="Q40" s="68">
        <f xml:space="preserve"> PRODUCT( co_sectors[[#This Row],[Number of variants]:[Number of levels]] )</f>
        <v>189</v>
      </c>
    </row>
    <row r="41" spans="1:21" ht="21" x14ac:dyDescent="0.3">
      <c r="B41" s="122">
        <f xml:space="preserve"> ROW( co_sectors[[#This Row],[row_id]] ) - ROW( co_sectors[[#Headers],[row_id]] )</f>
        <v>21</v>
      </c>
      <c r="C41" s="124" t="s">
        <v>1301</v>
      </c>
      <c r="D41" s="54" t="s">
        <v>1301</v>
      </c>
      <c r="E41" s="28">
        <v>1</v>
      </c>
      <c r="F41" s="31" t="s">
        <v>819</v>
      </c>
      <c r="G41" s="31">
        <v>0</v>
      </c>
      <c r="H41" s="52" cm="1">
        <f t="array" ref="H41" xml:space="preserve"> IF( AND( SUMPRODUCT( co_impactYears[2010], --( co_sectors[[#This Row],[sector_id]] = co_impactYears[sector_id] ) ) &gt; 1,  SUMPRODUCT( co_impactYears[2090], --( co_sectors[[#This Row],[sector_id]] = co_impactYears[sector_id] ) ) &gt; 1 ), 1, 0 )</f>
        <v>0</v>
      </c>
      <c r="I41" s="68" t="str" cm="1">
        <f t="array" aca="1" ref="I41" ca="1" xml:space="preserve"> _xlfn.TEXTJOIN( ", ", 1,
  IF( OFFSET( INDIRECT( ADDRESS( ROW( co_variants[[#Headers],[row_id]] ),  COLUMN( co_variants[[#Headers],[sector_id]] ), , , "controlTables" ) ), 1, 0, MAX( co_variants[row_id] ), 1 ) = co_sectors[[#This Row],[sector_id]], co_variants[variant_label], "" )
)</f>
        <v>N/A</v>
      </c>
      <c r="J41" s="68" t="str">
        <f ca="1" xml:space="preserve"> _xlfn.TEXTJOIN( ", ", 1,
  OFFSET( INDIRECT( ADDRESS( ROW( INDEX( co_impactYears[sector_id], MATCH( co_sectors[[#This Row],[sector_id]], co_impactYears[sector_id], 0 ) ) ),  COLUMN( co_impactYears[[#Headers],[sector_id]] ), , , "controlTables" ) ), 0, 1, 1, 4 )
)</f>
        <v>N/A</v>
      </c>
      <c r="K41" s="68" t="str" cm="1">
        <f t="array" aca="1" ref="K41" ca="1" xml:space="preserve">  _xlfn.TEXTJOIN( ", ", 1,
  IF( OFFSET( INDIRECT( ADDRESS( ROW( co_impactTypes[[#Headers],[row_id]] ),  COLUMN( co_impactTypes[[#Headers],[sector_id]] ), , , "controlTables" ) ), 1, 0, MAX( co_impactTypes[row_id] ), 1 ) = co_sectors[[#This Row],[sector_id]], co_impactTypes[impactType_label], "" )
)</f>
        <v>Direct Medical Cost, Lost Days, Mortality</v>
      </c>
      <c r="L41" s="68" cm="1">
        <f t="array" ref="L41" xml:space="preserve"> SUMPRODUCT( --( co_sectors[[#This Row],[sector_id]] = co_variants[sector_id] ) )</f>
        <v>1</v>
      </c>
      <c r="M41" s="68" cm="1">
        <f t="array" ref="M41" xml:space="preserve"> SUMPRODUCT( --( co_sectors[[#This Row],[sector_id]] = co_impactTypes[sector_id] ) )</f>
        <v>3</v>
      </c>
      <c r="N41" s="68" cm="1">
        <f t="array" ref="N41" xml:space="preserve"> IF( INDEX( co_impactYears[N/A], MATCH( 1, --( co_sectors[[#This Row],[sector_id]] = co_impactYears[sector_id] ), 0 ) ) = "N/A", 1, 2 )</f>
        <v>1</v>
      </c>
      <c r="O41" s="68" cm="1">
        <f t="array" ref="O41" xml:space="preserve"> INDEX( co_modelTypes[Number of models], MATCH( 1, --( co_sectors[[#This Row],[modelType]] = co_modelTypes[modelType_id] ), 0 ) ) + IF( co_sectors[[#This Row],[modelType]] = "gcm", 1, 0 )</f>
        <v>9</v>
      </c>
      <c r="P41" s="68" cm="1">
        <f t="array" ref="P41" xml:space="preserve"> INDEX( co_modelTypes[Number of levels], MATCH( 1, --( co_sectors[[#This Row],[modelType]] = co_modelTypes[modelType_id] ), 0 ) )</f>
        <v>7</v>
      </c>
      <c r="Q41" s="68">
        <f xml:space="preserve"> PRODUCT( co_sectors[[#This Row],[Number of variants]:[Number of levels]] )</f>
        <v>189</v>
      </c>
    </row>
    <row r="42" spans="1:21" x14ac:dyDescent="0.3">
      <c r="B42" s="120">
        <f xml:space="preserve"> ROW( co_sectors[[#This Row],[row_id]] ) - ROW( co_sectors[[#Headers],[row_id]] )</f>
        <v>22</v>
      </c>
      <c r="C42" s="121" t="s">
        <v>227</v>
      </c>
      <c r="D42" s="55" t="s">
        <v>228</v>
      </c>
      <c r="E42" s="28">
        <v>1</v>
      </c>
      <c r="F42" s="30" t="s">
        <v>819</v>
      </c>
      <c r="G42" s="30">
        <v>0</v>
      </c>
      <c r="H42" s="52" cm="1">
        <f t="array" ref="H42" xml:space="preserve"> IF( AND( SUMPRODUCT( co_impactYears[2010], --( co_sectors[[#This Row],[sector_id]] = co_impactYears[sector_id] ) ) &gt; 1,  SUMPRODUCT( co_impactYears[2090], --( co_sectors[[#This Row],[sector_id]] = co_impactYears[sector_id] ) ) &gt; 1 ), 1, 0 )</f>
        <v>0</v>
      </c>
      <c r="I42" s="68" t="str" cm="1">
        <f t="array" aca="1" ref="I42" ca="1" xml:space="preserve"> _xlfn.TEXTJOIN( ", ", 1,
  IF( OFFSET( INDIRECT( ADDRESS( ROW( co_variants[[#Headers],[row_id]] ),  COLUMN( co_variants[[#Headers],[sector_id]] ), , , "controlTables" ) ), 1, 0, MAX( co_variants[row_id] ), 1 ) = co_sectors[[#This Row],[sector_id]], co_variants[variant_label], "" )
)</f>
        <v>N/A</v>
      </c>
      <c r="J42" s="68" t="str">
        <f ca="1" xml:space="preserve"> _xlfn.TEXTJOIN( ", ", 1,
  OFFSET( INDIRECT( ADDRESS( ROW( INDEX( co_impactYears[sector_id], MATCH( co_sectors[[#This Row],[sector_id]], co_impactYears[sector_id], 0 ) ) ),  COLUMN( co_impactYears[[#Headers],[sector_id]] ), , , "controlTables" ) ), 0, 1, 1, 4 )
)</f>
        <v>N/A</v>
      </c>
      <c r="K42" s="68" t="str" cm="1">
        <f t="array" aca="1" ref="K42" ca="1" xml:space="preserve">  _xlfn.TEXTJOIN( ", ", 1,
  IF( OFFSET( INDIRECT( ADDRESS( ROW( co_impactTypes[[#Headers],[row_id]] ),  COLUMN( co_impactTypes[[#Headers],[sector_id]] ), , , "controlTables" ) ), 1, 0, MAX( co_impactTypes[row_id] ), 1 ) = co_sectors[[#This Row],[sector_id]], co_impactTypes[impactType_label], "" )
)</f>
        <v>N/A</v>
      </c>
      <c r="L42" s="68" cm="1">
        <f t="array" ref="L42" xml:space="preserve"> SUMPRODUCT( --( co_sectors[[#This Row],[sector_id]] = co_variants[sector_id] ) )</f>
        <v>1</v>
      </c>
      <c r="M42" s="68" cm="1">
        <f t="array" ref="M42" xml:space="preserve"> SUMPRODUCT( --( co_sectors[[#This Row],[sector_id]] = co_impactTypes[sector_id] ) )</f>
        <v>1</v>
      </c>
      <c r="N42" s="68" cm="1">
        <f t="array" ref="N42" xml:space="preserve"> IF( INDEX( co_impactYears[N/A], MATCH( 1, --( co_sectors[[#This Row],[sector_id]] = co_impactYears[sector_id] ), 0 ) ) = "N/A", 1, 2 )</f>
        <v>1</v>
      </c>
      <c r="O42" s="68" cm="1">
        <f t="array" ref="O42" xml:space="preserve"> INDEX( co_modelTypes[Number of models], MATCH( 1, --( co_sectors[[#This Row],[modelType]] = co_modelTypes[modelType_id] ), 0 ) ) + IF( co_sectors[[#This Row],[modelType]] = "gcm", 1, 0 )</f>
        <v>9</v>
      </c>
      <c r="P42" s="68" cm="1">
        <f t="array" ref="P42" xml:space="preserve"> INDEX( co_modelTypes[Number of levels], MATCH( 1, --( co_sectors[[#This Row],[modelType]] = co_modelTypes[modelType_id] ), 0 ) )</f>
        <v>7</v>
      </c>
      <c r="Q42" s="68">
        <f xml:space="preserve"> PRODUCT( co_sectors[[#This Row],[Number of variants]:[Number of levels]] )</f>
        <v>63</v>
      </c>
    </row>
    <row r="43" spans="1:21" ht="21" x14ac:dyDescent="0.3">
      <c r="B43" s="120">
        <f xml:space="preserve"> ROW( co_sectors[[#This Row],[row_id]] ) - ROW( co_sectors[[#Headers],[row_id]] )</f>
        <v>23</v>
      </c>
      <c r="C43" s="121" t="s">
        <v>761</v>
      </c>
      <c r="D43" s="55" t="s">
        <v>761</v>
      </c>
      <c r="E43" s="28">
        <v>1</v>
      </c>
      <c r="F43" s="30" t="s">
        <v>819</v>
      </c>
      <c r="G43" s="30">
        <v>1</v>
      </c>
      <c r="H43" s="52" cm="1">
        <f t="array" ref="H43" xml:space="preserve"> IF( AND( SUMPRODUCT( co_impactYears[2010], --( co_sectors[[#This Row],[sector_id]] = co_impactYears[sector_id] ) ) &gt; 1,  SUMPRODUCT( co_impactYears[2090], --( co_sectors[[#This Row],[sector_id]] = co_impactYears[sector_id] ) ) &gt; 1 ), 1, 0 )</f>
        <v>0</v>
      </c>
      <c r="I43" s="68" t="str" cm="1">
        <f t="array" aca="1" ref="I43" ca="1" xml:space="preserve"> _xlfn.TEXTJOIN( ", ", 1,
  IF( OFFSET( INDIRECT( ADDRESS( ROW( co_variants[[#Headers],[row_id]] ),  COLUMN( co_variants[[#Headers],[sector_id]] ), , , "controlTables" ) ), 1, 0, MAX( co_variants[row_id] ), 1 ) = co_sectors[[#This Row],[sector_id]], co_variants[variant_label], "" )
)</f>
        <v>N/A</v>
      </c>
      <c r="J43" s="68" t="str">
        <f ca="1" xml:space="preserve"> _xlfn.TEXTJOIN( ", ", 1,
  OFFSET( INDIRECT( ADDRESS( ROW( INDEX( co_impactYears[sector_id], MATCH( co_sectors[[#This Row],[sector_id]], co_impactYears[sector_id], 0 ) ) ),  COLUMN( co_impactYears[[#Headers],[sector_id]] ), , , "controlTables" ) ), 0, 1, 1, 4 )
)</f>
        <v>N/A</v>
      </c>
      <c r="K43" s="68" t="str" cm="1">
        <f t="array" aca="1" ref="K43" ca="1" xml:space="preserve">  _xlfn.TEXTJOIN( ", ", 1,
  IF( OFFSET( INDIRECT( ADDRESS( ROW( co_impactTypes[[#Headers],[row_id]] ),  COLUMN( co_impactTypes[[#Headers],[sector_id]] ), , , "controlTables" ) ), 1, 0, MAX( co_impactTypes[row_id] ), 1 ) = co_sectors[[#This Row],[sector_id]], co_impactTypes[impactType_label], "" )
)</f>
        <v>Morbidity, Mortality, Response Costs</v>
      </c>
      <c r="L43" s="68" cm="1">
        <f t="array" ref="L43" xml:space="preserve"> SUMPRODUCT( --( co_sectors[[#This Row],[sector_id]] = co_variants[sector_id] ) )</f>
        <v>1</v>
      </c>
      <c r="M43" s="68" cm="1">
        <f t="array" ref="M43" xml:space="preserve"> SUMPRODUCT( --( co_sectors[[#This Row],[sector_id]] = co_impactTypes[sector_id] ) )</f>
        <v>3</v>
      </c>
      <c r="N43" s="68" cm="1">
        <f t="array" ref="N43" xml:space="preserve"> IF( INDEX( co_impactYears[N/A], MATCH( 1, --( co_sectors[[#This Row],[sector_id]] = co_impactYears[sector_id] ), 0 ) ) = "N/A", 1, 2 )</f>
        <v>1</v>
      </c>
      <c r="O43" s="68" cm="1">
        <f t="array" ref="O43" xml:space="preserve"> INDEX( co_modelTypes[Number of models], MATCH( 1, --( co_sectors[[#This Row],[modelType]] = co_modelTypes[modelType_id] ), 0 ) ) + IF( co_sectors[[#This Row],[modelType]] = "gcm", 1, 0 )</f>
        <v>9</v>
      </c>
      <c r="P43" s="68" cm="1">
        <f t="array" ref="P43" xml:space="preserve"> INDEX( co_modelTypes[Number of levels], MATCH( 1, --( co_sectors[[#This Row],[modelType]] = co_modelTypes[modelType_id] ), 0 ) )</f>
        <v>7</v>
      </c>
      <c r="Q43" s="68">
        <f xml:space="preserve"> PRODUCT( co_sectors[[#This Row],[Number of variants]:[Number of levels]] )</f>
        <v>189</v>
      </c>
    </row>
    <row r="44" spans="1:21" x14ac:dyDescent="0.3">
      <c r="B44" s="120">
        <f xml:space="preserve"> ROW( co_sectors[[#This Row],[row_id]] ) - ROW( co_sectors[[#Headers],[row_id]] )</f>
        <v>24</v>
      </c>
      <c r="C44" s="124" t="s">
        <v>1083</v>
      </c>
      <c r="D44" s="54" t="s">
        <v>1093</v>
      </c>
      <c r="E44" s="28">
        <v>1</v>
      </c>
      <c r="F44" s="31" t="s">
        <v>819</v>
      </c>
      <c r="G44" s="31">
        <v>1</v>
      </c>
      <c r="H44" s="52" cm="1">
        <f t="array" ref="H44" xml:space="preserve"> IF( AND( SUMPRODUCT( co_impactYears[2010], --( co_sectors[[#This Row],[sector_id]] = co_impactYears[sector_id] ) ) &gt; 1,  SUMPRODUCT( co_impactYears[2090], --( co_sectors[[#This Row],[sector_id]] = co_impactYears[sector_id] ) ) &gt; 1 ), 1, 0 )</f>
        <v>0</v>
      </c>
      <c r="I44" s="68" t="str" cm="1">
        <f t="array" aca="1" ref="I44" ca="1" xml:space="preserve"> _xlfn.TEXTJOIN( ", ", 1,
  IF( OFFSET( INDIRECT( ADDRESS( ROW( co_variants[[#Headers],[row_id]] ),  COLUMN( co_variants[[#Headers],[sector_id]] ), , , "controlTables" ) ), 1, 0, MAX( co_variants[row_id] ), 1 ) = co_sectors[[#This Row],[sector_id]], co_variants[variant_label], "" )
)</f>
        <v>N/A</v>
      </c>
      <c r="J44" s="68" t="str">
        <f ca="1" xml:space="preserve"> _xlfn.TEXTJOIN( ", ", 1,
  OFFSET( INDIRECT( ADDRESS( ROW( INDEX( co_impactYears[sector_id], MATCH( co_sectors[[#This Row],[sector_id]], co_impactYears[sector_id], 0 ) ) ),  COLUMN( co_impactYears[[#Headers],[sector_id]] ), , , "controlTables" ) ), 0, 1, 1, 4 )
)</f>
        <v>N/A</v>
      </c>
      <c r="K44" s="68" t="str" cm="1">
        <f t="array" aca="1" ref="K44" ca="1" xml:space="preserve">  _xlfn.TEXTJOIN( ", ", 1,
  IF( OFFSET( INDIRECT( ADDRESS( ROW( co_impactTypes[[#Headers],[row_id]] ),  COLUMN( co_impactTypes[[#Headers],[sector_id]] ), , , "controlTables" ) ), 1, 0, MAX( co_impactTypes[row_id] ), 1 ) = co_sectors[[#This Row],[sector_id]], co_impactTypes[impactType_label], "" )
)</f>
        <v>N/A</v>
      </c>
      <c r="L44" s="68" cm="1">
        <f t="array" ref="L44" xml:space="preserve"> SUMPRODUCT( --( co_sectors[[#This Row],[sector_id]] = co_variants[sector_id] ) )</f>
        <v>1</v>
      </c>
      <c r="M44" s="68" cm="1">
        <f t="array" ref="M44" xml:space="preserve"> SUMPRODUCT( --( co_sectors[[#This Row],[sector_id]] = co_impactTypes[sector_id] ) )</f>
        <v>1</v>
      </c>
      <c r="N44" s="68" cm="1">
        <f t="array" ref="N44" xml:space="preserve"> IF( INDEX( co_impactYears[N/A], MATCH( 1, --( co_sectors[[#This Row],[sector_id]] = co_impactYears[sector_id] ), 0 ) ) = "N/A", 1, 2 )</f>
        <v>1</v>
      </c>
      <c r="O44" s="68" cm="1">
        <f t="array" ref="O44" xml:space="preserve"> INDEX( co_modelTypes[Number of models], MATCH( 1, --( co_sectors[[#This Row],[modelType]] = co_modelTypes[modelType_id] ), 0 ) ) + IF( co_sectors[[#This Row],[modelType]] = "gcm", 1, 0 )</f>
        <v>9</v>
      </c>
      <c r="P44" s="68" cm="1">
        <f t="array" ref="P44" xml:space="preserve"> INDEX( co_modelTypes[Number of levels], MATCH( 1, --( co_sectors[[#This Row],[modelType]] = co_modelTypes[modelType_id] ), 0 ) )</f>
        <v>7</v>
      </c>
      <c r="Q44" s="68">
        <f xml:space="preserve"> PRODUCT( co_sectors[[#This Row],[Number of variants]:[Number of levels]] )</f>
        <v>63</v>
      </c>
    </row>
    <row r="45" spans="1:21" ht="21" x14ac:dyDescent="0.3">
      <c r="B45" s="120">
        <f xml:space="preserve"> ROW( co_sectors[[#This Row],[row_id]] ) - ROW( co_sectors[[#Headers],[row_id]] )</f>
        <v>25</v>
      </c>
      <c r="C45" s="124" t="s">
        <v>89</v>
      </c>
      <c r="D45" s="54" t="s">
        <v>196</v>
      </c>
      <c r="E45" s="28">
        <v>1</v>
      </c>
      <c r="F45" s="30" t="s">
        <v>819</v>
      </c>
      <c r="G45" s="30">
        <v>0</v>
      </c>
      <c r="H45" s="52" cm="1">
        <f t="array" ref="H45" xml:space="preserve"> IF( AND( SUMPRODUCT( co_impactYears[2010], --( co_sectors[[#This Row],[sector_id]] = co_impactYears[sector_id] ) ) &gt; 1,  SUMPRODUCT( co_impactYears[2090], --( co_sectors[[#This Row],[sector_id]] = co_impactYears[sector_id] ) ) &gt; 1 ), 1, 0 )</f>
        <v>1</v>
      </c>
      <c r="I45" s="68" t="str" cm="1">
        <f t="array" aca="1" ref="I45" ca="1" xml:space="preserve"> _xlfn.TEXTJOIN( ", ", 1,
  IF( OFFSET( INDIRECT( ADDRESS( ROW( co_variants[[#Headers],[row_id]] ),  COLUMN( co_variants[[#Headers],[sector_id]] ), , , "controlTables" ) ), 1, 0, MAX( co_variants[row_id] ), 1 ) = co_sectors[[#This Row],[sector_id]], co_variants[variant_label], "" )
)</f>
        <v>N/A</v>
      </c>
      <c r="J45" s="68" t="str">
        <f ca="1" xml:space="preserve"> _xlfn.TEXTJOIN( ", ", 1,
  OFFSET( INDIRECT( ADDRESS( ROW( INDEX( co_impactYears[sector_id], MATCH( co_sectors[[#This Row],[sector_id]], co_impactYears[sector_id], 0 ) ) ),  COLUMN( co_impactYears[[#Headers],[sector_id]] ), , , "controlTables" ) ), 0, 1, 1, 4 )
)</f>
        <v>2010, 2090</v>
      </c>
      <c r="K45" s="68" t="str" cm="1">
        <f t="array" aca="1" ref="K45" ca="1" xml:space="preserve">  _xlfn.TEXTJOIN( ", ", 1,
  IF( OFFSET( INDIRECT( ADDRESS( ROW( co_impactTypes[[#Headers],[row_id]] ),  COLUMN( co_impactTypes[[#Headers],[sector_id]] ), , , "controlTables" ) ), 1, 0, MAX( co_impactTypes[row_id] ), 1 ) = co_sectors[[#This Row],[sector_id]], co_impactTypes[impactType_label], "" )
)</f>
        <v>Alpine Skiing, Cross-Country Skiing, Snowmobiling</v>
      </c>
      <c r="L45" s="68" cm="1">
        <f t="array" ref="L45" xml:space="preserve"> SUMPRODUCT( --( co_sectors[[#This Row],[sector_id]] = co_variants[sector_id] ) )</f>
        <v>1</v>
      </c>
      <c r="M45" s="68" cm="1">
        <f t="array" ref="M45" xml:space="preserve"> SUMPRODUCT( --( co_sectors[[#This Row],[sector_id]] = co_impactTypes[sector_id] ) )</f>
        <v>3</v>
      </c>
      <c r="N45" s="68" cm="1">
        <f t="array" ref="N45" xml:space="preserve"> IF( INDEX( co_impactYears[N/A], MATCH( 1, --( co_sectors[[#This Row],[sector_id]] = co_impactYears[sector_id] ), 0 ) ) = "N/A", 1, 2 )</f>
        <v>2</v>
      </c>
      <c r="O45" s="68" cm="1">
        <f t="array" ref="O45" xml:space="preserve"> INDEX( co_modelTypes[Number of models], MATCH( 1, --( co_sectors[[#This Row],[modelType]] = co_modelTypes[modelType_id] ), 0 ) ) + IF( co_sectors[[#This Row],[modelType]] = "gcm", 1, 0 )</f>
        <v>9</v>
      </c>
      <c r="P45" s="68" cm="1">
        <f t="array" ref="P45" xml:space="preserve"> INDEX( co_modelTypes[Number of levels], MATCH( 1, --( co_sectors[[#This Row],[modelType]] = co_modelTypes[modelType_id] ), 0 ) )</f>
        <v>7</v>
      </c>
      <c r="Q45" s="68">
        <f xml:space="preserve"> PRODUCT( co_sectors[[#This Row],[Number of variants]:[Number of levels]] )</f>
        <v>378</v>
      </c>
    </row>
    <row r="47" spans="1:21" ht="14.5" x14ac:dyDescent="0.35">
      <c r="A47" s="47"/>
      <c r="B47" s="48" t="s">
        <v>1023</v>
      </c>
      <c r="C47" s="48"/>
      <c r="D47" s="48"/>
      <c r="E47" s="48"/>
      <c r="F47" s="48"/>
      <c r="G47" s="48"/>
      <c r="H47" s="48"/>
      <c r="I47" s="48"/>
      <c r="J47" s="48"/>
      <c r="K47" s="48"/>
      <c r="L47" s="48"/>
      <c r="M47" s="48"/>
      <c r="N47" s="48"/>
      <c r="O47" s="48"/>
      <c r="P47" s="48"/>
      <c r="Q47" s="48"/>
      <c r="R47" s="48"/>
      <c r="S47" s="48"/>
      <c r="T47" s="48"/>
      <c r="U47" s="48"/>
    </row>
    <row r="49" spans="2:6" x14ac:dyDescent="0.3">
      <c r="B49" s="60" t="s">
        <v>780</v>
      </c>
      <c r="C49" s="60" t="s">
        <v>219</v>
      </c>
      <c r="D49" s="62" t="s">
        <v>201</v>
      </c>
      <c r="E49" s="31" t="s">
        <v>897</v>
      </c>
      <c r="F49" s="62" t="s">
        <v>898</v>
      </c>
    </row>
    <row r="50" spans="2:6" x14ac:dyDescent="0.3">
      <c r="B50" s="7">
        <f xml:space="preserve"> ROW( co_impactYears[[#This Row],[row_id]] ) - ROW(co_impactYears[[#Headers],[row_id]] )</f>
        <v>1</v>
      </c>
      <c r="C50" s="14" t="s">
        <v>559</v>
      </c>
      <c r="D50" s="62" t="str" cm="1">
        <f t="array" ref="D50" xml:space="preserve"> IF( SUMPRODUCT( --( VALUE( controlTables!E$49 ) = data_scaledImpacts[impactYear] ), --( co_impactYears[[#This Row],[sector_id]] = data_scaledImpacts[sector] ) ) &gt; 0, "", controlTables!D$49  )</f>
        <v>N/A</v>
      </c>
      <c r="E50" s="31" t="str" cm="1">
        <f t="array" ref="E50" xml:space="preserve"> IF( SUMPRODUCT( --( VALUE( controlTables!E$49 ) = data_scaledImpacts[impactYear] ), --( co_impactYears[[#This Row],[sector_id]] = data_scaledImpacts[sector] ) ) &gt; 0, VALUE( controlTables!E$49 ), "" )</f>
        <v/>
      </c>
      <c r="F50" s="62" t="str" cm="1">
        <f t="array" ref="F50" xml:space="preserve"> IF( SUMPRODUCT( --( VALUE( controlTables!F$49 ) = data_scaledImpacts[impactYear] ), --( co_impactYears[[#This Row],[sector_id]] = data_scaledImpacts[sector] ) ) &gt; 0, VALUE( controlTables!F$49 ), "" )</f>
        <v/>
      </c>
    </row>
    <row r="51" spans="2:6" x14ac:dyDescent="0.3">
      <c r="B51" s="7">
        <f xml:space="preserve"> ROW( co_impactYears[[#This Row],[row_id]] ) - ROW(co_impactYears[[#Headers],[row_id]] )</f>
        <v>2</v>
      </c>
      <c r="C51" s="14" t="s">
        <v>1000</v>
      </c>
      <c r="D51" s="62" t="str" cm="1">
        <f t="array" ref="D51" xml:space="preserve"> IF( SUMPRODUCT( --( VALUE( controlTables!E$49 ) = data_scaledImpacts[impactYear] ), --( co_impactYears[[#This Row],[sector_id]] = data_scaledImpacts[sector] ) ) &gt; 0, "", controlTables!D$49  )</f>
        <v>N/A</v>
      </c>
      <c r="E51" s="31" t="str" cm="1">
        <f t="array" ref="E51" xml:space="preserve"> IF( SUMPRODUCT( --( VALUE( controlTables!E$49 ) = data_scaledImpacts[impactYear] ), --( co_impactYears[[#This Row],[sector_id]] = data_scaledImpacts[sector] ) ) &gt; 0, VALUE( controlTables!E$49 ), "" )</f>
        <v/>
      </c>
      <c r="F51" s="62" t="str" cm="1">
        <f t="array" ref="F51" xml:space="preserve"> IF( SUMPRODUCT( --( VALUE( controlTables!F$49 ) = data_scaledImpacts[impactYear] ), --( co_impactYears[[#This Row],[sector_id]] = data_scaledImpacts[sector] ) ) &gt; 0, VALUE( controlTables!F$49 ), "" )</f>
        <v/>
      </c>
    </row>
    <row r="52" spans="2:6" x14ac:dyDescent="0.3">
      <c r="B52" s="7">
        <f xml:space="preserve"> ROW( co_impactYears[[#This Row],[row_id]] ) - ROW(co_impactYears[[#Headers],[row_id]] )</f>
        <v>3</v>
      </c>
      <c r="C52" s="14" t="s">
        <v>1243</v>
      </c>
      <c r="D52" s="62" t="str" cm="1">
        <f t="array" ref="D52" xml:space="preserve"> IF( SUMPRODUCT( --( VALUE( controlTables!E$49 ) = data_scaledImpacts[impactYear] ), --( co_impactYears[[#This Row],[sector_id]] = data_scaledImpacts[sector] ) ) &gt; 0, "", controlTables!D$49  )</f>
        <v>N/A</v>
      </c>
      <c r="E52" s="31" t="str" cm="1">
        <f t="array" ref="E52" xml:space="preserve"> IF( SUMPRODUCT( --( VALUE( controlTables!E$49 ) = data_scaledImpacts[impactYear] ), --( co_impactYears[[#This Row],[sector_id]] = data_scaledImpacts[sector] ) ) &gt; 0, VALUE( controlTables!E$49 ), "" )</f>
        <v/>
      </c>
      <c r="F52" s="62" t="str" cm="1">
        <f t="array" ref="F52" xml:space="preserve"> IF( SUMPRODUCT( --( VALUE( controlTables!F$49 ) = data_scaledImpacts[impactYear] ), --( co_impactYears[[#This Row],[sector_id]] = data_scaledImpacts[sector] ) ) &gt; 0, VALUE( controlTables!F$49 ), "" )</f>
        <v/>
      </c>
    </row>
    <row r="53" spans="2:6" x14ac:dyDescent="0.3">
      <c r="B53" s="7">
        <f xml:space="preserve"> ROW( co_impactYears[[#This Row],[row_id]] ) - ROW(co_impactYears[[#Headers],[row_id]] )</f>
        <v>4</v>
      </c>
      <c r="C53" s="14" t="s">
        <v>1224</v>
      </c>
      <c r="D53" s="62" t="str" cm="1">
        <f t="array" ref="D53" xml:space="preserve"> IF( SUMPRODUCT( --( VALUE( controlTables!E$49 ) = data_scaledImpacts[impactYear] ), --( co_impactYears[[#This Row],[sector_id]] = data_scaledImpacts[sector] ) ) &gt; 0, "", controlTables!D$49  )</f>
        <v>N/A</v>
      </c>
      <c r="E53" s="31" t="str" cm="1">
        <f t="array" ref="E53" xml:space="preserve"> IF( SUMPRODUCT( --( VALUE( controlTables!E$49 ) = data_scaledImpacts[impactYear] ), --( co_impactYears[[#This Row],[sector_id]] = data_scaledImpacts[sector] ) ) &gt; 0, VALUE( controlTables!E$49 ), "" )</f>
        <v/>
      </c>
      <c r="F53" s="62" t="str" cm="1">
        <f t="array" ref="F53" xml:space="preserve"> IF( SUMPRODUCT( --( VALUE( controlTables!F$49 ) = data_scaledImpacts[impactYear] ), --( co_impactYears[[#This Row],[sector_id]] = data_scaledImpacts[sector] ) ) &gt; 0, VALUE( controlTables!F$49 ), "" )</f>
        <v/>
      </c>
    </row>
    <row r="54" spans="2:6" x14ac:dyDescent="0.3">
      <c r="B54" s="7">
        <f xml:space="preserve"> ROW( co_impactYears[[#This Row],[row_id]] ) - ROW(co_impactYears[[#Headers],[row_id]] )</f>
        <v>5</v>
      </c>
      <c r="C54" s="14" t="s">
        <v>1225</v>
      </c>
      <c r="D54" s="62" t="str" cm="1">
        <f t="array" ref="D54" xml:space="preserve"> IF( SUMPRODUCT( --( VALUE( controlTables!E$49 ) = data_scaledImpacts[impactYear] ), --( co_impactYears[[#This Row],[sector_id]] = data_scaledImpacts[sector] ) ) &gt; 0, "", controlTables!D$49  )</f>
        <v>N/A</v>
      </c>
      <c r="E54" s="31" t="str" cm="1">
        <f t="array" ref="E54" xml:space="preserve"> IF( SUMPRODUCT( --( VALUE( controlTables!E$49 ) = data_scaledImpacts[impactYear] ), --( co_impactYears[[#This Row],[sector_id]] = data_scaledImpacts[sector] ) ) &gt; 0, VALUE( controlTables!E$49 ), "" )</f>
        <v/>
      </c>
      <c r="F54" s="62" t="str" cm="1">
        <f t="array" ref="F54" xml:space="preserve"> IF( SUMPRODUCT( --( VALUE( controlTables!F$49 ) = data_scaledImpacts[impactYear] ), --( co_impactYears[[#This Row],[sector_id]] = data_scaledImpacts[sector] ) ) &gt; 0, VALUE( controlTables!F$49 ), "" )</f>
        <v/>
      </c>
    </row>
    <row r="55" spans="2:6" x14ac:dyDescent="0.3">
      <c r="B55" s="7">
        <f xml:space="preserve"> ROW( co_impactYears[[#This Row],[row_id]] ) - ROW(co_impactYears[[#Headers],[row_id]] )</f>
        <v>6</v>
      </c>
      <c r="C55" s="14" t="s">
        <v>1154</v>
      </c>
      <c r="D55" s="62" t="str" cm="1">
        <f t="array" ref="D55" xml:space="preserve"> IF( SUMPRODUCT( --( VALUE( controlTables!E$49 ) = data_scaledImpacts[impactYear] ), --( co_impactYears[[#This Row],[sector_id]] = data_scaledImpacts[sector] ) ) &gt; 0, "", controlTables!D$49  )</f>
        <v>N/A</v>
      </c>
      <c r="E55" s="31" t="str" cm="1">
        <f t="array" ref="E55" xml:space="preserve"> IF( SUMPRODUCT( --( VALUE( controlTables!E$49 ) = data_scaledImpacts[impactYear] ), --( co_impactYears[[#This Row],[sector_id]] = data_scaledImpacts[sector] ) ) &gt; 0, VALUE( controlTables!E$49 ), "" )</f>
        <v/>
      </c>
      <c r="F55" s="62" t="str" cm="1">
        <f t="array" ref="F55" xml:space="preserve"> IF( SUMPRODUCT( --( VALUE( controlTables!F$49 ) = data_scaledImpacts[impactYear] ), --( co_impactYears[[#This Row],[sector_id]] = data_scaledImpacts[sector] ) ) &gt; 0, VALUE( controlTables!F$49 ), "" )</f>
        <v/>
      </c>
    </row>
    <row r="56" spans="2:6" x14ac:dyDescent="0.3">
      <c r="B56" s="7">
        <f xml:space="preserve"> ROW( co_impactYears[[#This Row],[row_id]] ) - ROW(co_impactYears[[#Headers],[row_id]] )</f>
        <v>7</v>
      </c>
      <c r="C56" s="14" t="s">
        <v>86</v>
      </c>
      <c r="D56" s="62" t="str" cm="1">
        <f t="array" ref="D56" xml:space="preserve"> IF( SUMPRODUCT( --( VALUE( controlTables!E$49 ) = data_scaledImpacts[impactYear] ), --( co_impactYears[[#This Row],[sector_id]] = data_scaledImpacts[sector] ) ) &gt; 0, "", controlTables!D$49  )</f>
        <v>N/A</v>
      </c>
      <c r="E56" s="31" t="str" cm="1">
        <f t="array" ref="E56" xml:space="preserve"> IF( SUMPRODUCT( --( VALUE( controlTables!E$49 ) = data_scaledImpacts[impactYear] ), --( co_impactYears[[#This Row],[sector_id]] = data_scaledImpacts[sector] ) ) &gt; 0, VALUE( controlTables!E$49 ), "" )</f>
        <v/>
      </c>
      <c r="F56" s="62" t="str" cm="1">
        <f t="array" ref="F56" xml:space="preserve"> IF( SUMPRODUCT( --( VALUE( controlTables!F$49 ) = data_scaledImpacts[impactYear] ), --( co_impactYears[[#This Row],[sector_id]] = data_scaledImpacts[sector] ) ) &gt; 0, VALUE( controlTables!F$49 ), "" )</f>
        <v/>
      </c>
    </row>
    <row r="57" spans="2:6" x14ac:dyDescent="0.3">
      <c r="B57" s="7">
        <f xml:space="preserve"> ROW( co_impactYears[[#This Row],[row_id]] ) - ROW(co_impactYears[[#Headers],[row_id]] )</f>
        <v>8</v>
      </c>
      <c r="C57" s="14" t="s">
        <v>220</v>
      </c>
      <c r="D57" s="62" t="str" cm="1">
        <f t="array" ref="D57" xml:space="preserve"> IF( SUMPRODUCT( --( VALUE( controlTables!E$49 ) = data_scaledImpacts[impactYear] ), --( co_impactYears[[#This Row],[sector_id]] = data_scaledImpacts[sector] ) ) &gt; 0, "", controlTables!D$49  )</f>
        <v>N/A</v>
      </c>
      <c r="E57" s="31" t="str" cm="1">
        <f t="array" ref="E57" xml:space="preserve"> IF( SUMPRODUCT( --( VALUE( controlTables!E$49 ) = data_scaledImpacts[impactYear] ), --( co_impactYears[[#This Row],[sector_id]] = data_scaledImpacts[sector] ) ) &gt; 0, VALUE( controlTables!E$49 ), "" )</f>
        <v/>
      </c>
      <c r="F57" s="62" t="str" cm="1">
        <f t="array" ref="F57" xml:space="preserve"> IF( SUMPRODUCT( --( VALUE( controlTables!F$49 ) = data_scaledImpacts[impactYear] ), --( co_impactYears[[#This Row],[sector_id]] = data_scaledImpacts[sector] ) ) &gt; 0, VALUE( controlTables!F$49 ), "" )</f>
        <v/>
      </c>
    </row>
    <row r="58" spans="2:6" x14ac:dyDescent="0.3">
      <c r="B58" s="7">
        <f xml:space="preserve"> ROW( co_impactYears[[#This Row],[row_id]] ) - ROW(co_impactYears[[#Headers],[row_id]] )</f>
        <v>9</v>
      </c>
      <c r="C58" s="14" t="s">
        <v>997</v>
      </c>
      <c r="D58" s="62" t="str" cm="1">
        <f t="array" ref="D58" xml:space="preserve"> IF( SUMPRODUCT( --( VALUE( controlTables!E$49 ) = data_scaledImpacts[impactYear] ), --( co_impactYears[[#This Row],[sector_id]] = data_scaledImpacts[sector] ) ) &gt; 0, "", controlTables!D$49  )</f>
        <v>N/A</v>
      </c>
      <c r="E58" s="31" t="str" cm="1">
        <f t="array" ref="E58" xml:space="preserve"> IF( SUMPRODUCT( --( VALUE( controlTables!E$49 ) = data_scaledImpacts[impactYear] ), --( co_impactYears[[#This Row],[sector_id]] = data_scaledImpacts[sector] ) ) &gt; 0, VALUE( controlTables!E$49 ), "" )</f>
        <v/>
      </c>
      <c r="F58" s="62" t="str" cm="1">
        <f t="array" ref="F58" xml:space="preserve"> IF( SUMPRODUCT( --( VALUE( controlTables!F$49 ) = data_scaledImpacts[impactYear] ), --( co_impactYears[[#This Row],[sector_id]] = data_scaledImpacts[sector] ) ) &gt; 0, VALUE( controlTables!F$49 ), "" )</f>
        <v/>
      </c>
    </row>
    <row r="59" spans="2:6" x14ac:dyDescent="0.3">
      <c r="B59" s="7">
        <f xml:space="preserve"> ROW( co_impactYears[[#This Row],[row_id]] ) - ROW(co_impactYears[[#Headers],[row_id]] )</f>
        <v>10</v>
      </c>
      <c r="C59" s="14" t="s">
        <v>17</v>
      </c>
      <c r="D59" s="62" t="str" cm="1">
        <f t="array" ref="D59" xml:space="preserve"> IF( SUMPRODUCT( --( VALUE( controlTables!E$49 ) = data_scaledImpacts[impactYear] ), --( co_impactYears[[#This Row],[sector_id]] = data_scaledImpacts[sector] ) ) &gt; 0, "", controlTables!D$49  )</f>
        <v/>
      </c>
      <c r="E59" s="31" cm="1">
        <f t="array" ref="E59" xml:space="preserve"> IF( SUMPRODUCT( --( VALUE( controlTables!E$49 ) = data_scaledImpacts[impactYear] ), --( co_impactYears[[#This Row],[sector_id]] = data_scaledImpacts[sector] ) ) &gt; 0, VALUE( controlTables!E$49 ), "" )</f>
        <v>2010</v>
      </c>
      <c r="F59" s="62" cm="1">
        <f t="array" ref="F59" xml:space="preserve"> IF( SUMPRODUCT( --( VALUE( controlTables!F$49 ) = data_scaledImpacts[impactYear] ), --( co_impactYears[[#This Row],[sector_id]] = data_scaledImpacts[sector] ) ) &gt; 0, VALUE( controlTables!F$49 ), "" )</f>
        <v>2090</v>
      </c>
    </row>
    <row r="60" spans="2:6" x14ac:dyDescent="0.3">
      <c r="B60" s="7">
        <f xml:space="preserve"> ROW( co_impactYears[[#This Row],[row_id]] ) - ROW(co_impactYears[[#Headers],[row_id]] )</f>
        <v>11</v>
      </c>
      <c r="C60" s="14" t="s">
        <v>221</v>
      </c>
      <c r="D60" s="62" t="str" cm="1">
        <f t="array" ref="D60" xml:space="preserve"> IF( SUMPRODUCT( --( VALUE( controlTables!E$49 ) = data_scaledImpacts[impactYear] ), --( co_impactYears[[#This Row],[sector_id]] = data_scaledImpacts[sector] ) ) &gt; 0, "", controlTables!D$49  )</f>
        <v>N/A</v>
      </c>
      <c r="E60" s="31" t="str" cm="1">
        <f t="array" ref="E60" xml:space="preserve"> IF( SUMPRODUCT( --( VALUE( controlTables!E$49 ) = data_scaledImpacts[impactYear] ), --( co_impactYears[[#This Row],[sector_id]] = data_scaledImpacts[sector] ) ) &gt; 0, VALUE( controlTables!E$49 ), "" )</f>
        <v/>
      </c>
      <c r="F60" s="62" t="str" cm="1">
        <f t="array" ref="F60" xml:space="preserve"> IF( SUMPRODUCT( --( VALUE( controlTables!F$49 ) = data_scaledImpacts[impactYear] ), --( co_impactYears[[#This Row],[sector_id]] = data_scaledImpacts[sector] ) ) &gt; 0, VALUE( controlTables!F$49 ), "" )</f>
        <v/>
      </c>
    </row>
    <row r="61" spans="2:6" x14ac:dyDescent="0.3">
      <c r="B61" s="7">
        <f xml:space="preserve"> ROW( co_impactYears[[#This Row],[row_id]] ) - ROW(co_impactYears[[#Headers],[row_id]] )</f>
        <v>12</v>
      </c>
      <c r="C61" s="14" t="s">
        <v>84</v>
      </c>
      <c r="D61" s="62" t="str" cm="1">
        <f t="array" ref="D61" xml:space="preserve"> IF( SUMPRODUCT( --( VALUE( controlTables!E$49 ) = data_scaledImpacts[impactYear] ), --( co_impactYears[[#This Row],[sector_id]] = data_scaledImpacts[sector] ) ) &gt; 0, "", controlTables!D$49  )</f>
        <v>N/A</v>
      </c>
      <c r="E61" s="31" t="str" cm="1">
        <f t="array" ref="E61" xml:space="preserve"> IF( SUMPRODUCT( --( VALUE( controlTables!E$49 ) = data_scaledImpacts[impactYear] ), --( co_impactYears[[#This Row],[sector_id]] = data_scaledImpacts[sector] ) ) &gt; 0, VALUE( controlTables!E$49 ), "" )</f>
        <v/>
      </c>
      <c r="F61" s="62" t="str" cm="1">
        <f t="array" ref="F61" xml:space="preserve"> IF( SUMPRODUCT( --( VALUE( controlTables!F$49 ) = data_scaledImpacts[impactYear] ), --( co_impactYears[[#This Row],[sector_id]] = data_scaledImpacts[sector] ) ) &gt; 0, VALUE( controlTables!F$49 ), "" )</f>
        <v/>
      </c>
    </row>
    <row r="62" spans="2:6" x14ac:dyDescent="0.3">
      <c r="B62" s="7">
        <f xml:space="preserve"> ROW( co_impactYears[[#This Row],[row_id]] ) - ROW(co_impactYears[[#Headers],[row_id]] )</f>
        <v>13</v>
      </c>
      <c r="C62" s="14" t="s">
        <v>34</v>
      </c>
      <c r="D62" s="62" t="str" cm="1">
        <f t="array" ref="D62" xml:space="preserve"> IF( SUMPRODUCT( --( VALUE( controlTables!E$49 ) = data_scaledImpacts[impactYear] ), --( co_impactYears[[#This Row],[sector_id]] = data_scaledImpacts[sector] ) ) &gt; 0, "", controlTables!D$49  )</f>
        <v>N/A</v>
      </c>
      <c r="E62" s="31" t="str" cm="1">
        <f t="array" ref="E62" xml:space="preserve"> IF( SUMPRODUCT( --( VALUE( controlTables!E$49 ) = data_scaledImpacts[impactYear] ), --( co_impactYears[[#This Row],[sector_id]] = data_scaledImpacts[sector] ) ) &gt; 0, VALUE( controlTables!E$49 ), "" )</f>
        <v/>
      </c>
      <c r="F62" s="62" t="str" cm="1">
        <f t="array" ref="F62" xml:space="preserve"> IF( SUMPRODUCT( --( VALUE( controlTables!F$49 ) = data_scaledImpacts[impactYear] ), --( co_impactYears[[#This Row],[sector_id]] = data_scaledImpacts[sector] ) ) &gt; 0, VALUE( controlTables!F$49 ), "" )</f>
        <v/>
      </c>
    </row>
    <row r="63" spans="2:6" x14ac:dyDescent="0.3">
      <c r="B63" s="7">
        <f xml:space="preserve"> ROW( co_impactYears[[#This Row],[row_id]] ) - ROW(co_impactYears[[#Headers],[row_id]] )</f>
        <v>14</v>
      </c>
      <c r="C63" s="14" t="s">
        <v>223</v>
      </c>
      <c r="D63" s="62" t="str" cm="1">
        <f t="array" ref="D63" xml:space="preserve"> IF( SUMPRODUCT( --( VALUE( controlTables!E$49 ) = data_scaledImpacts[impactYear] ), --( co_impactYears[[#This Row],[sector_id]] = data_scaledImpacts[sector] ) ) &gt; 0, "", controlTables!D$49  )</f>
        <v>N/A</v>
      </c>
      <c r="E63" s="31" t="str" cm="1">
        <f t="array" ref="E63" xml:space="preserve"> IF( SUMPRODUCT( --( VALUE( controlTables!E$49 ) = data_scaledImpacts[impactYear] ), --( co_impactYears[[#This Row],[sector_id]] = data_scaledImpacts[sector] ) ) &gt; 0, VALUE( controlTables!E$49 ), "" )</f>
        <v/>
      </c>
      <c r="F63" s="62" t="str" cm="1">
        <f t="array" ref="F63" xml:space="preserve"> IF( SUMPRODUCT( --( VALUE( controlTables!F$49 ) = data_scaledImpacts[impactYear] ), --( co_impactYears[[#This Row],[sector_id]] = data_scaledImpacts[sector] ) ) &gt; 0, VALUE( controlTables!F$49 ), "" )</f>
        <v/>
      </c>
    </row>
    <row r="64" spans="2:6" x14ac:dyDescent="0.3">
      <c r="B64" s="7">
        <f xml:space="preserve"> ROW( co_impactYears[[#This Row],[row_id]] ) - ROW(co_impactYears[[#Headers],[row_id]] )</f>
        <v>15</v>
      </c>
      <c r="C64" s="14" t="s">
        <v>1307</v>
      </c>
      <c r="D64" s="62" t="str" cm="1">
        <f t="array" ref="D64" xml:space="preserve"> IF( SUMPRODUCT( --( VALUE( controlTables!E$49 ) = data_scaledImpacts[impactYear] ), --( co_impactYears[[#This Row],[sector_id]] = data_scaledImpacts[sector] ) ) &gt; 0, "", controlTables!D$49  )</f>
        <v>N/A</v>
      </c>
      <c r="E64" s="31" t="str" cm="1">
        <f t="array" ref="E64" xml:space="preserve"> IF( SUMPRODUCT( --( VALUE( controlTables!E$49 ) = data_scaledImpacts[impactYear] ), --( co_impactYears[[#This Row],[sector_id]] = data_scaledImpacts[sector] ) ) &gt; 0, VALUE( controlTables!E$49 ), "" )</f>
        <v/>
      </c>
      <c r="F64" s="62" t="str" cm="1">
        <f t="array" ref="F64" xml:space="preserve"> IF( SUMPRODUCT( --( VALUE( controlTables!F$49 ) = data_scaledImpacts[impactYear] ), --( co_impactYears[[#This Row],[sector_id]] = data_scaledImpacts[sector] ) ) &gt; 0, VALUE( controlTables!F$49 ), "" )</f>
        <v/>
      </c>
    </row>
    <row r="65" spans="1:21" x14ac:dyDescent="0.3">
      <c r="B65" s="7">
        <f xml:space="preserve"> ROW( co_impactYears[[#This Row],[row_id]] ) - ROW(co_impactYears[[#Headers],[row_id]] )</f>
        <v>16</v>
      </c>
      <c r="C65" s="14" t="s">
        <v>209</v>
      </c>
      <c r="D65" s="62" t="str" cm="1">
        <f t="array" ref="D65" xml:space="preserve"> IF( SUMPRODUCT( --( VALUE( controlTables!E$49 ) = data_scaledImpacts[impactYear] ), --( co_impactYears[[#This Row],[sector_id]] = data_scaledImpacts[sector] ) ) &gt; 0, "", controlTables!D$49  )</f>
        <v>N/A</v>
      </c>
      <c r="E65" s="31" t="str" cm="1">
        <f t="array" ref="E65" xml:space="preserve"> IF( SUMPRODUCT( --( VALUE( controlTables!E$49 ) = data_scaledImpacts[impactYear] ), --( co_impactYears[[#This Row],[sector_id]] = data_scaledImpacts[sector] ) ) &gt; 0, VALUE( controlTables!E$49 ), "" )</f>
        <v/>
      </c>
      <c r="F65" s="62" t="str" cm="1">
        <f t="array" ref="F65" xml:space="preserve"> IF( SUMPRODUCT( --( VALUE( controlTables!F$49 ) = data_scaledImpacts[impactYear] ), --( co_impactYears[[#This Row],[sector_id]] = data_scaledImpacts[sector] ) ) &gt; 0, VALUE( controlTables!F$49 ), "" )</f>
        <v/>
      </c>
    </row>
    <row r="66" spans="1:21" x14ac:dyDescent="0.3">
      <c r="B66" s="7">
        <f xml:space="preserve"> ROW( co_impactYears[[#This Row],[row_id]] ) - ROW(co_impactYears[[#Headers],[row_id]] )</f>
        <v>17</v>
      </c>
      <c r="C66" s="14" t="s">
        <v>216</v>
      </c>
      <c r="D66" s="62" t="str" cm="1">
        <f t="array" ref="D66" xml:space="preserve"> IF( SUMPRODUCT( --( VALUE( controlTables!E$49 ) = data_scaledImpacts[impactYear] ), --( co_impactYears[[#This Row],[sector_id]] = data_scaledImpacts[sector] ) ) &gt; 0, "", controlTables!D$49  )</f>
        <v>N/A</v>
      </c>
      <c r="E66" s="31" t="str" cm="1">
        <f t="array" ref="E66" xml:space="preserve"> IF( SUMPRODUCT( --( VALUE( controlTables!E$49 ) = data_scaledImpacts[impactYear] ), --( co_impactYears[[#This Row],[sector_id]] = data_scaledImpacts[sector] ) ) &gt; 0, VALUE( controlTables!E$49 ), "" )</f>
        <v/>
      </c>
      <c r="F66" s="62" t="str" cm="1">
        <f t="array" ref="F66" xml:space="preserve"> IF( SUMPRODUCT( --( VALUE( controlTables!F$49 ) = data_scaledImpacts[impactYear] ), --( co_impactYears[[#This Row],[sector_id]] = data_scaledImpacts[sector] ) ) &gt; 0, VALUE( controlTables!F$49 ), "" )</f>
        <v/>
      </c>
    </row>
    <row r="67" spans="1:21" x14ac:dyDescent="0.3">
      <c r="B67" s="7">
        <f xml:space="preserve"> ROW( co_impactYears[[#This Row],[row_id]] ) - ROW(co_impactYears[[#Headers],[row_id]] )</f>
        <v>18</v>
      </c>
      <c r="C67" s="14" t="s">
        <v>85</v>
      </c>
      <c r="D67" s="62" t="str" cm="1">
        <f t="array" ref="D67" xml:space="preserve"> IF( SUMPRODUCT( --( VALUE( controlTables!E$49 ) = data_scaledImpacts[impactYear] ), --( co_impactYears[[#This Row],[sector_id]] = data_scaledImpacts[sector] ) ) &gt; 0, "", controlTables!D$49  )</f>
        <v/>
      </c>
      <c r="E67" s="31" cm="1">
        <f t="array" ref="E67" xml:space="preserve"> IF( SUMPRODUCT( --( VALUE( controlTables!E$49 ) = data_scaledImpacts[impactYear] ), --( co_impactYears[[#This Row],[sector_id]] = data_scaledImpacts[sector] ) ) &gt; 0, VALUE( controlTables!E$49 ), "" )</f>
        <v>2010</v>
      </c>
      <c r="F67" s="62" cm="1">
        <f t="array" ref="F67" xml:space="preserve"> IF( SUMPRODUCT( --( VALUE( controlTables!F$49 ) = data_scaledImpacts[impactYear] ), --( co_impactYears[[#This Row],[sector_id]] = data_scaledImpacts[sector] ) ) &gt; 0, VALUE( controlTables!F$49 ), "" )</f>
        <v>2090</v>
      </c>
    </row>
    <row r="68" spans="1:21" x14ac:dyDescent="0.3">
      <c r="B68" s="7">
        <f xml:space="preserve"> ROW( co_impactYears[[#This Row],[row_id]] ) - ROW(co_impactYears[[#Headers],[row_id]] )</f>
        <v>19</v>
      </c>
      <c r="C68" s="14" t="s">
        <v>225</v>
      </c>
      <c r="D68" s="62" t="str" cm="1">
        <f t="array" ref="D68" xml:space="preserve"> IF( SUMPRODUCT( --( VALUE( controlTables!E$49 ) = data_scaledImpacts[impactYear] ), --( co_impactYears[[#This Row],[sector_id]] = data_scaledImpacts[sector] ) ) &gt; 0, "", controlTables!D$49  )</f>
        <v>N/A</v>
      </c>
      <c r="E68" s="31" t="str" cm="1">
        <f t="array" ref="E68" xml:space="preserve"> IF( SUMPRODUCT( --( VALUE( controlTables!E$49 ) = data_scaledImpacts[impactYear] ), --( co_impactYears[[#This Row],[sector_id]] = data_scaledImpacts[sector] ) ) &gt; 0, VALUE( controlTables!E$49 ), "" )</f>
        <v/>
      </c>
      <c r="F68" s="62" t="str" cm="1">
        <f t="array" ref="F68" xml:space="preserve"> IF( SUMPRODUCT( --( VALUE( controlTables!F$49 ) = data_scaledImpacts[impactYear] ), --( co_impactYears[[#This Row],[sector_id]] = data_scaledImpacts[sector] ) ) &gt; 0, VALUE( controlTables!F$49 ), "" )</f>
        <v/>
      </c>
    </row>
    <row r="69" spans="1:21" x14ac:dyDescent="0.3">
      <c r="B69" s="7">
        <f xml:space="preserve"> ROW( co_impactYears[[#This Row],[row_id]] ) - ROW(co_impactYears[[#Headers],[row_id]] )</f>
        <v>20</v>
      </c>
      <c r="C69" s="14" t="s">
        <v>978</v>
      </c>
      <c r="D69" s="62" t="str" cm="1">
        <f t="array" ref="D69" xml:space="preserve"> IF( SUMPRODUCT( --( VALUE( controlTables!E$49 ) = data_scaledImpacts[impactYear] ), --( co_impactYears[[#This Row],[sector_id]] = data_scaledImpacts[sector] ) ) &gt; 0, "", controlTables!D$49  )</f>
        <v>N/A</v>
      </c>
      <c r="E69" s="31" t="str" cm="1">
        <f t="array" ref="E69" xml:space="preserve"> IF( SUMPRODUCT( --( VALUE( controlTables!E$49 ) = data_scaledImpacts[impactYear] ), --( co_impactYears[[#This Row],[sector_id]] = data_scaledImpacts[sector] ) ) &gt; 0, VALUE( controlTables!E$49 ), "" )</f>
        <v/>
      </c>
      <c r="F69" s="62" t="str" cm="1">
        <f t="array" ref="F69" xml:space="preserve"> IF( SUMPRODUCT( --( VALUE( controlTables!F$49 ) = data_scaledImpacts[impactYear] ), --( co_impactYears[[#This Row],[sector_id]] = data_scaledImpacts[sector] ) ) &gt; 0, VALUE( controlTables!F$49 ), "" )</f>
        <v/>
      </c>
    </row>
    <row r="70" spans="1:21" x14ac:dyDescent="0.3">
      <c r="B70" s="7">
        <f xml:space="preserve"> ROW( co_impactYears[[#This Row],[row_id]] ) - ROW(co_impactYears[[#Headers],[row_id]] )</f>
        <v>21</v>
      </c>
      <c r="C70" s="14" t="s">
        <v>1301</v>
      </c>
      <c r="D70" s="62" t="str" cm="1">
        <f t="array" ref="D70" xml:space="preserve"> IF( SUMPRODUCT( --( VALUE( controlTables!E$49 ) = data_scaledImpacts[impactYear] ), --( co_impactYears[[#This Row],[sector_id]] = data_scaledImpacts[sector] ) ) &gt; 0, "", controlTables!D$49  )</f>
        <v>N/A</v>
      </c>
      <c r="E70" s="31" t="str" cm="1">
        <f t="array" ref="E70" xml:space="preserve"> IF( SUMPRODUCT( --( VALUE( controlTables!E$49 ) = data_scaledImpacts[impactYear] ), --( co_impactYears[[#This Row],[sector_id]] = data_scaledImpacts[sector] ) ) &gt; 0, VALUE( controlTables!E$49 ), "" )</f>
        <v/>
      </c>
      <c r="F70" s="62" t="str" cm="1">
        <f t="array" ref="F70" xml:space="preserve"> IF( SUMPRODUCT( --( VALUE( controlTables!F$49 ) = data_scaledImpacts[impactYear] ), --( co_impactYears[[#This Row],[sector_id]] = data_scaledImpacts[sector] ) ) &gt; 0, VALUE( controlTables!F$49 ), "" )</f>
        <v/>
      </c>
    </row>
    <row r="71" spans="1:21" x14ac:dyDescent="0.3">
      <c r="B71" s="7">
        <f xml:space="preserve"> ROW( co_impactYears[[#This Row],[row_id]] ) - ROW(co_impactYears[[#Headers],[row_id]] )</f>
        <v>22</v>
      </c>
      <c r="C71" s="14" t="s">
        <v>227</v>
      </c>
      <c r="D71" s="62" t="str" cm="1">
        <f t="array" ref="D71" xml:space="preserve"> IF( SUMPRODUCT( --( VALUE( controlTables!E$49 ) = data_scaledImpacts[impactYear] ), --( co_impactYears[[#This Row],[sector_id]] = data_scaledImpacts[sector] ) ) &gt; 0, "", controlTables!D$49  )</f>
        <v>N/A</v>
      </c>
      <c r="E71" s="31" t="str" cm="1">
        <f t="array" ref="E71" xml:space="preserve"> IF( SUMPRODUCT( --( VALUE( controlTables!E$49 ) = data_scaledImpacts[impactYear] ), --( co_impactYears[[#This Row],[sector_id]] = data_scaledImpacts[sector] ) ) &gt; 0, VALUE( controlTables!E$49 ), "" )</f>
        <v/>
      </c>
      <c r="F71" s="62" t="str" cm="1">
        <f t="array" ref="F71" xml:space="preserve"> IF( SUMPRODUCT( --( VALUE( controlTables!F$49 ) = data_scaledImpacts[impactYear] ), --( co_impactYears[[#This Row],[sector_id]] = data_scaledImpacts[sector] ) ) &gt; 0, VALUE( controlTables!F$49 ), "" )</f>
        <v/>
      </c>
    </row>
    <row r="72" spans="1:21" x14ac:dyDescent="0.3">
      <c r="B72" s="7">
        <f xml:space="preserve"> ROW( co_impactYears[[#This Row],[row_id]] ) - ROW(co_impactYears[[#Headers],[row_id]] )</f>
        <v>23</v>
      </c>
      <c r="C72" s="14" t="s">
        <v>761</v>
      </c>
      <c r="D72" s="62" t="str" cm="1">
        <f t="array" ref="D72" xml:space="preserve"> IF( SUMPRODUCT( --( VALUE( controlTables!E$49 ) = data_scaledImpacts[impactYear] ), --( co_impactYears[[#This Row],[sector_id]] = data_scaledImpacts[sector] ) ) &gt; 0, "", controlTables!D$49  )</f>
        <v>N/A</v>
      </c>
      <c r="E72" s="31" t="str" cm="1">
        <f t="array" ref="E72" xml:space="preserve"> IF( SUMPRODUCT( --( VALUE( controlTables!E$49 ) = data_scaledImpacts[impactYear] ), --( co_impactYears[[#This Row],[sector_id]] = data_scaledImpacts[sector] ) ) &gt; 0, VALUE( controlTables!E$49 ), "" )</f>
        <v/>
      </c>
      <c r="F72" s="62" t="str" cm="1">
        <f t="array" ref="F72" xml:space="preserve"> IF( SUMPRODUCT( --( VALUE( controlTables!F$49 ) = data_scaledImpacts[impactYear] ), --( co_impactYears[[#This Row],[sector_id]] = data_scaledImpacts[sector] ) ) &gt; 0, VALUE( controlTables!F$49 ), "" )</f>
        <v/>
      </c>
    </row>
    <row r="73" spans="1:21" x14ac:dyDescent="0.3">
      <c r="B73" s="7">
        <f xml:space="preserve"> ROW( co_impactYears[[#This Row],[row_id]] ) - ROW(co_impactYears[[#Headers],[row_id]] )</f>
        <v>24</v>
      </c>
      <c r="C73" s="14" t="s">
        <v>1083</v>
      </c>
      <c r="D73" s="62" t="str" cm="1">
        <f t="array" ref="D73" xml:space="preserve"> IF( SUMPRODUCT( --( VALUE( controlTables!E$49 ) = data_scaledImpacts[impactYear] ), --( co_impactYears[[#This Row],[sector_id]] = data_scaledImpacts[sector] ) ) &gt; 0, "", controlTables!D$49  )</f>
        <v>N/A</v>
      </c>
      <c r="E73" s="31" t="str" cm="1">
        <f t="array" ref="E73" xml:space="preserve"> IF( SUMPRODUCT( --( VALUE( controlTables!E$49 ) = data_scaledImpacts[impactYear] ), --( co_impactYears[[#This Row],[sector_id]] = data_scaledImpacts[sector] ) ) &gt; 0, VALUE( controlTables!E$49 ), "" )</f>
        <v/>
      </c>
      <c r="F73" s="62" t="str" cm="1">
        <f t="array" ref="F73" xml:space="preserve"> IF( SUMPRODUCT( --( VALUE( controlTables!F$49 ) = data_scaledImpacts[impactYear] ), --( co_impactYears[[#This Row],[sector_id]] = data_scaledImpacts[sector] ) ) &gt; 0, VALUE( controlTables!F$49 ), "" )</f>
        <v/>
      </c>
    </row>
    <row r="74" spans="1:21" x14ac:dyDescent="0.3">
      <c r="B74" s="7">
        <f xml:space="preserve"> ROW( co_impactYears[[#This Row],[row_id]] ) - ROW(co_impactYears[[#Headers],[row_id]] )</f>
        <v>25</v>
      </c>
      <c r="C74" s="14" t="s">
        <v>89</v>
      </c>
      <c r="D74" s="62" t="str" cm="1">
        <f t="array" ref="D74" xml:space="preserve"> IF( SUMPRODUCT( --( VALUE( controlTables!E$49 ) = data_scaledImpacts[impactYear] ), --( co_impactYears[[#This Row],[sector_id]] = data_scaledImpacts[sector] ) ) &gt; 0, "", controlTables!D$49  )</f>
        <v/>
      </c>
      <c r="E74" s="31" cm="1">
        <f t="array" ref="E74" xml:space="preserve"> IF( SUMPRODUCT( --( VALUE( controlTables!E$49 ) = data_scaledImpacts[impactYear] ), --( co_impactYears[[#This Row],[sector_id]] = data_scaledImpacts[sector] ) ) &gt; 0, VALUE( controlTables!E$49 ), "" )</f>
        <v>2010</v>
      </c>
      <c r="F74" s="62" cm="1">
        <f t="array" ref="F74" xml:space="preserve"> IF( SUMPRODUCT( --( VALUE( controlTables!F$49 ) = data_scaledImpacts[impactYear] ), --( co_impactYears[[#This Row],[sector_id]] = data_scaledImpacts[sector] ) ) &gt; 0, VALUE( controlTables!F$49 ), "" )</f>
        <v>2090</v>
      </c>
    </row>
    <row r="76" spans="1:21" ht="14.5" x14ac:dyDescent="0.35">
      <c r="A76" s="47"/>
      <c r="B76" s="48" t="s">
        <v>1233</v>
      </c>
      <c r="C76" s="48"/>
      <c r="D76" s="48"/>
      <c r="E76" s="48"/>
      <c r="F76" s="48"/>
      <c r="G76" s="48"/>
      <c r="H76" s="48"/>
      <c r="I76" s="48"/>
      <c r="J76" s="48"/>
      <c r="K76" s="48"/>
      <c r="L76" s="48"/>
      <c r="M76" s="48"/>
      <c r="N76" s="48"/>
      <c r="O76" s="48"/>
      <c r="P76" s="48"/>
      <c r="Q76" s="48"/>
      <c r="R76" s="48"/>
      <c r="S76" s="48"/>
      <c r="T76" s="48"/>
      <c r="U76" s="48"/>
    </row>
    <row r="77" spans="1:21" x14ac:dyDescent="0.3">
      <c r="B77" s="5" t="s">
        <v>1234</v>
      </c>
      <c r="C77" s="5"/>
      <c r="D77" s="5"/>
      <c r="E77" s="22"/>
      <c r="F77" s="5"/>
      <c r="G77" s="5"/>
      <c r="H77" s="5"/>
      <c r="I77" s="5"/>
      <c r="J77" s="5"/>
      <c r="K77" s="5"/>
    </row>
    <row r="78" spans="1:21" x14ac:dyDescent="0.3">
      <c r="B78" s="5" t="s">
        <v>1235</v>
      </c>
      <c r="C78" s="5"/>
      <c r="D78" s="5"/>
      <c r="E78" s="22"/>
      <c r="F78" s="5"/>
      <c r="G78" s="5"/>
      <c r="H78" s="5"/>
      <c r="I78" s="5"/>
      <c r="J78" s="5"/>
      <c r="K78" s="5"/>
    </row>
    <row r="79" spans="1:21" x14ac:dyDescent="0.3">
      <c r="B79" s="5" t="s">
        <v>1236</v>
      </c>
      <c r="C79" s="5"/>
      <c r="D79" s="5"/>
      <c r="E79" s="22"/>
      <c r="F79" s="5"/>
      <c r="G79" s="5"/>
      <c r="H79" s="5"/>
      <c r="I79" s="5"/>
      <c r="J79" s="5"/>
      <c r="K79" s="5"/>
    </row>
    <row r="80" spans="1:21" ht="14.5" x14ac:dyDescent="0.35">
      <c r="B80" s="78" t="s">
        <v>780</v>
      </c>
      <c r="C80" s="78" t="s">
        <v>219</v>
      </c>
      <c r="D80" s="78" t="s">
        <v>1237</v>
      </c>
      <c r="E80" s="78" t="s">
        <v>1238</v>
      </c>
      <c r="F80" s="81" t="s">
        <v>1239</v>
      </c>
      <c r="G80" s="62" t="s">
        <v>1012</v>
      </c>
      <c r="H80" s="62" t="s">
        <v>1013</v>
      </c>
      <c r="I80" s="60" t="s">
        <v>796</v>
      </c>
      <c r="J80" s="62" t="s">
        <v>914</v>
      </c>
      <c r="K80" s="60" t="s">
        <v>1257</v>
      </c>
      <c r="L80" s="8"/>
      <c r="M80" s="8"/>
      <c r="N80" s="8"/>
      <c r="O80" s="8"/>
      <c r="P80" s="8"/>
      <c r="Q80" s="8"/>
    </row>
    <row r="81" spans="2:15" ht="14.5" x14ac:dyDescent="0.35">
      <c r="B81" s="7">
        <f xml:space="preserve"> ROW( co_variants[[#This Row],[row_id]] ) - ROW( co_variants[[#Headers],[row_id]] )</f>
        <v>1</v>
      </c>
      <c r="C81" s="14" t="s">
        <v>559</v>
      </c>
      <c r="D81" s="57" t="s">
        <v>773</v>
      </c>
      <c r="E81" s="83">
        <v>2011</v>
      </c>
      <c r="F81" s="83">
        <v>2011</v>
      </c>
      <c r="G81" s="58">
        <v>1</v>
      </c>
      <c r="H81" s="58">
        <v>1</v>
      </c>
      <c r="I81" s="82" t="str">
        <f xml:space="preserve"> INDEX( co_impactTypes[damageAdjName], MATCH( co_variants[[#This Row],[sector_id]], co_impactTypes[sector_id], 0 ) ) &amp;
   IF( co_variants[[#This Row],[sector_id]] = "Roads", IF( co_variants[[#This Row],[variant_id_excel]] = "Proactive", "_proactive", "_other" ), "" )</f>
        <v>none</v>
      </c>
      <c r="J81" s="65" cm="1">
        <f t="array" ref="J81" xml:space="preserve"> --( SUMPRODUCT( --( co_variants[[#This Row],[sector_id]] = data_scaledImpacts[sector] ), --( co_variants[[#This Row],[variant_id_excel]] = data_scaledImpacts[variant] ) ) &gt; 1 )</f>
        <v>1</v>
      </c>
      <c r="K81" s="65" cm="1">
        <f t="array" ref="K81" xml:space="preserve"> --( SUMPRODUCT( --( co_impactTypes[sector_id] = co_variants[[#This Row],[sector_id]] ) ) &gt; 1 )</f>
        <v>1</v>
      </c>
      <c r="L81"/>
      <c r="M81"/>
      <c r="N81"/>
      <c r="O81"/>
    </row>
    <row r="82" spans="2:15" ht="14.5" x14ac:dyDescent="0.35">
      <c r="B82" s="7">
        <f xml:space="preserve"> ROW( co_variants[[#This Row],[row_id]] ) - ROW( co_variants[[#Headers],[row_id]] )</f>
        <v>2</v>
      </c>
      <c r="C82" s="14" t="s">
        <v>559</v>
      </c>
      <c r="D82" s="57" t="s">
        <v>940</v>
      </c>
      <c r="E82" s="83">
        <v>2040</v>
      </c>
      <c r="F82" s="83">
        <v>2040</v>
      </c>
      <c r="G82" s="58">
        <v>0</v>
      </c>
      <c r="H82" s="58">
        <v>0</v>
      </c>
      <c r="I82" s="82" t="str">
        <f xml:space="preserve"> INDEX( co_impactTypes[damageAdjName], MATCH( co_variants[[#This Row],[sector_id]], co_impactTypes[sector_id], 0 ) ) &amp;
   IF( co_variants[[#This Row],[sector_id]] = "Roads", IF( co_variants[[#This Row],[variant_id_excel]] = "Proactive", "_proactive", "_other" ), "" )</f>
        <v>none</v>
      </c>
      <c r="J82" s="65" cm="1">
        <f t="array" ref="J82" xml:space="preserve"> --( SUMPRODUCT( --( co_variants[[#This Row],[sector_id]] = data_scaledImpacts[sector] ), --( co_variants[[#This Row],[variant_id_excel]] = data_scaledImpacts[variant] ) ) &gt; 1 )</f>
        <v>1</v>
      </c>
      <c r="K82" s="65" cm="1">
        <f t="array" ref="K82" xml:space="preserve"> --( SUMPRODUCT( --( co_impactTypes[sector_id] = co_variants[[#This Row],[sector_id]] ) ) &gt; 1 )</f>
        <v>1</v>
      </c>
      <c r="L82"/>
      <c r="M82"/>
      <c r="N82"/>
      <c r="O82"/>
    </row>
    <row r="83" spans="2:15" ht="14.5" x14ac:dyDescent="0.35">
      <c r="B83" s="7">
        <f xml:space="preserve"> ROW( co_variants[[#This Row],[row_id]] ) - ROW( co_variants[[#Headers],[row_id]] )</f>
        <v>3</v>
      </c>
      <c r="C83" s="14" t="s">
        <v>1000</v>
      </c>
      <c r="D83" s="57" t="s">
        <v>201</v>
      </c>
      <c r="E83" s="83" t="s">
        <v>922</v>
      </c>
      <c r="F83" s="83" t="s">
        <v>201</v>
      </c>
      <c r="G83" s="58">
        <v>1</v>
      </c>
      <c r="H83" s="58">
        <v>0</v>
      </c>
      <c r="I83" s="82" t="str">
        <f xml:space="preserve"> INDEX( co_impactTypes[damageAdjName], MATCH( co_variants[[#This Row],[sector_id]], co_impactTypes[sector_id], 0 ) ) &amp;
   IF( co_variants[[#This Row],[sector_id]] = "Roads", IF( co_variants[[#This Row],[variant_id_excel]] = "Proactive", "_proactive", "_other" ), "" )</f>
        <v>none</v>
      </c>
      <c r="J83" s="65" cm="1">
        <f t="array" ref="J83" xml:space="preserve"> --( SUMPRODUCT( --( co_variants[[#This Row],[sector_id]] = data_scaledImpacts[sector] ), --( co_variants[[#This Row],[variant_id_excel]] = data_scaledImpacts[variant] ) ) &gt; 1 )</f>
        <v>1</v>
      </c>
      <c r="K83" s="65" cm="1">
        <f t="array" ref="K83" xml:space="preserve"> --( SUMPRODUCT( --( co_impactTypes[sector_id] = co_variants[[#This Row],[sector_id]] ) ) &gt; 1 )</f>
        <v>0</v>
      </c>
      <c r="L83"/>
      <c r="M83"/>
      <c r="N83"/>
      <c r="O83"/>
    </row>
    <row r="84" spans="2:15" ht="14.5" x14ac:dyDescent="0.35">
      <c r="B84" s="7">
        <f xml:space="preserve"> ROW( co_variants[[#This Row],[row_id]] ) - ROW( co_variants[[#Headers],[row_id]] )</f>
        <v>4</v>
      </c>
      <c r="C84" s="14" t="s">
        <v>1243</v>
      </c>
      <c r="D84" s="57" t="s">
        <v>1254</v>
      </c>
      <c r="E84" s="83" t="s">
        <v>1244</v>
      </c>
      <c r="F84" s="112" t="s">
        <v>1244</v>
      </c>
      <c r="G84" s="97">
        <v>1</v>
      </c>
      <c r="H84" s="97">
        <v>1</v>
      </c>
      <c r="I84" s="82" t="str">
        <f xml:space="preserve"> INDEX( co_impactTypes[damageAdjName], MATCH( co_variants[[#This Row],[sector_id]], co_impactTypes[sector_id], 0 ) ) &amp;
   IF( co_variants[[#This Row],[sector_id]] = "Roads", IF( co_variants[[#This Row],[variant_id_excel]] = "Proactive", "_proactive", "_other" ), "" )</f>
        <v>none</v>
      </c>
      <c r="J84" s="65" cm="1">
        <f t="array" ref="J84" xml:space="preserve"> --( SUMPRODUCT( --( co_variants[[#This Row],[sector_id]] = data_scaledImpacts[sector] ), --( co_variants[[#This Row],[variant_id_excel]] = data_scaledImpacts[variant] ) ) &gt; 1 )</f>
        <v>1</v>
      </c>
      <c r="K84" s="65" cm="1">
        <f t="array" ref="K84" xml:space="preserve"> --( SUMPRODUCT( --( co_impactTypes[sector_id] = co_variants[[#This Row],[sector_id]] ) ) &gt; 1 )</f>
        <v>0</v>
      </c>
      <c r="L84"/>
      <c r="M84"/>
      <c r="N84"/>
      <c r="O84"/>
    </row>
    <row r="85" spans="2:15" ht="14.5" x14ac:dyDescent="0.35">
      <c r="B85" s="7">
        <f xml:space="preserve"> ROW( co_variants[[#This Row],[row_id]] ) - ROW( co_variants[[#Headers],[row_id]] )</f>
        <v>5</v>
      </c>
      <c r="C85" s="14" t="s">
        <v>1243</v>
      </c>
      <c r="D85" s="57" t="s">
        <v>1255</v>
      </c>
      <c r="E85" s="83" t="s">
        <v>1262</v>
      </c>
      <c r="F85" s="112" t="s">
        <v>1252</v>
      </c>
      <c r="G85" s="97">
        <v>0</v>
      </c>
      <c r="H85" s="97">
        <v>0</v>
      </c>
      <c r="I85" s="82" t="str">
        <f xml:space="preserve"> INDEX( co_impactTypes[damageAdjName], MATCH( co_variants[[#This Row],[sector_id]], co_impactTypes[sector_id], 0 ) ) &amp;
   IF( co_variants[[#This Row],[sector_id]] = "Roads", IF( co_variants[[#This Row],[variant_id_excel]] = "Proactive", "_proactive", "_other" ), "" )</f>
        <v>none</v>
      </c>
      <c r="J85" s="65" cm="1">
        <f t="array" ref="J85" xml:space="preserve"> --( SUMPRODUCT( --( co_variants[[#This Row],[sector_id]] = data_scaledImpacts[sector] ), --( co_variants[[#This Row],[variant_id_excel]] = data_scaledImpacts[variant] ) ) &gt; 1 )</f>
        <v>1</v>
      </c>
      <c r="K85" s="65" cm="1">
        <f t="array" ref="K85" xml:space="preserve"> --( SUMPRODUCT( --( co_impactTypes[sector_id] = co_variants[[#This Row],[sector_id]] ) ) &gt; 1 )</f>
        <v>0</v>
      </c>
      <c r="L85"/>
      <c r="M85"/>
      <c r="N85"/>
      <c r="O85"/>
    </row>
    <row r="86" spans="2:15" ht="14.5" x14ac:dyDescent="0.35">
      <c r="B86" s="7">
        <f xml:space="preserve"> ROW( co_variants[[#This Row],[row_id]] ) - ROW( co_variants[[#Headers],[row_id]] )</f>
        <v>6</v>
      </c>
      <c r="C86" s="14" t="s">
        <v>1243</v>
      </c>
      <c r="D86" s="57" t="s">
        <v>1256</v>
      </c>
      <c r="E86" s="83" t="s">
        <v>1263</v>
      </c>
      <c r="F86" s="112" t="s">
        <v>1253</v>
      </c>
      <c r="G86" s="97">
        <v>0</v>
      </c>
      <c r="H86" s="97">
        <v>0</v>
      </c>
      <c r="I86" s="82" t="str">
        <f xml:space="preserve"> INDEX( co_impactTypes[damageAdjName], MATCH( co_variants[[#This Row],[sector_id]], co_impactTypes[sector_id], 0 ) ) &amp;
   IF( co_variants[[#This Row],[sector_id]] = "Roads", IF( co_variants[[#This Row],[variant_id_excel]] = "Proactive", "_proactive", "_other" ), "" )</f>
        <v>none</v>
      </c>
      <c r="J86" s="65" cm="1">
        <f t="array" ref="J86" xml:space="preserve"> --( SUMPRODUCT( --( co_variants[[#This Row],[sector_id]] = data_scaledImpacts[sector] ), --( co_variants[[#This Row],[variant_id_excel]] = data_scaledImpacts[variant] ) ) &gt; 1 )</f>
        <v>1</v>
      </c>
      <c r="K86" s="65" cm="1">
        <f t="array" ref="K86" xml:space="preserve"> --( SUMPRODUCT( --( co_impactTypes[sector_id] = co_variants[[#This Row],[sector_id]] ) ) &gt; 1 )</f>
        <v>0</v>
      </c>
      <c r="L86"/>
      <c r="M86"/>
      <c r="N86"/>
      <c r="O86"/>
    </row>
    <row r="87" spans="2:15" ht="14.5" x14ac:dyDescent="0.35">
      <c r="B87" s="7">
        <f xml:space="preserve"> ROW( co_variants[[#This Row],[row_id]] ) - ROW( co_variants[[#Headers],[row_id]] )</f>
        <v>7</v>
      </c>
      <c r="C87" s="14" t="s">
        <v>1224</v>
      </c>
      <c r="D87" s="83" t="s">
        <v>1160</v>
      </c>
      <c r="E87" s="83" t="s">
        <v>1215</v>
      </c>
      <c r="F87" s="83" t="s">
        <v>1160</v>
      </c>
      <c r="G87" s="97">
        <v>1</v>
      </c>
      <c r="H87" s="97">
        <v>1</v>
      </c>
      <c r="I87" s="82" t="str">
        <f xml:space="preserve"> INDEX( co_impactTypes[damageAdjName], MATCH( co_variants[[#This Row],[sector_id]], co_impactTypes[sector_id], 0 ) ) &amp;
   IF( co_variants[[#This Row],[sector_id]] = "Roads", IF( co_variants[[#This Row],[variant_id_excel]] = "Proactive", "_proactive", "_other" ), "" )</f>
        <v>none</v>
      </c>
      <c r="J87" s="65" cm="1">
        <f t="array" ref="J87" xml:space="preserve"> --( SUMPRODUCT( --( co_variants[[#This Row],[sector_id]] = data_scaledImpacts[sector] ), --( co_variants[[#This Row],[variant_id_excel]] = data_scaledImpacts[variant] ) ) &gt; 1 )</f>
        <v>1</v>
      </c>
      <c r="K87" s="65" cm="1">
        <f t="array" ref="K87" xml:space="preserve"> --( SUMPRODUCT( --( co_impactTypes[sector_id] = co_variants[[#This Row],[sector_id]] ) ) &gt; 1 )</f>
        <v>1</v>
      </c>
      <c r="L87"/>
      <c r="M87"/>
      <c r="N87"/>
      <c r="O87"/>
    </row>
    <row r="88" spans="2:15" ht="14.5" x14ac:dyDescent="0.35">
      <c r="B88" s="7">
        <f xml:space="preserve"> ROW( co_variants[[#This Row],[row_id]] ) - ROW( co_variants[[#Headers],[row_id]] )</f>
        <v>8</v>
      </c>
      <c r="C88" s="14" t="s">
        <v>1224</v>
      </c>
      <c r="D88" s="83" t="s">
        <v>1159</v>
      </c>
      <c r="E88" s="83" t="s">
        <v>1216</v>
      </c>
      <c r="F88" s="83" t="s">
        <v>1159</v>
      </c>
      <c r="G88" s="97">
        <v>0</v>
      </c>
      <c r="H88" s="97">
        <v>0</v>
      </c>
      <c r="I88" s="82" t="str">
        <f xml:space="preserve"> INDEX( co_impactTypes[damageAdjName], MATCH( co_variants[[#This Row],[sector_id]], co_impactTypes[sector_id], 0 ) ) &amp;
   IF( co_variants[[#This Row],[sector_id]] = "Roads", IF( co_variants[[#This Row],[variant_id_excel]] = "Proactive", "_proactive", "_other" ), "" )</f>
        <v>none</v>
      </c>
      <c r="J88" s="65" cm="1">
        <f t="array" ref="J88" xml:space="preserve"> --( SUMPRODUCT( --( co_variants[[#This Row],[sector_id]] = data_scaledImpacts[sector] ), --( co_variants[[#This Row],[variant_id_excel]] = data_scaledImpacts[variant] ) ) &gt; 1 )</f>
        <v>1</v>
      </c>
      <c r="K88" s="65" cm="1">
        <f t="array" ref="K88" xml:space="preserve"> --( SUMPRODUCT( --( co_impactTypes[sector_id] = co_variants[[#This Row],[sector_id]] ) ) &gt; 1 )</f>
        <v>1</v>
      </c>
      <c r="L88"/>
      <c r="M88"/>
      <c r="N88"/>
      <c r="O88"/>
    </row>
    <row r="89" spans="2:15" ht="14.5" x14ac:dyDescent="0.35">
      <c r="B89" s="7">
        <f xml:space="preserve"> ROW( co_variants[[#This Row],[row_id]] ) - ROW( co_variants[[#Headers],[row_id]] )</f>
        <v>9</v>
      </c>
      <c r="C89" s="14" t="s">
        <v>1225</v>
      </c>
      <c r="D89" s="57" t="s">
        <v>201</v>
      </c>
      <c r="E89" s="83" t="s">
        <v>922</v>
      </c>
      <c r="F89" s="112" t="s">
        <v>201</v>
      </c>
      <c r="G89" s="97">
        <v>1</v>
      </c>
      <c r="H89" s="97">
        <v>1</v>
      </c>
      <c r="I89" s="82" t="str">
        <f xml:space="preserve"> INDEX( co_impactTypes[damageAdjName], MATCH( co_variants[[#This Row],[sector_id]], co_impactTypes[sector_id], 0 ) ) &amp;
   IF( co_variants[[#This Row],[sector_id]] = "Roads", IF( co_variants[[#This Row],[variant_id_excel]] = "Proactive", "_proactive", "_other" ), "" )</f>
        <v>none</v>
      </c>
      <c r="J89" s="65" cm="1">
        <f t="array" ref="J89" xml:space="preserve"> --( SUMPRODUCT( --( co_variants[[#This Row],[sector_id]] = data_scaledImpacts[sector] ), --( co_variants[[#This Row],[variant_id_excel]] = data_scaledImpacts[variant] ) ) &gt; 1 )</f>
        <v>1</v>
      </c>
      <c r="K89" s="65" cm="1">
        <f t="array" ref="K89" xml:space="preserve"> --( SUMPRODUCT( --( co_impactTypes[sector_id] = co_variants[[#This Row],[sector_id]] ) ) &gt; 1 )</f>
        <v>1</v>
      </c>
      <c r="L89"/>
      <c r="M89"/>
      <c r="N89"/>
      <c r="O89"/>
    </row>
    <row r="90" spans="2:15" ht="14.5" x14ac:dyDescent="0.35">
      <c r="B90" s="7">
        <f xml:space="preserve"> ROW( co_variants[[#This Row],[row_id]] ) - ROW( co_variants[[#Headers],[row_id]] )</f>
        <v>10</v>
      </c>
      <c r="C90" s="14" t="s">
        <v>1154</v>
      </c>
      <c r="D90" s="57" t="s">
        <v>1260</v>
      </c>
      <c r="E90" s="83" t="s">
        <v>1259</v>
      </c>
      <c r="F90" s="83" t="s">
        <v>1259</v>
      </c>
      <c r="G90" s="97">
        <v>1</v>
      </c>
      <c r="H90" s="97">
        <v>0</v>
      </c>
      <c r="I90" s="82" t="str">
        <f xml:space="preserve"> INDEX( co_impactTypes[damageAdjName], MATCH( co_variants[[#This Row],[sector_id]], co_impactTypes[sector_id], 0 ) ) &amp;
   IF( co_variants[[#This Row],[sector_id]] = "Roads", IF( co_variants[[#This Row],[variant_id_excel]] = "Proactive", "_proactive", "_other" ), "" )</f>
        <v>none</v>
      </c>
      <c r="J90" s="65" cm="1">
        <f t="array" ref="J90" xml:space="preserve"> --( SUMPRODUCT( --( co_variants[[#This Row],[sector_id]] = data_scaledImpacts[sector] ), --( co_variants[[#This Row],[variant_id_excel]] = data_scaledImpacts[variant] ) ) &gt; 1 )</f>
        <v>1</v>
      </c>
      <c r="K90" s="65" cm="1">
        <f t="array" ref="K90" xml:space="preserve"> --( SUMPRODUCT( --( co_impactTypes[sector_id] = co_variants[[#This Row],[sector_id]] ) ) &gt; 1 )</f>
        <v>0</v>
      </c>
      <c r="L90"/>
      <c r="M90"/>
      <c r="N90"/>
      <c r="O90"/>
    </row>
    <row r="91" spans="2:15" ht="14.5" x14ac:dyDescent="0.35">
      <c r="B91" s="7">
        <f xml:space="preserve"> ROW( co_variants[[#This Row],[row_id]] ) - ROW( co_variants[[#Headers],[row_id]] )</f>
        <v>11</v>
      </c>
      <c r="C91" s="14" t="s">
        <v>1154</v>
      </c>
      <c r="D91" s="57" t="s">
        <v>1255</v>
      </c>
      <c r="E91" s="83" t="s">
        <v>1262</v>
      </c>
      <c r="F91" s="83" t="s">
        <v>1252</v>
      </c>
      <c r="G91" s="97">
        <v>0</v>
      </c>
      <c r="H91" s="97">
        <v>0</v>
      </c>
      <c r="I91" s="82" t="str">
        <f xml:space="preserve"> INDEX( co_impactTypes[damageAdjName], MATCH( co_variants[[#This Row],[sector_id]], co_impactTypes[sector_id], 0 ) ) &amp;
   IF( co_variants[[#This Row],[sector_id]] = "Roads", IF( co_variants[[#This Row],[variant_id_excel]] = "Proactive", "_proactive", "_other" ), "" )</f>
        <v>none</v>
      </c>
      <c r="J91" s="65" cm="1">
        <f t="array" ref="J91" xml:space="preserve"> --( SUMPRODUCT( --( co_variants[[#This Row],[sector_id]] = data_scaledImpacts[sector] ), --( co_variants[[#This Row],[variant_id_excel]] = data_scaledImpacts[variant] ) ) &gt; 1 )</f>
        <v>1</v>
      </c>
      <c r="K91" s="65" cm="1">
        <f t="array" ref="K91" xml:space="preserve"> --( SUMPRODUCT( --( co_impactTypes[sector_id] = co_variants[[#This Row],[sector_id]] ) ) &gt; 1 )</f>
        <v>0</v>
      </c>
      <c r="L91"/>
      <c r="M91"/>
      <c r="N91"/>
      <c r="O91"/>
    </row>
    <row r="92" spans="2:15" ht="14.5" x14ac:dyDescent="0.35">
      <c r="B92" s="7">
        <f xml:space="preserve"> ROW( co_variants[[#This Row],[row_id]] ) - ROW( co_variants[[#Headers],[row_id]] )</f>
        <v>12</v>
      </c>
      <c r="C92" s="14" t="s">
        <v>1154</v>
      </c>
      <c r="D92" s="57" t="s">
        <v>1256</v>
      </c>
      <c r="E92" s="83" t="s">
        <v>1263</v>
      </c>
      <c r="F92" s="83" t="s">
        <v>1253</v>
      </c>
      <c r="G92" s="97">
        <v>0</v>
      </c>
      <c r="H92" s="97">
        <v>0</v>
      </c>
      <c r="I92" s="82" t="str">
        <f xml:space="preserve"> INDEX( co_impactTypes[damageAdjName], MATCH( co_variants[[#This Row],[sector_id]], co_impactTypes[sector_id], 0 ) ) &amp;
   IF( co_variants[[#This Row],[sector_id]] = "Roads", IF( co_variants[[#This Row],[variant_id_excel]] = "Proactive", "_proactive", "_other" ), "" )</f>
        <v>none</v>
      </c>
      <c r="J92" s="65" cm="1">
        <f t="array" ref="J92" xml:space="preserve"> --( SUMPRODUCT( --( co_variants[[#This Row],[sector_id]] = data_scaledImpacts[sector] ), --( co_variants[[#This Row],[variant_id_excel]] = data_scaledImpacts[variant] ) ) &gt; 1 )</f>
        <v>1</v>
      </c>
      <c r="K92" s="65" cm="1">
        <f t="array" ref="K92" xml:space="preserve"> --( SUMPRODUCT( --( co_impactTypes[sector_id] = co_variants[[#This Row],[sector_id]] ) ) &gt; 1 )</f>
        <v>0</v>
      </c>
      <c r="L92"/>
      <c r="M92"/>
      <c r="N92"/>
      <c r="O92"/>
    </row>
    <row r="93" spans="2:15" ht="14.5" x14ac:dyDescent="0.35">
      <c r="B93" s="7">
        <f xml:space="preserve"> ROW( co_variants[[#This Row],[row_id]] ) - ROW( co_variants[[#Headers],[row_id]] )</f>
        <v>13</v>
      </c>
      <c r="C93" s="14" t="s">
        <v>86</v>
      </c>
      <c r="D93" s="57" t="s">
        <v>1314</v>
      </c>
      <c r="E93" s="83" t="s">
        <v>87</v>
      </c>
      <c r="F93" s="112" t="s">
        <v>87</v>
      </c>
      <c r="G93" s="58">
        <v>0</v>
      </c>
      <c r="H93" s="58">
        <v>0</v>
      </c>
      <c r="I93" s="82" t="str">
        <f xml:space="preserve"> INDEX( co_impactTypes[damageAdjName], MATCH( co_variants[[#This Row],[sector_id]], co_impactTypes[sector_id], 0 ) ) &amp;
   IF( co_variants[[#This Row],[sector_id]] = "Roads", IF( co_variants[[#This Row],[variant_id_excel]] = "Proactive", "_proactive", "_other" ), "" )</f>
        <v>none</v>
      </c>
      <c r="J93" s="65" cm="1">
        <f t="array" ref="J93" xml:space="preserve"> --( SUMPRODUCT( --( co_variants[[#This Row],[sector_id]] = data_scaledImpacts[sector] ), --( co_variants[[#This Row],[variant_id_excel]] = data_scaledImpacts[variant] ) ) &gt; 1 )</f>
        <v>0</v>
      </c>
      <c r="K93" s="65" cm="1">
        <f t="array" ref="K93" xml:space="preserve"> --( SUMPRODUCT( --( co_impactTypes[sector_id] = co_variants[[#This Row],[sector_id]] ) ) &gt; 1 )</f>
        <v>0</v>
      </c>
      <c r="L93"/>
      <c r="M93"/>
      <c r="N93"/>
      <c r="O93"/>
    </row>
    <row r="94" spans="2:15" ht="14.5" x14ac:dyDescent="0.35">
      <c r="B94" s="7">
        <f xml:space="preserve"> ROW( co_variants[[#This Row],[row_id]] ) - ROW( co_variants[[#Headers],[row_id]] )</f>
        <v>14</v>
      </c>
      <c r="C94" s="14" t="s">
        <v>86</v>
      </c>
      <c r="D94" s="57" t="s">
        <v>777</v>
      </c>
      <c r="E94" s="112" t="s">
        <v>208</v>
      </c>
      <c r="F94" s="112" t="s">
        <v>208</v>
      </c>
      <c r="G94" s="58">
        <v>0</v>
      </c>
      <c r="H94" s="58">
        <v>0</v>
      </c>
      <c r="I94" s="82" t="str">
        <f xml:space="preserve"> INDEX( co_impactTypes[damageAdjName], MATCH( co_variants[[#This Row],[sector_id]], co_impactTypes[sector_id], 0 ) ) &amp;
   IF( co_variants[[#This Row],[sector_id]] = "Roads", IF( co_variants[[#This Row],[variant_id_excel]] = "Proactive", "_proactive", "_other" ), "" )</f>
        <v>none</v>
      </c>
      <c r="J94" s="65" cm="1">
        <f t="array" ref="J94" xml:space="preserve"> --( SUMPRODUCT( --( co_variants[[#This Row],[sector_id]] = data_scaledImpacts[sector] ), --( co_variants[[#This Row],[variant_id_excel]] = data_scaledImpacts[variant] ) ) &gt; 1 )</f>
        <v>0</v>
      </c>
      <c r="K94" s="65" cm="1">
        <f t="array" ref="K94" xml:space="preserve"> --( SUMPRODUCT( --( co_impactTypes[sector_id] = co_variants[[#This Row],[sector_id]] ) ) &gt; 1 )</f>
        <v>0</v>
      </c>
      <c r="L94"/>
      <c r="M94"/>
      <c r="N94"/>
      <c r="O94"/>
    </row>
    <row r="95" spans="2:15" ht="14.5" x14ac:dyDescent="0.35">
      <c r="B95" s="7">
        <f xml:space="preserve"> ROW( co_variants[[#This Row],[row_id]] ) - ROW( co_variants[[#Headers],[row_id]] )</f>
        <v>15</v>
      </c>
      <c r="C95" s="14" t="s">
        <v>86</v>
      </c>
      <c r="D95" s="57" t="s">
        <v>778</v>
      </c>
      <c r="E95" s="112" t="s">
        <v>88</v>
      </c>
      <c r="F95" s="112" t="s">
        <v>88</v>
      </c>
      <c r="G95" s="58">
        <v>1</v>
      </c>
      <c r="H95" s="58">
        <v>1</v>
      </c>
      <c r="I95" s="82" t="str">
        <f xml:space="preserve"> INDEX( co_impactTypes[damageAdjName], MATCH( co_variants[[#This Row],[sector_id]], co_impactTypes[sector_id], 0 ) ) &amp;
   IF( co_variants[[#This Row],[sector_id]] = "Roads", IF( co_variants[[#This Row],[variant_id_excel]] = "Proactive", "_proactive", "_other" ), "" )</f>
        <v>none</v>
      </c>
      <c r="J95" s="65" cm="1">
        <f t="array" ref="J95" xml:space="preserve"> --( SUMPRODUCT( --( co_variants[[#This Row],[sector_id]] = data_scaledImpacts[sector] ), --( co_variants[[#This Row],[variant_id_excel]] = data_scaledImpacts[variant] ) ) &gt; 1 )</f>
        <v>0</v>
      </c>
      <c r="K95" s="65" cm="1">
        <f t="array" ref="K95" xml:space="preserve"> --( SUMPRODUCT( --( co_impactTypes[sector_id] = co_variants[[#This Row],[sector_id]] ) ) &gt; 1 )</f>
        <v>0</v>
      </c>
      <c r="L95"/>
      <c r="M95"/>
      <c r="N95"/>
      <c r="O95"/>
    </row>
    <row r="96" spans="2:15" ht="14.5" x14ac:dyDescent="0.35">
      <c r="B96" s="7">
        <f xml:space="preserve"> ROW( co_variants[[#This Row],[row_id]] ) - ROW( co_variants[[#Headers],[row_id]] )</f>
        <v>16</v>
      </c>
      <c r="C96" s="14" t="s">
        <v>220</v>
      </c>
      <c r="D96" s="57" t="s">
        <v>201</v>
      </c>
      <c r="E96" s="83" t="s">
        <v>922</v>
      </c>
      <c r="F96" s="112" t="s">
        <v>201</v>
      </c>
      <c r="G96" s="58">
        <v>1</v>
      </c>
      <c r="H96" s="58">
        <v>1</v>
      </c>
      <c r="I96" s="82" t="str">
        <f xml:space="preserve"> INDEX( co_impactTypes[damageAdjName], MATCH( co_variants[[#This Row],[sector_id]], co_impactTypes[sector_id], 0 ) ) &amp;
   IF( co_variants[[#This Row],[sector_id]] = "Roads", IF( co_variants[[#This Row],[variant_id_excel]] = "Proactive", "_proactive", "_other" ), "" )</f>
        <v>elecSD_refCosts</v>
      </c>
      <c r="J96" s="65" cm="1">
        <f t="array" ref="J96" xml:space="preserve"> --( SUMPRODUCT( --( co_variants[[#This Row],[sector_id]] = data_scaledImpacts[sector] ), --( co_variants[[#This Row],[variant_id_excel]] = data_scaledImpacts[variant] ) ) &gt; 1 )</f>
        <v>1</v>
      </c>
      <c r="K96" s="65" cm="1">
        <f t="array" ref="K96" xml:space="preserve"> --( SUMPRODUCT( --( co_impactTypes[sector_id] = co_variants[[#This Row],[sector_id]] ) ) &gt; 1 )</f>
        <v>0</v>
      </c>
      <c r="L96"/>
      <c r="M96"/>
      <c r="N96"/>
      <c r="O96"/>
    </row>
    <row r="97" spans="2:15" ht="14.5" x14ac:dyDescent="0.35">
      <c r="B97" s="7">
        <f xml:space="preserve"> ROW( co_variants[[#This Row],[row_id]] ) - ROW( co_variants[[#Headers],[row_id]] )</f>
        <v>17</v>
      </c>
      <c r="C97" s="14" t="s">
        <v>997</v>
      </c>
      <c r="D97" s="57" t="s">
        <v>1314</v>
      </c>
      <c r="E97" s="83" t="s">
        <v>87</v>
      </c>
      <c r="F97" s="112" t="s">
        <v>87</v>
      </c>
      <c r="G97" s="58">
        <v>0</v>
      </c>
      <c r="H97" s="58">
        <v>0</v>
      </c>
      <c r="I97" s="82" t="str">
        <f xml:space="preserve"> INDEX( co_impactTypes[damageAdjName], MATCH( co_variants[[#This Row],[sector_id]], co_impactTypes[sector_id], 0 ) ) &amp;
   IF( co_variants[[#This Row],[sector_id]] = "Roads", IF( co_variants[[#This Row],[variant_id_excel]] = "Proactive", "_proactive", "_other" ), "" )</f>
        <v>elecTD_growthFactor</v>
      </c>
      <c r="J97" s="65" cm="1">
        <f t="array" ref="J97" xml:space="preserve"> --( SUMPRODUCT( --( co_variants[[#This Row],[sector_id]] = data_scaledImpacts[sector] ), --( co_variants[[#This Row],[variant_id_excel]] = data_scaledImpacts[variant] ) ) &gt; 1 )</f>
        <v>1</v>
      </c>
      <c r="K97" s="65" cm="1">
        <f t="array" ref="K97" xml:space="preserve"> --( SUMPRODUCT( --( co_impactTypes[sector_id] = co_variants[[#This Row],[sector_id]] ) ) &gt; 1 )</f>
        <v>0</v>
      </c>
      <c r="L97"/>
      <c r="M97"/>
      <c r="N97"/>
      <c r="O97"/>
    </row>
    <row r="98" spans="2:15" ht="14.5" x14ac:dyDescent="0.35">
      <c r="B98" s="7">
        <f xml:space="preserve"> ROW( co_variants[[#This Row],[row_id]] ) - ROW( co_variants[[#Headers],[row_id]] )</f>
        <v>18</v>
      </c>
      <c r="C98" s="14" t="s">
        <v>997</v>
      </c>
      <c r="D98" s="57" t="s">
        <v>777</v>
      </c>
      <c r="E98" s="112" t="s">
        <v>208</v>
      </c>
      <c r="F98" s="112" t="s">
        <v>208</v>
      </c>
      <c r="G98" s="58">
        <v>0</v>
      </c>
      <c r="H98" s="58">
        <v>0</v>
      </c>
      <c r="I98" s="82" t="str">
        <f xml:space="preserve"> INDEX( co_impactTypes[damageAdjName], MATCH( co_variants[[#This Row],[sector_id]], co_impactTypes[sector_id], 0 ) ) &amp;
   IF( co_variants[[#This Row],[sector_id]] = "Roads", IF( co_variants[[#This Row],[variant_id_excel]] = "Proactive", "_proactive", "_other" ), "" )</f>
        <v>elecTD_growthFactor</v>
      </c>
      <c r="J98" s="65" cm="1">
        <f t="array" ref="J98" xml:space="preserve"> --( SUMPRODUCT( --( co_variants[[#This Row],[sector_id]] = data_scaledImpacts[sector] ), --( co_variants[[#This Row],[variant_id_excel]] = data_scaledImpacts[variant] ) ) &gt; 1 )</f>
        <v>1</v>
      </c>
      <c r="K98" s="65" cm="1">
        <f t="array" ref="K98" xml:space="preserve"> --( SUMPRODUCT( --( co_impactTypes[sector_id] = co_variants[[#This Row],[sector_id]] ) ) &gt; 1 )</f>
        <v>0</v>
      </c>
      <c r="L98"/>
      <c r="M98"/>
      <c r="N98"/>
      <c r="O98"/>
    </row>
    <row r="99" spans="2:15" ht="14.5" x14ac:dyDescent="0.35">
      <c r="B99" s="7">
        <f xml:space="preserve"> ROW( co_variants[[#This Row],[row_id]] ) - ROW( co_variants[[#Headers],[row_id]] )</f>
        <v>19</v>
      </c>
      <c r="C99" s="14" t="s">
        <v>997</v>
      </c>
      <c r="D99" s="57" t="s">
        <v>778</v>
      </c>
      <c r="E99" s="112" t="s">
        <v>88</v>
      </c>
      <c r="F99" s="112" t="s">
        <v>88</v>
      </c>
      <c r="G99" s="58">
        <v>1</v>
      </c>
      <c r="H99" s="58">
        <v>1</v>
      </c>
      <c r="I99" s="82" t="str">
        <f xml:space="preserve"> INDEX( co_impactTypes[damageAdjName], MATCH( co_variants[[#This Row],[sector_id]], co_impactTypes[sector_id], 0 ) ) &amp;
   IF( co_variants[[#This Row],[sector_id]] = "Roads", IF( co_variants[[#This Row],[variant_id_excel]] = "Proactive", "_proactive", "_other" ), "" )</f>
        <v>elecTD_growthFactor</v>
      </c>
      <c r="J99" s="65" cm="1">
        <f t="array" ref="J99" xml:space="preserve"> --( SUMPRODUCT( --( co_variants[[#This Row],[sector_id]] = data_scaledImpacts[sector] ), --( co_variants[[#This Row],[variant_id_excel]] = data_scaledImpacts[variant] ) ) &gt; 1 )</f>
        <v>1</v>
      </c>
      <c r="K99" s="65" cm="1">
        <f t="array" ref="K99" xml:space="preserve"> --( SUMPRODUCT( --( co_impactTypes[sector_id] = co_variants[[#This Row],[sector_id]] ) ) &gt; 1 )</f>
        <v>0</v>
      </c>
      <c r="L99"/>
      <c r="M99"/>
      <c r="N99"/>
      <c r="O99"/>
    </row>
    <row r="100" spans="2:15" ht="14.5" x14ac:dyDescent="0.35">
      <c r="B100" s="7">
        <f xml:space="preserve"> ROW( co_variants[[#This Row],[row_id]] ) - ROW( co_variants[[#Headers],[row_id]] )</f>
        <v>20</v>
      </c>
      <c r="C100" s="14" t="s">
        <v>17</v>
      </c>
      <c r="D100" s="57" t="s">
        <v>774</v>
      </c>
      <c r="E100" s="83" t="s">
        <v>923</v>
      </c>
      <c r="F100" s="112" t="s">
        <v>774</v>
      </c>
      <c r="G100" s="58">
        <v>0</v>
      </c>
      <c r="H100" s="58">
        <v>0</v>
      </c>
      <c r="I100" s="82" t="str">
        <f xml:space="preserve"> INDEX( co_impactTypes[damageAdjName], MATCH( co_variants[[#This Row],[sector_id]], co_impactTypes[sector_id], 0 ) ) &amp;
   IF( co_variants[[#This Row],[sector_id]] = "Roads", IF( co_variants[[#This Row],[variant_id_excel]] = "Proactive", "_proactive", "_other" ), "" )</f>
        <v>none</v>
      </c>
      <c r="J100" s="65" cm="1">
        <f t="array" ref="J100" xml:space="preserve"> --( SUMPRODUCT( --( co_variants[[#This Row],[sector_id]] = data_scaledImpacts[sector] ), --( co_variants[[#This Row],[variant_id_excel]] = data_scaledImpacts[variant] ) ) &gt; 1 )</f>
        <v>1</v>
      </c>
      <c r="K100" s="65" cm="1">
        <f t="array" ref="K100" xml:space="preserve"> --( SUMPRODUCT( --( co_impactTypes[sector_id] = co_variants[[#This Row],[sector_id]] ) ) &gt; 1 )</f>
        <v>1</v>
      </c>
      <c r="L100"/>
      <c r="M100"/>
      <c r="N100"/>
      <c r="O100"/>
    </row>
    <row r="101" spans="2:15" ht="14.5" x14ac:dyDescent="0.35">
      <c r="B101" s="7">
        <f xml:space="preserve"> ROW( co_variants[[#This Row],[row_id]] ) - ROW( co_variants[[#Headers],[row_id]] )</f>
        <v>21</v>
      </c>
      <c r="C101" s="14" t="s">
        <v>17</v>
      </c>
      <c r="D101" s="57" t="s">
        <v>1314</v>
      </c>
      <c r="E101" s="83" t="s">
        <v>87</v>
      </c>
      <c r="F101" s="112" t="s">
        <v>776</v>
      </c>
      <c r="G101" s="58">
        <v>1</v>
      </c>
      <c r="H101" s="58">
        <v>0</v>
      </c>
      <c r="I101" s="82" t="str">
        <f xml:space="preserve"> INDEX( co_impactTypes[damageAdjName], MATCH( co_variants[[#This Row],[sector_id]], co_impactTypes[sector_id], 0 ) ) &amp;
   IF( co_variants[[#This Row],[sector_id]] = "Roads", IF( co_variants[[#This Row],[variant_id_excel]] = "Proactive", "_proactive", "_other" ), "" )</f>
        <v>none</v>
      </c>
      <c r="J101" s="65" cm="1">
        <f t="array" ref="J101" xml:space="preserve"> --( SUMPRODUCT( --( co_variants[[#This Row],[sector_id]] = data_scaledImpacts[sector] ), --( co_variants[[#This Row],[variant_id_excel]] = data_scaledImpacts[variant] ) ) &gt; 1 )</f>
        <v>1</v>
      </c>
      <c r="K101" s="65" cm="1">
        <f t="array" ref="K101" xml:space="preserve"> --( SUMPRODUCT( --( co_impactTypes[sector_id] = co_variants[[#This Row],[sector_id]] ) ) &gt; 1 )</f>
        <v>1</v>
      </c>
      <c r="L101"/>
      <c r="M101"/>
      <c r="N101"/>
      <c r="O101"/>
    </row>
    <row r="102" spans="2:15" ht="14.5" x14ac:dyDescent="0.35">
      <c r="B102" s="7">
        <f xml:space="preserve"> ROW( co_variants[[#This Row],[row_id]] ) - ROW( co_variants[[#Headers],[row_id]] )</f>
        <v>22</v>
      </c>
      <c r="C102" s="14" t="s">
        <v>221</v>
      </c>
      <c r="D102" s="57" t="s">
        <v>775</v>
      </c>
      <c r="E102" s="83" t="s">
        <v>231</v>
      </c>
      <c r="F102" s="112" t="s">
        <v>208</v>
      </c>
      <c r="G102" s="58">
        <v>0</v>
      </c>
      <c r="H102" s="58">
        <v>0</v>
      </c>
      <c r="I102" s="82" t="str">
        <f xml:space="preserve"> INDEX( co_impactTypes[damageAdjName], MATCH( co_variants[[#This Row],[sector_id]], co_impactTypes[sector_id], 0 ) ) &amp;
   IF( co_variants[[#This Row],[sector_id]] = "Roads", IF( co_variants[[#This Row],[variant_id_excel]] = "Proactive", "_proactive", "_other" ), "" )</f>
        <v>none</v>
      </c>
      <c r="J102" s="65" cm="1">
        <f t="array" ref="J102" xml:space="preserve"> --( SUMPRODUCT( --( co_variants[[#This Row],[sector_id]] = data_scaledImpacts[sector] ), --( co_variants[[#This Row],[variant_id_excel]] = data_scaledImpacts[variant] ) ) &gt; 1 )</f>
        <v>0</v>
      </c>
      <c r="K102" s="65" cm="1">
        <f t="array" ref="K102" xml:space="preserve"> --( SUMPRODUCT( --( co_impactTypes[sector_id] = co_variants[[#This Row],[sector_id]] ) ) &gt; 1 )</f>
        <v>0</v>
      </c>
      <c r="L102"/>
      <c r="M102"/>
      <c r="N102"/>
      <c r="O102"/>
    </row>
    <row r="103" spans="2:15" ht="14.5" x14ac:dyDescent="0.35">
      <c r="B103" s="7">
        <f xml:space="preserve"> ROW( co_variants[[#This Row],[row_id]] ) - ROW( co_variants[[#Headers],[row_id]] )</f>
        <v>23</v>
      </c>
      <c r="C103" s="14" t="s">
        <v>221</v>
      </c>
      <c r="D103" s="57" t="s">
        <v>1314</v>
      </c>
      <c r="E103" s="83" t="s">
        <v>87</v>
      </c>
      <c r="F103" s="112" t="s">
        <v>87</v>
      </c>
      <c r="G103" s="58">
        <v>0</v>
      </c>
      <c r="H103" s="58">
        <v>0</v>
      </c>
      <c r="I103" s="82" t="str">
        <f xml:space="preserve"> INDEX( co_impactTypes[damageAdjName], MATCH( co_variants[[#This Row],[sector_id]], co_impactTypes[sector_id], 0 ) ) &amp;
   IF( co_variants[[#This Row],[sector_id]] = "Roads", IF( co_variants[[#This Row],[variant_id_excel]] = "Proactive", "_proactive", "_other" ), "" )</f>
        <v>none</v>
      </c>
      <c r="J103" s="65" cm="1">
        <f t="array" ref="J103" xml:space="preserve"> --( SUMPRODUCT( --( co_variants[[#This Row],[sector_id]] = data_scaledImpacts[sector] ), --( co_variants[[#This Row],[variant_id_excel]] = data_scaledImpacts[variant] ) ) &gt; 1 )</f>
        <v>0</v>
      </c>
      <c r="K103" s="65" cm="1">
        <f t="array" ref="K103" xml:space="preserve"> --( SUMPRODUCT( --( co_impactTypes[sector_id] = co_variants[[#This Row],[sector_id]] ) ) &gt; 1 )</f>
        <v>0</v>
      </c>
      <c r="L103"/>
      <c r="M103"/>
      <c r="N103"/>
      <c r="O103"/>
    </row>
    <row r="104" spans="2:15" ht="21" x14ac:dyDescent="0.35">
      <c r="B104" s="7">
        <f xml:space="preserve"> ROW( co_variants[[#This Row],[row_id]] ) - ROW( co_variants[[#Headers],[row_id]] )</f>
        <v>24</v>
      </c>
      <c r="C104" s="14" t="s">
        <v>221</v>
      </c>
      <c r="D104" s="57" t="s">
        <v>779</v>
      </c>
      <c r="E104" s="112" t="s">
        <v>230</v>
      </c>
      <c r="F104" s="112" t="s">
        <v>88</v>
      </c>
      <c r="G104" s="58">
        <v>1</v>
      </c>
      <c r="H104" s="58">
        <v>1</v>
      </c>
      <c r="I104" s="82" t="str">
        <f xml:space="preserve"> INDEX( co_impactTypes[damageAdjName], MATCH( co_variants[[#This Row],[sector_id]], co_impactTypes[sector_id], 0 ) ) &amp;
   IF( co_variants[[#This Row],[sector_id]] = "Roads", IF( co_variants[[#This Row],[variant_id_excel]] = "Proactive", "_proactive", "_other" ), "" )</f>
        <v>none</v>
      </c>
      <c r="J104" s="65" cm="1">
        <f t="array" ref="J104" xml:space="preserve"> --( SUMPRODUCT( --( co_variants[[#This Row],[sector_id]] = data_scaledImpacts[sector] ), --( co_variants[[#This Row],[variant_id_excel]] = data_scaledImpacts[variant] ) ) &gt; 1 )</f>
        <v>0</v>
      </c>
      <c r="K104" s="65" cm="1">
        <f t="array" ref="K104" xml:space="preserve"> --( SUMPRODUCT( --( co_impactTypes[sector_id] = co_variants[[#This Row],[sector_id]] ) ) &gt; 1 )</f>
        <v>0</v>
      </c>
      <c r="L104"/>
      <c r="M104"/>
      <c r="N104"/>
      <c r="O104"/>
    </row>
    <row r="105" spans="2:15" ht="14.5" x14ac:dyDescent="0.35">
      <c r="B105" s="7">
        <f xml:space="preserve"> ROW( co_variants[[#This Row],[row_id]] ) - ROW( co_variants[[#Headers],[row_id]] )</f>
        <v>25</v>
      </c>
      <c r="C105" s="14" t="s">
        <v>84</v>
      </c>
      <c r="D105" s="57" t="s">
        <v>201</v>
      </c>
      <c r="E105" s="83" t="s">
        <v>922</v>
      </c>
      <c r="F105" s="112" t="s">
        <v>201</v>
      </c>
      <c r="G105" s="58">
        <v>1</v>
      </c>
      <c r="H105" s="58">
        <v>1</v>
      </c>
      <c r="I105" s="82" t="str">
        <f xml:space="preserve"> INDEX( co_impactTypes[damageAdjName], MATCH( co_variants[[#This Row],[sector_id]], co_impactTypes[sector_id], 0 ) ) &amp;
   IF( co_variants[[#This Row],[sector_id]] = "Roads", IF( co_variants[[#This Row],[variant_id_excel]] = "Proactive", "_proactive", "_other" ), "" )</f>
        <v>none</v>
      </c>
      <c r="J105" s="65" cm="1">
        <f t="array" ref="J105" xml:space="preserve"> --( SUMPRODUCT( --( co_variants[[#This Row],[sector_id]] = data_scaledImpacts[sector] ), --( co_variants[[#This Row],[variant_id_excel]] = data_scaledImpacts[variant] ) ) &gt; 1 )</f>
        <v>1</v>
      </c>
      <c r="K105" s="65" cm="1">
        <f t="array" ref="K105" xml:space="preserve"> --( SUMPRODUCT( --( co_impactTypes[sector_id] = co_variants[[#This Row],[sector_id]] ) ) &gt; 1 )</f>
        <v>0</v>
      </c>
      <c r="L105"/>
      <c r="M105"/>
      <c r="N105"/>
      <c r="O105"/>
    </row>
    <row r="106" spans="2:15" ht="14.5" x14ac:dyDescent="0.35">
      <c r="B106" s="7">
        <f xml:space="preserve"> ROW( co_variants[[#This Row],[row_id]] ) - ROW( co_variants[[#Headers],[row_id]] )</f>
        <v>26</v>
      </c>
      <c r="C106" s="14" t="s">
        <v>34</v>
      </c>
      <c r="D106" s="57" t="s">
        <v>201</v>
      </c>
      <c r="E106" s="83" t="s">
        <v>922</v>
      </c>
      <c r="F106" s="112" t="s">
        <v>201</v>
      </c>
      <c r="G106" s="58">
        <v>1</v>
      </c>
      <c r="H106" s="58">
        <v>1</v>
      </c>
      <c r="I106" s="82" t="str">
        <f xml:space="preserve"> INDEX( co_impactTypes[damageAdjName], MATCH( co_variants[[#This Row],[sector_id]], co_impactTypes[sector_id], 0 ) ) &amp;
   IF( co_variants[[#This Row],[sector_id]] = "Roads", IF( co_variants[[#This Row],[variant_id_excel]] = "Proactive", "_proactive", "_other" ), "" )</f>
        <v>none</v>
      </c>
      <c r="J106" s="65" cm="1">
        <f t="array" ref="J106" xml:space="preserve"> --( SUMPRODUCT( --( co_variants[[#This Row],[sector_id]] = data_scaledImpacts[sector] ), --( co_variants[[#This Row],[variant_id_excel]] = data_scaledImpacts[variant] ) ) &gt; 1 )</f>
        <v>1</v>
      </c>
      <c r="K106" s="65" cm="1">
        <f t="array" ref="K106" xml:space="preserve"> --( SUMPRODUCT( --( co_impactTypes[sector_id] = co_variants[[#This Row],[sector_id]] ) ) &gt; 1 )</f>
        <v>0</v>
      </c>
      <c r="L106"/>
      <c r="M106"/>
      <c r="N106"/>
      <c r="O106"/>
    </row>
    <row r="107" spans="2:15" ht="14.5" x14ac:dyDescent="0.35">
      <c r="B107" s="7">
        <f xml:space="preserve"> ROW( co_variants[[#This Row],[row_id]] ) - ROW( co_variants[[#Headers],[row_id]] )</f>
        <v>27</v>
      </c>
      <c r="C107" s="14" t="s">
        <v>223</v>
      </c>
      <c r="D107" s="57" t="s">
        <v>201</v>
      </c>
      <c r="E107" s="83" t="s">
        <v>922</v>
      </c>
      <c r="F107" s="112" t="s">
        <v>201</v>
      </c>
      <c r="G107" s="97">
        <v>1</v>
      </c>
      <c r="H107" s="97">
        <v>1</v>
      </c>
      <c r="I107" s="82" t="str">
        <f xml:space="preserve"> INDEX( co_impactTypes[damageAdjName], MATCH( co_variants[[#This Row],[sector_id]], co_impactTypes[sector_id], 0 ) ) &amp;
   IF( co_variants[[#This Row],[sector_id]] = "Roads", IF( co_variants[[#This Row],[variant_id_excel]] = "Proactive", "_proactive", "_other" ), "" )</f>
        <v>none</v>
      </c>
      <c r="J107" s="65" cm="1">
        <f t="array" ref="J107" xml:space="preserve"> --( SUMPRODUCT( --( co_variants[[#This Row],[sector_id]] = data_scaledImpacts[sector] ), --( co_variants[[#This Row],[variant_id_excel]] = data_scaledImpacts[variant] ) ) &gt; 1 )</f>
        <v>1</v>
      </c>
      <c r="K107" s="65" cm="1">
        <f t="array" ref="K107" xml:space="preserve"> --( SUMPRODUCT( --( co_impactTypes[sector_id] = co_variants[[#This Row],[sector_id]] ) ) &gt; 1 )</f>
        <v>0</v>
      </c>
      <c r="L107"/>
      <c r="M107"/>
      <c r="N107"/>
      <c r="O107"/>
    </row>
    <row r="108" spans="2:15" ht="14.5" x14ac:dyDescent="0.35">
      <c r="B108" s="7">
        <f xml:space="preserve"> ROW( co_variants[[#This Row],[row_id]] ) - ROW( co_variants[[#Headers],[row_id]] )</f>
        <v>28</v>
      </c>
      <c r="C108" s="14" t="s">
        <v>1307</v>
      </c>
      <c r="D108" s="57" t="s">
        <v>201</v>
      </c>
      <c r="E108" s="83" t="s">
        <v>922</v>
      </c>
      <c r="F108" s="112" t="s">
        <v>201</v>
      </c>
      <c r="G108" s="97">
        <v>1</v>
      </c>
      <c r="H108" s="97">
        <v>1</v>
      </c>
      <c r="I108" s="82" t="str">
        <f xml:space="preserve"> INDEX( co_impactTypes[damageAdjName], MATCH( co_variants[[#This Row],[sector_id]], co_impactTypes[sector_id], 0 ) ) &amp;
   IF( co_variants[[#This Row],[sector_id]] = "Roads", IF( co_variants[[#This Row],[variant_id_excel]] = "Proactive", "_proactive", "_other" ), "" )</f>
        <v>MH_popDemoAdj</v>
      </c>
      <c r="J108" s="65" cm="1">
        <f t="array" ref="J108" xml:space="preserve"> --( SUMPRODUCT( --( co_variants[[#This Row],[sector_id]] = data_scaledImpacts[sector] ), --( co_variants[[#This Row],[variant_id_excel]] = data_scaledImpacts[variant] ) ) &gt; 1 )</f>
        <v>1</v>
      </c>
      <c r="K108" s="65" cm="1">
        <f t="array" ref="K108" xml:space="preserve"> --( SUMPRODUCT( --( co_impactTypes[sector_id] = co_variants[[#This Row],[sector_id]] ) ) &gt; 1 )</f>
        <v>0</v>
      </c>
      <c r="L108"/>
      <c r="M108"/>
      <c r="N108"/>
      <c r="O108"/>
    </row>
    <row r="109" spans="2:15" ht="14.5" x14ac:dyDescent="0.35">
      <c r="B109" s="7">
        <f xml:space="preserve"> ROW( co_variants[[#This Row],[row_id]] ) - ROW( co_variants[[#Headers],[row_id]] )</f>
        <v>29</v>
      </c>
      <c r="C109" s="14" t="s">
        <v>209</v>
      </c>
      <c r="D109" s="57" t="s">
        <v>1314</v>
      </c>
      <c r="E109" s="83" t="s">
        <v>87</v>
      </c>
      <c r="F109" s="112" t="s">
        <v>87</v>
      </c>
      <c r="G109" s="58">
        <v>0</v>
      </c>
      <c r="H109" s="58">
        <v>0</v>
      </c>
      <c r="I109" s="82" t="str">
        <f xml:space="preserve"> INDEX( co_impactTypes[damageAdjName], MATCH( co_variants[[#This Row],[sector_id]], co_impactTypes[sector_id], 0 ) ) &amp;
   IF( co_variants[[#This Row],[sector_id]] = "Roads", IF( co_variants[[#This Row],[variant_id_excel]] = "Proactive", "_proactive", "_other" ), "" )</f>
        <v>rail_growth_factor</v>
      </c>
      <c r="J109" s="65" cm="1">
        <f t="array" ref="J109" xml:space="preserve"> --( SUMPRODUCT( --( co_variants[[#This Row],[sector_id]] = data_scaledImpacts[sector] ), --( co_variants[[#This Row],[variant_id_excel]] = data_scaledImpacts[variant] ) ) &gt; 1 )</f>
        <v>1</v>
      </c>
      <c r="K109" s="65" cm="1">
        <f t="array" ref="K109" xml:space="preserve"> --( SUMPRODUCT( --( co_impactTypes[sector_id] = co_variants[[#This Row],[sector_id]] ) ) &gt; 1 )</f>
        <v>0</v>
      </c>
      <c r="L109"/>
      <c r="M109"/>
      <c r="N109"/>
      <c r="O109"/>
    </row>
    <row r="110" spans="2:15" ht="14.5" x14ac:dyDescent="0.35">
      <c r="B110" s="7">
        <f xml:space="preserve"> ROW( co_variants[[#This Row],[row_id]] ) - ROW( co_variants[[#Headers],[row_id]] )</f>
        <v>30</v>
      </c>
      <c r="C110" s="14" t="s">
        <v>209</v>
      </c>
      <c r="D110" s="57" t="s">
        <v>777</v>
      </c>
      <c r="E110" s="112" t="s">
        <v>208</v>
      </c>
      <c r="F110" s="112" t="s">
        <v>208</v>
      </c>
      <c r="G110" s="58">
        <v>0</v>
      </c>
      <c r="H110" s="58">
        <v>0</v>
      </c>
      <c r="I110" s="82" t="str">
        <f xml:space="preserve"> INDEX( co_impactTypes[damageAdjName], MATCH( co_variants[[#This Row],[sector_id]], co_impactTypes[sector_id], 0 ) ) &amp;
   IF( co_variants[[#This Row],[sector_id]] = "Roads", IF( co_variants[[#This Row],[variant_id_excel]] = "Proactive", "_proactive", "_other" ), "" )</f>
        <v>rail_growth_factor</v>
      </c>
      <c r="J110" s="65" cm="1">
        <f t="array" ref="J110" xml:space="preserve"> --( SUMPRODUCT( --( co_variants[[#This Row],[sector_id]] = data_scaledImpacts[sector] ), --( co_variants[[#This Row],[variant_id_excel]] = data_scaledImpacts[variant] ) ) &gt; 1 )</f>
        <v>1</v>
      </c>
      <c r="K110" s="65" cm="1">
        <f t="array" ref="K110" xml:space="preserve"> --( SUMPRODUCT( --( co_impactTypes[sector_id] = co_variants[[#This Row],[sector_id]] ) ) &gt; 1 )</f>
        <v>0</v>
      </c>
      <c r="L110"/>
      <c r="M110"/>
      <c r="N110"/>
      <c r="O110"/>
    </row>
    <row r="111" spans="2:15" ht="14.5" x14ac:dyDescent="0.35">
      <c r="B111" s="7">
        <f xml:space="preserve"> ROW( co_variants[[#This Row],[row_id]] ) - ROW( co_variants[[#Headers],[row_id]] )</f>
        <v>31</v>
      </c>
      <c r="C111" s="14" t="s">
        <v>209</v>
      </c>
      <c r="D111" s="57" t="s">
        <v>778</v>
      </c>
      <c r="E111" s="112" t="s">
        <v>88</v>
      </c>
      <c r="F111" s="112" t="s">
        <v>88</v>
      </c>
      <c r="G111" s="58">
        <v>1</v>
      </c>
      <c r="H111" s="58">
        <v>1</v>
      </c>
      <c r="I111" s="82" t="str">
        <f xml:space="preserve"> INDEX( co_impactTypes[damageAdjName], MATCH( co_variants[[#This Row],[sector_id]], co_impactTypes[sector_id], 0 ) ) &amp;
   IF( co_variants[[#This Row],[sector_id]] = "Roads", IF( co_variants[[#This Row],[variant_id_excel]] = "Proactive", "_proactive", "_other" ), "" )</f>
        <v>rail_growth_factor</v>
      </c>
      <c r="J111" s="65" cm="1">
        <f t="array" ref="J111" xml:space="preserve"> --( SUMPRODUCT( --( co_variants[[#This Row],[sector_id]] = data_scaledImpacts[sector] ), --( co_variants[[#This Row],[variant_id_excel]] = data_scaledImpacts[variant] ) ) &gt; 1 )</f>
        <v>1</v>
      </c>
      <c r="K111" s="65" cm="1">
        <f t="array" ref="K111" xml:space="preserve"> --( SUMPRODUCT( --( co_impactTypes[sector_id] = co_variants[[#This Row],[sector_id]] ) ) &gt; 1 )</f>
        <v>0</v>
      </c>
      <c r="L111"/>
      <c r="M111"/>
      <c r="N111"/>
      <c r="O111"/>
    </row>
    <row r="112" spans="2:15" ht="14.5" x14ac:dyDescent="0.35">
      <c r="B112" s="7">
        <f xml:space="preserve"> ROW( co_variants[[#This Row],[row_id]] ) - ROW( co_variants[[#Headers],[row_id]] )</f>
        <v>32</v>
      </c>
      <c r="C112" s="14" t="s">
        <v>216</v>
      </c>
      <c r="D112" s="57" t="s">
        <v>1314</v>
      </c>
      <c r="E112" s="83" t="s">
        <v>87</v>
      </c>
      <c r="F112" s="112" t="s">
        <v>87</v>
      </c>
      <c r="G112" s="58">
        <v>0</v>
      </c>
      <c r="H112" s="58">
        <v>0</v>
      </c>
      <c r="I112" s="82" t="str">
        <f xml:space="preserve"> INDEX( co_impactTypes[damageAdjName], MATCH( co_variants[[#This Row],[sector_id]], co_impactTypes[sector_id], 0 ) ) &amp;
   IF( co_variants[[#This Row],[sector_id]] = "Roads", IF( co_variants[[#This Row],[variant_id_excel]] = "Proactive", "_proactive", "_other" ), "" )</f>
        <v>road_miles_and_pop_other</v>
      </c>
      <c r="J112" s="65" cm="1">
        <f t="array" ref="J112" xml:space="preserve"> --( SUMPRODUCT( --( co_variants[[#This Row],[sector_id]] = data_scaledImpacts[sector] ), --( co_variants[[#This Row],[variant_id_excel]] = data_scaledImpacts[variant] ) ) &gt; 1 )</f>
        <v>1</v>
      </c>
      <c r="K112" s="65" cm="1">
        <f t="array" ref="K112" xml:space="preserve"> --( SUMPRODUCT( --( co_impactTypes[sector_id] = co_variants[[#This Row],[sector_id]] ) ) &gt; 1 )</f>
        <v>0</v>
      </c>
      <c r="L112"/>
      <c r="M112"/>
      <c r="N112"/>
      <c r="O112"/>
    </row>
    <row r="113" spans="1:21" ht="14.5" x14ac:dyDescent="0.35">
      <c r="B113" s="7">
        <f xml:space="preserve"> ROW( co_variants[[#This Row],[row_id]] ) - ROW( co_variants[[#Headers],[row_id]] )</f>
        <v>33</v>
      </c>
      <c r="C113" s="14" t="s">
        <v>216</v>
      </c>
      <c r="D113" s="57" t="s">
        <v>777</v>
      </c>
      <c r="E113" s="112" t="s">
        <v>208</v>
      </c>
      <c r="F113" s="112" t="s">
        <v>208</v>
      </c>
      <c r="G113" s="58">
        <v>0</v>
      </c>
      <c r="H113" s="58">
        <v>0</v>
      </c>
      <c r="I113" s="82" t="str">
        <f xml:space="preserve"> INDEX( co_impactTypes[damageAdjName], MATCH( co_variants[[#This Row],[sector_id]], co_impactTypes[sector_id], 0 ) ) &amp;
   IF( co_variants[[#This Row],[sector_id]] = "Roads", IF( co_variants[[#This Row],[variant_id_excel]] = "Proactive", "_proactive", "_other" ), "" )</f>
        <v>road_miles_and_pop_proactive</v>
      </c>
      <c r="J113" s="65" cm="1">
        <f t="array" ref="J113" xml:space="preserve"> --( SUMPRODUCT( --( co_variants[[#This Row],[sector_id]] = data_scaledImpacts[sector] ), --( co_variants[[#This Row],[variant_id_excel]] = data_scaledImpacts[variant] ) ) &gt; 1 )</f>
        <v>1</v>
      </c>
      <c r="K113" s="65" cm="1">
        <f t="array" ref="K113" xml:space="preserve"> --( SUMPRODUCT( --( co_impactTypes[sector_id] = co_variants[[#This Row],[sector_id]] ) ) &gt; 1 )</f>
        <v>0</v>
      </c>
      <c r="L113"/>
      <c r="M113"/>
      <c r="N113"/>
      <c r="O113"/>
    </row>
    <row r="114" spans="1:21" ht="14.5" x14ac:dyDescent="0.35">
      <c r="B114" s="7">
        <f xml:space="preserve"> ROW( co_variants[[#This Row],[row_id]] ) - ROW( co_variants[[#Headers],[row_id]] )</f>
        <v>34</v>
      </c>
      <c r="C114" s="14" t="s">
        <v>216</v>
      </c>
      <c r="D114" s="57" t="s">
        <v>778</v>
      </c>
      <c r="E114" s="112" t="s">
        <v>88</v>
      </c>
      <c r="F114" s="112" t="s">
        <v>88</v>
      </c>
      <c r="G114" s="58">
        <v>1</v>
      </c>
      <c r="H114" s="58">
        <v>1</v>
      </c>
      <c r="I114" s="82" t="str">
        <f xml:space="preserve"> INDEX( co_impactTypes[damageAdjName], MATCH( co_variants[[#This Row],[sector_id]], co_impactTypes[sector_id], 0 ) ) &amp;
   IF( co_variants[[#This Row],[sector_id]] = "Roads", IF( co_variants[[#This Row],[variant_id_excel]] = "Proactive", "_proactive", "_other" ), "" )</f>
        <v>road_miles_and_pop_other</v>
      </c>
      <c r="J114" s="65" cm="1">
        <f t="array" ref="J114" xml:space="preserve"> --( SUMPRODUCT( --( co_variants[[#This Row],[sector_id]] = data_scaledImpacts[sector] ), --( co_variants[[#This Row],[variant_id_excel]] = data_scaledImpacts[variant] ) ) &gt; 1 )</f>
        <v>1</v>
      </c>
      <c r="K114" s="65" cm="1">
        <f t="array" ref="K114" xml:space="preserve"> --( SUMPRODUCT( --( co_impactTypes[sector_id] = co_variants[[#This Row],[sector_id]] ) ) &gt; 1 )</f>
        <v>0</v>
      </c>
      <c r="L114"/>
      <c r="M114"/>
      <c r="N114"/>
      <c r="O114"/>
    </row>
    <row r="115" spans="1:21" ht="14.5" x14ac:dyDescent="0.35">
      <c r="B115" s="7">
        <f xml:space="preserve"> ROW( co_variants[[#This Row],[row_id]] ) - ROW( co_variants[[#Headers],[row_id]] )</f>
        <v>35</v>
      </c>
      <c r="C115" s="14" t="s">
        <v>85</v>
      </c>
      <c r="D115" s="57" t="s">
        <v>201</v>
      </c>
      <c r="E115" s="83" t="s">
        <v>922</v>
      </c>
      <c r="F115" s="112" t="s">
        <v>201</v>
      </c>
      <c r="G115" s="58">
        <v>1</v>
      </c>
      <c r="H115" s="58">
        <v>1</v>
      </c>
      <c r="I115" s="82" t="str">
        <f xml:space="preserve"> INDEX( co_impactTypes[damageAdjName], MATCH( co_variants[[#This Row],[sector_id]], co_impactTypes[sector_id], 0 ) ) &amp;
   IF( co_variants[[#This Row],[sector_id]] = "Roads", IF( co_variants[[#This Row],[variant_id_excel]] = "Proactive", "_proactive", "_other" ), "" )</f>
        <v>none</v>
      </c>
      <c r="J115" s="65" cm="1">
        <f t="array" ref="J115" xml:space="preserve"> --( SUMPRODUCT( --( co_variants[[#This Row],[sector_id]] = data_scaledImpacts[sector] ), --( co_variants[[#This Row],[variant_id_excel]] = data_scaledImpacts[variant] ) ) &gt; 1 )</f>
        <v>1</v>
      </c>
      <c r="K115" s="65" cm="1">
        <f t="array" ref="K115" xml:space="preserve"> --( SUMPRODUCT( --( co_impactTypes[sector_id] = co_variants[[#This Row],[sector_id]] ) ) &gt; 1 )</f>
        <v>1</v>
      </c>
      <c r="L115"/>
      <c r="M115"/>
      <c r="N115"/>
      <c r="O115"/>
    </row>
    <row r="116" spans="1:21" ht="14.5" x14ac:dyDescent="0.35">
      <c r="B116" s="7">
        <f xml:space="preserve"> ROW( co_variants[[#This Row],[row_id]] ) - ROW( co_variants[[#Headers],[row_id]] )</f>
        <v>36</v>
      </c>
      <c r="C116" s="14" t="s">
        <v>225</v>
      </c>
      <c r="D116" s="57" t="s">
        <v>201</v>
      </c>
      <c r="E116" s="83" t="s">
        <v>922</v>
      </c>
      <c r="F116" s="112" t="s">
        <v>201</v>
      </c>
      <c r="G116" s="58">
        <v>1</v>
      </c>
      <c r="H116" s="58">
        <v>1</v>
      </c>
      <c r="I116" s="82" t="str">
        <f xml:space="preserve"> INDEX( co_impactTypes[damageAdjName], MATCH( co_variants[[#This Row],[sector_id]], co_impactTypes[sector_id], 0 ) ) &amp;
   IF( co_variants[[#This Row],[sector_id]] = "Roads", IF( co_variants[[#This Row],[variant_id_excel]] = "Proactive", "_proactive", "_other" ), "" )</f>
        <v>none</v>
      </c>
      <c r="J116" s="65" cm="1">
        <f t="array" ref="J116" xml:space="preserve"> --( SUMPRODUCT( --( co_variants[[#This Row],[sector_id]] = data_scaledImpacts[sector] ), --( co_variants[[#This Row],[variant_id_excel]] = data_scaledImpacts[variant] ) ) &gt; 1 )</f>
        <v>1</v>
      </c>
      <c r="K116" s="65" cm="1">
        <f t="array" ref="K116" xml:space="preserve"> --( SUMPRODUCT( --( co_impactTypes[sector_id] = co_variants[[#This Row],[sector_id]] ) ) &gt; 1 )</f>
        <v>0</v>
      </c>
      <c r="L116"/>
      <c r="M116"/>
      <c r="N116"/>
      <c r="O116"/>
    </row>
    <row r="117" spans="1:21" ht="14.5" x14ac:dyDescent="0.35">
      <c r="B117" s="7">
        <f xml:space="preserve"> ROW( co_variants[[#This Row],[row_id]] ) - ROW( co_variants[[#Headers],[row_id]] )</f>
        <v>37</v>
      </c>
      <c r="C117" s="14" t="s">
        <v>978</v>
      </c>
      <c r="D117" s="57" t="s">
        <v>201</v>
      </c>
      <c r="E117" s="83" t="s">
        <v>922</v>
      </c>
      <c r="F117" s="112" t="s">
        <v>201</v>
      </c>
      <c r="G117" s="58">
        <v>1</v>
      </c>
      <c r="H117" s="58">
        <v>1</v>
      </c>
      <c r="I117" s="82" t="str">
        <f xml:space="preserve"> INDEX( co_impactTypes[damageAdjName], MATCH( co_variants[[#This Row],[sector_id]], co_impactTypes[sector_id], 0 ) ) &amp;
   IF( co_variants[[#This Row],[sector_id]] = "Roads", IF( co_variants[[#This Row],[variant_id_excel]] = "Proactive", "_proactive", "_other" ), "" )</f>
        <v>none</v>
      </c>
      <c r="J117" s="65" cm="1">
        <f t="array" ref="J117" xml:space="preserve"> --( SUMPRODUCT( --( co_variants[[#This Row],[sector_id]] = data_scaledImpacts[sector] ), --( co_variants[[#This Row],[variant_id_excel]] = data_scaledImpacts[variant] ) ) &gt; 1 )</f>
        <v>1</v>
      </c>
      <c r="K117" s="65" cm="1">
        <f t="array" ref="K117" xml:space="preserve"> --( SUMPRODUCT( --( co_impactTypes[sector_id] = co_variants[[#This Row],[sector_id]] ) ) &gt; 1 )</f>
        <v>1</v>
      </c>
      <c r="L117"/>
      <c r="M117"/>
      <c r="N117"/>
      <c r="O117"/>
    </row>
    <row r="118" spans="1:21" ht="14.5" x14ac:dyDescent="0.35">
      <c r="B118" s="7">
        <f xml:space="preserve"> ROW( co_variants[[#This Row],[row_id]] ) - ROW( co_variants[[#Headers],[row_id]] )</f>
        <v>38</v>
      </c>
      <c r="C118" s="14" t="s">
        <v>1301</v>
      </c>
      <c r="D118" s="57" t="s">
        <v>201</v>
      </c>
      <c r="E118" s="83" t="s">
        <v>922</v>
      </c>
      <c r="F118" s="112" t="s">
        <v>201</v>
      </c>
      <c r="G118" s="97">
        <v>1</v>
      </c>
      <c r="H118" s="97">
        <v>1</v>
      </c>
      <c r="I118" s="82" t="str">
        <f xml:space="preserve"> INDEX( co_impactTypes[damageAdjName], MATCH( co_variants[[#This Row],[sector_id]], co_impactTypes[sector_id], 0 ) ) &amp;
   IF( co_variants[[#This Row],[sector_id]] = "Roads", IF( co_variants[[#This Row],[variant_id_excel]] = "Proactive", "_proactive", "_other" ), "" )</f>
        <v>none</v>
      </c>
      <c r="J118" s="65" cm="1">
        <f t="array" ref="J118" xml:space="preserve"> --( SUMPRODUCT( --( co_variants[[#This Row],[sector_id]] = data_scaledImpacts[sector] ), --( co_variants[[#This Row],[variant_id_excel]] = data_scaledImpacts[variant] ) ) &gt; 1 )</f>
        <v>1</v>
      </c>
      <c r="K118" s="65" cm="1">
        <f t="array" ref="K118" xml:space="preserve"> --( SUMPRODUCT( --( co_impactTypes[sector_id] = co_variants[[#This Row],[sector_id]] ) ) &gt; 1 )</f>
        <v>1</v>
      </c>
      <c r="L118"/>
      <c r="M118"/>
      <c r="N118"/>
      <c r="O118"/>
    </row>
    <row r="119" spans="1:21" ht="14.5" x14ac:dyDescent="0.35">
      <c r="B119" s="7">
        <f xml:space="preserve"> ROW( co_variants[[#This Row],[row_id]] ) - ROW( co_variants[[#Headers],[row_id]] )</f>
        <v>39</v>
      </c>
      <c r="C119" s="14" t="s">
        <v>227</v>
      </c>
      <c r="D119" s="57" t="s">
        <v>201</v>
      </c>
      <c r="E119" s="83" t="s">
        <v>922</v>
      </c>
      <c r="F119" s="112" t="s">
        <v>201</v>
      </c>
      <c r="G119" s="58">
        <v>1</v>
      </c>
      <c r="H119" s="58">
        <v>1</v>
      </c>
      <c r="I119" s="82" t="str">
        <f xml:space="preserve"> INDEX( co_impactTypes[damageAdjName], MATCH( co_variants[[#This Row],[sector_id]], co_impactTypes[sector_id], 0 ) ) &amp;
   IF( co_variants[[#This Row],[sector_id]] = "Roads", IF( co_variants[[#This Row],[variant_id_excel]] = "Proactive", "_proactive", "_other" ), "" )</f>
        <v>none</v>
      </c>
      <c r="J119" s="65" cm="1">
        <f t="array" ref="J119" xml:space="preserve"> --( SUMPRODUCT( --( co_variants[[#This Row],[sector_id]] = data_scaledImpacts[sector] ), --( co_variants[[#This Row],[variant_id_excel]] = data_scaledImpacts[variant] ) ) &gt; 1 )</f>
        <v>1</v>
      </c>
      <c r="K119" s="65" cm="1">
        <f t="array" ref="K119" xml:space="preserve"> --( SUMPRODUCT( --( co_impactTypes[sector_id] = co_variants[[#This Row],[sector_id]] ) ) &gt; 1 )</f>
        <v>0</v>
      </c>
      <c r="L119"/>
      <c r="M119"/>
      <c r="N119"/>
      <c r="O119"/>
    </row>
    <row r="120" spans="1:21" ht="14.5" x14ac:dyDescent="0.35">
      <c r="B120" s="7">
        <f xml:space="preserve"> ROW( co_variants[[#This Row],[row_id]] ) - ROW( co_variants[[#Headers],[row_id]] )</f>
        <v>40</v>
      </c>
      <c r="C120" s="14" t="s">
        <v>761</v>
      </c>
      <c r="D120" s="57" t="s">
        <v>201</v>
      </c>
      <c r="E120" s="83" t="s">
        <v>922</v>
      </c>
      <c r="F120" s="112" t="s">
        <v>201</v>
      </c>
      <c r="G120" s="58">
        <v>1</v>
      </c>
      <c r="H120" s="58">
        <v>1</v>
      </c>
      <c r="I120" s="82" t="str">
        <f xml:space="preserve"> INDEX( co_impactTypes[damageAdjName], MATCH( co_variants[[#This Row],[sector_id]], co_impactTypes[sector_id], 0 ) ) &amp;
   IF( co_variants[[#This Row],[sector_id]] = "Roads", IF( co_variants[[#This Row],[variant_id_excel]] = "Proactive", "_proactive", "_other" ), "" )</f>
        <v>none</v>
      </c>
      <c r="J120" s="65" cm="1">
        <f t="array" ref="J120" xml:space="preserve"> --( SUMPRODUCT( --( co_variants[[#This Row],[sector_id]] = data_scaledImpacts[sector] ), --( co_variants[[#This Row],[variant_id_excel]] = data_scaledImpacts[variant] ) ) &gt; 1 )</f>
        <v>1</v>
      </c>
      <c r="K120" s="65" cm="1">
        <f t="array" ref="K120" xml:space="preserve"> --( SUMPRODUCT( --( co_impactTypes[sector_id] = co_variants[[#This Row],[sector_id]] ) ) &gt; 1 )</f>
        <v>1</v>
      </c>
      <c r="L120"/>
      <c r="M120"/>
      <c r="N120"/>
      <c r="O120"/>
    </row>
    <row r="121" spans="1:21" ht="14.5" x14ac:dyDescent="0.35">
      <c r="B121" s="7">
        <f xml:space="preserve"> ROW( co_variants[[#This Row],[row_id]] ) - ROW( co_variants[[#Headers],[row_id]] )</f>
        <v>41</v>
      </c>
      <c r="C121" s="14" t="s">
        <v>1083</v>
      </c>
      <c r="D121" s="57" t="s">
        <v>201</v>
      </c>
      <c r="E121" s="83" t="s">
        <v>922</v>
      </c>
      <c r="F121" s="112" t="s">
        <v>201</v>
      </c>
      <c r="G121" s="97">
        <v>1</v>
      </c>
      <c r="H121" s="97">
        <v>1</v>
      </c>
      <c r="I121" s="82" t="str">
        <f xml:space="preserve"> INDEX( co_impactTypes[damageAdjName], MATCH( co_variants[[#This Row],[sector_id]], co_impactTypes[sector_id], 0 ) ) &amp;
   IF( co_variants[[#This Row],[sector_id]] = "Roads", IF( co_variants[[#This Row],[variant_id_excel]] = "Proactive", "_proactive", "_other" ), "" )</f>
        <v>none</v>
      </c>
      <c r="J121" s="65" cm="1">
        <f t="array" ref="J121" xml:space="preserve"> --( SUMPRODUCT( --( co_variants[[#This Row],[sector_id]] = data_scaledImpacts[sector] ), --( co_variants[[#This Row],[variant_id_excel]] = data_scaledImpacts[variant] ) ) &gt; 1 )</f>
        <v>1</v>
      </c>
      <c r="K121" s="65" cm="1">
        <f t="array" ref="K121" xml:space="preserve"> --( SUMPRODUCT( --( co_impactTypes[sector_id] = co_variants[[#This Row],[sector_id]] ) ) &gt; 1 )</f>
        <v>0</v>
      </c>
      <c r="L121"/>
      <c r="M121"/>
      <c r="N121"/>
      <c r="O121"/>
    </row>
    <row r="122" spans="1:21" ht="14.5" x14ac:dyDescent="0.35">
      <c r="B122" s="7">
        <f xml:space="preserve"> ROW( co_variants[[#This Row],[row_id]] ) - ROW( co_variants[[#Headers],[row_id]] )</f>
        <v>42</v>
      </c>
      <c r="C122" s="14" t="s">
        <v>89</v>
      </c>
      <c r="D122" s="57" t="s">
        <v>201</v>
      </c>
      <c r="E122" s="83" t="s">
        <v>922</v>
      </c>
      <c r="F122" s="112" t="s">
        <v>201</v>
      </c>
      <c r="G122" s="58">
        <v>1</v>
      </c>
      <c r="H122" s="58">
        <v>1</v>
      </c>
      <c r="I122" s="82" t="str">
        <f xml:space="preserve"> INDEX( co_impactTypes[damageAdjName], MATCH( co_variants[[#This Row],[sector_id]], co_impactTypes[sector_id], 0 ) ) &amp;
   IF( co_variants[[#This Row],[sector_id]] = "Roads", IF( co_variants[[#This Row],[variant_id_excel]] = "Proactive", "_proactive", "_other" ), "" )</f>
        <v>none</v>
      </c>
      <c r="J122" s="65" cm="1">
        <f t="array" ref="J122" xml:space="preserve"> --( SUMPRODUCT( --( co_variants[[#This Row],[sector_id]] = data_scaledImpacts[sector] ), --( co_variants[[#This Row],[variant_id_excel]] = data_scaledImpacts[variant] ) ) &gt; 1 )</f>
        <v>1</v>
      </c>
      <c r="K122" s="65" cm="1">
        <f t="array" ref="K122" xml:space="preserve"> --( SUMPRODUCT( --( co_impactTypes[sector_id] = co_variants[[#This Row],[sector_id]] ) ) &gt; 1 )</f>
        <v>1</v>
      </c>
      <c r="L122"/>
      <c r="M122"/>
      <c r="N122"/>
      <c r="O122"/>
    </row>
    <row r="124" spans="1:21" ht="14.5" x14ac:dyDescent="0.35">
      <c r="A124" s="47"/>
      <c r="B124" s="48" t="s">
        <v>200</v>
      </c>
      <c r="C124" s="48"/>
      <c r="D124" s="48"/>
      <c r="E124" s="48"/>
      <c r="F124" s="48"/>
      <c r="G124" s="48"/>
      <c r="H124" s="48"/>
      <c r="I124" s="48"/>
      <c r="J124" s="48"/>
      <c r="K124" s="48"/>
      <c r="L124" s="48"/>
      <c r="M124" s="48"/>
      <c r="N124" s="48"/>
      <c r="O124" s="48"/>
      <c r="P124" s="48"/>
      <c r="Q124" s="48"/>
      <c r="R124" s="48"/>
      <c r="S124" s="48"/>
      <c r="T124" s="48"/>
      <c r="U124" s="48"/>
    </row>
    <row r="125" spans="1:21" x14ac:dyDescent="0.3">
      <c r="B125" s="5" t="s">
        <v>1217</v>
      </c>
    </row>
    <row r="126" spans="1:21" x14ac:dyDescent="0.3">
      <c r="B126" s="60" t="s">
        <v>780</v>
      </c>
      <c r="C126" s="60" t="s">
        <v>219</v>
      </c>
      <c r="D126" s="60" t="s">
        <v>926</v>
      </c>
      <c r="E126" s="61" t="s">
        <v>927</v>
      </c>
      <c r="F126" s="60" t="s">
        <v>930</v>
      </c>
      <c r="G126" s="60" t="s">
        <v>928</v>
      </c>
      <c r="H126" s="60" t="s">
        <v>1014</v>
      </c>
      <c r="I126" s="60" t="s">
        <v>792</v>
      </c>
      <c r="J126" s="60" t="s">
        <v>794</v>
      </c>
      <c r="K126" s="60" t="s">
        <v>796</v>
      </c>
      <c r="L126" s="60" t="s">
        <v>262</v>
      </c>
      <c r="M126" s="60" t="s">
        <v>912</v>
      </c>
      <c r="N126" s="62" t="s">
        <v>763</v>
      </c>
      <c r="O126" s="62" t="s">
        <v>764</v>
      </c>
      <c r="P126" s="62" t="s">
        <v>765</v>
      </c>
      <c r="Q126" s="62" t="s">
        <v>766</v>
      </c>
      <c r="R126" s="62" t="s">
        <v>914</v>
      </c>
      <c r="S126" s="62" t="s">
        <v>1007</v>
      </c>
      <c r="T126" s="62" t="s">
        <v>1008</v>
      </c>
      <c r="U126" s="62" t="s">
        <v>1009</v>
      </c>
    </row>
    <row r="127" spans="1:21" x14ac:dyDescent="0.3">
      <c r="B127" s="7">
        <f xml:space="preserve"> ROW( co_impactTypes[[#This Row],[row_id]] ) - ROW(co_impactTypes[[#Headers],[row_id]] )</f>
        <v>1</v>
      </c>
      <c r="C127" s="14" t="s">
        <v>559</v>
      </c>
      <c r="D127" s="59" t="s">
        <v>800</v>
      </c>
      <c r="E127" s="83" t="s">
        <v>560</v>
      </c>
      <c r="F127" s="115" t="s">
        <v>560</v>
      </c>
      <c r="G127" s="63" t="s">
        <v>800</v>
      </c>
      <c r="H127" s="59" t="s">
        <v>1015</v>
      </c>
      <c r="I127" s="59" t="s">
        <v>251</v>
      </c>
      <c r="J127" s="59" t="s">
        <v>256</v>
      </c>
      <c r="K127" s="59" t="s">
        <v>256</v>
      </c>
      <c r="L127" s="59" t="s">
        <v>786</v>
      </c>
      <c r="M127" s="59" t="s">
        <v>257</v>
      </c>
      <c r="N127" s="58">
        <v>0</v>
      </c>
      <c r="O127" s="58">
        <v>1</v>
      </c>
      <c r="P127" s="58">
        <v>0.4</v>
      </c>
      <c r="Q127" s="64">
        <f xml:space="preserve"> IF(co_impactTypes[[#This Row],[econMultiplierName]]="None", "N/A", 2010)</f>
        <v>2010</v>
      </c>
      <c r="R127" s="65" cm="1">
        <f t="array" ref="R127" xml:space="preserve"> IF( INDEX( co_sectors[modelType], MATCH( 1, --( co_impactTypes[[#This Row],[sector_id]] = co_sectors[sector_id] ), 0 ) ) = "gcm",
         --( SUMPRODUCT( --( co_impactTypes[[#This Row],[sector_id]] = data_scaledImpacts[sector] ), --( co_impactTypes[[#This Row],[impactType_id_excel]] = data_scaledImpacts[impactType] ) ) &gt; 1 ),
         --( SUMPRODUCT( --( co_impactTypes[[#This Row],[sector_id]] = slrImpacts[sector] ), --( co_impactTypes[[#This Row],[impactType_id_excel]] = slrImpacts[impactType] ) ) &gt; 1 ) )</f>
        <v>1</v>
      </c>
      <c r="S127" s="65" cm="1">
        <f t="array" ref="S127" xml:space="preserve"> IF( co_impactTypes[[#This Row],[damageAdjName]] = "none", 1, --( SUMPRODUCT( --IF( ISERROR( FIND( co_impactTypes[[#This Row],[damageAdjName]], scalarDataframe[scalarName] ) ), 0, 1 ), --( "damageAdj" = scalarDataframe[scalarType] ) ) &gt;= 1 ) )</f>
        <v>1</v>
      </c>
      <c r="T127" s="65" cm="1">
        <f t="array" ref="T127" xml:space="preserve"> IF( co_impactTypes[[#This Row],[econScalarName]] = "none", 1, --( SUMPRODUCT( --IF( ISERROR( FIND( co_impactTypes[[#This Row],[econScalarName]], scalarDataframe[scalarName] ) ), 0, 1 ), --( "econScalar" = scalarDataframe[scalarType] ) ) &gt;= 1 ) )</f>
        <v>1</v>
      </c>
      <c r="U127" s="65" cm="1">
        <f t="array" ref="U127" xml:space="preserve"> IF( NOT( ISERROR( FIND( co_impactTypes[[#This Row],[physScalarName]], "none, reg_pop" ) ) ), 1, --( SUMPRODUCT( --IF( ISERROR( FIND( co_impactTypes[[#This Row],[physScalarName]], scalarDataframe[scalarName] ) ), 0, 1 ), --( "physScalar" = scalarDataframe[scalarType] ) ) &gt;= 1 ) )</f>
        <v>1</v>
      </c>
    </row>
    <row r="128" spans="1:21" x14ac:dyDescent="0.3">
      <c r="B128" s="7">
        <f xml:space="preserve"> ROW( co_impactTypes[[#This Row],[row_id]] ) - ROW(co_impactTypes[[#Headers],[row_id]] )</f>
        <v>2</v>
      </c>
      <c r="C128" s="14" t="s">
        <v>559</v>
      </c>
      <c r="D128" s="59" t="s">
        <v>801</v>
      </c>
      <c r="E128" s="83" t="s">
        <v>659</v>
      </c>
      <c r="F128" s="115" t="s">
        <v>659</v>
      </c>
      <c r="G128" s="63" t="s">
        <v>801</v>
      </c>
      <c r="H128" s="59" t="s">
        <v>1015</v>
      </c>
      <c r="I128" s="59" t="s">
        <v>251</v>
      </c>
      <c r="J128" s="59" t="s">
        <v>256</v>
      </c>
      <c r="K128" s="59" t="s">
        <v>256</v>
      </c>
      <c r="L128" s="59" t="s">
        <v>786</v>
      </c>
      <c r="M128" s="59" t="s">
        <v>257</v>
      </c>
      <c r="N128" s="58">
        <v>0</v>
      </c>
      <c r="O128" s="58">
        <v>1</v>
      </c>
      <c r="P128" s="58">
        <v>0.4</v>
      </c>
      <c r="Q128" s="64">
        <f xml:space="preserve"> IF(co_impactTypes[[#This Row],[econMultiplierName]]="None", "N/A", 2010)</f>
        <v>2010</v>
      </c>
      <c r="R128" s="65" cm="1">
        <f t="array" ref="R128" xml:space="preserve"> IF( INDEX( co_sectors[modelType], MATCH( 1, --( co_impactTypes[[#This Row],[sector_id]] = co_sectors[sector_id] ), 0 ) ) = "gcm",
         --( SUMPRODUCT( --( co_impactTypes[[#This Row],[sector_id]] = data_scaledImpacts[sector] ), --( co_impactTypes[[#This Row],[impactType_id_excel]] = data_scaledImpacts[impactType] ) ) &gt; 1 ),
         --( SUMPRODUCT( --( co_impactTypes[[#This Row],[sector_id]] = slrImpacts[sector] ), --( co_impactTypes[[#This Row],[impactType_id_excel]] = slrImpacts[impactType] ) ) &gt; 1 ) )</f>
        <v>1</v>
      </c>
      <c r="S128" s="65" cm="1">
        <f t="array" ref="S128" xml:space="preserve"> IF( co_impactTypes[[#This Row],[damageAdjName]] = "none", 1, --( SUMPRODUCT( --IF( ISERROR( FIND( co_impactTypes[[#This Row],[damageAdjName]], scalarDataframe[scalarName] ) ), 0, 1 ), --( "damageAdj" = scalarDataframe[scalarType] ) ) &gt;= 1 ) )</f>
        <v>1</v>
      </c>
      <c r="T128" s="65" cm="1">
        <f t="array" ref="T128" xml:space="preserve"> IF( co_impactTypes[[#This Row],[econScalarName]] = "none", 1, --( SUMPRODUCT( --IF( ISERROR( FIND( co_impactTypes[[#This Row],[econScalarName]], scalarDataframe[scalarName] ) ), 0, 1 ), --( "econScalar" = scalarDataframe[scalarType] ) ) &gt;= 1 ) )</f>
        <v>1</v>
      </c>
      <c r="U128" s="65" cm="1">
        <f t="array" ref="U128" xml:space="preserve"> IF( NOT( ISERROR( FIND( co_impactTypes[[#This Row],[physScalarName]], "none, reg_pop" ) ) ), 1, --( SUMPRODUCT( --IF( ISERROR( FIND( co_impactTypes[[#This Row],[physScalarName]], scalarDataframe[scalarName] ) ), 0, 1 ), --( "physScalar" = scalarDataframe[scalarType] ) ) &gt;= 1 ) )</f>
        <v>1</v>
      </c>
    </row>
    <row r="129" spans="2:21" x14ac:dyDescent="0.3">
      <c r="B129" s="7">
        <f xml:space="preserve"> ROW( co_impactTypes[[#This Row],[row_id]] ) - ROW(co_impactTypes[[#Headers],[row_id]] )</f>
        <v>3</v>
      </c>
      <c r="C129" s="14" t="s">
        <v>1000</v>
      </c>
      <c r="D129" s="59" t="s">
        <v>201</v>
      </c>
      <c r="E129" s="83" t="s">
        <v>922</v>
      </c>
      <c r="F129" s="115"/>
      <c r="G129" s="63" t="s">
        <v>1001</v>
      </c>
      <c r="H129" s="59"/>
      <c r="I129" s="59" t="s">
        <v>1004</v>
      </c>
      <c r="J129" s="59" t="s">
        <v>256</v>
      </c>
      <c r="K129" s="59" t="s">
        <v>256</v>
      </c>
      <c r="L129" s="59" t="s">
        <v>256</v>
      </c>
      <c r="M129" s="59" t="s">
        <v>256</v>
      </c>
      <c r="N129" s="58">
        <v>0</v>
      </c>
      <c r="O129" s="58">
        <v>1</v>
      </c>
      <c r="P129" s="58">
        <v>1</v>
      </c>
      <c r="Q129" s="64" t="str">
        <f xml:space="preserve"> IF(co_impactTypes[[#This Row],[econMultiplierName]]="None", "N/A", 2010)</f>
        <v>N/A</v>
      </c>
      <c r="R129" s="65" cm="1">
        <f t="array" ref="R129" xml:space="preserve"> IF( INDEX( co_sectors[modelType], MATCH( 1, --( co_impactTypes[[#This Row],[sector_id]] = co_sectors[sector_id] ), 0 ) ) = "gcm",
         --( SUMPRODUCT( --( co_impactTypes[[#This Row],[sector_id]] = data_scaledImpacts[sector] ), --( co_impactTypes[[#This Row],[impactType_id_excel]] = data_scaledImpacts[impactType] ) ) &gt; 1 ),
         --( SUMPRODUCT( --( co_impactTypes[[#This Row],[sector_id]] = slrImpacts[sector] ), --( co_impactTypes[[#This Row],[impactType_id_excel]] = slrImpacts[impactType] ) ) &gt; 1 ) )</f>
        <v>1</v>
      </c>
      <c r="S129" s="65" cm="1">
        <f t="array" ref="S129" xml:space="preserve"> IF( co_impactTypes[[#This Row],[damageAdjName]] = "none", 1, --( SUMPRODUCT( --IF( ISERROR( FIND( co_impactTypes[[#This Row],[damageAdjName]], scalarDataframe[scalarName] ) ), 0, 1 ), --( "damageAdj" = scalarDataframe[scalarType] ) ) &gt;= 1 ) )</f>
        <v>1</v>
      </c>
      <c r="T129" s="65" cm="1">
        <f t="array" ref="T129" xml:space="preserve"> IF( co_impactTypes[[#This Row],[econScalarName]] = "none", 1, --( SUMPRODUCT( --IF( ISERROR( FIND( co_impactTypes[[#This Row],[econScalarName]], scalarDataframe[scalarName] ) ), 0, 1 ), --( "econScalar" = scalarDataframe[scalarType] ) ) &gt;= 1 ) )</f>
        <v>1</v>
      </c>
      <c r="U129" s="65" cm="1">
        <f t="array" ref="U129" xml:space="preserve"> IF( NOT( ISERROR( FIND( co_impactTypes[[#This Row],[physScalarName]], "none, reg_pop" ) ) ), 1, --( SUMPRODUCT( --IF( ISERROR( FIND( co_impactTypes[[#This Row],[physScalarName]], scalarDataframe[scalarName] ) ), 0, 1 ), --( "physScalar" = scalarDataframe[scalarType] ) ) &gt;= 1 ) )</f>
        <v>1</v>
      </c>
    </row>
    <row r="130" spans="2:21" x14ac:dyDescent="0.3">
      <c r="B130" s="7">
        <f xml:space="preserve"> ROW( co_impactTypes[[#This Row],[row_id]] ) - ROW(co_impactTypes[[#Headers],[row_id]] )</f>
        <v>4</v>
      </c>
      <c r="C130" s="14" t="s">
        <v>1243</v>
      </c>
      <c r="D130" s="59" t="s">
        <v>201</v>
      </c>
      <c r="E130" s="83" t="s">
        <v>922</v>
      </c>
      <c r="F130" s="115"/>
      <c r="G130" s="63" t="s">
        <v>1261</v>
      </c>
      <c r="H130" s="59" t="s">
        <v>1015</v>
      </c>
      <c r="I130" s="59" t="s">
        <v>251</v>
      </c>
      <c r="J130" s="59" t="s">
        <v>256</v>
      </c>
      <c r="K130" s="59" t="s">
        <v>256</v>
      </c>
      <c r="L130" s="59" t="s">
        <v>786</v>
      </c>
      <c r="M130" s="59" t="s">
        <v>257</v>
      </c>
      <c r="N130" s="58">
        <v>0</v>
      </c>
      <c r="O130" s="58">
        <v>1</v>
      </c>
      <c r="P130" s="58">
        <v>0.4</v>
      </c>
      <c r="Q130" s="64">
        <f xml:space="preserve"> IF(co_impactTypes[[#This Row],[econMultiplierName]]="None", "N/A", 2010)</f>
        <v>2010</v>
      </c>
      <c r="R130" s="65" cm="1">
        <f t="array" ref="R130" xml:space="preserve"> IF( INDEX( co_sectors[modelType], MATCH( 1, --( co_impactTypes[[#This Row],[sector_id]] = co_sectors[sector_id] ), 0 ) ) = "gcm",
         --( SUMPRODUCT( --( co_impactTypes[[#This Row],[sector_id]] = data_scaledImpacts[sector] ), --( co_impactTypes[[#This Row],[impactType_id_excel]] = data_scaledImpacts[impactType] ) ) &gt; 1 ),
         --( SUMPRODUCT( --( co_impactTypes[[#This Row],[sector_id]] = slrImpacts[sector] ), --( co_impactTypes[[#This Row],[impactType_id_excel]] = slrImpacts[impactType] ) ) &gt; 1 ) )</f>
        <v>1</v>
      </c>
      <c r="S130" s="65" cm="1">
        <f t="array" ref="S130" xml:space="preserve"> IF( co_impactTypes[[#This Row],[damageAdjName]] = "none", 1, --( SUMPRODUCT( --IF( ISERROR( FIND( co_impactTypes[[#This Row],[damageAdjName]], scalarDataframe[scalarName] ) ), 0, 1 ), --( "damageAdj" = scalarDataframe[scalarType] ) ) &gt;= 1 ) )</f>
        <v>1</v>
      </c>
      <c r="T130" s="65" cm="1">
        <f t="array" ref="T130" xml:space="preserve"> IF( co_impactTypes[[#This Row],[econScalarName]] = "none", 1, --( SUMPRODUCT( --IF( ISERROR( FIND( co_impactTypes[[#This Row],[econScalarName]], scalarDataframe[scalarName] ) ), 0, 1 ), --( "econScalar" = scalarDataframe[scalarType] ) ) &gt;= 1 ) )</f>
        <v>1</v>
      </c>
      <c r="U130" s="65" cm="1">
        <f t="array" ref="U130" xml:space="preserve"> IF( NOT( ISERROR( FIND( co_impactTypes[[#This Row],[physScalarName]], "none, reg_pop" ) ) ), 1, --( SUMPRODUCT( --IF( ISERROR( FIND( co_impactTypes[[#This Row],[physScalarName]], scalarDataframe[scalarName] ) ), 0, 1 ), --( "physScalar" = scalarDataframe[scalarType] ) ) &gt;= 1 ) )</f>
        <v>1</v>
      </c>
    </row>
    <row r="131" spans="2:21" x14ac:dyDescent="0.3">
      <c r="B131" s="7">
        <f xml:space="preserve"> ROW( co_impactTypes[[#This Row],[row_id]] ) - ROW(co_impactTypes[[#Headers],[row_id]] )</f>
        <v>5</v>
      </c>
      <c r="C131" s="14" t="s">
        <v>1224</v>
      </c>
      <c r="D131" s="59" t="s">
        <v>1161</v>
      </c>
      <c r="E131" s="59" t="s">
        <v>1161</v>
      </c>
      <c r="F131" s="59" t="s">
        <v>1161</v>
      </c>
      <c r="G131" s="63" t="s">
        <v>1165</v>
      </c>
      <c r="H131" s="59"/>
      <c r="I131" s="59" t="s">
        <v>256</v>
      </c>
      <c r="J131" s="59" t="s">
        <v>256</v>
      </c>
      <c r="K131" s="59" t="s">
        <v>256</v>
      </c>
      <c r="L131" s="59" t="s">
        <v>256</v>
      </c>
      <c r="M131" s="59" t="s">
        <v>256</v>
      </c>
      <c r="N131" s="58">
        <v>0</v>
      </c>
      <c r="O131" s="58">
        <v>1</v>
      </c>
      <c r="P131" s="58">
        <v>1</v>
      </c>
      <c r="Q131" s="64" t="str">
        <f xml:space="preserve"> IF(co_impactTypes[[#This Row],[econMultiplierName]]="None", "N/A", 2010)</f>
        <v>N/A</v>
      </c>
      <c r="R131" s="65" cm="1">
        <f t="array" ref="R131" xml:space="preserve"> IF( INDEX( co_sectors[modelType], MATCH( 1, --( co_impactTypes[[#This Row],[sector_id]] = co_sectors[sector_id] ), 0 ) ) = "gcm",
         --( SUMPRODUCT( --( co_impactTypes[[#This Row],[sector_id]] = data_scaledImpacts[sector] ), --( co_impactTypes[[#This Row],[impactType_id_excel]] = data_scaledImpacts[impactType] ) ) &gt; 1 ),
         --( SUMPRODUCT( --( co_impactTypes[[#This Row],[sector_id]] = slrImpacts[sector] ), --( co_impactTypes[[#This Row],[impactType_id_excel]] = slrImpacts[impactType] ) ) &gt; 1 ) )</f>
        <v>1</v>
      </c>
      <c r="S131" s="65" cm="1">
        <f t="array" ref="S131" xml:space="preserve"> IF( co_impactTypes[[#This Row],[damageAdjName]] = "none", 1, --( SUMPRODUCT( --IF( ISERROR( FIND( co_impactTypes[[#This Row],[damageAdjName]], scalarDataframe[scalarName] ) ), 0, 1 ), --( "damageAdj" = scalarDataframe[scalarType] ) ) &gt;= 1 ) )</f>
        <v>1</v>
      </c>
      <c r="T131" s="65" cm="1">
        <f t="array" ref="T131" xml:space="preserve"> IF( co_impactTypes[[#This Row],[econScalarName]] = "none", 1, --( SUMPRODUCT( --IF( ISERROR( FIND( co_impactTypes[[#This Row],[econScalarName]], scalarDataframe[scalarName] ) ), 0, 1 ), --( "econScalar" = scalarDataframe[scalarType] ) ) &gt;= 1 ) )</f>
        <v>1</v>
      </c>
      <c r="U131" s="65" cm="1">
        <f t="array" ref="U131" xml:space="preserve"> IF( NOT( ISERROR( FIND( co_impactTypes[[#This Row],[physScalarName]], "none, reg_pop" ) ) ), 1, --( SUMPRODUCT( --IF( ISERROR( FIND( co_impactTypes[[#This Row],[physScalarName]], scalarDataframe[scalarName] ) ), 0, 1 ), --( "physScalar" = scalarDataframe[scalarType] ) ) &gt;= 1 ) )</f>
        <v>1</v>
      </c>
    </row>
    <row r="132" spans="2:21" x14ac:dyDescent="0.3">
      <c r="B132" s="7">
        <f xml:space="preserve"> ROW( co_impactTypes[[#This Row],[row_id]] ) - ROW(co_impactTypes[[#Headers],[row_id]] )</f>
        <v>6</v>
      </c>
      <c r="C132" s="14" t="s">
        <v>1224</v>
      </c>
      <c r="D132" s="59" t="s">
        <v>1162</v>
      </c>
      <c r="E132" s="59" t="s">
        <v>1162</v>
      </c>
      <c r="F132" s="59" t="s">
        <v>1162</v>
      </c>
      <c r="G132" s="63" t="s">
        <v>1165</v>
      </c>
      <c r="H132" s="59"/>
      <c r="I132" s="59" t="s">
        <v>256</v>
      </c>
      <c r="J132" s="125" t="s">
        <v>256</v>
      </c>
      <c r="K132" s="125" t="s">
        <v>256</v>
      </c>
      <c r="L132" s="59" t="s">
        <v>256</v>
      </c>
      <c r="M132" s="59" t="s">
        <v>256</v>
      </c>
      <c r="N132" s="58">
        <v>0</v>
      </c>
      <c r="O132" s="58">
        <v>1</v>
      </c>
      <c r="P132" s="58">
        <v>1</v>
      </c>
      <c r="Q132" s="64" t="str">
        <f xml:space="preserve"> IF(co_impactTypes[[#This Row],[econMultiplierName]]="None", "N/A", 2010)</f>
        <v>N/A</v>
      </c>
      <c r="R132" s="65" cm="1">
        <f t="array" ref="R132" xml:space="preserve"> IF( INDEX( co_sectors[modelType], MATCH( 1, --( co_impactTypes[[#This Row],[sector_id]] = co_sectors[sector_id] ), 0 ) ) = "gcm",
         --( SUMPRODUCT( --( co_impactTypes[[#This Row],[sector_id]] = data_scaledImpacts[sector] ), --( co_impactTypes[[#This Row],[impactType_id_excel]] = data_scaledImpacts[impactType] ) ) &gt; 1 ),
         --( SUMPRODUCT( --( co_impactTypes[[#This Row],[sector_id]] = slrImpacts[sector] ), --( co_impactTypes[[#This Row],[impactType_id_excel]] = slrImpacts[impactType] ) ) &gt; 1 ) )</f>
        <v>1</v>
      </c>
      <c r="S132" s="65" cm="1">
        <f t="array" ref="S132" xml:space="preserve"> IF( co_impactTypes[[#This Row],[damageAdjName]] = "none", 1, --( SUMPRODUCT( --IF( ISERROR( FIND( co_impactTypes[[#This Row],[damageAdjName]], scalarDataframe[scalarName] ) ), 0, 1 ), --( "damageAdj" = scalarDataframe[scalarType] ) ) &gt;= 1 ) )</f>
        <v>1</v>
      </c>
      <c r="T132" s="65" cm="1">
        <f t="array" ref="T132" xml:space="preserve"> IF( co_impactTypes[[#This Row],[econScalarName]] = "none", 1, --( SUMPRODUCT( --IF( ISERROR( FIND( co_impactTypes[[#This Row],[econScalarName]], scalarDataframe[scalarName] ) ), 0, 1 ), --( "econScalar" = scalarDataframe[scalarType] ) ) &gt;= 1 ) )</f>
        <v>1</v>
      </c>
      <c r="U132" s="65" cm="1">
        <f t="array" ref="U132" xml:space="preserve"> IF( NOT( ISERROR( FIND( co_impactTypes[[#This Row],[physScalarName]], "none, reg_pop" ) ) ), 1, --( SUMPRODUCT( --IF( ISERROR( FIND( co_impactTypes[[#This Row],[physScalarName]], scalarDataframe[scalarName] ) ), 0, 1 ), --( "physScalar" = scalarDataframe[scalarType] ) ) &gt;= 1 ) )</f>
        <v>1</v>
      </c>
    </row>
    <row r="133" spans="2:21" x14ac:dyDescent="0.3">
      <c r="B133" s="7">
        <f xml:space="preserve"> ROW( co_impactTypes[[#This Row],[row_id]] ) - ROW(co_impactTypes[[#Headers],[row_id]] )</f>
        <v>7</v>
      </c>
      <c r="C133" s="14" t="s">
        <v>1224</v>
      </c>
      <c r="D133" s="59" t="s">
        <v>1163</v>
      </c>
      <c r="E133" s="59" t="s">
        <v>1163</v>
      </c>
      <c r="F133" s="59" t="s">
        <v>1163</v>
      </c>
      <c r="G133" s="63" t="s">
        <v>1165</v>
      </c>
      <c r="H133" s="59"/>
      <c r="I133" s="59" t="s">
        <v>256</v>
      </c>
      <c r="J133" s="59" t="s">
        <v>256</v>
      </c>
      <c r="K133" s="59" t="s">
        <v>256</v>
      </c>
      <c r="L133" s="59" t="s">
        <v>256</v>
      </c>
      <c r="M133" s="59" t="s">
        <v>256</v>
      </c>
      <c r="N133" s="58">
        <v>0</v>
      </c>
      <c r="O133" s="58">
        <v>1</v>
      </c>
      <c r="P133" s="58">
        <v>1</v>
      </c>
      <c r="Q133" s="64" t="str">
        <f xml:space="preserve"> IF(co_impactTypes[[#This Row],[econMultiplierName]]="None", "N/A", 2010)</f>
        <v>N/A</v>
      </c>
      <c r="R133" s="65" cm="1">
        <f t="array" ref="R133" xml:space="preserve"> IF( INDEX( co_sectors[modelType], MATCH( 1, --( co_impactTypes[[#This Row],[sector_id]] = co_sectors[sector_id] ), 0 ) ) = "gcm",
         --( SUMPRODUCT( --( co_impactTypes[[#This Row],[sector_id]] = data_scaledImpacts[sector] ), --( co_impactTypes[[#This Row],[impactType_id_excel]] = data_scaledImpacts[impactType] ) ) &gt; 1 ),
         --( SUMPRODUCT( --( co_impactTypes[[#This Row],[sector_id]] = slrImpacts[sector] ), --( co_impactTypes[[#This Row],[impactType_id_excel]] = slrImpacts[impactType] ) ) &gt; 1 ) )</f>
        <v>1</v>
      </c>
      <c r="S133" s="65" cm="1">
        <f t="array" ref="S133" xml:space="preserve"> IF( co_impactTypes[[#This Row],[damageAdjName]] = "none", 1, --( SUMPRODUCT( --IF( ISERROR( FIND( co_impactTypes[[#This Row],[damageAdjName]], scalarDataframe[scalarName] ) ), 0, 1 ), --( "damageAdj" = scalarDataframe[scalarType] ) ) &gt;= 1 ) )</f>
        <v>1</v>
      </c>
      <c r="T133" s="65" cm="1">
        <f t="array" ref="T133" xml:space="preserve"> IF( co_impactTypes[[#This Row],[econScalarName]] = "none", 1, --( SUMPRODUCT( --IF( ISERROR( FIND( co_impactTypes[[#This Row],[econScalarName]], scalarDataframe[scalarName] ) ), 0, 1 ), --( "econScalar" = scalarDataframe[scalarType] ) ) &gt;= 1 ) )</f>
        <v>1</v>
      </c>
      <c r="U133" s="65" cm="1">
        <f t="array" ref="U133" xml:space="preserve"> IF( NOT( ISERROR( FIND( co_impactTypes[[#This Row],[physScalarName]], "none, reg_pop" ) ) ), 1, --( SUMPRODUCT( --IF( ISERROR( FIND( co_impactTypes[[#This Row],[physScalarName]], scalarDataframe[scalarName] ) ), 0, 1 ), --( "physScalar" = scalarDataframe[scalarType] ) ) &gt;= 1 ) )</f>
        <v>1</v>
      </c>
    </row>
    <row r="134" spans="2:21" x14ac:dyDescent="0.3">
      <c r="B134" s="7">
        <f xml:space="preserve"> ROW( co_impactTypes[[#This Row],[row_id]] ) - ROW(co_impactTypes[[#Headers],[row_id]] )</f>
        <v>8</v>
      </c>
      <c r="C134" s="14" t="s">
        <v>1224</v>
      </c>
      <c r="D134" s="59" t="s">
        <v>1164</v>
      </c>
      <c r="E134" s="59" t="s">
        <v>1164</v>
      </c>
      <c r="F134" s="59" t="s">
        <v>1164</v>
      </c>
      <c r="G134" s="63" t="s">
        <v>1165</v>
      </c>
      <c r="H134" s="59"/>
      <c r="I134" s="59" t="s">
        <v>256</v>
      </c>
      <c r="J134" s="59" t="s">
        <v>256</v>
      </c>
      <c r="K134" s="59" t="s">
        <v>256</v>
      </c>
      <c r="L134" s="59" t="s">
        <v>256</v>
      </c>
      <c r="M134" s="59" t="s">
        <v>256</v>
      </c>
      <c r="N134" s="58">
        <v>0</v>
      </c>
      <c r="O134" s="58">
        <v>1</v>
      </c>
      <c r="P134" s="58">
        <v>1</v>
      </c>
      <c r="Q134" s="64" t="str">
        <f xml:space="preserve"> IF(co_impactTypes[[#This Row],[econMultiplierName]]="None", "N/A", 2010)</f>
        <v>N/A</v>
      </c>
      <c r="R134" s="65" cm="1">
        <f t="array" ref="R134" xml:space="preserve"> IF( INDEX( co_sectors[modelType], MATCH( 1, --( co_impactTypes[[#This Row],[sector_id]] = co_sectors[sector_id] ), 0 ) ) = "gcm",
         --( SUMPRODUCT( --( co_impactTypes[[#This Row],[sector_id]] = data_scaledImpacts[sector] ), --( co_impactTypes[[#This Row],[impactType_id_excel]] = data_scaledImpacts[impactType] ) ) &gt; 1 ),
         --( SUMPRODUCT( --( co_impactTypes[[#This Row],[sector_id]] = slrImpacts[sector] ), --( co_impactTypes[[#This Row],[impactType_id_excel]] = slrImpacts[impactType] ) ) &gt; 1 ) )</f>
        <v>1</v>
      </c>
      <c r="S134" s="65" cm="1">
        <f t="array" ref="S134" xml:space="preserve"> IF( co_impactTypes[[#This Row],[damageAdjName]] = "none", 1, --( SUMPRODUCT( --IF( ISERROR( FIND( co_impactTypes[[#This Row],[damageAdjName]], scalarDataframe[scalarName] ) ), 0, 1 ), --( "damageAdj" = scalarDataframe[scalarType] ) ) &gt;= 1 ) )</f>
        <v>1</v>
      </c>
      <c r="T134" s="65" cm="1">
        <f t="array" ref="T134" xml:space="preserve"> IF( co_impactTypes[[#This Row],[econScalarName]] = "none", 1, --( SUMPRODUCT( --IF( ISERROR( FIND( co_impactTypes[[#This Row],[econScalarName]], scalarDataframe[scalarName] ) ), 0, 1 ), --( "econScalar" = scalarDataframe[scalarType] ) ) &gt;= 1 ) )</f>
        <v>1</v>
      </c>
      <c r="U134" s="65" cm="1">
        <f t="array" ref="U134" xml:space="preserve"> IF( NOT( ISERROR( FIND( co_impactTypes[[#This Row],[physScalarName]], "none, reg_pop" ) ) ), 1, --( SUMPRODUCT( --IF( ISERROR( FIND( co_impactTypes[[#This Row],[physScalarName]], scalarDataframe[scalarName] ) ), 0, 1 ), --( "physScalar" = scalarDataframe[scalarType] ) ) &gt;= 1 ) )</f>
        <v>1</v>
      </c>
    </row>
    <row r="135" spans="2:21" x14ac:dyDescent="0.3">
      <c r="B135" s="7">
        <f xml:space="preserve"> ROW( co_impactTypes[[#This Row],[row_id]] ) - ROW(co_impactTypes[[#Headers],[row_id]] )</f>
        <v>9</v>
      </c>
      <c r="C135" s="14" t="s">
        <v>1225</v>
      </c>
      <c r="D135" s="59" t="s">
        <v>1218</v>
      </c>
      <c r="E135" s="63" t="s">
        <v>1218</v>
      </c>
      <c r="F135" s="115" t="s">
        <v>1218</v>
      </c>
      <c r="G135" s="63" t="s">
        <v>1228</v>
      </c>
      <c r="H135" s="59" t="s">
        <v>1229</v>
      </c>
      <c r="I135" s="59" t="s">
        <v>256</v>
      </c>
      <c r="J135" s="59" t="s">
        <v>256</v>
      </c>
      <c r="K135" s="59" t="s">
        <v>256</v>
      </c>
      <c r="L135" s="59" t="s">
        <v>1220</v>
      </c>
      <c r="M135" s="59" t="s">
        <v>256</v>
      </c>
      <c r="N135" s="58">
        <v>0</v>
      </c>
      <c r="O135" s="58">
        <v>1</v>
      </c>
      <c r="P135" s="58">
        <v>1</v>
      </c>
      <c r="Q135" s="64" t="str">
        <f xml:space="preserve"> IF(co_impactTypes[[#This Row],[econMultiplierName]]="None", "N/A", 2010)</f>
        <v>N/A</v>
      </c>
      <c r="R135" s="65" cm="1">
        <f t="array" ref="R135" xml:space="preserve"> IF( INDEX( co_sectors[modelType], MATCH( 1, --( co_impactTypes[[#This Row],[sector_id]] = co_sectors[sector_id] ), 0 ) ) = "gcm",
         --( SUMPRODUCT( --( co_impactTypes[[#This Row],[sector_id]] = data_scaledImpacts[sector] ), --( co_impactTypes[[#This Row],[impactType_id_excel]] = data_scaledImpacts[impactType] ) ) &gt; 1 ),
         --( SUMPRODUCT( --( co_impactTypes[[#This Row],[sector_id]] = slrImpacts[sector] ), --( co_impactTypes[[#This Row],[impactType_id_excel]] = slrImpacts[impactType] ) ) &gt; 1 ) )</f>
        <v>1</v>
      </c>
      <c r="S135" s="65" cm="1">
        <f t="array" ref="S135" xml:space="preserve"> IF( co_impactTypes[[#This Row],[damageAdjName]] = "none", 1, --( SUMPRODUCT( --IF( ISERROR( FIND( co_impactTypes[[#This Row],[damageAdjName]], scalarDataframe[scalarName] ) ), 0, 1 ), --( "damageAdj" = scalarDataframe[scalarType] ) ) &gt;= 1 ) )</f>
        <v>1</v>
      </c>
      <c r="T135" s="65" cm="1">
        <f t="array" ref="T135" xml:space="preserve"> IF( co_impactTypes[[#This Row],[econScalarName]] = "none", 1, --( SUMPRODUCT( --IF( ISERROR( FIND( co_impactTypes[[#This Row],[econScalarName]], scalarDataframe[scalarName] ) ), 0, 1 ), --( "econScalar" = scalarDataframe[scalarType] ) ) &gt;= 1 ) )</f>
        <v>1</v>
      </c>
      <c r="U135" s="65" cm="1">
        <f t="array" ref="U135" xml:space="preserve"> IF( NOT( ISERROR( FIND( co_impactTypes[[#This Row],[physScalarName]], "none, reg_pop" ) ) ), 1, --( SUMPRODUCT( --IF( ISERROR( FIND( co_impactTypes[[#This Row],[physScalarName]], scalarDataframe[scalarName] ) ), 0, 1 ), --( "physScalar" = scalarDataframe[scalarType] ) ) &gt;= 1 ) )</f>
        <v>1</v>
      </c>
    </row>
    <row r="136" spans="2:21" x14ac:dyDescent="0.3">
      <c r="B136" s="7">
        <f xml:space="preserve"> ROW( co_impactTypes[[#This Row],[row_id]] ) - ROW(co_impactTypes[[#Headers],[row_id]] )</f>
        <v>10</v>
      </c>
      <c r="C136" s="14" t="s">
        <v>1225</v>
      </c>
      <c r="D136" s="59" t="s">
        <v>1219</v>
      </c>
      <c r="E136" s="63" t="s">
        <v>1219</v>
      </c>
      <c r="F136" s="115" t="s">
        <v>1219</v>
      </c>
      <c r="G136" s="63" t="s">
        <v>1228</v>
      </c>
      <c r="H136" s="59" t="s">
        <v>1229</v>
      </c>
      <c r="I136" s="59" t="s">
        <v>256</v>
      </c>
      <c r="J136" s="59" t="s">
        <v>256</v>
      </c>
      <c r="K136" s="59" t="s">
        <v>256</v>
      </c>
      <c r="L136" s="59" t="s">
        <v>1222</v>
      </c>
      <c r="M136" s="59" t="s">
        <v>256</v>
      </c>
      <c r="N136" s="58">
        <v>0</v>
      </c>
      <c r="O136" s="58">
        <v>1</v>
      </c>
      <c r="P136" s="58">
        <v>1</v>
      </c>
      <c r="Q136" s="64" t="str">
        <f xml:space="preserve"> IF(co_impactTypes[[#This Row],[econMultiplierName]]="None", "N/A", 2010)</f>
        <v>N/A</v>
      </c>
      <c r="R136" s="65" cm="1">
        <f t="array" ref="R136" xml:space="preserve"> IF( INDEX( co_sectors[modelType], MATCH( 1, --( co_impactTypes[[#This Row],[sector_id]] = co_sectors[sector_id] ), 0 ) ) = "gcm",
         --( SUMPRODUCT( --( co_impactTypes[[#This Row],[sector_id]] = data_scaledImpacts[sector] ), --( co_impactTypes[[#This Row],[impactType_id_excel]] = data_scaledImpacts[impactType] ) ) &gt; 1 ),
         --( SUMPRODUCT( --( co_impactTypes[[#This Row],[sector_id]] = slrImpacts[sector] ), --( co_impactTypes[[#This Row],[impactType_id_excel]] = slrImpacts[impactType] ) ) &gt; 1 ) )</f>
        <v>1</v>
      </c>
      <c r="S136" s="65" cm="1">
        <f t="array" ref="S136" xml:space="preserve"> IF( co_impactTypes[[#This Row],[damageAdjName]] = "none", 1, --( SUMPRODUCT( --IF( ISERROR( FIND( co_impactTypes[[#This Row],[damageAdjName]], scalarDataframe[scalarName] ) ), 0, 1 ), --( "damageAdj" = scalarDataframe[scalarType] ) ) &gt;= 1 ) )</f>
        <v>1</v>
      </c>
      <c r="T136" s="65" cm="1">
        <f t="array" ref="T136" xml:space="preserve"> IF( co_impactTypes[[#This Row],[econScalarName]] = "none", 1, --( SUMPRODUCT( --IF( ISERROR( FIND( co_impactTypes[[#This Row],[econScalarName]], scalarDataframe[scalarName] ) ), 0, 1 ), --( "econScalar" = scalarDataframe[scalarType] ) ) &gt;= 1 ) )</f>
        <v>1</v>
      </c>
      <c r="U136" s="65" cm="1">
        <f t="array" ref="U136" xml:space="preserve"> IF( NOT( ISERROR( FIND( co_impactTypes[[#This Row],[physScalarName]], "none, reg_pop" ) ) ), 1, --( SUMPRODUCT( --IF( ISERROR( FIND( co_impactTypes[[#This Row],[physScalarName]], scalarDataframe[scalarName] ) ), 0, 1 ), --( "physScalar" = scalarDataframe[scalarType] ) ) &gt;= 1 ) )</f>
        <v>1</v>
      </c>
    </row>
    <row r="137" spans="2:21" x14ac:dyDescent="0.3">
      <c r="B137" s="7">
        <f xml:space="preserve"> ROW( co_impactTypes[[#This Row],[row_id]] ) - ROW(co_impactTypes[[#Headers],[row_id]] )</f>
        <v>11</v>
      </c>
      <c r="C137" s="14" t="s">
        <v>1154</v>
      </c>
      <c r="D137" s="59" t="s">
        <v>201</v>
      </c>
      <c r="E137" s="83" t="s">
        <v>922</v>
      </c>
      <c r="F137" s="115"/>
      <c r="G137" s="63" t="s">
        <v>768</v>
      </c>
      <c r="H137" s="59" t="s">
        <v>1015</v>
      </c>
      <c r="I137" s="59" t="s">
        <v>251</v>
      </c>
      <c r="J137" s="59" t="s">
        <v>256</v>
      </c>
      <c r="K137" s="59" t="s">
        <v>256</v>
      </c>
      <c r="L137" s="59" t="s">
        <v>786</v>
      </c>
      <c r="M137" s="59" t="s">
        <v>257</v>
      </c>
      <c r="N137" s="58">
        <v>0</v>
      </c>
      <c r="O137" s="58">
        <v>1</v>
      </c>
      <c r="P137" s="58">
        <v>0.4</v>
      </c>
      <c r="Q137" s="64">
        <f xml:space="preserve"> IF(co_impactTypes[[#This Row],[econMultiplierName]]="None", "N/A", 2010)</f>
        <v>2010</v>
      </c>
      <c r="R137" s="65" cm="1">
        <f t="array" ref="R137" xml:space="preserve"> IF( INDEX( co_sectors[modelType], MATCH( 1, --( co_impactTypes[[#This Row],[sector_id]] = co_sectors[sector_id] ), 0 ) ) = "gcm",
         --( SUMPRODUCT( --( co_impactTypes[[#This Row],[sector_id]] = data_scaledImpacts[sector] ), --( co_impactTypes[[#This Row],[impactType_id_excel]] = data_scaledImpacts[impactType] ) ) &gt; 1 ),
         --( SUMPRODUCT( --( co_impactTypes[[#This Row],[sector_id]] = slrImpacts[sector] ), --( co_impactTypes[[#This Row],[impactType_id_excel]] = slrImpacts[impactType] ) ) &gt; 1 ) )</f>
        <v>1</v>
      </c>
      <c r="S137" s="65" cm="1">
        <f t="array" ref="S137" xml:space="preserve"> IF( co_impactTypes[[#This Row],[damageAdjName]] = "none", 1, --( SUMPRODUCT( --IF( ISERROR( FIND( co_impactTypes[[#This Row],[damageAdjName]], scalarDataframe[scalarName] ) ), 0, 1 ), --( "damageAdj" = scalarDataframe[scalarType] ) ) &gt;= 1 ) )</f>
        <v>1</v>
      </c>
      <c r="T137" s="65" cm="1">
        <f t="array" ref="T137" xml:space="preserve"> IF( co_impactTypes[[#This Row],[econScalarName]] = "none", 1, --( SUMPRODUCT( --IF( ISERROR( FIND( co_impactTypes[[#This Row],[econScalarName]], scalarDataframe[scalarName] ) ), 0, 1 ), --( "econScalar" = scalarDataframe[scalarType] ) ) &gt;= 1 ) )</f>
        <v>1</v>
      </c>
      <c r="U137" s="65" cm="1">
        <f t="array" ref="U137" xml:space="preserve"> IF( NOT( ISERROR( FIND( co_impactTypes[[#This Row],[physScalarName]], "none, reg_pop" ) ) ), 1, --( SUMPRODUCT( --IF( ISERROR( FIND( co_impactTypes[[#This Row],[physScalarName]], scalarDataframe[scalarName] ) ), 0, 1 ), --( "physScalar" = scalarDataframe[scalarType] ) ) &gt;= 1 ) )</f>
        <v>1</v>
      </c>
    </row>
    <row r="138" spans="2:21" x14ac:dyDescent="0.3">
      <c r="B138" s="7">
        <f xml:space="preserve"> ROW( co_impactTypes[[#This Row],[row_id]] ) - ROW(co_impactTypes[[#Headers],[row_id]] )</f>
        <v>12</v>
      </c>
      <c r="C138" s="14" t="s">
        <v>86</v>
      </c>
      <c r="D138" s="59" t="s">
        <v>201</v>
      </c>
      <c r="E138" s="83" t="s">
        <v>922</v>
      </c>
      <c r="F138" s="83" t="s">
        <v>922</v>
      </c>
      <c r="G138" s="63" t="s">
        <v>803</v>
      </c>
      <c r="H138" s="59"/>
      <c r="I138" s="59" t="s">
        <v>256</v>
      </c>
      <c r="J138" s="59" t="s">
        <v>256</v>
      </c>
      <c r="K138" s="59" t="s">
        <v>256</v>
      </c>
      <c r="L138" s="59" t="s">
        <v>256</v>
      </c>
      <c r="M138" s="59" t="s">
        <v>256</v>
      </c>
      <c r="N138" s="58">
        <v>0</v>
      </c>
      <c r="O138" s="58">
        <v>1</v>
      </c>
      <c r="P138" s="58">
        <v>1</v>
      </c>
      <c r="Q138" s="64" t="str">
        <f xml:space="preserve"> IF(co_impactTypes[[#This Row],[econMultiplierName]]="None", "N/A", 2010)</f>
        <v>N/A</v>
      </c>
      <c r="R138" s="65" cm="1">
        <f t="array" ref="R138" xml:space="preserve"> IF( INDEX( co_sectors[modelType], MATCH( 1, --( co_impactTypes[[#This Row],[sector_id]] = co_sectors[sector_id] ), 0 ) ) = "gcm",
         --( SUMPRODUCT( --( co_impactTypes[[#This Row],[sector_id]] = data_scaledImpacts[sector] ), --( co_impactTypes[[#This Row],[impactType_id_excel]] = data_scaledImpacts[impactType] ) ) &gt; 1 ),
         --( SUMPRODUCT( --( co_impactTypes[[#This Row],[sector_id]] = slrImpacts[sector] ), --( co_impactTypes[[#This Row],[impactType_id_excel]] = slrImpacts[impactType] ) ) &gt; 1 ) )</f>
        <v>1</v>
      </c>
      <c r="S138" s="65" cm="1">
        <f t="array" ref="S138" xml:space="preserve"> IF( co_impactTypes[[#This Row],[damageAdjName]] = "none", 1, --( SUMPRODUCT( --IF( ISERROR( FIND( co_impactTypes[[#This Row],[damageAdjName]], scalarDataframe[scalarName] ) ), 0, 1 ), --( "damageAdj" = scalarDataframe[scalarType] ) ) &gt;= 1 ) )</f>
        <v>1</v>
      </c>
      <c r="T138" s="65" cm="1">
        <f t="array" ref="T138" xml:space="preserve"> IF( co_impactTypes[[#This Row],[econScalarName]] = "none", 1, --( SUMPRODUCT( --IF( ISERROR( FIND( co_impactTypes[[#This Row],[econScalarName]], scalarDataframe[scalarName] ) ), 0, 1 ), --( "econScalar" = scalarDataframe[scalarType] ) ) &gt;= 1 ) )</f>
        <v>1</v>
      </c>
      <c r="U138" s="65" cm="1">
        <f t="array" ref="U138" xml:space="preserve"> IF( NOT( ISERROR( FIND( co_impactTypes[[#This Row],[physScalarName]], "none, reg_pop" ) ) ), 1, --( SUMPRODUCT( --IF( ISERROR( FIND( co_impactTypes[[#This Row],[physScalarName]], scalarDataframe[scalarName] ) ), 0, 1 ), --( "physScalar" = scalarDataframe[scalarType] ) ) &gt;= 1 ) )</f>
        <v>1</v>
      </c>
    </row>
    <row r="139" spans="2:21" ht="21" x14ac:dyDescent="0.3">
      <c r="B139" s="7">
        <f xml:space="preserve"> ROW( co_impactTypes[[#This Row],[row_id]] ) - ROW(co_impactTypes[[#Headers],[row_id]] )</f>
        <v>13</v>
      </c>
      <c r="C139" s="14" t="s">
        <v>220</v>
      </c>
      <c r="D139" s="59" t="s">
        <v>201</v>
      </c>
      <c r="E139" s="83" t="s">
        <v>922</v>
      </c>
      <c r="F139" s="115"/>
      <c r="G139" s="63" t="s">
        <v>991</v>
      </c>
      <c r="H139" s="59"/>
      <c r="I139" s="59" t="s">
        <v>256</v>
      </c>
      <c r="J139" s="59" t="s">
        <v>256</v>
      </c>
      <c r="K139" s="59" t="s">
        <v>261</v>
      </c>
      <c r="L139" s="59" t="s">
        <v>256</v>
      </c>
      <c r="M139" s="59" t="s">
        <v>256</v>
      </c>
      <c r="N139" s="58">
        <v>0</v>
      </c>
      <c r="O139" s="58">
        <v>1</v>
      </c>
      <c r="P139" s="58">
        <v>1</v>
      </c>
      <c r="Q139" s="64" t="str">
        <f xml:space="preserve"> IF(co_impactTypes[[#This Row],[econMultiplierName]]="None", "N/A", 2010)</f>
        <v>N/A</v>
      </c>
      <c r="R139" s="65" cm="1">
        <f t="array" ref="R139" xml:space="preserve"> IF( INDEX( co_sectors[modelType], MATCH( 1, --( co_impactTypes[[#This Row],[sector_id]] = co_sectors[sector_id] ), 0 ) ) = "gcm",
         --( SUMPRODUCT( --( co_impactTypes[[#This Row],[sector_id]] = data_scaledImpacts[sector] ), --( co_impactTypes[[#This Row],[impactType_id_excel]] = data_scaledImpacts[impactType] ) ) &gt; 1 ),
         --( SUMPRODUCT( --( co_impactTypes[[#This Row],[sector_id]] = slrImpacts[sector] ), --( co_impactTypes[[#This Row],[impactType_id_excel]] = slrImpacts[impactType] ) ) &gt; 1 ) )</f>
        <v>1</v>
      </c>
      <c r="S139" s="65" cm="1">
        <f t="array" ref="S139" xml:space="preserve"> IF( co_impactTypes[[#This Row],[damageAdjName]] = "none", 1, --( SUMPRODUCT( --IF( ISERROR( FIND( co_impactTypes[[#This Row],[damageAdjName]], scalarDataframe[scalarName] ) ), 0, 1 ), --( "damageAdj" = scalarDataframe[scalarType] ) ) &gt;= 1 ) )</f>
        <v>1</v>
      </c>
      <c r="T139" s="65" cm="1">
        <f t="array" ref="T139" xml:space="preserve"> IF( co_impactTypes[[#This Row],[econScalarName]] = "none", 1, --( SUMPRODUCT( --IF( ISERROR( FIND( co_impactTypes[[#This Row],[econScalarName]], scalarDataframe[scalarName] ) ), 0, 1 ), --( "econScalar" = scalarDataframe[scalarType] ) ) &gt;= 1 ) )</f>
        <v>1</v>
      </c>
      <c r="U139" s="65" cm="1">
        <f t="array" ref="U139" xml:space="preserve"> IF( NOT( ISERROR( FIND( co_impactTypes[[#This Row],[physScalarName]], "none, reg_pop" ) ) ), 1, --( SUMPRODUCT( --IF( ISERROR( FIND( co_impactTypes[[#This Row],[physScalarName]], scalarDataframe[scalarName] ) ), 0, 1 ), --( "physScalar" = scalarDataframe[scalarType] ) ) &gt;= 1 ) )</f>
        <v>1</v>
      </c>
    </row>
    <row r="140" spans="2:21" x14ac:dyDescent="0.3">
      <c r="B140" s="7">
        <f xml:space="preserve"> ROW( co_impactTypes[[#This Row],[row_id]] ) - ROW(co_impactTypes[[#Headers],[row_id]] )</f>
        <v>14</v>
      </c>
      <c r="C140" s="14" t="s">
        <v>997</v>
      </c>
      <c r="D140" s="59" t="s">
        <v>201</v>
      </c>
      <c r="E140" s="83" t="s">
        <v>922</v>
      </c>
      <c r="F140" s="115"/>
      <c r="G140" s="66" t="s">
        <v>976</v>
      </c>
      <c r="H140" s="67"/>
      <c r="I140" s="59" t="s">
        <v>256</v>
      </c>
      <c r="J140" s="56" t="s">
        <v>256</v>
      </c>
      <c r="K140" s="56" t="s">
        <v>998</v>
      </c>
      <c r="L140" s="59" t="s">
        <v>256</v>
      </c>
      <c r="M140" s="59" t="s">
        <v>256</v>
      </c>
      <c r="N140" s="58">
        <v>0</v>
      </c>
      <c r="O140" s="58">
        <v>1</v>
      </c>
      <c r="P140" s="58">
        <v>1</v>
      </c>
      <c r="Q140" s="64" t="str">
        <f xml:space="preserve"> IF(co_impactTypes[[#This Row],[econMultiplierName]]="None", "N/A", 2010)</f>
        <v>N/A</v>
      </c>
      <c r="R140" s="65" cm="1">
        <f t="array" ref="R140" xml:space="preserve"> IF( INDEX( co_sectors[modelType], MATCH( 1, --( co_impactTypes[[#This Row],[sector_id]] = co_sectors[sector_id] ), 0 ) ) = "gcm",
         --( SUMPRODUCT( --( co_impactTypes[[#This Row],[sector_id]] = data_scaledImpacts[sector] ), --( co_impactTypes[[#This Row],[impactType_id_excel]] = data_scaledImpacts[impactType] ) ) &gt; 1 ),
         --( SUMPRODUCT( --( co_impactTypes[[#This Row],[sector_id]] = slrImpacts[sector] ), --( co_impactTypes[[#This Row],[impactType_id_excel]] = slrImpacts[impactType] ) ) &gt; 1 ) )</f>
        <v>1</v>
      </c>
      <c r="S140" s="65" cm="1">
        <f t="array" ref="S140" xml:space="preserve"> IF( co_impactTypes[[#This Row],[damageAdjName]] = "none", 1, --( SUMPRODUCT( --IF( ISERROR( FIND( co_impactTypes[[#This Row],[damageAdjName]], scalarDataframe[scalarName] ) ), 0, 1 ), --( "damageAdj" = scalarDataframe[scalarType] ) ) &gt;= 1 ) )</f>
        <v>1</v>
      </c>
      <c r="T140" s="65" cm="1">
        <f t="array" ref="T140" xml:space="preserve"> IF( co_impactTypes[[#This Row],[econScalarName]] = "none", 1, --( SUMPRODUCT( --IF( ISERROR( FIND( co_impactTypes[[#This Row],[econScalarName]], scalarDataframe[scalarName] ) ), 0, 1 ), --( "econScalar" = scalarDataframe[scalarType] ) ) &gt;= 1 ) )</f>
        <v>1</v>
      </c>
      <c r="U140" s="65" cm="1">
        <f t="array" ref="U140" xml:space="preserve"> IF( NOT( ISERROR( FIND( co_impactTypes[[#This Row],[physScalarName]], "none, reg_pop" ) ) ), 1, --( SUMPRODUCT( --IF( ISERROR( FIND( co_impactTypes[[#This Row],[physScalarName]], scalarDataframe[scalarName] ) ), 0, 1 ), --( "physScalar" = scalarDataframe[scalarType] ) ) &gt;= 1 ) )</f>
        <v>1</v>
      </c>
    </row>
    <row r="141" spans="2:21" x14ac:dyDescent="0.3">
      <c r="B141" s="7">
        <f xml:space="preserve"> ROW( co_impactTypes[[#This Row],[row_id]] ) - ROW(co_impactTypes[[#Headers],[row_id]] )</f>
        <v>15</v>
      </c>
      <c r="C141" s="14" t="s">
        <v>17</v>
      </c>
      <c r="D141" s="59" t="s">
        <v>203</v>
      </c>
      <c r="E141" s="83" t="s">
        <v>16</v>
      </c>
      <c r="F141" s="115" t="s">
        <v>16</v>
      </c>
      <c r="G141" s="63" t="s">
        <v>810</v>
      </c>
      <c r="H141" s="59" t="s">
        <v>1015</v>
      </c>
      <c r="I141" s="59" t="s">
        <v>251</v>
      </c>
      <c r="J141" s="59" t="s">
        <v>258</v>
      </c>
      <c r="K141" s="59" t="s">
        <v>256</v>
      </c>
      <c r="L141" s="59" t="s">
        <v>786</v>
      </c>
      <c r="M141" s="59" t="s">
        <v>257</v>
      </c>
      <c r="N141" s="58">
        <v>0</v>
      </c>
      <c r="O141" s="58">
        <v>1</v>
      </c>
      <c r="P141" s="58">
        <v>0.4</v>
      </c>
      <c r="Q141" s="64">
        <f xml:space="preserve"> IF(co_impactTypes[[#This Row],[econMultiplierName]]="None", "N/A", 2010)</f>
        <v>2010</v>
      </c>
      <c r="R141" s="65" cm="1">
        <f t="array" ref="R141" xml:space="preserve"> IF( INDEX( co_sectors[modelType], MATCH( 1, --( co_impactTypes[[#This Row],[sector_id]] = co_sectors[sector_id] ), 0 ) ) = "gcm",
         --( SUMPRODUCT( --( co_impactTypes[[#This Row],[sector_id]] = data_scaledImpacts[sector] ), --( co_impactTypes[[#This Row],[impactType_id_excel]] = data_scaledImpacts[impactType] ) ) &gt; 1 ),
         --( SUMPRODUCT( --( co_impactTypes[[#This Row],[sector_id]] = slrImpacts[sector] ), --( co_impactTypes[[#This Row],[impactType_id_excel]] = slrImpacts[impactType] ) ) &gt; 1 ) )</f>
        <v>1</v>
      </c>
      <c r="S141" s="65" cm="1">
        <f t="array" ref="S141" xml:space="preserve"> IF( co_impactTypes[[#This Row],[damageAdjName]] = "none", 1, --( SUMPRODUCT( --IF( ISERROR( FIND( co_impactTypes[[#This Row],[damageAdjName]], scalarDataframe[scalarName] ) ), 0, 1 ), --( "damageAdj" = scalarDataframe[scalarType] ) ) &gt;= 1 ) )</f>
        <v>1</v>
      </c>
      <c r="T141" s="65" cm="1">
        <f t="array" ref="T141" xml:space="preserve"> IF( co_impactTypes[[#This Row],[econScalarName]] = "none", 1, --( SUMPRODUCT( --IF( ISERROR( FIND( co_impactTypes[[#This Row],[econScalarName]], scalarDataframe[scalarName] ) ), 0, 1 ), --( "econScalar" = scalarDataframe[scalarType] ) ) &gt;= 1 ) )</f>
        <v>1</v>
      </c>
      <c r="U141" s="65" cm="1">
        <f t="array" ref="U141" xml:space="preserve"> IF( NOT( ISERROR( FIND( co_impactTypes[[#This Row],[physScalarName]], "none, reg_pop" ) ) ), 1, --( SUMPRODUCT( --IF( ISERROR( FIND( co_impactTypes[[#This Row],[physScalarName]], scalarDataframe[scalarName] ) ), 0, 1 ), --( "physScalar" = scalarDataframe[scalarType] ) ) &gt;= 1 ) )</f>
        <v>1</v>
      </c>
    </row>
    <row r="142" spans="2:21" x14ac:dyDescent="0.3">
      <c r="B142" s="7">
        <f xml:space="preserve"> ROW( co_impactTypes[[#This Row],[row_id]] ) - ROW(co_impactTypes[[#Headers],[row_id]] )</f>
        <v>16</v>
      </c>
      <c r="C142" s="14" t="s">
        <v>17</v>
      </c>
      <c r="D142" s="59" t="s">
        <v>202</v>
      </c>
      <c r="E142" s="83" t="s">
        <v>14</v>
      </c>
      <c r="F142" s="115" t="s">
        <v>14</v>
      </c>
      <c r="G142" s="63" t="s">
        <v>811</v>
      </c>
      <c r="H142" s="59" t="s">
        <v>1015</v>
      </c>
      <c r="I142" s="59" t="s">
        <v>251</v>
      </c>
      <c r="J142" s="59" t="s">
        <v>258</v>
      </c>
      <c r="K142" s="59" t="s">
        <v>256</v>
      </c>
      <c r="L142" s="59" t="s">
        <v>786</v>
      </c>
      <c r="M142" s="59" t="s">
        <v>257</v>
      </c>
      <c r="N142" s="58">
        <v>0</v>
      </c>
      <c r="O142" s="58">
        <v>1</v>
      </c>
      <c r="P142" s="58">
        <v>0.4</v>
      </c>
      <c r="Q142" s="64">
        <f xml:space="preserve"> IF(co_impactTypes[[#This Row],[econMultiplierName]]="None", "N/A", 2010)</f>
        <v>2010</v>
      </c>
      <c r="R142" s="65" cm="1">
        <f t="array" ref="R142" xml:space="preserve"> IF( INDEX( co_sectors[modelType], MATCH( 1, --( co_impactTypes[[#This Row],[sector_id]] = co_sectors[sector_id] ), 0 ) ) = "gcm",
         --( SUMPRODUCT( --( co_impactTypes[[#This Row],[sector_id]] = data_scaledImpacts[sector] ), --( co_impactTypes[[#This Row],[impactType_id_excel]] = data_scaledImpacts[impactType] ) ) &gt; 1 ),
         --( SUMPRODUCT( --( co_impactTypes[[#This Row],[sector_id]] = slrImpacts[sector] ), --( co_impactTypes[[#This Row],[impactType_id_excel]] = slrImpacts[impactType] ) ) &gt; 1 ) )</f>
        <v>1</v>
      </c>
      <c r="S142" s="65" cm="1">
        <f t="array" ref="S142" xml:space="preserve"> IF( co_impactTypes[[#This Row],[damageAdjName]] = "none", 1, --( SUMPRODUCT( --IF( ISERROR( FIND( co_impactTypes[[#This Row],[damageAdjName]], scalarDataframe[scalarName] ) ), 0, 1 ), --( "damageAdj" = scalarDataframe[scalarType] ) ) &gt;= 1 ) )</f>
        <v>1</v>
      </c>
      <c r="T142" s="65" cm="1">
        <f t="array" ref="T142" xml:space="preserve"> IF( co_impactTypes[[#This Row],[econScalarName]] = "none", 1, --( SUMPRODUCT( --IF( ISERROR( FIND( co_impactTypes[[#This Row],[econScalarName]], scalarDataframe[scalarName] ) ), 0, 1 ), --( "econScalar" = scalarDataframe[scalarType] ) ) &gt;= 1 ) )</f>
        <v>1</v>
      </c>
      <c r="U142" s="65" cm="1">
        <f t="array" ref="U142" xml:space="preserve"> IF( NOT( ISERROR( FIND( co_impactTypes[[#This Row],[physScalarName]], "none, reg_pop" ) ) ), 1, --( SUMPRODUCT( --IF( ISERROR( FIND( co_impactTypes[[#This Row],[physScalarName]], scalarDataframe[scalarName] ) ), 0, 1 ), --( "physScalar" = scalarDataframe[scalarType] ) ) &gt;= 1 ) )</f>
        <v>1</v>
      </c>
    </row>
    <row r="143" spans="2:21" ht="21" x14ac:dyDescent="0.3">
      <c r="B143" s="7">
        <f xml:space="preserve"> ROW( co_impactTypes[[#This Row],[row_id]] ) - ROW(co_impactTypes[[#Headers],[row_id]] )</f>
        <v>17</v>
      </c>
      <c r="C143" s="14" t="s">
        <v>221</v>
      </c>
      <c r="D143" s="59" t="s">
        <v>201</v>
      </c>
      <c r="E143" s="83" t="s">
        <v>922</v>
      </c>
      <c r="F143" s="83" t="s">
        <v>922</v>
      </c>
      <c r="G143" s="63" t="s">
        <v>224</v>
      </c>
      <c r="H143" s="59"/>
      <c r="I143" s="59" t="s">
        <v>256</v>
      </c>
      <c r="J143" s="59" t="s">
        <v>256</v>
      </c>
      <c r="K143" s="59" t="s">
        <v>256</v>
      </c>
      <c r="L143" s="59" t="s">
        <v>256</v>
      </c>
      <c r="M143" s="59" t="s">
        <v>256</v>
      </c>
      <c r="N143" s="58">
        <v>0</v>
      </c>
      <c r="O143" s="58">
        <v>1</v>
      </c>
      <c r="P143" s="58">
        <v>1</v>
      </c>
      <c r="Q143" s="64" t="str">
        <f xml:space="preserve"> IF(co_impactTypes[[#This Row],[econMultiplierName]]="None", "N/A", 2010)</f>
        <v>N/A</v>
      </c>
      <c r="R143" s="65" cm="1">
        <f t="array" ref="R143" xml:space="preserve"> IF( INDEX( co_sectors[modelType], MATCH( 1, --( co_impactTypes[[#This Row],[sector_id]] = co_sectors[sector_id] ), 0 ) ) = "gcm",
         --( SUMPRODUCT( --( co_impactTypes[[#This Row],[sector_id]] = data_scaledImpacts[sector] ), --( co_impactTypes[[#This Row],[impactType_id_excel]] = data_scaledImpacts[impactType] ) ) &gt; 1 ),
         --( SUMPRODUCT( --( co_impactTypes[[#This Row],[sector_id]] = slrImpacts[sector] ), --( co_impactTypes[[#This Row],[impactType_id_excel]] = slrImpacts[impactType] ) ) &gt; 1 ) )</f>
        <v>1</v>
      </c>
      <c r="S143" s="65" cm="1">
        <f t="array" ref="S143" xml:space="preserve"> IF( co_impactTypes[[#This Row],[damageAdjName]] = "none", 1, --( SUMPRODUCT( --IF( ISERROR( FIND( co_impactTypes[[#This Row],[damageAdjName]], scalarDataframe[scalarName] ) ), 0, 1 ), --( "damageAdj" = scalarDataframe[scalarType] ) ) &gt;= 1 ) )</f>
        <v>1</v>
      </c>
      <c r="T143" s="65" cm="1">
        <f t="array" ref="T143" xml:space="preserve"> IF( co_impactTypes[[#This Row],[econScalarName]] = "none", 1, --( SUMPRODUCT( --IF( ISERROR( FIND( co_impactTypes[[#This Row],[econScalarName]], scalarDataframe[scalarName] ) ), 0, 1 ), --( "econScalar" = scalarDataframe[scalarType] ) ) &gt;= 1 ) )</f>
        <v>1</v>
      </c>
      <c r="U143" s="65" cm="1">
        <f t="array" ref="U143" xml:space="preserve"> IF( NOT( ISERROR( FIND( co_impactTypes[[#This Row],[physScalarName]], "none, reg_pop" ) ) ), 1, --( SUMPRODUCT( --IF( ISERROR( FIND( co_impactTypes[[#This Row],[physScalarName]], scalarDataframe[scalarName] ) ), 0, 1 ), --( "physScalar" = scalarDataframe[scalarType] ) ) &gt;= 1 ) )</f>
        <v>1</v>
      </c>
    </row>
    <row r="144" spans="2:21" ht="21" x14ac:dyDescent="0.3">
      <c r="B144" s="7">
        <f xml:space="preserve"> ROW( co_impactTypes[[#This Row],[row_id]] ) - ROW(co_impactTypes[[#Headers],[row_id]] )</f>
        <v>18</v>
      </c>
      <c r="C144" s="14" t="s">
        <v>84</v>
      </c>
      <c r="D144" s="59" t="s">
        <v>201</v>
      </c>
      <c r="E144" s="83" t="s">
        <v>922</v>
      </c>
      <c r="F144" s="115"/>
      <c r="G144" s="63" t="s">
        <v>1081</v>
      </c>
      <c r="H144" s="59"/>
      <c r="I144" s="59" t="s">
        <v>256</v>
      </c>
      <c r="J144" s="59" t="s">
        <v>256</v>
      </c>
      <c r="K144" s="59" t="s">
        <v>256</v>
      </c>
      <c r="L144" s="59" t="s">
        <v>256</v>
      </c>
      <c r="M144" s="59" t="s">
        <v>256</v>
      </c>
      <c r="N144" s="58">
        <v>0</v>
      </c>
      <c r="O144" s="58">
        <v>1</v>
      </c>
      <c r="P144" s="58">
        <v>1</v>
      </c>
      <c r="Q144" s="64" t="str">
        <f xml:space="preserve"> IF(co_impactTypes[[#This Row],[econMultiplierName]]="None", "N/A", 2010)</f>
        <v>N/A</v>
      </c>
      <c r="R144" s="65" cm="1">
        <f t="array" ref="R144" xml:space="preserve"> IF( INDEX( co_sectors[modelType], MATCH( 1, --( co_impactTypes[[#This Row],[sector_id]] = co_sectors[sector_id] ), 0 ) ) = "gcm",
         --( SUMPRODUCT( --( co_impactTypes[[#This Row],[sector_id]] = data_scaledImpacts[sector] ), --( co_impactTypes[[#This Row],[impactType_id_excel]] = data_scaledImpacts[impactType] ) ) &gt; 1 ),
         --( SUMPRODUCT( --( co_impactTypes[[#This Row],[sector_id]] = slrImpacts[sector] ), --( co_impactTypes[[#This Row],[impactType_id_excel]] = slrImpacts[impactType] ) ) &gt; 1 ) )</f>
        <v>1</v>
      </c>
      <c r="S144" s="65" cm="1">
        <f t="array" ref="S144" xml:space="preserve"> IF( co_impactTypes[[#This Row],[damageAdjName]] = "none", 1, --( SUMPRODUCT( --IF( ISERROR( FIND( co_impactTypes[[#This Row],[damageAdjName]], scalarDataframe[scalarName] ) ), 0, 1 ), --( "damageAdj" = scalarDataframe[scalarType] ) ) &gt;= 1 ) )</f>
        <v>1</v>
      </c>
      <c r="T144" s="65" cm="1">
        <f t="array" ref="T144" xml:space="preserve"> IF( co_impactTypes[[#This Row],[econScalarName]] = "none", 1, --( SUMPRODUCT( --IF( ISERROR( FIND( co_impactTypes[[#This Row],[econScalarName]], scalarDataframe[scalarName] ) ), 0, 1 ), --( "econScalar" = scalarDataframe[scalarType] ) ) &gt;= 1 ) )</f>
        <v>1</v>
      </c>
      <c r="U144" s="65" cm="1">
        <f t="array" ref="U144" xml:space="preserve"> IF( NOT( ISERROR( FIND( co_impactTypes[[#This Row],[physScalarName]], "none, reg_pop" ) ) ), 1, --( SUMPRODUCT( --IF( ISERROR( FIND( co_impactTypes[[#This Row],[physScalarName]], scalarDataframe[scalarName] ) ), 0, 1 ), --( "physScalar" = scalarDataframe[scalarType] ) ) &gt;= 1 ) )</f>
        <v>1</v>
      </c>
    </row>
    <row r="145" spans="2:21" ht="21" x14ac:dyDescent="0.3">
      <c r="B145" s="7">
        <f xml:space="preserve"> ROW( co_impactTypes[[#This Row],[row_id]] ) - ROW(co_impactTypes[[#Headers],[row_id]] )</f>
        <v>19</v>
      </c>
      <c r="C145" s="14" t="s">
        <v>34</v>
      </c>
      <c r="D145" s="59" t="s">
        <v>201</v>
      </c>
      <c r="E145" s="83" t="s">
        <v>804</v>
      </c>
      <c r="F145" s="115"/>
      <c r="G145" s="63" t="s">
        <v>807</v>
      </c>
      <c r="H145" s="59" t="s">
        <v>1017</v>
      </c>
      <c r="I145" s="59" t="s">
        <v>759</v>
      </c>
      <c r="J145" s="59" t="s">
        <v>256</v>
      </c>
      <c r="K145" s="59" t="s">
        <v>256</v>
      </c>
      <c r="L145" s="59" t="s">
        <v>1005</v>
      </c>
      <c r="M145" s="59" t="s">
        <v>257</v>
      </c>
      <c r="N145" s="58">
        <v>0</v>
      </c>
      <c r="O145" s="58">
        <v>1</v>
      </c>
      <c r="P145" s="58">
        <v>1</v>
      </c>
      <c r="Q145" s="64">
        <f xml:space="preserve"> IF(co_impactTypes[[#This Row],[econMultiplierName]]="None", "N/A", 2010)</f>
        <v>2010</v>
      </c>
      <c r="R145" s="65" cm="1">
        <f t="array" ref="R145" xml:space="preserve"> IF( INDEX( co_sectors[modelType], MATCH( 1, --( co_impactTypes[[#This Row],[sector_id]] = co_sectors[sector_id] ), 0 ) ) = "gcm",
         --( SUMPRODUCT( --( co_impactTypes[[#This Row],[sector_id]] = data_scaledImpacts[sector] ), --( co_impactTypes[[#This Row],[impactType_id_excel]] = data_scaledImpacts[impactType] ) ) &gt; 1 ),
         --( SUMPRODUCT( --( co_impactTypes[[#This Row],[sector_id]] = slrImpacts[sector] ), --( co_impactTypes[[#This Row],[impactType_id_excel]] = slrImpacts[impactType] ) ) &gt; 1 ) )</f>
        <v>1</v>
      </c>
      <c r="S145" s="65" cm="1">
        <f t="array" ref="S145" xml:space="preserve"> IF( co_impactTypes[[#This Row],[damageAdjName]] = "none", 1, --( SUMPRODUCT( --IF( ISERROR( FIND( co_impactTypes[[#This Row],[damageAdjName]], scalarDataframe[scalarName] ) ), 0, 1 ), --( "damageAdj" = scalarDataframe[scalarType] ) ) &gt;= 1 ) )</f>
        <v>1</v>
      </c>
      <c r="T145" s="65" cm="1">
        <f t="array" ref="T145" xml:space="preserve"> IF( co_impactTypes[[#This Row],[econScalarName]] = "none", 1, --( SUMPRODUCT( --IF( ISERROR( FIND( co_impactTypes[[#This Row],[econScalarName]], scalarDataframe[scalarName] ) ), 0, 1 ), --( "econScalar" = scalarDataframe[scalarType] ) ) &gt;= 1 ) )</f>
        <v>1</v>
      </c>
      <c r="U145" s="65" cm="1">
        <f t="array" ref="U145" xml:space="preserve"> IF( NOT( ISERROR( FIND( co_impactTypes[[#This Row],[physScalarName]], "none, reg_pop" ) ) ), 1, --( SUMPRODUCT( --IF( ISERROR( FIND( co_impactTypes[[#This Row],[physScalarName]], scalarDataframe[scalarName] ) ), 0, 1 ), --( "physScalar" = scalarDataframe[scalarType] ) ) &gt;= 1 ) )</f>
        <v>1</v>
      </c>
    </row>
    <row r="146" spans="2:21" x14ac:dyDescent="0.3">
      <c r="B146" s="7">
        <f xml:space="preserve"> ROW( co_impactTypes[[#This Row],[row_id]] ) - ROW(co_impactTypes[[#Headers],[row_id]] )</f>
        <v>20</v>
      </c>
      <c r="C146" s="14" t="s">
        <v>223</v>
      </c>
      <c r="D146" s="59" t="s">
        <v>201</v>
      </c>
      <c r="E146" s="83" t="s">
        <v>922</v>
      </c>
      <c r="F146" s="115"/>
      <c r="G146" s="63" t="s">
        <v>1158</v>
      </c>
      <c r="H146" s="59"/>
      <c r="I146" s="59" t="s">
        <v>256</v>
      </c>
      <c r="J146" s="59" t="s">
        <v>256</v>
      </c>
      <c r="K146" s="59" t="s">
        <v>256</v>
      </c>
      <c r="L146" s="59" t="s">
        <v>256</v>
      </c>
      <c r="M146" s="59" t="s">
        <v>256</v>
      </c>
      <c r="N146" s="58">
        <v>0</v>
      </c>
      <c r="O146" s="58">
        <v>1000000</v>
      </c>
      <c r="P146" s="58">
        <v>1</v>
      </c>
      <c r="Q146" s="64" t="str">
        <f xml:space="preserve"> IF(co_impactTypes[[#This Row],[econMultiplierName]]="None", "N/A", 2010)</f>
        <v>N/A</v>
      </c>
      <c r="R146" s="65" cm="1">
        <f t="array" ref="R146" xml:space="preserve"> IF( INDEX( co_sectors[modelType], MATCH( 1, --( co_impactTypes[[#This Row],[sector_id]] = co_sectors[sector_id] ), 0 ) ) = "gcm",
         --( SUMPRODUCT( --( co_impactTypes[[#This Row],[sector_id]] = data_scaledImpacts[sector] ), --( co_impactTypes[[#This Row],[impactType_id_excel]] = data_scaledImpacts[impactType] ) ) &gt; 1 ),
         --( SUMPRODUCT( --( co_impactTypes[[#This Row],[sector_id]] = slrImpacts[sector] ), --( co_impactTypes[[#This Row],[impactType_id_excel]] = slrImpacts[impactType] ) ) &gt; 1 ) )</f>
        <v>1</v>
      </c>
      <c r="S146" s="65" cm="1">
        <f t="array" ref="S146" xml:space="preserve"> IF( co_impactTypes[[#This Row],[damageAdjName]] = "none", 1, --( SUMPRODUCT( --IF( ISERROR( FIND( co_impactTypes[[#This Row],[damageAdjName]], scalarDataframe[scalarName] ) ), 0, 1 ), --( "damageAdj" = scalarDataframe[scalarType] ) ) &gt;= 1 ) )</f>
        <v>1</v>
      </c>
      <c r="T146" s="65" cm="1">
        <f t="array" ref="T146" xml:space="preserve"> IF( co_impactTypes[[#This Row],[econScalarName]] = "none", 1, --( SUMPRODUCT( --IF( ISERROR( FIND( co_impactTypes[[#This Row],[econScalarName]], scalarDataframe[scalarName] ) ), 0, 1 ), --( "econScalar" = scalarDataframe[scalarType] ) ) &gt;= 1 ) )</f>
        <v>1</v>
      </c>
      <c r="U146" s="65" cm="1">
        <f t="array" ref="U146" xml:space="preserve"> IF( NOT( ISERROR( FIND( co_impactTypes[[#This Row],[physScalarName]], "none, reg_pop" ) ) ), 1, --( SUMPRODUCT( --IF( ISERROR( FIND( co_impactTypes[[#This Row],[physScalarName]], scalarDataframe[scalarName] ) ), 0, 1 ), --( "physScalar" = scalarDataframe[scalarType] ) ) &gt;= 1 ) )</f>
        <v>1</v>
      </c>
    </row>
    <row r="147" spans="2:21" x14ac:dyDescent="0.3">
      <c r="B147" s="7">
        <f xml:space="preserve"> ROW( co_impactTypes[[#This Row],[row_id]] ) - ROW(co_impactTypes[[#Headers],[row_id]] )</f>
        <v>21</v>
      </c>
      <c r="C147" s="14" t="s">
        <v>1307</v>
      </c>
      <c r="D147" s="59" t="s">
        <v>201</v>
      </c>
      <c r="E147" s="83" t="s">
        <v>922</v>
      </c>
      <c r="F147" s="115"/>
      <c r="G147" s="63" t="s">
        <v>1309</v>
      </c>
      <c r="H147" s="59" t="s">
        <v>1015</v>
      </c>
      <c r="I147" s="59" t="s">
        <v>251</v>
      </c>
      <c r="J147" s="59" t="s">
        <v>1312</v>
      </c>
      <c r="K147" s="59" t="s">
        <v>1310</v>
      </c>
      <c r="L147" s="59" t="s">
        <v>786</v>
      </c>
      <c r="M147" s="59" t="s">
        <v>257</v>
      </c>
      <c r="N147" s="58">
        <v>0</v>
      </c>
      <c r="O147" s="58">
        <v>1</v>
      </c>
      <c r="P147" s="58">
        <v>0.4</v>
      </c>
      <c r="Q147" s="64">
        <f xml:space="preserve"> IF(co_impactTypes[[#This Row],[econMultiplierName]]="None", "N/A", 2010)</f>
        <v>2010</v>
      </c>
      <c r="R147" s="65" cm="1">
        <f t="array" ref="R147" xml:space="preserve"> IF( INDEX( co_sectors[modelType], MATCH( 1, --( co_impactTypes[[#This Row],[sector_id]] = co_sectors[sector_id] ), 0 ) ) = "gcm",
         --( SUMPRODUCT( --( co_impactTypes[[#This Row],[sector_id]] = data_scaledImpacts[sector] ), --( co_impactTypes[[#This Row],[impactType_id_excel]] = data_scaledImpacts[impactType] ) ) &gt; 1 ),
         --( SUMPRODUCT( --( co_impactTypes[[#This Row],[sector_id]] = slrImpacts[sector] ), --( co_impactTypes[[#This Row],[impactType_id_excel]] = slrImpacts[impactType] ) ) &gt; 1 ) )</f>
        <v>1</v>
      </c>
      <c r="S147" s="65" cm="1">
        <f t="array" ref="S147" xml:space="preserve"> IF( co_impactTypes[[#This Row],[damageAdjName]] = "none", 1, --( SUMPRODUCT( --IF( ISERROR( FIND( co_impactTypes[[#This Row],[damageAdjName]], scalarDataframe[scalarName] ) ), 0, 1 ), --( "damageAdj" = scalarDataframe[scalarType] ) ) &gt;= 1 ) )</f>
        <v>1</v>
      </c>
      <c r="T147" s="65" cm="1">
        <f t="array" ref="T147" xml:space="preserve"> IF( co_impactTypes[[#This Row],[econScalarName]] = "none", 1, --( SUMPRODUCT( --IF( ISERROR( FIND( co_impactTypes[[#This Row],[econScalarName]], scalarDataframe[scalarName] ) ), 0, 1 ), --( "econScalar" = scalarDataframe[scalarType] ) ) &gt;= 1 ) )</f>
        <v>1</v>
      </c>
      <c r="U147" s="65" cm="1">
        <f t="array" ref="U147" xml:space="preserve"> IF( NOT( ISERROR( FIND( co_impactTypes[[#This Row],[physScalarName]], "none, reg_pop" ) ) ), 1, --( SUMPRODUCT( --IF( ISERROR( FIND( co_impactTypes[[#This Row],[physScalarName]], scalarDataframe[scalarName] ) ), 0, 1 ), --( "physScalar" = scalarDataframe[scalarType] ) ) &gt;= 1 ) )</f>
        <v>1</v>
      </c>
    </row>
    <row r="148" spans="2:21" x14ac:dyDescent="0.3">
      <c r="B148" s="7">
        <f xml:space="preserve"> ROW( co_impactTypes[[#This Row],[row_id]] ) - ROW(co_impactTypes[[#Headers],[row_id]] )</f>
        <v>22</v>
      </c>
      <c r="C148" s="14" t="s">
        <v>209</v>
      </c>
      <c r="D148" s="59" t="s">
        <v>201</v>
      </c>
      <c r="E148" s="83" t="s">
        <v>922</v>
      </c>
      <c r="F148" s="115"/>
      <c r="G148" s="66" t="s">
        <v>805</v>
      </c>
      <c r="H148" s="67"/>
      <c r="I148" s="59" t="s">
        <v>236</v>
      </c>
      <c r="J148" s="56" t="s">
        <v>256</v>
      </c>
      <c r="K148" s="56" t="s">
        <v>781</v>
      </c>
      <c r="L148" s="59" t="s">
        <v>256</v>
      </c>
      <c r="M148" s="59" t="s">
        <v>256</v>
      </c>
      <c r="N148" s="58">
        <v>0</v>
      </c>
      <c r="O148" s="58">
        <v>1</v>
      </c>
      <c r="P148" s="58">
        <v>1</v>
      </c>
      <c r="Q148" s="64" t="str">
        <f xml:space="preserve"> IF(co_impactTypes[[#This Row],[econMultiplierName]]="None", "N/A", 2010)</f>
        <v>N/A</v>
      </c>
      <c r="R148" s="65" cm="1">
        <f t="array" ref="R148" xml:space="preserve"> IF( INDEX( co_sectors[modelType], MATCH( 1, --( co_impactTypes[[#This Row],[sector_id]] = co_sectors[sector_id] ), 0 ) ) = "gcm",
         --( SUMPRODUCT( --( co_impactTypes[[#This Row],[sector_id]] = data_scaledImpacts[sector] ), --( co_impactTypes[[#This Row],[impactType_id_excel]] = data_scaledImpacts[impactType] ) ) &gt; 1 ),
         --( SUMPRODUCT( --( co_impactTypes[[#This Row],[sector_id]] = slrImpacts[sector] ), --( co_impactTypes[[#This Row],[impactType_id_excel]] = slrImpacts[impactType] ) ) &gt; 1 ) )</f>
        <v>1</v>
      </c>
      <c r="S148" s="65" cm="1">
        <f t="array" ref="S148" xml:space="preserve"> IF( co_impactTypes[[#This Row],[damageAdjName]] = "none", 1, --( SUMPRODUCT( --IF( ISERROR( FIND( co_impactTypes[[#This Row],[damageAdjName]], scalarDataframe[scalarName] ) ), 0, 1 ), --( "damageAdj" = scalarDataframe[scalarType] ) ) &gt;= 1 ) )</f>
        <v>1</v>
      </c>
      <c r="T148" s="65" cm="1">
        <f t="array" ref="T148" xml:space="preserve"> IF( co_impactTypes[[#This Row],[econScalarName]] = "none", 1, --( SUMPRODUCT( --IF( ISERROR( FIND( co_impactTypes[[#This Row],[econScalarName]], scalarDataframe[scalarName] ) ), 0, 1 ), --( "econScalar" = scalarDataframe[scalarType] ) ) &gt;= 1 ) )</f>
        <v>1</v>
      </c>
      <c r="U148" s="65" cm="1">
        <f t="array" ref="U148" xml:space="preserve"> IF( NOT( ISERROR( FIND( co_impactTypes[[#This Row],[physScalarName]], "none, reg_pop" ) ) ), 1, --( SUMPRODUCT( --IF( ISERROR( FIND( co_impactTypes[[#This Row],[physScalarName]], scalarDataframe[scalarName] ) ), 0, 1 ), --( "physScalar" = scalarDataframe[scalarType] ) ) &gt;= 1 ) )</f>
        <v>1</v>
      </c>
    </row>
    <row r="149" spans="2:21" x14ac:dyDescent="0.3">
      <c r="B149" s="7">
        <f xml:space="preserve"> ROW( co_impactTypes[[#This Row],[row_id]] ) - ROW(co_impactTypes[[#Headers],[row_id]] )</f>
        <v>23</v>
      </c>
      <c r="C149" s="14" t="s">
        <v>216</v>
      </c>
      <c r="D149" s="59" t="s">
        <v>201</v>
      </c>
      <c r="E149" s="83" t="s">
        <v>922</v>
      </c>
      <c r="F149" s="115"/>
      <c r="G149" s="66" t="s">
        <v>808</v>
      </c>
      <c r="H149" s="67"/>
      <c r="I149" s="59" t="s">
        <v>250</v>
      </c>
      <c r="J149" s="56" t="s">
        <v>256</v>
      </c>
      <c r="K149" s="56" t="s">
        <v>237</v>
      </c>
      <c r="L149" s="59" t="s">
        <v>256</v>
      </c>
      <c r="M149" s="59" t="s">
        <v>256</v>
      </c>
      <c r="N149" s="58">
        <v>0</v>
      </c>
      <c r="O149" s="58">
        <v>1</v>
      </c>
      <c r="P149" s="58">
        <v>1</v>
      </c>
      <c r="Q149" s="64" t="str">
        <f xml:space="preserve"> IF(co_impactTypes[[#This Row],[econMultiplierName]]="None", "N/A", 2010)</f>
        <v>N/A</v>
      </c>
      <c r="R149" s="65" cm="1">
        <f t="array" ref="R149" xml:space="preserve"> IF( INDEX( co_sectors[modelType], MATCH( 1, --( co_impactTypes[[#This Row],[sector_id]] = co_sectors[sector_id] ), 0 ) ) = "gcm",
         --( SUMPRODUCT( --( co_impactTypes[[#This Row],[sector_id]] = data_scaledImpacts[sector] ), --( co_impactTypes[[#This Row],[impactType_id_excel]] = data_scaledImpacts[impactType] ) ) &gt; 1 ),
         --( SUMPRODUCT( --( co_impactTypes[[#This Row],[sector_id]] = slrImpacts[sector] ), --( co_impactTypes[[#This Row],[impactType_id_excel]] = slrImpacts[impactType] ) ) &gt; 1 ) )</f>
        <v>1</v>
      </c>
      <c r="S149" s="65" cm="1">
        <f t="array" ref="S149" xml:space="preserve"> IF( co_impactTypes[[#This Row],[damageAdjName]] = "none", 1, --( SUMPRODUCT( --IF( ISERROR( FIND( co_impactTypes[[#This Row],[damageAdjName]], scalarDataframe[scalarName] ) ), 0, 1 ), --( "damageAdj" = scalarDataframe[scalarType] ) ) &gt;= 1 ) )</f>
        <v>1</v>
      </c>
      <c r="T149" s="65" cm="1">
        <f t="array" ref="T149" xml:space="preserve"> IF( co_impactTypes[[#This Row],[econScalarName]] = "none", 1, --( SUMPRODUCT( --IF( ISERROR( FIND( co_impactTypes[[#This Row],[econScalarName]], scalarDataframe[scalarName] ) ), 0, 1 ), --( "econScalar" = scalarDataframe[scalarType] ) ) &gt;= 1 ) )</f>
        <v>1</v>
      </c>
      <c r="U149" s="65" cm="1">
        <f t="array" ref="U149" xml:space="preserve"> IF( NOT( ISERROR( FIND( co_impactTypes[[#This Row],[physScalarName]], "none, reg_pop" ) ) ), 1, --( SUMPRODUCT( --IF( ISERROR( FIND( co_impactTypes[[#This Row],[physScalarName]], scalarDataframe[scalarName] ) ), 0, 1 ), --( "physScalar" = scalarDataframe[scalarType] ) ) &gt;= 1 ) )</f>
        <v>1</v>
      </c>
    </row>
    <row r="150" spans="2:21" ht="21" x14ac:dyDescent="0.3">
      <c r="B150" s="7">
        <f xml:space="preserve"> ROW( co_impactTypes[[#This Row],[row_id]] ) - ROW(co_impactTypes[[#Headers],[row_id]] )</f>
        <v>24</v>
      </c>
      <c r="C150" s="14" t="s">
        <v>85</v>
      </c>
      <c r="D150" s="59" t="s">
        <v>977</v>
      </c>
      <c r="E150" s="83" t="s">
        <v>195</v>
      </c>
      <c r="F150" s="115" t="s">
        <v>195</v>
      </c>
      <c r="G150" s="63" t="s">
        <v>214</v>
      </c>
      <c r="H150" s="59"/>
      <c r="I150" s="59" t="s">
        <v>251</v>
      </c>
      <c r="J150" s="59" t="s">
        <v>259</v>
      </c>
      <c r="K150" s="59" t="s">
        <v>256</v>
      </c>
      <c r="L150" s="59" t="s">
        <v>788</v>
      </c>
      <c r="M150" s="59" t="s">
        <v>256</v>
      </c>
      <c r="N150" s="58">
        <v>0</v>
      </c>
      <c r="O150" s="58">
        <v>1</v>
      </c>
      <c r="P150" s="58">
        <v>1</v>
      </c>
      <c r="Q150" s="64" t="str">
        <f xml:space="preserve"> IF(co_impactTypes[[#This Row],[econMultiplierName]]="None", "N/A", 2010)</f>
        <v>N/A</v>
      </c>
      <c r="R150" s="65" cm="1">
        <f t="array" ref="R150" xml:space="preserve"> IF( INDEX( co_sectors[modelType], MATCH( 1, --( co_impactTypes[[#This Row],[sector_id]] = co_sectors[sector_id] ), 0 ) ) = "gcm",
         --( SUMPRODUCT( --( co_impactTypes[[#This Row],[sector_id]] = data_scaledImpacts[sector] ), --( co_impactTypes[[#This Row],[impactType_id_excel]] = data_scaledImpacts[impactType] ) ) &gt; 1 ),
         --( SUMPRODUCT( --( co_impactTypes[[#This Row],[sector_id]] = slrImpacts[sector] ), --( co_impactTypes[[#This Row],[impactType_id_excel]] = slrImpacts[impactType] ) ) &gt; 1 ) )</f>
        <v>1</v>
      </c>
      <c r="S150" s="65" cm="1">
        <f t="array" ref="S150" xml:space="preserve"> IF( co_impactTypes[[#This Row],[damageAdjName]] = "none", 1, --( SUMPRODUCT( --IF( ISERROR( FIND( co_impactTypes[[#This Row],[damageAdjName]], scalarDataframe[scalarName] ) ), 0, 1 ), --( "damageAdj" = scalarDataframe[scalarType] ) ) &gt;= 1 ) )</f>
        <v>1</v>
      </c>
      <c r="T150" s="65" cm="1">
        <f t="array" ref="T150" xml:space="preserve"> IF( co_impactTypes[[#This Row],[econScalarName]] = "none", 1, --( SUMPRODUCT( --IF( ISERROR( FIND( co_impactTypes[[#This Row],[econScalarName]], scalarDataframe[scalarName] ) ), 0, 1 ), --( "econScalar" = scalarDataframe[scalarType] ) ) &gt;= 1 ) )</f>
        <v>1</v>
      </c>
      <c r="U150" s="65" cm="1">
        <f t="array" ref="U150" xml:space="preserve"> IF( NOT( ISERROR( FIND( co_impactTypes[[#This Row],[physScalarName]], "none, reg_pop" ) ) ), 1, --( SUMPRODUCT( --IF( ISERROR( FIND( co_impactTypes[[#This Row],[physScalarName]], scalarDataframe[scalarName] ) ), 0, 1 ), --( "physScalar" = scalarDataframe[scalarType] ) ) &gt;= 1 ) )</f>
        <v>1</v>
      </c>
    </row>
    <row r="151" spans="2:21" x14ac:dyDescent="0.3">
      <c r="B151" s="7">
        <f xml:space="preserve"> ROW( co_impactTypes[[#This Row],[row_id]] ) - ROW(co_impactTypes[[#Headers],[row_id]] )</f>
        <v>25</v>
      </c>
      <c r="C151" s="14" t="s">
        <v>85</v>
      </c>
      <c r="D151" s="59" t="s">
        <v>217</v>
      </c>
      <c r="E151" s="83" t="s">
        <v>194</v>
      </c>
      <c r="F151" s="115" t="s">
        <v>194</v>
      </c>
      <c r="G151" s="63" t="s">
        <v>213</v>
      </c>
      <c r="H151" s="59"/>
      <c r="I151" s="59" t="s">
        <v>251</v>
      </c>
      <c r="J151" s="59" t="s">
        <v>259</v>
      </c>
      <c r="K151" s="59" t="s">
        <v>256</v>
      </c>
      <c r="L151" s="59" t="s">
        <v>788</v>
      </c>
      <c r="M151" s="59" t="s">
        <v>256</v>
      </c>
      <c r="N151" s="58">
        <v>0</v>
      </c>
      <c r="O151" s="58">
        <v>1</v>
      </c>
      <c r="P151" s="58">
        <v>1</v>
      </c>
      <c r="Q151" s="64" t="str">
        <f xml:space="preserve"> IF(co_impactTypes[[#This Row],[econMultiplierName]]="None", "N/A", 2010)</f>
        <v>N/A</v>
      </c>
      <c r="R151" s="65" cm="1">
        <f t="array" ref="R151" xml:space="preserve"> IF( INDEX( co_sectors[modelType], MATCH( 1, --( co_impactTypes[[#This Row],[sector_id]] = co_sectors[sector_id] ), 0 ) ) = "gcm",
         --( SUMPRODUCT( --( co_impactTypes[[#This Row],[sector_id]] = data_scaledImpacts[sector] ), --( co_impactTypes[[#This Row],[impactType_id_excel]] = data_scaledImpacts[impactType] ) ) &gt; 1 ),
         --( SUMPRODUCT( --( co_impactTypes[[#This Row],[sector_id]] = slrImpacts[sector] ), --( co_impactTypes[[#This Row],[impactType_id_excel]] = slrImpacts[impactType] ) ) &gt; 1 ) )</f>
        <v>1</v>
      </c>
      <c r="S151" s="65" cm="1">
        <f t="array" ref="S151" xml:space="preserve"> IF( co_impactTypes[[#This Row],[damageAdjName]] = "none", 1, --( SUMPRODUCT( --IF( ISERROR( FIND( co_impactTypes[[#This Row],[damageAdjName]], scalarDataframe[scalarName] ) ), 0, 1 ), --( "damageAdj" = scalarDataframe[scalarType] ) ) &gt;= 1 ) )</f>
        <v>1</v>
      </c>
      <c r="T151" s="65" cm="1">
        <f t="array" ref="T151" xml:space="preserve"> IF( co_impactTypes[[#This Row],[econScalarName]] = "none", 1, --( SUMPRODUCT( --IF( ISERROR( FIND( co_impactTypes[[#This Row],[econScalarName]], scalarDataframe[scalarName] ) ), 0, 1 ), --( "econScalar" = scalarDataframe[scalarType] ) ) &gt;= 1 ) )</f>
        <v>1</v>
      </c>
      <c r="U151" s="65" cm="1">
        <f t="array" ref="U151" xml:space="preserve"> IF( NOT( ISERROR( FIND( co_impactTypes[[#This Row],[physScalarName]], "none, reg_pop" ) ) ), 1, --( SUMPRODUCT( --IF( ISERROR( FIND( co_impactTypes[[#This Row],[physScalarName]], scalarDataframe[scalarName] ) ), 0, 1 ), --( "physScalar" = scalarDataframe[scalarType] ) ) &gt;= 1 ) )</f>
        <v>1</v>
      </c>
    </row>
    <row r="152" spans="2:21" x14ac:dyDescent="0.3">
      <c r="B152" s="7">
        <f xml:space="preserve"> ROW( co_impactTypes[[#This Row],[row_id]] ) - ROW(co_impactTypes[[#Headers],[row_id]] )</f>
        <v>26</v>
      </c>
      <c r="C152" s="14" t="s">
        <v>85</v>
      </c>
      <c r="D152" s="59" t="s">
        <v>204</v>
      </c>
      <c r="E152" s="83" t="s">
        <v>191</v>
      </c>
      <c r="F152" s="115" t="s">
        <v>191</v>
      </c>
      <c r="G152" s="63" t="s">
        <v>204</v>
      </c>
      <c r="H152" s="59" t="s">
        <v>1015</v>
      </c>
      <c r="I152" s="59" t="s">
        <v>251</v>
      </c>
      <c r="J152" s="59" t="s">
        <v>259</v>
      </c>
      <c r="K152" s="59" t="s">
        <v>256</v>
      </c>
      <c r="L152" s="59" t="s">
        <v>786</v>
      </c>
      <c r="M152" s="59" t="s">
        <v>257</v>
      </c>
      <c r="N152" s="58">
        <v>0</v>
      </c>
      <c r="O152" s="58">
        <v>1</v>
      </c>
      <c r="P152" s="58">
        <v>0.4</v>
      </c>
      <c r="Q152" s="64">
        <f xml:space="preserve"> IF(co_impactTypes[[#This Row],[econMultiplierName]]="None", "N/A", 2010)</f>
        <v>2010</v>
      </c>
      <c r="R152" s="65" cm="1">
        <f t="array" ref="R152" xml:space="preserve"> IF( INDEX( co_sectors[modelType], MATCH( 1, --( co_impactTypes[[#This Row],[sector_id]] = co_sectors[sector_id] ), 0 ) ) = "gcm",
         --( SUMPRODUCT( --( co_impactTypes[[#This Row],[sector_id]] = data_scaledImpacts[sector] ), --( co_impactTypes[[#This Row],[impactType_id_excel]] = data_scaledImpacts[impactType] ) ) &gt; 1 ),
         --( SUMPRODUCT( --( co_impactTypes[[#This Row],[sector_id]] = slrImpacts[sector] ), --( co_impactTypes[[#This Row],[impactType_id_excel]] = slrImpacts[impactType] ) ) &gt; 1 ) )</f>
        <v>1</v>
      </c>
      <c r="S152" s="65" cm="1">
        <f t="array" ref="S152" xml:space="preserve"> IF( co_impactTypes[[#This Row],[damageAdjName]] = "none", 1, --( SUMPRODUCT( --IF( ISERROR( FIND( co_impactTypes[[#This Row],[damageAdjName]], scalarDataframe[scalarName] ) ), 0, 1 ), --( "damageAdj" = scalarDataframe[scalarType] ) ) &gt;= 1 ) )</f>
        <v>1</v>
      </c>
      <c r="T152" s="65" cm="1">
        <f t="array" ref="T152" xml:space="preserve"> IF( co_impactTypes[[#This Row],[econScalarName]] = "none", 1, --( SUMPRODUCT( --IF( ISERROR( FIND( co_impactTypes[[#This Row],[econScalarName]], scalarDataframe[scalarName] ) ), 0, 1 ), --( "econScalar" = scalarDataframe[scalarType] ) ) &gt;= 1 ) )</f>
        <v>1</v>
      </c>
      <c r="U152" s="65" cm="1">
        <f t="array" ref="U152" xml:space="preserve"> IF( NOT( ISERROR( FIND( co_impactTypes[[#This Row],[physScalarName]], "none, reg_pop" ) ) ), 1, --( SUMPRODUCT( --IF( ISERROR( FIND( co_impactTypes[[#This Row],[physScalarName]], scalarDataframe[scalarName] ) ), 0, 1 ), --( "physScalar" = scalarDataframe[scalarType] ) ) &gt;= 1 ) )</f>
        <v>1</v>
      </c>
    </row>
    <row r="153" spans="2:21" x14ac:dyDescent="0.3">
      <c r="B153" s="7">
        <f xml:space="preserve"> ROW( co_impactTypes[[#This Row],[row_id]] ) - ROW(co_impactTypes[[#Headers],[row_id]] )</f>
        <v>27</v>
      </c>
      <c r="C153" s="14" t="s">
        <v>85</v>
      </c>
      <c r="D153" s="59" t="s">
        <v>205</v>
      </c>
      <c r="E153" s="83" t="s">
        <v>193</v>
      </c>
      <c r="F153" s="115" t="s">
        <v>193</v>
      </c>
      <c r="G153" s="63" t="s">
        <v>212</v>
      </c>
      <c r="H153" s="59"/>
      <c r="I153" s="59" t="s">
        <v>251</v>
      </c>
      <c r="J153" s="59" t="s">
        <v>259</v>
      </c>
      <c r="K153" s="59" t="s">
        <v>256</v>
      </c>
      <c r="L153" s="59" t="s">
        <v>789</v>
      </c>
      <c r="M153" s="59" t="s">
        <v>256</v>
      </c>
      <c r="N153" s="58">
        <v>0</v>
      </c>
      <c r="O153" s="58">
        <v>1</v>
      </c>
      <c r="P153" s="58">
        <v>1</v>
      </c>
      <c r="Q153" s="64" t="str">
        <f xml:space="preserve"> IF(co_impactTypes[[#This Row],[econMultiplierName]]="None", "N/A", 2010)</f>
        <v>N/A</v>
      </c>
      <c r="R153" s="65" cm="1">
        <f t="array" ref="R153" xml:space="preserve"> IF( INDEX( co_sectors[modelType], MATCH( 1, --( co_impactTypes[[#This Row],[sector_id]] = co_sectors[sector_id] ), 0 ) ) = "gcm",
         --( SUMPRODUCT( --( co_impactTypes[[#This Row],[sector_id]] = data_scaledImpacts[sector] ), --( co_impactTypes[[#This Row],[impactType_id_excel]] = data_scaledImpacts[impactType] ) ) &gt; 1 ),
         --( SUMPRODUCT( --( co_impactTypes[[#This Row],[sector_id]] = slrImpacts[sector] ), --( co_impactTypes[[#This Row],[impactType_id_excel]] = slrImpacts[impactType] ) ) &gt; 1 ) )</f>
        <v>1</v>
      </c>
      <c r="S153" s="65" cm="1">
        <f t="array" ref="S153" xml:space="preserve"> IF( co_impactTypes[[#This Row],[damageAdjName]] = "none", 1, --( SUMPRODUCT( --IF( ISERROR( FIND( co_impactTypes[[#This Row],[damageAdjName]], scalarDataframe[scalarName] ) ), 0, 1 ), --( "damageAdj" = scalarDataframe[scalarType] ) ) &gt;= 1 ) )</f>
        <v>1</v>
      </c>
      <c r="T153" s="65" cm="1">
        <f t="array" ref="T153" xml:space="preserve"> IF( co_impactTypes[[#This Row],[econScalarName]] = "none", 1, --( SUMPRODUCT( --IF( ISERROR( FIND( co_impactTypes[[#This Row],[econScalarName]], scalarDataframe[scalarName] ) ), 0, 1 ), --( "econScalar" = scalarDataframe[scalarType] ) ) &gt;= 1 ) )</f>
        <v>1</v>
      </c>
      <c r="U153" s="65" cm="1">
        <f t="array" ref="U153" xml:space="preserve"> IF( NOT( ISERROR( FIND( co_impactTypes[[#This Row],[physScalarName]], "none, reg_pop" ) ) ), 1, --( SUMPRODUCT( --IF( ISERROR( FIND( co_impactTypes[[#This Row],[physScalarName]], scalarDataframe[scalarName] ) ), 0, 1 ), --( "physScalar" = scalarDataframe[scalarType] ) ) &gt;= 1 ) )</f>
        <v>1</v>
      </c>
    </row>
    <row r="154" spans="2:21" x14ac:dyDescent="0.3">
      <c r="B154" s="7">
        <f xml:space="preserve"> ROW( co_impactTypes[[#This Row],[row_id]] ) - ROW(co_impactTypes[[#Headers],[row_id]] )</f>
        <v>28</v>
      </c>
      <c r="C154" s="14" t="s">
        <v>85</v>
      </c>
      <c r="D154" s="59" t="s">
        <v>249</v>
      </c>
      <c r="E154" s="83" t="s">
        <v>192</v>
      </c>
      <c r="F154" s="115" t="s">
        <v>192</v>
      </c>
      <c r="G154" s="63" t="s">
        <v>809</v>
      </c>
      <c r="H154" s="59"/>
      <c r="I154" s="59" t="s">
        <v>251</v>
      </c>
      <c r="J154" s="59" t="s">
        <v>259</v>
      </c>
      <c r="K154" s="59" t="s">
        <v>256</v>
      </c>
      <c r="L154" s="59" t="s">
        <v>812</v>
      </c>
      <c r="M154" s="59" t="s">
        <v>256</v>
      </c>
      <c r="N154" s="58">
        <v>0</v>
      </c>
      <c r="O154" s="58">
        <v>1</v>
      </c>
      <c r="P154" s="58">
        <v>1</v>
      </c>
      <c r="Q154" s="64" t="str">
        <f xml:space="preserve"> IF(co_impactTypes[[#This Row],[econMultiplierName]]="None", "N/A", 2010)</f>
        <v>N/A</v>
      </c>
      <c r="R154" s="65" cm="1">
        <f t="array" ref="R154" xml:space="preserve"> IF( INDEX( co_sectors[modelType], MATCH( 1, --( co_impactTypes[[#This Row],[sector_id]] = co_sectors[sector_id] ), 0 ) ) = "gcm",
         --( SUMPRODUCT( --( co_impactTypes[[#This Row],[sector_id]] = data_scaledImpacts[sector] ), --( co_impactTypes[[#This Row],[impactType_id_excel]] = data_scaledImpacts[impactType] ) ) &gt; 1 ),
         --( SUMPRODUCT( --( co_impactTypes[[#This Row],[sector_id]] = slrImpacts[sector] ), --( co_impactTypes[[#This Row],[impactType_id_excel]] = slrImpacts[impactType] ) ) &gt; 1 ) )</f>
        <v>1</v>
      </c>
      <c r="S154" s="65" cm="1">
        <f t="array" ref="S154" xml:space="preserve"> IF( co_impactTypes[[#This Row],[damageAdjName]] = "none", 1, --( SUMPRODUCT( --IF( ISERROR( FIND( co_impactTypes[[#This Row],[damageAdjName]], scalarDataframe[scalarName] ) ), 0, 1 ), --( "damageAdj" = scalarDataframe[scalarType] ) ) &gt;= 1 ) )</f>
        <v>1</v>
      </c>
      <c r="T154" s="65" cm="1">
        <f t="array" ref="T154" xml:space="preserve"> IF( co_impactTypes[[#This Row],[econScalarName]] = "none", 1, --( SUMPRODUCT( --IF( ISERROR( FIND( co_impactTypes[[#This Row],[econScalarName]], scalarDataframe[scalarName] ) ), 0, 1 ), --( "econScalar" = scalarDataframe[scalarType] ) ) &gt;= 1 ) )</f>
        <v>1</v>
      </c>
      <c r="U154" s="65" cm="1">
        <f t="array" ref="U154" xml:space="preserve"> IF( NOT( ISERROR( FIND( co_impactTypes[[#This Row],[physScalarName]], "none, reg_pop" ) ) ), 1, --( SUMPRODUCT( --IF( ISERROR( FIND( co_impactTypes[[#This Row],[physScalarName]], scalarDataframe[scalarName] ) ), 0, 1 ), --( "physScalar" = scalarDataframe[scalarType] ) ) &gt;= 1 ) )</f>
        <v>1</v>
      </c>
    </row>
    <row r="155" spans="2:21" ht="21" x14ac:dyDescent="0.3">
      <c r="B155" s="7">
        <f xml:space="preserve"> ROW( co_impactTypes[[#This Row],[row_id]] ) - ROW(co_impactTypes[[#Headers],[row_id]] )</f>
        <v>29</v>
      </c>
      <c r="C155" s="14" t="s">
        <v>225</v>
      </c>
      <c r="D155" s="59" t="s">
        <v>201</v>
      </c>
      <c r="E155" s="83" t="s">
        <v>922</v>
      </c>
      <c r="F155" s="115"/>
      <c r="G155" s="63" t="s">
        <v>990</v>
      </c>
      <c r="H155" s="59"/>
      <c r="I155" s="59" t="s">
        <v>256</v>
      </c>
      <c r="J155" s="59" t="s">
        <v>256</v>
      </c>
      <c r="K155" s="59" t="s">
        <v>256</v>
      </c>
      <c r="L155" s="59" t="s">
        <v>256</v>
      </c>
      <c r="M155" s="59" t="s">
        <v>256</v>
      </c>
      <c r="N155" s="58">
        <v>0</v>
      </c>
      <c r="O155" s="58">
        <f>10^6</f>
        <v>1000000</v>
      </c>
      <c r="P155" s="58">
        <v>1</v>
      </c>
      <c r="Q155" s="64" t="str">
        <f xml:space="preserve"> IF(co_impactTypes[[#This Row],[econMultiplierName]]="None", "N/A", 2010)</f>
        <v>N/A</v>
      </c>
      <c r="R155" s="65" cm="1">
        <f t="array" ref="R155" xml:space="preserve"> IF( INDEX( co_sectors[modelType], MATCH( 1, --( co_impactTypes[[#This Row],[sector_id]] = co_sectors[sector_id] ), 0 ) ) = "gcm",
         --( SUMPRODUCT( --( co_impactTypes[[#This Row],[sector_id]] = data_scaledImpacts[sector] ), --( co_impactTypes[[#This Row],[impactType_id_excel]] = data_scaledImpacts[impactType] ) ) &gt; 1 ),
         --( SUMPRODUCT( --( co_impactTypes[[#This Row],[sector_id]] = slrImpacts[sector] ), --( co_impactTypes[[#This Row],[impactType_id_excel]] = slrImpacts[impactType] ) ) &gt; 1 ) )</f>
        <v>1</v>
      </c>
      <c r="S155" s="65" cm="1">
        <f t="array" ref="S155" xml:space="preserve"> IF( co_impactTypes[[#This Row],[damageAdjName]] = "none", 1, --( SUMPRODUCT( --IF( ISERROR( FIND( co_impactTypes[[#This Row],[damageAdjName]], scalarDataframe[scalarName] ) ), 0, 1 ), --( "damageAdj" = scalarDataframe[scalarType] ) ) &gt;= 1 ) )</f>
        <v>1</v>
      </c>
      <c r="T155" s="65" cm="1">
        <f t="array" ref="T155" xml:space="preserve"> IF( co_impactTypes[[#This Row],[econScalarName]] = "none", 1, --( SUMPRODUCT( --IF( ISERROR( FIND( co_impactTypes[[#This Row],[econScalarName]], scalarDataframe[scalarName] ) ), 0, 1 ), --( "econScalar" = scalarDataframe[scalarType] ) ) &gt;= 1 ) )</f>
        <v>1</v>
      </c>
      <c r="U155" s="65" cm="1">
        <f t="array" ref="U155" xml:space="preserve"> IF( NOT( ISERROR( FIND( co_impactTypes[[#This Row],[physScalarName]], "none, reg_pop" ) ) ), 1, --( SUMPRODUCT( --IF( ISERROR( FIND( co_impactTypes[[#This Row],[physScalarName]], scalarDataframe[scalarName] ) ), 0, 1 ), --( "physScalar" = scalarDataframe[scalarType] ) ) &gt;= 1 ) )</f>
        <v>1</v>
      </c>
    </row>
    <row r="156" spans="2:21" x14ac:dyDescent="0.3">
      <c r="B156" s="7">
        <f xml:space="preserve"> ROW( co_impactTypes[[#This Row],[row_id]] ) - ROW(co_impactTypes[[#Headers],[row_id]] )</f>
        <v>30</v>
      </c>
      <c r="C156" s="14" t="s">
        <v>978</v>
      </c>
      <c r="D156" s="59" t="s">
        <v>989</v>
      </c>
      <c r="E156" s="83" t="s">
        <v>804</v>
      </c>
      <c r="F156" s="115" t="s">
        <v>989</v>
      </c>
      <c r="G156" s="63" t="s">
        <v>989</v>
      </c>
      <c r="H156" s="59"/>
      <c r="I156" s="59" t="s">
        <v>251</v>
      </c>
      <c r="J156" s="59" t="s">
        <v>984</v>
      </c>
      <c r="K156" s="59" t="s">
        <v>256</v>
      </c>
      <c r="L156" s="59" t="s">
        <v>985</v>
      </c>
      <c r="M156" s="59" t="s">
        <v>257</v>
      </c>
      <c r="N156" s="58">
        <v>0</v>
      </c>
      <c r="O156" s="58">
        <v>1</v>
      </c>
      <c r="P156" s="58">
        <v>1</v>
      </c>
      <c r="Q156" s="64">
        <f xml:space="preserve"> IF(co_impactTypes[[#This Row],[econMultiplierName]]="None", "N/A", 2010)</f>
        <v>2010</v>
      </c>
      <c r="R156" s="65" cm="1">
        <f t="array" ref="R156" xml:space="preserve"> IF( INDEX( co_sectors[modelType], MATCH( 1, --( co_impactTypes[[#This Row],[sector_id]] = co_sectors[sector_id] ), 0 ) ) = "gcm",
         --( SUMPRODUCT( --( co_impactTypes[[#This Row],[sector_id]] = data_scaledImpacts[sector] ), --( co_impactTypes[[#This Row],[impactType_id_excel]] = data_scaledImpacts[impactType] ) ) &gt; 1 ),
         --( SUMPRODUCT( --( co_impactTypes[[#This Row],[sector_id]] = slrImpacts[sector] ), --( co_impactTypes[[#This Row],[impactType_id_excel]] = slrImpacts[impactType] ) ) &gt; 1 ) )</f>
        <v>1</v>
      </c>
      <c r="S156" s="65" cm="1">
        <f t="array" ref="S156" xml:space="preserve"> IF( co_impactTypes[[#This Row],[damageAdjName]] = "none", 1, --( SUMPRODUCT( --IF( ISERROR( FIND( co_impactTypes[[#This Row],[damageAdjName]], scalarDataframe[scalarName] ) ), 0, 1 ), --( "damageAdj" = scalarDataframe[scalarType] ) ) &gt;= 1 ) )</f>
        <v>1</v>
      </c>
      <c r="T156" s="65" cm="1">
        <f t="array" ref="T156" xml:space="preserve"> IF( co_impactTypes[[#This Row],[econScalarName]] = "none", 1, --( SUMPRODUCT( --IF( ISERROR( FIND( co_impactTypes[[#This Row],[econScalarName]], scalarDataframe[scalarName] ) ), 0, 1 ), --( "econScalar" = scalarDataframe[scalarType] ) ) &gt;= 1 ) )</f>
        <v>1</v>
      </c>
      <c r="U156" s="65" cm="1">
        <f t="array" ref="U156" xml:space="preserve"> IF( NOT( ISERROR( FIND( co_impactTypes[[#This Row],[physScalarName]], "none, reg_pop" ) ) ), 1, --( SUMPRODUCT( --IF( ISERROR( FIND( co_impactTypes[[#This Row],[physScalarName]], scalarDataframe[scalarName] ) ), 0, 1 ), --( "physScalar" = scalarDataframe[scalarType] ) ) &gt;= 1 ) )</f>
        <v>1</v>
      </c>
    </row>
    <row r="157" spans="2:21" x14ac:dyDescent="0.3">
      <c r="B157" s="7">
        <f xml:space="preserve"> ROW( co_impactTypes[[#This Row],[row_id]] ) - ROW(co_impactTypes[[#Headers],[row_id]] )</f>
        <v>31</v>
      </c>
      <c r="C157" s="14" t="s">
        <v>978</v>
      </c>
      <c r="D157" s="59" t="s">
        <v>769</v>
      </c>
      <c r="E157" s="115" t="s">
        <v>769</v>
      </c>
      <c r="F157" s="115" t="s">
        <v>769</v>
      </c>
      <c r="G157" s="63" t="s">
        <v>769</v>
      </c>
      <c r="H157" s="59"/>
      <c r="I157" s="59" t="s">
        <v>251</v>
      </c>
      <c r="J157" s="59" t="s">
        <v>1006</v>
      </c>
      <c r="K157" s="59" t="s">
        <v>256</v>
      </c>
      <c r="L157" s="59" t="s">
        <v>986</v>
      </c>
      <c r="M157" s="59" t="s">
        <v>256</v>
      </c>
      <c r="N157" s="58">
        <v>0</v>
      </c>
      <c r="O157" s="58">
        <v>1</v>
      </c>
      <c r="P157" s="58">
        <v>1</v>
      </c>
      <c r="Q157" s="64" t="str">
        <f xml:space="preserve"> IF(co_impactTypes[[#This Row],[econMultiplierName]]="None", "N/A", 2010)</f>
        <v>N/A</v>
      </c>
      <c r="R157" s="65" cm="1">
        <f t="array" ref="R157" xml:space="preserve"> IF( INDEX( co_sectors[modelType], MATCH( 1, --( co_impactTypes[[#This Row],[sector_id]] = co_sectors[sector_id] ), 0 ) ) = "gcm",
         --( SUMPRODUCT( --( co_impactTypes[[#This Row],[sector_id]] = data_scaledImpacts[sector] ), --( co_impactTypes[[#This Row],[impactType_id_excel]] = data_scaledImpacts[impactType] ) ) &gt; 1 ),
         --( SUMPRODUCT( --( co_impactTypes[[#This Row],[sector_id]] = slrImpacts[sector] ), --( co_impactTypes[[#This Row],[impactType_id_excel]] = slrImpacts[impactType] ) ) &gt; 1 ) )</f>
        <v>1</v>
      </c>
      <c r="S157" s="65" cm="1">
        <f t="array" ref="S157" xml:space="preserve"> IF( co_impactTypes[[#This Row],[damageAdjName]] = "none", 1, --( SUMPRODUCT( --IF( ISERROR( FIND( co_impactTypes[[#This Row],[damageAdjName]], scalarDataframe[scalarName] ) ), 0, 1 ), --( "damageAdj" = scalarDataframe[scalarType] ) ) &gt;= 1 ) )</f>
        <v>1</v>
      </c>
      <c r="T157" s="65" cm="1">
        <f t="array" ref="T157" xml:space="preserve"> IF( co_impactTypes[[#This Row],[econScalarName]] = "none", 1, --( SUMPRODUCT( --IF( ISERROR( FIND( co_impactTypes[[#This Row],[econScalarName]], scalarDataframe[scalarName] ) ), 0, 1 ), --( "econScalar" = scalarDataframe[scalarType] ) ) &gt;= 1 ) )</f>
        <v>1</v>
      </c>
      <c r="U157" s="65" cm="1">
        <f t="array" ref="U157" xml:space="preserve"> IF( NOT( ISERROR( FIND( co_impactTypes[[#This Row],[physScalarName]], "none, reg_pop" ) ) ), 1, --( SUMPRODUCT( --IF( ISERROR( FIND( co_impactTypes[[#This Row],[physScalarName]], scalarDataframe[scalarName] ) ), 0, 1 ), --( "physScalar" = scalarDataframe[scalarType] ) ) &gt;= 1 ) )</f>
        <v>1</v>
      </c>
    </row>
    <row r="158" spans="2:21" x14ac:dyDescent="0.3">
      <c r="B158" s="7">
        <f xml:space="preserve"> ROW( co_impactTypes[[#This Row],[row_id]] ) - ROW(co_impactTypes[[#Headers],[row_id]] )</f>
        <v>32</v>
      </c>
      <c r="C158" s="14" t="s">
        <v>978</v>
      </c>
      <c r="D158" s="59" t="s">
        <v>768</v>
      </c>
      <c r="E158" s="115" t="s">
        <v>768</v>
      </c>
      <c r="F158" s="115" t="s">
        <v>768</v>
      </c>
      <c r="G158" s="63" t="s">
        <v>768</v>
      </c>
      <c r="H158" s="59" t="s">
        <v>1015</v>
      </c>
      <c r="I158" s="59" t="s">
        <v>251</v>
      </c>
      <c r="J158" s="59" t="s">
        <v>983</v>
      </c>
      <c r="K158" s="59" t="s">
        <v>256</v>
      </c>
      <c r="L158" s="59" t="s">
        <v>786</v>
      </c>
      <c r="M158" s="59" t="s">
        <v>257</v>
      </c>
      <c r="N158" s="58">
        <v>0</v>
      </c>
      <c r="O158" s="58">
        <v>1</v>
      </c>
      <c r="P158" s="58">
        <v>0.4</v>
      </c>
      <c r="Q158" s="64">
        <f xml:space="preserve"> IF(co_impactTypes[[#This Row],[econMultiplierName]]="None", "N/A", 2010)</f>
        <v>2010</v>
      </c>
      <c r="R158" s="65" cm="1">
        <f t="array" ref="R158" xml:space="preserve"> IF( INDEX( co_sectors[modelType], MATCH( 1, --( co_impactTypes[[#This Row],[sector_id]] = co_sectors[sector_id] ), 0 ) ) = "gcm",
         --( SUMPRODUCT( --( co_impactTypes[[#This Row],[sector_id]] = data_scaledImpacts[sector] ), --( co_impactTypes[[#This Row],[impactType_id_excel]] = data_scaledImpacts[impactType] ) ) &gt; 1 ),
         --( SUMPRODUCT( --( co_impactTypes[[#This Row],[sector_id]] = slrImpacts[sector] ), --( co_impactTypes[[#This Row],[impactType_id_excel]] = slrImpacts[impactType] ) ) &gt; 1 ) )</f>
        <v>1</v>
      </c>
      <c r="S158" s="65" cm="1">
        <f t="array" ref="S158" xml:space="preserve"> IF( co_impactTypes[[#This Row],[damageAdjName]] = "none", 1, --( SUMPRODUCT( --IF( ISERROR( FIND( co_impactTypes[[#This Row],[damageAdjName]], scalarDataframe[scalarName] ) ), 0, 1 ), --( "damageAdj" = scalarDataframe[scalarType] ) ) &gt;= 1 ) )</f>
        <v>1</v>
      </c>
      <c r="T158" s="65" cm="1">
        <f t="array" ref="T158" xml:space="preserve"> IF( co_impactTypes[[#This Row],[econScalarName]] = "none", 1, --( SUMPRODUCT( --IF( ISERROR( FIND( co_impactTypes[[#This Row],[econScalarName]], scalarDataframe[scalarName] ) ), 0, 1 ), --( "econScalar" = scalarDataframe[scalarType] ) ) &gt;= 1 ) )</f>
        <v>1</v>
      </c>
      <c r="U158" s="65" cm="1">
        <f t="array" ref="U158" xml:space="preserve"> IF( NOT( ISERROR( FIND( co_impactTypes[[#This Row],[physScalarName]], "none, reg_pop" ) ) ), 1, --( SUMPRODUCT( --IF( ISERROR( FIND( co_impactTypes[[#This Row],[physScalarName]], scalarDataframe[scalarName] ) ), 0, 1 ), --( "physScalar" = scalarDataframe[scalarType] ) ) &gt;= 1 ) )</f>
        <v>1</v>
      </c>
    </row>
    <row r="159" spans="2:21" x14ac:dyDescent="0.3">
      <c r="B159" s="7">
        <f xml:space="preserve"> ROW( co_impactTypes[[#This Row],[row_id]] ) - ROW(co_impactTypes[[#Headers],[row_id]] )</f>
        <v>33</v>
      </c>
      <c r="C159" s="14" t="s">
        <v>1301</v>
      </c>
      <c r="D159" s="59" t="s">
        <v>1302</v>
      </c>
      <c r="E159" s="83" t="s">
        <v>1304</v>
      </c>
      <c r="F159" s="115" t="s">
        <v>1304</v>
      </c>
      <c r="G159" s="63" t="s">
        <v>1302</v>
      </c>
      <c r="H159" s="59"/>
      <c r="I159" s="59" t="s">
        <v>256</v>
      </c>
      <c r="J159" s="59" t="s">
        <v>256</v>
      </c>
      <c r="K159" s="59" t="s">
        <v>256</v>
      </c>
      <c r="L159" s="59" t="s">
        <v>256</v>
      </c>
      <c r="M159" s="59" t="s">
        <v>256</v>
      </c>
      <c r="N159" s="58">
        <v>0</v>
      </c>
      <c r="O159" s="58">
        <v>1</v>
      </c>
      <c r="P159" s="58">
        <v>1</v>
      </c>
      <c r="Q159" s="64" t="str">
        <f xml:space="preserve"> IF(co_impactTypes[[#This Row],[econMultiplierName]]="None", "N/A", 2010)</f>
        <v>N/A</v>
      </c>
      <c r="R159" s="65" cm="1">
        <f t="array" ref="R159" xml:space="preserve"> IF( INDEX( co_sectors[modelType], MATCH( 1, --( co_impactTypes[[#This Row],[sector_id]] = co_sectors[sector_id] ), 0 ) ) = "gcm",
         --( SUMPRODUCT( --( co_impactTypes[[#This Row],[sector_id]] = data_scaledImpacts[sector] ), --( co_impactTypes[[#This Row],[impactType_id_excel]] = data_scaledImpacts[impactType] ) ) &gt; 1 ),
         --( SUMPRODUCT( --( co_impactTypes[[#This Row],[sector_id]] = slrImpacts[sector] ), --( co_impactTypes[[#This Row],[impactType_id_excel]] = slrImpacts[impactType] ) ) &gt; 1 ) )</f>
        <v>1</v>
      </c>
      <c r="S159" s="65" cm="1">
        <f t="array" ref="S159" xml:space="preserve"> IF( co_impactTypes[[#This Row],[damageAdjName]] = "none", 1, --( SUMPRODUCT( --IF( ISERROR( FIND( co_impactTypes[[#This Row],[damageAdjName]], scalarDataframe[scalarName] ) ), 0, 1 ), --( "damageAdj" = scalarDataframe[scalarType] ) ) &gt;= 1 ) )</f>
        <v>1</v>
      </c>
      <c r="T159" s="65" cm="1">
        <f t="array" ref="T159" xml:space="preserve"> IF( co_impactTypes[[#This Row],[econScalarName]] = "none", 1, --( SUMPRODUCT( --IF( ISERROR( FIND( co_impactTypes[[#This Row],[econScalarName]], scalarDataframe[scalarName] ) ), 0, 1 ), --( "econScalar" = scalarDataframe[scalarType] ) ) &gt;= 1 ) )</f>
        <v>1</v>
      </c>
      <c r="U159" s="65" cm="1">
        <f t="array" ref="U159" xml:space="preserve"> IF( NOT( ISERROR( FIND( co_impactTypes[[#This Row],[physScalarName]], "none, reg_pop" ) ) ), 1, --( SUMPRODUCT( --IF( ISERROR( FIND( co_impactTypes[[#This Row],[physScalarName]], scalarDataframe[scalarName] ) ), 0, 1 ), --( "physScalar" = scalarDataframe[scalarType] ) ) &gt;= 1 ) )</f>
        <v>1</v>
      </c>
    </row>
    <row r="160" spans="2:21" x14ac:dyDescent="0.3">
      <c r="B160" s="7">
        <f xml:space="preserve"> ROW( co_impactTypes[[#This Row],[row_id]] ) - ROW(co_impactTypes[[#Headers],[row_id]] )</f>
        <v>34</v>
      </c>
      <c r="C160" s="14" t="s">
        <v>1301</v>
      </c>
      <c r="D160" s="59" t="s">
        <v>1303</v>
      </c>
      <c r="E160" s="83" t="s">
        <v>1305</v>
      </c>
      <c r="F160" s="115" t="s">
        <v>1305</v>
      </c>
      <c r="G160" s="63" t="s">
        <v>1303</v>
      </c>
      <c r="H160" s="59"/>
      <c r="I160" s="59" t="s">
        <v>256</v>
      </c>
      <c r="J160" s="59" t="s">
        <v>256</v>
      </c>
      <c r="K160" s="59" t="s">
        <v>256</v>
      </c>
      <c r="L160" s="59" t="s">
        <v>985</v>
      </c>
      <c r="M160" s="59" t="s">
        <v>257</v>
      </c>
      <c r="N160" s="58">
        <v>0</v>
      </c>
      <c r="O160" s="58">
        <v>1</v>
      </c>
      <c r="P160" s="58">
        <v>1</v>
      </c>
      <c r="Q160" s="64">
        <f xml:space="preserve"> IF(co_impactTypes[[#This Row],[econMultiplierName]]="None", "N/A", 2010)</f>
        <v>2010</v>
      </c>
      <c r="R160" s="65" cm="1">
        <f t="array" ref="R160" xml:space="preserve"> IF( INDEX( co_sectors[modelType], MATCH( 1, --( co_impactTypes[[#This Row],[sector_id]] = co_sectors[sector_id] ), 0 ) ) = "gcm",
         --( SUMPRODUCT( --( co_impactTypes[[#This Row],[sector_id]] = data_scaledImpacts[sector] ), --( co_impactTypes[[#This Row],[impactType_id_excel]] = data_scaledImpacts[impactType] ) ) &gt; 1 ),
         --( SUMPRODUCT( --( co_impactTypes[[#This Row],[sector_id]] = slrImpacts[sector] ), --( co_impactTypes[[#This Row],[impactType_id_excel]] = slrImpacts[impactType] ) ) &gt; 1 ) )</f>
        <v>1</v>
      </c>
      <c r="S160" s="65" cm="1">
        <f t="array" ref="S160" xml:space="preserve"> IF( co_impactTypes[[#This Row],[damageAdjName]] = "none", 1, --( SUMPRODUCT( --IF( ISERROR( FIND( co_impactTypes[[#This Row],[damageAdjName]], scalarDataframe[scalarName] ) ), 0, 1 ), --( "damageAdj" = scalarDataframe[scalarType] ) ) &gt;= 1 ) )</f>
        <v>1</v>
      </c>
      <c r="T160" s="65" cm="1">
        <f t="array" ref="T160" xml:space="preserve"> IF( co_impactTypes[[#This Row],[econScalarName]] = "none", 1, --( SUMPRODUCT( --IF( ISERROR( FIND( co_impactTypes[[#This Row],[econScalarName]], scalarDataframe[scalarName] ) ), 0, 1 ), --( "econScalar" = scalarDataframe[scalarType] ) ) &gt;= 1 ) )</f>
        <v>1</v>
      </c>
      <c r="U160" s="65" cm="1">
        <f t="array" ref="U160" xml:space="preserve"> IF( NOT( ISERROR( FIND( co_impactTypes[[#This Row],[physScalarName]], "none, reg_pop" ) ) ), 1, --( SUMPRODUCT( --IF( ISERROR( FIND( co_impactTypes[[#This Row],[physScalarName]], scalarDataframe[scalarName] ) ), 0, 1 ), --( "physScalar" = scalarDataframe[scalarType] ) ) &gt;= 1 ) )</f>
        <v>1</v>
      </c>
    </row>
    <row r="161" spans="1:21" x14ac:dyDescent="0.3">
      <c r="B161" s="7">
        <f xml:space="preserve"> ROW( co_impactTypes[[#This Row],[row_id]] ) - ROW(co_impactTypes[[#Headers],[row_id]] )</f>
        <v>35</v>
      </c>
      <c r="C161" s="14" t="s">
        <v>1301</v>
      </c>
      <c r="D161" s="59" t="s">
        <v>768</v>
      </c>
      <c r="E161" s="83" t="s">
        <v>768</v>
      </c>
      <c r="F161" s="115" t="s">
        <v>768</v>
      </c>
      <c r="G161" s="63" t="s">
        <v>768</v>
      </c>
      <c r="H161" s="59"/>
      <c r="I161" s="59" t="s">
        <v>256</v>
      </c>
      <c r="J161" s="59" t="s">
        <v>256</v>
      </c>
      <c r="K161" s="59" t="s">
        <v>256</v>
      </c>
      <c r="L161" s="59" t="s">
        <v>786</v>
      </c>
      <c r="M161" s="59" t="s">
        <v>257</v>
      </c>
      <c r="N161" s="58">
        <v>0</v>
      </c>
      <c r="O161" s="58">
        <v>1</v>
      </c>
      <c r="P161" s="58">
        <v>0.4</v>
      </c>
      <c r="Q161" s="64">
        <f xml:space="preserve"> IF(co_impactTypes[[#This Row],[econMultiplierName]]="None", "N/A", 2010)</f>
        <v>2010</v>
      </c>
      <c r="R161" s="65" cm="1">
        <f t="array" ref="R161" xml:space="preserve"> IF( INDEX( co_sectors[modelType], MATCH( 1, --( co_impactTypes[[#This Row],[sector_id]] = co_sectors[sector_id] ), 0 ) ) = "gcm",
         --( SUMPRODUCT( --( co_impactTypes[[#This Row],[sector_id]] = data_scaledImpacts[sector] ), --( co_impactTypes[[#This Row],[impactType_id_excel]] = data_scaledImpacts[impactType] ) ) &gt; 1 ),
         --( SUMPRODUCT( --( co_impactTypes[[#This Row],[sector_id]] = slrImpacts[sector] ), --( co_impactTypes[[#This Row],[impactType_id_excel]] = slrImpacts[impactType] ) ) &gt; 1 ) )</f>
        <v>1</v>
      </c>
      <c r="S161" s="65" cm="1">
        <f t="array" ref="S161" xml:space="preserve"> IF( co_impactTypes[[#This Row],[damageAdjName]] = "none", 1, --( SUMPRODUCT( --IF( ISERROR( FIND( co_impactTypes[[#This Row],[damageAdjName]], scalarDataframe[scalarName] ) ), 0, 1 ), --( "damageAdj" = scalarDataframe[scalarType] ) ) &gt;= 1 ) )</f>
        <v>1</v>
      </c>
      <c r="T161" s="65" cm="1">
        <f t="array" ref="T161" xml:space="preserve"> IF( co_impactTypes[[#This Row],[econScalarName]] = "none", 1, --( SUMPRODUCT( --IF( ISERROR( FIND( co_impactTypes[[#This Row],[econScalarName]], scalarDataframe[scalarName] ) ), 0, 1 ), --( "econScalar" = scalarDataframe[scalarType] ) ) &gt;= 1 ) )</f>
        <v>1</v>
      </c>
      <c r="U161" s="65" cm="1">
        <f t="array" ref="U161" xml:space="preserve"> IF( NOT( ISERROR( FIND( co_impactTypes[[#This Row],[physScalarName]], "none, reg_pop" ) ) ), 1, --( SUMPRODUCT( --IF( ISERROR( FIND( co_impactTypes[[#This Row],[physScalarName]], scalarDataframe[scalarName] ) ), 0, 1 ), --( "physScalar" = scalarDataframe[scalarType] ) ) &gt;= 1 ) )</f>
        <v>1</v>
      </c>
    </row>
    <row r="162" spans="1:21" x14ac:dyDescent="0.3">
      <c r="B162" s="7">
        <f xml:space="preserve"> ROW( co_impactTypes[[#This Row],[row_id]] ) - ROW(co_impactTypes[[#Headers],[row_id]] )</f>
        <v>36</v>
      </c>
      <c r="C162" s="14" t="s">
        <v>227</v>
      </c>
      <c r="D162" s="59" t="s">
        <v>201</v>
      </c>
      <c r="E162" s="83" t="s">
        <v>922</v>
      </c>
      <c r="F162" s="115"/>
      <c r="G162" s="63" t="s">
        <v>806</v>
      </c>
      <c r="H162" s="59"/>
      <c r="I162" s="59" t="s">
        <v>251</v>
      </c>
      <c r="J162" s="59" t="s">
        <v>256</v>
      </c>
      <c r="K162" s="59" t="s">
        <v>256</v>
      </c>
      <c r="L162" s="59" t="s">
        <v>256</v>
      </c>
      <c r="M162" s="59" t="s">
        <v>256</v>
      </c>
      <c r="N162" s="58">
        <v>0</v>
      </c>
      <c r="O162" s="58">
        <v>1</v>
      </c>
      <c r="P162" s="58">
        <v>1</v>
      </c>
      <c r="Q162" s="64" t="str">
        <f xml:space="preserve"> IF(co_impactTypes[[#This Row],[econMultiplierName]]="None", "N/A", 2010)</f>
        <v>N/A</v>
      </c>
      <c r="R162" s="65" cm="1">
        <f t="array" ref="R162" xml:space="preserve"> IF( INDEX( co_sectors[modelType], MATCH( 1, --( co_impactTypes[[#This Row],[sector_id]] = co_sectors[sector_id] ), 0 ) ) = "gcm",
         --( SUMPRODUCT( --( co_impactTypes[[#This Row],[sector_id]] = data_scaledImpacts[sector] ), --( co_impactTypes[[#This Row],[impactType_id_excel]] = data_scaledImpacts[impactType] ) ) &gt; 1 ),
         --( SUMPRODUCT( --( co_impactTypes[[#This Row],[sector_id]] = slrImpacts[sector] ), --( co_impactTypes[[#This Row],[impactType_id_excel]] = slrImpacts[impactType] ) ) &gt; 1 ) )</f>
        <v>1</v>
      </c>
      <c r="S162" s="65" cm="1">
        <f t="array" ref="S162" xml:space="preserve"> IF( co_impactTypes[[#This Row],[damageAdjName]] = "none", 1, --( SUMPRODUCT( --IF( ISERROR( FIND( co_impactTypes[[#This Row],[damageAdjName]], scalarDataframe[scalarName] ) ), 0, 1 ), --( "damageAdj" = scalarDataframe[scalarType] ) ) &gt;= 1 ) )</f>
        <v>1</v>
      </c>
      <c r="T162" s="65" cm="1">
        <f t="array" ref="T162" xml:space="preserve"> IF( co_impactTypes[[#This Row],[econScalarName]] = "none", 1, --( SUMPRODUCT( --IF( ISERROR( FIND( co_impactTypes[[#This Row],[econScalarName]], scalarDataframe[scalarName] ) ), 0, 1 ), --( "econScalar" = scalarDataframe[scalarType] ) ) &gt;= 1 ) )</f>
        <v>1</v>
      </c>
      <c r="U162" s="65" cm="1">
        <f t="array" ref="U162" xml:space="preserve"> IF( NOT( ISERROR( FIND( co_impactTypes[[#This Row],[physScalarName]], "none, reg_pop" ) ) ), 1, --( SUMPRODUCT( --IF( ISERROR( FIND( co_impactTypes[[#This Row],[physScalarName]], scalarDataframe[scalarName] ) ), 0, 1 ), --( "physScalar" = scalarDataframe[scalarType] ) ) &gt;= 1 ) )</f>
        <v>1</v>
      </c>
    </row>
    <row r="163" spans="1:21" x14ac:dyDescent="0.3">
      <c r="B163" s="7">
        <f xml:space="preserve"> ROW( co_impactTypes[[#This Row],[row_id]] ) - ROW(co_impactTypes[[#Headers],[row_id]] )</f>
        <v>37</v>
      </c>
      <c r="C163" s="14" t="s">
        <v>761</v>
      </c>
      <c r="D163" s="59" t="s">
        <v>769</v>
      </c>
      <c r="E163" s="83" t="s">
        <v>769</v>
      </c>
      <c r="F163" s="115" t="s">
        <v>769</v>
      </c>
      <c r="G163" s="63" t="s">
        <v>769</v>
      </c>
      <c r="H163" s="59"/>
      <c r="I163" s="59" t="s">
        <v>251</v>
      </c>
      <c r="J163" s="59" t="s">
        <v>256</v>
      </c>
      <c r="K163" s="59" t="s">
        <v>256</v>
      </c>
      <c r="L163" s="59" t="s">
        <v>256</v>
      </c>
      <c r="M163" s="59" t="s">
        <v>256</v>
      </c>
      <c r="N163" s="58">
        <v>0</v>
      </c>
      <c r="O163" s="58">
        <v>1</v>
      </c>
      <c r="P163" s="58">
        <v>1</v>
      </c>
      <c r="Q163" s="64" t="str">
        <f xml:space="preserve"> IF(co_impactTypes[[#This Row],[econMultiplierName]]="None", "N/A", 2010)</f>
        <v>N/A</v>
      </c>
      <c r="R163" s="65" cm="1">
        <f t="array" ref="R163" xml:space="preserve"> IF( INDEX( co_sectors[modelType], MATCH( 1, --( co_impactTypes[[#This Row],[sector_id]] = co_sectors[sector_id] ), 0 ) ) = "gcm",
         --( SUMPRODUCT( --( co_impactTypes[[#This Row],[sector_id]] = data_scaledImpacts[sector] ), --( co_impactTypes[[#This Row],[impactType_id_excel]] = data_scaledImpacts[impactType] ) ) &gt; 1 ),
         --( SUMPRODUCT( --( co_impactTypes[[#This Row],[sector_id]] = slrImpacts[sector] ), --( co_impactTypes[[#This Row],[impactType_id_excel]] = slrImpacts[impactType] ) ) &gt; 1 ) )</f>
        <v>1</v>
      </c>
      <c r="S163" s="65" cm="1">
        <f t="array" ref="S163" xml:space="preserve"> IF( co_impactTypes[[#This Row],[damageAdjName]] = "none", 1, --( SUMPRODUCT( --IF( ISERROR( FIND( co_impactTypes[[#This Row],[damageAdjName]], scalarDataframe[scalarName] ) ), 0, 1 ), --( "damageAdj" = scalarDataframe[scalarType] ) ) &gt;= 1 ) )</f>
        <v>1</v>
      </c>
      <c r="T163" s="65" cm="1">
        <f t="array" ref="T163" xml:space="preserve"> IF( co_impactTypes[[#This Row],[econScalarName]] = "none", 1, --( SUMPRODUCT( --IF( ISERROR( FIND( co_impactTypes[[#This Row],[econScalarName]], scalarDataframe[scalarName] ) ), 0, 1 ), --( "econScalar" = scalarDataframe[scalarType] ) ) &gt;= 1 ) )</f>
        <v>1</v>
      </c>
      <c r="U163" s="65" cm="1">
        <f t="array" ref="U163" xml:space="preserve"> IF( NOT( ISERROR( FIND( co_impactTypes[[#This Row],[physScalarName]], "none, reg_pop" ) ) ), 1, --( SUMPRODUCT( --IF( ISERROR( FIND( co_impactTypes[[#This Row],[physScalarName]], scalarDataframe[scalarName] ) ), 0, 1 ), --( "physScalar" = scalarDataframe[scalarType] ) ) &gt;= 1 ) )</f>
        <v>1</v>
      </c>
    </row>
    <row r="164" spans="1:21" x14ac:dyDescent="0.3">
      <c r="B164" s="7">
        <f xml:space="preserve"> ROW( co_impactTypes[[#This Row],[row_id]] ) - ROW(co_impactTypes[[#Headers],[row_id]] )</f>
        <v>38</v>
      </c>
      <c r="C164" s="14" t="s">
        <v>761</v>
      </c>
      <c r="D164" s="59" t="s">
        <v>768</v>
      </c>
      <c r="E164" s="83" t="s">
        <v>768</v>
      </c>
      <c r="F164" s="115" t="s">
        <v>768</v>
      </c>
      <c r="G164" s="63" t="s">
        <v>768</v>
      </c>
      <c r="H164" s="59" t="s">
        <v>1015</v>
      </c>
      <c r="I164" s="59" t="s">
        <v>251</v>
      </c>
      <c r="J164" s="59" t="s">
        <v>256</v>
      </c>
      <c r="K164" s="59" t="s">
        <v>256</v>
      </c>
      <c r="L164" s="59" t="s">
        <v>786</v>
      </c>
      <c r="M164" s="59" t="s">
        <v>257</v>
      </c>
      <c r="N164" s="58">
        <v>0</v>
      </c>
      <c r="O164" s="58">
        <v>1</v>
      </c>
      <c r="P164" s="58">
        <v>0.4</v>
      </c>
      <c r="Q164" s="64">
        <f xml:space="preserve"> IF(co_impactTypes[[#This Row],[econMultiplierName]]="None", "N/A", 2010)</f>
        <v>2010</v>
      </c>
      <c r="R164" s="65" cm="1">
        <f t="array" ref="R164" xml:space="preserve"> IF( INDEX( co_sectors[modelType], MATCH( 1, --( co_impactTypes[[#This Row],[sector_id]] = co_sectors[sector_id] ), 0 ) ) = "gcm",
         --( SUMPRODUCT( --( co_impactTypes[[#This Row],[sector_id]] = data_scaledImpacts[sector] ), --( co_impactTypes[[#This Row],[impactType_id_excel]] = data_scaledImpacts[impactType] ) ) &gt; 1 ),
         --( SUMPRODUCT( --( co_impactTypes[[#This Row],[sector_id]] = slrImpacts[sector] ), --( co_impactTypes[[#This Row],[impactType_id_excel]] = slrImpacts[impactType] ) ) &gt; 1 ) )</f>
        <v>1</v>
      </c>
      <c r="S164" s="65" cm="1">
        <f t="array" ref="S164" xml:space="preserve"> IF( co_impactTypes[[#This Row],[damageAdjName]] = "none", 1, --( SUMPRODUCT( --IF( ISERROR( FIND( co_impactTypes[[#This Row],[damageAdjName]], scalarDataframe[scalarName] ) ), 0, 1 ), --( "damageAdj" = scalarDataframe[scalarType] ) ) &gt;= 1 ) )</f>
        <v>1</v>
      </c>
      <c r="T164" s="65" cm="1">
        <f t="array" ref="T164" xml:space="preserve"> IF( co_impactTypes[[#This Row],[econScalarName]] = "none", 1, --( SUMPRODUCT( --IF( ISERROR( FIND( co_impactTypes[[#This Row],[econScalarName]], scalarDataframe[scalarName] ) ), 0, 1 ), --( "econScalar" = scalarDataframe[scalarType] ) ) &gt;= 1 ) )</f>
        <v>1</v>
      </c>
      <c r="U164" s="65" cm="1">
        <f t="array" ref="U164" xml:space="preserve"> IF( NOT( ISERROR( FIND( co_impactTypes[[#This Row],[physScalarName]], "none, reg_pop" ) ) ), 1, --( SUMPRODUCT( --IF( ISERROR( FIND( co_impactTypes[[#This Row],[physScalarName]], scalarDataframe[scalarName] ) ), 0, 1 ), --( "physScalar" = scalarDataframe[scalarType] ) ) &gt;= 1 ) )</f>
        <v>1</v>
      </c>
    </row>
    <row r="165" spans="1:21" x14ac:dyDescent="0.3">
      <c r="B165" s="7">
        <f xml:space="preserve"> ROW( co_impactTypes[[#This Row],[row_id]] ) - ROW(co_impactTypes[[#Headers],[row_id]] )</f>
        <v>39</v>
      </c>
      <c r="C165" s="14" t="s">
        <v>761</v>
      </c>
      <c r="D165" s="59" t="s">
        <v>802</v>
      </c>
      <c r="E165" s="83" t="s">
        <v>772</v>
      </c>
      <c r="F165" s="115" t="s">
        <v>802</v>
      </c>
      <c r="G165" s="63" t="s">
        <v>802</v>
      </c>
      <c r="H165" s="59" t="s">
        <v>1016</v>
      </c>
      <c r="I165" s="59" t="s">
        <v>256</v>
      </c>
      <c r="J165" s="59" t="s">
        <v>256</v>
      </c>
      <c r="K165" s="59" t="s">
        <v>256</v>
      </c>
      <c r="L165" s="59" t="s">
        <v>771</v>
      </c>
      <c r="M165" s="59" t="s">
        <v>256</v>
      </c>
      <c r="N165" s="58">
        <v>0</v>
      </c>
      <c r="O165" s="58">
        <v>1</v>
      </c>
      <c r="P165" s="58">
        <v>1</v>
      </c>
      <c r="Q165" s="64" t="str">
        <f xml:space="preserve"> IF(co_impactTypes[[#This Row],[econMultiplierName]]="None", "N/A", 2010)</f>
        <v>N/A</v>
      </c>
      <c r="R165" s="65" cm="1">
        <f t="array" ref="R165" xml:space="preserve"> IF( INDEX( co_sectors[modelType], MATCH( 1, --( co_impactTypes[[#This Row],[sector_id]] = co_sectors[sector_id] ), 0 ) ) = "gcm",
         --( SUMPRODUCT( --( co_impactTypes[[#This Row],[sector_id]] = data_scaledImpacts[sector] ), --( co_impactTypes[[#This Row],[impactType_id_excel]] = data_scaledImpacts[impactType] ) ) &gt; 1 ),
         --( SUMPRODUCT( --( co_impactTypes[[#This Row],[sector_id]] = slrImpacts[sector] ), --( co_impactTypes[[#This Row],[impactType_id_excel]] = slrImpacts[impactType] ) ) &gt; 1 ) )</f>
        <v>1</v>
      </c>
      <c r="S165" s="65" cm="1">
        <f t="array" ref="S165" xml:space="preserve"> IF( co_impactTypes[[#This Row],[damageAdjName]] = "none", 1, --( SUMPRODUCT( --IF( ISERROR( FIND( co_impactTypes[[#This Row],[damageAdjName]], scalarDataframe[scalarName] ) ), 0, 1 ), --( "damageAdj" = scalarDataframe[scalarType] ) ) &gt;= 1 ) )</f>
        <v>1</v>
      </c>
      <c r="T165" s="65" cm="1">
        <f t="array" ref="T165" xml:space="preserve"> IF( co_impactTypes[[#This Row],[econScalarName]] = "none", 1, --( SUMPRODUCT( --IF( ISERROR( FIND( co_impactTypes[[#This Row],[econScalarName]], scalarDataframe[scalarName] ) ), 0, 1 ), --( "econScalar" = scalarDataframe[scalarType] ) ) &gt;= 1 ) )</f>
        <v>1</v>
      </c>
      <c r="U165" s="65" cm="1">
        <f t="array" ref="U165" xml:space="preserve"> IF( NOT( ISERROR( FIND( co_impactTypes[[#This Row],[physScalarName]], "none, reg_pop" ) ) ), 1, --( SUMPRODUCT( --IF( ISERROR( FIND( co_impactTypes[[#This Row],[physScalarName]], scalarDataframe[scalarName] ) ), 0, 1 ), --( "physScalar" = scalarDataframe[scalarType] ) ) &gt;= 1 ) )</f>
        <v>1</v>
      </c>
    </row>
    <row r="166" spans="1:21" x14ac:dyDescent="0.3">
      <c r="B166" s="7">
        <f xml:space="preserve"> ROW( co_impactTypes[[#This Row],[row_id]] ) - ROW(co_impactTypes[[#Headers],[row_id]] )</f>
        <v>40</v>
      </c>
      <c r="C166" s="14" t="s">
        <v>1083</v>
      </c>
      <c r="D166" s="59" t="s">
        <v>201</v>
      </c>
      <c r="E166" s="83" t="s">
        <v>922</v>
      </c>
      <c r="F166" s="115"/>
      <c r="G166" s="63" t="s">
        <v>1094</v>
      </c>
      <c r="H166" s="59"/>
      <c r="I166" s="59" t="s">
        <v>256</v>
      </c>
      <c r="J166" s="59" t="s">
        <v>256</v>
      </c>
      <c r="K166" s="59" t="s">
        <v>256</v>
      </c>
      <c r="L166" s="59" t="s">
        <v>256</v>
      </c>
      <c r="M166" s="59" t="s">
        <v>256</v>
      </c>
      <c r="N166" s="58">
        <v>0</v>
      </c>
      <c r="O166" s="58">
        <v>1</v>
      </c>
      <c r="P166" s="58">
        <v>1</v>
      </c>
      <c r="Q166" s="64" t="str">
        <f xml:space="preserve"> IF(co_impactTypes[[#This Row],[econMultiplierName]]="None", "N/A", 2010)</f>
        <v>N/A</v>
      </c>
      <c r="R166" s="65" cm="1">
        <f t="array" ref="R166" xml:space="preserve"> IF( INDEX( co_sectors[modelType], MATCH( 1, --( co_impactTypes[[#This Row],[sector_id]] = co_sectors[sector_id] ), 0 ) ) = "gcm",
         --( SUMPRODUCT( --( co_impactTypes[[#This Row],[sector_id]] = data_scaledImpacts[sector] ), --( co_impactTypes[[#This Row],[impactType_id_excel]] = data_scaledImpacts[impactType] ) ) &gt; 1 ),
         --( SUMPRODUCT( --( co_impactTypes[[#This Row],[sector_id]] = slrImpacts[sector] ), --( co_impactTypes[[#This Row],[impactType_id_excel]] = slrImpacts[impactType] ) ) &gt; 1 ) )</f>
        <v>1</v>
      </c>
      <c r="S166" s="65" cm="1">
        <f t="array" ref="S166" xml:space="preserve"> IF( co_impactTypes[[#This Row],[damageAdjName]] = "none", 1, --( SUMPRODUCT( --IF( ISERROR( FIND( co_impactTypes[[#This Row],[damageAdjName]], scalarDataframe[scalarName] ) ), 0, 1 ), --( "damageAdj" = scalarDataframe[scalarType] ) ) &gt;= 1 ) )</f>
        <v>1</v>
      </c>
      <c r="T166" s="65" cm="1">
        <f t="array" ref="T166" xml:space="preserve"> IF( co_impactTypes[[#This Row],[econScalarName]] = "none", 1, --( SUMPRODUCT( --IF( ISERROR( FIND( co_impactTypes[[#This Row],[econScalarName]], scalarDataframe[scalarName] ) ), 0, 1 ), --( "econScalar" = scalarDataframe[scalarType] ) ) &gt;= 1 ) )</f>
        <v>1</v>
      </c>
      <c r="U166" s="65" cm="1">
        <f t="array" ref="U166" xml:space="preserve"> IF( NOT( ISERROR( FIND( co_impactTypes[[#This Row],[physScalarName]], "none, reg_pop" ) ) ), 1, --( SUMPRODUCT( --IF( ISERROR( FIND( co_impactTypes[[#This Row],[physScalarName]], scalarDataframe[scalarName] ) ), 0, 1 ), --( "physScalar" = scalarDataframe[scalarType] ) ) &gt;= 1 ) )</f>
        <v>1</v>
      </c>
    </row>
    <row r="167" spans="1:21" ht="21" x14ac:dyDescent="0.3">
      <c r="B167" s="7">
        <f xml:space="preserve"> ROW( co_impactTypes[[#This Row],[row_id]] ) - ROW(co_impactTypes[[#Headers],[row_id]] )</f>
        <v>41</v>
      </c>
      <c r="C167" s="14" t="s">
        <v>89</v>
      </c>
      <c r="D167" s="59" t="s">
        <v>206</v>
      </c>
      <c r="E167" s="83" t="s">
        <v>90</v>
      </c>
      <c r="F167" s="115" t="s">
        <v>90</v>
      </c>
      <c r="G167" s="63" t="s">
        <v>992</v>
      </c>
      <c r="H167" s="59"/>
      <c r="I167" s="59" t="s">
        <v>251</v>
      </c>
      <c r="J167" s="59" t="s">
        <v>256</v>
      </c>
      <c r="K167" s="59" t="s">
        <v>256</v>
      </c>
      <c r="L167" s="59" t="s">
        <v>256</v>
      </c>
      <c r="M167" s="59" t="s">
        <v>256</v>
      </c>
      <c r="N167" s="58">
        <v>0</v>
      </c>
      <c r="O167" s="58">
        <v>1</v>
      </c>
      <c r="P167" s="58">
        <v>1</v>
      </c>
      <c r="Q167" s="64" t="str">
        <f xml:space="preserve"> IF(co_impactTypes[[#This Row],[econMultiplierName]]="None", "N/A", 2010)</f>
        <v>N/A</v>
      </c>
      <c r="R167" s="65" cm="1">
        <f t="array" ref="R167" xml:space="preserve"> IF( INDEX( co_sectors[modelType], MATCH( 1, --( co_impactTypes[[#This Row],[sector_id]] = co_sectors[sector_id] ), 0 ) ) = "gcm",
         --( SUMPRODUCT( --( co_impactTypes[[#This Row],[sector_id]] = data_scaledImpacts[sector] ), --( co_impactTypes[[#This Row],[impactType_id_excel]] = data_scaledImpacts[impactType] ) ) &gt; 1 ),
         --( SUMPRODUCT( --( co_impactTypes[[#This Row],[sector_id]] = slrImpacts[sector] ), --( co_impactTypes[[#This Row],[impactType_id_excel]] = slrImpacts[impactType] ) ) &gt; 1 ) )</f>
        <v>1</v>
      </c>
      <c r="S167" s="65" cm="1">
        <f t="array" ref="S167" xml:space="preserve"> IF( co_impactTypes[[#This Row],[damageAdjName]] = "none", 1, --( SUMPRODUCT( --IF( ISERROR( FIND( co_impactTypes[[#This Row],[damageAdjName]], scalarDataframe[scalarName] ) ), 0, 1 ), --( "damageAdj" = scalarDataframe[scalarType] ) ) &gt;= 1 ) )</f>
        <v>1</v>
      </c>
      <c r="T167" s="65" cm="1">
        <f t="array" ref="T167" xml:space="preserve"> IF( co_impactTypes[[#This Row],[econScalarName]] = "none", 1, --( SUMPRODUCT( --IF( ISERROR( FIND( co_impactTypes[[#This Row],[econScalarName]], scalarDataframe[scalarName] ) ), 0, 1 ), --( "econScalar" = scalarDataframe[scalarType] ) ) &gt;= 1 ) )</f>
        <v>1</v>
      </c>
      <c r="U167" s="65" cm="1">
        <f t="array" ref="U167" xml:space="preserve"> IF( NOT( ISERROR( FIND( co_impactTypes[[#This Row],[physScalarName]], "none, reg_pop" ) ) ), 1, --( SUMPRODUCT( --IF( ISERROR( FIND( co_impactTypes[[#This Row],[physScalarName]], scalarDataframe[scalarName] ) ), 0, 1 ), --( "physScalar" = scalarDataframe[scalarType] ) ) &gt;= 1 ) )</f>
        <v>1</v>
      </c>
    </row>
    <row r="168" spans="1:21" ht="21" x14ac:dyDescent="0.3">
      <c r="B168" s="7">
        <f xml:space="preserve"> ROW( co_impactTypes[[#This Row],[row_id]] ) - ROW(co_impactTypes[[#Headers],[row_id]] )</f>
        <v>42</v>
      </c>
      <c r="C168" s="14" t="s">
        <v>89</v>
      </c>
      <c r="D168" s="59" t="s">
        <v>207</v>
      </c>
      <c r="E168" s="83" t="s">
        <v>91</v>
      </c>
      <c r="F168" s="115" t="s">
        <v>91</v>
      </c>
      <c r="G168" s="63" t="s">
        <v>993</v>
      </c>
      <c r="H168" s="59"/>
      <c r="I168" s="59" t="s">
        <v>251</v>
      </c>
      <c r="J168" s="59" t="s">
        <v>256</v>
      </c>
      <c r="K168" s="59" t="s">
        <v>256</v>
      </c>
      <c r="L168" s="59" t="s">
        <v>256</v>
      </c>
      <c r="M168" s="59" t="s">
        <v>256</v>
      </c>
      <c r="N168" s="58">
        <v>0</v>
      </c>
      <c r="O168" s="58">
        <v>1</v>
      </c>
      <c r="P168" s="58">
        <v>1</v>
      </c>
      <c r="Q168" s="64" t="str">
        <f xml:space="preserve"> IF(co_impactTypes[[#This Row],[econMultiplierName]]="None", "N/A", 2010)</f>
        <v>N/A</v>
      </c>
      <c r="R168" s="65" cm="1">
        <f t="array" ref="R168" xml:space="preserve"> IF( INDEX( co_sectors[modelType], MATCH( 1, --( co_impactTypes[[#This Row],[sector_id]] = co_sectors[sector_id] ), 0 ) ) = "gcm",
         --( SUMPRODUCT( --( co_impactTypes[[#This Row],[sector_id]] = data_scaledImpacts[sector] ), --( co_impactTypes[[#This Row],[impactType_id_excel]] = data_scaledImpacts[impactType] ) ) &gt; 1 ),
         --( SUMPRODUCT( --( co_impactTypes[[#This Row],[sector_id]] = slrImpacts[sector] ), --( co_impactTypes[[#This Row],[impactType_id_excel]] = slrImpacts[impactType] ) ) &gt; 1 ) )</f>
        <v>1</v>
      </c>
      <c r="S168" s="65" cm="1">
        <f t="array" ref="S168" xml:space="preserve"> IF( co_impactTypes[[#This Row],[damageAdjName]] = "none", 1, --( SUMPRODUCT( --IF( ISERROR( FIND( co_impactTypes[[#This Row],[damageAdjName]], scalarDataframe[scalarName] ) ), 0, 1 ), --( "damageAdj" = scalarDataframe[scalarType] ) ) &gt;= 1 ) )</f>
        <v>1</v>
      </c>
      <c r="T168" s="65" cm="1">
        <f t="array" ref="T168" xml:space="preserve"> IF( co_impactTypes[[#This Row],[econScalarName]] = "none", 1, --( SUMPRODUCT( --IF( ISERROR( FIND( co_impactTypes[[#This Row],[econScalarName]], scalarDataframe[scalarName] ) ), 0, 1 ), --( "econScalar" = scalarDataframe[scalarType] ) ) &gt;= 1 ) )</f>
        <v>1</v>
      </c>
      <c r="U168" s="65" cm="1">
        <f t="array" ref="U168" xml:space="preserve"> IF( NOT( ISERROR( FIND( co_impactTypes[[#This Row],[physScalarName]], "none, reg_pop" ) ) ), 1, --( SUMPRODUCT( --IF( ISERROR( FIND( co_impactTypes[[#This Row],[physScalarName]], scalarDataframe[scalarName] ) ), 0, 1 ), --( "physScalar" = scalarDataframe[scalarType] ) ) &gt;= 1 ) )</f>
        <v>1</v>
      </c>
    </row>
    <row r="169" spans="1:21" ht="21" x14ac:dyDescent="0.3">
      <c r="B169" s="7">
        <f xml:space="preserve"> ROW( co_impactTypes[[#This Row],[row_id]] ) - ROW(co_impactTypes[[#Headers],[row_id]] )</f>
        <v>43</v>
      </c>
      <c r="C169" s="14" t="s">
        <v>89</v>
      </c>
      <c r="D169" s="59" t="s">
        <v>92</v>
      </c>
      <c r="E169" s="83" t="s">
        <v>92</v>
      </c>
      <c r="F169" s="115" t="s">
        <v>92</v>
      </c>
      <c r="G169" s="63" t="s">
        <v>994</v>
      </c>
      <c r="H169" s="59"/>
      <c r="I169" s="59" t="s">
        <v>251</v>
      </c>
      <c r="J169" s="59" t="s">
        <v>256</v>
      </c>
      <c r="K169" s="59" t="s">
        <v>256</v>
      </c>
      <c r="L169" s="59" t="s">
        <v>256</v>
      </c>
      <c r="M169" s="59" t="s">
        <v>256</v>
      </c>
      <c r="N169" s="58">
        <v>0</v>
      </c>
      <c r="O169" s="58">
        <v>1</v>
      </c>
      <c r="P169" s="58">
        <v>1</v>
      </c>
      <c r="Q169" s="64" t="str">
        <f xml:space="preserve"> IF(co_impactTypes[[#This Row],[econMultiplierName]]="None", "N/A", 2010)</f>
        <v>N/A</v>
      </c>
      <c r="R169" s="65" cm="1">
        <f t="array" ref="R169" xml:space="preserve"> IF( INDEX( co_sectors[modelType], MATCH( 1, --( co_impactTypes[[#This Row],[sector_id]] = co_sectors[sector_id] ), 0 ) ) = "gcm",
         --( SUMPRODUCT( --( co_impactTypes[[#This Row],[sector_id]] = data_scaledImpacts[sector] ), --( co_impactTypes[[#This Row],[impactType_id_excel]] = data_scaledImpacts[impactType] ) ) &gt; 1 ),
         --( SUMPRODUCT( --( co_impactTypes[[#This Row],[sector_id]] = slrImpacts[sector] ), --( co_impactTypes[[#This Row],[impactType_id_excel]] = slrImpacts[impactType] ) ) &gt; 1 ) )</f>
        <v>1</v>
      </c>
      <c r="S169" s="65" cm="1">
        <f t="array" ref="S169" xml:space="preserve"> IF( co_impactTypes[[#This Row],[damageAdjName]] = "none", 1, --( SUMPRODUCT( --IF( ISERROR( FIND( co_impactTypes[[#This Row],[damageAdjName]], scalarDataframe[scalarName] ) ), 0, 1 ), --( "damageAdj" = scalarDataframe[scalarType] ) ) &gt;= 1 ) )</f>
        <v>1</v>
      </c>
      <c r="T169" s="65" cm="1">
        <f t="array" ref="T169" xml:space="preserve"> IF( co_impactTypes[[#This Row],[econScalarName]] = "none", 1, --( SUMPRODUCT( --IF( ISERROR( FIND( co_impactTypes[[#This Row],[econScalarName]], scalarDataframe[scalarName] ) ), 0, 1 ), --( "econScalar" = scalarDataframe[scalarType] ) ) &gt;= 1 ) )</f>
        <v>1</v>
      </c>
      <c r="U169" s="65" cm="1">
        <f t="array" ref="U169" xml:space="preserve"> IF( NOT( ISERROR( FIND( co_impactTypes[[#This Row],[physScalarName]], "none, reg_pop" ) ) ), 1, --( SUMPRODUCT( --IF( ISERROR( FIND( co_impactTypes[[#This Row],[physScalarName]], scalarDataframe[scalarName] ) ), 0, 1 ), --( "physScalar" = scalarDataframe[scalarType] ) ) &gt;= 1 ) )</f>
        <v>1</v>
      </c>
    </row>
    <row r="172" spans="1:21" ht="14.5" x14ac:dyDescent="0.35">
      <c r="A172" s="47"/>
      <c r="B172" s="48" t="s">
        <v>1156</v>
      </c>
      <c r="C172" s="48"/>
      <c r="D172" s="48"/>
      <c r="E172" s="48"/>
      <c r="F172" s="48"/>
      <c r="G172" s="48"/>
      <c r="H172" s="48"/>
      <c r="I172" s="48"/>
      <c r="J172" s="48"/>
      <c r="K172" s="48"/>
      <c r="L172" s="48"/>
      <c r="M172" s="48"/>
      <c r="N172" s="48"/>
      <c r="O172" s="48"/>
      <c r="P172" s="48"/>
      <c r="Q172" s="48"/>
      <c r="R172" s="48"/>
      <c r="S172" s="48"/>
      <c r="T172" s="48"/>
      <c r="U172" s="48"/>
    </row>
    <row r="174" spans="1:21" ht="14.5" x14ac:dyDescent="0.35">
      <c r="B174" s="60" t="s">
        <v>780</v>
      </c>
      <c r="C174" s="60" t="s">
        <v>254</v>
      </c>
      <c r="D174" s="60" t="s">
        <v>253</v>
      </c>
      <c r="E174" s="62" t="s">
        <v>813</v>
      </c>
      <c r="F174" s="62" t="s">
        <v>890</v>
      </c>
      <c r="G174" s="62" t="s">
        <v>891</v>
      </c>
      <c r="H174" s="62" t="s">
        <v>817</v>
      </c>
      <c r="I174" s="62" t="s">
        <v>904</v>
      </c>
      <c r="J174" s="60" t="s">
        <v>833</v>
      </c>
      <c r="K174" s="60" t="s">
        <v>1010</v>
      </c>
      <c r="R174" s="8"/>
      <c r="S174" s="8"/>
      <c r="T174" s="8"/>
    </row>
    <row r="175" spans="1:21" ht="21" x14ac:dyDescent="0.35">
      <c r="B175" s="12">
        <f xml:space="preserve"> ROW( co_scalarInfo[[#This Row],[row_id]] ) - ROW( co_scalarInfo[[#Headers],[row_id]] )</f>
        <v>1</v>
      </c>
      <c r="C175" s="57" t="s">
        <v>261</v>
      </c>
      <c r="D175" s="57" t="s">
        <v>260</v>
      </c>
      <c r="E175" s="134" t="s">
        <v>815</v>
      </c>
      <c r="F175" s="134" t="s">
        <v>894</v>
      </c>
      <c r="G175" s="134" t="s">
        <v>893</v>
      </c>
      <c r="H175" s="134">
        <v>2015</v>
      </c>
      <c r="I175" s="135" t="s">
        <v>905</v>
      </c>
      <c r="J175" s="69"/>
      <c r="K175" s="69" cm="1">
        <f t="array" ref="K175" xml:space="preserve"> SUMPRODUCT( --( co_scalarInfo[[#This Row],[scalarName]] = scalarDataframe[scalarName] ) )</f>
        <v>140</v>
      </c>
      <c r="R175"/>
      <c r="S175"/>
      <c r="T175"/>
    </row>
    <row r="176" spans="1:21" ht="21" x14ac:dyDescent="0.35">
      <c r="B176" s="12">
        <f xml:space="preserve"> ROW( co_scalarInfo[[#This Row],[row_id]] ) - ROW( co_scalarInfo[[#Headers],[row_id]] )</f>
        <v>2</v>
      </c>
      <c r="C176" s="63" t="s">
        <v>998</v>
      </c>
      <c r="D176" s="57" t="s">
        <v>798</v>
      </c>
      <c r="E176" s="134" t="s">
        <v>815</v>
      </c>
      <c r="F176" s="134" t="s">
        <v>894</v>
      </c>
      <c r="G176" s="134" t="s">
        <v>893</v>
      </c>
      <c r="H176" s="136" t="s">
        <v>941</v>
      </c>
      <c r="I176" s="135" t="s">
        <v>905</v>
      </c>
      <c r="J176" s="69"/>
      <c r="K176" s="69" cm="1">
        <f t="array" ref="K176" xml:space="preserve"> SUMPRODUCT( --( co_scalarInfo[[#This Row],[scalarName]] = scalarDataframe[scalarName] ) )</f>
        <v>140</v>
      </c>
      <c r="R176"/>
      <c r="S176"/>
      <c r="T176"/>
    </row>
    <row r="177" spans="2:20" ht="14.5" x14ac:dyDescent="0.35">
      <c r="B177" s="12">
        <f xml:space="preserve"> ROW( co_scalarInfo[[#This Row],[row_id]] ) - ROW( co_scalarInfo[[#Headers],[row_id]] )</f>
        <v>3</v>
      </c>
      <c r="C177" s="63" t="s">
        <v>256</v>
      </c>
      <c r="D177" s="57" t="s">
        <v>910</v>
      </c>
      <c r="E177" s="134" t="s">
        <v>815</v>
      </c>
      <c r="F177" s="134" t="s">
        <v>785</v>
      </c>
      <c r="G177" s="134" t="s">
        <v>892</v>
      </c>
      <c r="H177" s="134" t="s">
        <v>201</v>
      </c>
      <c r="I177" s="135" t="s">
        <v>907</v>
      </c>
      <c r="J177" s="69" t="s">
        <v>911</v>
      </c>
      <c r="K177" s="69" cm="1">
        <f t="array" ref="K177" xml:space="preserve"> SUMPRODUCT( --( co_scalarInfo[[#This Row],[scalarName]] = scalarDataframe[scalarName] ) )</f>
        <v>0</v>
      </c>
      <c r="R177"/>
      <c r="S177"/>
      <c r="T177"/>
    </row>
    <row r="178" spans="2:20" ht="14.5" x14ac:dyDescent="0.35">
      <c r="B178" s="12">
        <f xml:space="preserve"> ROW( co_scalarInfo[[#This Row],[row_id]] ) - ROW( co_scalarInfo[[#Headers],[row_id]] )</f>
        <v>4</v>
      </c>
      <c r="C178" s="63" t="s">
        <v>781</v>
      </c>
      <c r="D178" s="57" t="s">
        <v>799</v>
      </c>
      <c r="E178" s="134" t="s">
        <v>815</v>
      </c>
      <c r="F178" s="134" t="s">
        <v>894</v>
      </c>
      <c r="G178" s="134" t="s">
        <v>892</v>
      </c>
      <c r="H178" s="136" t="s">
        <v>941</v>
      </c>
      <c r="I178" s="135" t="s">
        <v>905</v>
      </c>
      <c r="J178" s="69"/>
      <c r="K178" s="69" cm="1">
        <f t="array" ref="K178" xml:space="preserve"> SUMPRODUCT( --( co_scalarInfo[[#This Row],[scalarName]] = scalarDataframe[scalarName] ) )</f>
        <v>20</v>
      </c>
      <c r="R178"/>
      <c r="S178"/>
      <c r="T178"/>
    </row>
    <row r="179" spans="2:20" ht="42" x14ac:dyDescent="0.35">
      <c r="B179" s="12">
        <f xml:space="preserve"> ROW( co_scalarInfo[[#This Row],[row_id]] ) - ROW( co_scalarInfo[[#Headers],[row_id]] )</f>
        <v>5</v>
      </c>
      <c r="C179" s="63" t="s">
        <v>1431</v>
      </c>
      <c r="D179" s="57" t="s">
        <v>896</v>
      </c>
      <c r="E179" s="134" t="s">
        <v>815</v>
      </c>
      <c r="F179" s="134" t="s">
        <v>894</v>
      </c>
      <c r="G179" s="134" t="s">
        <v>893</v>
      </c>
      <c r="H179" s="136" t="s">
        <v>941</v>
      </c>
      <c r="I179" s="135" t="s">
        <v>905</v>
      </c>
      <c r="J179" s="69" t="s">
        <v>895</v>
      </c>
      <c r="K179" s="69" cm="1">
        <f t="array" ref="K179" xml:space="preserve"> SUMPRODUCT( --( co_scalarInfo[[#This Row],[scalarName]] = scalarDataframe[scalarName] ) )</f>
        <v>157</v>
      </c>
      <c r="R179"/>
      <c r="S179"/>
      <c r="T179"/>
    </row>
    <row r="180" spans="2:20" ht="31.5" x14ac:dyDescent="0.35">
      <c r="B180" s="12">
        <f xml:space="preserve"> ROW( co_scalarInfo[[#This Row],[row_id]] ) - ROW( co_scalarInfo[[#Headers],[row_id]] )</f>
        <v>6</v>
      </c>
      <c r="C180" s="63" t="s">
        <v>1428</v>
      </c>
      <c r="D180" s="57" t="s">
        <v>1429</v>
      </c>
      <c r="E180" s="134" t="s">
        <v>815</v>
      </c>
      <c r="F180" s="134" t="s">
        <v>894</v>
      </c>
      <c r="G180" s="134" t="s">
        <v>893</v>
      </c>
      <c r="H180" s="136" t="s">
        <v>941</v>
      </c>
      <c r="I180" s="135" t="s">
        <v>905</v>
      </c>
      <c r="J180" s="69" t="s">
        <v>1430</v>
      </c>
      <c r="K180" s="69" cm="1">
        <f t="array" ref="K180" xml:space="preserve"> SUMPRODUCT( --( co_scalarInfo[[#This Row],[scalarName]] = scalarDataframe[scalarName] ) )</f>
        <v>157</v>
      </c>
      <c r="R180"/>
      <c r="S180"/>
      <c r="T180"/>
    </row>
    <row r="181" spans="2:20" ht="14.5" x14ac:dyDescent="0.35">
      <c r="B181" s="12">
        <f xml:space="preserve"> ROW( co_scalarInfo[[#This Row],[row_id]] ) - ROW( co_scalarInfo[[#Headers],[row_id]] )</f>
        <v>7</v>
      </c>
      <c r="C181" s="63" t="s">
        <v>985</v>
      </c>
      <c r="D181" s="57" t="s">
        <v>987</v>
      </c>
      <c r="E181" s="134" t="s">
        <v>814</v>
      </c>
      <c r="F181" s="134" t="s">
        <v>785</v>
      </c>
      <c r="G181" s="134" t="s">
        <v>892</v>
      </c>
      <c r="H181" s="136" t="s">
        <v>941</v>
      </c>
      <c r="I181" s="135" t="s">
        <v>905</v>
      </c>
      <c r="J181" s="69"/>
      <c r="K181" s="69" cm="1">
        <f t="array" ref="K181" xml:space="preserve"> SUMPRODUCT( --( co_scalarInfo[[#This Row],[scalarName]] = scalarDataframe[scalarName] ) )</f>
        <v>1</v>
      </c>
      <c r="R181"/>
      <c r="S181"/>
      <c r="T181"/>
    </row>
    <row r="182" spans="2:20" ht="14.5" x14ac:dyDescent="0.35">
      <c r="B182" s="12">
        <f xml:space="preserve"> ROW( co_scalarInfo[[#This Row],[row_id]] ) - ROW( co_scalarInfo[[#Headers],[row_id]] )</f>
        <v>8</v>
      </c>
      <c r="C182" s="57" t="s">
        <v>1005</v>
      </c>
      <c r="D182" s="57" t="s">
        <v>767</v>
      </c>
      <c r="E182" s="134" t="s">
        <v>814</v>
      </c>
      <c r="F182" s="134" t="s">
        <v>785</v>
      </c>
      <c r="G182" s="134" t="s">
        <v>892</v>
      </c>
      <c r="H182" s="136">
        <v>2010</v>
      </c>
      <c r="I182" s="135" t="s">
        <v>905</v>
      </c>
      <c r="J182" s="69"/>
      <c r="K182" s="69" cm="1">
        <f t="array" ref="K182" xml:space="preserve"> SUMPRODUCT( --( co_scalarInfo[[#This Row],[scalarName]] = scalarDataframe[scalarName] ) )</f>
        <v>1</v>
      </c>
      <c r="R182"/>
      <c r="S182"/>
      <c r="T182"/>
    </row>
    <row r="183" spans="2:20" ht="21" x14ac:dyDescent="0.35">
      <c r="B183" s="12">
        <f xml:space="preserve"> ROW( co_scalarInfo[[#This Row],[row_id]] ) - ROW( co_scalarInfo[[#Headers],[row_id]] )</f>
        <v>9</v>
      </c>
      <c r="C183" s="63" t="s">
        <v>812</v>
      </c>
      <c r="D183" s="57" t="s">
        <v>791</v>
      </c>
      <c r="E183" s="134" t="s">
        <v>814</v>
      </c>
      <c r="F183" s="134" t="s">
        <v>785</v>
      </c>
      <c r="G183" s="134" t="s">
        <v>892</v>
      </c>
      <c r="H183" s="134">
        <v>2015</v>
      </c>
      <c r="I183" s="135" t="s">
        <v>905</v>
      </c>
      <c r="J183" s="69"/>
      <c r="K183" s="69" cm="1">
        <f t="array" ref="K183" xml:space="preserve"> SUMPRODUCT( --( co_scalarInfo[[#This Row],[scalarName]] = scalarDataframe[scalarName] ) )</f>
        <v>1</v>
      </c>
      <c r="R183"/>
      <c r="S183"/>
      <c r="T183"/>
    </row>
    <row r="184" spans="2:20" ht="21" x14ac:dyDescent="0.3">
      <c r="B184" s="12">
        <f xml:space="preserve"> ROW( co_scalarInfo[[#This Row],[row_id]] ) - ROW( co_scalarInfo[[#Headers],[row_id]] )</f>
        <v>10</v>
      </c>
      <c r="C184" s="63" t="s">
        <v>788</v>
      </c>
      <c r="D184" s="57" t="s">
        <v>787</v>
      </c>
      <c r="E184" s="134" t="s">
        <v>814</v>
      </c>
      <c r="F184" s="134" t="s">
        <v>785</v>
      </c>
      <c r="G184" s="134" t="s">
        <v>892</v>
      </c>
      <c r="H184" s="134">
        <v>2015</v>
      </c>
      <c r="I184" s="135" t="s">
        <v>905</v>
      </c>
      <c r="J184" s="69"/>
      <c r="K184" s="69" cm="1">
        <f t="array" ref="K184" xml:space="preserve"> SUMPRODUCT( --( co_scalarInfo[[#This Row],[scalarName]] = scalarDataframe[scalarName] ) )</f>
        <v>1</v>
      </c>
    </row>
    <row r="185" spans="2:20" ht="21" x14ac:dyDescent="0.3">
      <c r="B185" s="12">
        <f xml:space="preserve"> ROW( co_scalarInfo[[#This Row],[row_id]] ) - ROW( co_scalarInfo[[#Headers],[row_id]] )</f>
        <v>11</v>
      </c>
      <c r="C185" s="63" t="s">
        <v>789</v>
      </c>
      <c r="D185" s="57" t="s">
        <v>790</v>
      </c>
      <c r="E185" s="134" t="s">
        <v>814</v>
      </c>
      <c r="F185" s="134" t="s">
        <v>785</v>
      </c>
      <c r="G185" s="134" t="s">
        <v>892</v>
      </c>
      <c r="H185" s="134">
        <v>2015</v>
      </c>
      <c r="I185" s="135" t="s">
        <v>905</v>
      </c>
      <c r="J185" s="69"/>
      <c r="K185" s="69" cm="1">
        <f t="array" ref="K185" xml:space="preserve"> SUMPRODUCT( --( co_scalarInfo[[#This Row],[scalarName]] = scalarDataframe[scalarName] ) )</f>
        <v>1</v>
      </c>
    </row>
    <row r="186" spans="2:20" x14ac:dyDescent="0.3">
      <c r="B186" s="12">
        <f xml:space="preserve"> ROW( co_scalarInfo[[#This Row],[row_id]] ) - ROW( co_scalarInfo[[#Headers],[row_id]] )</f>
        <v>12</v>
      </c>
      <c r="C186" s="63" t="s">
        <v>256</v>
      </c>
      <c r="D186" s="57" t="s">
        <v>910</v>
      </c>
      <c r="E186" s="134" t="s">
        <v>814</v>
      </c>
      <c r="F186" s="134" t="s">
        <v>785</v>
      </c>
      <c r="G186" s="134" t="s">
        <v>892</v>
      </c>
      <c r="H186" s="134" t="s">
        <v>201</v>
      </c>
      <c r="I186" s="135" t="s">
        <v>907</v>
      </c>
      <c r="J186" s="69" t="s">
        <v>911</v>
      </c>
      <c r="K186" s="69" cm="1">
        <f t="array" ref="K186" xml:space="preserve"> SUMPRODUCT( --( co_scalarInfo[[#This Row],[scalarName]] = scalarDataframe[scalarName] ) )</f>
        <v>0</v>
      </c>
    </row>
    <row r="187" spans="2:20" x14ac:dyDescent="0.3">
      <c r="B187" s="12">
        <f xml:space="preserve"> ROW( co_scalarInfo[[#This Row],[row_id]] ) - ROW( co_scalarInfo[[#Headers],[row_id]] )</f>
        <v>13</v>
      </c>
      <c r="C187" s="63" t="s">
        <v>1220</v>
      </c>
      <c r="D187" s="57" t="s">
        <v>1221</v>
      </c>
      <c r="E187" s="134" t="s">
        <v>814</v>
      </c>
      <c r="F187" s="134" t="s">
        <v>785</v>
      </c>
      <c r="G187" s="134" t="s">
        <v>893</v>
      </c>
      <c r="H187" s="136">
        <v>2015</v>
      </c>
      <c r="I187" s="135"/>
      <c r="J187" s="69"/>
      <c r="K187" s="69" cm="1">
        <f t="array" ref="K187" xml:space="preserve"> SUMPRODUCT( --( co_scalarInfo[[#This Row],[scalarName]] = scalarDataframe[scalarName] ) )</f>
        <v>7</v>
      </c>
    </row>
    <row r="188" spans="2:20" ht="21" x14ac:dyDescent="0.3">
      <c r="B188" s="12">
        <f xml:space="preserve"> ROW( co_scalarInfo[[#This Row],[row_id]] ) - ROW( co_scalarInfo[[#Headers],[row_id]] )</f>
        <v>14</v>
      </c>
      <c r="C188" s="63" t="s">
        <v>986</v>
      </c>
      <c r="D188" s="57" t="s">
        <v>988</v>
      </c>
      <c r="E188" s="134" t="s">
        <v>814</v>
      </c>
      <c r="F188" s="134" t="s">
        <v>785</v>
      </c>
      <c r="G188" s="134" t="s">
        <v>892</v>
      </c>
      <c r="H188" s="136" t="s">
        <v>941</v>
      </c>
      <c r="I188" s="135" t="s">
        <v>905</v>
      </c>
      <c r="J188" s="69"/>
      <c r="K188" s="69" cm="1">
        <f t="array" ref="K188" xml:space="preserve"> SUMPRODUCT( --( co_scalarInfo[[#This Row],[scalarName]] = scalarDataframe[scalarName] ) )</f>
        <v>1</v>
      </c>
    </row>
    <row r="189" spans="2:20" x14ac:dyDescent="0.3">
      <c r="B189" s="12">
        <f xml:space="preserve"> ROW( co_scalarInfo[[#This Row],[row_id]] ) - ROW( co_scalarInfo[[#Headers],[row_id]] )</f>
        <v>15</v>
      </c>
      <c r="C189" s="63" t="s">
        <v>1222</v>
      </c>
      <c r="D189" s="57" t="s">
        <v>1223</v>
      </c>
      <c r="E189" s="134" t="s">
        <v>814</v>
      </c>
      <c r="F189" s="134" t="s">
        <v>785</v>
      </c>
      <c r="G189" s="134" t="s">
        <v>893</v>
      </c>
      <c r="H189" s="136">
        <v>2015</v>
      </c>
      <c r="I189" s="135"/>
      <c r="J189" s="69"/>
      <c r="K189" s="69" cm="1">
        <f t="array" ref="K189" xml:space="preserve"> SUMPRODUCT( --( co_scalarInfo[[#This Row],[scalarName]] = scalarDataframe[scalarName] ) )</f>
        <v>7</v>
      </c>
    </row>
    <row r="190" spans="2:20" x14ac:dyDescent="0.3">
      <c r="B190" s="12">
        <f xml:space="preserve"> ROW( co_scalarInfo[[#This Row],[row_id]] ) - ROW( co_scalarInfo[[#Headers],[row_id]] )</f>
        <v>16</v>
      </c>
      <c r="C190" s="57" t="s">
        <v>786</v>
      </c>
      <c r="D190" s="57" t="s">
        <v>18</v>
      </c>
      <c r="E190" s="134" t="s">
        <v>814</v>
      </c>
      <c r="F190" s="134" t="s">
        <v>785</v>
      </c>
      <c r="G190" s="134" t="s">
        <v>892</v>
      </c>
      <c r="H190" s="134">
        <v>2010</v>
      </c>
      <c r="I190" s="135" t="s">
        <v>905</v>
      </c>
      <c r="J190" s="69"/>
      <c r="K190" s="69" cm="1">
        <f t="array" ref="K190" xml:space="preserve"> SUMPRODUCT( --( co_scalarInfo[[#This Row],[scalarName]] = scalarDataframe[scalarName] ) )</f>
        <v>1</v>
      </c>
    </row>
    <row r="191" spans="2:20" x14ac:dyDescent="0.3">
      <c r="B191" s="12">
        <f xml:space="preserve"> ROW( co_scalarInfo[[#This Row],[row_id]] ) - ROW( co_scalarInfo[[#Headers],[row_id]] )</f>
        <v>17</v>
      </c>
      <c r="C191" s="63" t="s">
        <v>771</v>
      </c>
      <c r="D191" s="57" t="s">
        <v>770</v>
      </c>
      <c r="E191" s="134" t="s">
        <v>814</v>
      </c>
      <c r="F191" s="134" t="s">
        <v>785</v>
      </c>
      <c r="G191" s="134" t="s">
        <v>893</v>
      </c>
      <c r="H191" s="136">
        <v>2010</v>
      </c>
      <c r="I191" s="135" t="s">
        <v>905</v>
      </c>
      <c r="J191" s="69"/>
      <c r="K191" s="69" cm="1">
        <f t="array" ref="K191" xml:space="preserve"> SUMPRODUCT( --( co_scalarInfo[[#This Row],[scalarName]] = scalarDataframe[scalarName] ) )</f>
        <v>7</v>
      </c>
    </row>
    <row r="192" spans="2:20" x14ac:dyDescent="0.3">
      <c r="B192" s="12">
        <f xml:space="preserve"> ROW( co_scalarInfo[[#This Row],[row_id]] ) - ROW( co_scalarInfo[[#Headers],[row_id]] )</f>
        <v>18</v>
      </c>
      <c r="C192" s="63" t="s">
        <v>258</v>
      </c>
      <c r="D192" s="57" t="s">
        <v>793</v>
      </c>
      <c r="E192" s="134" t="s">
        <v>834</v>
      </c>
      <c r="F192" s="134" t="s">
        <v>894</v>
      </c>
      <c r="G192" s="134" t="s">
        <v>893</v>
      </c>
      <c r="H192" s="136" t="s">
        <v>941</v>
      </c>
      <c r="I192" s="135" t="s">
        <v>905</v>
      </c>
      <c r="J192" s="69"/>
      <c r="K192" s="69" cm="1">
        <f t="array" ref="K192" xml:space="preserve"> SUMPRODUCT( --( co_scalarInfo[[#This Row],[scalarName]] = scalarDataframe[scalarName] ) )</f>
        <v>42</v>
      </c>
    </row>
    <row r="193" spans="1:21" x14ac:dyDescent="0.3">
      <c r="B193" s="12">
        <f xml:space="preserve"> ROW( co_scalarInfo[[#This Row],[row_id]] ) - ROW( co_scalarInfo[[#Headers],[row_id]] )</f>
        <v>19</v>
      </c>
      <c r="C193" s="63" t="s">
        <v>256</v>
      </c>
      <c r="D193" s="57" t="s">
        <v>910</v>
      </c>
      <c r="E193" s="134" t="s">
        <v>834</v>
      </c>
      <c r="F193" s="134" t="s">
        <v>785</v>
      </c>
      <c r="G193" s="134" t="s">
        <v>892</v>
      </c>
      <c r="H193" s="134" t="s">
        <v>201</v>
      </c>
      <c r="I193" s="135" t="s">
        <v>907</v>
      </c>
      <c r="J193" s="69" t="s">
        <v>911</v>
      </c>
      <c r="K193" s="69" cm="1">
        <f t="array" ref="K193" xml:space="preserve"> SUMPRODUCT( --( co_scalarInfo[[#This Row],[scalarName]] = scalarDataframe[scalarName] ) )</f>
        <v>0</v>
      </c>
    </row>
    <row r="194" spans="1:21" x14ac:dyDescent="0.3">
      <c r="B194" s="12">
        <f xml:space="preserve"> ROW( co_scalarInfo[[#This Row],[row_id]] ) - ROW( co_scalarInfo[[#Headers],[row_id]] )</f>
        <v>20</v>
      </c>
      <c r="C194" s="63" t="s">
        <v>259</v>
      </c>
      <c r="D194" s="57" t="s">
        <v>795</v>
      </c>
      <c r="E194" s="134" t="s">
        <v>834</v>
      </c>
      <c r="F194" s="134" t="s">
        <v>894</v>
      </c>
      <c r="G194" s="134" t="s">
        <v>893</v>
      </c>
      <c r="H194" s="136" t="s">
        <v>941</v>
      </c>
      <c r="I194" s="135" t="s">
        <v>905</v>
      </c>
      <c r="J194" s="69"/>
      <c r="K194" s="69" cm="1">
        <f t="array" ref="K194" xml:space="preserve"> SUMPRODUCT( --( co_scalarInfo[[#This Row],[scalarName]] = scalarDataframe[scalarName] ) )</f>
        <v>140</v>
      </c>
    </row>
    <row r="195" spans="1:21" ht="21" x14ac:dyDescent="0.3">
      <c r="B195" s="12">
        <f xml:space="preserve"> ROW( co_scalarInfo[[#This Row],[row_id]] ) - ROW( co_scalarInfo[[#Headers],[row_id]] )</f>
        <v>21</v>
      </c>
      <c r="C195" s="63" t="s">
        <v>1006</v>
      </c>
      <c r="D195" s="57" t="s">
        <v>981</v>
      </c>
      <c r="E195" s="134" t="s">
        <v>834</v>
      </c>
      <c r="F195" s="134" t="s">
        <v>785</v>
      </c>
      <c r="G195" s="134" t="s">
        <v>892</v>
      </c>
      <c r="H195" s="136" t="s">
        <v>941</v>
      </c>
      <c r="I195" s="135" t="s">
        <v>905</v>
      </c>
      <c r="J195" s="69"/>
      <c r="K195" s="69" cm="1">
        <f t="array" ref="K195" xml:space="preserve"> SUMPRODUCT( --( co_scalarInfo[[#This Row],[scalarName]] = scalarDataframe[scalarName] ) )</f>
        <v>1</v>
      </c>
    </row>
    <row r="196" spans="1:21" ht="21" x14ac:dyDescent="0.3">
      <c r="B196" s="12">
        <f xml:space="preserve"> ROW( co_scalarInfo[[#This Row],[row_id]] ) - ROW( co_scalarInfo[[#Headers],[row_id]] )</f>
        <v>22</v>
      </c>
      <c r="C196" s="63" t="s">
        <v>983</v>
      </c>
      <c r="D196" s="57" t="s">
        <v>980</v>
      </c>
      <c r="E196" s="134" t="s">
        <v>834</v>
      </c>
      <c r="F196" s="134" t="s">
        <v>785</v>
      </c>
      <c r="G196" s="134" t="s">
        <v>892</v>
      </c>
      <c r="H196" s="136" t="s">
        <v>941</v>
      </c>
      <c r="I196" s="135" t="s">
        <v>905</v>
      </c>
      <c r="J196" s="69"/>
      <c r="K196" s="69" cm="1">
        <f t="array" ref="K196" xml:space="preserve"> SUMPRODUCT( --( co_scalarInfo[[#This Row],[scalarName]] = scalarDataframe[scalarName] ) )</f>
        <v>1</v>
      </c>
    </row>
    <row r="197" spans="1:21" ht="21" x14ac:dyDescent="0.3">
      <c r="B197" s="12">
        <f xml:space="preserve"> ROW( co_scalarInfo[[#This Row],[row_id]] ) - ROW( co_scalarInfo[[#Headers],[row_id]] )</f>
        <v>23</v>
      </c>
      <c r="C197" s="63" t="s">
        <v>984</v>
      </c>
      <c r="D197" s="57" t="s">
        <v>982</v>
      </c>
      <c r="E197" s="134" t="s">
        <v>834</v>
      </c>
      <c r="F197" s="134" t="s">
        <v>785</v>
      </c>
      <c r="G197" s="134" t="s">
        <v>892</v>
      </c>
      <c r="H197" s="136" t="s">
        <v>941</v>
      </c>
      <c r="I197" s="135" t="s">
        <v>905</v>
      </c>
      <c r="J197" s="69"/>
      <c r="K197" s="69" cm="1">
        <f t="array" ref="K197" xml:space="preserve"> SUMPRODUCT( --( co_scalarInfo[[#This Row],[scalarName]] = scalarDataframe[scalarName] ) )</f>
        <v>1</v>
      </c>
    </row>
    <row r="198" spans="1:21" x14ac:dyDescent="0.3">
      <c r="B198" s="12">
        <f xml:space="preserve"> ROW( co_scalarInfo[[#This Row],[row_id]] ) - ROW( co_scalarInfo[[#Headers],[row_id]] )</f>
        <v>24</v>
      </c>
      <c r="C198" s="63" t="s">
        <v>1004</v>
      </c>
      <c r="D198" s="57" t="s">
        <v>1003</v>
      </c>
      <c r="E198" s="134" t="s">
        <v>816</v>
      </c>
      <c r="F198" s="134" t="s">
        <v>894</v>
      </c>
      <c r="G198" s="134" t="s">
        <v>893</v>
      </c>
      <c r="H198" s="136" t="s">
        <v>941</v>
      </c>
      <c r="I198" s="135" t="s">
        <v>905</v>
      </c>
      <c r="J198" s="69"/>
      <c r="K198" s="69" cm="1">
        <f t="array" ref="K198" xml:space="preserve"> SUMPRODUCT( --( co_scalarInfo[[#This Row],[scalarName]] = scalarDataframe[scalarName] ) )</f>
        <v>136</v>
      </c>
    </row>
    <row r="199" spans="1:21" x14ac:dyDescent="0.3">
      <c r="B199" s="12">
        <f xml:space="preserve"> ROW( co_scalarInfo[[#This Row],[row_id]] ) - ROW( co_scalarInfo[[#Headers],[row_id]] )</f>
        <v>25</v>
      </c>
      <c r="C199" s="63" t="s">
        <v>759</v>
      </c>
      <c r="D199" s="57" t="s">
        <v>758</v>
      </c>
      <c r="E199" s="134" t="s">
        <v>816</v>
      </c>
      <c r="F199" s="134" t="s">
        <v>894</v>
      </c>
      <c r="G199" s="134" t="s">
        <v>893</v>
      </c>
      <c r="H199" s="136" t="s">
        <v>941</v>
      </c>
      <c r="I199" s="135" t="s">
        <v>905</v>
      </c>
      <c r="J199" s="69"/>
      <c r="K199" s="69" cm="1">
        <f t="array" ref="K199" xml:space="preserve"> SUMPRODUCT( --( co_scalarInfo[[#This Row],[scalarName]] = scalarDataframe[scalarName] ) )</f>
        <v>119</v>
      </c>
    </row>
    <row r="200" spans="1:21" x14ac:dyDescent="0.3">
      <c r="B200" s="12">
        <f xml:space="preserve"> ROW( co_scalarInfo[[#This Row],[row_id]] ) - ROW( co_scalarInfo[[#Headers],[row_id]] )</f>
        <v>26</v>
      </c>
      <c r="C200" s="63" t="s">
        <v>256</v>
      </c>
      <c r="D200" s="57" t="s">
        <v>910</v>
      </c>
      <c r="E200" s="134" t="s">
        <v>816</v>
      </c>
      <c r="F200" s="134" t="s">
        <v>785</v>
      </c>
      <c r="G200" s="134" t="s">
        <v>892</v>
      </c>
      <c r="H200" s="134" t="s">
        <v>201</v>
      </c>
      <c r="I200" s="135" t="s">
        <v>907</v>
      </c>
      <c r="J200" s="69" t="s">
        <v>911</v>
      </c>
      <c r="K200" s="69" cm="1">
        <f t="array" ref="K200" xml:space="preserve"> SUMPRODUCT( --( co_scalarInfo[[#This Row],[scalarName]] = scalarDataframe[scalarName] ) )</f>
        <v>0</v>
      </c>
    </row>
    <row r="201" spans="1:21" x14ac:dyDescent="0.3">
      <c r="B201" s="12">
        <f xml:space="preserve"> ROW( co_scalarInfo[[#This Row],[row_id]] ) - ROW( co_scalarInfo[[#Headers],[row_id]] )</f>
        <v>27</v>
      </c>
      <c r="C201" s="63" t="s">
        <v>236</v>
      </c>
      <c r="D201" s="57" t="s">
        <v>215</v>
      </c>
      <c r="E201" s="134" t="s">
        <v>816</v>
      </c>
      <c r="F201" s="134" t="s">
        <v>785</v>
      </c>
      <c r="G201" s="134" t="s">
        <v>893</v>
      </c>
      <c r="H201" s="136">
        <v>2010</v>
      </c>
      <c r="I201" s="135" t="s">
        <v>905</v>
      </c>
      <c r="J201" s="69"/>
      <c r="K201" s="69" cm="1">
        <f t="array" ref="K201" xml:space="preserve"> SUMPRODUCT( --( co_scalarInfo[[#This Row],[scalarName]] = scalarDataframe[scalarName] ) )</f>
        <v>8</v>
      </c>
    </row>
    <row r="202" spans="1:21" x14ac:dyDescent="0.3">
      <c r="B202" s="12">
        <f xml:space="preserve"> ROW( co_scalarInfo[[#This Row],[row_id]] ) - ROW( co_scalarInfo[[#Headers],[row_id]] )</f>
        <v>28</v>
      </c>
      <c r="C202" s="63" t="s">
        <v>251</v>
      </c>
      <c r="D202" s="57" t="s">
        <v>211</v>
      </c>
      <c r="E202" s="134" t="s">
        <v>816</v>
      </c>
      <c r="F202" s="134" t="s">
        <v>894</v>
      </c>
      <c r="G202" s="134" t="s">
        <v>893</v>
      </c>
      <c r="H202" s="136" t="s">
        <v>941</v>
      </c>
      <c r="I202" s="135" t="s">
        <v>906</v>
      </c>
      <c r="J202" s="69"/>
      <c r="K202" s="69" cm="1">
        <f t="array" ref="K202" xml:space="preserve"> SUMPRODUCT( --( co_scalarInfo[[#This Row],[scalarName]] = scalarDataframe[scalarName] ) )</f>
        <v>0</v>
      </c>
    </row>
    <row r="203" spans="1:21" x14ac:dyDescent="0.3">
      <c r="B203" s="12">
        <f xml:space="preserve"> ROW( co_scalarInfo[[#This Row],[row_id]] ) - ROW( co_scalarInfo[[#Headers],[row_id]] )</f>
        <v>29</v>
      </c>
      <c r="C203" s="63" t="s">
        <v>250</v>
      </c>
      <c r="D203" s="57" t="s">
        <v>797</v>
      </c>
      <c r="E203" s="134" t="s">
        <v>816</v>
      </c>
      <c r="F203" s="134" t="s">
        <v>785</v>
      </c>
      <c r="G203" s="134" t="s">
        <v>893</v>
      </c>
      <c r="H203" s="136">
        <v>2010</v>
      </c>
      <c r="I203" s="135" t="s">
        <v>905</v>
      </c>
      <c r="J203" s="69"/>
      <c r="K203" s="69" cm="1">
        <f t="array" ref="K203" xml:space="preserve"> SUMPRODUCT( --( co_scalarInfo[[#This Row],[scalarName]] = scalarDataframe[scalarName] ) )</f>
        <v>7</v>
      </c>
    </row>
    <row r="204" spans="1:21" ht="21" x14ac:dyDescent="0.3">
      <c r="B204" s="12">
        <f xml:space="preserve"> ROW( co_scalarInfo[[#This Row],[row_id]] ) - ROW( co_scalarInfo[[#Headers],[row_id]] )</f>
        <v>30</v>
      </c>
      <c r="C204" s="63" t="s">
        <v>1310</v>
      </c>
      <c r="D204" s="57" t="s">
        <v>1311</v>
      </c>
      <c r="E204" s="134" t="s">
        <v>815</v>
      </c>
      <c r="F204" s="134" t="s">
        <v>894</v>
      </c>
      <c r="G204" s="134" t="s">
        <v>893</v>
      </c>
      <c r="H204" s="136" t="s">
        <v>941</v>
      </c>
      <c r="I204" s="135"/>
      <c r="J204" s="69"/>
      <c r="K204" s="69" cm="1">
        <f t="array" ref="K204" xml:space="preserve"> SUMPRODUCT( --( co_scalarInfo[[#This Row],[scalarName]] = scalarDataframe[scalarName] ) )</f>
        <v>196</v>
      </c>
    </row>
    <row r="205" spans="1:21" ht="21" x14ac:dyDescent="0.3">
      <c r="B205" s="12">
        <f xml:space="preserve"> ROW( co_scalarInfo[[#This Row],[row_id]] ) - ROW( co_scalarInfo[[#Headers],[row_id]] )</f>
        <v>31</v>
      </c>
      <c r="C205" s="63" t="s">
        <v>1312</v>
      </c>
      <c r="D205" s="57" t="s">
        <v>1313</v>
      </c>
      <c r="E205" s="134" t="s">
        <v>834</v>
      </c>
      <c r="F205" s="134" t="s">
        <v>894</v>
      </c>
      <c r="G205" s="134" t="s">
        <v>893</v>
      </c>
      <c r="H205" s="136" t="s">
        <v>941</v>
      </c>
      <c r="I205" s="135"/>
      <c r="J205" s="69"/>
      <c r="K205" s="69" cm="1">
        <f t="array" ref="K205" xml:space="preserve"> SUMPRODUCT( --( co_scalarInfo[[#This Row],[scalarName]] = scalarDataframe[scalarName] ) )</f>
        <v>196</v>
      </c>
    </row>
    <row r="208" spans="1:21" ht="14.5" x14ac:dyDescent="0.35">
      <c r="A208" s="47"/>
      <c r="B208" s="48" t="s">
        <v>1024</v>
      </c>
      <c r="C208" s="48"/>
      <c r="D208" s="48"/>
      <c r="E208" s="48"/>
      <c r="F208" s="48"/>
      <c r="G208" s="48"/>
      <c r="H208" s="48"/>
      <c r="I208" s="48"/>
      <c r="J208" s="48"/>
      <c r="K208" s="48"/>
      <c r="L208" s="48"/>
      <c r="M208" s="48"/>
      <c r="N208" s="48"/>
      <c r="O208" s="48"/>
      <c r="P208" s="48"/>
      <c r="Q208" s="48"/>
      <c r="R208" s="48"/>
      <c r="S208" s="48"/>
      <c r="T208" s="48"/>
      <c r="U208" s="48"/>
    </row>
    <row r="210" spans="1:21" x14ac:dyDescent="0.3">
      <c r="B210" s="60" t="s">
        <v>780</v>
      </c>
      <c r="C210" s="60" t="s">
        <v>912</v>
      </c>
      <c r="D210" s="60" t="s">
        <v>939</v>
      </c>
      <c r="E210" s="61" t="s">
        <v>817</v>
      </c>
    </row>
    <row r="211" spans="1:21" x14ac:dyDescent="0.3">
      <c r="B211" s="7">
        <f xml:space="preserve"> ROW( co_econMultipliers[[#This Row],[row_id]] ) - ROW( co_econMultipliers[[#Headers],[row_id]] )</f>
        <v>1</v>
      </c>
      <c r="C211" s="14" t="s">
        <v>899</v>
      </c>
      <c r="D211" s="79" t="s">
        <v>908</v>
      </c>
      <c r="E211" s="80">
        <v>2015</v>
      </c>
    </row>
    <row r="212" spans="1:21" x14ac:dyDescent="0.3">
      <c r="B212" s="7">
        <f xml:space="preserve"> ROW( co_econMultipliers[[#This Row],[row_id]] ) - ROW( co_econMultipliers[[#Headers],[row_id]] )</f>
        <v>2</v>
      </c>
      <c r="C212" s="14" t="s">
        <v>257</v>
      </c>
      <c r="D212" s="79" t="s">
        <v>909</v>
      </c>
      <c r="E212" s="80" t="s">
        <v>201</v>
      </c>
    </row>
    <row r="213" spans="1:21" x14ac:dyDescent="0.3">
      <c r="B213" s="7">
        <f xml:space="preserve"> ROW( co_econMultipliers[[#This Row],[row_id]] ) - ROW( co_econMultipliers[[#Headers],[row_id]] )</f>
        <v>3</v>
      </c>
      <c r="C213" s="14" t="s">
        <v>256</v>
      </c>
      <c r="D213" s="79" t="s">
        <v>910</v>
      </c>
      <c r="E213" s="80" t="s">
        <v>201</v>
      </c>
    </row>
    <row r="216" spans="1:21" ht="14.5" x14ac:dyDescent="0.35">
      <c r="A216" s="47"/>
      <c r="B216" s="48" t="s">
        <v>1025</v>
      </c>
      <c r="C216" s="48"/>
      <c r="D216" s="48"/>
      <c r="E216" s="48"/>
      <c r="F216" s="48"/>
      <c r="G216" s="48"/>
      <c r="H216" s="48"/>
      <c r="I216" s="48"/>
      <c r="J216" s="48"/>
      <c r="K216" s="48"/>
      <c r="L216" s="48"/>
      <c r="M216" s="48"/>
      <c r="N216" s="48"/>
      <c r="O216" s="48"/>
      <c r="P216" s="48"/>
      <c r="Q216" s="48"/>
      <c r="R216" s="48"/>
      <c r="S216" s="48"/>
      <c r="T216" s="48"/>
      <c r="U216" s="48"/>
    </row>
    <row r="218" spans="1:21" x14ac:dyDescent="0.3">
      <c r="B218" s="60" t="s">
        <v>780</v>
      </c>
      <c r="C218" s="60" t="s">
        <v>785</v>
      </c>
      <c r="D218" s="60" t="s">
        <v>255</v>
      </c>
    </row>
    <row r="219" spans="1:21" x14ac:dyDescent="0.3">
      <c r="B219" s="7">
        <f xml:space="preserve"> ROW( co_constants[[#This Row],[row_id]] ) - ROW( co_constants[[#Headers],[row_id]] )</f>
        <v>1</v>
      </c>
      <c r="C219" s="14" t="s">
        <v>782</v>
      </c>
      <c r="D219" s="79">
        <f xml:space="preserve"> 10^9</f>
        <v>1000000000</v>
      </c>
    </row>
    <row r="220" spans="1:21" x14ac:dyDescent="0.3">
      <c r="B220" s="7">
        <f xml:space="preserve"> ROW( co_constants[[#This Row],[row_id]] ) - ROW( co_constants[[#Headers],[row_id]] )</f>
        <v>2</v>
      </c>
      <c r="C220" s="14" t="s">
        <v>783</v>
      </c>
      <c r="D220" s="79">
        <f xml:space="preserve"> 10^6</f>
        <v>1000000</v>
      </c>
    </row>
    <row r="221" spans="1:21" x14ac:dyDescent="0.3">
      <c r="B221" s="7">
        <f xml:space="preserve"> ROW( co_constants[[#This Row],[row_id]] ) - ROW( co_constants[[#Headers],[row_id]] )</f>
        <v>3</v>
      </c>
      <c r="C221" s="14" t="s">
        <v>784</v>
      </c>
      <c r="D221" s="79">
        <v>1000</v>
      </c>
    </row>
    <row r="224" spans="1:21" ht="14.5" x14ac:dyDescent="0.35">
      <c r="A224" s="47"/>
      <c r="B224" s="48" t="s">
        <v>1022</v>
      </c>
      <c r="C224" s="48"/>
      <c r="D224" s="48"/>
      <c r="E224" s="48"/>
      <c r="F224" s="48"/>
      <c r="G224" s="48"/>
      <c r="H224" s="48"/>
      <c r="I224" s="48"/>
      <c r="J224" s="48"/>
      <c r="K224" s="48"/>
      <c r="L224" s="48"/>
      <c r="M224" s="48"/>
      <c r="N224" s="48"/>
      <c r="O224" s="48"/>
      <c r="P224" s="48"/>
      <c r="Q224" s="48"/>
      <c r="R224" s="48"/>
      <c r="S224" s="48"/>
      <c r="T224" s="48"/>
      <c r="U224" s="48"/>
    </row>
    <row r="226" spans="1:21" x14ac:dyDescent="0.3">
      <c r="B226" s="72" t="s">
        <v>780</v>
      </c>
      <c r="C226" s="72" t="s">
        <v>954</v>
      </c>
      <c r="D226" s="72" t="s">
        <v>955</v>
      </c>
      <c r="E226" s="73" t="s">
        <v>961</v>
      </c>
      <c r="F226" s="73" t="s">
        <v>963</v>
      </c>
      <c r="G226" s="74" t="s">
        <v>959</v>
      </c>
      <c r="H226" s="74" t="s">
        <v>960</v>
      </c>
      <c r="I226" s="70" t="s">
        <v>968</v>
      </c>
      <c r="J226" s="70" t="s">
        <v>974</v>
      </c>
      <c r="K226" s="70" t="s">
        <v>975</v>
      </c>
      <c r="L226" s="70" t="s">
        <v>969</v>
      </c>
      <c r="M226" s="71" t="s">
        <v>973</v>
      </c>
      <c r="N226" s="71" t="s">
        <v>972</v>
      </c>
    </row>
    <row r="227" spans="1:21" x14ac:dyDescent="0.3">
      <c r="B227" s="7">
        <f xml:space="preserve"> ROW( co_modelTypes[[#This Row],[row_id]] ) - ROW( co_modelTypes[[#Headers],[row_id]] )</f>
        <v>1</v>
      </c>
      <c r="C227" s="14" t="s">
        <v>819</v>
      </c>
      <c r="D227" s="14" t="s">
        <v>953</v>
      </c>
      <c r="E227" s="75" t="s">
        <v>962</v>
      </c>
      <c r="F227" s="75" t="s">
        <v>957</v>
      </c>
      <c r="G227" s="76" t="s">
        <v>951</v>
      </c>
      <c r="H227" s="76" t="s">
        <v>952</v>
      </c>
      <c r="I227" s="77">
        <v>1995</v>
      </c>
      <c r="J227" s="77">
        <v>6</v>
      </c>
      <c r="K227" s="77">
        <v>30</v>
      </c>
      <c r="L227" s="77">
        <v>1</v>
      </c>
      <c r="M227" s="32">
        <v>7</v>
      </c>
      <c r="N227" s="32" cm="1">
        <f t="array" ref="N227" xml:space="preserve"> SUMPRODUCT( --( co_models[modelType] = co_modelTypes[[#This Row],[modelType_id]] ) )</f>
        <v>8</v>
      </c>
    </row>
    <row r="228" spans="1:21" x14ac:dyDescent="0.3">
      <c r="B228" s="7">
        <f xml:space="preserve"> ROW( co_modelTypes[[#This Row],[row_id]] ) - ROW( co_modelTypes[[#Headers],[row_id]] )</f>
        <v>2</v>
      </c>
      <c r="C228" s="14" t="s">
        <v>818</v>
      </c>
      <c r="D228" s="14" t="s">
        <v>956</v>
      </c>
      <c r="E228" s="75" t="s">
        <v>958</v>
      </c>
      <c r="F228" s="75" t="s">
        <v>958</v>
      </c>
      <c r="G228" s="76" t="s">
        <v>818</v>
      </c>
      <c r="H228" s="76" t="s">
        <v>1057</v>
      </c>
      <c r="I228" s="77">
        <v>2000</v>
      </c>
      <c r="J228" s="77">
        <v>250</v>
      </c>
      <c r="K228" s="77">
        <v>1000</v>
      </c>
      <c r="L228" s="77">
        <v>25</v>
      </c>
      <c r="M228" s="32">
        <v>6</v>
      </c>
      <c r="N228" s="32" cm="1">
        <f t="array" ref="N228" xml:space="preserve"> SUMPRODUCT( --( co_models[modelType] = co_modelTypes[[#This Row],[modelType_id]] ) )</f>
        <v>6</v>
      </c>
    </row>
    <row r="231" spans="1:21" ht="14.5" x14ac:dyDescent="0.35">
      <c r="A231" s="47"/>
      <c r="B231" s="48" t="s">
        <v>1030</v>
      </c>
      <c r="C231" s="48"/>
      <c r="D231" s="48"/>
      <c r="E231" s="48"/>
      <c r="F231" s="48"/>
      <c r="G231" s="48"/>
      <c r="H231" s="48"/>
      <c r="I231" s="48"/>
      <c r="J231" s="48"/>
      <c r="K231" s="48"/>
      <c r="L231" s="48"/>
      <c r="M231" s="48"/>
      <c r="N231" s="48"/>
      <c r="O231" s="48"/>
      <c r="P231" s="48"/>
      <c r="Q231" s="48"/>
      <c r="R231" s="48"/>
      <c r="S231" s="48"/>
      <c r="T231" s="48"/>
      <c r="U231" s="48"/>
    </row>
    <row r="233" spans="1:21" x14ac:dyDescent="0.3">
      <c r="B233" s="78" t="s">
        <v>780</v>
      </c>
      <c r="C233" s="60" t="s">
        <v>900</v>
      </c>
      <c r="D233" s="60" t="s">
        <v>1420</v>
      </c>
      <c r="E233" s="60" t="s">
        <v>889</v>
      </c>
      <c r="F233" s="60" t="s">
        <v>901</v>
      </c>
      <c r="G233" s="61" t="s">
        <v>902</v>
      </c>
      <c r="H233" s="61" t="s">
        <v>950</v>
      </c>
    </row>
    <row r="234" spans="1:21" x14ac:dyDescent="0.3">
      <c r="B234" s="7">
        <f xml:space="preserve"> ROW( co_models[[#This Row],[row_id]] ) - ROW( co_models[[#Headers],[row_id]] )</f>
        <v>1</v>
      </c>
      <c r="C234" s="79" t="s">
        <v>0</v>
      </c>
      <c r="D234" s="79">
        <v>6</v>
      </c>
      <c r="E234" s="79" t="s">
        <v>819</v>
      </c>
      <c r="F234" s="60" t="str">
        <f xml:space="preserve"> IF( co_models[[#This Row],[modelType]] = "gcm", SUBSTITUTE( SUBSTITUTE( co_models[[#This Row],[model_id]], " ", "." ), "-", "." ),
         VALUE( SUBSTITUTE( co_models[[#This Row],[model_id]], "p", "." ) ) * 100 &amp; "cm" )</f>
        <v>CanESM2</v>
      </c>
      <c r="G234" s="61" t="str">
        <f xml:space="preserve"> SUBSTITUTE( co_models[[#This Row],[model_dot]], ".", "_" )</f>
        <v>CanESM2</v>
      </c>
      <c r="H234" s="61" t="str">
        <f xml:space="preserve"> IF( co_models[[#This Row],[modelType]] = "gcm", co_models[[#This Row],[model_id]], SUBSTITUTE( co_models[[#This Row],[model_dot]], "cm", " cm" ) )</f>
        <v>CanESM2</v>
      </c>
    </row>
    <row r="235" spans="1:21" x14ac:dyDescent="0.3">
      <c r="B235" s="7">
        <f xml:space="preserve"> ROW( co_models[[#This Row],[row_id]] ) - ROW( co_models[[#Headers],[row_id]] )</f>
        <v>2</v>
      </c>
      <c r="C235" s="79" t="s">
        <v>1</v>
      </c>
      <c r="D235" s="79">
        <v>5</v>
      </c>
      <c r="E235" s="79" t="s">
        <v>819</v>
      </c>
      <c r="F235" s="60" t="str">
        <f xml:space="preserve"> IF( co_models[[#This Row],[modelType]] = "gcm", SUBSTITUTE( SUBSTITUTE( co_models[[#This Row],[model_id]], " ", "." ), "-", "." ),
         VALUE( SUBSTITUTE( co_models[[#This Row],[model_id]], "p", "." ) ) * 100 &amp; "cm" )</f>
        <v>CCSM4</v>
      </c>
      <c r="G235" s="61" t="str">
        <f xml:space="preserve"> SUBSTITUTE( co_models[[#This Row],[model_dot]], ".", "_" )</f>
        <v>CCSM4</v>
      </c>
      <c r="H235" s="61" t="str">
        <f xml:space="preserve"> IF( co_models[[#This Row],[modelType]] = "gcm", co_models[[#This Row],[model_id]], SUBSTITUTE( co_models[[#This Row],[model_dot]], "cm", " cm" ) )</f>
        <v>CCSM4</v>
      </c>
    </row>
    <row r="236" spans="1:21" x14ac:dyDescent="0.3">
      <c r="B236" s="7">
        <f xml:space="preserve"> ROW( co_models[[#This Row],[row_id]] ) - ROW( co_models[[#Headers],[row_id]] )</f>
        <v>3</v>
      </c>
      <c r="C236" s="79" t="s">
        <v>2</v>
      </c>
      <c r="D236" s="79">
        <v>3</v>
      </c>
      <c r="E236" s="79" t="s">
        <v>819</v>
      </c>
      <c r="F236" s="60" t="str">
        <f xml:space="preserve"> IF( co_models[[#This Row],[modelType]] = "gcm", SUBSTITUTE( SUBSTITUTE( co_models[[#This Row],[model_id]], " ", "." ), "-", "." ),
         VALUE( SUBSTITUTE( co_models[[#This Row],[model_id]], "p", "." ) ) * 100 &amp; "cm" )</f>
        <v>GISS.E2.R</v>
      </c>
      <c r="G236" s="61" t="str">
        <f xml:space="preserve"> SUBSTITUTE( co_models[[#This Row],[model_dot]], ".", "_" )</f>
        <v>GISS_E2_R</v>
      </c>
      <c r="H236" s="61" t="str">
        <f xml:space="preserve"> IF( co_models[[#This Row],[modelType]] = "gcm", co_models[[#This Row],[model_id]], SUBSTITUTE( co_models[[#This Row],[model_dot]], "cm", " cm" ) )</f>
        <v>GISS-E2-R</v>
      </c>
    </row>
    <row r="237" spans="1:21" x14ac:dyDescent="0.3">
      <c r="B237" s="7">
        <f xml:space="preserve"> ROW( co_models[[#This Row],[row_id]] ) - ROW( co_models[[#Headers],[row_id]] )</f>
        <v>4</v>
      </c>
      <c r="C237" s="79" t="s">
        <v>3</v>
      </c>
      <c r="D237" s="79">
        <v>6</v>
      </c>
      <c r="E237" s="79" t="s">
        <v>819</v>
      </c>
      <c r="F237" s="60" t="str">
        <f xml:space="preserve"> IF( co_models[[#This Row],[modelType]] = "gcm", SUBSTITUTE( SUBSTITUTE( co_models[[#This Row],[model_id]], " ", "." ), "-", "." ),
         VALUE( SUBSTITUTE( co_models[[#This Row],[model_id]], "p", "." ) ) * 100 &amp; "cm" )</f>
        <v>HadGEM2.ES</v>
      </c>
      <c r="G237" s="61" t="str">
        <f xml:space="preserve"> SUBSTITUTE( co_models[[#This Row],[model_dot]], ".", "_" )</f>
        <v>HadGEM2_ES</v>
      </c>
      <c r="H237" s="61" t="str">
        <f xml:space="preserve"> IF( co_models[[#This Row],[modelType]] = "gcm", co_models[[#This Row],[model_id]], SUBSTITUTE( co_models[[#This Row],[model_dot]], "cm", " cm" ) )</f>
        <v>HadGEM2-ES</v>
      </c>
    </row>
    <row r="238" spans="1:21" x14ac:dyDescent="0.3">
      <c r="B238" s="7">
        <f xml:space="preserve"> ROW( co_models[[#This Row],[row_id]] ) - ROW( co_models[[#Headers],[row_id]] )</f>
        <v>5</v>
      </c>
      <c r="C238" s="79" t="s">
        <v>4</v>
      </c>
      <c r="D238" s="79">
        <v>5</v>
      </c>
      <c r="E238" s="79" t="s">
        <v>819</v>
      </c>
      <c r="F238" s="60" t="str">
        <f xml:space="preserve"> IF( co_models[[#This Row],[modelType]] = "gcm", SUBSTITUTE( SUBSTITUTE( co_models[[#This Row],[model_id]], " ", "." ), "-", "." ),
         VALUE( SUBSTITUTE( co_models[[#This Row],[model_id]], "p", "." ) ) * 100 &amp; "cm" )</f>
        <v>MIROC5</v>
      </c>
      <c r="G238" s="61" t="str">
        <f xml:space="preserve"> SUBSTITUTE( co_models[[#This Row],[model_dot]], ".", "_" )</f>
        <v>MIROC5</v>
      </c>
      <c r="H238" s="61" t="str">
        <f xml:space="preserve"> IF( co_models[[#This Row],[modelType]] = "gcm", co_models[[#This Row],[model_id]], SUBSTITUTE( co_models[[#This Row],[model_dot]], "cm", " cm" ) )</f>
        <v>MIROC5</v>
      </c>
    </row>
    <row r="239" spans="1:21" x14ac:dyDescent="0.3">
      <c r="B239" s="7">
        <f xml:space="preserve"> ROW( co_models[[#This Row],[row_id]] ) - ROW( co_models[[#Headers],[row_id]] )</f>
        <v>6</v>
      </c>
      <c r="C239" s="79" t="s">
        <v>5</v>
      </c>
      <c r="D239" s="79">
        <v>6</v>
      </c>
      <c r="E239" s="79" t="s">
        <v>819</v>
      </c>
      <c r="F239" s="60" t="str">
        <f xml:space="preserve"> IF( co_models[[#This Row],[modelType]] = "gcm", SUBSTITUTE( SUBSTITUTE( co_models[[#This Row],[model_id]], " ", "." ), "-", "." ),
         VALUE( SUBSTITUTE( co_models[[#This Row],[model_id]], "p", "." ) ) * 100 &amp; "cm" )</f>
        <v>GFDL.CM3</v>
      </c>
      <c r="G239" s="61" t="str">
        <f xml:space="preserve"> SUBSTITUTE( co_models[[#This Row],[model_dot]], ".", "_" )</f>
        <v>GFDL_CM3</v>
      </c>
      <c r="H239" s="61" t="str">
        <f xml:space="preserve"> IF( co_models[[#This Row],[modelType]] = "gcm", co_models[[#This Row],[model_id]], SUBSTITUTE( co_models[[#This Row],[model_dot]], "cm", " cm" ) )</f>
        <v>GFDL-CM3</v>
      </c>
    </row>
    <row r="240" spans="1:21" x14ac:dyDescent="0.3">
      <c r="B240" s="7">
        <f xml:space="preserve"> ROW( co_models[[#This Row],[row_id]] ) - ROW( co_models[[#Headers],[row_id]] )</f>
        <v>7</v>
      </c>
      <c r="C240" s="79" t="s">
        <v>1084</v>
      </c>
      <c r="D240" s="79">
        <v>3</v>
      </c>
      <c r="E240" s="79" t="s">
        <v>819</v>
      </c>
      <c r="F240" s="60" t="str">
        <f xml:space="preserve"> IF( co_models[[#This Row],[modelType]] = "gcm", SUBSTITUTE( SUBSTITUTE( co_models[[#This Row],[model_id]], " ", "." ), "-", "." ),
         VALUE( SUBSTITUTE( co_models[[#This Row],[model_id]], "p", "." ) ) * 100 &amp; "cm" )</f>
        <v>MRI.CGCM3</v>
      </c>
      <c r="G240" s="61" t="str">
        <f xml:space="preserve"> SUBSTITUTE( co_models[[#This Row],[model_dot]], ".", "_" )</f>
        <v>MRI_CGCM3</v>
      </c>
      <c r="H240" s="61" t="str">
        <f xml:space="preserve"> IF( co_models[[#This Row],[modelType]] = "gcm", co_models[[#This Row],[model_id]], SUBSTITUTE( co_models[[#This Row],[model_dot]], "cm", " cm" ) )</f>
        <v>MRI-CGCM3</v>
      </c>
    </row>
    <row r="241" spans="1:21" x14ac:dyDescent="0.3">
      <c r="B241" s="7">
        <f xml:space="preserve"> ROW( co_models[[#This Row],[row_id]] ) - ROW( co_models[[#Headers],[row_id]] )</f>
        <v>8</v>
      </c>
      <c r="C241" s="79" t="s">
        <v>1082</v>
      </c>
      <c r="D241" s="79">
        <v>5</v>
      </c>
      <c r="E241" s="79" t="s">
        <v>819</v>
      </c>
      <c r="F241" s="60" t="str">
        <f xml:space="preserve"> IF( co_models[[#This Row],[modelType]] = "gcm", SUBSTITUTE( SUBSTITUTE( co_models[[#This Row],[model_id]], " ", "." ), "-", "." ),
         VALUE( SUBSTITUTE( co_models[[#This Row],[model_id]], "p", "." ) ) * 100 &amp; "cm" )</f>
        <v>GCM.Ensemble</v>
      </c>
      <c r="G241" s="61" t="str">
        <f xml:space="preserve"> SUBSTITUTE( co_models[[#This Row],[model_dot]], ".", "_" )</f>
        <v>GCM_Ensemble</v>
      </c>
      <c r="H241" s="61" t="str">
        <f xml:space="preserve"> IF( co_models[[#This Row],[modelType]] = "gcm", co_models[[#This Row],[model_id]], SUBSTITUTE( co_models[[#This Row],[model_dot]], "cm", " cm" ) )</f>
        <v>GCM Ensemble</v>
      </c>
    </row>
    <row r="242" spans="1:21" x14ac:dyDescent="0.3">
      <c r="B242" s="7">
        <f xml:space="preserve"> ROW( co_models[[#This Row],[row_id]] ) - ROW( co_models[[#Headers],[row_id]] )</f>
        <v>9</v>
      </c>
      <c r="C242" s="79" t="s">
        <v>943</v>
      </c>
      <c r="D242" s="79">
        <v>250</v>
      </c>
      <c r="E242" s="79" t="s">
        <v>818</v>
      </c>
      <c r="F242" s="61" t="str">
        <f xml:space="preserve"> IF( co_models[[#This Row],[modelType]] = "gcm", SUBSTITUTE( SUBSTITUTE( co_models[[#This Row],[model_id]], " ", "." ), "-", "." ),
         VALUE( SUBSTITUTE( co_models[[#This Row],[model_id]], "p", "." ) ) * 100 &amp; "cm" )</f>
        <v>30cm</v>
      </c>
      <c r="G242" s="61" t="str">
        <f xml:space="preserve"> SUBSTITUTE( co_models[[#This Row],[model_dot]], ".", "_" )</f>
        <v>30cm</v>
      </c>
      <c r="H242" s="61" t="str">
        <f xml:space="preserve"> IF( co_models[[#This Row],[modelType]] = "gcm", co_models[[#This Row],[model_id]], SUBSTITUTE( co_models[[#This Row],[model_dot]], "cm", " cm" ) )</f>
        <v>30 cm</v>
      </c>
    </row>
    <row r="243" spans="1:21" x14ac:dyDescent="0.3">
      <c r="B243" s="7">
        <f xml:space="preserve"> ROW( co_models[[#This Row],[row_id]] ) - ROW( co_models[[#Headers],[row_id]] )</f>
        <v>10</v>
      </c>
      <c r="C243" s="79" t="s">
        <v>944</v>
      </c>
      <c r="D243" s="79">
        <v>250</v>
      </c>
      <c r="E243" s="79" t="s">
        <v>818</v>
      </c>
      <c r="F243" s="61" t="str">
        <f xml:space="preserve"> IF( co_models[[#This Row],[modelType]] = "gcm", SUBSTITUTE( SUBSTITUTE( co_models[[#This Row],[model_id]], " ", "." ), "-", "." ),
         VALUE( SUBSTITUTE( co_models[[#This Row],[model_id]], "p", "." ) ) * 100 &amp; "cm" )</f>
        <v>50cm</v>
      </c>
      <c r="G243" s="61" t="str">
        <f xml:space="preserve"> SUBSTITUTE( co_models[[#This Row],[model_dot]], ".", "_" )</f>
        <v>50cm</v>
      </c>
      <c r="H243" s="61" t="str">
        <f xml:space="preserve"> IF( co_models[[#This Row],[modelType]] = "gcm", co_models[[#This Row],[model_id]], SUBSTITUTE( co_models[[#This Row],[model_dot]], "cm", " cm" ) )</f>
        <v>50 cm</v>
      </c>
    </row>
    <row r="244" spans="1:21" x14ac:dyDescent="0.3">
      <c r="B244" s="7">
        <f xml:space="preserve"> ROW( co_models[[#This Row],[row_id]] ) - ROW( co_models[[#Headers],[row_id]] )</f>
        <v>11</v>
      </c>
      <c r="C244" s="79" t="s">
        <v>945</v>
      </c>
      <c r="D244" s="79">
        <v>250</v>
      </c>
      <c r="E244" s="79" t="s">
        <v>818</v>
      </c>
      <c r="F244" s="61" t="str">
        <f xml:space="preserve"> IF( co_models[[#This Row],[modelType]] = "gcm", SUBSTITUTE( SUBSTITUTE( co_models[[#This Row],[model_id]], " ", "." ), "-", "." ),
         VALUE( SUBSTITUTE( co_models[[#This Row],[model_id]], "p", "." ) ) * 100 &amp; "cm" )</f>
        <v>100cm</v>
      </c>
      <c r="G244" s="61" t="str">
        <f xml:space="preserve"> SUBSTITUTE( co_models[[#This Row],[model_dot]], ".", "_" )</f>
        <v>100cm</v>
      </c>
      <c r="H244" s="61" t="str">
        <f xml:space="preserve"> IF( co_models[[#This Row],[modelType]] = "gcm", co_models[[#This Row],[model_id]], SUBSTITUTE( co_models[[#This Row],[model_dot]], "cm", " cm" ) )</f>
        <v>100 cm</v>
      </c>
    </row>
    <row r="245" spans="1:21" x14ac:dyDescent="0.3">
      <c r="B245" s="7">
        <f xml:space="preserve"> ROW( co_models[[#This Row],[row_id]] ) - ROW( co_models[[#Headers],[row_id]] )</f>
        <v>12</v>
      </c>
      <c r="C245" s="79" t="s">
        <v>946</v>
      </c>
      <c r="D245" s="79">
        <v>250</v>
      </c>
      <c r="E245" s="79" t="s">
        <v>818</v>
      </c>
      <c r="F245" s="61" t="str">
        <f xml:space="preserve"> IF( co_models[[#This Row],[modelType]] = "gcm", SUBSTITUTE( SUBSTITUTE( co_models[[#This Row],[model_id]], " ", "." ), "-", "." ),
         VALUE( SUBSTITUTE( co_models[[#This Row],[model_id]], "p", "." ) ) * 100 &amp; "cm" )</f>
        <v>150cm</v>
      </c>
      <c r="G245" s="61" t="str">
        <f xml:space="preserve"> SUBSTITUTE( co_models[[#This Row],[model_dot]], ".", "_" )</f>
        <v>150cm</v>
      </c>
      <c r="H245" s="61" t="str">
        <f xml:space="preserve"> IF( co_models[[#This Row],[modelType]] = "gcm", co_models[[#This Row],[model_id]], SUBSTITUTE( co_models[[#This Row],[model_dot]], "cm", " cm" ) )</f>
        <v>150 cm</v>
      </c>
    </row>
    <row r="246" spans="1:21" x14ac:dyDescent="0.3">
      <c r="B246" s="7">
        <f xml:space="preserve"> ROW( co_models[[#This Row],[row_id]] ) - ROW( co_models[[#Headers],[row_id]] )</f>
        <v>13</v>
      </c>
      <c r="C246" s="79" t="s">
        <v>947</v>
      </c>
      <c r="D246" s="79">
        <v>250</v>
      </c>
      <c r="E246" s="79" t="s">
        <v>818</v>
      </c>
      <c r="F246" s="61" t="str">
        <f xml:space="preserve"> IF( co_models[[#This Row],[modelType]] = "gcm", SUBSTITUTE( SUBSTITUTE( co_models[[#This Row],[model_id]], " ", "." ), "-", "." ),
         VALUE( SUBSTITUTE( co_models[[#This Row],[model_id]], "p", "." ) ) * 100 &amp; "cm" )</f>
        <v>200cm</v>
      </c>
      <c r="G246" s="61" t="str">
        <f xml:space="preserve"> SUBSTITUTE( co_models[[#This Row],[model_dot]], ".", "_" )</f>
        <v>200cm</v>
      </c>
      <c r="H246" s="61" t="str">
        <f xml:space="preserve"> IF( co_models[[#This Row],[modelType]] = "gcm", co_models[[#This Row],[model_id]], SUBSTITUTE( co_models[[#This Row],[model_dot]], "cm", " cm" ) )</f>
        <v>200 cm</v>
      </c>
    </row>
    <row r="247" spans="1:21" x14ac:dyDescent="0.3">
      <c r="B247" s="7">
        <f xml:space="preserve"> ROW( co_models[[#This Row],[row_id]] ) - ROW( co_models[[#Headers],[row_id]] )</f>
        <v>14</v>
      </c>
      <c r="C247" s="79" t="s">
        <v>948</v>
      </c>
      <c r="D247" s="79">
        <v>250</v>
      </c>
      <c r="E247" s="79" t="s">
        <v>818</v>
      </c>
      <c r="F247" s="61" t="str">
        <f xml:space="preserve"> IF( co_models[[#This Row],[modelType]] = "gcm", SUBSTITUTE( SUBSTITUTE( co_models[[#This Row],[model_id]], " ", "." ), "-", "." ),
         VALUE( SUBSTITUTE( co_models[[#This Row],[model_id]], "p", "." ) ) * 100 &amp; "cm" )</f>
        <v>250cm</v>
      </c>
      <c r="G247" s="61" t="str">
        <f xml:space="preserve"> SUBSTITUTE( co_models[[#This Row],[model_dot]], ".", "_" )</f>
        <v>250cm</v>
      </c>
      <c r="H247" s="61" t="str">
        <f xml:space="preserve"> IF( co_models[[#This Row],[modelType]] = "gcm", co_models[[#This Row],[model_id]], SUBSTITUTE( co_models[[#This Row],[model_dot]], "cm", " cm" ) )</f>
        <v>250 cm</v>
      </c>
    </row>
    <row r="250" spans="1:21" ht="14.5" x14ac:dyDescent="0.35">
      <c r="A250" s="47"/>
      <c r="B250" s="48" t="s">
        <v>233</v>
      </c>
      <c r="C250" s="48"/>
      <c r="D250" s="48"/>
      <c r="E250" s="48"/>
      <c r="F250" s="48"/>
      <c r="G250" s="48"/>
      <c r="H250" s="48"/>
      <c r="I250" s="48"/>
      <c r="J250" s="48"/>
      <c r="K250" s="48"/>
      <c r="L250" s="48"/>
      <c r="M250" s="48"/>
      <c r="N250" s="48"/>
      <c r="O250" s="48"/>
      <c r="P250" s="48"/>
      <c r="Q250" s="48"/>
      <c r="R250" s="48"/>
      <c r="S250" s="48"/>
      <c r="T250" s="48"/>
      <c r="U250" s="48"/>
    </row>
    <row r="252" spans="1:21" x14ac:dyDescent="0.3">
      <c r="B252" s="78" t="s">
        <v>780</v>
      </c>
      <c r="C252" s="60" t="s">
        <v>234</v>
      </c>
      <c r="D252" s="60" t="s">
        <v>820</v>
      </c>
      <c r="E252" s="61" t="s">
        <v>821</v>
      </c>
    </row>
    <row r="253" spans="1:21" x14ac:dyDescent="0.3">
      <c r="B253" s="7">
        <f xml:space="preserve"> ROW( co_regions[[#This Row],[row_id]] ) - ROW( co_regions[[#Headers],[row_id]] )</f>
        <v>1</v>
      </c>
      <c r="C253" s="79" t="s">
        <v>6</v>
      </c>
      <c r="D253" s="60" t="str">
        <f xml:space="preserve"> SUBSTITUTE( co_regions[[#This Row],[region_label]], " ", "." )</f>
        <v>Midwest</v>
      </c>
      <c r="E253" s="61" t="str">
        <f xml:space="preserve"> SUBSTITUTE( co_regions[[#This Row],[region_label]], " ", "_" )</f>
        <v>Midwest</v>
      </c>
    </row>
    <row r="254" spans="1:21" x14ac:dyDescent="0.3">
      <c r="B254" s="7">
        <f xml:space="preserve"> ROW( co_regions[[#This Row],[row_id]] ) - ROW( co_regions[[#Headers],[row_id]] )</f>
        <v>2</v>
      </c>
      <c r="C254" s="79" t="s">
        <v>7</v>
      </c>
      <c r="D254" s="60" t="str">
        <f xml:space="preserve"> SUBSTITUTE( co_regions[[#This Row],[region_label]], " ", "." )</f>
        <v>Northeast</v>
      </c>
      <c r="E254" s="61" t="str">
        <f xml:space="preserve"> SUBSTITUTE( co_regions[[#This Row],[region_label]], " ", "_" )</f>
        <v>Northeast</v>
      </c>
    </row>
    <row r="255" spans="1:21" x14ac:dyDescent="0.3">
      <c r="B255" s="7">
        <f xml:space="preserve"> ROW( co_regions[[#This Row],[row_id]] ) - ROW( co_regions[[#Headers],[row_id]] )</f>
        <v>3</v>
      </c>
      <c r="C255" s="79" t="s">
        <v>8</v>
      </c>
      <c r="D255" s="60" t="str">
        <f xml:space="preserve"> SUBSTITUTE( co_regions[[#This Row],[region_label]], " ", "." )</f>
        <v>Northern.Plains</v>
      </c>
      <c r="E255" s="61" t="str">
        <f xml:space="preserve"> SUBSTITUTE( co_regions[[#This Row],[region_label]], " ", "_" )</f>
        <v>Northern_Plains</v>
      </c>
    </row>
    <row r="256" spans="1:21" x14ac:dyDescent="0.3">
      <c r="B256" s="7">
        <f xml:space="preserve"> ROW( co_regions[[#This Row],[row_id]] ) - ROW( co_regions[[#Headers],[row_id]] )</f>
        <v>4</v>
      </c>
      <c r="C256" s="79" t="s">
        <v>9</v>
      </c>
      <c r="D256" s="60" t="str">
        <f xml:space="preserve"> SUBSTITUTE( co_regions[[#This Row],[region_label]], " ", "." )</f>
        <v>Northwest</v>
      </c>
      <c r="E256" s="61" t="str">
        <f xml:space="preserve"> SUBSTITUTE( co_regions[[#This Row],[region_label]], " ", "_" )</f>
        <v>Northwest</v>
      </c>
    </row>
    <row r="257" spans="1:21" x14ac:dyDescent="0.3">
      <c r="B257" s="7">
        <f xml:space="preserve"> ROW( co_regions[[#This Row],[row_id]] ) - ROW( co_regions[[#Headers],[row_id]] )</f>
        <v>5</v>
      </c>
      <c r="C257" s="79" t="s">
        <v>10</v>
      </c>
      <c r="D257" s="60" t="str">
        <f xml:space="preserve"> SUBSTITUTE( co_regions[[#This Row],[region_label]], " ", "." )</f>
        <v>Southeast</v>
      </c>
      <c r="E257" s="61" t="str">
        <f xml:space="preserve"> SUBSTITUTE( co_regions[[#This Row],[region_label]], " ", "_" )</f>
        <v>Southeast</v>
      </c>
    </row>
    <row r="258" spans="1:21" x14ac:dyDescent="0.3">
      <c r="B258" s="7">
        <f xml:space="preserve"> ROW( co_regions[[#This Row],[row_id]] ) - ROW( co_regions[[#Headers],[row_id]] )</f>
        <v>6</v>
      </c>
      <c r="C258" s="79" t="s">
        <v>11</v>
      </c>
      <c r="D258" s="60" t="str">
        <f xml:space="preserve"> SUBSTITUTE( co_regions[[#This Row],[region_label]], " ", "." )</f>
        <v>Southern.Plains</v>
      </c>
      <c r="E258" s="61" t="str">
        <f xml:space="preserve"> SUBSTITUTE( co_regions[[#This Row],[region_label]], " ", "_" )</f>
        <v>Southern_Plains</v>
      </c>
    </row>
    <row r="259" spans="1:21" x14ac:dyDescent="0.3">
      <c r="B259" s="7">
        <f xml:space="preserve"> ROW( co_regions[[#This Row],[row_id]] ) - ROW( co_regions[[#Headers],[row_id]] )</f>
        <v>7</v>
      </c>
      <c r="C259" s="79" t="s">
        <v>12</v>
      </c>
      <c r="D259" s="60" t="str">
        <f xml:space="preserve"> SUBSTITUTE( co_regions[[#This Row],[region_label]], " ", "." )</f>
        <v>Southwest</v>
      </c>
      <c r="E259" s="61" t="str">
        <f xml:space="preserve"> SUBSTITUTE( co_regions[[#This Row],[region_label]], " ", "_" )</f>
        <v>Southwest</v>
      </c>
    </row>
    <row r="262" spans="1:21" ht="14.5" x14ac:dyDescent="0.35">
      <c r="A262" s="47"/>
      <c r="B262" s="48" t="s">
        <v>1039</v>
      </c>
      <c r="C262" s="48"/>
      <c r="D262" s="48"/>
      <c r="E262" s="48"/>
      <c r="F262" s="48"/>
      <c r="G262" s="48"/>
      <c r="H262" s="48"/>
      <c r="I262" s="48"/>
      <c r="J262" s="48"/>
      <c r="K262" s="48"/>
      <c r="L262" s="48"/>
      <c r="M262" s="48"/>
      <c r="N262" s="48"/>
      <c r="O262" s="48"/>
      <c r="P262" s="48"/>
      <c r="Q262" s="48"/>
      <c r="R262" s="48"/>
      <c r="S262" s="48"/>
      <c r="T262" s="48"/>
      <c r="U262" s="48"/>
    </row>
    <row r="264" spans="1:21" x14ac:dyDescent="0.3">
      <c r="B264" s="60" t="s">
        <v>780</v>
      </c>
      <c r="C264" s="60" t="s">
        <v>1040</v>
      </c>
      <c r="D264" s="60" t="s">
        <v>1044</v>
      </c>
      <c r="E264" s="60" t="s">
        <v>1050</v>
      </c>
      <c r="F264" s="60" t="s">
        <v>1065</v>
      </c>
      <c r="G264" s="60" t="s">
        <v>1064</v>
      </c>
      <c r="H264" s="62" t="s">
        <v>1047</v>
      </c>
      <c r="I264" s="62" t="s">
        <v>1055</v>
      </c>
      <c r="J264" s="62" t="s">
        <v>1056</v>
      </c>
      <c r="K264" s="62" t="s">
        <v>1058</v>
      </c>
      <c r="L264" s="62" t="s">
        <v>218</v>
      </c>
    </row>
    <row r="265" spans="1:21" x14ac:dyDescent="0.3">
      <c r="B265" s="7">
        <f xml:space="preserve"> ROW( co_inputScenarioInfo[[#This Row],[row_id]] ) - ROW( co_inputScenarioInfo[[#Headers],[row_id]] )</f>
        <v>1</v>
      </c>
      <c r="C265" s="14" t="s">
        <v>1041</v>
      </c>
      <c r="D265" s="79" t="s">
        <v>951</v>
      </c>
      <c r="E265" s="79" t="s">
        <v>1051</v>
      </c>
      <c r="F265" s="79" t="str">
        <f xml:space="preserve"> co_inputScenarioInfo[[#This Row],[inputName]] &amp; "file"</f>
        <v>tempfile</v>
      </c>
      <c r="G265" s="79" t="str">
        <f xml:space="preserve"> co_inputScenarioInfo[[#This Row],[inputName]] &amp; "Input"</f>
        <v>tempInput</v>
      </c>
      <c r="H265" s="62" t="s">
        <v>957</v>
      </c>
      <c r="I265" s="62">
        <v>0</v>
      </c>
      <c r="J265" s="62">
        <f xml:space="preserve"> IF( ISNA( MATCH( co_inputScenarioInfo[[#This Row],[inputType]], co_modelTypes[modelUnitType], 0 ) ), "", INDEX( co_modelTypes[modelMaxExtrap], MATCH( co_inputScenarioInfo[[#This Row],[inputType]], co_modelTypes[modelUnitType], 0 ) ) )</f>
        <v>30</v>
      </c>
      <c r="K265" s="62" t="s">
        <v>1059</v>
      </c>
      <c r="L265" s="62">
        <v>0</v>
      </c>
    </row>
    <row r="266" spans="1:21" x14ac:dyDescent="0.3">
      <c r="B266" s="7">
        <f xml:space="preserve"> ROW( co_inputScenarioInfo[[#This Row],[row_id]] ) - ROW( co_inputScenarioInfo[[#Headers],[row_id]] )</f>
        <v>2</v>
      </c>
      <c r="C266" s="14" t="s">
        <v>818</v>
      </c>
      <c r="D266" s="79" t="s">
        <v>956</v>
      </c>
      <c r="E266" s="79" t="s">
        <v>1052</v>
      </c>
      <c r="F266" s="79" t="str">
        <f xml:space="preserve"> co_inputScenarioInfo[[#This Row],[inputName]] &amp; "file"</f>
        <v>slrfile</v>
      </c>
      <c r="G266" s="79" t="str">
        <f xml:space="preserve"> co_inputScenarioInfo[[#This Row],[inputName]] &amp; "Input"</f>
        <v>slrInput</v>
      </c>
      <c r="H266" s="62" t="s">
        <v>958</v>
      </c>
      <c r="I266" s="62">
        <v>0</v>
      </c>
      <c r="J266" s="62">
        <f xml:space="preserve"> IF( ISNA( MATCH( co_inputScenarioInfo[[#This Row],[inputType]], co_modelTypes[modelUnitType], 0 ) ), "", INDEX( co_modelTypes[modelMaxExtrap], MATCH( co_inputScenarioInfo[[#This Row],[inputType]], co_modelTypes[modelUnitType], 0 ) ) )</f>
        <v>1000</v>
      </c>
      <c r="K266" s="62" t="s">
        <v>1060</v>
      </c>
      <c r="L266" s="62">
        <v>0</v>
      </c>
    </row>
    <row r="267" spans="1:21" x14ac:dyDescent="0.3">
      <c r="B267" s="7">
        <f xml:space="preserve"> ROW( co_inputScenarioInfo[[#This Row],[row_id]] ) - ROW( co_inputScenarioInfo[[#Headers],[row_id]] )</f>
        <v>3</v>
      </c>
      <c r="C267" s="14" t="s">
        <v>1042</v>
      </c>
      <c r="D267" s="79" t="s">
        <v>1045</v>
      </c>
      <c r="E267" s="79" t="s">
        <v>1053</v>
      </c>
      <c r="F267" s="79" t="str">
        <f xml:space="preserve"> co_inputScenarioInfo[[#This Row],[inputName]] &amp; "file"</f>
        <v>gdpfile</v>
      </c>
      <c r="G267" s="79" t="str">
        <f xml:space="preserve"> co_inputScenarioInfo[[#This Row],[inputName]] &amp; "Input"</f>
        <v>gdpInput</v>
      </c>
      <c r="H267" s="62" t="s">
        <v>1048</v>
      </c>
      <c r="I267" s="62">
        <v>0</v>
      </c>
      <c r="J267" s="62" t="str">
        <f xml:space="preserve"> IF( ISNA( MATCH( co_inputScenarioInfo[[#This Row],[inputType]], co_modelTypes[modelUnitType], 0 ) ), "", INDEX( co_modelTypes[modelMaxExtrap], MATCH( co_inputScenarioInfo[[#This Row],[inputType]], co_modelTypes[modelUnitType], 0 ) ) )</f>
        <v/>
      </c>
      <c r="K267" s="62" t="s">
        <v>899</v>
      </c>
      <c r="L267" s="62">
        <v>0</v>
      </c>
    </row>
    <row r="268" spans="1:21" x14ac:dyDescent="0.3">
      <c r="B268" s="7">
        <f xml:space="preserve"> ROW( co_inputScenarioInfo[[#This Row],[row_id]] ) - ROW( co_inputScenarioInfo[[#Headers],[row_id]] )</f>
        <v>4</v>
      </c>
      <c r="C268" s="14" t="s">
        <v>1043</v>
      </c>
      <c r="D268" s="79" t="s">
        <v>1046</v>
      </c>
      <c r="E268" s="79" t="s">
        <v>1054</v>
      </c>
      <c r="F268" s="79" t="str">
        <f xml:space="preserve"> co_inputScenarioInfo[[#This Row],[inputName]] &amp; "file"</f>
        <v>popfile</v>
      </c>
      <c r="G268" s="79" t="str">
        <f xml:space="preserve"> co_inputScenarioInfo[[#This Row],[inputName]] &amp; "Input"</f>
        <v>popInput</v>
      </c>
      <c r="H268" s="62" t="s">
        <v>1049</v>
      </c>
      <c r="I268" s="62">
        <v>0</v>
      </c>
      <c r="J268" s="62" t="str">
        <f xml:space="preserve"> IF( ISNA( MATCH( co_inputScenarioInfo[[#This Row],[inputType]], co_modelTypes[modelUnitType], 0 ) ), "", INDEX( co_modelTypes[modelMaxExtrap], MATCH( co_inputScenarioInfo[[#This Row],[inputType]], co_modelTypes[modelUnitType], 0 ) ) )</f>
        <v/>
      </c>
      <c r="K268" s="62" t="s">
        <v>251</v>
      </c>
      <c r="L268" s="62">
        <v>1</v>
      </c>
    </row>
    <row r="271" spans="1:21" ht="14.5" x14ac:dyDescent="0.35">
      <c r="A271" s="47"/>
      <c r="B271" s="48" t="s">
        <v>1315</v>
      </c>
      <c r="C271" s="48"/>
      <c r="D271" s="48"/>
      <c r="E271" s="48"/>
      <c r="F271" s="48"/>
      <c r="G271" s="48"/>
      <c r="H271" s="48"/>
      <c r="I271" s="48"/>
      <c r="J271" s="48"/>
      <c r="K271" s="48"/>
      <c r="L271" s="48"/>
      <c r="M271" s="48"/>
      <c r="N271" s="48"/>
      <c r="O271" s="48"/>
      <c r="P271" s="48"/>
      <c r="Q271" s="48"/>
      <c r="R271" s="48"/>
      <c r="S271" s="48"/>
      <c r="T271" s="48"/>
      <c r="U271" s="48"/>
    </row>
    <row r="273" spans="2:6" x14ac:dyDescent="0.3">
      <c r="B273" s="4" t="s">
        <v>780</v>
      </c>
      <c r="C273" s="4" t="s">
        <v>1316</v>
      </c>
      <c r="D273" s="4" t="s">
        <v>1317</v>
      </c>
      <c r="E273" s="4" t="s">
        <v>218</v>
      </c>
      <c r="F273" s="21" t="s">
        <v>1318</v>
      </c>
    </row>
    <row r="274" spans="2:6" x14ac:dyDescent="0.3">
      <c r="B274" s="4">
        <f xml:space="preserve"> ROW( co_states[[#This Row],[row_id]] ) - ROW( co_states[[#Headers],[row_id]] )</f>
        <v>1</v>
      </c>
      <c r="C274" s="138" t="s">
        <v>1319</v>
      </c>
      <c r="D274" s="138" t="s">
        <v>1320</v>
      </c>
      <c r="E274" s="138" t="s">
        <v>10</v>
      </c>
      <c r="F274" s="139">
        <v>1</v>
      </c>
    </row>
    <row r="275" spans="2:6" x14ac:dyDescent="0.3">
      <c r="B275" s="4">
        <f xml:space="preserve"> ROW( co_states[[#This Row],[row_id]] ) - ROW( co_states[[#Headers],[row_id]] )</f>
        <v>2</v>
      </c>
      <c r="C275" s="138" t="s">
        <v>1321</v>
      </c>
      <c r="D275" s="138" t="s">
        <v>1322</v>
      </c>
      <c r="E275" s="138" t="s">
        <v>12</v>
      </c>
      <c r="F275" s="139">
        <v>4</v>
      </c>
    </row>
    <row r="276" spans="2:6" x14ac:dyDescent="0.3">
      <c r="B276" s="4">
        <f xml:space="preserve"> ROW( co_states[[#This Row],[row_id]] ) - ROW( co_states[[#Headers],[row_id]] )</f>
        <v>3</v>
      </c>
      <c r="C276" s="138" t="s">
        <v>1323</v>
      </c>
      <c r="D276" s="138" t="s">
        <v>1324</v>
      </c>
      <c r="E276" s="138" t="s">
        <v>10</v>
      </c>
      <c r="F276" s="139">
        <v>5</v>
      </c>
    </row>
    <row r="277" spans="2:6" x14ac:dyDescent="0.3">
      <c r="B277" s="4">
        <f xml:space="preserve"> ROW( co_states[[#This Row],[row_id]] ) - ROW( co_states[[#Headers],[row_id]] )</f>
        <v>4</v>
      </c>
      <c r="C277" s="138" t="s">
        <v>1325</v>
      </c>
      <c r="D277" s="138" t="s">
        <v>1326</v>
      </c>
      <c r="E277" s="138" t="s">
        <v>12</v>
      </c>
      <c r="F277" s="139">
        <v>6</v>
      </c>
    </row>
    <row r="278" spans="2:6" x14ac:dyDescent="0.3">
      <c r="B278" s="4">
        <f xml:space="preserve"> ROW( co_states[[#This Row],[row_id]] ) - ROW( co_states[[#Headers],[row_id]] )</f>
        <v>5</v>
      </c>
      <c r="C278" s="138" t="s">
        <v>1327</v>
      </c>
      <c r="D278" s="138" t="s">
        <v>1328</v>
      </c>
      <c r="E278" s="138" t="s">
        <v>12</v>
      </c>
      <c r="F278" s="139">
        <v>8</v>
      </c>
    </row>
    <row r="279" spans="2:6" x14ac:dyDescent="0.3">
      <c r="B279" s="4">
        <f xml:space="preserve"> ROW( co_states[[#This Row],[row_id]] ) - ROW( co_states[[#Headers],[row_id]] )</f>
        <v>6</v>
      </c>
      <c r="C279" s="138" t="s">
        <v>1329</v>
      </c>
      <c r="D279" s="138" t="s">
        <v>1330</v>
      </c>
      <c r="E279" s="138" t="s">
        <v>7</v>
      </c>
      <c r="F279" s="139">
        <v>9</v>
      </c>
    </row>
    <row r="280" spans="2:6" x14ac:dyDescent="0.3">
      <c r="B280" s="4">
        <f xml:space="preserve"> ROW( co_states[[#This Row],[row_id]] ) - ROW( co_states[[#Headers],[row_id]] )</f>
        <v>7</v>
      </c>
      <c r="C280" s="138" t="s">
        <v>1331</v>
      </c>
      <c r="D280" s="138" t="s">
        <v>1332</v>
      </c>
      <c r="E280" s="138" t="s">
        <v>7</v>
      </c>
      <c r="F280" s="139">
        <v>10</v>
      </c>
    </row>
    <row r="281" spans="2:6" x14ac:dyDescent="0.3">
      <c r="B281" s="4">
        <f xml:space="preserve"> ROW( co_states[[#This Row],[row_id]] ) - ROW( co_states[[#Headers],[row_id]] )</f>
        <v>8</v>
      </c>
      <c r="C281" s="138" t="s">
        <v>1333</v>
      </c>
      <c r="D281" s="138" t="s">
        <v>1334</v>
      </c>
      <c r="E281" s="138" t="s">
        <v>7</v>
      </c>
      <c r="F281" s="139">
        <v>11</v>
      </c>
    </row>
    <row r="282" spans="2:6" x14ac:dyDescent="0.3">
      <c r="B282" s="4">
        <f xml:space="preserve"> ROW( co_states[[#This Row],[row_id]] ) - ROW( co_states[[#Headers],[row_id]] )</f>
        <v>9</v>
      </c>
      <c r="C282" s="138" t="s">
        <v>1335</v>
      </c>
      <c r="D282" s="138" t="s">
        <v>1336</v>
      </c>
      <c r="E282" s="138" t="s">
        <v>10</v>
      </c>
      <c r="F282" s="139">
        <v>12</v>
      </c>
    </row>
    <row r="283" spans="2:6" x14ac:dyDescent="0.3">
      <c r="B283" s="4">
        <f xml:space="preserve"> ROW( co_states[[#This Row],[row_id]] ) - ROW( co_states[[#Headers],[row_id]] )</f>
        <v>10</v>
      </c>
      <c r="C283" s="138" t="s">
        <v>1337</v>
      </c>
      <c r="D283" s="138" t="s">
        <v>1338</v>
      </c>
      <c r="E283" s="138" t="s">
        <v>10</v>
      </c>
      <c r="F283" s="139">
        <v>13</v>
      </c>
    </row>
    <row r="284" spans="2:6" x14ac:dyDescent="0.3">
      <c r="B284" s="4">
        <f xml:space="preserve"> ROW( co_states[[#This Row],[row_id]] ) - ROW( co_states[[#Headers],[row_id]] )</f>
        <v>11</v>
      </c>
      <c r="C284" s="138" t="s">
        <v>1339</v>
      </c>
      <c r="D284" s="138" t="s">
        <v>210</v>
      </c>
      <c r="E284" s="138" t="s">
        <v>9</v>
      </c>
      <c r="F284" s="139">
        <v>16</v>
      </c>
    </row>
    <row r="285" spans="2:6" x14ac:dyDescent="0.3">
      <c r="B285" s="4">
        <f xml:space="preserve"> ROW( co_states[[#This Row],[row_id]] ) - ROW( co_states[[#Headers],[row_id]] )</f>
        <v>12</v>
      </c>
      <c r="C285" s="138" t="s">
        <v>1340</v>
      </c>
      <c r="D285" s="138" t="s">
        <v>1341</v>
      </c>
      <c r="E285" s="138" t="s">
        <v>6</v>
      </c>
      <c r="F285" s="139">
        <v>17</v>
      </c>
    </row>
    <row r="286" spans="2:6" x14ac:dyDescent="0.3">
      <c r="B286" s="4">
        <f xml:space="preserve"> ROW( co_states[[#This Row],[row_id]] ) - ROW( co_states[[#Headers],[row_id]] )</f>
        <v>13</v>
      </c>
      <c r="C286" s="138" t="s">
        <v>1342</v>
      </c>
      <c r="D286" s="138" t="s">
        <v>1343</v>
      </c>
      <c r="E286" s="138" t="s">
        <v>6</v>
      </c>
      <c r="F286" s="139">
        <v>18</v>
      </c>
    </row>
    <row r="287" spans="2:6" x14ac:dyDescent="0.3">
      <c r="B287" s="4">
        <f xml:space="preserve"> ROW( co_states[[#This Row],[row_id]] ) - ROW( co_states[[#Headers],[row_id]] )</f>
        <v>14</v>
      </c>
      <c r="C287" s="138" t="s">
        <v>1344</v>
      </c>
      <c r="D287" s="138" t="s">
        <v>1345</v>
      </c>
      <c r="E287" s="138" t="s">
        <v>6</v>
      </c>
      <c r="F287" s="139">
        <v>19</v>
      </c>
    </row>
    <row r="288" spans="2:6" x14ac:dyDescent="0.3">
      <c r="B288" s="4">
        <f xml:space="preserve"> ROW( co_states[[#This Row],[row_id]] ) - ROW( co_states[[#Headers],[row_id]] )</f>
        <v>15</v>
      </c>
      <c r="C288" s="138" t="s">
        <v>1346</v>
      </c>
      <c r="D288" s="138" t="s">
        <v>1347</v>
      </c>
      <c r="E288" s="138" t="s">
        <v>11</v>
      </c>
      <c r="F288" s="139">
        <v>20</v>
      </c>
    </row>
    <row r="289" spans="2:6" x14ac:dyDescent="0.3">
      <c r="B289" s="4">
        <f xml:space="preserve"> ROW( co_states[[#This Row],[row_id]] ) - ROW( co_states[[#Headers],[row_id]] )</f>
        <v>16</v>
      </c>
      <c r="C289" s="138" t="s">
        <v>1348</v>
      </c>
      <c r="D289" s="138" t="s">
        <v>1349</v>
      </c>
      <c r="E289" s="138" t="s">
        <v>10</v>
      </c>
      <c r="F289" s="139">
        <v>21</v>
      </c>
    </row>
    <row r="290" spans="2:6" x14ac:dyDescent="0.3">
      <c r="B290" s="4">
        <f xml:space="preserve"> ROW( co_states[[#This Row],[row_id]] ) - ROW( co_states[[#Headers],[row_id]] )</f>
        <v>17</v>
      </c>
      <c r="C290" s="138" t="s">
        <v>1350</v>
      </c>
      <c r="D290" s="138" t="s">
        <v>1351</v>
      </c>
      <c r="E290" s="138" t="s">
        <v>10</v>
      </c>
      <c r="F290" s="139">
        <v>22</v>
      </c>
    </row>
    <row r="291" spans="2:6" x14ac:dyDescent="0.3">
      <c r="B291" s="4">
        <f xml:space="preserve"> ROW( co_states[[#This Row],[row_id]] ) - ROW( co_states[[#Headers],[row_id]] )</f>
        <v>18</v>
      </c>
      <c r="C291" s="138" t="s">
        <v>1352</v>
      </c>
      <c r="D291" s="138" t="s">
        <v>1353</v>
      </c>
      <c r="E291" s="138" t="s">
        <v>7</v>
      </c>
      <c r="F291" s="139">
        <v>23</v>
      </c>
    </row>
    <row r="292" spans="2:6" x14ac:dyDescent="0.3">
      <c r="B292" s="4">
        <f xml:space="preserve"> ROW( co_states[[#This Row],[row_id]] ) - ROW( co_states[[#Headers],[row_id]] )</f>
        <v>19</v>
      </c>
      <c r="C292" s="138" t="s">
        <v>1354</v>
      </c>
      <c r="D292" s="138" t="s">
        <v>1355</v>
      </c>
      <c r="E292" s="138" t="s">
        <v>7</v>
      </c>
      <c r="F292" s="139">
        <v>24</v>
      </c>
    </row>
    <row r="293" spans="2:6" x14ac:dyDescent="0.3">
      <c r="B293" s="4">
        <f xml:space="preserve"> ROW( co_states[[#This Row],[row_id]] ) - ROW( co_states[[#Headers],[row_id]] )</f>
        <v>20</v>
      </c>
      <c r="C293" s="138" t="s">
        <v>1356</v>
      </c>
      <c r="D293" s="138" t="s">
        <v>1357</v>
      </c>
      <c r="E293" s="138" t="s">
        <v>7</v>
      </c>
      <c r="F293" s="139">
        <v>25</v>
      </c>
    </row>
    <row r="294" spans="2:6" x14ac:dyDescent="0.3">
      <c r="B294" s="4">
        <f xml:space="preserve"> ROW( co_states[[#This Row],[row_id]] ) - ROW( co_states[[#Headers],[row_id]] )</f>
        <v>21</v>
      </c>
      <c r="C294" s="138" t="s">
        <v>1358</v>
      </c>
      <c r="D294" s="138" t="s">
        <v>1359</v>
      </c>
      <c r="E294" s="138" t="s">
        <v>6</v>
      </c>
      <c r="F294" s="139">
        <v>26</v>
      </c>
    </row>
    <row r="295" spans="2:6" x14ac:dyDescent="0.3">
      <c r="B295" s="4">
        <f xml:space="preserve"> ROW( co_states[[#This Row],[row_id]] ) - ROW( co_states[[#Headers],[row_id]] )</f>
        <v>22</v>
      </c>
      <c r="C295" s="138" t="s">
        <v>1360</v>
      </c>
      <c r="D295" s="138" t="s">
        <v>1361</v>
      </c>
      <c r="E295" s="138" t="s">
        <v>6</v>
      </c>
      <c r="F295" s="139">
        <v>27</v>
      </c>
    </row>
    <row r="296" spans="2:6" x14ac:dyDescent="0.3">
      <c r="B296" s="4">
        <f xml:space="preserve"> ROW( co_states[[#This Row],[row_id]] ) - ROW( co_states[[#Headers],[row_id]] )</f>
        <v>23</v>
      </c>
      <c r="C296" s="138" t="s">
        <v>1362</v>
      </c>
      <c r="D296" s="138" t="s">
        <v>1363</v>
      </c>
      <c r="E296" s="138" t="s">
        <v>10</v>
      </c>
      <c r="F296" s="139">
        <v>28</v>
      </c>
    </row>
    <row r="297" spans="2:6" x14ac:dyDescent="0.3">
      <c r="B297" s="4">
        <f xml:space="preserve"> ROW( co_states[[#This Row],[row_id]] ) - ROW( co_states[[#Headers],[row_id]] )</f>
        <v>24</v>
      </c>
      <c r="C297" s="138" t="s">
        <v>1364</v>
      </c>
      <c r="D297" s="138" t="s">
        <v>1365</v>
      </c>
      <c r="E297" s="138" t="s">
        <v>6</v>
      </c>
      <c r="F297" s="139">
        <v>29</v>
      </c>
    </row>
    <row r="298" spans="2:6" x14ac:dyDescent="0.3">
      <c r="B298" s="4">
        <f xml:space="preserve"> ROW( co_states[[#This Row],[row_id]] ) - ROW( co_states[[#Headers],[row_id]] )</f>
        <v>25</v>
      </c>
      <c r="C298" s="138" t="s">
        <v>1366</v>
      </c>
      <c r="D298" s="138" t="s">
        <v>1367</v>
      </c>
      <c r="E298" s="138" t="s">
        <v>8</v>
      </c>
      <c r="F298" s="139">
        <v>30</v>
      </c>
    </row>
    <row r="299" spans="2:6" x14ac:dyDescent="0.3">
      <c r="B299" s="4">
        <f xml:space="preserve"> ROW( co_states[[#This Row],[row_id]] ) - ROW( co_states[[#Headers],[row_id]] )</f>
        <v>26</v>
      </c>
      <c r="C299" s="138" t="s">
        <v>1368</v>
      </c>
      <c r="D299" s="138" t="s">
        <v>1369</v>
      </c>
      <c r="E299" s="138" t="s">
        <v>8</v>
      </c>
      <c r="F299" s="139">
        <v>31</v>
      </c>
    </row>
    <row r="300" spans="2:6" x14ac:dyDescent="0.3">
      <c r="B300" s="4">
        <f xml:space="preserve"> ROW( co_states[[#This Row],[row_id]] ) - ROW( co_states[[#Headers],[row_id]] )</f>
        <v>27</v>
      </c>
      <c r="C300" s="138" t="s">
        <v>1370</v>
      </c>
      <c r="D300" s="138" t="s">
        <v>1371</v>
      </c>
      <c r="E300" s="138" t="s">
        <v>12</v>
      </c>
      <c r="F300" s="139">
        <v>32</v>
      </c>
    </row>
    <row r="301" spans="2:6" x14ac:dyDescent="0.3">
      <c r="B301" s="4">
        <f xml:space="preserve"> ROW( co_states[[#This Row],[row_id]] ) - ROW( co_states[[#Headers],[row_id]] )</f>
        <v>28</v>
      </c>
      <c r="C301" s="138" t="s">
        <v>1372</v>
      </c>
      <c r="D301" s="138" t="s">
        <v>1373</v>
      </c>
      <c r="E301" s="138" t="s">
        <v>7</v>
      </c>
      <c r="F301" s="139">
        <v>33</v>
      </c>
    </row>
    <row r="302" spans="2:6" x14ac:dyDescent="0.3">
      <c r="B302" s="4">
        <f xml:space="preserve"> ROW( co_states[[#This Row],[row_id]] ) - ROW( co_states[[#Headers],[row_id]] )</f>
        <v>29</v>
      </c>
      <c r="C302" s="138" t="s">
        <v>1374</v>
      </c>
      <c r="D302" s="138" t="s">
        <v>1375</v>
      </c>
      <c r="E302" s="138" t="s">
        <v>7</v>
      </c>
      <c r="F302" s="139">
        <v>34</v>
      </c>
    </row>
    <row r="303" spans="2:6" x14ac:dyDescent="0.3">
      <c r="B303" s="4">
        <f xml:space="preserve"> ROW( co_states[[#This Row],[row_id]] ) - ROW( co_states[[#Headers],[row_id]] )</f>
        <v>30</v>
      </c>
      <c r="C303" s="138" t="s">
        <v>1376</v>
      </c>
      <c r="D303" s="138" t="s">
        <v>1377</v>
      </c>
      <c r="E303" s="138" t="s">
        <v>12</v>
      </c>
      <c r="F303" s="139">
        <v>35</v>
      </c>
    </row>
    <row r="304" spans="2:6" x14ac:dyDescent="0.3">
      <c r="B304" s="4">
        <f xml:space="preserve"> ROW( co_states[[#This Row],[row_id]] ) - ROW( co_states[[#Headers],[row_id]] )</f>
        <v>31</v>
      </c>
      <c r="C304" s="138" t="s">
        <v>1378</v>
      </c>
      <c r="D304" s="138" t="s">
        <v>1379</v>
      </c>
      <c r="E304" s="138" t="s">
        <v>7</v>
      </c>
      <c r="F304" s="139">
        <v>36</v>
      </c>
    </row>
    <row r="305" spans="2:6" x14ac:dyDescent="0.3">
      <c r="B305" s="4">
        <f xml:space="preserve"> ROW( co_states[[#This Row],[row_id]] ) - ROW( co_states[[#Headers],[row_id]] )</f>
        <v>32</v>
      </c>
      <c r="C305" s="138" t="s">
        <v>1380</v>
      </c>
      <c r="D305" s="138" t="s">
        <v>1381</v>
      </c>
      <c r="E305" s="138" t="s">
        <v>10</v>
      </c>
      <c r="F305" s="139">
        <v>37</v>
      </c>
    </row>
    <row r="306" spans="2:6" x14ac:dyDescent="0.3">
      <c r="B306" s="4">
        <f xml:space="preserve"> ROW( co_states[[#This Row],[row_id]] ) - ROW( co_states[[#Headers],[row_id]] )</f>
        <v>33</v>
      </c>
      <c r="C306" s="138" t="s">
        <v>1382</v>
      </c>
      <c r="D306" s="138" t="s">
        <v>1383</v>
      </c>
      <c r="E306" s="138" t="s">
        <v>8</v>
      </c>
      <c r="F306" s="139">
        <v>38</v>
      </c>
    </row>
    <row r="307" spans="2:6" x14ac:dyDescent="0.3">
      <c r="B307" s="4">
        <f xml:space="preserve"> ROW( co_states[[#This Row],[row_id]] ) - ROW( co_states[[#Headers],[row_id]] )</f>
        <v>34</v>
      </c>
      <c r="C307" s="138" t="s">
        <v>1384</v>
      </c>
      <c r="D307" s="138" t="s">
        <v>1385</v>
      </c>
      <c r="E307" s="138" t="s">
        <v>6</v>
      </c>
      <c r="F307" s="139">
        <v>39</v>
      </c>
    </row>
    <row r="308" spans="2:6" x14ac:dyDescent="0.3">
      <c r="B308" s="4">
        <f xml:space="preserve"> ROW( co_states[[#This Row],[row_id]] ) - ROW( co_states[[#Headers],[row_id]] )</f>
        <v>35</v>
      </c>
      <c r="C308" s="138" t="s">
        <v>1386</v>
      </c>
      <c r="D308" s="138" t="s">
        <v>1387</v>
      </c>
      <c r="E308" s="138" t="s">
        <v>11</v>
      </c>
      <c r="F308" s="139">
        <v>40</v>
      </c>
    </row>
    <row r="309" spans="2:6" x14ac:dyDescent="0.3">
      <c r="B309" s="4">
        <f xml:space="preserve"> ROW( co_states[[#This Row],[row_id]] ) - ROW( co_states[[#Headers],[row_id]] )</f>
        <v>36</v>
      </c>
      <c r="C309" s="138" t="s">
        <v>1388</v>
      </c>
      <c r="D309" s="138" t="s">
        <v>1389</v>
      </c>
      <c r="E309" s="138" t="s">
        <v>9</v>
      </c>
      <c r="F309" s="139">
        <v>41</v>
      </c>
    </row>
    <row r="310" spans="2:6" x14ac:dyDescent="0.3">
      <c r="B310" s="4">
        <f xml:space="preserve"> ROW( co_states[[#This Row],[row_id]] ) - ROW( co_states[[#Headers],[row_id]] )</f>
        <v>37</v>
      </c>
      <c r="C310" s="138" t="s">
        <v>1390</v>
      </c>
      <c r="D310" s="138" t="s">
        <v>1391</v>
      </c>
      <c r="E310" s="138" t="s">
        <v>7</v>
      </c>
      <c r="F310" s="139">
        <v>42</v>
      </c>
    </row>
    <row r="311" spans="2:6" x14ac:dyDescent="0.3">
      <c r="B311" s="4">
        <f xml:space="preserve"> ROW( co_states[[#This Row],[row_id]] ) - ROW( co_states[[#Headers],[row_id]] )</f>
        <v>38</v>
      </c>
      <c r="C311" s="138" t="s">
        <v>1392</v>
      </c>
      <c r="D311" s="138" t="s">
        <v>1393</v>
      </c>
      <c r="E311" s="138" t="s">
        <v>7</v>
      </c>
      <c r="F311" s="139">
        <v>44</v>
      </c>
    </row>
    <row r="312" spans="2:6" x14ac:dyDescent="0.3">
      <c r="B312" s="4">
        <f xml:space="preserve"> ROW( co_states[[#This Row],[row_id]] ) - ROW( co_states[[#Headers],[row_id]] )</f>
        <v>39</v>
      </c>
      <c r="C312" s="138" t="s">
        <v>1394</v>
      </c>
      <c r="D312" s="138" t="s">
        <v>1395</v>
      </c>
      <c r="E312" s="138" t="s">
        <v>10</v>
      </c>
      <c r="F312" s="139">
        <v>45</v>
      </c>
    </row>
    <row r="313" spans="2:6" x14ac:dyDescent="0.3">
      <c r="B313" s="4">
        <f xml:space="preserve"> ROW( co_states[[#This Row],[row_id]] ) - ROW( co_states[[#Headers],[row_id]] )</f>
        <v>40</v>
      </c>
      <c r="C313" s="138" t="s">
        <v>1396</v>
      </c>
      <c r="D313" s="138" t="s">
        <v>1397</v>
      </c>
      <c r="E313" s="138" t="s">
        <v>8</v>
      </c>
      <c r="F313" s="139">
        <v>46</v>
      </c>
    </row>
    <row r="314" spans="2:6" x14ac:dyDescent="0.3">
      <c r="B314" s="4">
        <f xml:space="preserve"> ROW( co_states[[#This Row],[row_id]] ) - ROW( co_states[[#Headers],[row_id]] )</f>
        <v>41</v>
      </c>
      <c r="C314" s="138" t="s">
        <v>1398</v>
      </c>
      <c r="D314" s="138" t="s">
        <v>1399</v>
      </c>
      <c r="E314" s="138" t="s">
        <v>10</v>
      </c>
      <c r="F314" s="139">
        <v>47</v>
      </c>
    </row>
    <row r="315" spans="2:6" x14ac:dyDescent="0.3">
      <c r="B315" s="4">
        <f xml:space="preserve"> ROW( co_states[[#This Row],[row_id]] ) - ROW( co_states[[#Headers],[row_id]] )</f>
        <v>42</v>
      </c>
      <c r="C315" s="138" t="s">
        <v>1400</v>
      </c>
      <c r="D315" s="138" t="s">
        <v>1401</v>
      </c>
      <c r="E315" s="138" t="s">
        <v>11</v>
      </c>
      <c r="F315" s="139">
        <v>48</v>
      </c>
    </row>
    <row r="316" spans="2:6" x14ac:dyDescent="0.3">
      <c r="B316" s="4">
        <f xml:space="preserve"> ROW( co_states[[#This Row],[row_id]] ) - ROW( co_states[[#Headers],[row_id]] )</f>
        <v>43</v>
      </c>
      <c r="C316" s="138" t="s">
        <v>1402</v>
      </c>
      <c r="D316" s="138" t="s">
        <v>1403</v>
      </c>
      <c r="E316" s="138" t="s">
        <v>12</v>
      </c>
      <c r="F316" s="139">
        <v>49</v>
      </c>
    </row>
    <row r="317" spans="2:6" x14ac:dyDescent="0.3">
      <c r="B317" s="4">
        <f xml:space="preserve"> ROW( co_states[[#This Row],[row_id]] ) - ROW( co_states[[#Headers],[row_id]] )</f>
        <v>44</v>
      </c>
      <c r="C317" s="138" t="s">
        <v>1404</v>
      </c>
      <c r="D317" s="138" t="s">
        <v>1405</v>
      </c>
      <c r="E317" s="138" t="s">
        <v>7</v>
      </c>
      <c r="F317" s="139">
        <v>50</v>
      </c>
    </row>
    <row r="318" spans="2:6" x14ac:dyDescent="0.3">
      <c r="B318" s="4">
        <f xml:space="preserve"> ROW( co_states[[#This Row],[row_id]] ) - ROW( co_states[[#Headers],[row_id]] )</f>
        <v>45</v>
      </c>
      <c r="C318" s="138" t="s">
        <v>1406</v>
      </c>
      <c r="D318" s="138" t="s">
        <v>1407</v>
      </c>
      <c r="E318" s="138" t="s">
        <v>10</v>
      </c>
      <c r="F318" s="139">
        <v>51</v>
      </c>
    </row>
    <row r="319" spans="2:6" x14ac:dyDescent="0.3">
      <c r="B319" s="4">
        <f xml:space="preserve"> ROW( co_states[[#This Row],[row_id]] ) - ROW( co_states[[#Headers],[row_id]] )</f>
        <v>46</v>
      </c>
      <c r="C319" s="138" t="s">
        <v>1408</v>
      </c>
      <c r="D319" s="138" t="s">
        <v>1409</v>
      </c>
      <c r="E319" s="138" t="s">
        <v>9</v>
      </c>
      <c r="F319" s="139">
        <v>53</v>
      </c>
    </row>
    <row r="320" spans="2:6" x14ac:dyDescent="0.3">
      <c r="B320" s="4">
        <f xml:space="preserve"> ROW( co_states[[#This Row],[row_id]] ) - ROW( co_states[[#Headers],[row_id]] )</f>
        <v>47</v>
      </c>
      <c r="C320" s="138" t="s">
        <v>1410</v>
      </c>
      <c r="D320" s="138" t="s">
        <v>1411</v>
      </c>
      <c r="E320" s="138" t="s">
        <v>7</v>
      </c>
      <c r="F320" s="139">
        <v>54</v>
      </c>
    </row>
    <row r="321" spans="1:21" x14ac:dyDescent="0.3">
      <c r="B321" s="4">
        <f xml:space="preserve"> ROW( co_states[[#This Row],[row_id]] ) - ROW( co_states[[#Headers],[row_id]] )</f>
        <v>48</v>
      </c>
      <c r="C321" s="138" t="s">
        <v>1412</v>
      </c>
      <c r="D321" s="138" t="s">
        <v>1413</v>
      </c>
      <c r="E321" s="138" t="s">
        <v>6</v>
      </c>
      <c r="F321" s="139">
        <v>55</v>
      </c>
    </row>
    <row r="322" spans="1:21" x14ac:dyDescent="0.3">
      <c r="B322" s="4">
        <f xml:space="preserve"> ROW( co_states[[#This Row],[row_id]] ) - ROW( co_states[[#Headers],[row_id]] )</f>
        <v>49</v>
      </c>
      <c r="C322" s="138" t="s">
        <v>1414</v>
      </c>
      <c r="D322" s="138" t="s">
        <v>1415</v>
      </c>
      <c r="E322" s="138" t="s">
        <v>8</v>
      </c>
      <c r="F322" s="139">
        <v>56</v>
      </c>
    </row>
    <row r="325" spans="1:21" ht="14.5" x14ac:dyDescent="0.35">
      <c r="A325" s="47"/>
      <c r="B325" s="48" t="s">
        <v>1421</v>
      </c>
      <c r="C325" s="48"/>
      <c r="D325" s="48"/>
      <c r="E325" s="48"/>
      <c r="F325" s="48"/>
      <c r="G325" s="48"/>
      <c r="H325" s="48"/>
      <c r="I325" s="48"/>
      <c r="J325" s="48"/>
      <c r="K325" s="48"/>
      <c r="L325" s="48"/>
      <c r="M325" s="48"/>
      <c r="N325" s="48"/>
      <c r="O325" s="48"/>
      <c r="P325" s="48"/>
      <c r="Q325" s="48"/>
      <c r="R325" s="48"/>
      <c r="S325" s="48"/>
      <c r="T325" s="48"/>
      <c r="U325" s="48"/>
    </row>
    <row r="326" spans="1:21" x14ac:dyDescent="0.3">
      <c r="B326" s="4" t="s">
        <v>1422</v>
      </c>
    </row>
    <row r="328" spans="1:21" x14ac:dyDescent="0.3">
      <c r="B328" s="78" t="s">
        <v>780</v>
      </c>
      <c r="C328" s="60" t="s">
        <v>915</v>
      </c>
      <c r="D328" s="60" t="s">
        <v>1419</v>
      </c>
      <c r="E328" s="60" t="s">
        <v>792</v>
      </c>
      <c r="F328" s="60" t="s">
        <v>912</v>
      </c>
      <c r="G328" s="60" t="s">
        <v>764</v>
      </c>
      <c r="H328" s="60" t="s">
        <v>765</v>
      </c>
      <c r="I328" s="60" t="s">
        <v>1423</v>
      </c>
      <c r="J328" s="60" t="s">
        <v>1424</v>
      </c>
    </row>
    <row r="329" spans="1:21" x14ac:dyDescent="0.3">
      <c r="B329" s="7">
        <f xml:space="preserve"> ROW( co_slrScalars[[#This Row],[row_id]] ) - ROW( co_slrScalars[[#Headers],[row_id]] )</f>
        <v>1</v>
      </c>
      <c r="C329" s="79" t="s">
        <v>86</v>
      </c>
      <c r="D329" s="58" cm="1">
        <f t="array" ref="D329" xml:space="preserve"> INDEX( co_sectors[byState], MATCH( 1, --( co_slrScalars[[#This Row],[sector]] = co_sectors[sector_id] ), 0 ) )</f>
        <v>0</v>
      </c>
      <c r="E329" s="79" t="s">
        <v>251</v>
      </c>
      <c r="F329" s="79" t="s">
        <v>257</v>
      </c>
      <c r="G329" s="79">
        <v>1</v>
      </c>
      <c r="H329" s="79">
        <v>0.45</v>
      </c>
      <c r="I329" s="79">
        <v>0</v>
      </c>
      <c r="J329" s="79">
        <v>2090</v>
      </c>
    </row>
    <row r="330" spans="1:21" x14ac:dyDescent="0.3">
      <c r="B330" s="7">
        <f xml:space="preserve"> ROW( co_slrScalars[[#This Row],[row_id]] ) - ROW( co_slrScalars[[#Headers],[row_id]] )</f>
        <v>2</v>
      </c>
      <c r="C330" s="79" t="s">
        <v>221</v>
      </c>
      <c r="D330" s="58" cm="1">
        <f t="array" ref="D330" xml:space="preserve"> INDEX( co_sectors[byState], MATCH( 1, --( co_slrScalars[[#This Row],[sector]] = co_sectors[sector_id] ), 0 ) )</f>
        <v>1</v>
      </c>
      <c r="E330" s="79" t="s">
        <v>251</v>
      </c>
      <c r="F330" s="79" t="s">
        <v>899</v>
      </c>
      <c r="G330" s="79">
        <v>0.16250000000000001</v>
      </c>
      <c r="H330" s="79">
        <v>1</v>
      </c>
      <c r="I330" s="79">
        <v>0.83750000000000002</v>
      </c>
      <c r="J330" s="79">
        <v>2090</v>
      </c>
    </row>
  </sheetData>
  <phoneticPr fontId="10" type="noConversion"/>
  <conditionalFormatting sqref="B21:F34">
    <cfRule type="expression" dxfId="3" priority="2">
      <formula xml:space="preserve"> IF( $E21 = 1, 1, 0)</formula>
    </cfRule>
  </conditionalFormatting>
  <conditionalFormatting sqref="C35:F35">
    <cfRule type="expression" dxfId="2" priority="1">
      <formula xml:space="preserve"> IF( $E35 = 1, 1, 0)</formula>
    </cfRule>
  </conditionalFormatting>
  <conditionalFormatting sqref="G21:G45 B35 B36:F45">
    <cfRule type="expression" dxfId="1" priority="7">
      <formula xml:space="preserve"> IF( $E21 = 1, 1, 0)</formula>
    </cfRule>
  </conditionalFormatting>
  <conditionalFormatting sqref="J132:K132">
    <cfRule type="expression" dxfId="0" priority="5">
      <formula xml:space="preserve"> IF( $F132 = 1, 1, 0)</formula>
    </cfRule>
  </conditionalFormatting>
  <hyperlinks>
    <hyperlink ref="C8" location="loc_coConstants" display="loc_coConstants" xr:uid="{CFEFD72E-F9ED-4608-B7DD-AFDCEAF6F41D}"/>
    <hyperlink ref="C10" location="loc_coModels" display="loc_coModels" xr:uid="{1AB1FA05-ED11-4F07-8B38-FA24CC6D4F4F}"/>
    <hyperlink ref="C9" location="loc_coModelTypes" display="loc_coModelTypes" xr:uid="{DCB9BCCC-30A5-4252-A90A-CD0112FF06A8}"/>
    <hyperlink ref="C6" location="loc_coScalars" display="loc_coScalars" xr:uid="{9B32F273-E2BC-47BF-A60E-7A67D15D4D38}"/>
    <hyperlink ref="C7" location="loc_econMultipliers" display="loc_econMultipliers" xr:uid="{718FB73A-562F-40A4-9DCC-F7B32D89CA2B}"/>
    <hyperlink ref="C2" location="loc_coSectors" display="loc_coSectors" xr:uid="{0561FE55-51F9-468F-AA02-79E8761039B2}"/>
    <hyperlink ref="C11" location="loc_coRegions" display="loc_coRegions" xr:uid="{A2DFA603-87D5-4136-9543-B92064985F7D}"/>
    <hyperlink ref="C3" location="loc_coImpactYears" display="loc_coImpactYears" xr:uid="{64F94EF8-131F-4A43-BC1A-C2AA36072515}"/>
    <hyperlink ref="C5" location="loc_coImpactTypes" display="loc_coImpactTypes" xr:uid="{114E9DA3-56F7-4D1E-B736-84EC6F366C11}"/>
    <hyperlink ref="C4" location="loc_coAdaptations" display="loc_coAdaptations" xr:uid="{7F53C6E9-E95F-4F38-8BCD-343D7DB6286E}"/>
    <hyperlink ref="C12" location="loc_coInputScenarioInfo" display="loc_coInputScenarioInfo" xr:uid="{DA18E986-20B5-4E54-BA62-B58518D13EF3}"/>
    <hyperlink ref="C13" location="loc_coStates" display="loc_coStates" xr:uid="{8BF3847D-2A5D-4A55-BC5A-0B347ED52535}"/>
  </hyperlinks>
  <pageMargins left="0.7" right="0.7" top="0.75" bottom="0.75" header="0.3" footer="0.3"/>
  <pageSetup orientation="portrait" horizontalDpi="1200" verticalDpi="1200" r:id="rId1"/>
  <legacyDrawing r:id="rId2"/>
  <tableParts count="13">
    <tablePart r:id="rId3"/>
    <tablePart r:id="rId4"/>
    <tablePart r:id="rId5"/>
    <tablePart r:id="rId6"/>
    <tablePart r:id="rId7"/>
    <tablePart r:id="rId8"/>
    <tablePart r:id="rId9"/>
    <tablePart r:id="rId10"/>
    <tablePart r:id="rId11"/>
    <tablePart r:id="rId12"/>
    <tablePart r:id="rId13"/>
    <tablePart r:id="rId14"/>
    <tablePart r:id="rId15"/>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44E08E-29B6-44BF-89CE-E1E55C91C9BE}">
  <sheetPr codeName="Sheet2">
    <tabColor theme="9" tint="-0.499984740745262"/>
  </sheetPr>
  <dimension ref="B2:K113"/>
  <sheetViews>
    <sheetView workbookViewId="0">
      <selection activeCell="G29" sqref="G29"/>
    </sheetView>
  </sheetViews>
  <sheetFormatPr defaultRowHeight="14.5" x14ac:dyDescent="0.35"/>
  <cols>
    <col min="2" max="2" width="9.26953125" customWidth="1"/>
    <col min="4" max="4" width="21.453125" customWidth="1"/>
    <col min="5" max="12" width="15.54296875" customWidth="1"/>
    <col min="13" max="13" width="11.81640625" bestFit="1" customWidth="1"/>
  </cols>
  <sheetData>
    <row r="2" spans="2:11" x14ac:dyDescent="0.35">
      <c r="B2" t="s">
        <v>1095</v>
      </c>
    </row>
    <row r="3" spans="2:11" x14ac:dyDescent="0.35">
      <c r="B3" s="10" t="s">
        <v>780</v>
      </c>
      <c r="C3" s="10" t="s">
        <v>232</v>
      </c>
      <c r="D3" s="10" t="s">
        <v>899</v>
      </c>
      <c r="E3" s="10" t="s">
        <v>823</v>
      </c>
      <c r="F3" s="10" t="s">
        <v>824</v>
      </c>
      <c r="G3" s="10" t="s">
        <v>937</v>
      </c>
      <c r="H3" s="10" t="s">
        <v>825</v>
      </c>
      <c r="I3" s="10" t="s">
        <v>826</v>
      </c>
      <c r="J3" s="10" t="s">
        <v>938</v>
      </c>
      <c r="K3" s="10" t="s">
        <v>827</v>
      </c>
    </row>
    <row r="4" spans="2:11" x14ac:dyDescent="0.35">
      <c r="B4" s="13">
        <f xml:space="preserve"> ROW( co_defaultScenario[[#This Row],[row_id]] ) - ROW( co_defaultScenario[[#Headers],[row_id]] )</f>
        <v>1</v>
      </c>
      <c r="C4" s="17">
        <v>2010</v>
      </c>
      <c r="D4" s="19">
        <v>16693671681957.221</v>
      </c>
      <c r="E4" s="19">
        <v>60760771</v>
      </c>
      <c r="F4" s="19">
        <v>64443443</v>
      </c>
      <c r="G4" s="19">
        <v>4866153</v>
      </c>
      <c r="H4" s="19">
        <v>12123196</v>
      </c>
      <c r="I4" s="19">
        <v>76532629</v>
      </c>
      <c r="J4" s="19">
        <v>31750030</v>
      </c>
      <c r="K4" s="19">
        <v>56198784</v>
      </c>
    </row>
    <row r="5" spans="2:11" x14ac:dyDescent="0.35">
      <c r="B5" s="13">
        <f xml:space="preserve"> ROW( co_defaultScenario[[#This Row],[row_id]] ) - ROW( co_defaultScenario[[#Headers],[row_id]] )</f>
        <v>2</v>
      </c>
      <c r="C5" s="17">
        <v>2015</v>
      </c>
      <c r="D5" s="19">
        <v>18459285695743.109</v>
      </c>
      <c r="E5" s="19">
        <v>62531699.877800114</v>
      </c>
      <c r="F5" s="19">
        <v>66262356.033553928</v>
      </c>
      <c r="G5" s="19">
        <v>5143618.4201269187</v>
      </c>
      <c r="H5" s="19">
        <v>12500441.201636894</v>
      </c>
      <c r="I5" s="19">
        <v>79584504.408898801</v>
      </c>
      <c r="J5" s="19">
        <v>33914631.463793814</v>
      </c>
      <c r="K5" s="19">
        <v>59678476.658499017</v>
      </c>
    </row>
    <row r="6" spans="2:11" x14ac:dyDescent="0.35">
      <c r="B6" s="13">
        <f xml:space="preserve"> ROW( co_defaultScenario[[#This Row],[row_id]] ) - ROW( co_defaultScenario[[#Headers],[row_id]] )</f>
        <v>3</v>
      </c>
      <c r="C6" s="17">
        <v>2020</v>
      </c>
      <c r="D6" s="19">
        <v>20956428357133.078</v>
      </c>
      <c r="E6" s="19">
        <v>64097103.321957797</v>
      </c>
      <c r="F6" s="19">
        <v>67903698.908644527</v>
      </c>
      <c r="G6" s="19">
        <v>5394605.0642687324</v>
      </c>
      <c r="H6" s="19">
        <v>12816322.978566498</v>
      </c>
      <c r="I6" s="19">
        <v>82228514.22856538</v>
      </c>
      <c r="J6" s="19">
        <v>35921125.790359199</v>
      </c>
      <c r="K6" s="19">
        <v>62947312.192109913</v>
      </c>
    </row>
    <row r="7" spans="2:11" x14ac:dyDescent="0.35">
      <c r="B7" s="13">
        <f xml:space="preserve"> ROW( co_defaultScenario[[#This Row],[row_id]] ) - ROW( co_defaultScenario[[#Headers],[row_id]] )</f>
        <v>4</v>
      </c>
      <c r="C7" s="17">
        <v>2025</v>
      </c>
      <c r="D7" s="19">
        <v>23502589873850.449</v>
      </c>
      <c r="E7" s="19">
        <v>65655845.983700261</v>
      </c>
      <c r="F7" s="19">
        <v>69515266.659894928</v>
      </c>
      <c r="G7" s="19">
        <v>5640953.4521918977</v>
      </c>
      <c r="H7" s="19">
        <v>13124230.245867163</v>
      </c>
      <c r="I7" s="19">
        <v>84797998.533083543</v>
      </c>
      <c r="J7" s="19">
        <v>37898559.504633576</v>
      </c>
      <c r="K7" s="19">
        <v>66137464.282212548</v>
      </c>
    </row>
    <row r="8" spans="2:11" x14ac:dyDescent="0.35">
      <c r="B8" s="13">
        <f xml:space="preserve"> ROW( co_defaultScenario[[#This Row],[row_id]] ) - ROW( co_defaultScenario[[#Headers],[row_id]] )</f>
        <v>5</v>
      </c>
      <c r="C8" s="17">
        <v>2030</v>
      </c>
      <c r="D8" s="19">
        <v>26191153348360.84</v>
      </c>
      <c r="E8" s="19">
        <v>66987744.710937425</v>
      </c>
      <c r="F8" s="19">
        <v>70975809.202397451</v>
      </c>
      <c r="G8" s="19">
        <v>5863187.5552489413</v>
      </c>
      <c r="H8" s="19">
        <v>13399008.289371639</v>
      </c>
      <c r="I8" s="19">
        <v>87135476.837118894</v>
      </c>
      <c r="J8" s="19">
        <v>39793578.743841544</v>
      </c>
      <c r="K8" s="19">
        <v>69224307.506121099</v>
      </c>
    </row>
    <row r="9" spans="2:11" x14ac:dyDescent="0.35">
      <c r="B9" s="13">
        <f xml:space="preserve"> ROW( co_defaultScenario[[#This Row],[row_id]] ) - ROW( co_defaultScenario[[#Headers],[row_id]] )</f>
        <v>6</v>
      </c>
      <c r="C9" s="17">
        <v>2035</v>
      </c>
      <c r="D9" s="19">
        <v>28914759604411.27</v>
      </c>
      <c r="E9" s="19">
        <v>67985078.705480009</v>
      </c>
      <c r="F9" s="19">
        <v>72264292.958771333</v>
      </c>
      <c r="G9" s="19">
        <v>6050736.5589408251</v>
      </c>
      <c r="H9" s="19">
        <v>13622298.043896599</v>
      </c>
      <c r="I9" s="19">
        <v>89177634.039794385</v>
      </c>
      <c r="J9" s="19">
        <v>41541842.120709233</v>
      </c>
      <c r="K9" s="19">
        <v>72174762.437303066</v>
      </c>
    </row>
    <row r="10" spans="2:11" x14ac:dyDescent="0.35">
      <c r="B10" s="13">
        <f xml:space="preserve"> ROW( co_defaultScenario[[#This Row],[row_id]] ) - ROW( co_defaultScenario[[#Headers],[row_id]] )</f>
        <v>7</v>
      </c>
      <c r="C10" s="17">
        <v>2040</v>
      </c>
      <c r="D10" s="19">
        <v>32112407174002.402</v>
      </c>
      <c r="E10" s="19">
        <v>68741241.363280728</v>
      </c>
      <c r="F10" s="19">
        <v>73411923.042191371</v>
      </c>
      <c r="G10" s="19">
        <v>6214809.4297403833</v>
      </c>
      <c r="H10" s="19">
        <v>13805065.468756676</v>
      </c>
      <c r="I10" s="19">
        <v>90996053.97751753</v>
      </c>
      <c r="J10" s="19">
        <v>43133590.589308172</v>
      </c>
      <c r="K10" s="19">
        <v>74957384.786503151</v>
      </c>
    </row>
    <row r="11" spans="2:11" x14ac:dyDescent="0.35">
      <c r="B11" s="13">
        <f xml:space="preserve"> ROW( co_defaultScenario[[#This Row],[row_id]] ) - ROW( co_defaultScenario[[#Headers],[row_id]] )</f>
        <v>8</v>
      </c>
      <c r="C11" s="17">
        <v>2045</v>
      </c>
      <c r="D11" s="19">
        <v>35194683105092.797</v>
      </c>
      <c r="E11" s="19">
        <v>69343597.786754861</v>
      </c>
      <c r="F11" s="19">
        <v>74455787.549113512</v>
      </c>
      <c r="G11" s="19">
        <v>6361549.6386572523</v>
      </c>
      <c r="H11" s="19">
        <v>13960223.761553086</v>
      </c>
      <c r="I11" s="19">
        <v>92638619.135670841</v>
      </c>
      <c r="J11" s="19">
        <v>44583572.494625993</v>
      </c>
      <c r="K11" s="19">
        <v>77572678.682750687</v>
      </c>
    </row>
    <row r="12" spans="2:11" x14ac:dyDescent="0.35">
      <c r="B12" s="13">
        <f xml:space="preserve"> ROW( co_defaultScenario[[#This Row],[row_id]] ) - ROW( co_defaultScenario[[#Headers],[row_id]] )</f>
        <v>9</v>
      </c>
      <c r="C12" s="17">
        <v>2050</v>
      </c>
      <c r="D12" s="19">
        <v>38477618934387.133</v>
      </c>
      <c r="E12" s="19">
        <v>69918188.309666887</v>
      </c>
      <c r="F12" s="19">
        <v>75470920.95247896</v>
      </c>
      <c r="G12" s="19">
        <v>6502332.4058603952</v>
      </c>
      <c r="H12" s="19">
        <v>14107875.468530668</v>
      </c>
      <c r="I12" s="19">
        <v>94235016.87919645</v>
      </c>
      <c r="J12" s="19">
        <v>45957243.98237206</v>
      </c>
      <c r="K12" s="19">
        <v>80065338.672771677</v>
      </c>
    </row>
    <row r="13" spans="2:11" x14ac:dyDescent="0.35">
      <c r="B13" s="13">
        <f xml:space="preserve"> ROW( co_defaultScenario[[#This Row],[row_id]] ) - ROW( co_defaultScenario[[#Headers],[row_id]] )</f>
        <v>10</v>
      </c>
      <c r="C13" s="17">
        <v>2055</v>
      </c>
      <c r="D13" s="19">
        <v>41964197003199.188</v>
      </c>
      <c r="E13" s="19">
        <v>70505867.997089669</v>
      </c>
      <c r="F13" s="19">
        <v>76489049.409028634</v>
      </c>
      <c r="G13" s="19">
        <v>6641433.2096609995</v>
      </c>
      <c r="H13" s="19">
        <v>14254356.382306727</v>
      </c>
      <c r="I13" s="19">
        <v>95838507.096709847</v>
      </c>
      <c r="J13" s="19">
        <v>47283831.11763224</v>
      </c>
      <c r="K13" s="19">
        <v>82455432.236996979</v>
      </c>
    </row>
    <row r="14" spans="2:11" x14ac:dyDescent="0.35">
      <c r="B14" s="13">
        <f xml:space="preserve"> ROW( co_defaultScenario[[#This Row],[row_id]] ) - ROW( co_defaultScenario[[#Headers],[row_id]] )</f>
        <v>11</v>
      </c>
      <c r="C14" s="17">
        <v>2060</v>
      </c>
      <c r="D14" s="19">
        <v>45654537276603.742</v>
      </c>
      <c r="E14" s="19">
        <v>71141394.94330743</v>
      </c>
      <c r="F14" s="19">
        <v>77560889.461789474</v>
      </c>
      <c r="G14" s="19">
        <v>6782559.271853216</v>
      </c>
      <c r="H14" s="19">
        <v>14408702.054902142</v>
      </c>
      <c r="I14" s="19">
        <v>97500055.36236091</v>
      </c>
      <c r="J14" s="19">
        <v>48594359.18345134</v>
      </c>
      <c r="K14" s="19">
        <v>84809713.726349458</v>
      </c>
    </row>
    <row r="15" spans="2:11" x14ac:dyDescent="0.35">
      <c r="B15" s="13">
        <f xml:space="preserve"> ROW( co_defaultScenario[[#This Row],[row_id]] ) - ROW( co_defaultScenario[[#Headers],[row_id]] )</f>
        <v>12</v>
      </c>
      <c r="C15" s="17">
        <v>2065</v>
      </c>
      <c r="D15" s="19">
        <v>49547386879164.445</v>
      </c>
      <c r="E15" s="19">
        <v>71800213.832043245</v>
      </c>
      <c r="F15" s="19">
        <v>78677245.169523403</v>
      </c>
      <c r="G15" s="19">
        <v>6922706.9559817174</v>
      </c>
      <c r="H15" s="19">
        <v>14564855.56134426</v>
      </c>
      <c r="I15" s="19">
        <v>99183481.167843923</v>
      </c>
      <c r="J15" s="19">
        <v>49871974.56846875</v>
      </c>
      <c r="K15" s="19">
        <v>87118968.401976392</v>
      </c>
    </row>
    <row r="16" spans="2:11" x14ac:dyDescent="0.35">
      <c r="B16" s="13">
        <f xml:space="preserve"> ROW( co_defaultScenario[[#This Row],[row_id]] ) - ROW( co_defaultScenario[[#Headers],[row_id]] )</f>
        <v>13</v>
      </c>
      <c r="C16" s="17">
        <v>2070</v>
      </c>
      <c r="D16" s="19">
        <v>53640268231428.328</v>
      </c>
      <c r="E16" s="19">
        <v>72429614.970986187</v>
      </c>
      <c r="F16" s="19">
        <v>79781782.55941467</v>
      </c>
      <c r="G16" s="19">
        <v>7056765.0090720216</v>
      </c>
      <c r="H16" s="19">
        <v>14711575.294951316</v>
      </c>
      <c r="I16" s="19">
        <v>100825370.05686261</v>
      </c>
      <c r="J16" s="19">
        <v>51081555.129012354</v>
      </c>
      <c r="K16" s="19">
        <v>89324348.597603098</v>
      </c>
    </row>
    <row r="17" spans="2:11" x14ac:dyDescent="0.35">
      <c r="B17" s="13">
        <f xml:space="preserve"> ROW( co_defaultScenario[[#This Row],[row_id]] ) - ROW( co_defaultScenario[[#Headers],[row_id]] )</f>
        <v>14</v>
      </c>
      <c r="C17" s="17">
        <v>2075</v>
      </c>
      <c r="D17" s="19">
        <v>57928656611945.375</v>
      </c>
      <c r="E17" s="19">
        <v>72988263.848727673</v>
      </c>
      <c r="F17" s="19">
        <v>80822953.063866764</v>
      </c>
      <c r="G17" s="19">
        <v>7180348.9832446668</v>
      </c>
      <c r="H17" s="19">
        <v>14842860.652461566</v>
      </c>
      <c r="I17" s="19">
        <v>102363713.94498867</v>
      </c>
      <c r="J17" s="19">
        <v>52200683.878164299</v>
      </c>
      <c r="K17" s="19">
        <v>91385735.598526284</v>
      </c>
    </row>
    <row r="18" spans="2:11" x14ac:dyDescent="0.35">
      <c r="B18" s="13">
        <f xml:space="preserve"> ROW( co_defaultScenario[[#This Row],[row_id]] ) - ROW( co_defaultScenario[[#Headers],[row_id]] )</f>
        <v>15</v>
      </c>
      <c r="C18" s="17">
        <v>2080</v>
      </c>
      <c r="D18" s="19">
        <v>62405475815739.219</v>
      </c>
      <c r="E18" s="19">
        <v>73455251.054679304</v>
      </c>
      <c r="F18" s="19">
        <v>81750462.279097751</v>
      </c>
      <c r="G18" s="19">
        <v>7292102.7904588776</v>
      </c>
      <c r="H18" s="19">
        <v>14955387.516679998</v>
      </c>
      <c r="I18" s="19">
        <v>103773739.37946026</v>
      </c>
      <c r="J18" s="19">
        <v>53230862.615047604</v>
      </c>
      <c r="K18" s="19">
        <v>93282106.470009953</v>
      </c>
    </row>
    <row r="19" spans="2:11" x14ac:dyDescent="0.35">
      <c r="B19" s="13">
        <f xml:space="preserve"> ROW( co_defaultScenario[[#This Row],[row_id]] ) - ROW( co_defaultScenario[[#Headers],[row_id]] )</f>
        <v>16</v>
      </c>
      <c r="C19" s="17">
        <v>2085</v>
      </c>
      <c r="D19" s="19">
        <v>67052775580199.773</v>
      </c>
      <c r="E19" s="19">
        <v>73846353.319158226</v>
      </c>
      <c r="F19" s="19">
        <v>82580397.417306334</v>
      </c>
      <c r="G19" s="19">
        <v>7394173.2367479475</v>
      </c>
      <c r="H19" s="19">
        <v>15053044.365582811</v>
      </c>
      <c r="I19" s="19">
        <v>105068620.17332725</v>
      </c>
      <c r="J19" s="19">
        <v>54183348.105887167</v>
      </c>
      <c r="K19" s="19">
        <v>95027873.279571101</v>
      </c>
    </row>
    <row r="20" spans="2:11" x14ac:dyDescent="0.35">
      <c r="B20" s="13">
        <f xml:space="preserve"> ROW( co_defaultScenario[[#This Row],[row_id]] ) - ROW( co_defaultScenario[[#Headers],[row_id]] )</f>
        <v>17</v>
      </c>
      <c r="C20" s="17">
        <v>2090</v>
      </c>
      <c r="D20" s="19">
        <v>71877254264110.75</v>
      </c>
      <c r="E20" s="19">
        <v>74601087.600883529</v>
      </c>
      <c r="F20" s="19">
        <v>83501161.257747829</v>
      </c>
      <c r="G20" s="19">
        <v>7482239.2448872961</v>
      </c>
      <c r="H20" s="19">
        <v>15210659.385740237</v>
      </c>
      <c r="I20" s="19">
        <v>106289840.22211593</v>
      </c>
      <c r="J20" s="19">
        <v>54868179.429761454</v>
      </c>
      <c r="K20" s="19">
        <v>96242313.657485425</v>
      </c>
    </row>
    <row r="22" spans="2:11" x14ac:dyDescent="0.35">
      <c r="B22" s="10" t="s">
        <v>780</v>
      </c>
      <c r="C22" s="10" t="s">
        <v>232</v>
      </c>
      <c r="D22" s="10" t="s">
        <v>1151</v>
      </c>
    </row>
    <row r="23" spans="2:11" x14ac:dyDescent="0.35">
      <c r="B23" s="107">
        <f xml:space="preserve"> ROW( co_defaultTemps[[#This Row],[row_id]] ) - ROW( co_defaultTemps[[#Headers],[row_id]] )</f>
        <v>1</v>
      </c>
      <c r="C23" s="18">
        <v>2000</v>
      </c>
      <c r="D23" s="126">
        <v>0.12696486431376799</v>
      </c>
    </row>
    <row r="24" spans="2:11" x14ac:dyDescent="0.35">
      <c r="B24" s="107">
        <f xml:space="preserve"> ROW( co_defaultTemps[[#This Row],[row_id]] ) - ROW( co_defaultTemps[[#Headers],[row_id]] )</f>
        <v>2</v>
      </c>
      <c r="C24" s="18">
        <v>2001</v>
      </c>
      <c r="D24" s="126">
        <v>0.157551309264926</v>
      </c>
    </row>
    <row r="25" spans="2:11" x14ac:dyDescent="0.35">
      <c r="B25" s="107">
        <f xml:space="preserve"> ROW( co_defaultTemps[[#This Row],[row_id]] ) - ROW( co_defaultTemps[[#Headers],[row_id]] )</f>
        <v>3</v>
      </c>
      <c r="C25" s="18">
        <v>2002</v>
      </c>
      <c r="D25" s="126">
        <v>0.18583100572992001</v>
      </c>
    </row>
    <row r="26" spans="2:11" x14ac:dyDescent="0.35">
      <c r="B26" s="107">
        <f xml:space="preserve"> ROW( co_defaultTemps[[#This Row],[row_id]] ) - ROW( co_defaultTemps[[#Headers],[row_id]] )</f>
        <v>4</v>
      </c>
      <c r="C26" s="18">
        <v>2003</v>
      </c>
      <c r="D26" s="126">
        <v>0.210161115407171</v>
      </c>
    </row>
    <row r="27" spans="2:11" x14ac:dyDescent="0.35">
      <c r="B27" s="107">
        <f xml:space="preserve"> ROW( co_defaultTemps[[#This Row],[row_id]] ) - ROW( co_defaultTemps[[#Headers],[row_id]] )</f>
        <v>5</v>
      </c>
      <c r="C27" s="18">
        <v>2004</v>
      </c>
      <c r="D27" s="126">
        <v>0.23065511834166499</v>
      </c>
    </row>
    <row r="28" spans="2:11" x14ac:dyDescent="0.35">
      <c r="B28" s="107">
        <f xml:space="preserve"> ROW( co_defaultTemps[[#This Row],[row_id]] ) - ROW( co_defaultTemps[[#Headers],[row_id]] )</f>
        <v>6</v>
      </c>
      <c r="C28" s="18">
        <v>2005</v>
      </c>
      <c r="D28" s="126">
        <v>0.24442523413556699</v>
      </c>
    </row>
    <row r="29" spans="2:11" x14ac:dyDescent="0.35">
      <c r="B29" s="107">
        <f xml:space="preserve"> ROW( co_defaultTemps[[#This Row],[row_id]] ) - ROW( co_defaultTemps[[#Headers],[row_id]] )</f>
        <v>7</v>
      </c>
      <c r="C29" s="18">
        <v>2006</v>
      </c>
      <c r="D29" s="126">
        <v>0.24741046780018</v>
      </c>
    </row>
    <row r="30" spans="2:11" x14ac:dyDescent="0.35">
      <c r="B30" s="107">
        <f xml:space="preserve"> ROW( co_defaultTemps[[#This Row],[row_id]] ) - ROW( co_defaultTemps[[#Headers],[row_id]] )</f>
        <v>8</v>
      </c>
      <c r="C30" s="18">
        <v>2007</v>
      </c>
      <c r="D30" s="126">
        <v>0.24616651988419699</v>
      </c>
    </row>
    <row r="31" spans="2:11" x14ac:dyDescent="0.35">
      <c r="B31" s="107">
        <f xml:space="preserve"> ROW( co_defaultTemps[[#This Row],[row_id]] ) - ROW( co_defaultTemps[[#Headers],[row_id]] )</f>
        <v>9</v>
      </c>
      <c r="C31" s="18">
        <v>2008</v>
      </c>
      <c r="D31" s="126">
        <v>0.24822409765918799</v>
      </c>
    </row>
    <row r="32" spans="2:11" x14ac:dyDescent="0.35">
      <c r="B32" s="107">
        <f xml:space="preserve"> ROW( co_defaultTemps[[#This Row],[row_id]] ) - ROW( co_defaultTemps[[#Headers],[row_id]] )</f>
        <v>10</v>
      </c>
      <c r="C32" s="18">
        <v>2009</v>
      </c>
      <c r="D32" s="126">
        <v>0.26162653127777102</v>
      </c>
    </row>
    <row r="33" spans="2:4" x14ac:dyDescent="0.35">
      <c r="B33" s="107">
        <f xml:space="preserve"> ROW( co_defaultTemps[[#This Row],[row_id]] ) - ROW( co_defaultTemps[[#Headers],[row_id]] )</f>
        <v>11</v>
      </c>
      <c r="C33" s="18">
        <v>2010</v>
      </c>
      <c r="D33" s="126">
        <v>0.265593634833725</v>
      </c>
    </row>
    <row r="34" spans="2:4" x14ac:dyDescent="0.35">
      <c r="B34" s="107">
        <f xml:space="preserve"> ROW( co_defaultTemps[[#This Row],[row_id]] ) - ROW( co_defaultTemps[[#Headers],[row_id]] )</f>
        <v>12</v>
      </c>
      <c r="C34" s="18">
        <v>2011</v>
      </c>
      <c r="D34" s="126">
        <v>0.27091856309921503</v>
      </c>
    </row>
    <row r="35" spans="2:4" x14ac:dyDescent="0.35">
      <c r="B35" s="107">
        <f xml:space="preserve"> ROW( co_defaultTemps[[#This Row],[row_id]] ) - ROW( co_defaultTemps[[#Headers],[row_id]] )</f>
        <v>13</v>
      </c>
      <c r="C35" s="18">
        <v>2012</v>
      </c>
      <c r="D35" s="126">
        <v>0.27878009438623003</v>
      </c>
    </row>
    <row r="36" spans="2:4" x14ac:dyDescent="0.35">
      <c r="B36" s="107">
        <f xml:space="preserve"> ROW( co_defaultTemps[[#This Row],[row_id]] ) - ROW( co_defaultTemps[[#Headers],[row_id]] )</f>
        <v>14</v>
      </c>
      <c r="C36" s="18">
        <v>2013</v>
      </c>
      <c r="D36" s="126">
        <v>0.28830097799260701</v>
      </c>
    </row>
    <row r="37" spans="2:4" x14ac:dyDescent="0.35">
      <c r="B37" s="107">
        <f xml:space="preserve"> ROW( co_defaultTemps[[#This Row],[row_id]] ) - ROW( co_defaultTemps[[#Headers],[row_id]] )</f>
        <v>15</v>
      </c>
      <c r="C37" s="18">
        <v>2014</v>
      </c>
      <c r="D37" s="126">
        <v>0.29898809565576001</v>
      </c>
    </row>
    <row r="38" spans="2:4" x14ac:dyDescent="0.35">
      <c r="B38" s="107">
        <f xml:space="preserve"> ROW( co_defaultTemps[[#This Row],[row_id]] ) - ROW( co_defaultTemps[[#Headers],[row_id]] )</f>
        <v>16</v>
      </c>
      <c r="C38" s="18">
        <v>2015</v>
      </c>
      <c r="D38" s="126">
        <v>0.31059569871541598</v>
      </c>
    </row>
    <row r="39" spans="2:4" x14ac:dyDescent="0.35">
      <c r="B39" s="107">
        <f xml:space="preserve"> ROW( co_defaultTemps[[#This Row],[row_id]] ) - ROW( co_defaultTemps[[#Headers],[row_id]] )</f>
        <v>17</v>
      </c>
      <c r="C39" s="18">
        <v>2016</v>
      </c>
      <c r="D39" s="126">
        <v>0.324488991719797</v>
      </c>
    </row>
    <row r="40" spans="2:4" x14ac:dyDescent="0.35">
      <c r="B40" s="107">
        <f xml:space="preserve"> ROW( co_defaultTemps[[#This Row],[row_id]] ) - ROW( co_defaultTemps[[#Headers],[row_id]] )</f>
        <v>18</v>
      </c>
      <c r="C40" s="18">
        <v>2017</v>
      </c>
      <c r="D40" s="126">
        <v>0.34027046234027702</v>
      </c>
    </row>
    <row r="41" spans="2:4" x14ac:dyDescent="0.35">
      <c r="B41" s="107">
        <f xml:space="preserve"> ROW( co_defaultTemps[[#This Row],[row_id]] ) - ROW( co_defaultTemps[[#Headers],[row_id]] )</f>
        <v>19</v>
      </c>
      <c r="C41" s="18">
        <v>2018</v>
      </c>
      <c r="D41" s="126">
        <v>0.35744750083270999</v>
      </c>
    </row>
    <row r="42" spans="2:4" x14ac:dyDescent="0.35">
      <c r="B42" s="107">
        <f xml:space="preserve"> ROW( co_defaultTemps[[#This Row],[row_id]] ) - ROW( co_defaultTemps[[#Headers],[row_id]] )</f>
        <v>20</v>
      </c>
      <c r="C42" s="18">
        <v>2019</v>
      </c>
      <c r="D42" s="126">
        <v>0.37571512115938599</v>
      </c>
    </row>
    <row r="43" spans="2:4" x14ac:dyDescent="0.35">
      <c r="B43" s="107">
        <f xml:space="preserve"> ROW( co_defaultTemps[[#This Row],[row_id]] ) - ROW( co_defaultTemps[[#Headers],[row_id]] )</f>
        <v>21</v>
      </c>
      <c r="C43" s="18">
        <v>2020</v>
      </c>
      <c r="D43" s="126">
        <v>0.39487331624350702</v>
      </c>
    </row>
    <row r="44" spans="2:4" x14ac:dyDescent="0.35">
      <c r="B44" s="107">
        <f xml:space="preserve"> ROW( co_defaultTemps[[#This Row],[row_id]] ) - ROW( co_defaultTemps[[#Headers],[row_id]] )</f>
        <v>22</v>
      </c>
      <c r="C44" s="18">
        <v>2021</v>
      </c>
      <c r="D44" s="126">
        <v>0.414790586326024</v>
      </c>
    </row>
    <row r="45" spans="2:4" x14ac:dyDescent="0.35">
      <c r="B45" s="107">
        <f xml:space="preserve"> ROW( co_defaultTemps[[#This Row],[row_id]] ) - ROW( co_defaultTemps[[#Headers],[row_id]] )</f>
        <v>23</v>
      </c>
      <c r="C45" s="18">
        <v>2022</v>
      </c>
      <c r="D45" s="126">
        <v>0.43540981867921102</v>
      </c>
    </row>
    <row r="46" spans="2:4" x14ac:dyDescent="0.35">
      <c r="B46" s="107">
        <f xml:space="preserve"> ROW( co_defaultTemps[[#This Row],[row_id]] ) - ROW( co_defaultTemps[[#Headers],[row_id]] )</f>
        <v>24</v>
      </c>
      <c r="C46" s="18">
        <v>2023</v>
      </c>
      <c r="D46" s="126">
        <v>0.45672104507470102</v>
      </c>
    </row>
    <row r="47" spans="2:4" x14ac:dyDescent="0.35">
      <c r="B47" s="107">
        <f xml:space="preserve"> ROW( co_defaultTemps[[#This Row],[row_id]] ) - ROW( co_defaultTemps[[#Headers],[row_id]] )</f>
        <v>25</v>
      </c>
      <c r="C47" s="18">
        <v>2024</v>
      </c>
      <c r="D47" s="126">
        <v>0.47870986726755799</v>
      </c>
    </row>
    <row r="48" spans="2:4" x14ac:dyDescent="0.35">
      <c r="B48" s="107">
        <f xml:space="preserve"> ROW( co_defaultTemps[[#This Row],[row_id]] ) - ROW( co_defaultTemps[[#Headers],[row_id]] )</f>
        <v>26</v>
      </c>
      <c r="C48" s="18">
        <v>2025</v>
      </c>
      <c r="D48" s="126">
        <v>0.50135698095494297</v>
      </c>
    </row>
    <row r="49" spans="2:4" x14ac:dyDescent="0.35">
      <c r="B49" s="107">
        <f xml:space="preserve"> ROW( co_defaultTemps[[#This Row],[row_id]] ) - ROW( co_defaultTemps[[#Headers],[row_id]] )</f>
        <v>27</v>
      </c>
      <c r="C49" s="18">
        <v>2026</v>
      </c>
      <c r="D49" s="126">
        <v>0.52447979996088701</v>
      </c>
    </row>
    <row r="50" spans="2:4" x14ac:dyDescent="0.35">
      <c r="B50" s="107">
        <f xml:space="preserve"> ROW( co_defaultTemps[[#This Row],[row_id]] ) - ROW( co_defaultTemps[[#Headers],[row_id]] )</f>
        <v>28</v>
      </c>
      <c r="C50" s="18">
        <v>2027</v>
      </c>
      <c r="D50" s="126">
        <v>0.54808848179926395</v>
      </c>
    </row>
    <row r="51" spans="2:4" x14ac:dyDescent="0.35">
      <c r="B51" s="107">
        <f xml:space="preserve"> ROW( co_defaultTemps[[#This Row],[row_id]] ) - ROW( co_defaultTemps[[#Headers],[row_id]] )</f>
        <v>29</v>
      </c>
      <c r="C51" s="18">
        <v>2028</v>
      </c>
      <c r="D51" s="126">
        <v>0.572205894610471</v>
      </c>
    </row>
    <row r="52" spans="2:4" x14ac:dyDescent="0.35">
      <c r="B52" s="107">
        <f xml:space="preserve"> ROW( co_defaultTemps[[#This Row],[row_id]] ) - ROW( co_defaultTemps[[#Headers],[row_id]] )</f>
        <v>30</v>
      </c>
      <c r="C52" s="18">
        <v>2029</v>
      </c>
      <c r="D52" s="126">
        <v>0.59683954563221897</v>
      </c>
    </row>
    <row r="53" spans="2:4" x14ac:dyDescent="0.35">
      <c r="B53" s="107">
        <f xml:space="preserve"> ROW( co_defaultTemps[[#This Row],[row_id]] ) - ROW( co_defaultTemps[[#Headers],[row_id]] )</f>
        <v>31</v>
      </c>
      <c r="C53" s="18">
        <v>2030</v>
      </c>
      <c r="D53" s="126">
        <v>0.62198935276108702</v>
      </c>
    </row>
    <row r="54" spans="2:4" x14ac:dyDescent="0.35">
      <c r="B54" s="107">
        <f xml:space="preserve"> ROW( co_defaultTemps[[#This Row],[row_id]] ) - ROW( co_defaultTemps[[#Headers],[row_id]] )</f>
        <v>32</v>
      </c>
      <c r="C54" s="18">
        <v>2031</v>
      </c>
      <c r="D54" s="126">
        <v>0.64748956462778995</v>
      </c>
    </row>
    <row r="55" spans="2:4" x14ac:dyDescent="0.35">
      <c r="B55" s="107">
        <f xml:space="preserve"> ROW( co_defaultTemps[[#This Row],[row_id]] ) - ROW( co_defaultTemps[[#Headers],[row_id]] )</f>
        <v>33</v>
      </c>
      <c r="C55" s="18">
        <v>2032</v>
      </c>
      <c r="D55" s="126">
        <v>0.67330878289306195</v>
      </c>
    </row>
    <row r="56" spans="2:4" x14ac:dyDescent="0.35">
      <c r="B56" s="107">
        <f xml:space="preserve"> ROW( co_defaultTemps[[#This Row],[row_id]] ) - ROW( co_defaultTemps[[#Headers],[row_id]] )</f>
        <v>34</v>
      </c>
      <c r="C56" s="18">
        <v>2033</v>
      </c>
      <c r="D56" s="126">
        <v>0.69942845238234796</v>
      </c>
    </row>
    <row r="57" spans="2:4" x14ac:dyDescent="0.35">
      <c r="B57" s="107">
        <f xml:space="preserve"> ROW( co_defaultTemps[[#This Row],[row_id]] ) - ROW( co_defaultTemps[[#Headers],[row_id]] )</f>
        <v>35</v>
      </c>
      <c r="C57" s="18">
        <v>2034</v>
      </c>
      <c r="D57" s="126">
        <v>0.72583123808384398</v>
      </c>
    </row>
    <row r="58" spans="2:4" x14ac:dyDescent="0.35">
      <c r="B58" s="107">
        <f xml:space="preserve"> ROW( co_defaultTemps[[#This Row],[row_id]] ) - ROW( co_defaultTemps[[#Headers],[row_id]] )</f>
        <v>36</v>
      </c>
      <c r="C58" s="18">
        <v>2035</v>
      </c>
      <c r="D58" s="126">
        <v>0.75250330828229395</v>
      </c>
    </row>
    <row r="59" spans="2:4" x14ac:dyDescent="0.35">
      <c r="B59" s="107">
        <f xml:space="preserve"> ROW( co_defaultTemps[[#This Row],[row_id]] ) - ROW( co_defaultTemps[[#Headers],[row_id]] )</f>
        <v>37</v>
      </c>
      <c r="C59" s="18">
        <v>2036</v>
      </c>
      <c r="D59" s="126">
        <v>0.77938559951810704</v>
      </c>
    </row>
    <row r="60" spans="2:4" x14ac:dyDescent="0.35">
      <c r="B60" s="107">
        <f xml:space="preserve"> ROW( co_defaultTemps[[#This Row],[row_id]] ) - ROW( co_defaultTemps[[#Headers],[row_id]] )</f>
        <v>38</v>
      </c>
      <c r="C60" s="18">
        <v>2037</v>
      </c>
      <c r="D60" s="126">
        <v>0.80645601211670703</v>
      </c>
    </row>
    <row r="61" spans="2:4" x14ac:dyDescent="0.35">
      <c r="B61" s="107">
        <f xml:space="preserve"> ROW( co_defaultTemps[[#This Row],[row_id]] ) - ROW( co_defaultTemps[[#Headers],[row_id]] )</f>
        <v>39</v>
      </c>
      <c r="C61" s="18">
        <v>2038</v>
      </c>
      <c r="D61" s="126">
        <v>0.83369506325312903</v>
      </c>
    </row>
    <row r="62" spans="2:4" x14ac:dyDescent="0.35">
      <c r="B62" s="107">
        <f xml:space="preserve"> ROW( co_defaultTemps[[#This Row],[row_id]] ) - ROW( co_defaultTemps[[#Headers],[row_id]] )</f>
        <v>40</v>
      </c>
      <c r="C62" s="18">
        <v>2039</v>
      </c>
      <c r="D62" s="126">
        <v>0.86108799440111505</v>
      </c>
    </row>
    <row r="63" spans="2:4" x14ac:dyDescent="0.35">
      <c r="B63" s="107">
        <f xml:space="preserve"> ROW( co_defaultTemps[[#This Row],[row_id]] ) - ROW( co_defaultTemps[[#Headers],[row_id]] )</f>
        <v>41</v>
      </c>
      <c r="C63" s="18">
        <v>2040</v>
      </c>
      <c r="D63" s="126">
        <v>0.88862437844662101</v>
      </c>
    </row>
    <row r="64" spans="2:4" x14ac:dyDescent="0.35">
      <c r="B64" s="107">
        <f xml:space="preserve"> ROW( co_defaultTemps[[#This Row],[row_id]] ) - ROW( co_defaultTemps[[#Headers],[row_id]] )</f>
        <v>42</v>
      </c>
      <c r="C64" s="18">
        <v>2041</v>
      </c>
      <c r="D64" s="126">
        <v>0.91629700428581995</v>
      </c>
    </row>
    <row r="65" spans="2:4" x14ac:dyDescent="0.35">
      <c r="B65" s="107">
        <f xml:space="preserve"> ROW( co_defaultTemps[[#This Row],[row_id]] ) - ROW( co_defaultTemps[[#Headers],[row_id]] )</f>
        <v>43</v>
      </c>
      <c r="C65" s="18">
        <v>2042</v>
      </c>
      <c r="D65" s="126">
        <v>0.94413087152894404</v>
      </c>
    </row>
    <row r="66" spans="2:4" x14ac:dyDescent="0.35">
      <c r="B66" s="107">
        <f xml:space="preserve"> ROW( co_defaultTemps[[#This Row],[row_id]] ) - ROW( co_defaultTemps[[#Headers],[row_id]] )</f>
        <v>44</v>
      </c>
      <c r="C66" s="18">
        <v>2043</v>
      </c>
      <c r="D66" s="126">
        <v>0.97214863082477698</v>
      </c>
    </row>
    <row r="67" spans="2:4" x14ac:dyDescent="0.35">
      <c r="B67" s="107">
        <f xml:space="preserve"> ROW( co_defaultTemps[[#This Row],[row_id]] ) - ROW( co_defaultTemps[[#Headers],[row_id]] )</f>
        <v>45</v>
      </c>
      <c r="C67" s="18">
        <v>2044</v>
      </c>
      <c r="D67" s="126">
        <v>1.0003633246567301</v>
      </c>
    </row>
    <row r="68" spans="2:4" x14ac:dyDescent="0.35">
      <c r="B68" s="107">
        <f xml:space="preserve"> ROW( co_defaultTemps[[#This Row],[row_id]] ) - ROW( co_defaultTemps[[#Headers],[row_id]] )</f>
        <v>46</v>
      </c>
      <c r="C68" s="18">
        <v>2045</v>
      </c>
      <c r="D68" s="126">
        <v>1.0287819109998699</v>
      </c>
    </row>
    <row r="69" spans="2:4" x14ac:dyDescent="0.35">
      <c r="B69" s="107">
        <f xml:space="preserve"> ROW( co_defaultTemps[[#This Row],[row_id]] ) - ROW( co_defaultTemps[[#Headers],[row_id]] )</f>
        <v>47</v>
      </c>
      <c r="C69" s="18">
        <v>2046</v>
      </c>
      <c r="D69" s="126">
        <v>1.0574079684450099</v>
      </c>
    </row>
    <row r="70" spans="2:4" x14ac:dyDescent="0.35">
      <c r="B70" s="107">
        <f xml:space="preserve"> ROW( co_defaultTemps[[#This Row],[row_id]] ) - ROW( co_defaultTemps[[#Headers],[row_id]] )</f>
        <v>48</v>
      </c>
      <c r="C70" s="18">
        <v>2047</v>
      </c>
      <c r="D70" s="126">
        <v>1.0862171927634301</v>
      </c>
    </row>
    <row r="71" spans="2:4" x14ac:dyDescent="0.35">
      <c r="B71" s="107">
        <f xml:space="preserve"> ROW( co_defaultTemps[[#This Row],[row_id]] ) - ROW( co_defaultTemps[[#Headers],[row_id]] )</f>
        <v>49</v>
      </c>
      <c r="C71" s="18">
        <v>2048</v>
      </c>
      <c r="D71" s="126">
        <v>1.1151805270658</v>
      </c>
    </row>
    <row r="72" spans="2:4" x14ac:dyDescent="0.35">
      <c r="B72" s="107">
        <f xml:space="preserve"> ROW( co_defaultTemps[[#This Row],[row_id]] ) - ROW( co_defaultTemps[[#Headers],[row_id]] )</f>
        <v>50</v>
      </c>
      <c r="C72" s="18">
        <v>2049</v>
      </c>
      <c r="D72" s="126">
        <v>1.1442776122440499</v>
      </c>
    </row>
    <row r="73" spans="2:4" x14ac:dyDescent="0.35">
      <c r="B73" s="107">
        <f xml:space="preserve"> ROW( co_defaultTemps[[#This Row],[row_id]] ) - ROW( co_defaultTemps[[#Headers],[row_id]] )</f>
        <v>51</v>
      </c>
      <c r="C73" s="18">
        <v>2050</v>
      </c>
      <c r="D73" s="126">
        <v>1.1734944232654101</v>
      </c>
    </row>
    <row r="74" spans="2:4" x14ac:dyDescent="0.35">
      <c r="B74" s="107">
        <f xml:space="preserve"> ROW( co_defaultTemps[[#This Row],[row_id]] ) - ROW( co_defaultTemps[[#Headers],[row_id]] )</f>
        <v>52</v>
      </c>
      <c r="C74" s="18">
        <v>2051</v>
      </c>
      <c r="D74" s="126">
        <v>1.2028561602558701</v>
      </c>
    </row>
    <row r="75" spans="2:4" x14ac:dyDescent="0.35">
      <c r="B75" s="107">
        <f xml:space="preserve"> ROW( co_defaultTemps[[#This Row],[row_id]] ) - ROW( co_defaultTemps[[#Headers],[row_id]] )</f>
        <v>53</v>
      </c>
      <c r="C75" s="18">
        <v>2052</v>
      </c>
      <c r="D75" s="126">
        <v>1.2323300417662499</v>
      </c>
    </row>
    <row r="76" spans="2:4" x14ac:dyDescent="0.35">
      <c r="B76" s="107">
        <f xml:space="preserve"> ROW( co_defaultTemps[[#This Row],[row_id]] ) - ROW( co_defaultTemps[[#Headers],[row_id]] )</f>
        <v>54</v>
      </c>
      <c r="C76" s="18">
        <v>2053</v>
      </c>
      <c r="D76" s="126">
        <v>1.2618867474903801</v>
      </c>
    </row>
    <row r="77" spans="2:4" x14ac:dyDescent="0.35">
      <c r="B77" s="107">
        <f xml:space="preserve"> ROW( co_defaultTemps[[#This Row],[row_id]] ) - ROW( co_defaultTemps[[#Headers],[row_id]] )</f>
        <v>55</v>
      </c>
      <c r="C77" s="18">
        <v>2054</v>
      </c>
      <c r="D77" s="126">
        <v>1.2915076105940499</v>
      </c>
    </row>
    <row r="78" spans="2:4" x14ac:dyDescent="0.35">
      <c r="B78" s="107">
        <f xml:space="preserve"> ROW( co_defaultTemps[[#This Row],[row_id]] ) - ROW( co_defaultTemps[[#Headers],[row_id]] )</f>
        <v>56</v>
      </c>
      <c r="C78" s="18">
        <v>2055</v>
      </c>
      <c r="D78" s="126">
        <v>1.3211803059163001</v>
      </c>
    </row>
    <row r="79" spans="2:4" x14ac:dyDescent="0.35">
      <c r="B79" s="107">
        <f xml:space="preserve"> ROW( co_defaultTemps[[#This Row],[row_id]] ) - ROW( co_defaultTemps[[#Headers],[row_id]] )</f>
        <v>57</v>
      </c>
      <c r="C79" s="18">
        <v>2056</v>
      </c>
      <c r="D79" s="126">
        <v>1.3509480055791301</v>
      </c>
    </row>
    <row r="80" spans="2:4" x14ac:dyDescent="0.35">
      <c r="B80" s="107">
        <f xml:space="preserve"> ROW( co_defaultTemps[[#This Row],[row_id]] ) - ROW( co_defaultTemps[[#Headers],[row_id]] )</f>
        <v>58</v>
      </c>
      <c r="C80" s="18">
        <v>2057</v>
      </c>
      <c r="D80" s="126">
        <v>1.38079830310717</v>
      </c>
    </row>
    <row r="81" spans="2:4" x14ac:dyDescent="0.35">
      <c r="B81" s="107">
        <f xml:space="preserve"> ROW( co_defaultTemps[[#This Row],[row_id]] ) - ROW( co_defaultTemps[[#Headers],[row_id]] )</f>
        <v>59</v>
      </c>
      <c r="C81" s="18">
        <v>2058</v>
      </c>
      <c r="D81" s="126">
        <v>1.4107175619211101</v>
      </c>
    </row>
    <row r="82" spans="2:4" x14ac:dyDescent="0.35">
      <c r="B82" s="107">
        <f xml:space="preserve"> ROW( co_defaultTemps[[#This Row],[row_id]] ) - ROW( co_defaultTemps[[#Headers],[row_id]] )</f>
        <v>60</v>
      </c>
      <c r="C82" s="18">
        <v>2059</v>
      </c>
      <c r="D82" s="126">
        <v>1.4406977572897299</v>
      </c>
    </row>
    <row r="83" spans="2:4" x14ac:dyDescent="0.35">
      <c r="B83" s="107">
        <f xml:space="preserve"> ROW( co_defaultTemps[[#This Row],[row_id]] ) - ROW( co_defaultTemps[[#Headers],[row_id]] )</f>
        <v>61</v>
      </c>
      <c r="C83" s="18">
        <v>2060</v>
      </c>
      <c r="D83" s="126">
        <v>1.4707340701674001</v>
      </c>
    </row>
    <row r="84" spans="2:4" x14ac:dyDescent="0.35">
      <c r="B84" s="107">
        <f xml:space="preserve"> ROW( co_defaultTemps[[#This Row],[row_id]] ) - ROW( co_defaultTemps[[#Headers],[row_id]] )</f>
        <v>62</v>
      </c>
      <c r="C84" s="18">
        <v>2061</v>
      </c>
      <c r="D84" s="126">
        <v>1.5008361029770401</v>
      </c>
    </row>
    <row r="85" spans="2:4" x14ac:dyDescent="0.35">
      <c r="B85" s="107">
        <f xml:space="preserve"> ROW( co_defaultTemps[[#This Row],[row_id]] ) - ROW( co_defaultTemps[[#Headers],[row_id]] )</f>
        <v>63</v>
      </c>
      <c r="C85" s="18">
        <v>2062</v>
      </c>
      <c r="D85" s="126">
        <v>1.5309955865848299</v>
      </c>
    </row>
    <row r="86" spans="2:4" x14ac:dyDescent="0.35">
      <c r="B86" s="107">
        <f xml:space="preserve"> ROW( co_defaultTemps[[#This Row],[row_id]] ) - ROW( co_defaultTemps[[#Headers],[row_id]] )</f>
        <v>64</v>
      </c>
      <c r="C86" s="18">
        <v>2063</v>
      </c>
      <c r="D86" s="126">
        <v>1.56120500015712</v>
      </c>
    </row>
    <row r="87" spans="2:4" x14ac:dyDescent="0.35">
      <c r="B87" s="107">
        <f xml:space="preserve"> ROW( co_defaultTemps[[#This Row],[row_id]] ) - ROW( co_defaultTemps[[#Headers],[row_id]] )</f>
        <v>65</v>
      </c>
      <c r="C87" s="18">
        <v>2064</v>
      </c>
      <c r="D87" s="126">
        <v>1.5914597255845599</v>
      </c>
    </row>
    <row r="88" spans="2:4" x14ac:dyDescent="0.35">
      <c r="B88" s="107">
        <f xml:space="preserve"> ROW( co_defaultTemps[[#This Row],[row_id]] ) - ROW( co_defaultTemps[[#Headers],[row_id]] )</f>
        <v>66</v>
      </c>
      <c r="C88" s="18">
        <v>2065</v>
      </c>
      <c r="D88" s="126">
        <v>1.6217568807317799</v>
      </c>
    </row>
    <row r="89" spans="2:4" x14ac:dyDescent="0.35">
      <c r="B89" s="107">
        <f xml:space="preserve"> ROW( co_defaultTemps[[#This Row],[row_id]] ) - ROW( co_defaultTemps[[#Headers],[row_id]] )</f>
        <v>67</v>
      </c>
      <c r="C89" s="18">
        <v>2066</v>
      </c>
      <c r="D89" s="126">
        <v>1.65208211164827</v>
      </c>
    </row>
    <row r="90" spans="2:4" x14ac:dyDescent="0.35">
      <c r="B90" s="107">
        <f xml:space="preserve"> ROW( co_defaultTemps[[#This Row],[row_id]] ) - ROW( co_defaultTemps[[#Headers],[row_id]] )</f>
        <v>68</v>
      </c>
      <c r="C90" s="18">
        <v>2067</v>
      </c>
      <c r="D90" s="126">
        <v>1.68243570753648</v>
      </c>
    </row>
    <row r="91" spans="2:4" x14ac:dyDescent="0.35">
      <c r="B91" s="107">
        <f xml:space="preserve"> ROW( co_defaultTemps[[#This Row],[row_id]] ) - ROW( co_defaultTemps[[#Headers],[row_id]] )</f>
        <v>69</v>
      </c>
      <c r="C91" s="18">
        <v>2068</v>
      </c>
      <c r="D91" s="126">
        <v>1.71282181452112</v>
      </c>
    </row>
    <row r="92" spans="2:4" x14ac:dyDescent="0.35">
      <c r="B92" s="107">
        <f xml:space="preserve"> ROW( co_defaultTemps[[#This Row],[row_id]] ) - ROW( co_defaultTemps[[#Headers],[row_id]] )</f>
        <v>70</v>
      </c>
      <c r="C92" s="18">
        <v>2069</v>
      </c>
      <c r="D92" s="126">
        <v>1.7432434908362</v>
      </c>
    </row>
    <row r="93" spans="2:4" x14ac:dyDescent="0.35">
      <c r="B93" s="107">
        <f xml:space="preserve"> ROW( co_defaultTemps[[#This Row],[row_id]] ) - ROW( co_defaultTemps[[#Headers],[row_id]] )</f>
        <v>71</v>
      </c>
      <c r="C93" s="18">
        <v>2070</v>
      </c>
      <c r="D93" s="126">
        <v>1.77370298019737</v>
      </c>
    </row>
    <row r="94" spans="2:4" x14ac:dyDescent="0.35">
      <c r="B94" s="107">
        <f xml:space="preserve"> ROW( co_defaultTemps[[#This Row],[row_id]] ) - ROW( co_defaultTemps[[#Headers],[row_id]] )</f>
        <v>72</v>
      </c>
      <c r="C94" s="18">
        <v>2071</v>
      </c>
      <c r="D94" s="126">
        <v>1.8042023576211199</v>
      </c>
    </row>
    <row r="95" spans="2:4" x14ac:dyDescent="0.35">
      <c r="B95" s="107">
        <f xml:space="preserve"> ROW( co_defaultTemps[[#This Row],[row_id]] ) - ROW( co_defaultTemps[[#Headers],[row_id]] )</f>
        <v>73</v>
      </c>
      <c r="C95" s="18">
        <v>2072</v>
      </c>
      <c r="D95" s="126">
        <v>1.83473898018731</v>
      </c>
    </row>
    <row r="96" spans="2:4" x14ac:dyDescent="0.35">
      <c r="B96" s="107">
        <f xml:space="preserve"> ROW( co_defaultTemps[[#This Row],[row_id]] ) - ROW( co_defaultTemps[[#Headers],[row_id]] )</f>
        <v>74</v>
      </c>
      <c r="C96" s="18">
        <v>2073</v>
      </c>
      <c r="D96" s="126">
        <v>1.8653080916814999</v>
      </c>
    </row>
    <row r="97" spans="2:4" x14ac:dyDescent="0.35">
      <c r="B97" s="107">
        <f xml:space="preserve"> ROW( co_defaultTemps[[#This Row],[row_id]] ) - ROW( co_defaultTemps[[#Headers],[row_id]] )</f>
        <v>75</v>
      </c>
      <c r="C97" s="18">
        <v>2074</v>
      </c>
      <c r="D97" s="126">
        <v>1.8959066058748</v>
      </c>
    </row>
    <row r="98" spans="2:4" x14ac:dyDescent="0.35">
      <c r="B98" s="107">
        <f xml:space="preserve"> ROW( co_defaultTemps[[#This Row],[row_id]] ) - ROW( co_defaultTemps[[#Headers],[row_id]] )</f>
        <v>76</v>
      </c>
      <c r="C98" s="18">
        <v>2075</v>
      </c>
      <c r="D98" s="126">
        <v>1.9265327878287299</v>
      </c>
    </row>
    <row r="99" spans="2:4" x14ac:dyDescent="0.35">
      <c r="B99" s="107">
        <f xml:space="preserve"> ROW( co_defaultTemps[[#This Row],[row_id]] ) - ROW( co_defaultTemps[[#Headers],[row_id]] )</f>
        <v>77</v>
      </c>
      <c r="C99" s="18">
        <v>2076</v>
      </c>
      <c r="D99" s="126">
        <v>1.95743450521493</v>
      </c>
    </row>
    <row r="100" spans="2:4" x14ac:dyDescent="0.35">
      <c r="B100" s="107">
        <f xml:space="preserve"> ROW( co_defaultTemps[[#This Row],[row_id]] ) - ROW( co_defaultTemps[[#Headers],[row_id]] )</f>
        <v>78</v>
      </c>
      <c r="C100" s="18">
        <v>2077</v>
      </c>
      <c r="D100" s="126">
        <v>1.9885545956166399</v>
      </c>
    </row>
    <row r="101" spans="2:4" x14ac:dyDescent="0.35">
      <c r="B101" s="107">
        <f xml:space="preserve"> ROW( co_defaultTemps[[#This Row],[row_id]] ) - ROW( co_defaultTemps[[#Headers],[row_id]] )</f>
        <v>79</v>
      </c>
      <c r="C101" s="18">
        <v>2078</v>
      </c>
      <c r="D101" s="126">
        <v>2.01980983708077</v>
      </c>
    </row>
    <row r="102" spans="2:4" x14ac:dyDescent="0.35">
      <c r="B102" s="107">
        <f xml:space="preserve"> ROW( co_defaultTemps[[#This Row],[row_id]] ) - ROW( co_defaultTemps[[#Headers],[row_id]] )</f>
        <v>80</v>
      </c>
      <c r="C102" s="18">
        <v>2079</v>
      </c>
      <c r="D102" s="126">
        <v>2.0511481492189398</v>
      </c>
    </row>
    <row r="103" spans="2:4" x14ac:dyDescent="0.35">
      <c r="B103" s="107">
        <f xml:space="preserve"> ROW( co_defaultTemps[[#This Row],[row_id]] ) - ROW( co_defaultTemps[[#Headers],[row_id]] )</f>
        <v>81</v>
      </c>
      <c r="C103" s="18">
        <v>2080</v>
      </c>
      <c r="D103" s="126">
        <v>2.0825358091781201</v>
      </c>
    </row>
    <row r="104" spans="2:4" x14ac:dyDescent="0.35">
      <c r="B104" s="107">
        <f xml:space="preserve"> ROW( co_defaultTemps[[#This Row],[row_id]] ) - ROW( co_defaultTemps[[#Headers],[row_id]] )</f>
        <v>82</v>
      </c>
      <c r="C104" s="18">
        <v>2081</v>
      </c>
      <c r="D104" s="126">
        <v>2.1137808072709499</v>
      </c>
    </row>
    <row r="105" spans="2:4" x14ac:dyDescent="0.35">
      <c r="B105" s="107">
        <f xml:space="preserve"> ROW( co_defaultTemps[[#This Row],[row_id]] ) - ROW( co_defaultTemps[[#Headers],[row_id]] )</f>
        <v>83</v>
      </c>
      <c r="C105" s="18">
        <v>2082</v>
      </c>
      <c r="D105" s="126">
        <v>2.1448899692258898</v>
      </c>
    </row>
    <row r="106" spans="2:4" x14ac:dyDescent="0.35">
      <c r="B106" s="107">
        <f xml:space="preserve"> ROW( co_defaultTemps[[#This Row],[row_id]] ) - ROW( co_defaultTemps[[#Headers],[row_id]] )</f>
        <v>84</v>
      </c>
      <c r="C106" s="18">
        <v>2083</v>
      </c>
      <c r="D106" s="126">
        <v>2.1758899812958101</v>
      </c>
    </row>
    <row r="107" spans="2:4" x14ac:dyDescent="0.35">
      <c r="B107" s="107">
        <f xml:space="preserve"> ROW( co_defaultTemps[[#This Row],[row_id]] ) - ROW( co_defaultTemps[[#Headers],[row_id]] )</f>
        <v>85</v>
      </c>
      <c r="C107" s="18">
        <v>2084</v>
      </c>
      <c r="D107" s="126">
        <v>2.2067955365273102</v>
      </c>
    </row>
    <row r="108" spans="2:4" x14ac:dyDescent="0.35">
      <c r="B108" s="107">
        <f xml:space="preserve"> ROW( co_defaultTemps[[#This Row],[row_id]] ) - ROW( co_defaultTemps[[#Headers],[row_id]] )</f>
        <v>86</v>
      </c>
      <c r="C108" s="18">
        <v>2085</v>
      </c>
      <c r="D108" s="126">
        <v>2.23761558773383</v>
      </c>
    </row>
    <row r="109" spans="2:4" x14ac:dyDescent="0.35">
      <c r="B109" s="107">
        <f xml:space="preserve"> ROW( co_defaultTemps[[#This Row],[row_id]] ) - ROW( co_defaultTemps[[#Headers],[row_id]] )</f>
        <v>87</v>
      </c>
      <c r="C109" s="18">
        <v>2086</v>
      </c>
      <c r="D109" s="126">
        <v>2.2683287465415001</v>
      </c>
    </row>
    <row r="110" spans="2:4" x14ac:dyDescent="0.35">
      <c r="B110" s="107">
        <f xml:space="preserve"> ROW( co_defaultTemps[[#This Row],[row_id]] ) - ROW( co_defaultTemps[[#Headers],[row_id]] )</f>
        <v>88</v>
      </c>
      <c r="C110" s="18">
        <v>2087</v>
      </c>
      <c r="D110" s="126">
        <v>2.2989372373050898</v>
      </c>
    </row>
    <row r="111" spans="2:4" x14ac:dyDescent="0.35">
      <c r="B111" s="107">
        <f xml:space="preserve"> ROW( co_defaultTemps[[#This Row],[row_id]] ) - ROW( co_defaultTemps[[#Headers],[row_id]] )</f>
        <v>89</v>
      </c>
      <c r="C111" s="18">
        <v>2088</v>
      </c>
      <c r="D111" s="126">
        <v>2.3294448527583498</v>
      </c>
    </row>
    <row r="112" spans="2:4" x14ac:dyDescent="0.35">
      <c r="B112" s="107">
        <f xml:space="preserve"> ROW( co_defaultTemps[[#This Row],[row_id]] ) - ROW( co_defaultTemps[[#Headers],[row_id]] )</f>
        <v>90</v>
      </c>
      <c r="C112" s="18">
        <v>2089</v>
      </c>
      <c r="D112" s="126">
        <v>2.3598546358284702</v>
      </c>
    </row>
    <row r="113" spans="2:4" x14ac:dyDescent="0.35">
      <c r="B113" s="107">
        <f xml:space="preserve"> ROW( co_defaultTemps[[#This Row],[row_id]] ) - ROW( co_defaultTemps[[#Headers],[row_id]] )</f>
        <v>91</v>
      </c>
      <c r="C113" s="18">
        <v>2090</v>
      </c>
      <c r="D113" s="126">
        <v>2.3901692869412301</v>
      </c>
    </row>
  </sheetData>
  <pageMargins left="0.7" right="0.7" top="0.75" bottom="0.75" header="0.3" footer="0.3"/>
  <pageSetup orientation="portrait" horizontalDpi="90" verticalDpi="90" r:id="rId1"/>
  <tableParts count="2">
    <tablePart r:id="rId2"/>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BA677-80B7-4A1F-8551-EE691CBD86A4}">
  <sheetPr>
    <tabColor theme="2"/>
  </sheetPr>
  <dimension ref="B2:F15"/>
  <sheetViews>
    <sheetView workbookViewId="0">
      <selection activeCell="B2" sqref="B2:F15"/>
    </sheetView>
  </sheetViews>
  <sheetFormatPr defaultRowHeight="14.5" x14ac:dyDescent="0.35"/>
  <cols>
    <col min="3" max="4" width="16.7265625" customWidth="1"/>
    <col min="5" max="5" width="32.81640625" customWidth="1"/>
    <col min="6" max="6" width="60.7265625" customWidth="1"/>
  </cols>
  <sheetData>
    <row r="2" spans="2:6" x14ac:dyDescent="0.35">
      <c r="B2" t="s">
        <v>1096</v>
      </c>
    </row>
    <row r="3" spans="2:6" x14ac:dyDescent="0.35">
      <c r="B3" s="98" t="s">
        <v>780</v>
      </c>
      <c r="C3" s="98" t="s">
        <v>219</v>
      </c>
      <c r="D3" s="98" t="s">
        <v>1097</v>
      </c>
      <c r="E3" s="98" t="s">
        <v>1098</v>
      </c>
      <c r="F3" s="98" t="s">
        <v>1066</v>
      </c>
    </row>
    <row r="4" spans="2:6" ht="58" x14ac:dyDescent="0.35">
      <c r="B4" s="99">
        <f xml:space="preserve"> ROW( Readme_sectors[[#This Row],[row_id]] ) - ROW( Readme_sectors[[#Headers],[row_id]] )</f>
        <v>1</v>
      </c>
      <c r="C4" s="98" t="s">
        <v>86</v>
      </c>
      <c r="D4" s="98" t="s">
        <v>87</v>
      </c>
      <c r="E4" s="98" t="s">
        <v>776</v>
      </c>
      <c r="F4" s="100" t="s">
        <v>1099</v>
      </c>
    </row>
    <row r="5" spans="2:6" ht="43.5" x14ac:dyDescent="0.35">
      <c r="B5" s="99">
        <f xml:space="preserve"> ROW( Readme_sectors[[#This Row],[row_id]] ) - ROW( Readme_sectors[[#Headers],[row_id]] )</f>
        <v>2</v>
      </c>
      <c r="C5" s="99" t="s">
        <v>221</v>
      </c>
      <c r="D5" s="98" t="s">
        <v>87</v>
      </c>
      <c r="E5" s="98" t="s">
        <v>776</v>
      </c>
      <c r="F5" s="100" t="s">
        <v>1100</v>
      </c>
    </row>
    <row r="8" spans="2:6" x14ac:dyDescent="0.35">
      <c r="B8" t="s">
        <v>1101</v>
      </c>
    </row>
    <row r="9" spans="2:6" x14ac:dyDescent="0.35">
      <c r="B9" t="s">
        <v>780</v>
      </c>
      <c r="C9" t="s">
        <v>219</v>
      </c>
      <c r="D9" t="s">
        <v>1097</v>
      </c>
      <c r="E9" t="s">
        <v>1098</v>
      </c>
    </row>
    <row r="10" spans="2:6" x14ac:dyDescent="0.35">
      <c r="B10" s="3">
        <f xml:space="preserve"> ROW( Readme_adaptations[[#This Row],[row_id]] ) - ROW( Readme_adaptations[[#Headers],[row_id]] )</f>
        <v>1</v>
      </c>
      <c r="C10" t="s">
        <v>86</v>
      </c>
      <c r="D10" t="s">
        <v>87</v>
      </c>
      <c r="E10" t="s">
        <v>776</v>
      </c>
    </row>
    <row r="11" spans="2:6" x14ac:dyDescent="0.35">
      <c r="B11" s="3">
        <f xml:space="preserve"> ROW( Readme_adaptations[[#This Row],[row_id]] ) - ROW( Readme_adaptations[[#Headers],[row_id]] )</f>
        <v>2</v>
      </c>
      <c r="C11" t="s">
        <v>86</v>
      </c>
      <c r="D11" t="s">
        <v>88</v>
      </c>
      <c r="E11" t="s">
        <v>778</v>
      </c>
    </row>
    <row r="12" spans="2:6" x14ac:dyDescent="0.35">
      <c r="B12" s="3">
        <f xml:space="preserve"> ROW( Readme_adaptations[[#This Row],[row_id]] ) - ROW( Readme_adaptations[[#Headers],[row_id]] )</f>
        <v>3</v>
      </c>
      <c r="C12" t="s">
        <v>86</v>
      </c>
      <c r="D12" t="s">
        <v>208</v>
      </c>
      <c r="E12" t="s">
        <v>777</v>
      </c>
    </row>
    <row r="13" spans="2:6" x14ac:dyDescent="0.35">
      <c r="B13" s="3">
        <f xml:space="preserve"> ROW( Readme_adaptations[[#This Row],[row_id]] ) - ROW( Readme_adaptations[[#Headers],[row_id]] )</f>
        <v>4</v>
      </c>
      <c r="C13" s="3" t="s">
        <v>221</v>
      </c>
      <c r="D13" t="s">
        <v>87</v>
      </c>
      <c r="E13" t="s">
        <v>776</v>
      </c>
    </row>
    <row r="14" spans="2:6" x14ac:dyDescent="0.35">
      <c r="B14" s="3">
        <f xml:space="preserve"> ROW( Readme_adaptations[[#This Row],[row_id]] ) - ROW( Readme_adaptations[[#Headers],[row_id]] )</f>
        <v>5</v>
      </c>
      <c r="C14" s="3" t="s">
        <v>221</v>
      </c>
      <c r="D14" t="s">
        <v>88</v>
      </c>
      <c r="E14" t="s">
        <v>779</v>
      </c>
    </row>
    <row r="15" spans="2:6" x14ac:dyDescent="0.35">
      <c r="B15" s="3">
        <f xml:space="preserve"> ROW( Readme_adaptations[[#This Row],[row_id]] ) - ROW( Readme_adaptations[[#Headers],[row_id]] )</f>
        <v>6</v>
      </c>
      <c r="C15" s="3" t="s">
        <v>221</v>
      </c>
      <c r="D15" t="s">
        <v>208</v>
      </c>
      <c r="E15" t="s">
        <v>775</v>
      </c>
    </row>
  </sheetData>
  <pageMargins left="0.7" right="0.7" top="0.75" bottom="0.75" header="0.3" footer="0.3"/>
  <tableParts count="2">
    <tablePart r:id="rId1"/>
    <tablePart r:id="rId2"/>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EDF8F-63A6-46D5-AE44-4350DD3F56AB}">
  <sheetPr codeName="Sheet24">
    <tabColor theme="9" tint="-0.499984740745262"/>
  </sheetPr>
  <dimension ref="A1:G1490"/>
  <sheetViews>
    <sheetView zoomScale="85" zoomScaleNormal="85" workbookViewId="0">
      <pane ySplit="1" topLeftCell="A1082" activePane="bottomLeft" state="frozen"/>
      <selection pane="bottomLeft" activeCell="A1490" sqref="A1490"/>
    </sheetView>
  </sheetViews>
  <sheetFormatPr defaultRowHeight="14.5" x14ac:dyDescent="0.35"/>
  <cols>
    <col min="2" max="2" width="19.54296875" customWidth="1"/>
    <col min="3" max="3" width="42.7265625" customWidth="1"/>
    <col min="4" max="4" width="30.54296875" customWidth="1"/>
    <col min="5" max="5" width="22.54296875" style="3" customWidth="1"/>
    <col min="6" max="6" width="12.54296875" style="3" customWidth="1"/>
    <col min="7" max="7" width="17.7265625" style="3" customWidth="1"/>
    <col min="8" max="8" width="12.26953125" bestFit="1" customWidth="1"/>
    <col min="9" max="9" width="15.54296875" customWidth="1"/>
    <col min="10" max="11" width="12.26953125" bestFit="1" customWidth="1"/>
    <col min="12" max="12" width="12.26953125" customWidth="1"/>
    <col min="13" max="13" width="31.26953125" customWidth="1"/>
    <col min="18" max="18" width="13.26953125" bestFit="1" customWidth="1"/>
  </cols>
  <sheetData>
    <row r="1" spans="1:7" x14ac:dyDescent="0.35">
      <c r="A1" s="6" t="s">
        <v>780</v>
      </c>
      <c r="B1" s="15" t="s">
        <v>813</v>
      </c>
      <c r="C1" s="3" t="s">
        <v>253</v>
      </c>
      <c r="D1" s="3" t="s">
        <v>254</v>
      </c>
      <c r="E1" t="s">
        <v>218</v>
      </c>
      <c r="F1" s="3" t="s">
        <v>232</v>
      </c>
      <c r="G1" s="116" t="s">
        <v>255</v>
      </c>
    </row>
    <row r="2" spans="1:7" x14ac:dyDescent="0.35">
      <c r="A2" s="9">
        <f xml:space="preserve"> ROW( scalarDataframe[[#This Row],[row_id]] ) - ROW( scalarDataframe[[#Headers],[row_id]] )</f>
        <v>1</v>
      </c>
      <c r="B2" s="16" t="str">
        <f xml:space="preserve"> INDEX( co_scalarInfo[scalarType], MATCH( scalarDataframe[[#This Row],[scalarName]],  co_scalarInfo[scalarName], 0 ) )</f>
        <v>damageAdj</v>
      </c>
      <c r="C2" s="44" t="str">
        <f xml:space="preserve"> INDEX( co_scalarInfo[scalarLabel], MATCH( scalarDataframe[[#This Row],[scalarName]], co_scalarInfo[scalarName], 0 ) )</f>
        <v>Population-Driven Demand Growth Factor for Grid Reliability</v>
      </c>
      <c r="D2" s="24" t="s">
        <v>998</v>
      </c>
      <c r="E2" s="17" t="s">
        <v>6</v>
      </c>
      <c r="F2" s="25">
        <v>2010</v>
      </c>
      <c r="G2" s="26">
        <v>1.0999218159364814</v>
      </c>
    </row>
    <row r="3" spans="1:7" x14ac:dyDescent="0.35">
      <c r="A3" s="9">
        <f xml:space="preserve"> ROW( scalarDataframe[[#This Row],[row_id]] ) - ROW( scalarDataframe[[#Headers],[row_id]] )</f>
        <v>2</v>
      </c>
      <c r="B3" s="16" t="str">
        <f xml:space="preserve"> INDEX( co_scalarInfo[scalarType], MATCH( scalarDataframe[[#This Row],[scalarName]],  co_scalarInfo[scalarName], 0 ) )</f>
        <v>damageAdj</v>
      </c>
      <c r="C3" s="44" t="str">
        <f xml:space="preserve"> INDEX( co_scalarInfo[scalarLabel], MATCH( scalarDataframe[[#This Row],[scalarName]], co_scalarInfo[scalarName], 0 ) )</f>
        <v>Population-Driven Demand Growth Factor for Grid Reliability</v>
      </c>
      <c r="D3" s="24" t="s">
        <v>998</v>
      </c>
      <c r="E3" s="17" t="s">
        <v>6</v>
      </c>
      <c r="F3" s="25">
        <v>2015</v>
      </c>
      <c r="G3" s="26">
        <v>1.1555697829887339</v>
      </c>
    </row>
    <row r="4" spans="1:7" x14ac:dyDescent="0.35">
      <c r="A4" s="9">
        <f xml:space="preserve"> ROW( scalarDataframe[[#This Row],[row_id]] ) - ROW( scalarDataframe[[#Headers],[row_id]] )</f>
        <v>3</v>
      </c>
      <c r="B4" s="16" t="str">
        <f xml:space="preserve"> INDEX( co_scalarInfo[scalarType], MATCH( scalarDataframe[[#This Row],[scalarName]],  co_scalarInfo[scalarName], 0 ) )</f>
        <v>damageAdj</v>
      </c>
      <c r="C4" s="44" t="str">
        <f xml:space="preserve"> INDEX( co_scalarInfo[scalarLabel], MATCH( scalarDataframe[[#This Row],[scalarName]], co_scalarInfo[scalarName], 0 ) )</f>
        <v>Population-Driven Demand Growth Factor for Grid Reliability</v>
      </c>
      <c r="D4" s="24" t="s">
        <v>998</v>
      </c>
      <c r="E4" s="17" t="s">
        <v>6</v>
      </c>
      <c r="F4" s="25">
        <v>2020</v>
      </c>
      <c r="G4" s="26">
        <v>1.1555697829887339</v>
      </c>
    </row>
    <row r="5" spans="1:7" x14ac:dyDescent="0.35">
      <c r="A5" s="9">
        <f xml:space="preserve"> ROW( scalarDataframe[[#This Row],[row_id]] ) - ROW( scalarDataframe[[#Headers],[row_id]] )</f>
        <v>4</v>
      </c>
      <c r="B5" s="16" t="str">
        <f xml:space="preserve"> INDEX( co_scalarInfo[scalarType], MATCH( scalarDataframe[[#This Row],[scalarName]],  co_scalarInfo[scalarName], 0 ) )</f>
        <v>damageAdj</v>
      </c>
      <c r="C5" s="44" t="str">
        <f xml:space="preserve"> INDEX( co_scalarInfo[scalarLabel], MATCH( scalarDataframe[[#This Row],[scalarName]], co_scalarInfo[scalarName], 0 ) )</f>
        <v>Population-Driven Demand Growth Factor for Grid Reliability</v>
      </c>
      <c r="D5" s="24" t="s">
        <v>998</v>
      </c>
      <c r="E5" s="17" t="s">
        <v>6</v>
      </c>
      <c r="F5" s="25">
        <v>2025</v>
      </c>
      <c r="G5" s="26">
        <v>1.1555697829887339</v>
      </c>
    </row>
    <row r="6" spans="1:7" x14ac:dyDescent="0.35">
      <c r="A6" s="9">
        <f xml:space="preserve"> ROW( scalarDataframe[[#This Row],[row_id]] ) - ROW( scalarDataframe[[#Headers],[row_id]] )</f>
        <v>5</v>
      </c>
      <c r="B6" s="16" t="str">
        <f xml:space="preserve"> INDEX( co_scalarInfo[scalarType], MATCH( scalarDataframe[[#This Row],[scalarName]],  co_scalarInfo[scalarName], 0 ) )</f>
        <v>damageAdj</v>
      </c>
      <c r="C6" s="44" t="str">
        <f xml:space="preserve"> INDEX( co_scalarInfo[scalarLabel], MATCH( scalarDataframe[[#This Row],[scalarName]], co_scalarInfo[scalarName], 0 ) )</f>
        <v>Population-Driven Demand Growth Factor for Grid Reliability</v>
      </c>
      <c r="D6" s="24" t="s">
        <v>998</v>
      </c>
      <c r="E6" s="17" t="s">
        <v>6</v>
      </c>
      <c r="F6" s="25">
        <v>2030</v>
      </c>
      <c r="G6" s="26">
        <v>1.1555697829887339</v>
      </c>
    </row>
    <row r="7" spans="1:7" x14ac:dyDescent="0.35">
      <c r="A7" s="9">
        <f xml:space="preserve"> ROW( scalarDataframe[[#This Row],[row_id]] ) - ROW( scalarDataframe[[#Headers],[row_id]] )</f>
        <v>6</v>
      </c>
      <c r="B7" s="16" t="str">
        <f xml:space="preserve"> INDEX( co_scalarInfo[scalarType], MATCH( scalarDataframe[[#This Row],[scalarName]],  co_scalarInfo[scalarName], 0 ) )</f>
        <v>damageAdj</v>
      </c>
      <c r="C7" s="44" t="str">
        <f xml:space="preserve"> INDEX( co_scalarInfo[scalarLabel], MATCH( scalarDataframe[[#This Row],[scalarName]], co_scalarInfo[scalarName], 0 ) )</f>
        <v>Population-Driven Demand Growth Factor for Grid Reliability</v>
      </c>
      <c r="D7" s="24" t="s">
        <v>998</v>
      </c>
      <c r="E7" s="17" t="s">
        <v>6</v>
      </c>
      <c r="F7" s="25">
        <v>2035</v>
      </c>
      <c r="G7" s="26">
        <v>1.1555697829887339</v>
      </c>
    </row>
    <row r="8" spans="1:7" x14ac:dyDescent="0.35">
      <c r="A8" s="9">
        <f xml:space="preserve"> ROW( scalarDataframe[[#This Row],[row_id]] ) - ROW( scalarDataframe[[#Headers],[row_id]] )</f>
        <v>7</v>
      </c>
      <c r="B8" s="16" t="str">
        <f xml:space="preserve"> INDEX( co_scalarInfo[scalarType], MATCH( scalarDataframe[[#This Row],[scalarName]],  co_scalarInfo[scalarName], 0 ) )</f>
        <v>damageAdj</v>
      </c>
      <c r="C8" s="44" t="str">
        <f xml:space="preserve"> INDEX( co_scalarInfo[scalarLabel], MATCH( scalarDataframe[[#This Row],[scalarName]], co_scalarInfo[scalarName], 0 ) )</f>
        <v>Population-Driven Demand Growth Factor for Grid Reliability</v>
      </c>
      <c r="D8" s="24" t="s">
        <v>998</v>
      </c>
      <c r="E8" s="17" t="s">
        <v>6</v>
      </c>
      <c r="F8" s="25">
        <v>2040</v>
      </c>
      <c r="G8" s="26">
        <v>1.1555697829887339</v>
      </c>
    </row>
    <row r="9" spans="1:7" x14ac:dyDescent="0.35">
      <c r="A9" s="9">
        <f xml:space="preserve"> ROW( scalarDataframe[[#This Row],[row_id]] ) - ROW( scalarDataframe[[#Headers],[row_id]] )</f>
        <v>8</v>
      </c>
      <c r="B9" s="16" t="str">
        <f xml:space="preserve"> INDEX( co_scalarInfo[scalarType], MATCH( scalarDataframe[[#This Row],[scalarName]],  co_scalarInfo[scalarName], 0 ) )</f>
        <v>damageAdj</v>
      </c>
      <c r="C9" s="44" t="str">
        <f xml:space="preserve"> INDEX( co_scalarInfo[scalarLabel], MATCH( scalarDataframe[[#This Row],[scalarName]], co_scalarInfo[scalarName], 0 ) )</f>
        <v>Population-Driven Demand Growth Factor for Grid Reliability</v>
      </c>
      <c r="D9" s="24" t="s">
        <v>998</v>
      </c>
      <c r="E9" s="17" t="s">
        <v>6</v>
      </c>
      <c r="F9" s="25">
        <v>2045</v>
      </c>
      <c r="G9" s="26">
        <v>1.1555697829887339</v>
      </c>
    </row>
    <row r="10" spans="1:7" x14ac:dyDescent="0.35">
      <c r="A10" s="9">
        <f xml:space="preserve"> ROW( scalarDataframe[[#This Row],[row_id]] ) - ROW( scalarDataframe[[#Headers],[row_id]] )</f>
        <v>9</v>
      </c>
      <c r="B10" s="16" t="str">
        <f xml:space="preserve"> INDEX( co_scalarInfo[scalarType], MATCH( scalarDataframe[[#This Row],[scalarName]],  co_scalarInfo[scalarName], 0 ) )</f>
        <v>damageAdj</v>
      </c>
      <c r="C10" s="44" t="str">
        <f xml:space="preserve"> INDEX( co_scalarInfo[scalarLabel], MATCH( scalarDataframe[[#This Row],[scalarName]], co_scalarInfo[scalarName], 0 ) )</f>
        <v>Population-Driven Demand Growth Factor for Grid Reliability</v>
      </c>
      <c r="D10" s="24" t="s">
        <v>998</v>
      </c>
      <c r="E10" s="17" t="s">
        <v>6</v>
      </c>
      <c r="F10" s="25">
        <v>2050</v>
      </c>
      <c r="G10" s="26">
        <v>1.1555697829887339</v>
      </c>
    </row>
    <row r="11" spans="1:7" x14ac:dyDescent="0.35">
      <c r="A11" s="9">
        <f xml:space="preserve"> ROW( scalarDataframe[[#This Row],[row_id]] ) - ROW( scalarDataframe[[#Headers],[row_id]] )</f>
        <v>10</v>
      </c>
      <c r="B11" s="16" t="str">
        <f xml:space="preserve"> INDEX( co_scalarInfo[scalarType], MATCH( scalarDataframe[[#This Row],[scalarName]],  co_scalarInfo[scalarName], 0 ) )</f>
        <v>damageAdj</v>
      </c>
      <c r="C11" s="44" t="str">
        <f xml:space="preserve"> INDEX( co_scalarInfo[scalarLabel], MATCH( scalarDataframe[[#This Row],[scalarName]], co_scalarInfo[scalarName], 0 ) )</f>
        <v>Population-Driven Demand Growth Factor for Grid Reliability</v>
      </c>
      <c r="D11" s="24" t="s">
        <v>998</v>
      </c>
      <c r="E11" s="17" t="s">
        <v>6</v>
      </c>
      <c r="F11" s="25">
        <v>2055</v>
      </c>
      <c r="G11" s="26">
        <v>1.1555697829887339</v>
      </c>
    </row>
    <row r="12" spans="1:7" x14ac:dyDescent="0.35">
      <c r="A12" s="9">
        <f xml:space="preserve"> ROW( scalarDataframe[[#This Row],[row_id]] ) - ROW( scalarDataframe[[#Headers],[row_id]] )</f>
        <v>11</v>
      </c>
      <c r="B12" s="16" t="str">
        <f xml:space="preserve"> INDEX( co_scalarInfo[scalarType], MATCH( scalarDataframe[[#This Row],[scalarName]],  co_scalarInfo[scalarName], 0 ) )</f>
        <v>damageAdj</v>
      </c>
      <c r="C12" s="44" t="str">
        <f xml:space="preserve"> INDEX( co_scalarInfo[scalarLabel], MATCH( scalarDataframe[[#This Row],[scalarName]], co_scalarInfo[scalarName], 0 ) )</f>
        <v>Population-Driven Demand Growth Factor for Grid Reliability</v>
      </c>
      <c r="D12" s="24" t="s">
        <v>998</v>
      </c>
      <c r="E12" s="17" t="s">
        <v>6</v>
      </c>
      <c r="F12" s="25">
        <v>2060</v>
      </c>
      <c r="G12" s="26">
        <v>1.1847576083487252</v>
      </c>
    </row>
    <row r="13" spans="1:7" x14ac:dyDescent="0.35">
      <c r="A13" s="9">
        <f xml:space="preserve"> ROW( scalarDataframe[[#This Row],[row_id]] ) - ROW( scalarDataframe[[#Headers],[row_id]] )</f>
        <v>12</v>
      </c>
      <c r="B13" s="16" t="str">
        <f xml:space="preserve"> INDEX( co_scalarInfo[scalarType], MATCH( scalarDataframe[[#This Row],[scalarName]],  co_scalarInfo[scalarName], 0 ) )</f>
        <v>damageAdj</v>
      </c>
      <c r="C13" s="44" t="str">
        <f xml:space="preserve"> INDEX( co_scalarInfo[scalarLabel], MATCH( scalarDataframe[[#This Row],[scalarName]], co_scalarInfo[scalarName], 0 ) )</f>
        <v>Population-Driven Demand Growth Factor for Grid Reliability</v>
      </c>
      <c r="D13" s="24" t="s">
        <v>998</v>
      </c>
      <c r="E13" s="17" t="s">
        <v>6</v>
      </c>
      <c r="F13" s="25">
        <v>2065</v>
      </c>
      <c r="G13" s="26">
        <v>1.2252783757401622</v>
      </c>
    </row>
    <row r="14" spans="1:7" x14ac:dyDescent="0.35">
      <c r="A14" s="9">
        <f xml:space="preserve"> ROW( scalarDataframe[[#This Row],[row_id]] ) - ROW( scalarDataframe[[#Headers],[row_id]] )</f>
        <v>13</v>
      </c>
      <c r="B14" s="16" t="str">
        <f xml:space="preserve"> INDEX( co_scalarInfo[scalarType], MATCH( scalarDataframe[[#This Row],[scalarName]],  co_scalarInfo[scalarName], 0 ) )</f>
        <v>damageAdj</v>
      </c>
      <c r="C14" s="44" t="str">
        <f xml:space="preserve"> INDEX( co_scalarInfo[scalarLabel], MATCH( scalarDataframe[[#This Row],[scalarName]], co_scalarInfo[scalarName], 0 ) )</f>
        <v>Population-Driven Demand Growth Factor for Grid Reliability</v>
      </c>
      <c r="D14" s="24" t="s">
        <v>998</v>
      </c>
      <c r="E14" s="17" t="s">
        <v>6</v>
      </c>
      <c r="F14" s="25">
        <v>2070</v>
      </c>
      <c r="G14" s="26">
        <v>1.2653095785931738</v>
      </c>
    </row>
    <row r="15" spans="1:7" x14ac:dyDescent="0.35">
      <c r="A15" s="9">
        <f xml:space="preserve"> ROW( scalarDataframe[[#This Row],[row_id]] ) - ROW( scalarDataframe[[#Headers],[row_id]] )</f>
        <v>14</v>
      </c>
      <c r="B15" s="16" t="str">
        <f xml:space="preserve"> INDEX( co_scalarInfo[scalarType], MATCH( scalarDataframe[[#This Row],[scalarName]],  co_scalarInfo[scalarName], 0 ) )</f>
        <v>damageAdj</v>
      </c>
      <c r="C15" s="44" t="str">
        <f xml:space="preserve"> INDEX( co_scalarInfo[scalarLabel], MATCH( scalarDataframe[[#This Row],[scalarName]], co_scalarInfo[scalarName], 0 ) )</f>
        <v>Population-Driven Demand Growth Factor for Grid Reliability</v>
      </c>
      <c r="D15" s="24" t="s">
        <v>998</v>
      </c>
      <c r="E15" s="17" t="s">
        <v>6</v>
      </c>
      <c r="F15" s="25">
        <v>2075</v>
      </c>
      <c r="G15" s="26">
        <v>1.3054678403593578</v>
      </c>
    </row>
    <row r="16" spans="1:7" x14ac:dyDescent="0.35">
      <c r="A16" s="9">
        <f xml:space="preserve"> ROW( scalarDataframe[[#This Row],[row_id]] ) - ROW( scalarDataframe[[#Headers],[row_id]] )</f>
        <v>15</v>
      </c>
      <c r="B16" s="16" t="str">
        <f xml:space="preserve"> INDEX( co_scalarInfo[scalarType], MATCH( scalarDataframe[[#This Row],[scalarName]],  co_scalarInfo[scalarName], 0 ) )</f>
        <v>damageAdj</v>
      </c>
      <c r="C16" s="44" t="str">
        <f xml:space="preserve"> INDEX( co_scalarInfo[scalarLabel], MATCH( scalarDataframe[[#This Row],[scalarName]], co_scalarInfo[scalarName], 0 ) )</f>
        <v>Population-Driven Demand Growth Factor for Grid Reliability</v>
      </c>
      <c r="D16" s="24" t="s">
        <v>998</v>
      </c>
      <c r="E16" s="17" t="s">
        <v>6</v>
      </c>
      <c r="F16" s="25">
        <v>2080</v>
      </c>
      <c r="G16" s="26">
        <v>1.3443147750475559</v>
      </c>
    </row>
    <row r="17" spans="1:7" x14ac:dyDescent="0.35">
      <c r="A17" s="9">
        <f xml:space="preserve"> ROW( scalarDataframe[[#This Row],[row_id]] ) - ROW( scalarDataframe[[#Headers],[row_id]] )</f>
        <v>16</v>
      </c>
      <c r="B17" s="16" t="str">
        <f xml:space="preserve"> INDEX( co_scalarInfo[scalarType], MATCH( scalarDataframe[[#This Row],[scalarName]],  co_scalarInfo[scalarName], 0 ) )</f>
        <v>damageAdj</v>
      </c>
      <c r="C17" s="44" t="str">
        <f xml:space="preserve"> INDEX( co_scalarInfo[scalarLabel], MATCH( scalarDataframe[[#This Row],[scalarName]], co_scalarInfo[scalarName], 0 ) )</f>
        <v>Population-Driven Demand Growth Factor for Grid Reliability</v>
      </c>
      <c r="D17" s="24" t="s">
        <v>998</v>
      </c>
      <c r="E17" s="17" t="s">
        <v>6</v>
      </c>
      <c r="F17" s="25">
        <v>2085</v>
      </c>
      <c r="G17" s="26">
        <v>1.3810994140669735</v>
      </c>
    </row>
    <row r="18" spans="1:7" x14ac:dyDescent="0.35">
      <c r="A18" s="9">
        <f xml:space="preserve"> ROW( scalarDataframe[[#This Row],[row_id]] ) - ROW( scalarDataframe[[#Headers],[row_id]] )</f>
        <v>17</v>
      </c>
      <c r="B18" s="16" t="str">
        <f xml:space="preserve"> INDEX( co_scalarInfo[scalarType], MATCH( scalarDataframe[[#This Row],[scalarName]],  co_scalarInfo[scalarName], 0 ) )</f>
        <v>damageAdj</v>
      </c>
      <c r="C18" s="44" t="str">
        <f xml:space="preserve"> INDEX( co_scalarInfo[scalarLabel], MATCH( scalarDataframe[[#This Row],[scalarName]], co_scalarInfo[scalarName], 0 ) )</f>
        <v>Population-Driven Demand Growth Factor for Grid Reliability</v>
      </c>
      <c r="D18" s="24" t="s">
        <v>998</v>
      </c>
      <c r="E18" s="17" t="s">
        <v>6</v>
      </c>
      <c r="F18" s="25">
        <v>2090</v>
      </c>
      <c r="G18" s="26">
        <v>1.4217792051372762</v>
      </c>
    </row>
    <row r="19" spans="1:7" x14ac:dyDescent="0.35">
      <c r="A19" s="9">
        <f xml:space="preserve"> ROW( scalarDataframe[[#This Row],[row_id]] ) - ROW( scalarDataframe[[#Headers],[row_id]] )</f>
        <v>18</v>
      </c>
      <c r="B19" s="16" t="str">
        <f xml:space="preserve"> INDEX( co_scalarInfo[scalarType], MATCH( scalarDataframe[[#This Row],[scalarName]],  co_scalarInfo[scalarName], 0 ) )</f>
        <v>damageAdj</v>
      </c>
      <c r="C19" s="44" t="str">
        <f xml:space="preserve"> INDEX( co_scalarInfo[scalarLabel], MATCH( scalarDataframe[[#This Row],[scalarName]], co_scalarInfo[scalarName], 0 ) )</f>
        <v>Population-Driven Demand Growth Factor for Grid Reliability</v>
      </c>
      <c r="D19" s="24" t="s">
        <v>998</v>
      </c>
      <c r="E19" s="17" t="s">
        <v>7</v>
      </c>
      <c r="F19" s="25">
        <v>2010</v>
      </c>
      <c r="G19" s="26">
        <v>1.1063330466085293</v>
      </c>
    </row>
    <row r="20" spans="1:7" x14ac:dyDescent="0.35">
      <c r="A20" s="9">
        <f xml:space="preserve"> ROW( scalarDataframe[[#This Row],[row_id]] ) - ROW( scalarDataframe[[#Headers],[row_id]] )</f>
        <v>19</v>
      </c>
      <c r="B20" s="16" t="str">
        <f xml:space="preserve"> INDEX( co_scalarInfo[scalarType], MATCH( scalarDataframe[[#This Row],[scalarName]],  co_scalarInfo[scalarName], 0 ) )</f>
        <v>damageAdj</v>
      </c>
      <c r="C20" s="44" t="str">
        <f xml:space="preserve"> INDEX( co_scalarInfo[scalarLabel], MATCH( scalarDataframe[[#This Row],[scalarName]], co_scalarInfo[scalarName], 0 ) )</f>
        <v>Population-Driven Demand Growth Factor for Grid Reliability</v>
      </c>
      <c r="D20" s="24" t="s">
        <v>998</v>
      </c>
      <c r="E20" s="17" t="s">
        <v>7</v>
      </c>
      <c r="F20" s="25">
        <v>2015</v>
      </c>
      <c r="G20" s="26">
        <v>1.2028610393529147</v>
      </c>
    </row>
    <row r="21" spans="1:7" x14ac:dyDescent="0.35">
      <c r="A21" s="9">
        <f xml:space="preserve"> ROW( scalarDataframe[[#This Row],[row_id]] ) - ROW( scalarDataframe[[#Headers],[row_id]] )</f>
        <v>20</v>
      </c>
      <c r="B21" s="16" t="str">
        <f xml:space="preserve"> INDEX( co_scalarInfo[scalarType], MATCH( scalarDataframe[[#This Row],[scalarName]],  co_scalarInfo[scalarName], 0 ) )</f>
        <v>damageAdj</v>
      </c>
      <c r="C21" s="44" t="str">
        <f xml:space="preserve"> INDEX( co_scalarInfo[scalarLabel], MATCH( scalarDataframe[[#This Row],[scalarName]], co_scalarInfo[scalarName], 0 ) )</f>
        <v>Population-Driven Demand Growth Factor for Grid Reliability</v>
      </c>
      <c r="D21" s="24" t="s">
        <v>998</v>
      </c>
      <c r="E21" s="17" t="s">
        <v>7</v>
      </c>
      <c r="F21" s="25">
        <v>2020</v>
      </c>
      <c r="G21" s="26">
        <v>1.2028610393529147</v>
      </c>
    </row>
    <row r="22" spans="1:7" x14ac:dyDescent="0.35">
      <c r="A22" s="9">
        <f xml:space="preserve"> ROW( scalarDataframe[[#This Row],[row_id]] ) - ROW( scalarDataframe[[#Headers],[row_id]] )</f>
        <v>21</v>
      </c>
      <c r="B22" s="16" t="str">
        <f xml:space="preserve"> INDEX( co_scalarInfo[scalarType], MATCH( scalarDataframe[[#This Row],[scalarName]],  co_scalarInfo[scalarName], 0 ) )</f>
        <v>damageAdj</v>
      </c>
      <c r="C22" s="44" t="str">
        <f xml:space="preserve"> INDEX( co_scalarInfo[scalarLabel], MATCH( scalarDataframe[[#This Row],[scalarName]], co_scalarInfo[scalarName], 0 ) )</f>
        <v>Population-Driven Demand Growth Factor for Grid Reliability</v>
      </c>
      <c r="D22" s="24" t="s">
        <v>998</v>
      </c>
      <c r="E22" s="17" t="s">
        <v>7</v>
      </c>
      <c r="F22" s="25">
        <v>2025</v>
      </c>
      <c r="G22" s="26">
        <v>1.2028610393529147</v>
      </c>
    </row>
    <row r="23" spans="1:7" x14ac:dyDescent="0.35">
      <c r="A23" s="9">
        <f xml:space="preserve"> ROW( scalarDataframe[[#This Row],[row_id]] ) - ROW( scalarDataframe[[#Headers],[row_id]] )</f>
        <v>22</v>
      </c>
      <c r="B23" s="16" t="str">
        <f xml:space="preserve"> INDEX( co_scalarInfo[scalarType], MATCH( scalarDataframe[[#This Row],[scalarName]],  co_scalarInfo[scalarName], 0 ) )</f>
        <v>damageAdj</v>
      </c>
      <c r="C23" s="44" t="str">
        <f xml:space="preserve"> INDEX( co_scalarInfo[scalarLabel], MATCH( scalarDataframe[[#This Row],[scalarName]], co_scalarInfo[scalarName], 0 ) )</f>
        <v>Population-Driven Demand Growth Factor for Grid Reliability</v>
      </c>
      <c r="D23" s="24" t="s">
        <v>998</v>
      </c>
      <c r="E23" s="17" t="s">
        <v>7</v>
      </c>
      <c r="F23" s="25">
        <v>2030</v>
      </c>
      <c r="G23" s="26">
        <v>1.2028610393529147</v>
      </c>
    </row>
    <row r="24" spans="1:7" x14ac:dyDescent="0.35">
      <c r="A24" s="9">
        <f xml:space="preserve"> ROW( scalarDataframe[[#This Row],[row_id]] ) - ROW( scalarDataframe[[#Headers],[row_id]] )</f>
        <v>23</v>
      </c>
      <c r="B24" s="16" t="str">
        <f xml:space="preserve"> INDEX( co_scalarInfo[scalarType], MATCH( scalarDataframe[[#This Row],[scalarName]],  co_scalarInfo[scalarName], 0 ) )</f>
        <v>damageAdj</v>
      </c>
      <c r="C24" s="44" t="str">
        <f xml:space="preserve"> INDEX( co_scalarInfo[scalarLabel], MATCH( scalarDataframe[[#This Row],[scalarName]], co_scalarInfo[scalarName], 0 ) )</f>
        <v>Population-Driven Demand Growth Factor for Grid Reliability</v>
      </c>
      <c r="D24" s="24" t="s">
        <v>998</v>
      </c>
      <c r="E24" s="17" t="s">
        <v>7</v>
      </c>
      <c r="F24" s="25">
        <v>2035</v>
      </c>
      <c r="G24" s="26">
        <v>1.2028610393529147</v>
      </c>
    </row>
    <row r="25" spans="1:7" x14ac:dyDescent="0.35">
      <c r="A25" s="9">
        <f xml:space="preserve"> ROW( scalarDataframe[[#This Row],[row_id]] ) - ROW( scalarDataframe[[#Headers],[row_id]] )</f>
        <v>24</v>
      </c>
      <c r="B25" s="16" t="str">
        <f xml:space="preserve"> INDEX( co_scalarInfo[scalarType], MATCH( scalarDataframe[[#This Row],[scalarName]],  co_scalarInfo[scalarName], 0 ) )</f>
        <v>damageAdj</v>
      </c>
      <c r="C25" s="44" t="str">
        <f xml:space="preserve"> INDEX( co_scalarInfo[scalarLabel], MATCH( scalarDataframe[[#This Row],[scalarName]], co_scalarInfo[scalarName], 0 ) )</f>
        <v>Population-Driven Demand Growth Factor for Grid Reliability</v>
      </c>
      <c r="D25" s="24" t="s">
        <v>998</v>
      </c>
      <c r="E25" s="17" t="s">
        <v>7</v>
      </c>
      <c r="F25" s="25">
        <v>2040</v>
      </c>
      <c r="G25" s="26">
        <v>1.2028610393529147</v>
      </c>
    </row>
    <row r="26" spans="1:7" x14ac:dyDescent="0.35">
      <c r="A26" s="9">
        <f xml:space="preserve"> ROW( scalarDataframe[[#This Row],[row_id]] ) - ROW( scalarDataframe[[#Headers],[row_id]] )</f>
        <v>25</v>
      </c>
      <c r="B26" s="16" t="str">
        <f xml:space="preserve"> INDEX( co_scalarInfo[scalarType], MATCH( scalarDataframe[[#This Row],[scalarName]],  co_scalarInfo[scalarName], 0 ) )</f>
        <v>damageAdj</v>
      </c>
      <c r="C26" s="44" t="str">
        <f xml:space="preserve"> INDEX( co_scalarInfo[scalarLabel], MATCH( scalarDataframe[[#This Row],[scalarName]], co_scalarInfo[scalarName], 0 ) )</f>
        <v>Population-Driven Demand Growth Factor for Grid Reliability</v>
      </c>
      <c r="D26" s="24" t="s">
        <v>998</v>
      </c>
      <c r="E26" s="17" t="s">
        <v>7</v>
      </c>
      <c r="F26" s="25">
        <v>2045</v>
      </c>
      <c r="G26" s="26">
        <v>1.2028610393529147</v>
      </c>
    </row>
    <row r="27" spans="1:7" x14ac:dyDescent="0.35">
      <c r="A27" s="9">
        <f xml:space="preserve"> ROW( scalarDataframe[[#This Row],[row_id]] ) - ROW( scalarDataframe[[#Headers],[row_id]] )</f>
        <v>26</v>
      </c>
      <c r="B27" s="16" t="str">
        <f xml:space="preserve"> INDEX( co_scalarInfo[scalarType], MATCH( scalarDataframe[[#This Row],[scalarName]],  co_scalarInfo[scalarName], 0 ) )</f>
        <v>damageAdj</v>
      </c>
      <c r="C27" s="44" t="str">
        <f xml:space="preserve"> INDEX( co_scalarInfo[scalarLabel], MATCH( scalarDataframe[[#This Row],[scalarName]], co_scalarInfo[scalarName], 0 ) )</f>
        <v>Population-Driven Demand Growth Factor for Grid Reliability</v>
      </c>
      <c r="D27" s="24" t="s">
        <v>998</v>
      </c>
      <c r="E27" s="17" t="s">
        <v>7</v>
      </c>
      <c r="F27" s="25">
        <v>2050</v>
      </c>
      <c r="G27" s="26">
        <v>1.2028610393529147</v>
      </c>
    </row>
    <row r="28" spans="1:7" x14ac:dyDescent="0.35">
      <c r="A28" s="9">
        <f xml:space="preserve"> ROW( scalarDataframe[[#This Row],[row_id]] ) - ROW( scalarDataframe[[#Headers],[row_id]] )</f>
        <v>27</v>
      </c>
      <c r="B28" s="16" t="str">
        <f xml:space="preserve"> INDEX( co_scalarInfo[scalarType], MATCH( scalarDataframe[[#This Row],[scalarName]],  co_scalarInfo[scalarName], 0 ) )</f>
        <v>damageAdj</v>
      </c>
      <c r="C28" s="44" t="str">
        <f xml:space="preserve"> INDEX( co_scalarInfo[scalarLabel], MATCH( scalarDataframe[[#This Row],[scalarName]], co_scalarInfo[scalarName], 0 ) )</f>
        <v>Population-Driven Demand Growth Factor for Grid Reliability</v>
      </c>
      <c r="D28" s="24" t="s">
        <v>998</v>
      </c>
      <c r="E28" s="17" t="s">
        <v>7</v>
      </c>
      <c r="F28" s="25">
        <v>2055</v>
      </c>
      <c r="G28" s="26">
        <v>1.2028610393529147</v>
      </c>
    </row>
    <row r="29" spans="1:7" x14ac:dyDescent="0.35">
      <c r="A29" s="9">
        <f xml:space="preserve"> ROW( scalarDataframe[[#This Row],[row_id]] ) - ROW( scalarDataframe[[#Headers],[row_id]] )</f>
        <v>28</v>
      </c>
      <c r="B29" s="16" t="str">
        <f xml:space="preserve"> INDEX( co_scalarInfo[scalarType], MATCH( scalarDataframe[[#This Row],[scalarName]],  co_scalarInfo[scalarName], 0 ) )</f>
        <v>damageAdj</v>
      </c>
      <c r="C29" s="44" t="str">
        <f xml:space="preserve"> INDEX( co_scalarInfo[scalarLabel], MATCH( scalarDataframe[[#This Row],[scalarName]], co_scalarInfo[scalarName], 0 ) )</f>
        <v>Population-Driven Demand Growth Factor for Grid Reliability</v>
      </c>
      <c r="D29" s="24" t="s">
        <v>998</v>
      </c>
      <c r="E29" s="17" t="s">
        <v>7</v>
      </c>
      <c r="F29" s="25">
        <v>2060</v>
      </c>
      <c r="G29" s="26">
        <v>1.2376075341015924</v>
      </c>
    </row>
    <row r="30" spans="1:7" x14ac:dyDescent="0.35">
      <c r="A30" s="9">
        <f xml:space="preserve"> ROW( scalarDataframe[[#This Row],[row_id]] ) - ROW( scalarDataframe[[#Headers],[row_id]] )</f>
        <v>29</v>
      </c>
      <c r="B30" s="16" t="str">
        <f xml:space="preserve"> INDEX( co_scalarInfo[scalarType], MATCH( scalarDataframe[[#This Row],[scalarName]],  co_scalarInfo[scalarName], 0 ) )</f>
        <v>damageAdj</v>
      </c>
      <c r="C30" s="44" t="str">
        <f xml:space="preserve"> INDEX( co_scalarInfo[scalarLabel], MATCH( scalarDataframe[[#This Row],[scalarName]], co_scalarInfo[scalarName], 0 ) )</f>
        <v>Population-Driven Demand Growth Factor for Grid Reliability</v>
      </c>
      <c r="D30" s="24" t="s">
        <v>998</v>
      </c>
      <c r="E30" s="17" t="s">
        <v>7</v>
      </c>
      <c r="F30" s="25">
        <v>2065</v>
      </c>
      <c r="G30" s="26">
        <v>1.2841272800647161</v>
      </c>
    </row>
    <row r="31" spans="1:7" x14ac:dyDescent="0.35">
      <c r="A31" s="9">
        <f xml:space="preserve"> ROW( scalarDataframe[[#This Row],[row_id]] ) - ROW( scalarDataframe[[#Headers],[row_id]] )</f>
        <v>30</v>
      </c>
      <c r="B31" s="16" t="str">
        <f xml:space="preserve"> INDEX( co_scalarInfo[scalarType], MATCH( scalarDataframe[[#This Row],[scalarName]],  co_scalarInfo[scalarName], 0 ) )</f>
        <v>damageAdj</v>
      </c>
      <c r="C31" s="44" t="str">
        <f xml:space="preserve"> INDEX( co_scalarInfo[scalarLabel], MATCH( scalarDataframe[[#This Row],[scalarName]], co_scalarInfo[scalarName], 0 ) )</f>
        <v>Population-Driven Demand Growth Factor for Grid Reliability</v>
      </c>
      <c r="D31" s="24" t="s">
        <v>998</v>
      </c>
      <c r="E31" s="17" t="s">
        <v>7</v>
      </c>
      <c r="F31" s="25">
        <v>2070</v>
      </c>
      <c r="G31" s="26">
        <v>1.3314539837651285</v>
      </c>
    </row>
    <row r="32" spans="1:7" x14ac:dyDescent="0.35">
      <c r="A32" s="9">
        <f xml:space="preserve"> ROW( scalarDataframe[[#This Row],[row_id]] ) - ROW( scalarDataframe[[#Headers],[row_id]] )</f>
        <v>31</v>
      </c>
      <c r="B32" s="16" t="str">
        <f xml:space="preserve"> INDEX( co_scalarInfo[scalarType], MATCH( scalarDataframe[[#This Row],[scalarName]],  co_scalarInfo[scalarName], 0 ) )</f>
        <v>damageAdj</v>
      </c>
      <c r="C32" s="44" t="str">
        <f xml:space="preserve"> INDEX( co_scalarInfo[scalarLabel], MATCH( scalarDataframe[[#This Row],[scalarName]], co_scalarInfo[scalarName], 0 ) )</f>
        <v>Population-Driven Demand Growth Factor for Grid Reliability</v>
      </c>
      <c r="D32" s="24" t="s">
        <v>998</v>
      </c>
      <c r="E32" s="17" t="s">
        <v>7</v>
      </c>
      <c r="F32" s="25">
        <v>2075</v>
      </c>
      <c r="G32" s="26">
        <v>1.377802768870382</v>
      </c>
    </row>
    <row r="33" spans="1:7" x14ac:dyDescent="0.35">
      <c r="A33" s="9">
        <f xml:space="preserve"> ROW( scalarDataframe[[#This Row],[row_id]] ) - ROW( scalarDataframe[[#Headers],[row_id]] )</f>
        <v>32</v>
      </c>
      <c r="B33" s="16" t="str">
        <f xml:space="preserve"> INDEX( co_scalarInfo[scalarType], MATCH( scalarDataframe[[#This Row],[scalarName]],  co_scalarInfo[scalarName], 0 ) )</f>
        <v>damageAdj</v>
      </c>
      <c r="C33" s="44" t="str">
        <f xml:space="preserve"> INDEX( co_scalarInfo[scalarLabel], MATCH( scalarDataframe[[#This Row],[scalarName]], co_scalarInfo[scalarName], 0 ) )</f>
        <v>Population-Driven Demand Growth Factor for Grid Reliability</v>
      </c>
      <c r="D33" s="24" t="s">
        <v>998</v>
      </c>
      <c r="E33" s="17" t="s">
        <v>7</v>
      </c>
      <c r="F33" s="25">
        <v>2080</v>
      </c>
      <c r="G33" s="26">
        <v>1.4244908174506987</v>
      </c>
    </row>
    <row r="34" spans="1:7" x14ac:dyDescent="0.35">
      <c r="A34" s="9">
        <f xml:space="preserve"> ROW( scalarDataframe[[#This Row],[row_id]] ) - ROW( scalarDataframe[[#Headers],[row_id]] )</f>
        <v>33</v>
      </c>
      <c r="B34" s="16" t="str">
        <f xml:space="preserve"> INDEX( co_scalarInfo[scalarType], MATCH( scalarDataframe[[#This Row],[scalarName]],  co_scalarInfo[scalarName], 0 ) )</f>
        <v>damageAdj</v>
      </c>
      <c r="C34" s="44" t="str">
        <f xml:space="preserve"> INDEX( co_scalarInfo[scalarLabel], MATCH( scalarDataframe[[#This Row],[scalarName]], co_scalarInfo[scalarName], 0 ) )</f>
        <v>Population-Driven Demand Growth Factor for Grid Reliability</v>
      </c>
      <c r="D34" s="24" t="s">
        <v>998</v>
      </c>
      <c r="E34" s="17" t="s">
        <v>7</v>
      </c>
      <c r="F34" s="25">
        <v>2085</v>
      </c>
      <c r="G34" s="26">
        <v>1.4706347309257048</v>
      </c>
    </row>
    <row r="35" spans="1:7" x14ac:dyDescent="0.35">
      <c r="A35" s="9">
        <f xml:space="preserve"> ROW( scalarDataframe[[#This Row],[row_id]] ) - ROW( scalarDataframe[[#Headers],[row_id]] )</f>
        <v>34</v>
      </c>
      <c r="B35" s="16" t="str">
        <f xml:space="preserve"> INDEX( co_scalarInfo[scalarType], MATCH( scalarDataframe[[#This Row],[scalarName]],  co_scalarInfo[scalarName], 0 ) )</f>
        <v>damageAdj</v>
      </c>
      <c r="C35" s="44" t="str">
        <f xml:space="preserve"> INDEX( co_scalarInfo[scalarLabel], MATCH( scalarDataframe[[#This Row],[scalarName]], co_scalarInfo[scalarName], 0 ) )</f>
        <v>Population-Driven Demand Growth Factor for Grid Reliability</v>
      </c>
      <c r="D35" s="24" t="s">
        <v>998</v>
      </c>
      <c r="E35" s="17" t="s">
        <v>7</v>
      </c>
      <c r="F35" s="25">
        <v>2090</v>
      </c>
      <c r="G35" s="26">
        <v>1.5186670060814134</v>
      </c>
    </row>
    <row r="36" spans="1:7" x14ac:dyDescent="0.35">
      <c r="A36" s="9">
        <f xml:space="preserve"> ROW( scalarDataframe[[#This Row],[row_id]] ) - ROW( scalarDataframe[[#Headers],[row_id]] )</f>
        <v>35</v>
      </c>
      <c r="B36" s="16" t="str">
        <f xml:space="preserve"> INDEX( co_scalarInfo[scalarType], MATCH( scalarDataframe[[#This Row],[scalarName]],  co_scalarInfo[scalarName], 0 ) )</f>
        <v>damageAdj</v>
      </c>
      <c r="C36" s="44" t="str">
        <f xml:space="preserve"> INDEX( co_scalarInfo[scalarLabel], MATCH( scalarDataframe[[#This Row],[scalarName]], co_scalarInfo[scalarName], 0 ) )</f>
        <v>Population-Driven Demand Growth Factor for Grid Reliability</v>
      </c>
      <c r="D36" s="24" t="s">
        <v>998</v>
      </c>
      <c r="E36" s="17" t="s">
        <v>8</v>
      </c>
      <c r="F36" s="25">
        <v>2010</v>
      </c>
      <c r="G36" s="26">
        <v>1.0852945821417506</v>
      </c>
    </row>
    <row r="37" spans="1:7" x14ac:dyDescent="0.35">
      <c r="A37" s="9">
        <f xml:space="preserve"> ROW( scalarDataframe[[#This Row],[row_id]] ) - ROW( scalarDataframe[[#Headers],[row_id]] )</f>
        <v>36</v>
      </c>
      <c r="B37" s="16" t="str">
        <f xml:space="preserve"> INDEX( co_scalarInfo[scalarType], MATCH( scalarDataframe[[#This Row],[scalarName]],  co_scalarInfo[scalarName], 0 ) )</f>
        <v>damageAdj</v>
      </c>
      <c r="C37" s="44" t="str">
        <f xml:space="preserve"> INDEX( co_scalarInfo[scalarLabel], MATCH( scalarDataframe[[#This Row],[scalarName]], co_scalarInfo[scalarName], 0 ) )</f>
        <v>Population-Driven Demand Growth Factor for Grid Reliability</v>
      </c>
      <c r="D37" s="24" t="s">
        <v>998</v>
      </c>
      <c r="E37" s="17" t="s">
        <v>8</v>
      </c>
      <c r="F37" s="25">
        <v>2015</v>
      </c>
      <c r="G37" s="26">
        <v>1.1454811704392527</v>
      </c>
    </row>
    <row r="38" spans="1:7" x14ac:dyDescent="0.35">
      <c r="A38" s="9">
        <f xml:space="preserve"> ROW( scalarDataframe[[#This Row],[row_id]] ) - ROW( scalarDataframe[[#Headers],[row_id]] )</f>
        <v>37</v>
      </c>
      <c r="B38" s="16" t="str">
        <f xml:space="preserve"> INDEX( co_scalarInfo[scalarType], MATCH( scalarDataframe[[#This Row],[scalarName]],  co_scalarInfo[scalarName], 0 ) )</f>
        <v>damageAdj</v>
      </c>
      <c r="C38" s="44" t="str">
        <f xml:space="preserve"> INDEX( co_scalarInfo[scalarLabel], MATCH( scalarDataframe[[#This Row],[scalarName]], co_scalarInfo[scalarName], 0 ) )</f>
        <v>Population-Driven Demand Growth Factor for Grid Reliability</v>
      </c>
      <c r="D38" s="24" t="s">
        <v>998</v>
      </c>
      <c r="E38" s="17" t="s">
        <v>8</v>
      </c>
      <c r="F38" s="25">
        <v>2020</v>
      </c>
      <c r="G38" s="26">
        <v>1.1454811704392527</v>
      </c>
    </row>
    <row r="39" spans="1:7" x14ac:dyDescent="0.35">
      <c r="A39" s="9">
        <f xml:space="preserve"> ROW( scalarDataframe[[#This Row],[row_id]] ) - ROW( scalarDataframe[[#Headers],[row_id]] )</f>
        <v>38</v>
      </c>
      <c r="B39" s="16" t="str">
        <f xml:space="preserve"> INDEX( co_scalarInfo[scalarType], MATCH( scalarDataframe[[#This Row],[scalarName]],  co_scalarInfo[scalarName], 0 ) )</f>
        <v>damageAdj</v>
      </c>
      <c r="C39" s="44" t="str">
        <f xml:space="preserve"> INDEX( co_scalarInfo[scalarLabel], MATCH( scalarDataframe[[#This Row],[scalarName]], co_scalarInfo[scalarName], 0 ) )</f>
        <v>Population-Driven Demand Growth Factor for Grid Reliability</v>
      </c>
      <c r="D39" s="24" t="s">
        <v>998</v>
      </c>
      <c r="E39" s="17" t="s">
        <v>8</v>
      </c>
      <c r="F39" s="25">
        <v>2025</v>
      </c>
      <c r="G39" s="26">
        <v>1.1454811704392527</v>
      </c>
    </row>
    <row r="40" spans="1:7" x14ac:dyDescent="0.35">
      <c r="A40" s="9">
        <f xml:space="preserve"> ROW( scalarDataframe[[#This Row],[row_id]] ) - ROW( scalarDataframe[[#Headers],[row_id]] )</f>
        <v>39</v>
      </c>
      <c r="B40" s="16" t="str">
        <f xml:space="preserve"> INDEX( co_scalarInfo[scalarType], MATCH( scalarDataframe[[#This Row],[scalarName]],  co_scalarInfo[scalarName], 0 ) )</f>
        <v>damageAdj</v>
      </c>
      <c r="C40" s="44" t="str">
        <f xml:space="preserve"> INDEX( co_scalarInfo[scalarLabel], MATCH( scalarDataframe[[#This Row],[scalarName]], co_scalarInfo[scalarName], 0 ) )</f>
        <v>Population-Driven Demand Growth Factor for Grid Reliability</v>
      </c>
      <c r="D40" s="24" t="s">
        <v>998</v>
      </c>
      <c r="E40" s="17" t="s">
        <v>8</v>
      </c>
      <c r="F40" s="25">
        <v>2030</v>
      </c>
      <c r="G40" s="26">
        <v>1.1749191299443016</v>
      </c>
    </row>
    <row r="41" spans="1:7" x14ac:dyDescent="0.35">
      <c r="A41" s="9">
        <f xml:space="preserve"> ROW( scalarDataframe[[#This Row],[row_id]] ) - ROW( scalarDataframe[[#Headers],[row_id]] )</f>
        <v>40</v>
      </c>
      <c r="B41" s="16" t="str">
        <f xml:space="preserve"> INDEX( co_scalarInfo[scalarType], MATCH( scalarDataframe[[#This Row],[scalarName]],  co_scalarInfo[scalarName], 0 ) )</f>
        <v>damageAdj</v>
      </c>
      <c r="C41" s="44" t="str">
        <f xml:space="preserve"> INDEX( co_scalarInfo[scalarLabel], MATCH( scalarDataframe[[#This Row],[scalarName]], co_scalarInfo[scalarName], 0 ) )</f>
        <v>Population-Driven Demand Growth Factor for Grid Reliability</v>
      </c>
      <c r="D41" s="24" t="s">
        <v>998</v>
      </c>
      <c r="E41" s="17" t="s">
        <v>8</v>
      </c>
      <c r="F41" s="25">
        <v>2035</v>
      </c>
      <c r="G41" s="26">
        <v>1.2361885907448045</v>
      </c>
    </row>
    <row r="42" spans="1:7" x14ac:dyDescent="0.35">
      <c r="A42" s="9">
        <f xml:space="preserve"> ROW( scalarDataframe[[#This Row],[row_id]] ) - ROW( scalarDataframe[[#Headers],[row_id]] )</f>
        <v>41</v>
      </c>
      <c r="B42" s="16" t="str">
        <f xml:space="preserve"> INDEX( co_scalarInfo[scalarType], MATCH( scalarDataframe[[#This Row],[scalarName]],  co_scalarInfo[scalarName], 0 ) )</f>
        <v>damageAdj</v>
      </c>
      <c r="C42" s="44" t="str">
        <f xml:space="preserve"> INDEX( co_scalarInfo[scalarLabel], MATCH( scalarDataframe[[#This Row],[scalarName]], co_scalarInfo[scalarName], 0 ) )</f>
        <v>Population-Driven Demand Growth Factor for Grid Reliability</v>
      </c>
      <c r="D42" s="24" t="s">
        <v>998</v>
      </c>
      <c r="E42" s="17" t="s">
        <v>8</v>
      </c>
      <c r="F42" s="25">
        <v>2040</v>
      </c>
      <c r="G42" s="26">
        <v>1.3054924923296534</v>
      </c>
    </row>
    <row r="43" spans="1:7" x14ac:dyDescent="0.35">
      <c r="A43" s="9">
        <f xml:space="preserve"> ROW( scalarDataframe[[#This Row],[row_id]] ) - ROW( scalarDataframe[[#Headers],[row_id]] )</f>
        <v>42</v>
      </c>
      <c r="B43" s="16" t="str">
        <f xml:space="preserve"> INDEX( co_scalarInfo[scalarType], MATCH( scalarDataframe[[#This Row],[scalarName]],  co_scalarInfo[scalarName], 0 ) )</f>
        <v>damageAdj</v>
      </c>
      <c r="C43" s="44" t="str">
        <f xml:space="preserve"> INDEX( co_scalarInfo[scalarLabel], MATCH( scalarDataframe[[#This Row],[scalarName]], co_scalarInfo[scalarName], 0 ) )</f>
        <v>Population-Driven Demand Growth Factor for Grid Reliability</v>
      </c>
      <c r="D43" s="24" t="s">
        <v>998</v>
      </c>
      <c r="E43" s="17" t="s">
        <v>8</v>
      </c>
      <c r="F43" s="25">
        <v>2045</v>
      </c>
      <c r="G43" s="26">
        <v>1.3754922839031076</v>
      </c>
    </row>
    <row r="44" spans="1:7" x14ac:dyDescent="0.35">
      <c r="A44" s="9">
        <f xml:space="preserve"> ROW( scalarDataframe[[#This Row],[row_id]] ) - ROW( scalarDataframe[[#Headers],[row_id]] )</f>
        <v>43</v>
      </c>
      <c r="B44" s="16" t="str">
        <f xml:space="preserve"> INDEX( co_scalarInfo[scalarType], MATCH( scalarDataframe[[#This Row],[scalarName]],  co_scalarInfo[scalarName], 0 ) )</f>
        <v>damageAdj</v>
      </c>
      <c r="C44" s="44" t="str">
        <f xml:space="preserve"> INDEX( co_scalarInfo[scalarLabel], MATCH( scalarDataframe[[#This Row],[scalarName]], co_scalarInfo[scalarName], 0 ) )</f>
        <v>Population-Driven Demand Growth Factor for Grid Reliability</v>
      </c>
      <c r="D44" s="24" t="s">
        <v>998</v>
      </c>
      <c r="E44" s="17" t="s">
        <v>8</v>
      </c>
      <c r="F44" s="25">
        <v>2050</v>
      </c>
      <c r="G44" s="26">
        <v>1.4387396715267398</v>
      </c>
    </row>
    <row r="45" spans="1:7" x14ac:dyDescent="0.35">
      <c r="A45" s="9">
        <f xml:space="preserve"> ROW( scalarDataframe[[#This Row],[row_id]] ) - ROW( scalarDataframe[[#Headers],[row_id]] )</f>
        <v>44</v>
      </c>
      <c r="B45" s="16" t="str">
        <f xml:space="preserve"> INDEX( co_scalarInfo[scalarType], MATCH( scalarDataframe[[#This Row],[scalarName]],  co_scalarInfo[scalarName], 0 ) )</f>
        <v>damageAdj</v>
      </c>
      <c r="C45" s="44" t="str">
        <f xml:space="preserve"> INDEX( co_scalarInfo[scalarLabel], MATCH( scalarDataframe[[#This Row],[scalarName]], co_scalarInfo[scalarName], 0 ) )</f>
        <v>Population-Driven Demand Growth Factor for Grid Reliability</v>
      </c>
      <c r="D45" s="24" t="s">
        <v>998</v>
      </c>
      <c r="E45" s="17" t="s">
        <v>8</v>
      </c>
      <c r="F45" s="25">
        <v>2055</v>
      </c>
      <c r="G45" s="26">
        <v>1.5054649229746904</v>
      </c>
    </row>
    <row r="46" spans="1:7" x14ac:dyDescent="0.35">
      <c r="A46" s="9">
        <f xml:space="preserve"> ROW( scalarDataframe[[#This Row],[row_id]] ) - ROW( scalarDataframe[[#Headers],[row_id]] )</f>
        <v>45</v>
      </c>
      <c r="B46" s="16" t="str">
        <f xml:space="preserve"> INDEX( co_scalarInfo[scalarType], MATCH( scalarDataframe[[#This Row],[scalarName]],  co_scalarInfo[scalarName], 0 ) )</f>
        <v>damageAdj</v>
      </c>
      <c r="C46" s="44" t="str">
        <f xml:space="preserve"> INDEX( co_scalarInfo[scalarLabel], MATCH( scalarDataframe[[#This Row],[scalarName]], co_scalarInfo[scalarName], 0 ) )</f>
        <v>Population-Driven Demand Growth Factor for Grid Reliability</v>
      </c>
      <c r="D46" s="24" t="s">
        <v>998</v>
      </c>
      <c r="E46" s="17" t="s">
        <v>8</v>
      </c>
      <c r="F46" s="25">
        <v>2060</v>
      </c>
      <c r="G46" s="26">
        <v>1.5686678288271334</v>
      </c>
    </row>
    <row r="47" spans="1:7" x14ac:dyDescent="0.35">
      <c r="A47" s="9">
        <f xml:space="preserve"> ROW( scalarDataframe[[#This Row],[row_id]] ) - ROW( scalarDataframe[[#Headers],[row_id]] )</f>
        <v>46</v>
      </c>
      <c r="B47" s="16" t="str">
        <f xml:space="preserve"> INDEX( co_scalarInfo[scalarType], MATCH( scalarDataframe[[#This Row],[scalarName]],  co_scalarInfo[scalarName], 0 ) )</f>
        <v>damageAdj</v>
      </c>
      <c r="C47" s="44" t="str">
        <f xml:space="preserve"> INDEX( co_scalarInfo[scalarLabel], MATCH( scalarDataframe[[#This Row],[scalarName]], co_scalarInfo[scalarName], 0 ) )</f>
        <v>Population-Driven Demand Growth Factor for Grid Reliability</v>
      </c>
      <c r="D47" s="24" t="s">
        <v>998</v>
      </c>
      <c r="E47" s="17" t="s">
        <v>8</v>
      </c>
      <c r="F47" s="25">
        <v>2065</v>
      </c>
      <c r="G47" s="26">
        <v>1.6345482659690804</v>
      </c>
    </row>
    <row r="48" spans="1:7" x14ac:dyDescent="0.35">
      <c r="A48" s="9">
        <f xml:space="preserve"> ROW( scalarDataframe[[#This Row],[row_id]] ) - ROW( scalarDataframe[[#Headers],[row_id]] )</f>
        <v>47</v>
      </c>
      <c r="B48" s="16" t="str">
        <f xml:space="preserve"> INDEX( co_scalarInfo[scalarType], MATCH( scalarDataframe[[#This Row],[scalarName]],  co_scalarInfo[scalarName], 0 ) )</f>
        <v>damageAdj</v>
      </c>
      <c r="C48" s="44" t="str">
        <f xml:space="preserve"> INDEX( co_scalarInfo[scalarLabel], MATCH( scalarDataframe[[#This Row],[scalarName]], co_scalarInfo[scalarName], 0 ) )</f>
        <v>Population-Driven Demand Growth Factor for Grid Reliability</v>
      </c>
      <c r="D48" s="24" t="s">
        <v>998</v>
      </c>
      <c r="E48" s="17" t="s">
        <v>8</v>
      </c>
      <c r="F48" s="25">
        <v>2070</v>
      </c>
      <c r="G48" s="26">
        <v>1.6954416121600839</v>
      </c>
    </row>
    <row r="49" spans="1:7" x14ac:dyDescent="0.35">
      <c r="A49" s="9">
        <f xml:space="preserve"> ROW( scalarDataframe[[#This Row],[row_id]] ) - ROW( scalarDataframe[[#Headers],[row_id]] )</f>
        <v>48</v>
      </c>
      <c r="B49" s="16" t="str">
        <f xml:space="preserve"> INDEX( co_scalarInfo[scalarType], MATCH( scalarDataframe[[#This Row],[scalarName]],  co_scalarInfo[scalarName], 0 ) )</f>
        <v>damageAdj</v>
      </c>
      <c r="C49" s="44" t="str">
        <f xml:space="preserve"> INDEX( co_scalarInfo[scalarLabel], MATCH( scalarDataframe[[#This Row],[scalarName]], co_scalarInfo[scalarName], 0 ) )</f>
        <v>Population-Driven Demand Growth Factor for Grid Reliability</v>
      </c>
      <c r="D49" s="24" t="s">
        <v>998</v>
      </c>
      <c r="E49" s="17" t="s">
        <v>8</v>
      </c>
      <c r="F49" s="25">
        <v>2075</v>
      </c>
      <c r="G49" s="26">
        <v>1.768078961710684</v>
      </c>
    </row>
    <row r="50" spans="1:7" x14ac:dyDescent="0.35">
      <c r="A50" s="9">
        <f xml:space="preserve"> ROW( scalarDataframe[[#This Row],[row_id]] ) - ROW( scalarDataframe[[#Headers],[row_id]] )</f>
        <v>49</v>
      </c>
      <c r="B50" s="16" t="str">
        <f xml:space="preserve"> INDEX( co_scalarInfo[scalarType], MATCH( scalarDataframe[[#This Row],[scalarName]],  co_scalarInfo[scalarName], 0 ) )</f>
        <v>damageAdj</v>
      </c>
      <c r="C50" s="44" t="str">
        <f xml:space="preserve"> INDEX( co_scalarInfo[scalarLabel], MATCH( scalarDataframe[[#This Row],[scalarName]], co_scalarInfo[scalarName], 0 ) )</f>
        <v>Population-Driven Demand Growth Factor for Grid Reliability</v>
      </c>
      <c r="D50" s="24" t="s">
        <v>998</v>
      </c>
      <c r="E50" s="17" t="s">
        <v>8</v>
      </c>
      <c r="F50" s="25">
        <v>2080</v>
      </c>
      <c r="G50" s="26">
        <v>1.8335045747129928</v>
      </c>
    </row>
    <row r="51" spans="1:7" x14ac:dyDescent="0.35">
      <c r="A51" s="9">
        <f xml:space="preserve"> ROW( scalarDataframe[[#This Row],[row_id]] ) - ROW( scalarDataframe[[#Headers],[row_id]] )</f>
        <v>50</v>
      </c>
      <c r="B51" s="16" t="str">
        <f xml:space="preserve"> INDEX( co_scalarInfo[scalarType], MATCH( scalarDataframe[[#This Row],[scalarName]],  co_scalarInfo[scalarName], 0 ) )</f>
        <v>damageAdj</v>
      </c>
      <c r="C51" s="44" t="str">
        <f xml:space="preserve"> INDEX( co_scalarInfo[scalarLabel], MATCH( scalarDataframe[[#This Row],[scalarName]], co_scalarInfo[scalarName], 0 ) )</f>
        <v>Population-Driven Demand Growth Factor for Grid Reliability</v>
      </c>
      <c r="D51" s="24" t="s">
        <v>998</v>
      </c>
      <c r="E51" s="17" t="s">
        <v>8</v>
      </c>
      <c r="F51" s="25">
        <v>2085</v>
      </c>
      <c r="G51" s="26">
        <v>1.8997498882332573</v>
      </c>
    </row>
    <row r="52" spans="1:7" x14ac:dyDescent="0.35">
      <c r="A52" s="9">
        <f xml:space="preserve"> ROW( scalarDataframe[[#This Row],[row_id]] ) - ROW( scalarDataframe[[#Headers],[row_id]] )</f>
        <v>51</v>
      </c>
      <c r="B52" s="16" t="str">
        <f xml:space="preserve"> INDEX( co_scalarInfo[scalarType], MATCH( scalarDataframe[[#This Row],[scalarName]],  co_scalarInfo[scalarName], 0 ) )</f>
        <v>damageAdj</v>
      </c>
      <c r="C52" s="44" t="str">
        <f xml:space="preserve"> INDEX( co_scalarInfo[scalarLabel], MATCH( scalarDataframe[[#This Row],[scalarName]], co_scalarInfo[scalarName], 0 ) )</f>
        <v>Population-Driven Demand Growth Factor for Grid Reliability</v>
      </c>
      <c r="D52" s="24" t="s">
        <v>998</v>
      </c>
      <c r="E52" s="17" t="s">
        <v>8</v>
      </c>
      <c r="F52" s="25">
        <v>2090</v>
      </c>
      <c r="G52" s="26">
        <v>1.9636963361187758</v>
      </c>
    </row>
    <row r="53" spans="1:7" x14ac:dyDescent="0.35">
      <c r="A53" s="9">
        <f xml:space="preserve"> ROW( scalarDataframe[[#This Row],[row_id]] ) - ROW( scalarDataframe[[#Headers],[row_id]] )</f>
        <v>52</v>
      </c>
      <c r="B53" s="16" t="str">
        <f xml:space="preserve"> INDEX( co_scalarInfo[scalarType], MATCH( scalarDataframe[[#This Row],[scalarName]],  co_scalarInfo[scalarName], 0 ) )</f>
        <v>damageAdj</v>
      </c>
      <c r="C53" s="44" t="str">
        <f xml:space="preserve"> INDEX( co_scalarInfo[scalarLabel], MATCH( scalarDataframe[[#This Row],[scalarName]], co_scalarInfo[scalarName], 0 ) )</f>
        <v>Population-Driven Demand Growth Factor for Grid Reliability</v>
      </c>
      <c r="D53" s="24" t="s">
        <v>998</v>
      </c>
      <c r="E53" s="17" t="s">
        <v>9</v>
      </c>
      <c r="F53" s="25">
        <v>2010</v>
      </c>
      <c r="G53" s="26">
        <v>1.0273717744687274</v>
      </c>
    </row>
    <row r="54" spans="1:7" x14ac:dyDescent="0.35">
      <c r="A54" s="9">
        <f xml:space="preserve"> ROW( scalarDataframe[[#This Row],[row_id]] ) - ROW( scalarDataframe[[#Headers],[row_id]] )</f>
        <v>53</v>
      </c>
      <c r="B54" s="16" t="str">
        <f xml:space="preserve"> INDEX( co_scalarInfo[scalarType], MATCH( scalarDataframe[[#This Row],[scalarName]],  co_scalarInfo[scalarName], 0 ) )</f>
        <v>damageAdj</v>
      </c>
      <c r="C54" s="44" t="str">
        <f xml:space="preserve"> INDEX( co_scalarInfo[scalarLabel], MATCH( scalarDataframe[[#This Row],[scalarName]], co_scalarInfo[scalarName], 0 ) )</f>
        <v>Population-Driven Demand Growth Factor for Grid Reliability</v>
      </c>
      <c r="D54" s="24" t="s">
        <v>998</v>
      </c>
      <c r="E54" s="17" t="s">
        <v>9</v>
      </c>
      <c r="F54" s="25">
        <v>2015</v>
      </c>
      <c r="G54" s="26">
        <v>1.0273717744687274</v>
      </c>
    </row>
    <row r="55" spans="1:7" x14ac:dyDescent="0.35">
      <c r="A55" s="9">
        <f xml:space="preserve"> ROW( scalarDataframe[[#This Row],[row_id]] ) - ROW( scalarDataframe[[#Headers],[row_id]] )</f>
        <v>54</v>
      </c>
      <c r="B55" s="16" t="str">
        <f xml:space="preserve"> INDEX( co_scalarInfo[scalarType], MATCH( scalarDataframe[[#This Row],[scalarName]],  co_scalarInfo[scalarName], 0 ) )</f>
        <v>damageAdj</v>
      </c>
      <c r="C55" s="44" t="str">
        <f xml:space="preserve"> INDEX( co_scalarInfo[scalarLabel], MATCH( scalarDataframe[[#This Row],[scalarName]], co_scalarInfo[scalarName], 0 ) )</f>
        <v>Population-Driven Demand Growth Factor for Grid Reliability</v>
      </c>
      <c r="D55" s="24" t="s">
        <v>998</v>
      </c>
      <c r="E55" s="17" t="s">
        <v>9</v>
      </c>
      <c r="F55" s="25">
        <v>2020</v>
      </c>
      <c r="G55" s="26">
        <v>1.0658841255541505</v>
      </c>
    </row>
    <row r="56" spans="1:7" x14ac:dyDescent="0.35">
      <c r="A56" s="9">
        <f xml:space="preserve"> ROW( scalarDataframe[[#This Row],[row_id]] ) - ROW( scalarDataframe[[#Headers],[row_id]] )</f>
        <v>55</v>
      </c>
      <c r="B56" s="16" t="str">
        <f xml:space="preserve"> INDEX( co_scalarInfo[scalarType], MATCH( scalarDataframe[[#This Row],[scalarName]],  co_scalarInfo[scalarName], 0 ) )</f>
        <v>damageAdj</v>
      </c>
      <c r="C56" s="44" t="str">
        <f xml:space="preserve"> INDEX( co_scalarInfo[scalarLabel], MATCH( scalarDataframe[[#This Row],[scalarName]], co_scalarInfo[scalarName], 0 ) )</f>
        <v>Population-Driven Demand Growth Factor for Grid Reliability</v>
      </c>
      <c r="D56" s="24" t="s">
        <v>998</v>
      </c>
      <c r="E56" s="17" t="s">
        <v>9</v>
      </c>
      <c r="F56" s="25">
        <v>2025</v>
      </c>
      <c r="G56" s="26">
        <v>1.1016075406331829</v>
      </c>
    </row>
    <row r="57" spans="1:7" x14ac:dyDescent="0.35">
      <c r="A57" s="9">
        <f xml:space="preserve"> ROW( scalarDataframe[[#This Row],[row_id]] ) - ROW( scalarDataframe[[#Headers],[row_id]] )</f>
        <v>56</v>
      </c>
      <c r="B57" s="16" t="str">
        <f xml:space="preserve"> INDEX( co_scalarInfo[scalarType], MATCH( scalarDataframe[[#This Row],[scalarName]],  co_scalarInfo[scalarName], 0 ) )</f>
        <v>damageAdj</v>
      </c>
      <c r="C57" s="44" t="str">
        <f xml:space="preserve"> INDEX( co_scalarInfo[scalarLabel], MATCH( scalarDataframe[[#This Row],[scalarName]], co_scalarInfo[scalarName], 0 ) )</f>
        <v>Population-Driven Demand Growth Factor for Grid Reliability</v>
      </c>
      <c r="D57" s="24" t="s">
        <v>998</v>
      </c>
      <c r="E57" s="17" t="s">
        <v>9</v>
      </c>
      <c r="F57" s="25">
        <v>2030</v>
      </c>
      <c r="G57" s="26">
        <v>1.1341147257733322</v>
      </c>
    </row>
    <row r="58" spans="1:7" x14ac:dyDescent="0.35">
      <c r="A58" s="9">
        <f xml:space="preserve"> ROW( scalarDataframe[[#This Row],[row_id]] ) - ROW( scalarDataframe[[#Headers],[row_id]] )</f>
        <v>57</v>
      </c>
      <c r="B58" s="16" t="str">
        <f xml:space="preserve"> INDEX( co_scalarInfo[scalarType], MATCH( scalarDataframe[[#This Row],[scalarName]],  co_scalarInfo[scalarName], 0 ) )</f>
        <v>damageAdj</v>
      </c>
      <c r="C58" s="44" t="str">
        <f xml:space="preserve"> INDEX( co_scalarInfo[scalarLabel], MATCH( scalarDataframe[[#This Row],[scalarName]], co_scalarInfo[scalarName], 0 ) )</f>
        <v>Population-Driven Demand Growth Factor for Grid Reliability</v>
      </c>
      <c r="D58" s="24" t="s">
        <v>998</v>
      </c>
      <c r="E58" s="17" t="s">
        <v>9</v>
      </c>
      <c r="F58" s="25">
        <v>2035</v>
      </c>
      <c r="G58" s="26">
        <v>1.1866796290658785</v>
      </c>
    </row>
    <row r="59" spans="1:7" x14ac:dyDescent="0.35">
      <c r="A59" s="9">
        <f xml:space="preserve"> ROW( scalarDataframe[[#This Row],[row_id]] ) - ROW( scalarDataframe[[#Headers],[row_id]] )</f>
        <v>58</v>
      </c>
      <c r="B59" s="16" t="str">
        <f xml:space="preserve"> INDEX( co_scalarInfo[scalarType], MATCH( scalarDataframe[[#This Row],[scalarName]],  co_scalarInfo[scalarName], 0 ) )</f>
        <v>damageAdj</v>
      </c>
      <c r="C59" s="44" t="str">
        <f xml:space="preserve"> INDEX( co_scalarInfo[scalarLabel], MATCH( scalarDataframe[[#This Row],[scalarName]], co_scalarInfo[scalarName], 0 ) )</f>
        <v>Population-Driven Demand Growth Factor for Grid Reliability</v>
      </c>
      <c r="D59" s="24" t="s">
        <v>998</v>
      </c>
      <c r="E59" s="17" t="s">
        <v>9</v>
      </c>
      <c r="F59" s="25">
        <v>2040</v>
      </c>
      <c r="G59" s="26">
        <v>1.2511617413648999</v>
      </c>
    </row>
    <row r="60" spans="1:7" x14ac:dyDescent="0.35">
      <c r="A60" s="9">
        <f xml:space="preserve"> ROW( scalarDataframe[[#This Row],[row_id]] ) - ROW( scalarDataframe[[#Headers],[row_id]] )</f>
        <v>59</v>
      </c>
      <c r="B60" s="16" t="str">
        <f xml:space="preserve"> INDEX( co_scalarInfo[scalarType], MATCH( scalarDataframe[[#This Row],[scalarName]],  co_scalarInfo[scalarName], 0 ) )</f>
        <v>damageAdj</v>
      </c>
      <c r="C60" s="44" t="str">
        <f xml:space="preserve"> INDEX( co_scalarInfo[scalarLabel], MATCH( scalarDataframe[[#This Row],[scalarName]], co_scalarInfo[scalarName], 0 ) )</f>
        <v>Population-Driven Demand Growth Factor for Grid Reliability</v>
      </c>
      <c r="D60" s="24" t="s">
        <v>998</v>
      </c>
      <c r="E60" s="17" t="s">
        <v>9</v>
      </c>
      <c r="F60" s="25">
        <v>2045</v>
      </c>
      <c r="G60" s="26">
        <v>1.3133475356390298</v>
      </c>
    </row>
    <row r="61" spans="1:7" x14ac:dyDescent="0.35">
      <c r="A61" s="9">
        <f xml:space="preserve"> ROW( scalarDataframe[[#This Row],[row_id]] ) - ROW( scalarDataframe[[#Headers],[row_id]] )</f>
        <v>60</v>
      </c>
      <c r="B61" s="16" t="str">
        <f xml:space="preserve"> INDEX( co_scalarInfo[scalarType], MATCH( scalarDataframe[[#This Row],[scalarName]],  co_scalarInfo[scalarName], 0 ) )</f>
        <v>damageAdj</v>
      </c>
      <c r="C61" s="44" t="str">
        <f xml:space="preserve"> INDEX( co_scalarInfo[scalarLabel], MATCH( scalarDataframe[[#This Row],[scalarName]], co_scalarInfo[scalarName], 0 ) )</f>
        <v>Population-Driven Demand Growth Factor for Grid Reliability</v>
      </c>
      <c r="D61" s="24" t="s">
        <v>998</v>
      </c>
      <c r="E61" s="17" t="s">
        <v>9</v>
      </c>
      <c r="F61" s="25">
        <v>2050</v>
      </c>
      <c r="G61" s="26">
        <v>1.3715778440056343</v>
      </c>
    </row>
    <row r="62" spans="1:7" x14ac:dyDescent="0.35">
      <c r="A62" s="9">
        <f xml:space="preserve"> ROW( scalarDataframe[[#This Row],[row_id]] ) - ROW( scalarDataframe[[#Headers],[row_id]] )</f>
        <v>61</v>
      </c>
      <c r="B62" s="16" t="str">
        <f xml:space="preserve"> INDEX( co_scalarInfo[scalarType], MATCH( scalarDataframe[[#This Row],[scalarName]],  co_scalarInfo[scalarName], 0 ) )</f>
        <v>damageAdj</v>
      </c>
      <c r="C62" s="44" t="str">
        <f xml:space="preserve"> INDEX( co_scalarInfo[scalarLabel], MATCH( scalarDataframe[[#This Row],[scalarName]], co_scalarInfo[scalarName], 0 ) )</f>
        <v>Population-Driven Demand Growth Factor for Grid Reliability</v>
      </c>
      <c r="D62" s="24" t="s">
        <v>998</v>
      </c>
      <c r="E62" s="17" t="s">
        <v>9</v>
      </c>
      <c r="F62" s="25">
        <v>2055</v>
      </c>
      <c r="G62" s="26">
        <v>1.4258606971429568</v>
      </c>
    </row>
    <row r="63" spans="1:7" x14ac:dyDescent="0.35">
      <c r="A63" s="9">
        <f xml:space="preserve"> ROW( scalarDataframe[[#This Row],[row_id]] ) - ROW( scalarDataframe[[#Headers],[row_id]] )</f>
        <v>62</v>
      </c>
      <c r="B63" s="16" t="str">
        <f xml:space="preserve"> INDEX( co_scalarInfo[scalarType], MATCH( scalarDataframe[[#This Row],[scalarName]],  co_scalarInfo[scalarName], 0 ) )</f>
        <v>damageAdj</v>
      </c>
      <c r="C63" s="44" t="str">
        <f xml:space="preserve"> INDEX( co_scalarInfo[scalarLabel], MATCH( scalarDataframe[[#This Row],[scalarName]], co_scalarInfo[scalarName], 0 ) )</f>
        <v>Population-Driven Demand Growth Factor for Grid Reliability</v>
      </c>
      <c r="D63" s="24" t="s">
        <v>998</v>
      </c>
      <c r="E63" s="17" t="s">
        <v>9</v>
      </c>
      <c r="F63" s="25">
        <v>2060</v>
      </c>
      <c r="G63" s="26">
        <v>1.478874453008854</v>
      </c>
    </row>
    <row r="64" spans="1:7" x14ac:dyDescent="0.35">
      <c r="A64" s="9">
        <f xml:space="preserve"> ROW( scalarDataframe[[#This Row],[row_id]] ) - ROW( scalarDataframe[[#Headers],[row_id]] )</f>
        <v>63</v>
      </c>
      <c r="B64" s="16" t="str">
        <f xml:space="preserve"> INDEX( co_scalarInfo[scalarType], MATCH( scalarDataframe[[#This Row],[scalarName]],  co_scalarInfo[scalarName], 0 ) )</f>
        <v>damageAdj</v>
      </c>
      <c r="C64" s="44" t="str">
        <f xml:space="preserve"> INDEX( co_scalarInfo[scalarLabel], MATCH( scalarDataframe[[#This Row],[scalarName]], co_scalarInfo[scalarName], 0 ) )</f>
        <v>Population-Driven Demand Growth Factor for Grid Reliability</v>
      </c>
      <c r="D64" s="24" t="s">
        <v>998</v>
      </c>
      <c r="E64" s="17" t="s">
        <v>9</v>
      </c>
      <c r="F64" s="25">
        <v>2065</v>
      </c>
      <c r="G64" s="26">
        <v>1.5314994102102757</v>
      </c>
    </row>
    <row r="65" spans="1:7" x14ac:dyDescent="0.35">
      <c r="A65" s="9">
        <f xml:space="preserve"> ROW( scalarDataframe[[#This Row],[row_id]] ) - ROW( scalarDataframe[[#Headers],[row_id]] )</f>
        <v>64</v>
      </c>
      <c r="B65" s="16" t="str">
        <f xml:space="preserve"> INDEX( co_scalarInfo[scalarType], MATCH( scalarDataframe[[#This Row],[scalarName]],  co_scalarInfo[scalarName], 0 ) )</f>
        <v>damageAdj</v>
      </c>
      <c r="C65" s="44" t="str">
        <f xml:space="preserve"> INDEX( co_scalarInfo[scalarLabel], MATCH( scalarDataframe[[#This Row],[scalarName]], co_scalarInfo[scalarName], 0 ) )</f>
        <v>Population-Driven Demand Growth Factor for Grid Reliability</v>
      </c>
      <c r="D65" s="24" t="s">
        <v>998</v>
      </c>
      <c r="E65" s="17" t="s">
        <v>9</v>
      </c>
      <c r="F65" s="25">
        <v>2070</v>
      </c>
      <c r="G65" s="26">
        <v>1.5811704244956228</v>
      </c>
    </row>
    <row r="66" spans="1:7" x14ac:dyDescent="0.35">
      <c r="A66" s="9">
        <f xml:space="preserve"> ROW( scalarDataframe[[#This Row],[row_id]] ) - ROW( scalarDataframe[[#Headers],[row_id]] )</f>
        <v>65</v>
      </c>
      <c r="B66" s="16" t="str">
        <f xml:space="preserve"> INDEX( co_scalarInfo[scalarType], MATCH( scalarDataframe[[#This Row],[scalarName]],  co_scalarInfo[scalarName], 0 ) )</f>
        <v>damageAdj</v>
      </c>
      <c r="C66" s="44" t="str">
        <f xml:space="preserve"> INDEX( co_scalarInfo[scalarLabel], MATCH( scalarDataframe[[#This Row],[scalarName]], co_scalarInfo[scalarName], 0 ) )</f>
        <v>Population-Driven Demand Growth Factor for Grid Reliability</v>
      </c>
      <c r="D66" s="24" t="s">
        <v>998</v>
      </c>
      <c r="E66" s="17" t="s">
        <v>9</v>
      </c>
      <c r="F66" s="25">
        <v>2075</v>
      </c>
      <c r="G66" s="26">
        <v>1.630690233044541</v>
      </c>
    </row>
    <row r="67" spans="1:7" x14ac:dyDescent="0.35">
      <c r="A67" s="9">
        <f xml:space="preserve"> ROW( scalarDataframe[[#This Row],[row_id]] ) - ROW( scalarDataframe[[#Headers],[row_id]] )</f>
        <v>66</v>
      </c>
      <c r="B67" s="16" t="str">
        <f xml:space="preserve"> INDEX( co_scalarInfo[scalarType], MATCH( scalarDataframe[[#This Row],[scalarName]],  co_scalarInfo[scalarName], 0 ) )</f>
        <v>damageAdj</v>
      </c>
      <c r="C67" s="44" t="str">
        <f xml:space="preserve"> INDEX( co_scalarInfo[scalarLabel], MATCH( scalarDataframe[[#This Row],[scalarName]], co_scalarInfo[scalarName], 0 ) )</f>
        <v>Population-Driven Demand Growth Factor for Grid Reliability</v>
      </c>
      <c r="D67" s="24" t="s">
        <v>998</v>
      </c>
      <c r="E67" s="17" t="s">
        <v>9</v>
      </c>
      <c r="F67" s="25">
        <v>2080</v>
      </c>
      <c r="G67" s="26">
        <v>1.6833122205734474</v>
      </c>
    </row>
    <row r="68" spans="1:7" x14ac:dyDescent="0.35">
      <c r="A68" s="9">
        <f xml:space="preserve"> ROW( scalarDataframe[[#This Row],[row_id]] ) - ROW( scalarDataframe[[#Headers],[row_id]] )</f>
        <v>67</v>
      </c>
      <c r="B68" s="16" t="str">
        <f xml:space="preserve"> INDEX( co_scalarInfo[scalarType], MATCH( scalarDataframe[[#This Row],[scalarName]],  co_scalarInfo[scalarName], 0 ) )</f>
        <v>damageAdj</v>
      </c>
      <c r="C68" s="44" t="str">
        <f xml:space="preserve"> INDEX( co_scalarInfo[scalarLabel], MATCH( scalarDataframe[[#This Row],[scalarName]], co_scalarInfo[scalarName], 0 ) )</f>
        <v>Population-Driven Demand Growth Factor for Grid Reliability</v>
      </c>
      <c r="D68" s="24" t="s">
        <v>998</v>
      </c>
      <c r="E68" s="17" t="s">
        <v>9</v>
      </c>
      <c r="F68" s="25">
        <v>2085</v>
      </c>
      <c r="G68" s="26">
        <v>1.736033953006848</v>
      </c>
    </row>
    <row r="69" spans="1:7" x14ac:dyDescent="0.35">
      <c r="A69" s="9">
        <f xml:space="preserve"> ROW( scalarDataframe[[#This Row],[row_id]] ) - ROW( scalarDataframe[[#Headers],[row_id]] )</f>
        <v>68</v>
      </c>
      <c r="B69" s="16" t="str">
        <f xml:space="preserve"> INDEX( co_scalarInfo[scalarType], MATCH( scalarDataframe[[#This Row],[scalarName]],  co_scalarInfo[scalarName], 0 ) )</f>
        <v>damageAdj</v>
      </c>
      <c r="C69" s="44" t="str">
        <f xml:space="preserve"> INDEX( co_scalarInfo[scalarLabel], MATCH( scalarDataframe[[#This Row],[scalarName]], co_scalarInfo[scalarName], 0 ) )</f>
        <v>Population-Driven Demand Growth Factor for Grid Reliability</v>
      </c>
      <c r="D69" s="24" t="s">
        <v>998</v>
      </c>
      <c r="E69" s="17" t="s">
        <v>9</v>
      </c>
      <c r="F69" s="25">
        <v>2090</v>
      </c>
      <c r="G69" s="26">
        <v>1.7929889497107654</v>
      </c>
    </row>
    <row r="70" spans="1:7" x14ac:dyDescent="0.35">
      <c r="A70" s="9">
        <f xml:space="preserve"> ROW( scalarDataframe[[#This Row],[row_id]] ) - ROW( scalarDataframe[[#Headers],[row_id]] )</f>
        <v>69</v>
      </c>
      <c r="B70" s="16" t="str">
        <f xml:space="preserve"> INDEX( co_scalarInfo[scalarType], MATCH( scalarDataframe[[#This Row],[scalarName]],  co_scalarInfo[scalarName], 0 ) )</f>
        <v>damageAdj</v>
      </c>
      <c r="C70" s="44" t="str">
        <f xml:space="preserve"> INDEX( co_scalarInfo[scalarLabel], MATCH( scalarDataframe[[#This Row],[scalarName]], co_scalarInfo[scalarName], 0 ) )</f>
        <v>Population-Driven Demand Growth Factor for Grid Reliability</v>
      </c>
      <c r="D70" s="24" t="s">
        <v>998</v>
      </c>
      <c r="E70" s="17" t="s">
        <v>10</v>
      </c>
      <c r="F70" s="25">
        <v>2010</v>
      </c>
      <c r="G70" s="26">
        <v>1.0118212995842597</v>
      </c>
    </row>
    <row r="71" spans="1:7" x14ac:dyDescent="0.35">
      <c r="A71" s="9">
        <f xml:space="preserve"> ROW( scalarDataframe[[#This Row],[row_id]] ) - ROW( scalarDataframe[[#Headers],[row_id]] )</f>
        <v>70</v>
      </c>
      <c r="B71" s="16" t="str">
        <f xml:space="preserve"> INDEX( co_scalarInfo[scalarType], MATCH( scalarDataframe[[#This Row],[scalarName]],  co_scalarInfo[scalarName], 0 ) )</f>
        <v>damageAdj</v>
      </c>
      <c r="C71" s="44" t="str">
        <f xml:space="preserve"> INDEX( co_scalarInfo[scalarLabel], MATCH( scalarDataframe[[#This Row],[scalarName]], co_scalarInfo[scalarName], 0 ) )</f>
        <v>Population-Driven Demand Growth Factor for Grid Reliability</v>
      </c>
      <c r="D71" s="24" t="s">
        <v>998</v>
      </c>
      <c r="E71" s="17" t="s">
        <v>10</v>
      </c>
      <c r="F71" s="25">
        <v>2015</v>
      </c>
      <c r="G71" s="26">
        <v>1.0118212995842597</v>
      </c>
    </row>
    <row r="72" spans="1:7" x14ac:dyDescent="0.35">
      <c r="A72" s="9">
        <f xml:space="preserve"> ROW( scalarDataframe[[#This Row],[row_id]] ) - ROW( scalarDataframe[[#Headers],[row_id]] )</f>
        <v>71</v>
      </c>
      <c r="B72" s="16" t="str">
        <f xml:space="preserve"> INDEX( co_scalarInfo[scalarType], MATCH( scalarDataframe[[#This Row],[scalarName]],  co_scalarInfo[scalarName], 0 ) )</f>
        <v>damageAdj</v>
      </c>
      <c r="C72" s="44" t="str">
        <f xml:space="preserve"> INDEX( co_scalarInfo[scalarLabel], MATCH( scalarDataframe[[#This Row],[scalarName]], co_scalarInfo[scalarName], 0 ) )</f>
        <v>Population-Driven Demand Growth Factor for Grid Reliability</v>
      </c>
      <c r="D72" s="24" t="s">
        <v>998</v>
      </c>
      <c r="E72" s="17" t="s">
        <v>10</v>
      </c>
      <c r="F72" s="25">
        <v>2020</v>
      </c>
      <c r="G72" s="26">
        <v>1.174765233281724</v>
      </c>
    </row>
    <row r="73" spans="1:7" x14ac:dyDescent="0.35">
      <c r="A73" s="9">
        <f xml:space="preserve"> ROW( scalarDataframe[[#This Row],[row_id]] ) - ROW( scalarDataframe[[#Headers],[row_id]] )</f>
        <v>72</v>
      </c>
      <c r="B73" s="16" t="str">
        <f xml:space="preserve"> INDEX( co_scalarInfo[scalarType], MATCH( scalarDataframe[[#This Row],[scalarName]],  co_scalarInfo[scalarName], 0 ) )</f>
        <v>damageAdj</v>
      </c>
      <c r="C73" s="44" t="str">
        <f xml:space="preserve"> INDEX( co_scalarInfo[scalarLabel], MATCH( scalarDataframe[[#This Row],[scalarName]], co_scalarInfo[scalarName], 0 ) )</f>
        <v>Population-Driven Demand Growth Factor for Grid Reliability</v>
      </c>
      <c r="D73" s="24" t="s">
        <v>998</v>
      </c>
      <c r="E73" s="17" t="s">
        <v>10</v>
      </c>
      <c r="F73" s="25">
        <v>2025</v>
      </c>
      <c r="G73" s="26">
        <v>1.2062620246713853</v>
      </c>
    </row>
    <row r="74" spans="1:7" x14ac:dyDescent="0.35">
      <c r="A74" s="9">
        <f xml:space="preserve"> ROW( scalarDataframe[[#This Row],[row_id]] ) - ROW( scalarDataframe[[#Headers],[row_id]] )</f>
        <v>73</v>
      </c>
      <c r="B74" s="16" t="str">
        <f xml:space="preserve"> INDEX( co_scalarInfo[scalarType], MATCH( scalarDataframe[[#This Row],[scalarName]],  co_scalarInfo[scalarName], 0 ) )</f>
        <v>damageAdj</v>
      </c>
      <c r="C74" s="44" t="str">
        <f xml:space="preserve"> INDEX( co_scalarInfo[scalarLabel], MATCH( scalarDataframe[[#This Row],[scalarName]], co_scalarInfo[scalarName], 0 ) )</f>
        <v>Population-Driven Demand Growth Factor for Grid Reliability</v>
      </c>
      <c r="D74" s="24" t="s">
        <v>998</v>
      </c>
      <c r="E74" s="17" t="s">
        <v>10</v>
      </c>
      <c r="F74" s="25">
        <v>2030</v>
      </c>
      <c r="G74" s="26">
        <v>1.2263496631073512</v>
      </c>
    </row>
    <row r="75" spans="1:7" x14ac:dyDescent="0.35">
      <c r="A75" s="9">
        <f xml:space="preserve"> ROW( scalarDataframe[[#This Row],[row_id]] ) - ROW( scalarDataframe[[#Headers],[row_id]] )</f>
        <v>74</v>
      </c>
      <c r="B75" s="16" t="str">
        <f xml:space="preserve"> INDEX( co_scalarInfo[scalarType], MATCH( scalarDataframe[[#This Row],[scalarName]],  co_scalarInfo[scalarName], 0 ) )</f>
        <v>damageAdj</v>
      </c>
      <c r="C75" s="44" t="str">
        <f xml:space="preserve"> INDEX( co_scalarInfo[scalarLabel], MATCH( scalarDataframe[[#This Row],[scalarName]], co_scalarInfo[scalarName], 0 ) )</f>
        <v>Population-Driven Demand Growth Factor for Grid Reliability</v>
      </c>
      <c r="D75" s="24" t="s">
        <v>998</v>
      </c>
      <c r="E75" s="17" t="s">
        <v>10</v>
      </c>
      <c r="F75" s="25">
        <v>2035</v>
      </c>
      <c r="G75" s="26">
        <v>1.266043489746997</v>
      </c>
    </row>
    <row r="76" spans="1:7" x14ac:dyDescent="0.35">
      <c r="A76" s="9">
        <f xml:space="preserve"> ROW( scalarDataframe[[#This Row],[row_id]] ) - ROW( scalarDataframe[[#Headers],[row_id]] )</f>
        <v>75</v>
      </c>
      <c r="B76" s="16" t="str">
        <f xml:space="preserve"> INDEX( co_scalarInfo[scalarType], MATCH( scalarDataframe[[#This Row],[scalarName]],  co_scalarInfo[scalarName], 0 ) )</f>
        <v>damageAdj</v>
      </c>
      <c r="C76" s="44" t="str">
        <f xml:space="preserve"> INDEX( co_scalarInfo[scalarLabel], MATCH( scalarDataframe[[#This Row],[scalarName]], co_scalarInfo[scalarName], 0 ) )</f>
        <v>Population-Driven Demand Growth Factor for Grid Reliability</v>
      </c>
      <c r="D76" s="24" t="s">
        <v>998</v>
      </c>
      <c r="E76" s="17" t="s">
        <v>10</v>
      </c>
      <c r="F76" s="25">
        <v>2040</v>
      </c>
      <c r="G76" s="26">
        <v>1.3165376022068718</v>
      </c>
    </row>
    <row r="77" spans="1:7" x14ac:dyDescent="0.35">
      <c r="A77" s="9">
        <f xml:space="preserve"> ROW( scalarDataframe[[#This Row],[row_id]] ) - ROW( scalarDataframe[[#Headers],[row_id]] )</f>
        <v>76</v>
      </c>
      <c r="B77" s="16" t="str">
        <f xml:space="preserve"> INDEX( co_scalarInfo[scalarType], MATCH( scalarDataframe[[#This Row],[scalarName]],  co_scalarInfo[scalarName], 0 ) )</f>
        <v>damageAdj</v>
      </c>
      <c r="C77" s="44" t="str">
        <f xml:space="preserve"> INDEX( co_scalarInfo[scalarLabel], MATCH( scalarDataframe[[#This Row],[scalarName]], co_scalarInfo[scalarName], 0 ) )</f>
        <v>Population-Driven Demand Growth Factor for Grid Reliability</v>
      </c>
      <c r="D77" s="24" t="s">
        <v>998</v>
      </c>
      <c r="E77" s="17" t="s">
        <v>10</v>
      </c>
      <c r="F77" s="25">
        <v>2045</v>
      </c>
      <c r="G77" s="26">
        <v>1.3699032678956105</v>
      </c>
    </row>
    <row r="78" spans="1:7" x14ac:dyDescent="0.35">
      <c r="A78" s="9">
        <f xml:space="preserve"> ROW( scalarDataframe[[#This Row],[row_id]] ) - ROW( scalarDataframe[[#Headers],[row_id]] )</f>
        <v>77</v>
      </c>
      <c r="B78" s="16" t="str">
        <f xml:space="preserve"> INDEX( co_scalarInfo[scalarType], MATCH( scalarDataframe[[#This Row],[scalarName]],  co_scalarInfo[scalarName], 0 ) )</f>
        <v>damageAdj</v>
      </c>
      <c r="C78" s="44" t="str">
        <f xml:space="preserve"> INDEX( co_scalarInfo[scalarLabel], MATCH( scalarDataframe[[#This Row],[scalarName]], co_scalarInfo[scalarName], 0 ) )</f>
        <v>Population-Driven Demand Growth Factor for Grid Reliability</v>
      </c>
      <c r="D78" s="24" t="s">
        <v>998</v>
      </c>
      <c r="E78" s="17" t="s">
        <v>10</v>
      </c>
      <c r="F78" s="25">
        <v>2050</v>
      </c>
      <c r="G78" s="26">
        <v>1.4182223957589724</v>
      </c>
    </row>
    <row r="79" spans="1:7" x14ac:dyDescent="0.35">
      <c r="A79" s="9">
        <f xml:space="preserve"> ROW( scalarDataframe[[#This Row],[row_id]] ) - ROW( scalarDataframe[[#Headers],[row_id]] )</f>
        <v>78</v>
      </c>
      <c r="B79" s="16" t="str">
        <f xml:space="preserve"> INDEX( co_scalarInfo[scalarType], MATCH( scalarDataframe[[#This Row],[scalarName]],  co_scalarInfo[scalarName], 0 ) )</f>
        <v>damageAdj</v>
      </c>
      <c r="C79" s="44" t="str">
        <f xml:space="preserve"> INDEX( co_scalarInfo[scalarLabel], MATCH( scalarDataframe[[#This Row],[scalarName]], co_scalarInfo[scalarName], 0 ) )</f>
        <v>Population-Driven Demand Growth Factor for Grid Reliability</v>
      </c>
      <c r="D79" s="24" t="s">
        <v>998</v>
      </c>
      <c r="E79" s="17" t="s">
        <v>10</v>
      </c>
      <c r="F79" s="25">
        <v>2055</v>
      </c>
      <c r="G79" s="26">
        <v>1.470898644235324</v>
      </c>
    </row>
    <row r="80" spans="1:7" x14ac:dyDescent="0.35">
      <c r="A80" s="9">
        <f xml:space="preserve"> ROW( scalarDataframe[[#This Row],[row_id]] ) - ROW( scalarDataframe[[#Headers],[row_id]] )</f>
        <v>79</v>
      </c>
      <c r="B80" s="16" t="str">
        <f xml:space="preserve"> INDEX( co_scalarInfo[scalarType], MATCH( scalarDataframe[[#This Row],[scalarName]],  co_scalarInfo[scalarName], 0 ) )</f>
        <v>damageAdj</v>
      </c>
      <c r="C80" s="44" t="str">
        <f xml:space="preserve"> INDEX( co_scalarInfo[scalarLabel], MATCH( scalarDataframe[[#This Row],[scalarName]], co_scalarInfo[scalarName], 0 ) )</f>
        <v>Population-Driven Demand Growth Factor for Grid Reliability</v>
      </c>
      <c r="D80" s="24" t="s">
        <v>998</v>
      </c>
      <c r="E80" s="17" t="s">
        <v>10</v>
      </c>
      <c r="F80" s="25">
        <v>2060</v>
      </c>
      <c r="G80" s="26">
        <v>1.5216005131948718</v>
      </c>
    </row>
    <row r="81" spans="1:7" x14ac:dyDescent="0.35">
      <c r="A81" s="9">
        <f xml:space="preserve"> ROW( scalarDataframe[[#This Row],[row_id]] ) - ROW( scalarDataframe[[#Headers],[row_id]] )</f>
        <v>80</v>
      </c>
      <c r="B81" s="16" t="str">
        <f xml:space="preserve"> INDEX( co_scalarInfo[scalarType], MATCH( scalarDataframe[[#This Row],[scalarName]],  co_scalarInfo[scalarName], 0 ) )</f>
        <v>damageAdj</v>
      </c>
      <c r="C81" s="44" t="str">
        <f xml:space="preserve"> INDEX( co_scalarInfo[scalarLabel], MATCH( scalarDataframe[[#This Row],[scalarName]], co_scalarInfo[scalarName], 0 ) )</f>
        <v>Population-Driven Demand Growth Factor for Grid Reliability</v>
      </c>
      <c r="D81" s="24" t="s">
        <v>998</v>
      </c>
      <c r="E81" s="17" t="s">
        <v>10</v>
      </c>
      <c r="F81" s="25">
        <v>2065</v>
      </c>
      <c r="G81" s="26">
        <v>1.5687674132355294</v>
      </c>
    </row>
    <row r="82" spans="1:7" x14ac:dyDescent="0.35">
      <c r="A82" s="9">
        <f xml:space="preserve"> ROW( scalarDataframe[[#This Row],[row_id]] ) - ROW( scalarDataframe[[#Headers],[row_id]] )</f>
        <v>81</v>
      </c>
      <c r="B82" s="16" t="str">
        <f xml:space="preserve"> INDEX( co_scalarInfo[scalarType], MATCH( scalarDataframe[[#This Row],[scalarName]],  co_scalarInfo[scalarName], 0 ) )</f>
        <v>damageAdj</v>
      </c>
      <c r="C82" s="44" t="str">
        <f xml:space="preserve"> INDEX( co_scalarInfo[scalarLabel], MATCH( scalarDataframe[[#This Row],[scalarName]], co_scalarInfo[scalarName], 0 ) )</f>
        <v>Population-Driven Demand Growth Factor for Grid Reliability</v>
      </c>
      <c r="D82" s="24" t="s">
        <v>998</v>
      </c>
      <c r="E82" s="17" t="s">
        <v>10</v>
      </c>
      <c r="F82" s="25">
        <v>2070</v>
      </c>
      <c r="G82" s="26">
        <v>1.6151186236646569</v>
      </c>
    </row>
    <row r="83" spans="1:7" x14ac:dyDescent="0.35">
      <c r="A83" s="9">
        <f xml:space="preserve"> ROW( scalarDataframe[[#This Row],[row_id]] ) - ROW( scalarDataframe[[#Headers],[row_id]] )</f>
        <v>82</v>
      </c>
      <c r="B83" s="16" t="str">
        <f xml:space="preserve"> INDEX( co_scalarInfo[scalarType], MATCH( scalarDataframe[[#This Row],[scalarName]],  co_scalarInfo[scalarName], 0 ) )</f>
        <v>damageAdj</v>
      </c>
      <c r="C83" s="44" t="str">
        <f xml:space="preserve"> INDEX( co_scalarInfo[scalarLabel], MATCH( scalarDataframe[[#This Row],[scalarName]], co_scalarInfo[scalarName], 0 ) )</f>
        <v>Population-Driven Demand Growth Factor for Grid Reliability</v>
      </c>
      <c r="D83" s="24" t="s">
        <v>998</v>
      </c>
      <c r="E83" s="17" t="s">
        <v>10</v>
      </c>
      <c r="F83" s="25">
        <v>2075</v>
      </c>
      <c r="G83" s="26">
        <v>1.6608896502962085</v>
      </c>
    </row>
    <row r="84" spans="1:7" x14ac:dyDescent="0.35">
      <c r="A84" s="9">
        <f xml:space="preserve"> ROW( scalarDataframe[[#This Row],[row_id]] ) - ROW( scalarDataframe[[#Headers],[row_id]] )</f>
        <v>83</v>
      </c>
      <c r="B84" s="16" t="str">
        <f xml:space="preserve"> INDEX( co_scalarInfo[scalarType], MATCH( scalarDataframe[[#This Row],[scalarName]],  co_scalarInfo[scalarName], 0 ) )</f>
        <v>damageAdj</v>
      </c>
      <c r="C84" s="44" t="str">
        <f xml:space="preserve"> INDEX( co_scalarInfo[scalarLabel], MATCH( scalarDataframe[[#This Row],[scalarName]], co_scalarInfo[scalarName], 0 ) )</f>
        <v>Population-Driven Demand Growth Factor for Grid Reliability</v>
      </c>
      <c r="D84" s="24" t="s">
        <v>998</v>
      </c>
      <c r="E84" s="17" t="s">
        <v>10</v>
      </c>
      <c r="F84" s="25">
        <v>2080</v>
      </c>
      <c r="G84" s="26">
        <v>1.7093288552831369</v>
      </c>
    </row>
    <row r="85" spans="1:7" x14ac:dyDescent="0.35">
      <c r="A85" s="9">
        <f xml:space="preserve"> ROW( scalarDataframe[[#This Row],[row_id]] ) - ROW( scalarDataframe[[#Headers],[row_id]] )</f>
        <v>84</v>
      </c>
      <c r="B85" s="16" t="str">
        <f xml:space="preserve"> INDEX( co_scalarInfo[scalarType], MATCH( scalarDataframe[[#This Row],[scalarName]],  co_scalarInfo[scalarName], 0 ) )</f>
        <v>damageAdj</v>
      </c>
      <c r="C85" s="44" t="str">
        <f xml:space="preserve"> INDEX( co_scalarInfo[scalarLabel], MATCH( scalarDataframe[[#This Row],[scalarName]], co_scalarInfo[scalarName], 0 ) )</f>
        <v>Population-Driven Demand Growth Factor for Grid Reliability</v>
      </c>
      <c r="D85" s="24" t="s">
        <v>998</v>
      </c>
      <c r="E85" s="17" t="s">
        <v>10</v>
      </c>
      <c r="F85" s="25">
        <v>2085</v>
      </c>
      <c r="G85" s="26">
        <v>1.7594671270048385</v>
      </c>
    </row>
    <row r="86" spans="1:7" x14ac:dyDescent="0.35">
      <c r="A86" s="9">
        <f xml:space="preserve"> ROW( scalarDataframe[[#This Row],[row_id]] ) - ROW( scalarDataframe[[#Headers],[row_id]] )</f>
        <v>85</v>
      </c>
      <c r="B86" s="16" t="str">
        <f xml:space="preserve"> INDEX( co_scalarInfo[scalarType], MATCH( scalarDataframe[[#This Row],[scalarName]],  co_scalarInfo[scalarName], 0 ) )</f>
        <v>damageAdj</v>
      </c>
      <c r="C86" s="44" t="str">
        <f xml:space="preserve"> INDEX( co_scalarInfo[scalarLabel], MATCH( scalarDataframe[[#This Row],[scalarName]], co_scalarInfo[scalarName], 0 ) )</f>
        <v>Population-Driven Demand Growth Factor for Grid Reliability</v>
      </c>
      <c r="D86" s="24" t="s">
        <v>998</v>
      </c>
      <c r="E86" s="17" t="s">
        <v>10</v>
      </c>
      <c r="F86" s="25">
        <v>2090</v>
      </c>
      <c r="G86" s="26">
        <v>1.8099713855424213</v>
      </c>
    </row>
    <row r="87" spans="1:7" x14ac:dyDescent="0.35">
      <c r="A87" s="9">
        <f xml:space="preserve"> ROW( scalarDataframe[[#This Row],[row_id]] ) - ROW( scalarDataframe[[#Headers],[row_id]] )</f>
        <v>86</v>
      </c>
      <c r="B87" s="16" t="str">
        <f xml:space="preserve"> INDEX( co_scalarInfo[scalarType], MATCH( scalarDataframe[[#This Row],[scalarName]],  co_scalarInfo[scalarName], 0 ) )</f>
        <v>damageAdj</v>
      </c>
      <c r="C87" s="44" t="str">
        <f xml:space="preserve"> INDEX( co_scalarInfo[scalarLabel], MATCH( scalarDataframe[[#This Row],[scalarName]], co_scalarInfo[scalarName], 0 ) )</f>
        <v>Population-Driven Demand Growth Factor for Grid Reliability</v>
      </c>
      <c r="D87" s="24" t="s">
        <v>998</v>
      </c>
      <c r="E87" s="17" t="s">
        <v>11</v>
      </c>
      <c r="F87" s="25">
        <v>2010</v>
      </c>
      <c r="G87" s="26">
        <v>1.0381156705446903</v>
      </c>
    </row>
    <row r="88" spans="1:7" x14ac:dyDescent="0.35">
      <c r="A88" s="9">
        <f xml:space="preserve"> ROW( scalarDataframe[[#This Row],[row_id]] ) - ROW( scalarDataframe[[#Headers],[row_id]] )</f>
        <v>87</v>
      </c>
      <c r="B88" s="16" t="str">
        <f xml:space="preserve"> INDEX( co_scalarInfo[scalarType], MATCH( scalarDataframe[[#This Row],[scalarName]],  co_scalarInfo[scalarName], 0 ) )</f>
        <v>damageAdj</v>
      </c>
      <c r="C88" s="44" t="str">
        <f xml:space="preserve"> INDEX( co_scalarInfo[scalarLabel], MATCH( scalarDataframe[[#This Row],[scalarName]], co_scalarInfo[scalarName], 0 ) )</f>
        <v>Population-Driven Demand Growth Factor for Grid Reliability</v>
      </c>
      <c r="D88" s="24" t="s">
        <v>998</v>
      </c>
      <c r="E88" s="17" t="s">
        <v>11</v>
      </c>
      <c r="F88" s="25">
        <v>2015</v>
      </c>
      <c r="G88" s="26">
        <v>1.0863418251243011</v>
      </c>
    </row>
    <row r="89" spans="1:7" x14ac:dyDescent="0.35">
      <c r="A89" s="9">
        <f xml:space="preserve"> ROW( scalarDataframe[[#This Row],[row_id]] ) - ROW( scalarDataframe[[#Headers],[row_id]] )</f>
        <v>88</v>
      </c>
      <c r="B89" s="16" t="str">
        <f xml:space="preserve"> INDEX( co_scalarInfo[scalarType], MATCH( scalarDataframe[[#This Row],[scalarName]],  co_scalarInfo[scalarName], 0 ) )</f>
        <v>damageAdj</v>
      </c>
      <c r="C89" s="44" t="str">
        <f xml:space="preserve"> INDEX( co_scalarInfo[scalarLabel], MATCH( scalarDataframe[[#This Row],[scalarName]], co_scalarInfo[scalarName], 0 ) )</f>
        <v>Population-Driven Demand Growth Factor for Grid Reliability</v>
      </c>
      <c r="D89" s="24" t="s">
        <v>998</v>
      </c>
      <c r="E89" s="17" t="s">
        <v>11</v>
      </c>
      <c r="F89" s="25">
        <v>2020</v>
      </c>
      <c r="G89" s="26">
        <v>1.259804983509591</v>
      </c>
    </row>
    <row r="90" spans="1:7" x14ac:dyDescent="0.35">
      <c r="A90" s="9">
        <f xml:space="preserve"> ROW( scalarDataframe[[#This Row],[row_id]] ) - ROW( scalarDataframe[[#Headers],[row_id]] )</f>
        <v>89</v>
      </c>
      <c r="B90" s="16" t="str">
        <f xml:space="preserve"> INDEX( co_scalarInfo[scalarType], MATCH( scalarDataframe[[#This Row],[scalarName]],  co_scalarInfo[scalarName], 0 ) )</f>
        <v>damageAdj</v>
      </c>
      <c r="C90" s="44" t="str">
        <f xml:space="preserve"> INDEX( co_scalarInfo[scalarLabel], MATCH( scalarDataframe[[#This Row],[scalarName]], co_scalarInfo[scalarName], 0 ) )</f>
        <v>Population-Driven Demand Growth Factor for Grid Reliability</v>
      </c>
      <c r="D90" s="24" t="s">
        <v>998</v>
      </c>
      <c r="E90" s="17" t="s">
        <v>11</v>
      </c>
      <c r="F90" s="25">
        <v>2025</v>
      </c>
      <c r="G90" s="26">
        <v>1.3315489578188757</v>
      </c>
    </row>
    <row r="91" spans="1:7" x14ac:dyDescent="0.35">
      <c r="A91" s="9">
        <f xml:space="preserve"> ROW( scalarDataframe[[#This Row],[row_id]] ) - ROW( scalarDataframe[[#Headers],[row_id]] )</f>
        <v>90</v>
      </c>
      <c r="B91" s="16" t="str">
        <f xml:space="preserve"> INDEX( co_scalarInfo[scalarType], MATCH( scalarDataframe[[#This Row],[scalarName]],  co_scalarInfo[scalarName], 0 ) )</f>
        <v>damageAdj</v>
      </c>
      <c r="C91" s="44" t="str">
        <f xml:space="preserve"> INDEX( co_scalarInfo[scalarLabel], MATCH( scalarDataframe[[#This Row],[scalarName]], co_scalarInfo[scalarName], 0 ) )</f>
        <v>Population-Driven Demand Growth Factor for Grid Reliability</v>
      </c>
      <c r="D91" s="24" t="s">
        <v>998</v>
      </c>
      <c r="E91" s="17" t="s">
        <v>11</v>
      </c>
      <c r="F91" s="25">
        <v>2030</v>
      </c>
      <c r="G91" s="26">
        <v>1.3921562251497333</v>
      </c>
    </row>
    <row r="92" spans="1:7" x14ac:dyDescent="0.35">
      <c r="A92" s="9">
        <f xml:space="preserve"> ROW( scalarDataframe[[#This Row],[row_id]] ) - ROW( scalarDataframe[[#Headers],[row_id]] )</f>
        <v>91</v>
      </c>
      <c r="B92" s="16" t="str">
        <f xml:space="preserve"> INDEX( co_scalarInfo[scalarType], MATCH( scalarDataframe[[#This Row],[scalarName]],  co_scalarInfo[scalarName], 0 ) )</f>
        <v>damageAdj</v>
      </c>
      <c r="C92" s="44" t="str">
        <f xml:space="preserve"> INDEX( co_scalarInfo[scalarLabel], MATCH( scalarDataframe[[#This Row],[scalarName]], co_scalarInfo[scalarName], 0 ) )</f>
        <v>Population-Driven Demand Growth Factor for Grid Reliability</v>
      </c>
      <c r="D92" s="24" t="s">
        <v>998</v>
      </c>
      <c r="E92" s="17" t="s">
        <v>11</v>
      </c>
      <c r="F92" s="25">
        <v>2035</v>
      </c>
      <c r="G92" s="26">
        <v>1.4681778853314524</v>
      </c>
    </row>
    <row r="93" spans="1:7" x14ac:dyDescent="0.35">
      <c r="A93" s="9">
        <f xml:space="preserve"> ROW( scalarDataframe[[#This Row],[row_id]] ) - ROW( scalarDataframe[[#Headers],[row_id]] )</f>
        <v>92</v>
      </c>
      <c r="B93" s="16" t="str">
        <f xml:space="preserve"> INDEX( co_scalarInfo[scalarType], MATCH( scalarDataframe[[#This Row],[scalarName]],  co_scalarInfo[scalarName], 0 ) )</f>
        <v>damageAdj</v>
      </c>
      <c r="C93" s="44" t="str">
        <f xml:space="preserve"> INDEX( co_scalarInfo[scalarLabel], MATCH( scalarDataframe[[#This Row],[scalarName]], co_scalarInfo[scalarName], 0 ) )</f>
        <v>Population-Driven Demand Growth Factor for Grid Reliability</v>
      </c>
      <c r="D93" s="24" t="s">
        <v>998</v>
      </c>
      <c r="E93" s="17" t="s">
        <v>11</v>
      </c>
      <c r="F93" s="25">
        <v>2040</v>
      </c>
      <c r="G93" s="26">
        <v>1.5503903889534543</v>
      </c>
    </row>
    <row r="94" spans="1:7" x14ac:dyDescent="0.35">
      <c r="A94" s="9">
        <f xml:space="preserve"> ROW( scalarDataframe[[#This Row],[row_id]] ) - ROW( scalarDataframe[[#Headers],[row_id]] )</f>
        <v>93</v>
      </c>
      <c r="B94" s="16" t="str">
        <f xml:space="preserve"> INDEX( co_scalarInfo[scalarType], MATCH( scalarDataframe[[#This Row],[scalarName]],  co_scalarInfo[scalarName], 0 ) )</f>
        <v>damageAdj</v>
      </c>
      <c r="C94" s="44" t="str">
        <f xml:space="preserve"> INDEX( co_scalarInfo[scalarLabel], MATCH( scalarDataframe[[#This Row],[scalarName]], co_scalarInfo[scalarName], 0 ) )</f>
        <v>Population-Driven Demand Growth Factor for Grid Reliability</v>
      </c>
      <c r="D94" s="24" t="s">
        <v>998</v>
      </c>
      <c r="E94" s="17" t="s">
        <v>11</v>
      </c>
      <c r="F94" s="25">
        <v>2045</v>
      </c>
      <c r="G94" s="26">
        <v>1.6350537817213129</v>
      </c>
    </row>
    <row r="95" spans="1:7" x14ac:dyDescent="0.35">
      <c r="A95" s="9">
        <f xml:space="preserve"> ROW( scalarDataframe[[#This Row],[row_id]] ) - ROW( scalarDataframe[[#Headers],[row_id]] )</f>
        <v>94</v>
      </c>
      <c r="B95" s="16" t="str">
        <f xml:space="preserve"> INDEX( co_scalarInfo[scalarType], MATCH( scalarDataframe[[#This Row],[scalarName]],  co_scalarInfo[scalarName], 0 ) )</f>
        <v>damageAdj</v>
      </c>
      <c r="C95" s="44" t="str">
        <f xml:space="preserve"> INDEX( co_scalarInfo[scalarLabel], MATCH( scalarDataframe[[#This Row],[scalarName]], co_scalarInfo[scalarName], 0 ) )</f>
        <v>Population-Driven Demand Growth Factor for Grid Reliability</v>
      </c>
      <c r="D95" s="24" t="s">
        <v>998</v>
      </c>
      <c r="E95" s="17" t="s">
        <v>11</v>
      </c>
      <c r="F95" s="25">
        <v>2050</v>
      </c>
      <c r="G95" s="26">
        <v>1.7141289449683785</v>
      </c>
    </row>
    <row r="96" spans="1:7" x14ac:dyDescent="0.35">
      <c r="A96" s="9">
        <f xml:space="preserve"> ROW( scalarDataframe[[#This Row],[row_id]] ) - ROW( scalarDataframe[[#Headers],[row_id]] )</f>
        <v>95</v>
      </c>
      <c r="B96" s="16" t="str">
        <f xml:space="preserve"> INDEX( co_scalarInfo[scalarType], MATCH( scalarDataframe[[#This Row],[scalarName]],  co_scalarInfo[scalarName], 0 ) )</f>
        <v>damageAdj</v>
      </c>
      <c r="C96" s="44" t="str">
        <f xml:space="preserve"> INDEX( co_scalarInfo[scalarLabel], MATCH( scalarDataframe[[#This Row],[scalarName]], co_scalarInfo[scalarName], 0 ) )</f>
        <v>Population-Driven Demand Growth Factor for Grid Reliability</v>
      </c>
      <c r="D96" s="24" t="s">
        <v>998</v>
      </c>
      <c r="E96" s="17" t="s">
        <v>11</v>
      </c>
      <c r="F96" s="25">
        <v>2055</v>
      </c>
      <c r="G96" s="26">
        <v>1.7865480193453629</v>
      </c>
    </row>
    <row r="97" spans="1:7" x14ac:dyDescent="0.35">
      <c r="A97" s="9">
        <f xml:space="preserve"> ROW( scalarDataframe[[#This Row],[row_id]] ) - ROW( scalarDataframe[[#Headers],[row_id]] )</f>
        <v>96</v>
      </c>
      <c r="B97" s="16" t="str">
        <f xml:space="preserve"> INDEX( co_scalarInfo[scalarType], MATCH( scalarDataframe[[#This Row],[scalarName]],  co_scalarInfo[scalarName], 0 ) )</f>
        <v>damageAdj</v>
      </c>
      <c r="C97" s="44" t="str">
        <f xml:space="preserve"> INDEX( co_scalarInfo[scalarLabel], MATCH( scalarDataframe[[#This Row],[scalarName]], co_scalarInfo[scalarName], 0 ) )</f>
        <v>Population-Driven Demand Growth Factor for Grid Reliability</v>
      </c>
      <c r="D97" s="24" t="s">
        <v>998</v>
      </c>
      <c r="E97" s="17" t="s">
        <v>11</v>
      </c>
      <c r="F97" s="25">
        <v>2060</v>
      </c>
      <c r="G97" s="26">
        <v>1.8546693751122907</v>
      </c>
    </row>
    <row r="98" spans="1:7" x14ac:dyDescent="0.35">
      <c r="A98" s="9">
        <f xml:space="preserve"> ROW( scalarDataframe[[#This Row],[row_id]] ) - ROW( scalarDataframe[[#Headers],[row_id]] )</f>
        <v>97</v>
      </c>
      <c r="B98" s="16" t="str">
        <f xml:space="preserve"> INDEX( co_scalarInfo[scalarType], MATCH( scalarDataframe[[#This Row],[scalarName]],  co_scalarInfo[scalarName], 0 ) )</f>
        <v>damageAdj</v>
      </c>
      <c r="C98" s="44" t="str">
        <f xml:space="preserve"> INDEX( co_scalarInfo[scalarLabel], MATCH( scalarDataframe[[#This Row],[scalarName]], co_scalarInfo[scalarName], 0 ) )</f>
        <v>Population-Driven Demand Growth Factor for Grid Reliability</v>
      </c>
      <c r="D98" s="24" t="s">
        <v>998</v>
      </c>
      <c r="E98" s="17" t="s">
        <v>11</v>
      </c>
      <c r="F98" s="25">
        <v>2065</v>
      </c>
      <c r="G98" s="26">
        <v>1.9245274171487607</v>
      </c>
    </row>
    <row r="99" spans="1:7" x14ac:dyDescent="0.35">
      <c r="A99" s="9">
        <f xml:space="preserve"> ROW( scalarDataframe[[#This Row],[row_id]] ) - ROW( scalarDataframe[[#Headers],[row_id]] )</f>
        <v>98</v>
      </c>
      <c r="B99" s="16" t="str">
        <f xml:space="preserve"> INDEX( co_scalarInfo[scalarType], MATCH( scalarDataframe[[#This Row],[scalarName]],  co_scalarInfo[scalarName], 0 ) )</f>
        <v>damageAdj</v>
      </c>
      <c r="C99" s="44" t="str">
        <f xml:space="preserve"> INDEX( co_scalarInfo[scalarLabel], MATCH( scalarDataframe[[#This Row],[scalarName]], co_scalarInfo[scalarName], 0 ) )</f>
        <v>Population-Driven Demand Growth Factor for Grid Reliability</v>
      </c>
      <c r="D99" s="24" t="s">
        <v>998</v>
      </c>
      <c r="E99" s="17" t="s">
        <v>11</v>
      </c>
      <c r="F99" s="25">
        <v>2070</v>
      </c>
      <c r="G99" s="26">
        <v>1.9917774328920963</v>
      </c>
    </row>
    <row r="100" spans="1:7" x14ac:dyDescent="0.35">
      <c r="A100" s="9">
        <f xml:space="preserve"> ROW( scalarDataframe[[#This Row],[row_id]] ) - ROW( scalarDataframe[[#Headers],[row_id]] )</f>
        <v>99</v>
      </c>
      <c r="B100" s="16" t="str">
        <f xml:space="preserve"> INDEX( co_scalarInfo[scalarType], MATCH( scalarDataframe[[#This Row],[scalarName]],  co_scalarInfo[scalarName], 0 ) )</f>
        <v>damageAdj</v>
      </c>
      <c r="C100" s="44" t="str">
        <f xml:space="preserve"> INDEX( co_scalarInfo[scalarLabel], MATCH( scalarDataframe[[#This Row],[scalarName]], co_scalarInfo[scalarName], 0 ) )</f>
        <v>Population-Driven Demand Growth Factor for Grid Reliability</v>
      </c>
      <c r="D100" s="24" t="s">
        <v>998</v>
      </c>
      <c r="E100" s="17" t="s">
        <v>11</v>
      </c>
      <c r="F100" s="25">
        <v>2075</v>
      </c>
      <c r="G100" s="26">
        <v>2.0616456540152868</v>
      </c>
    </row>
    <row r="101" spans="1:7" x14ac:dyDescent="0.35">
      <c r="A101" s="9">
        <f xml:space="preserve"> ROW( scalarDataframe[[#This Row],[row_id]] ) - ROW( scalarDataframe[[#Headers],[row_id]] )</f>
        <v>100</v>
      </c>
      <c r="B101" s="16" t="str">
        <f xml:space="preserve"> INDEX( co_scalarInfo[scalarType], MATCH( scalarDataframe[[#This Row],[scalarName]],  co_scalarInfo[scalarName], 0 ) )</f>
        <v>damageAdj</v>
      </c>
      <c r="C101" s="44" t="str">
        <f xml:space="preserve"> INDEX( co_scalarInfo[scalarLabel], MATCH( scalarDataframe[[#This Row],[scalarName]], co_scalarInfo[scalarName], 0 ) )</f>
        <v>Population-Driven Demand Growth Factor for Grid Reliability</v>
      </c>
      <c r="D101" s="24" t="s">
        <v>998</v>
      </c>
      <c r="E101" s="17" t="s">
        <v>11</v>
      </c>
      <c r="F101" s="25">
        <v>2080</v>
      </c>
      <c r="G101" s="26">
        <v>2.1356171327607258</v>
      </c>
    </row>
    <row r="102" spans="1:7" x14ac:dyDescent="0.35">
      <c r="A102" s="9">
        <f xml:space="preserve"> ROW( scalarDataframe[[#This Row],[row_id]] ) - ROW( scalarDataframe[[#Headers],[row_id]] )</f>
        <v>101</v>
      </c>
      <c r="B102" s="16" t="str">
        <f xml:space="preserve"> INDEX( co_scalarInfo[scalarType], MATCH( scalarDataframe[[#This Row],[scalarName]],  co_scalarInfo[scalarName], 0 ) )</f>
        <v>damageAdj</v>
      </c>
      <c r="C102" s="44" t="str">
        <f xml:space="preserve"> INDEX( co_scalarInfo[scalarLabel], MATCH( scalarDataframe[[#This Row],[scalarName]], co_scalarInfo[scalarName], 0 ) )</f>
        <v>Population-Driven Demand Growth Factor for Grid Reliability</v>
      </c>
      <c r="D102" s="24" t="s">
        <v>998</v>
      </c>
      <c r="E102" s="17" t="s">
        <v>11</v>
      </c>
      <c r="F102" s="25">
        <v>2085</v>
      </c>
      <c r="G102" s="26">
        <v>2.214157577883892</v>
      </c>
    </row>
    <row r="103" spans="1:7" x14ac:dyDescent="0.35">
      <c r="A103" s="9">
        <f xml:space="preserve"> ROW( scalarDataframe[[#This Row],[row_id]] ) - ROW( scalarDataframe[[#Headers],[row_id]] )</f>
        <v>102</v>
      </c>
      <c r="B103" s="16" t="str">
        <f xml:space="preserve"> INDEX( co_scalarInfo[scalarType], MATCH( scalarDataframe[[#This Row],[scalarName]],  co_scalarInfo[scalarName], 0 ) )</f>
        <v>damageAdj</v>
      </c>
      <c r="C103" s="44" t="str">
        <f xml:space="preserve"> INDEX( co_scalarInfo[scalarLabel], MATCH( scalarDataframe[[#This Row],[scalarName]], co_scalarInfo[scalarName], 0 ) )</f>
        <v>Population-Driven Demand Growth Factor for Grid Reliability</v>
      </c>
      <c r="D103" s="24" t="s">
        <v>998</v>
      </c>
      <c r="E103" s="17" t="s">
        <v>11</v>
      </c>
      <c r="F103" s="25">
        <v>2090</v>
      </c>
      <c r="G103" s="26">
        <v>2.285345443292623</v>
      </c>
    </row>
    <row r="104" spans="1:7" x14ac:dyDescent="0.35">
      <c r="A104" s="9">
        <f xml:space="preserve"> ROW( scalarDataframe[[#This Row],[row_id]] ) - ROW( scalarDataframe[[#Headers],[row_id]] )</f>
        <v>103</v>
      </c>
      <c r="B104" s="16" t="str">
        <f xml:space="preserve"> INDEX( co_scalarInfo[scalarType], MATCH( scalarDataframe[[#This Row],[scalarName]],  co_scalarInfo[scalarName], 0 ) )</f>
        <v>damageAdj</v>
      </c>
      <c r="C104" s="44" t="str">
        <f xml:space="preserve"> INDEX( co_scalarInfo[scalarLabel], MATCH( scalarDataframe[[#This Row],[scalarName]], co_scalarInfo[scalarName], 0 ) )</f>
        <v>Population-Driven Demand Growth Factor for Grid Reliability</v>
      </c>
      <c r="D104" s="24" t="s">
        <v>998</v>
      </c>
      <c r="E104" s="17" t="s">
        <v>12</v>
      </c>
      <c r="F104" s="25">
        <v>2010</v>
      </c>
      <c r="G104" s="26">
        <v>1.0208683927847335</v>
      </c>
    </row>
    <row r="105" spans="1:7" x14ac:dyDescent="0.35">
      <c r="A105" s="9">
        <f xml:space="preserve"> ROW( scalarDataframe[[#This Row],[row_id]] ) - ROW( scalarDataframe[[#Headers],[row_id]] )</f>
        <v>104</v>
      </c>
      <c r="B105" s="16" t="str">
        <f xml:space="preserve"> INDEX( co_scalarInfo[scalarType], MATCH( scalarDataframe[[#This Row],[scalarName]],  co_scalarInfo[scalarName], 0 ) )</f>
        <v>damageAdj</v>
      </c>
      <c r="C105" s="44" t="str">
        <f xml:space="preserve"> INDEX( co_scalarInfo[scalarLabel], MATCH( scalarDataframe[[#This Row],[scalarName]], co_scalarInfo[scalarName], 0 ) )</f>
        <v>Population-Driven Demand Growth Factor for Grid Reliability</v>
      </c>
      <c r="D105" s="24" t="s">
        <v>998</v>
      </c>
      <c r="E105" s="17" t="s">
        <v>12</v>
      </c>
      <c r="F105" s="25">
        <v>2015</v>
      </c>
      <c r="G105" s="26">
        <v>1.0351722781416266</v>
      </c>
    </row>
    <row r="106" spans="1:7" x14ac:dyDescent="0.35">
      <c r="A106" s="9">
        <f xml:space="preserve"> ROW( scalarDataframe[[#This Row],[row_id]] ) - ROW( scalarDataframe[[#Headers],[row_id]] )</f>
        <v>105</v>
      </c>
      <c r="B106" s="16" t="str">
        <f xml:space="preserve"> INDEX( co_scalarInfo[scalarType], MATCH( scalarDataframe[[#This Row],[scalarName]],  co_scalarInfo[scalarName], 0 ) )</f>
        <v>damageAdj</v>
      </c>
      <c r="C106" s="44" t="str">
        <f xml:space="preserve"> INDEX( co_scalarInfo[scalarLabel], MATCH( scalarDataframe[[#This Row],[scalarName]], co_scalarInfo[scalarName], 0 ) )</f>
        <v>Population-Driven Demand Growth Factor for Grid Reliability</v>
      </c>
      <c r="D106" s="24" t="s">
        <v>998</v>
      </c>
      <c r="E106" s="17" t="s">
        <v>12</v>
      </c>
      <c r="F106" s="25">
        <v>2020</v>
      </c>
      <c r="G106" s="26">
        <v>1.0945282187900018</v>
      </c>
    </row>
    <row r="107" spans="1:7" x14ac:dyDescent="0.35">
      <c r="A107" s="9">
        <f xml:space="preserve"> ROW( scalarDataframe[[#This Row],[row_id]] ) - ROW( scalarDataframe[[#Headers],[row_id]] )</f>
        <v>106</v>
      </c>
      <c r="B107" s="16" t="str">
        <f xml:space="preserve"> INDEX( co_scalarInfo[scalarType], MATCH( scalarDataframe[[#This Row],[scalarName]],  co_scalarInfo[scalarName], 0 ) )</f>
        <v>damageAdj</v>
      </c>
      <c r="C107" s="44" t="str">
        <f xml:space="preserve"> INDEX( co_scalarInfo[scalarLabel], MATCH( scalarDataframe[[#This Row],[scalarName]], co_scalarInfo[scalarName], 0 ) )</f>
        <v>Population-Driven Demand Growth Factor for Grid Reliability</v>
      </c>
      <c r="D107" s="24" t="s">
        <v>998</v>
      </c>
      <c r="E107" s="17" t="s">
        <v>12</v>
      </c>
      <c r="F107" s="25">
        <v>2025</v>
      </c>
      <c r="G107" s="26">
        <v>1.1525587828708936</v>
      </c>
    </row>
    <row r="108" spans="1:7" x14ac:dyDescent="0.35">
      <c r="A108" s="9">
        <f xml:space="preserve"> ROW( scalarDataframe[[#This Row],[row_id]] ) - ROW( scalarDataframe[[#Headers],[row_id]] )</f>
        <v>107</v>
      </c>
      <c r="B108" s="16" t="str">
        <f xml:space="preserve"> INDEX( co_scalarInfo[scalarType], MATCH( scalarDataframe[[#This Row],[scalarName]],  co_scalarInfo[scalarName], 0 ) )</f>
        <v>damageAdj</v>
      </c>
      <c r="C108" s="44" t="str">
        <f xml:space="preserve"> INDEX( co_scalarInfo[scalarLabel], MATCH( scalarDataframe[[#This Row],[scalarName]], co_scalarInfo[scalarName], 0 ) )</f>
        <v>Population-Driven Demand Growth Factor for Grid Reliability</v>
      </c>
      <c r="D108" s="24" t="s">
        <v>998</v>
      </c>
      <c r="E108" s="17" t="s">
        <v>12</v>
      </c>
      <c r="F108" s="25">
        <v>2030</v>
      </c>
      <c r="G108" s="26">
        <v>1.2047690332951762</v>
      </c>
    </row>
    <row r="109" spans="1:7" x14ac:dyDescent="0.35">
      <c r="A109" s="9">
        <f xml:space="preserve"> ROW( scalarDataframe[[#This Row],[row_id]] ) - ROW( scalarDataframe[[#Headers],[row_id]] )</f>
        <v>108</v>
      </c>
      <c r="B109" s="16" t="str">
        <f xml:space="preserve"> INDEX( co_scalarInfo[scalarType], MATCH( scalarDataframe[[#This Row],[scalarName]],  co_scalarInfo[scalarName], 0 ) )</f>
        <v>damageAdj</v>
      </c>
      <c r="C109" s="44" t="str">
        <f xml:space="preserve"> INDEX( co_scalarInfo[scalarLabel], MATCH( scalarDataframe[[#This Row],[scalarName]], co_scalarInfo[scalarName], 0 ) )</f>
        <v>Population-Driven Demand Growth Factor for Grid Reliability</v>
      </c>
      <c r="D109" s="24" t="s">
        <v>998</v>
      </c>
      <c r="E109" s="17" t="s">
        <v>12</v>
      </c>
      <c r="F109" s="25">
        <v>2035</v>
      </c>
      <c r="G109" s="26">
        <v>1.2818248682639293</v>
      </c>
    </row>
    <row r="110" spans="1:7" x14ac:dyDescent="0.35">
      <c r="A110" s="9">
        <f xml:space="preserve"> ROW( scalarDataframe[[#This Row],[row_id]] ) - ROW( scalarDataframe[[#Headers],[row_id]] )</f>
        <v>109</v>
      </c>
      <c r="B110" s="16" t="str">
        <f xml:space="preserve"> INDEX( co_scalarInfo[scalarType], MATCH( scalarDataframe[[#This Row],[scalarName]],  co_scalarInfo[scalarName], 0 ) )</f>
        <v>damageAdj</v>
      </c>
      <c r="C110" s="44" t="str">
        <f xml:space="preserve"> INDEX( co_scalarInfo[scalarLabel], MATCH( scalarDataframe[[#This Row],[scalarName]], co_scalarInfo[scalarName], 0 ) )</f>
        <v>Population-Driven Demand Growth Factor for Grid Reliability</v>
      </c>
      <c r="D110" s="24" t="s">
        <v>998</v>
      </c>
      <c r="E110" s="17" t="s">
        <v>12</v>
      </c>
      <c r="F110" s="25">
        <v>2040</v>
      </c>
      <c r="G110" s="26">
        <v>1.3763871187208185</v>
      </c>
    </row>
    <row r="111" spans="1:7" x14ac:dyDescent="0.35">
      <c r="A111" s="9">
        <f xml:space="preserve"> ROW( scalarDataframe[[#This Row],[row_id]] ) - ROW( scalarDataframe[[#Headers],[row_id]] )</f>
        <v>110</v>
      </c>
      <c r="B111" s="16" t="str">
        <f xml:space="preserve"> INDEX( co_scalarInfo[scalarType], MATCH( scalarDataframe[[#This Row],[scalarName]],  co_scalarInfo[scalarName], 0 ) )</f>
        <v>damageAdj</v>
      </c>
      <c r="C111" s="44" t="str">
        <f xml:space="preserve"> INDEX( co_scalarInfo[scalarLabel], MATCH( scalarDataframe[[#This Row],[scalarName]], co_scalarInfo[scalarName], 0 ) )</f>
        <v>Population-Driven Demand Growth Factor for Grid Reliability</v>
      </c>
      <c r="D111" s="24" t="s">
        <v>998</v>
      </c>
      <c r="E111" s="17" t="s">
        <v>12</v>
      </c>
      <c r="F111" s="25">
        <v>2045</v>
      </c>
      <c r="G111" s="26">
        <v>1.4766849591956177</v>
      </c>
    </row>
    <row r="112" spans="1:7" x14ac:dyDescent="0.35">
      <c r="A112" s="9">
        <f xml:space="preserve"> ROW( scalarDataframe[[#This Row],[row_id]] ) - ROW( scalarDataframe[[#Headers],[row_id]] )</f>
        <v>111</v>
      </c>
      <c r="B112" s="16" t="str">
        <f xml:space="preserve"> INDEX( co_scalarInfo[scalarType], MATCH( scalarDataframe[[#This Row],[scalarName]],  co_scalarInfo[scalarName], 0 ) )</f>
        <v>damageAdj</v>
      </c>
      <c r="C112" s="44" t="str">
        <f xml:space="preserve"> INDEX( co_scalarInfo[scalarLabel], MATCH( scalarDataframe[[#This Row],[scalarName]], co_scalarInfo[scalarName], 0 ) )</f>
        <v>Population-Driven Demand Growth Factor for Grid Reliability</v>
      </c>
      <c r="D112" s="24" t="s">
        <v>998</v>
      </c>
      <c r="E112" s="17" t="s">
        <v>12</v>
      </c>
      <c r="F112" s="25">
        <v>2050</v>
      </c>
      <c r="G112" s="26">
        <v>1.5738418117891251</v>
      </c>
    </row>
    <row r="113" spans="1:7" x14ac:dyDescent="0.35">
      <c r="A113" s="9">
        <f xml:space="preserve"> ROW( scalarDataframe[[#This Row],[row_id]] ) - ROW( scalarDataframe[[#Headers],[row_id]] )</f>
        <v>112</v>
      </c>
      <c r="B113" s="16" t="str">
        <f xml:space="preserve"> INDEX( co_scalarInfo[scalarType], MATCH( scalarDataframe[[#This Row],[scalarName]],  co_scalarInfo[scalarName], 0 ) )</f>
        <v>damageAdj</v>
      </c>
      <c r="C113" s="44" t="str">
        <f xml:space="preserve"> INDEX( co_scalarInfo[scalarLabel], MATCH( scalarDataframe[[#This Row],[scalarName]], co_scalarInfo[scalarName], 0 ) )</f>
        <v>Population-Driven Demand Growth Factor for Grid Reliability</v>
      </c>
      <c r="D113" s="24" t="s">
        <v>998</v>
      </c>
      <c r="E113" s="17" t="s">
        <v>12</v>
      </c>
      <c r="F113" s="25">
        <v>2055</v>
      </c>
      <c r="G113" s="26">
        <v>1.668930230962308</v>
      </c>
    </row>
    <row r="114" spans="1:7" x14ac:dyDescent="0.35">
      <c r="A114" s="9">
        <f xml:space="preserve"> ROW( scalarDataframe[[#This Row],[row_id]] ) - ROW( scalarDataframe[[#Headers],[row_id]] )</f>
        <v>113</v>
      </c>
      <c r="B114" s="16" t="str">
        <f xml:space="preserve"> INDEX( co_scalarInfo[scalarType], MATCH( scalarDataframe[[#This Row],[scalarName]],  co_scalarInfo[scalarName], 0 ) )</f>
        <v>damageAdj</v>
      </c>
      <c r="C114" s="44" t="str">
        <f xml:space="preserve"> INDEX( co_scalarInfo[scalarLabel], MATCH( scalarDataframe[[#This Row],[scalarName]], co_scalarInfo[scalarName], 0 ) )</f>
        <v>Population-Driven Demand Growth Factor for Grid Reliability</v>
      </c>
      <c r="D114" s="24" t="s">
        <v>998</v>
      </c>
      <c r="E114" s="17" t="s">
        <v>12</v>
      </c>
      <c r="F114" s="25">
        <v>2060</v>
      </c>
      <c r="G114" s="26">
        <v>1.7610171333527522</v>
      </c>
    </row>
    <row r="115" spans="1:7" x14ac:dyDescent="0.35">
      <c r="A115" s="9">
        <f xml:space="preserve"> ROW( scalarDataframe[[#This Row],[row_id]] ) - ROW( scalarDataframe[[#Headers],[row_id]] )</f>
        <v>114</v>
      </c>
      <c r="B115" s="16" t="str">
        <f xml:space="preserve"> INDEX( co_scalarInfo[scalarType], MATCH( scalarDataframe[[#This Row],[scalarName]],  co_scalarInfo[scalarName], 0 ) )</f>
        <v>damageAdj</v>
      </c>
      <c r="C115" s="44" t="str">
        <f xml:space="preserve"> INDEX( co_scalarInfo[scalarLabel], MATCH( scalarDataframe[[#This Row],[scalarName]], co_scalarInfo[scalarName], 0 ) )</f>
        <v>Population-Driven Demand Growth Factor for Grid Reliability</v>
      </c>
      <c r="D115" s="24" t="s">
        <v>998</v>
      </c>
      <c r="E115" s="17" t="s">
        <v>12</v>
      </c>
      <c r="F115" s="25">
        <v>2065</v>
      </c>
      <c r="G115" s="26">
        <v>1.8544783462835743</v>
      </c>
    </row>
    <row r="116" spans="1:7" x14ac:dyDescent="0.35">
      <c r="A116" s="9">
        <f xml:space="preserve"> ROW( scalarDataframe[[#This Row],[row_id]] ) - ROW( scalarDataframe[[#Headers],[row_id]] )</f>
        <v>115</v>
      </c>
      <c r="B116" s="16" t="str">
        <f xml:space="preserve"> INDEX( co_scalarInfo[scalarType], MATCH( scalarDataframe[[#This Row],[scalarName]],  co_scalarInfo[scalarName], 0 ) )</f>
        <v>damageAdj</v>
      </c>
      <c r="C116" s="44" t="str">
        <f xml:space="preserve"> INDEX( co_scalarInfo[scalarLabel], MATCH( scalarDataframe[[#This Row],[scalarName]], co_scalarInfo[scalarName], 0 ) )</f>
        <v>Population-Driven Demand Growth Factor for Grid Reliability</v>
      </c>
      <c r="D116" s="24" t="s">
        <v>998</v>
      </c>
      <c r="E116" s="17" t="s">
        <v>12</v>
      </c>
      <c r="F116" s="25">
        <v>2070</v>
      </c>
      <c r="G116" s="26">
        <v>1.9482541090483751</v>
      </c>
    </row>
    <row r="117" spans="1:7" x14ac:dyDescent="0.35">
      <c r="A117" s="9">
        <f xml:space="preserve"> ROW( scalarDataframe[[#This Row],[row_id]] ) - ROW( scalarDataframe[[#Headers],[row_id]] )</f>
        <v>116</v>
      </c>
      <c r="B117" s="16" t="str">
        <f xml:space="preserve"> INDEX( co_scalarInfo[scalarType], MATCH( scalarDataframe[[#This Row],[scalarName]],  co_scalarInfo[scalarName], 0 ) )</f>
        <v>damageAdj</v>
      </c>
      <c r="C117" s="44" t="str">
        <f xml:space="preserve"> INDEX( co_scalarInfo[scalarLabel], MATCH( scalarDataframe[[#This Row],[scalarName]], co_scalarInfo[scalarName], 0 ) )</f>
        <v>Population-Driven Demand Growth Factor for Grid Reliability</v>
      </c>
      <c r="D117" s="24" t="s">
        <v>998</v>
      </c>
      <c r="E117" s="17" t="s">
        <v>12</v>
      </c>
      <c r="F117" s="25">
        <v>2075</v>
      </c>
      <c r="G117" s="26">
        <v>2.0426564784059811</v>
      </c>
    </row>
    <row r="118" spans="1:7" x14ac:dyDescent="0.35">
      <c r="A118" s="9">
        <f xml:space="preserve"> ROW( scalarDataframe[[#This Row],[row_id]] ) - ROW( scalarDataframe[[#Headers],[row_id]] )</f>
        <v>117</v>
      </c>
      <c r="B118" s="16" t="str">
        <f xml:space="preserve"> INDEX( co_scalarInfo[scalarType], MATCH( scalarDataframe[[#This Row],[scalarName]],  co_scalarInfo[scalarName], 0 ) )</f>
        <v>damageAdj</v>
      </c>
      <c r="C118" s="44" t="str">
        <f xml:space="preserve"> INDEX( co_scalarInfo[scalarLabel], MATCH( scalarDataframe[[#This Row],[scalarName]], co_scalarInfo[scalarName], 0 ) )</f>
        <v>Population-Driven Demand Growth Factor for Grid Reliability</v>
      </c>
      <c r="D118" s="24" t="s">
        <v>998</v>
      </c>
      <c r="E118" s="17" t="s">
        <v>12</v>
      </c>
      <c r="F118" s="25">
        <v>2080</v>
      </c>
      <c r="G118" s="26">
        <v>2.1398004700309428</v>
      </c>
    </row>
    <row r="119" spans="1:7" x14ac:dyDescent="0.35">
      <c r="A119" s="9">
        <f xml:space="preserve"> ROW( scalarDataframe[[#This Row],[row_id]] ) - ROW( scalarDataframe[[#Headers],[row_id]] )</f>
        <v>118</v>
      </c>
      <c r="B119" s="16" t="str">
        <f xml:space="preserve"> INDEX( co_scalarInfo[scalarType], MATCH( scalarDataframe[[#This Row],[scalarName]],  co_scalarInfo[scalarName], 0 ) )</f>
        <v>damageAdj</v>
      </c>
      <c r="C119" s="44" t="str">
        <f xml:space="preserve"> INDEX( co_scalarInfo[scalarLabel], MATCH( scalarDataframe[[#This Row],[scalarName]], co_scalarInfo[scalarName], 0 ) )</f>
        <v>Population-Driven Demand Growth Factor for Grid Reliability</v>
      </c>
      <c r="D119" s="24" t="s">
        <v>998</v>
      </c>
      <c r="E119" s="17" t="s">
        <v>12</v>
      </c>
      <c r="F119" s="25">
        <v>2085</v>
      </c>
      <c r="G119" s="26">
        <v>2.2367138446697208</v>
      </c>
    </row>
    <row r="120" spans="1:7" x14ac:dyDescent="0.35">
      <c r="A120" s="9">
        <f xml:space="preserve"> ROW( scalarDataframe[[#This Row],[row_id]] ) - ROW( scalarDataframe[[#Headers],[row_id]] )</f>
        <v>119</v>
      </c>
      <c r="B120" s="16" t="str">
        <f xml:space="preserve"> INDEX( co_scalarInfo[scalarType], MATCH( scalarDataframe[[#This Row],[scalarName]],  co_scalarInfo[scalarName], 0 ) )</f>
        <v>damageAdj</v>
      </c>
      <c r="C120" s="44" t="str">
        <f xml:space="preserve"> INDEX( co_scalarInfo[scalarLabel], MATCH( scalarDataframe[[#This Row],[scalarName]], co_scalarInfo[scalarName], 0 ) )</f>
        <v>Population-Driven Demand Growth Factor for Grid Reliability</v>
      </c>
      <c r="D120" s="24" t="s">
        <v>998</v>
      </c>
      <c r="E120" s="17" t="s">
        <v>12</v>
      </c>
      <c r="F120" s="25">
        <v>2090</v>
      </c>
      <c r="G120" s="26">
        <v>2.328489856945906</v>
      </c>
    </row>
    <row r="121" spans="1:7" x14ac:dyDescent="0.35">
      <c r="A121" s="9">
        <f xml:space="preserve"> ROW( scalarDataframe[[#This Row],[row_id]] ) - ROW( scalarDataframe[[#Headers],[row_id]] )</f>
        <v>120</v>
      </c>
      <c r="B121" s="16" t="str">
        <f xml:space="preserve"> INDEX( co_scalarInfo[scalarType], MATCH( scalarDataframe[[#This Row],[scalarName]],  co_scalarInfo[scalarName], 0 ) )</f>
        <v>damageAdj</v>
      </c>
      <c r="C121" s="44" t="str">
        <f xml:space="preserve"> INDEX( co_scalarInfo[scalarLabel], MATCH( scalarDataframe[[#This Row],[scalarName]], co_scalarInfo[scalarName], 0 ) )</f>
        <v>Rail Traffic Growth Factor</v>
      </c>
      <c r="D121" s="24" t="s">
        <v>781</v>
      </c>
      <c r="E121" s="17" t="s">
        <v>13</v>
      </c>
      <c r="F121" s="25">
        <v>2010</v>
      </c>
      <c r="G121" s="26">
        <v>1</v>
      </c>
    </row>
    <row r="122" spans="1:7" x14ac:dyDescent="0.35">
      <c r="A122" s="9">
        <f xml:space="preserve"> ROW( scalarDataframe[[#This Row],[row_id]] ) - ROW( scalarDataframe[[#Headers],[row_id]] )</f>
        <v>121</v>
      </c>
      <c r="B122" s="16" t="str">
        <f xml:space="preserve"> INDEX( co_scalarInfo[scalarType], MATCH( scalarDataframe[[#This Row],[scalarName]],  co_scalarInfo[scalarName], 0 ) )</f>
        <v>damageAdj</v>
      </c>
      <c r="C122" s="44" t="str">
        <f xml:space="preserve"> INDEX( co_scalarInfo[scalarLabel], MATCH( scalarDataframe[[#This Row],[scalarName]], co_scalarInfo[scalarName], 0 ) )</f>
        <v>Rail Traffic Growth Factor</v>
      </c>
      <c r="D122" s="24" t="s">
        <v>781</v>
      </c>
      <c r="E122" s="17" t="s">
        <v>13</v>
      </c>
      <c r="F122" s="25">
        <v>2015</v>
      </c>
      <c r="G122" s="26">
        <v>1.0994195408043481</v>
      </c>
    </row>
    <row r="123" spans="1:7" x14ac:dyDescent="0.35">
      <c r="A123" s="9">
        <f xml:space="preserve"> ROW( scalarDataframe[[#This Row],[row_id]] ) - ROW( scalarDataframe[[#Headers],[row_id]] )</f>
        <v>122</v>
      </c>
      <c r="B123" s="16" t="str">
        <f xml:space="preserve"> INDEX( co_scalarInfo[scalarType], MATCH( scalarDataframe[[#This Row],[scalarName]],  co_scalarInfo[scalarName], 0 ) )</f>
        <v>damageAdj</v>
      </c>
      <c r="C123" s="44" t="str">
        <f xml:space="preserve"> INDEX( co_scalarInfo[scalarLabel], MATCH( scalarDataframe[[#This Row],[scalarName]], co_scalarInfo[scalarName], 0 ) )</f>
        <v>Rail Traffic Growth Factor</v>
      </c>
      <c r="D123" s="24" t="s">
        <v>781</v>
      </c>
      <c r="E123" s="17" t="s">
        <v>13</v>
      </c>
      <c r="F123" s="25">
        <v>2020</v>
      </c>
      <c r="G123" s="26">
        <v>1.240030554751842</v>
      </c>
    </row>
    <row r="124" spans="1:7" x14ac:dyDescent="0.35">
      <c r="A124" s="9">
        <f xml:space="preserve"> ROW( scalarDataframe[[#This Row],[row_id]] ) - ROW( scalarDataframe[[#Headers],[row_id]] )</f>
        <v>123</v>
      </c>
      <c r="B124" s="16" t="str">
        <f xml:space="preserve"> INDEX( co_scalarInfo[scalarType], MATCH( scalarDataframe[[#This Row],[scalarName]],  co_scalarInfo[scalarName], 0 ) )</f>
        <v>damageAdj</v>
      </c>
      <c r="C124" s="44" t="str">
        <f xml:space="preserve"> INDEX( co_scalarInfo[scalarLabel], MATCH( scalarDataframe[[#This Row],[scalarName]], co_scalarInfo[scalarName], 0 ) )</f>
        <v>Rail Traffic Growth Factor</v>
      </c>
      <c r="D124" s="24" t="s">
        <v>781</v>
      </c>
      <c r="E124" s="17" t="s">
        <v>13</v>
      </c>
      <c r="F124" s="25">
        <v>2025</v>
      </c>
      <c r="G124" s="26">
        <v>1.3834017597996293</v>
      </c>
    </row>
    <row r="125" spans="1:7" x14ac:dyDescent="0.35">
      <c r="A125" s="9">
        <f xml:space="preserve"> ROW( scalarDataframe[[#This Row],[row_id]] ) - ROW( scalarDataframe[[#Headers],[row_id]] )</f>
        <v>124</v>
      </c>
      <c r="B125" s="16" t="str">
        <f xml:space="preserve"> INDEX( co_scalarInfo[scalarType], MATCH( scalarDataframe[[#This Row],[scalarName]],  co_scalarInfo[scalarName], 0 ) )</f>
        <v>damageAdj</v>
      </c>
      <c r="C125" s="44" t="str">
        <f xml:space="preserve"> INDEX( co_scalarInfo[scalarLabel], MATCH( scalarDataframe[[#This Row],[scalarName]], co_scalarInfo[scalarName], 0 ) )</f>
        <v>Rail Traffic Growth Factor</v>
      </c>
      <c r="D125" s="24" t="s">
        <v>781</v>
      </c>
      <c r="E125" s="17" t="s">
        <v>13</v>
      </c>
      <c r="F125" s="25">
        <v>2030</v>
      </c>
      <c r="G125" s="26">
        <v>1.5347914429195662</v>
      </c>
    </row>
    <row r="126" spans="1:7" x14ac:dyDescent="0.35">
      <c r="A126" s="9">
        <f xml:space="preserve"> ROW( scalarDataframe[[#This Row],[row_id]] ) - ROW( scalarDataframe[[#Headers],[row_id]] )</f>
        <v>125</v>
      </c>
      <c r="B126" s="16" t="str">
        <f xml:space="preserve"> INDEX( co_scalarInfo[scalarType], MATCH( scalarDataframe[[#This Row],[scalarName]],  co_scalarInfo[scalarName], 0 ) )</f>
        <v>damageAdj</v>
      </c>
      <c r="C126" s="44" t="str">
        <f xml:space="preserve"> INDEX( co_scalarInfo[scalarLabel], MATCH( scalarDataframe[[#This Row],[scalarName]], co_scalarInfo[scalarName], 0 ) )</f>
        <v>Rail Traffic Growth Factor</v>
      </c>
      <c r="D126" s="24" t="s">
        <v>781</v>
      </c>
      <c r="E126" s="17" t="s">
        <v>13</v>
      </c>
      <c r="F126" s="25">
        <v>2035</v>
      </c>
      <c r="G126" s="26">
        <v>1.6881543417151914</v>
      </c>
    </row>
    <row r="127" spans="1:7" x14ac:dyDescent="0.35">
      <c r="A127" s="9">
        <f xml:space="preserve"> ROW( scalarDataframe[[#This Row],[row_id]] ) - ROW( scalarDataframe[[#Headers],[row_id]] )</f>
        <v>126</v>
      </c>
      <c r="B127" s="16" t="str">
        <f xml:space="preserve"> INDEX( co_scalarInfo[scalarType], MATCH( scalarDataframe[[#This Row],[scalarName]],  co_scalarInfo[scalarName], 0 ) )</f>
        <v>damageAdj</v>
      </c>
      <c r="C127" s="44" t="str">
        <f xml:space="preserve"> INDEX( co_scalarInfo[scalarLabel], MATCH( scalarDataframe[[#This Row],[scalarName]], co_scalarInfo[scalarName], 0 ) )</f>
        <v>Rail Traffic Growth Factor</v>
      </c>
      <c r="D127" s="24" t="s">
        <v>781</v>
      </c>
      <c r="E127" s="17" t="s">
        <v>13</v>
      </c>
      <c r="F127" s="25">
        <v>2040</v>
      </c>
      <c r="G127" s="26">
        <v>1.8682099204207656</v>
      </c>
    </row>
    <row r="128" spans="1:7" x14ac:dyDescent="0.35">
      <c r="A128" s="9">
        <f xml:space="preserve"> ROW( scalarDataframe[[#This Row],[row_id]] ) - ROW( scalarDataframe[[#Headers],[row_id]] )</f>
        <v>127</v>
      </c>
      <c r="B128" s="16" t="str">
        <f xml:space="preserve"> INDEX( co_scalarInfo[scalarType], MATCH( scalarDataframe[[#This Row],[scalarName]],  co_scalarInfo[scalarName], 0 ) )</f>
        <v>damageAdj</v>
      </c>
      <c r="C128" s="44" t="str">
        <f xml:space="preserve"> INDEX( co_scalarInfo[scalarLabel], MATCH( scalarDataframe[[#This Row],[scalarName]], co_scalarInfo[scalarName], 0 ) )</f>
        <v>Rail Traffic Growth Factor</v>
      </c>
      <c r="D128" s="24" t="s">
        <v>781</v>
      </c>
      <c r="E128" s="17" t="s">
        <v>13</v>
      </c>
      <c r="F128" s="25">
        <v>2045</v>
      </c>
      <c r="G128" s="26">
        <v>2.0417690648932449</v>
      </c>
    </row>
    <row r="129" spans="1:7" x14ac:dyDescent="0.35">
      <c r="A129" s="9">
        <f xml:space="preserve"> ROW( scalarDataframe[[#This Row],[row_id]] ) - ROW( scalarDataframe[[#Headers],[row_id]] )</f>
        <v>128</v>
      </c>
      <c r="B129" s="16" t="str">
        <f xml:space="preserve"> INDEX( co_scalarInfo[scalarType], MATCH( scalarDataframe[[#This Row],[scalarName]],  co_scalarInfo[scalarName], 0 ) )</f>
        <v>damageAdj</v>
      </c>
      <c r="C129" s="44" t="str">
        <f xml:space="preserve"> INDEX( co_scalarInfo[scalarLabel], MATCH( scalarDataframe[[#This Row],[scalarName]], co_scalarInfo[scalarName], 0 ) )</f>
        <v>Rail Traffic Growth Factor</v>
      </c>
      <c r="D129" s="24" t="s">
        <v>781</v>
      </c>
      <c r="E129" s="17" t="s">
        <v>13</v>
      </c>
      <c r="F129" s="25">
        <v>2050</v>
      </c>
      <c r="G129" s="26">
        <v>2.2266271199891796</v>
      </c>
    </row>
    <row r="130" spans="1:7" x14ac:dyDescent="0.35">
      <c r="A130" s="9">
        <f xml:space="preserve"> ROW( scalarDataframe[[#This Row],[row_id]] ) - ROW( scalarDataframe[[#Headers],[row_id]] )</f>
        <v>129</v>
      </c>
      <c r="B130" s="16" t="str">
        <f xml:space="preserve"> INDEX( co_scalarInfo[scalarType], MATCH( scalarDataframe[[#This Row],[scalarName]],  co_scalarInfo[scalarName], 0 ) )</f>
        <v>damageAdj</v>
      </c>
      <c r="C130" s="44" t="str">
        <f xml:space="preserve"> INDEX( co_scalarInfo[scalarLabel], MATCH( scalarDataframe[[#This Row],[scalarName]], co_scalarInfo[scalarName], 0 ) )</f>
        <v>Rail Traffic Growth Factor</v>
      </c>
      <c r="D130" s="24" t="s">
        <v>781</v>
      </c>
      <c r="E130" s="17" t="s">
        <v>13</v>
      </c>
      <c r="F130" s="25">
        <v>2055</v>
      </c>
      <c r="G130" s="26">
        <v>2.4229520176583716</v>
      </c>
    </row>
    <row r="131" spans="1:7" x14ac:dyDescent="0.35">
      <c r="A131" s="9">
        <f xml:space="preserve"> ROW( scalarDataframe[[#This Row],[row_id]] ) - ROW( scalarDataframe[[#Headers],[row_id]] )</f>
        <v>130</v>
      </c>
      <c r="B131" s="16" t="str">
        <f xml:space="preserve"> INDEX( co_scalarInfo[scalarType], MATCH( scalarDataframe[[#This Row],[scalarName]],  co_scalarInfo[scalarName], 0 ) )</f>
        <v>damageAdj</v>
      </c>
      <c r="C131" s="44" t="str">
        <f xml:space="preserve"> INDEX( co_scalarInfo[scalarLabel], MATCH( scalarDataframe[[#This Row],[scalarName]], co_scalarInfo[scalarName], 0 ) )</f>
        <v>Rail Traffic Growth Factor</v>
      </c>
      <c r="D131" s="24" t="s">
        <v>781</v>
      </c>
      <c r="E131" s="17" t="s">
        <v>13</v>
      </c>
      <c r="F131" s="25">
        <v>2060</v>
      </c>
      <c r="G131" s="26">
        <v>2.630750512985768</v>
      </c>
    </row>
    <row r="132" spans="1:7" x14ac:dyDescent="0.35">
      <c r="A132" s="9">
        <f xml:space="preserve"> ROW( scalarDataframe[[#This Row],[row_id]] ) - ROW( scalarDataframe[[#Headers],[row_id]] )</f>
        <v>131</v>
      </c>
      <c r="B132" s="16" t="str">
        <f xml:space="preserve"> INDEX( co_scalarInfo[scalarType], MATCH( scalarDataframe[[#This Row],[scalarName]],  co_scalarInfo[scalarName], 0 ) )</f>
        <v>damageAdj</v>
      </c>
      <c r="C132" s="44" t="str">
        <f xml:space="preserve"> INDEX( co_scalarInfo[scalarLabel], MATCH( scalarDataframe[[#This Row],[scalarName]], co_scalarInfo[scalarName], 0 ) )</f>
        <v>Rail Traffic Growth Factor</v>
      </c>
      <c r="D132" s="24" t="s">
        <v>781</v>
      </c>
      <c r="E132" s="17" t="s">
        <v>13</v>
      </c>
      <c r="F132" s="25">
        <v>2065</v>
      </c>
      <c r="G132" s="26">
        <v>2.8499520581055315</v>
      </c>
    </row>
    <row r="133" spans="1:7" x14ac:dyDescent="0.35">
      <c r="A133" s="9">
        <f xml:space="preserve"> ROW( scalarDataframe[[#This Row],[row_id]] ) - ROW( scalarDataframe[[#Headers],[row_id]] )</f>
        <v>132</v>
      </c>
      <c r="B133" s="16" t="str">
        <f xml:space="preserve"> INDEX( co_scalarInfo[scalarType], MATCH( scalarDataframe[[#This Row],[scalarName]],  co_scalarInfo[scalarName], 0 ) )</f>
        <v>damageAdj</v>
      </c>
      <c r="C133" s="44" t="str">
        <f xml:space="preserve"> INDEX( co_scalarInfo[scalarLabel], MATCH( scalarDataframe[[#This Row],[scalarName]], co_scalarInfo[scalarName], 0 ) )</f>
        <v>Rail Traffic Growth Factor</v>
      </c>
      <c r="D133" s="24" t="s">
        <v>781</v>
      </c>
      <c r="E133" s="17" t="s">
        <v>13</v>
      </c>
      <c r="F133" s="25">
        <v>2070</v>
      </c>
      <c r="G133" s="26">
        <v>3.0804171435837779</v>
      </c>
    </row>
    <row r="134" spans="1:7" x14ac:dyDescent="0.35">
      <c r="A134" s="9">
        <f xml:space="preserve"> ROW( scalarDataframe[[#This Row],[row_id]] ) - ROW( scalarDataframe[[#Headers],[row_id]] )</f>
        <v>133</v>
      </c>
      <c r="B134" s="16" t="str">
        <f xml:space="preserve"> INDEX( co_scalarInfo[scalarType], MATCH( scalarDataframe[[#This Row],[scalarName]],  co_scalarInfo[scalarName], 0 ) )</f>
        <v>damageAdj</v>
      </c>
      <c r="C134" s="44" t="str">
        <f xml:space="preserve"> INDEX( co_scalarInfo[scalarLabel], MATCH( scalarDataframe[[#This Row],[scalarName]], co_scalarInfo[scalarName], 0 ) )</f>
        <v>Rail Traffic Growth Factor</v>
      </c>
      <c r="D134" s="24" t="s">
        <v>781</v>
      </c>
      <c r="E134" s="17" t="s">
        <v>13</v>
      </c>
      <c r="F134" s="25">
        <v>2075</v>
      </c>
      <c r="G134" s="26">
        <v>3.3218909879533709</v>
      </c>
    </row>
    <row r="135" spans="1:7" x14ac:dyDescent="0.35">
      <c r="A135" s="9">
        <f xml:space="preserve"> ROW( scalarDataframe[[#This Row],[row_id]] ) - ROW( scalarDataframe[[#Headers],[row_id]] )</f>
        <v>134</v>
      </c>
      <c r="B135" s="16" t="str">
        <f xml:space="preserve"> INDEX( co_scalarInfo[scalarType], MATCH( scalarDataframe[[#This Row],[scalarName]],  co_scalarInfo[scalarName], 0 ) )</f>
        <v>damageAdj</v>
      </c>
      <c r="C135" s="44" t="str">
        <f xml:space="preserve"> INDEX( co_scalarInfo[scalarLabel], MATCH( scalarDataframe[[#This Row],[scalarName]], co_scalarInfo[scalarName], 0 ) )</f>
        <v>Rail Traffic Growth Factor</v>
      </c>
      <c r="D135" s="24" t="s">
        <v>781</v>
      </c>
      <c r="E135" s="17" t="s">
        <v>13</v>
      </c>
      <c r="F135" s="25">
        <v>2080</v>
      </c>
      <c r="G135" s="26">
        <v>3.573975138866349</v>
      </c>
    </row>
    <row r="136" spans="1:7" x14ac:dyDescent="0.35">
      <c r="A136" s="9">
        <f xml:space="preserve"> ROW( scalarDataframe[[#This Row],[row_id]] ) - ROW( scalarDataframe[[#Headers],[row_id]] )</f>
        <v>135</v>
      </c>
      <c r="B136" s="16" t="str">
        <f xml:space="preserve"> INDEX( co_scalarInfo[scalarType], MATCH( scalarDataframe[[#This Row],[scalarName]],  co_scalarInfo[scalarName], 0 ) )</f>
        <v>damageAdj</v>
      </c>
      <c r="C136" s="44" t="str">
        <f xml:space="preserve"> INDEX( co_scalarInfo[scalarLabel], MATCH( scalarDataframe[[#This Row],[scalarName]], co_scalarInfo[scalarName], 0 ) )</f>
        <v>Rail Traffic Growth Factor</v>
      </c>
      <c r="D136" s="24" t="s">
        <v>781</v>
      </c>
      <c r="E136" s="17" t="s">
        <v>13</v>
      </c>
      <c r="F136" s="25">
        <v>2085</v>
      </c>
      <c r="G136" s="26">
        <v>3.8356588392421278</v>
      </c>
    </row>
    <row r="137" spans="1:7" x14ac:dyDescent="0.35">
      <c r="A137" s="9">
        <f xml:space="preserve"> ROW( scalarDataframe[[#This Row],[row_id]] ) - ROW( scalarDataframe[[#Headers],[row_id]] )</f>
        <v>136</v>
      </c>
      <c r="B137" s="16" t="str">
        <f xml:space="preserve"> INDEX( co_scalarInfo[scalarType], MATCH( scalarDataframe[[#This Row],[scalarName]],  co_scalarInfo[scalarName], 0 ) )</f>
        <v>damageAdj</v>
      </c>
      <c r="C137" s="44" t="str">
        <f xml:space="preserve"> INDEX( co_scalarInfo[scalarLabel], MATCH( scalarDataframe[[#This Row],[scalarName]], co_scalarInfo[scalarName], 0 ) )</f>
        <v>Rail Traffic Growth Factor</v>
      </c>
      <c r="D137" s="24" t="s">
        <v>781</v>
      </c>
      <c r="E137" s="17" t="s">
        <v>13</v>
      </c>
      <c r="F137" s="25">
        <v>2090</v>
      </c>
      <c r="G137" s="26">
        <v>4.1073192653770096</v>
      </c>
    </row>
    <row r="138" spans="1:7" x14ac:dyDescent="0.35">
      <c r="A138" s="9">
        <f xml:space="preserve"> ROW( scalarDataframe[[#This Row],[row_id]] ) - ROW( scalarDataframe[[#Headers],[row_id]] )</f>
        <v>137</v>
      </c>
      <c r="B138" s="16" t="str">
        <f xml:space="preserve"> INDEX( co_scalarInfo[scalarType], MATCH( scalarDataframe[[#This Row],[scalarName]],  co_scalarInfo[scalarName], 0 ) )</f>
        <v>damageAdj</v>
      </c>
      <c r="C138" s="44" t="str">
        <f xml:space="preserve"> INDEX( co_scalarInfo[scalarLabel], MATCH( scalarDataframe[[#This Row],[scalarName]], co_scalarInfo[scalarName], 0 ) )</f>
        <v>Electricity Supply and Demand Reference Costs</v>
      </c>
      <c r="D138" s="24" t="s">
        <v>261</v>
      </c>
      <c r="E138" s="17" t="s">
        <v>6</v>
      </c>
      <c r="F138" s="25">
        <v>2010</v>
      </c>
      <c r="G138" s="26">
        <v>130208348332.31927</v>
      </c>
    </row>
    <row r="139" spans="1:7" x14ac:dyDescent="0.35">
      <c r="A139" s="9">
        <f xml:space="preserve"> ROW( scalarDataframe[[#This Row],[row_id]] ) - ROW( scalarDataframe[[#Headers],[row_id]] )</f>
        <v>138</v>
      </c>
      <c r="B139" s="16" t="str">
        <f xml:space="preserve"> INDEX( co_scalarInfo[scalarType], MATCH( scalarDataframe[[#This Row],[scalarName]],  co_scalarInfo[scalarName], 0 ) )</f>
        <v>damageAdj</v>
      </c>
      <c r="C139" s="44" t="str">
        <f xml:space="preserve"> INDEX( co_scalarInfo[scalarLabel], MATCH( scalarDataframe[[#This Row],[scalarName]], co_scalarInfo[scalarName], 0 ) )</f>
        <v>Electricity Supply and Demand Reference Costs</v>
      </c>
      <c r="D139" s="24" t="s">
        <v>261</v>
      </c>
      <c r="E139" s="17" t="s">
        <v>6</v>
      </c>
      <c r="F139" s="25">
        <v>2015</v>
      </c>
      <c r="G139" s="26">
        <v>120804342857.54382</v>
      </c>
    </row>
    <row r="140" spans="1:7" x14ac:dyDescent="0.35">
      <c r="A140" s="9">
        <f xml:space="preserve"> ROW( scalarDataframe[[#This Row],[row_id]] ) - ROW( scalarDataframe[[#Headers],[row_id]] )</f>
        <v>139</v>
      </c>
      <c r="B140" s="16" t="str">
        <f xml:space="preserve"> INDEX( co_scalarInfo[scalarType], MATCH( scalarDataframe[[#This Row],[scalarName]],  co_scalarInfo[scalarName], 0 ) )</f>
        <v>damageAdj</v>
      </c>
      <c r="C140" s="44" t="str">
        <f xml:space="preserve"> INDEX( co_scalarInfo[scalarLabel], MATCH( scalarDataframe[[#This Row],[scalarName]], co_scalarInfo[scalarName], 0 ) )</f>
        <v>Electricity Supply and Demand Reference Costs</v>
      </c>
      <c r="D140" s="24" t="s">
        <v>261</v>
      </c>
      <c r="E140" s="17" t="s">
        <v>6</v>
      </c>
      <c r="F140" s="25">
        <v>2020</v>
      </c>
      <c r="G140" s="26">
        <v>118120960550.92236</v>
      </c>
    </row>
    <row r="141" spans="1:7" x14ac:dyDescent="0.35">
      <c r="A141" s="9">
        <f xml:space="preserve"> ROW( scalarDataframe[[#This Row],[row_id]] ) - ROW( scalarDataframe[[#Headers],[row_id]] )</f>
        <v>140</v>
      </c>
      <c r="B141" s="16" t="str">
        <f xml:space="preserve"> INDEX( co_scalarInfo[scalarType], MATCH( scalarDataframe[[#This Row],[scalarName]],  co_scalarInfo[scalarName], 0 ) )</f>
        <v>damageAdj</v>
      </c>
      <c r="C141" s="44" t="str">
        <f xml:space="preserve"> INDEX( co_scalarInfo[scalarLabel], MATCH( scalarDataframe[[#This Row],[scalarName]], co_scalarInfo[scalarName], 0 ) )</f>
        <v>Electricity Supply and Demand Reference Costs</v>
      </c>
      <c r="D141" s="24" t="s">
        <v>261</v>
      </c>
      <c r="E141" s="17" t="s">
        <v>6</v>
      </c>
      <c r="F141" s="25">
        <v>2025</v>
      </c>
      <c r="G141" s="26">
        <v>119461694225.58229</v>
      </c>
    </row>
    <row r="142" spans="1:7" x14ac:dyDescent="0.35">
      <c r="A142" s="9">
        <f xml:space="preserve"> ROW( scalarDataframe[[#This Row],[row_id]] ) - ROW( scalarDataframe[[#Headers],[row_id]] )</f>
        <v>141</v>
      </c>
      <c r="B142" s="16" t="str">
        <f xml:space="preserve"> INDEX( co_scalarInfo[scalarType], MATCH( scalarDataframe[[#This Row],[scalarName]],  co_scalarInfo[scalarName], 0 ) )</f>
        <v>damageAdj</v>
      </c>
      <c r="C142" s="44" t="str">
        <f xml:space="preserve"> INDEX( co_scalarInfo[scalarLabel], MATCH( scalarDataframe[[#This Row],[scalarName]], co_scalarInfo[scalarName], 0 ) )</f>
        <v>Electricity Supply and Demand Reference Costs</v>
      </c>
      <c r="D142" s="24" t="s">
        <v>261</v>
      </c>
      <c r="E142" s="17" t="s">
        <v>6</v>
      </c>
      <c r="F142" s="25">
        <v>2030</v>
      </c>
      <c r="G142" s="26">
        <v>119624706159.20174</v>
      </c>
    </row>
    <row r="143" spans="1:7" x14ac:dyDescent="0.35">
      <c r="A143" s="9">
        <f xml:space="preserve"> ROW( scalarDataframe[[#This Row],[row_id]] ) - ROW( scalarDataframe[[#Headers],[row_id]] )</f>
        <v>142</v>
      </c>
      <c r="B143" s="16" t="str">
        <f xml:space="preserve"> INDEX( co_scalarInfo[scalarType], MATCH( scalarDataframe[[#This Row],[scalarName]],  co_scalarInfo[scalarName], 0 ) )</f>
        <v>damageAdj</v>
      </c>
      <c r="C143" s="44" t="str">
        <f xml:space="preserve"> INDEX( co_scalarInfo[scalarLabel], MATCH( scalarDataframe[[#This Row],[scalarName]], co_scalarInfo[scalarName], 0 ) )</f>
        <v>Electricity Supply and Demand Reference Costs</v>
      </c>
      <c r="D143" s="24" t="s">
        <v>261</v>
      </c>
      <c r="E143" s="17" t="s">
        <v>6</v>
      </c>
      <c r="F143" s="25">
        <v>2035</v>
      </c>
      <c r="G143" s="26">
        <v>119523439355.97725</v>
      </c>
    </row>
    <row r="144" spans="1:7" x14ac:dyDescent="0.35">
      <c r="A144" s="9">
        <f xml:space="preserve"> ROW( scalarDataframe[[#This Row],[row_id]] ) - ROW( scalarDataframe[[#Headers],[row_id]] )</f>
        <v>143</v>
      </c>
      <c r="B144" s="16" t="str">
        <f xml:space="preserve"> INDEX( co_scalarInfo[scalarType], MATCH( scalarDataframe[[#This Row],[scalarName]],  co_scalarInfo[scalarName], 0 ) )</f>
        <v>damageAdj</v>
      </c>
      <c r="C144" s="44" t="str">
        <f xml:space="preserve"> INDEX( co_scalarInfo[scalarLabel], MATCH( scalarDataframe[[#This Row],[scalarName]], co_scalarInfo[scalarName], 0 ) )</f>
        <v>Electricity Supply and Demand Reference Costs</v>
      </c>
      <c r="D144" s="24" t="s">
        <v>261</v>
      </c>
      <c r="E144" s="17" t="s">
        <v>6</v>
      </c>
      <c r="F144" s="25">
        <v>2040</v>
      </c>
      <c r="G144" s="26">
        <v>121963625669.49348</v>
      </c>
    </row>
    <row r="145" spans="1:7" x14ac:dyDescent="0.35">
      <c r="A145" s="9">
        <f xml:space="preserve"> ROW( scalarDataframe[[#This Row],[row_id]] ) - ROW( scalarDataframe[[#Headers],[row_id]] )</f>
        <v>144</v>
      </c>
      <c r="B145" s="16" t="str">
        <f xml:space="preserve"> INDEX( co_scalarInfo[scalarType], MATCH( scalarDataframe[[#This Row],[scalarName]],  co_scalarInfo[scalarName], 0 ) )</f>
        <v>damageAdj</v>
      </c>
      <c r="C145" s="44" t="str">
        <f xml:space="preserve"> INDEX( co_scalarInfo[scalarLabel], MATCH( scalarDataframe[[#This Row],[scalarName]], co_scalarInfo[scalarName], 0 ) )</f>
        <v>Electricity Supply and Demand Reference Costs</v>
      </c>
      <c r="D145" s="24" t="s">
        <v>261</v>
      </c>
      <c r="E145" s="17" t="s">
        <v>6</v>
      </c>
      <c r="F145" s="25">
        <v>2045</v>
      </c>
      <c r="G145" s="26">
        <v>123360537893.62611</v>
      </c>
    </row>
    <row r="146" spans="1:7" x14ac:dyDescent="0.35">
      <c r="A146" s="9">
        <f xml:space="preserve"> ROW( scalarDataframe[[#This Row],[row_id]] ) - ROW( scalarDataframe[[#Headers],[row_id]] )</f>
        <v>145</v>
      </c>
      <c r="B146" s="16" t="str">
        <f xml:space="preserve"> INDEX( co_scalarInfo[scalarType], MATCH( scalarDataframe[[#This Row],[scalarName]],  co_scalarInfo[scalarName], 0 ) )</f>
        <v>damageAdj</v>
      </c>
      <c r="C146" s="44" t="str">
        <f xml:space="preserve"> INDEX( co_scalarInfo[scalarLabel], MATCH( scalarDataframe[[#This Row],[scalarName]], co_scalarInfo[scalarName], 0 ) )</f>
        <v>Electricity Supply and Demand Reference Costs</v>
      </c>
      <c r="D146" s="24" t="s">
        <v>261</v>
      </c>
      <c r="E146" s="17" t="s">
        <v>6</v>
      </c>
      <c r="F146" s="25">
        <v>2050</v>
      </c>
      <c r="G146" s="26">
        <v>125065532556.93454</v>
      </c>
    </row>
    <row r="147" spans="1:7" x14ac:dyDescent="0.35">
      <c r="A147" s="9">
        <f xml:space="preserve"> ROW( scalarDataframe[[#This Row],[row_id]] ) - ROW( scalarDataframe[[#Headers],[row_id]] )</f>
        <v>146</v>
      </c>
      <c r="B147" s="16" t="str">
        <f xml:space="preserve"> INDEX( co_scalarInfo[scalarType], MATCH( scalarDataframe[[#This Row],[scalarName]],  co_scalarInfo[scalarName], 0 ) )</f>
        <v>damageAdj</v>
      </c>
      <c r="C147" s="44" t="str">
        <f xml:space="preserve"> INDEX( co_scalarInfo[scalarLabel], MATCH( scalarDataframe[[#This Row],[scalarName]], co_scalarInfo[scalarName], 0 ) )</f>
        <v>Electricity Supply and Demand Reference Costs</v>
      </c>
      <c r="D147" s="24" t="s">
        <v>261</v>
      </c>
      <c r="E147" s="17" t="s">
        <v>6</v>
      </c>
      <c r="F147" s="25">
        <v>2055</v>
      </c>
      <c r="G147" s="26">
        <v>132279782685.26138</v>
      </c>
    </row>
    <row r="148" spans="1:7" x14ac:dyDescent="0.35">
      <c r="A148" s="9">
        <f xml:space="preserve"> ROW( scalarDataframe[[#This Row],[row_id]] ) - ROW( scalarDataframe[[#Headers],[row_id]] )</f>
        <v>147</v>
      </c>
      <c r="B148" s="16" t="str">
        <f xml:space="preserve"> INDEX( co_scalarInfo[scalarType], MATCH( scalarDataframe[[#This Row],[scalarName]],  co_scalarInfo[scalarName], 0 ) )</f>
        <v>damageAdj</v>
      </c>
      <c r="C148" s="44" t="str">
        <f xml:space="preserve"> INDEX( co_scalarInfo[scalarLabel], MATCH( scalarDataframe[[#This Row],[scalarName]], co_scalarInfo[scalarName], 0 ) )</f>
        <v>Electricity Supply and Demand Reference Costs</v>
      </c>
      <c r="D148" s="24" t="s">
        <v>261</v>
      </c>
      <c r="E148" s="17" t="s">
        <v>6</v>
      </c>
      <c r="F148" s="25">
        <v>2060</v>
      </c>
      <c r="G148" s="26">
        <v>139979182545.60733</v>
      </c>
    </row>
    <row r="149" spans="1:7" x14ac:dyDescent="0.35">
      <c r="A149" s="9">
        <f xml:space="preserve"> ROW( scalarDataframe[[#This Row],[row_id]] ) - ROW( scalarDataframe[[#Headers],[row_id]] )</f>
        <v>148</v>
      </c>
      <c r="B149" s="16" t="str">
        <f xml:space="preserve"> INDEX( co_scalarInfo[scalarType], MATCH( scalarDataframe[[#This Row],[scalarName]],  co_scalarInfo[scalarName], 0 ) )</f>
        <v>damageAdj</v>
      </c>
      <c r="C149" s="44" t="str">
        <f xml:space="preserve"> INDEX( co_scalarInfo[scalarLabel], MATCH( scalarDataframe[[#This Row],[scalarName]], co_scalarInfo[scalarName], 0 ) )</f>
        <v>Electricity Supply and Demand Reference Costs</v>
      </c>
      <c r="D149" s="24" t="s">
        <v>261</v>
      </c>
      <c r="E149" s="17" t="s">
        <v>6</v>
      </c>
      <c r="F149" s="25">
        <v>2065</v>
      </c>
      <c r="G149" s="26">
        <v>145231768925.40964</v>
      </c>
    </row>
    <row r="150" spans="1:7" x14ac:dyDescent="0.35">
      <c r="A150" s="9">
        <f xml:space="preserve"> ROW( scalarDataframe[[#This Row],[row_id]] ) - ROW( scalarDataframe[[#Headers],[row_id]] )</f>
        <v>149</v>
      </c>
      <c r="B150" s="16" t="str">
        <f xml:space="preserve"> INDEX( co_scalarInfo[scalarType], MATCH( scalarDataframe[[#This Row],[scalarName]],  co_scalarInfo[scalarName], 0 ) )</f>
        <v>damageAdj</v>
      </c>
      <c r="C150" s="44" t="str">
        <f xml:space="preserve"> INDEX( co_scalarInfo[scalarLabel], MATCH( scalarDataframe[[#This Row],[scalarName]], co_scalarInfo[scalarName], 0 ) )</f>
        <v>Electricity Supply and Demand Reference Costs</v>
      </c>
      <c r="D150" s="24" t="s">
        <v>261</v>
      </c>
      <c r="E150" s="17" t="s">
        <v>6</v>
      </c>
      <c r="F150" s="25">
        <v>2070</v>
      </c>
      <c r="G150" s="26">
        <v>149784470324.47498</v>
      </c>
    </row>
    <row r="151" spans="1:7" x14ac:dyDescent="0.35">
      <c r="A151" s="9">
        <f xml:space="preserve"> ROW( scalarDataframe[[#This Row],[row_id]] ) - ROW( scalarDataframe[[#Headers],[row_id]] )</f>
        <v>150</v>
      </c>
      <c r="B151" s="16" t="str">
        <f xml:space="preserve"> INDEX( co_scalarInfo[scalarType], MATCH( scalarDataframe[[#This Row],[scalarName]],  co_scalarInfo[scalarName], 0 ) )</f>
        <v>damageAdj</v>
      </c>
      <c r="C151" s="44" t="str">
        <f xml:space="preserve"> INDEX( co_scalarInfo[scalarLabel], MATCH( scalarDataframe[[#This Row],[scalarName]], co_scalarInfo[scalarName], 0 ) )</f>
        <v>Electricity Supply and Demand Reference Costs</v>
      </c>
      <c r="D151" s="24" t="s">
        <v>261</v>
      </c>
      <c r="E151" s="17" t="s">
        <v>6</v>
      </c>
      <c r="F151" s="25">
        <v>2075</v>
      </c>
      <c r="G151" s="26">
        <v>154290096944.58099</v>
      </c>
    </row>
    <row r="152" spans="1:7" x14ac:dyDescent="0.35">
      <c r="A152" s="9">
        <f xml:space="preserve"> ROW( scalarDataframe[[#This Row],[row_id]] ) - ROW( scalarDataframe[[#Headers],[row_id]] )</f>
        <v>151</v>
      </c>
      <c r="B152" s="16" t="str">
        <f xml:space="preserve"> INDEX( co_scalarInfo[scalarType], MATCH( scalarDataframe[[#This Row],[scalarName]],  co_scalarInfo[scalarName], 0 ) )</f>
        <v>damageAdj</v>
      </c>
      <c r="C152" s="44" t="str">
        <f xml:space="preserve"> INDEX( co_scalarInfo[scalarLabel], MATCH( scalarDataframe[[#This Row],[scalarName]], co_scalarInfo[scalarName], 0 ) )</f>
        <v>Electricity Supply and Demand Reference Costs</v>
      </c>
      <c r="D152" s="24" t="s">
        <v>261</v>
      </c>
      <c r="E152" s="17" t="s">
        <v>6</v>
      </c>
      <c r="F152" s="25">
        <v>2080</v>
      </c>
      <c r="G152" s="26">
        <v>158826202296.77649</v>
      </c>
    </row>
    <row r="153" spans="1:7" x14ac:dyDescent="0.35">
      <c r="A153" s="9">
        <f xml:space="preserve"> ROW( scalarDataframe[[#This Row],[row_id]] ) - ROW( scalarDataframe[[#Headers],[row_id]] )</f>
        <v>152</v>
      </c>
      <c r="B153" s="16" t="str">
        <f xml:space="preserve"> INDEX( co_scalarInfo[scalarType], MATCH( scalarDataframe[[#This Row],[scalarName]],  co_scalarInfo[scalarName], 0 ) )</f>
        <v>damageAdj</v>
      </c>
      <c r="C153" s="44" t="str">
        <f xml:space="preserve"> INDEX( co_scalarInfo[scalarLabel], MATCH( scalarDataframe[[#This Row],[scalarName]], co_scalarInfo[scalarName], 0 ) )</f>
        <v>Electricity Supply and Demand Reference Costs</v>
      </c>
      <c r="D153" s="24" t="s">
        <v>261</v>
      </c>
      <c r="E153" s="17" t="s">
        <v>6</v>
      </c>
      <c r="F153" s="25">
        <v>2085</v>
      </c>
      <c r="G153" s="26">
        <v>163073253069.10056</v>
      </c>
    </row>
    <row r="154" spans="1:7" x14ac:dyDescent="0.35">
      <c r="A154" s="9">
        <f xml:space="preserve"> ROW( scalarDataframe[[#This Row],[row_id]] ) - ROW( scalarDataframe[[#Headers],[row_id]] )</f>
        <v>153</v>
      </c>
      <c r="B154" s="16" t="str">
        <f xml:space="preserve"> INDEX( co_scalarInfo[scalarType], MATCH( scalarDataframe[[#This Row],[scalarName]],  co_scalarInfo[scalarName], 0 ) )</f>
        <v>damageAdj</v>
      </c>
      <c r="C154" s="44" t="str">
        <f xml:space="preserve"> INDEX( co_scalarInfo[scalarLabel], MATCH( scalarDataframe[[#This Row],[scalarName]], co_scalarInfo[scalarName], 0 ) )</f>
        <v>Electricity Supply and Demand Reference Costs</v>
      </c>
      <c r="D154" s="24" t="s">
        <v>261</v>
      </c>
      <c r="E154" s="17" t="s">
        <v>6</v>
      </c>
      <c r="F154" s="25">
        <v>2090</v>
      </c>
      <c r="G154" s="26">
        <v>167492281189.92035</v>
      </c>
    </row>
    <row r="155" spans="1:7" x14ac:dyDescent="0.35">
      <c r="A155" s="9">
        <f xml:space="preserve"> ROW( scalarDataframe[[#This Row],[row_id]] ) - ROW( scalarDataframe[[#Headers],[row_id]] )</f>
        <v>154</v>
      </c>
      <c r="B155" s="16" t="str">
        <f xml:space="preserve"> INDEX( co_scalarInfo[scalarType], MATCH( scalarDataframe[[#This Row],[scalarName]],  co_scalarInfo[scalarName], 0 ) )</f>
        <v>damageAdj</v>
      </c>
      <c r="C155" s="44" t="str">
        <f xml:space="preserve"> INDEX( co_scalarInfo[scalarLabel], MATCH( scalarDataframe[[#This Row],[scalarName]], co_scalarInfo[scalarName], 0 ) )</f>
        <v>Electricity Supply and Demand Reference Costs</v>
      </c>
      <c r="D155" s="24" t="s">
        <v>261</v>
      </c>
      <c r="E155" s="17" t="s">
        <v>7</v>
      </c>
      <c r="F155" s="25">
        <v>2010</v>
      </c>
      <c r="G155" s="26">
        <v>90606040293.472687</v>
      </c>
    </row>
    <row r="156" spans="1:7" x14ac:dyDescent="0.35">
      <c r="A156" s="9">
        <f xml:space="preserve"> ROW( scalarDataframe[[#This Row],[row_id]] ) - ROW( scalarDataframe[[#Headers],[row_id]] )</f>
        <v>155</v>
      </c>
      <c r="B156" s="16" t="str">
        <f xml:space="preserve"> INDEX( co_scalarInfo[scalarType], MATCH( scalarDataframe[[#This Row],[scalarName]],  co_scalarInfo[scalarName], 0 ) )</f>
        <v>damageAdj</v>
      </c>
      <c r="C156" s="44" t="str">
        <f xml:space="preserve"> INDEX( co_scalarInfo[scalarLabel], MATCH( scalarDataframe[[#This Row],[scalarName]], co_scalarInfo[scalarName], 0 ) )</f>
        <v>Electricity Supply and Demand Reference Costs</v>
      </c>
      <c r="D156" s="24" t="s">
        <v>261</v>
      </c>
      <c r="E156" s="17" t="s">
        <v>7</v>
      </c>
      <c r="F156" s="25">
        <v>2015</v>
      </c>
      <c r="G156" s="26">
        <v>91873924435.69632</v>
      </c>
    </row>
    <row r="157" spans="1:7" x14ac:dyDescent="0.35">
      <c r="A157" s="9">
        <f xml:space="preserve"> ROW( scalarDataframe[[#This Row],[row_id]] ) - ROW( scalarDataframe[[#Headers],[row_id]] )</f>
        <v>156</v>
      </c>
      <c r="B157" s="16" t="str">
        <f xml:space="preserve"> INDEX( co_scalarInfo[scalarType], MATCH( scalarDataframe[[#This Row],[scalarName]],  co_scalarInfo[scalarName], 0 ) )</f>
        <v>damageAdj</v>
      </c>
      <c r="C157" s="44" t="str">
        <f xml:space="preserve"> INDEX( co_scalarInfo[scalarLabel], MATCH( scalarDataframe[[#This Row],[scalarName]], co_scalarInfo[scalarName], 0 ) )</f>
        <v>Electricity Supply and Demand Reference Costs</v>
      </c>
      <c r="D157" s="24" t="s">
        <v>261</v>
      </c>
      <c r="E157" s="17" t="s">
        <v>7</v>
      </c>
      <c r="F157" s="25">
        <v>2020</v>
      </c>
      <c r="G157" s="26">
        <v>90259937348.730759</v>
      </c>
    </row>
    <row r="158" spans="1:7" x14ac:dyDescent="0.35">
      <c r="A158" s="9">
        <f xml:space="preserve"> ROW( scalarDataframe[[#This Row],[row_id]] ) - ROW( scalarDataframe[[#Headers],[row_id]] )</f>
        <v>157</v>
      </c>
      <c r="B158" s="16" t="str">
        <f xml:space="preserve"> INDEX( co_scalarInfo[scalarType], MATCH( scalarDataframe[[#This Row],[scalarName]],  co_scalarInfo[scalarName], 0 ) )</f>
        <v>damageAdj</v>
      </c>
      <c r="C158" s="44" t="str">
        <f xml:space="preserve"> INDEX( co_scalarInfo[scalarLabel], MATCH( scalarDataframe[[#This Row],[scalarName]], co_scalarInfo[scalarName], 0 ) )</f>
        <v>Electricity Supply and Demand Reference Costs</v>
      </c>
      <c r="D158" s="24" t="s">
        <v>261</v>
      </c>
      <c r="E158" s="17" t="s">
        <v>7</v>
      </c>
      <c r="F158" s="25">
        <v>2025</v>
      </c>
      <c r="G158" s="26">
        <v>91008625210.361847</v>
      </c>
    </row>
    <row r="159" spans="1:7" x14ac:dyDescent="0.35">
      <c r="A159" s="9">
        <f xml:space="preserve"> ROW( scalarDataframe[[#This Row],[row_id]] ) - ROW( scalarDataframe[[#Headers],[row_id]] )</f>
        <v>158</v>
      </c>
      <c r="B159" s="16" t="str">
        <f xml:space="preserve"> INDEX( co_scalarInfo[scalarType], MATCH( scalarDataframe[[#This Row],[scalarName]],  co_scalarInfo[scalarName], 0 ) )</f>
        <v>damageAdj</v>
      </c>
      <c r="C159" s="44" t="str">
        <f xml:space="preserve"> INDEX( co_scalarInfo[scalarLabel], MATCH( scalarDataframe[[#This Row],[scalarName]], co_scalarInfo[scalarName], 0 ) )</f>
        <v>Electricity Supply and Demand Reference Costs</v>
      </c>
      <c r="D159" s="24" t="s">
        <v>261</v>
      </c>
      <c r="E159" s="17" t="s">
        <v>7</v>
      </c>
      <c r="F159" s="25">
        <v>2030</v>
      </c>
      <c r="G159" s="26">
        <v>91306353685.170563</v>
      </c>
    </row>
    <row r="160" spans="1:7" x14ac:dyDescent="0.35">
      <c r="A160" s="9">
        <f xml:space="preserve"> ROW( scalarDataframe[[#This Row],[row_id]] ) - ROW( scalarDataframe[[#Headers],[row_id]] )</f>
        <v>159</v>
      </c>
      <c r="B160" s="16" t="str">
        <f xml:space="preserve"> INDEX( co_scalarInfo[scalarType], MATCH( scalarDataframe[[#This Row],[scalarName]],  co_scalarInfo[scalarName], 0 ) )</f>
        <v>damageAdj</v>
      </c>
      <c r="C160" s="44" t="str">
        <f xml:space="preserve"> INDEX( co_scalarInfo[scalarLabel], MATCH( scalarDataframe[[#This Row],[scalarName]], co_scalarInfo[scalarName], 0 ) )</f>
        <v>Electricity Supply and Demand Reference Costs</v>
      </c>
      <c r="D160" s="24" t="s">
        <v>261</v>
      </c>
      <c r="E160" s="17" t="s">
        <v>7</v>
      </c>
      <c r="F160" s="25">
        <v>2035</v>
      </c>
      <c r="G160" s="26">
        <v>91915765824.74678</v>
      </c>
    </row>
    <row r="161" spans="1:7" x14ac:dyDescent="0.35">
      <c r="A161" s="9">
        <f xml:space="preserve"> ROW( scalarDataframe[[#This Row],[row_id]] ) - ROW( scalarDataframe[[#Headers],[row_id]] )</f>
        <v>160</v>
      </c>
      <c r="B161" s="16" t="str">
        <f xml:space="preserve"> INDEX( co_scalarInfo[scalarType], MATCH( scalarDataframe[[#This Row],[scalarName]],  co_scalarInfo[scalarName], 0 ) )</f>
        <v>damageAdj</v>
      </c>
      <c r="C161" s="44" t="str">
        <f xml:space="preserve"> INDEX( co_scalarInfo[scalarLabel], MATCH( scalarDataframe[[#This Row],[scalarName]], co_scalarInfo[scalarName], 0 ) )</f>
        <v>Electricity Supply and Demand Reference Costs</v>
      </c>
      <c r="D161" s="24" t="s">
        <v>261</v>
      </c>
      <c r="E161" s="17" t="s">
        <v>7</v>
      </c>
      <c r="F161" s="25">
        <v>2040</v>
      </c>
      <c r="G161" s="26">
        <v>92443241361.439835</v>
      </c>
    </row>
    <row r="162" spans="1:7" x14ac:dyDescent="0.35">
      <c r="A162" s="9">
        <f xml:space="preserve"> ROW( scalarDataframe[[#This Row],[row_id]] ) - ROW( scalarDataframe[[#Headers],[row_id]] )</f>
        <v>161</v>
      </c>
      <c r="B162" s="16" t="str">
        <f xml:space="preserve"> INDEX( co_scalarInfo[scalarType], MATCH( scalarDataframe[[#This Row],[scalarName]],  co_scalarInfo[scalarName], 0 ) )</f>
        <v>damageAdj</v>
      </c>
      <c r="C162" s="44" t="str">
        <f xml:space="preserve"> INDEX( co_scalarInfo[scalarLabel], MATCH( scalarDataframe[[#This Row],[scalarName]], co_scalarInfo[scalarName], 0 ) )</f>
        <v>Electricity Supply and Demand Reference Costs</v>
      </c>
      <c r="D162" s="24" t="s">
        <v>261</v>
      </c>
      <c r="E162" s="17" t="s">
        <v>7</v>
      </c>
      <c r="F162" s="25">
        <v>2045</v>
      </c>
      <c r="G162" s="26">
        <v>93266266611.005646</v>
      </c>
    </row>
    <row r="163" spans="1:7" x14ac:dyDescent="0.35">
      <c r="A163" s="9">
        <f xml:space="preserve"> ROW( scalarDataframe[[#This Row],[row_id]] ) - ROW( scalarDataframe[[#Headers],[row_id]] )</f>
        <v>162</v>
      </c>
      <c r="B163" s="16" t="str">
        <f xml:space="preserve"> INDEX( co_scalarInfo[scalarType], MATCH( scalarDataframe[[#This Row],[scalarName]],  co_scalarInfo[scalarName], 0 ) )</f>
        <v>damageAdj</v>
      </c>
      <c r="C163" s="44" t="str">
        <f xml:space="preserve"> INDEX( co_scalarInfo[scalarLabel], MATCH( scalarDataframe[[#This Row],[scalarName]], co_scalarInfo[scalarName], 0 ) )</f>
        <v>Electricity Supply and Demand Reference Costs</v>
      </c>
      <c r="D163" s="24" t="s">
        <v>261</v>
      </c>
      <c r="E163" s="17" t="s">
        <v>7</v>
      </c>
      <c r="F163" s="25">
        <v>2050</v>
      </c>
      <c r="G163" s="26">
        <v>94003048301.226379</v>
      </c>
    </row>
    <row r="164" spans="1:7" x14ac:dyDescent="0.35">
      <c r="A164" s="9">
        <f xml:space="preserve"> ROW( scalarDataframe[[#This Row],[row_id]] ) - ROW( scalarDataframe[[#Headers],[row_id]] )</f>
        <v>163</v>
      </c>
      <c r="B164" s="16" t="str">
        <f xml:space="preserve"> INDEX( co_scalarInfo[scalarType], MATCH( scalarDataframe[[#This Row],[scalarName]],  co_scalarInfo[scalarName], 0 ) )</f>
        <v>damageAdj</v>
      </c>
      <c r="C164" s="44" t="str">
        <f xml:space="preserve"> INDEX( co_scalarInfo[scalarLabel], MATCH( scalarDataframe[[#This Row],[scalarName]], co_scalarInfo[scalarName], 0 ) )</f>
        <v>Electricity Supply and Demand Reference Costs</v>
      </c>
      <c r="D164" s="24" t="s">
        <v>261</v>
      </c>
      <c r="E164" s="17" t="s">
        <v>7</v>
      </c>
      <c r="F164" s="25">
        <v>2055</v>
      </c>
      <c r="G164" s="26">
        <v>97483427458.949249</v>
      </c>
    </row>
    <row r="165" spans="1:7" x14ac:dyDescent="0.35">
      <c r="A165" s="9">
        <f xml:space="preserve"> ROW( scalarDataframe[[#This Row],[row_id]] ) - ROW( scalarDataframe[[#Headers],[row_id]] )</f>
        <v>164</v>
      </c>
      <c r="B165" s="16" t="str">
        <f xml:space="preserve"> INDEX( co_scalarInfo[scalarType], MATCH( scalarDataframe[[#This Row],[scalarName]],  co_scalarInfo[scalarName], 0 ) )</f>
        <v>damageAdj</v>
      </c>
      <c r="C165" s="44" t="str">
        <f xml:space="preserve"> INDEX( co_scalarInfo[scalarLabel], MATCH( scalarDataframe[[#This Row],[scalarName]], co_scalarInfo[scalarName], 0 ) )</f>
        <v>Electricity Supply and Demand Reference Costs</v>
      </c>
      <c r="D165" s="24" t="s">
        <v>261</v>
      </c>
      <c r="E165" s="17" t="s">
        <v>7</v>
      </c>
      <c r="F165" s="25">
        <v>2060</v>
      </c>
      <c r="G165" s="26">
        <v>100819788501.21713</v>
      </c>
    </row>
    <row r="166" spans="1:7" x14ac:dyDescent="0.35">
      <c r="A166" s="9">
        <f xml:space="preserve"> ROW( scalarDataframe[[#This Row],[row_id]] ) - ROW( scalarDataframe[[#Headers],[row_id]] )</f>
        <v>165</v>
      </c>
      <c r="B166" s="16" t="str">
        <f xml:space="preserve"> INDEX( co_scalarInfo[scalarType], MATCH( scalarDataframe[[#This Row],[scalarName]],  co_scalarInfo[scalarName], 0 ) )</f>
        <v>damageAdj</v>
      </c>
      <c r="C166" s="44" t="str">
        <f xml:space="preserve"> INDEX( co_scalarInfo[scalarLabel], MATCH( scalarDataframe[[#This Row],[scalarName]], co_scalarInfo[scalarName], 0 ) )</f>
        <v>Electricity Supply and Demand Reference Costs</v>
      </c>
      <c r="D166" s="24" t="s">
        <v>261</v>
      </c>
      <c r="E166" s="17" t="s">
        <v>7</v>
      </c>
      <c r="F166" s="25">
        <v>2065</v>
      </c>
      <c r="G166" s="26">
        <v>104694147681.32254</v>
      </c>
    </row>
    <row r="167" spans="1:7" x14ac:dyDescent="0.35">
      <c r="A167" s="9">
        <f xml:space="preserve"> ROW( scalarDataframe[[#This Row],[row_id]] ) - ROW( scalarDataframe[[#Headers],[row_id]] )</f>
        <v>166</v>
      </c>
      <c r="B167" s="16" t="str">
        <f xml:space="preserve"> INDEX( co_scalarInfo[scalarType], MATCH( scalarDataframe[[#This Row],[scalarName]],  co_scalarInfo[scalarName], 0 ) )</f>
        <v>damageAdj</v>
      </c>
      <c r="C167" s="44" t="str">
        <f xml:space="preserve"> INDEX( co_scalarInfo[scalarLabel], MATCH( scalarDataframe[[#This Row],[scalarName]], co_scalarInfo[scalarName], 0 ) )</f>
        <v>Electricity Supply and Demand Reference Costs</v>
      </c>
      <c r="D167" s="24" t="s">
        <v>261</v>
      </c>
      <c r="E167" s="17" t="s">
        <v>7</v>
      </c>
      <c r="F167" s="25">
        <v>2070</v>
      </c>
      <c r="G167" s="26">
        <v>107685090670.92725</v>
      </c>
    </row>
    <row r="168" spans="1:7" x14ac:dyDescent="0.35">
      <c r="A168" s="9">
        <f xml:space="preserve"> ROW( scalarDataframe[[#This Row],[row_id]] ) - ROW( scalarDataframe[[#Headers],[row_id]] )</f>
        <v>167</v>
      </c>
      <c r="B168" s="16" t="str">
        <f xml:space="preserve"> INDEX( co_scalarInfo[scalarType], MATCH( scalarDataframe[[#This Row],[scalarName]],  co_scalarInfo[scalarName], 0 ) )</f>
        <v>damageAdj</v>
      </c>
      <c r="C168" s="44" t="str">
        <f xml:space="preserve"> INDEX( co_scalarInfo[scalarLabel], MATCH( scalarDataframe[[#This Row],[scalarName]], co_scalarInfo[scalarName], 0 ) )</f>
        <v>Electricity Supply and Demand Reference Costs</v>
      </c>
      <c r="D168" s="24" t="s">
        <v>261</v>
      </c>
      <c r="E168" s="17" t="s">
        <v>7</v>
      </c>
      <c r="F168" s="25">
        <v>2075</v>
      </c>
      <c r="G168" s="26">
        <v>110676818006.88115</v>
      </c>
    </row>
    <row r="169" spans="1:7" x14ac:dyDescent="0.35">
      <c r="A169" s="9">
        <f xml:space="preserve"> ROW( scalarDataframe[[#This Row],[row_id]] ) - ROW( scalarDataframe[[#Headers],[row_id]] )</f>
        <v>168</v>
      </c>
      <c r="B169" s="16" t="str">
        <f xml:space="preserve"> INDEX( co_scalarInfo[scalarType], MATCH( scalarDataframe[[#This Row],[scalarName]],  co_scalarInfo[scalarName], 0 ) )</f>
        <v>damageAdj</v>
      </c>
      <c r="C169" s="44" t="str">
        <f xml:space="preserve"> INDEX( co_scalarInfo[scalarLabel], MATCH( scalarDataframe[[#This Row],[scalarName]], co_scalarInfo[scalarName], 0 ) )</f>
        <v>Electricity Supply and Demand Reference Costs</v>
      </c>
      <c r="D169" s="24" t="s">
        <v>261</v>
      </c>
      <c r="E169" s="17" t="s">
        <v>7</v>
      </c>
      <c r="F169" s="25">
        <v>2080</v>
      </c>
      <c r="G169" s="26">
        <v>113523968228.68611</v>
      </c>
    </row>
    <row r="170" spans="1:7" x14ac:dyDescent="0.35">
      <c r="A170" s="9">
        <f xml:space="preserve"> ROW( scalarDataframe[[#This Row],[row_id]] ) - ROW( scalarDataframe[[#Headers],[row_id]] )</f>
        <v>169</v>
      </c>
      <c r="B170" s="16" t="str">
        <f xml:space="preserve"> INDEX( co_scalarInfo[scalarType], MATCH( scalarDataframe[[#This Row],[scalarName]],  co_scalarInfo[scalarName], 0 ) )</f>
        <v>damageAdj</v>
      </c>
      <c r="C170" s="44" t="str">
        <f xml:space="preserve"> INDEX( co_scalarInfo[scalarLabel], MATCH( scalarDataframe[[#This Row],[scalarName]], co_scalarInfo[scalarName], 0 ) )</f>
        <v>Electricity Supply and Demand Reference Costs</v>
      </c>
      <c r="D170" s="24" t="s">
        <v>261</v>
      </c>
      <c r="E170" s="17" t="s">
        <v>7</v>
      </c>
      <c r="F170" s="25">
        <v>2085</v>
      </c>
      <c r="G170" s="26">
        <v>115642561586.81958</v>
      </c>
    </row>
    <row r="171" spans="1:7" x14ac:dyDescent="0.35">
      <c r="A171" s="9">
        <f xml:space="preserve"> ROW( scalarDataframe[[#This Row],[row_id]] ) - ROW( scalarDataframe[[#Headers],[row_id]] )</f>
        <v>170</v>
      </c>
      <c r="B171" s="16" t="str">
        <f xml:space="preserve"> INDEX( co_scalarInfo[scalarType], MATCH( scalarDataframe[[#This Row],[scalarName]],  co_scalarInfo[scalarName], 0 ) )</f>
        <v>damageAdj</v>
      </c>
      <c r="C171" s="44" t="str">
        <f xml:space="preserve"> INDEX( co_scalarInfo[scalarLabel], MATCH( scalarDataframe[[#This Row],[scalarName]], co_scalarInfo[scalarName], 0 ) )</f>
        <v>Electricity Supply and Demand Reference Costs</v>
      </c>
      <c r="D171" s="24" t="s">
        <v>261</v>
      </c>
      <c r="E171" s="17" t="s">
        <v>7</v>
      </c>
      <c r="F171" s="25">
        <v>2090</v>
      </c>
      <c r="G171" s="26">
        <v>118109307785.25816</v>
      </c>
    </row>
    <row r="172" spans="1:7" x14ac:dyDescent="0.35">
      <c r="A172" s="9">
        <f xml:space="preserve"> ROW( scalarDataframe[[#This Row],[row_id]] ) - ROW( scalarDataframe[[#Headers],[row_id]] )</f>
        <v>171</v>
      </c>
      <c r="B172" s="16" t="str">
        <f xml:space="preserve"> INDEX( co_scalarInfo[scalarType], MATCH( scalarDataframe[[#This Row],[scalarName]],  co_scalarInfo[scalarName], 0 ) )</f>
        <v>damageAdj</v>
      </c>
      <c r="C172" s="44" t="str">
        <f xml:space="preserve"> INDEX( co_scalarInfo[scalarLabel], MATCH( scalarDataframe[[#This Row],[scalarName]], co_scalarInfo[scalarName], 0 ) )</f>
        <v>Electricity Supply and Demand Reference Costs</v>
      </c>
      <c r="D172" s="24" t="s">
        <v>261</v>
      </c>
      <c r="E172" s="17" t="s">
        <v>8</v>
      </c>
      <c r="F172" s="25">
        <v>2010</v>
      </c>
      <c r="G172" s="26">
        <v>21164319784.872532</v>
      </c>
    </row>
    <row r="173" spans="1:7" x14ac:dyDescent="0.35">
      <c r="A173" s="9">
        <f xml:space="preserve"> ROW( scalarDataframe[[#This Row],[row_id]] ) - ROW( scalarDataframe[[#Headers],[row_id]] )</f>
        <v>172</v>
      </c>
      <c r="B173" s="16" t="str">
        <f xml:space="preserve"> INDEX( co_scalarInfo[scalarType], MATCH( scalarDataframe[[#This Row],[scalarName]],  co_scalarInfo[scalarName], 0 ) )</f>
        <v>damageAdj</v>
      </c>
      <c r="C173" s="44" t="str">
        <f xml:space="preserve"> INDEX( co_scalarInfo[scalarLabel], MATCH( scalarDataframe[[#This Row],[scalarName]], co_scalarInfo[scalarName], 0 ) )</f>
        <v>Electricity Supply and Demand Reference Costs</v>
      </c>
      <c r="D173" s="24" t="s">
        <v>261</v>
      </c>
      <c r="E173" s="17" t="s">
        <v>8</v>
      </c>
      <c r="F173" s="25">
        <v>2015</v>
      </c>
      <c r="G173" s="26">
        <v>19578440967.672535</v>
      </c>
    </row>
    <row r="174" spans="1:7" x14ac:dyDescent="0.35">
      <c r="A174" s="9">
        <f xml:space="preserve"> ROW( scalarDataframe[[#This Row],[row_id]] ) - ROW( scalarDataframe[[#Headers],[row_id]] )</f>
        <v>173</v>
      </c>
      <c r="B174" s="16" t="str">
        <f xml:space="preserve"> INDEX( co_scalarInfo[scalarType], MATCH( scalarDataframe[[#This Row],[scalarName]],  co_scalarInfo[scalarName], 0 ) )</f>
        <v>damageAdj</v>
      </c>
      <c r="C174" s="44" t="str">
        <f xml:space="preserve"> INDEX( co_scalarInfo[scalarLabel], MATCH( scalarDataframe[[#This Row],[scalarName]], co_scalarInfo[scalarName], 0 ) )</f>
        <v>Electricity Supply and Demand Reference Costs</v>
      </c>
      <c r="D174" s="24" t="s">
        <v>261</v>
      </c>
      <c r="E174" s="17" t="s">
        <v>8</v>
      </c>
      <c r="F174" s="25">
        <v>2020</v>
      </c>
      <c r="G174" s="26">
        <v>19783800508.586811</v>
      </c>
    </row>
    <row r="175" spans="1:7" x14ac:dyDescent="0.35">
      <c r="A175" s="9">
        <f xml:space="preserve"> ROW( scalarDataframe[[#This Row],[row_id]] ) - ROW( scalarDataframe[[#Headers],[row_id]] )</f>
        <v>174</v>
      </c>
      <c r="B175" s="16" t="str">
        <f xml:space="preserve"> INDEX( co_scalarInfo[scalarType], MATCH( scalarDataframe[[#This Row],[scalarName]],  co_scalarInfo[scalarName], 0 ) )</f>
        <v>damageAdj</v>
      </c>
      <c r="C175" s="44" t="str">
        <f xml:space="preserve"> INDEX( co_scalarInfo[scalarLabel], MATCH( scalarDataframe[[#This Row],[scalarName]], co_scalarInfo[scalarName], 0 ) )</f>
        <v>Electricity Supply and Demand Reference Costs</v>
      </c>
      <c r="D175" s="24" t="s">
        <v>261</v>
      </c>
      <c r="E175" s="17" t="s">
        <v>8</v>
      </c>
      <c r="F175" s="25">
        <v>2025</v>
      </c>
      <c r="G175" s="26">
        <v>20428472883.230137</v>
      </c>
    </row>
    <row r="176" spans="1:7" x14ac:dyDescent="0.35">
      <c r="A176" s="9">
        <f xml:space="preserve"> ROW( scalarDataframe[[#This Row],[row_id]] ) - ROW( scalarDataframe[[#Headers],[row_id]] )</f>
        <v>175</v>
      </c>
      <c r="B176" s="16" t="str">
        <f xml:space="preserve"> INDEX( co_scalarInfo[scalarType], MATCH( scalarDataframe[[#This Row],[scalarName]],  co_scalarInfo[scalarName], 0 ) )</f>
        <v>damageAdj</v>
      </c>
      <c r="C176" s="44" t="str">
        <f xml:space="preserve"> INDEX( co_scalarInfo[scalarLabel], MATCH( scalarDataframe[[#This Row],[scalarName]], co_scalarInfo[scalarName], 0 ) )</f>
        <v>Electricity Supply and Demand Reference Costs</v>
      </c>
      <c r="D176" s="24" t="s">
        <v>261</v>
      </c>
      <c r="E176" s="17" t="s">
        <v>8</v>
      </c>
      <c r="F176" s="25">
        <v>2030</v>
      </c>
      <c r="G176" s="26">
        <v>20641171265.958393</v>
      </c>
    </row>
    <row r="177" spans="1:7" x14ac:dyDescent="0.35">
      <c r="A177" s="9">
        <f xml:space="preserve"> ROW( scalarDataframe[[#This Row],[row_id]] ) - ROW( scalarDataframe[[#Headers],[row_id]] )</f>
        <v>176</v>
      </c>
      <c r="B177" s="16" t="str">
        <f xml:space="preserve"> INDEX( co_scalarInfo[scalarType], MATCH( scalarDataframe[[#This Row],[scalarName]],  co_scalarInfo[scalarName], 0 ) )</f>
        <v>damageAdj</v>
      </c>
      <c r="C177" s="44" t="str">
        <f xml:space="preserve"> INDEX( co_scalarInfo[scalarLabel], MATCH( scalarDataframe[[#This Row],[scalarName]], co_scalarInfo[scalarName], 0 ) )</f>
        <v>Electricity Supply and Demand Reference Costs</v>
      </c>
      <c r="D177" s="24" t="s">
        <v>261</v>
      </c>
      <c r="E177" s="17" t="s">
        <v>8</v>
      </c>
      <c r="F177" s="25">
        <v>2035</v>
      </c>
      <c r="G177" s="26">
        <v>21606071006.307476</v>
      </c>
    </row>
    <row r="178" spans="1:7" x14ac:dyDescent="0.35">
      <c r="A178" s="9">
        <f xml:space="preserve"> ROW( scalarDataframe[[#This Row],[row_id]] ) - ROW( scalarDataframe[[#Headers],[row_id]] )</f>
        <v>177</v>
      </c>
      <c r="B178" s="16" t="str">
        <f xml:space="preserve"> INDEX( co_scalarInfo[scalarType], MATCH( scalarDataframe[[#This Row],[scalarName]],  co_scalarInfo[scalarName], 0 ) )</f>
        <v>damageAdj</v>
      </c>
      <c r="C178" s="44" t="str">
        <f xml:space="preserve"> INDEX( co_scalarInfo[scalarLabel], MATCH( scalarDataframe[[#This Row],[scalarName]], co_scalarInfo[scalarName], 0 ) )</f>
        <v>Electricity Supply and Demand Reference Costs</v>
      </c>
      <c r="D178" s="24" t="s">
        <v>261</v>
      </c>
      <c r="E178" s="17" t="s">
        <v>8</v>
      </c>
      <c r="F178" s="25">
        <v>2040</v>
      </c>
      <c r="G178" s="26">
        <v>22686944196.27713</v>
      </c>
    </row>
    <row r="179" spans="1:7" x14ac:dyDescent="0.35">
      <c r="A179" s="9">
        <f xml:space="preserve"> ROW( scalarDataframe[[#This Row],[row_id]] ) - ROW( scalarDataframe[[#Headers],[row_id]] )</f>
        <v>178</v>
      </c>
      <c r="B179" s="16" t="str">
        <f xml:space="preserve"> INDEX( co_scalarInfo[scalarType], MATCH( scalarDataframe[[#This Row],[scalarName]],  co_scalarInfo[scalarName], 0 ) )</f>
        <v>damageAdj</v>
      </c>
      <c r="C179" s="44" t="str">
        <f xml:space="preserve"> INDEX( co_scalarInfo[scalarLabel], MATCH( scalarDataframe[[#This Row],[scalarName]], co_scalarInfo[scalarName], 0 ) )</f>
        <v>Electricity Supply and Demand Reference Costs</v>
      </c>
      <c r="D179" s="24" t="s">
        <v>261</v>
      </c>
      <c r="E179" s="17" t="s">
        <v>8</v>
      </c>
      <c r="F179" s="25">
        <v>2045</v>
      </c>
      <c r="G179" s="26">
        <v>23250002657.036182</v>
      </c>
    </row>
    <row r="180" spans="1:7" x14ac:dyDescent="0.35">
      <c r="A180" s="9">
        <f xml:space="preserve"> ROW( scalarDataframe[[#This Row],[row_id]] ) - ROW( scalarDataframe[[#Headers],[row_id]] )</f>
        <v>179</v>
      </c>
      <c r="B180" s="16" t="str">
        <f xml:space="preserve"> INDEX( co_scalarInfo[scalarType], MATCH( scalarDataframe[[#This Row],[scalarName]],  co_scalarInfo[scalarName], 0 ) )</f>
        <v>damageAdj</v>
      </c>
      <c r="C180" s="44" t="str">
        <f xml:space="preserve"> INDEX( co_scalarInfo[scalarLabel], MATCH( scalarDataframe[[#This Row],[scalarName]], co_scalarInfo[scalarName], 0 ) )</f>
        <v>Electricity Supply and Demand Reference Costs</v>
      </c>
      <c r="D180" s="24" t="s">
        <v>261</v>
      </c>
      <c r="E180" s="17" t="s">
        <v>8</v>
      </c>
      <c r="F180" s="25">
        <v>2050</v>
      </c>
      <c r="G180" s="26">
        <v>23570982767.240471</v>
      </c>
    </row>
    <row r="181" spans="1:7" x14ac:dyDescent="0.35">
      <c r="A181" s="9">
        <f xml:space="preserve"> ROW( scalarDataframe[[#This Row],[row_id]] ) - ROW( scalarDataframe[[#Headers],[row_id]] )</f>
        <v>180</v>
      </c>
      <c r="B181" s="16" t="str">
        <f xml:space="preserve"> INDEX( co_scalarInfo[scalarType], MATCH( scalarDataframe[[#This Row],[scalarName]],  co_scalarInfo[scalarName], 0 ) )</f>
        <v>damageAdj</v>
      </c>
      <c r="C181" s="44" t="str">
        <f xml:space="preserve"> INDEX( co_scalarInfo[scalarLabel], MATCH( scalarDataframe[[#This Row],[scalarName]], co_scalarInfo[scalarName], 0 ) )</f>
        <v>Electricity Supply and Demand Reference Costs</v>
      </c>
      <c r="D181" s="24" t="s">
        <v>261</v>
      </c>
      <c r="E181" s="17" t="s">
        <v>8</v>
      </c>
      <c r="F181" s="25">
        <v>2055</v>
      </c>
      <c r="G181" s="26">
        <v>23035060105.436737</v>
      </c>
    </row>
    <row r="182" spans="1:7" x14ac:dyDescent="0.35">
      <c r="A182" s="9">
        <f xml:space="preserve"> ROW( scalarDataframe[[#This Row],[row_id]] ) - ROW( scalarDataframe[[#Headers],[row_id]] )</f>
        <v>181</v>
      </c>
      <c r="B182" s="16" t="str">
        <f xml:space="preserve"> INDEX( co_scalarInfo[scalarType], MATCH( scalarDataframe[[#This Row],[scalarName]],  co_scalarInfo[scalarName], 0 ) )</f>
        <v>damageAdj</v>
      </c>
      <c r="C182" s="44" t="str">
        <f xml:space="preserve"> INDEX( co_scalarInfo[scalarLabel], MATCH( scalarDataframe[[#This Row],[scalarName]], co_scalarInfo[scalarName], 0 ) )</f>
        <v>Electricity Supply and Demand Reference Costs</v>
      </c>
      <c r="D182" s="24" t="s">
        <v>261</v>
      </c>
      <c r="E182" s="17" t="s">
        <v>8</v>
      </c>
      <c r="F182" s="25">
        <v>2060</v>
      </c>
      <c r="G182" s="26">
        <v>22765760402.128868</v>
      </c>
    </row>
    <row r="183" spans="1:7" x14ac:dyDescent="0.35">
      <c r="A183" s="9">
        <f xml:space="preserve"> ROW( scalarDataframe[[#This Row],[row_id]] ) - ROW( scalarDataframe[[#Headers],[row_id]] )</f>
        <v>182</v>
      </c>
      <c r="B183" s="16" t="str">
        <f xml:space="preserve"> INDEX( co_scalarInfo[scalarType], MATCH( scalarDataframe[[#This Row],[scalarName]],  co_scalarInfo[scalarName], 0 ) )</f>
        <v>damageAdj</v>
      </c>
      <c r="C183" s="44" t="str">
        <f xml:space="preserve"> INDEX( co_scalarInfo[scalarLabel], MATCH( scalarDataframe[[#This Row],[scalarName]], co_scalarInfo[scalarName], 0 ) )</f>
        <v>Electricity Supply and Demand Reference Costs</v>
      </c>
      <c r="D183" s="24" t="s">
        <v>261</v>
      </c>
      <c r="E183" s="17" t="s">
        <v>8</v>
      </c>
      <c r="F183" s="25">
        <v>2065</v>
      </c>
      <c r="G183" s="26">
        <v>23071858724.070099</v>
      </c>
    </row>
    <row r="184" spans="1:7" x14ac:dyDescent="0.35">
      <c r="A184" s="9">
        <f xml:space="preserve"> ROW( scalarDataframe[[#This Row],[row_id]] ) - ROW( scalarDataframe[[#Headers],[row_id]] )</f>
        <v>183</v>
      </c>
      <c r="B184" s="16" t="str">
        <f xml:space="preserve"> INDEX( co_scalarInfo[scalarType], MATCH( scalarDataframe[[#This Row],[scalarName]],  co_scalarInfo[scalarName], 0 ) )</f>
        <v>damageAdj</v>
      </c>
      <c r="C184" s="44" t="str">
        <f xml:space="preserve"> INDEX( co_scalarInfo[scalarLabel], MATCH( scalarDataframe[[#This Row],[scalarName]], co_scalarInfo[scalarName], 0 ) )</f>
        <v>Electricity Supply and Demand Reference Costs</v>
      </c>
      <c r="D184" s="24" t="s">
        <v>261</v>
      </c>
      <c r="E184" s="17" t="s">
        <v>8</v>
      </c>
      <c r="F184" s="25">
        <v>2070</v>
      </c>
      <c r="G184" s="26">
        <v>23899728191.102104</v>
      </c>
    </row>
    <row r="185" spans="1:7" x14ac:dyDescent="0.35">
      <c r="A185" s="9">
        <f xml:space="preserve"> ROW( scalarDataframe[[#This Row],[row_id]] ) - ROW( scalarDataframe[[#Headers],[row_id]] )</f>
        <v>184</v>
      </c>
      <c r="B185" s="16" t="str">
        <f xml:space="preserve"> INDEX( co_scalarInfo[scalarType], MATCH( scalarDataframe[[#This Row],[scalarName]],  co_scalarInfo[scalarName], 0 ) )</f>
        <v>damageAdj</v>
      </c>
      <c r="C185" s="44" t="str">
        <f xml:space="preserve"> INDEX( co_scalarInfo[scalarLabel], MATCH( scalarDataframe[[#This Row],[scalarName]], co_scalarInfo[scalarName], 0 ) )</f>
        <v>Electricity Supply and Demand Reference Costs</v>
      </c>
      <c r="D185" s="24" t="s">
        <v>261</v>
      </c>
      <c r="E185" s="17" t="s">
        <v>8</v>
      </c>
      <c r="F185" s="25">
        <v>2075</v>
      </c>
      <c r="G185" s="26">
        <v>24442905272.820988</v>
      </c>
    </row>
    <row r="186" spans="1:7" x14ac:dyDescent="0.35">
      <c r="A186" s="9">
        <f xml:space="preserve"> ROW( scalarDataframe[[#This Row],[row_id]] ) - ROW( scalarDataframe[[#Headers],[row_id]] )</f>
        <v>185</v>
      </c>
      <c r="B186" s="16" t="str">
        <f xml:space="preserve"> INDEX( co_scalarInfo[scalarType], MATCH( scalarDataframe[[#This Row],[scalarName]],  co_scalarInfo[scalarName], 0 ) )</f>
        <v>damageAdj</v>
      </c>
      <c r="C186" s="44" t="str">
        <f xml:space="preserve"> INDEX( co_scalarInfo[scalarLabel], MATCH( scalarDataframe[[#This Row],[scalarName]], co_scalarInfo[scalarName], 0 ) )</f>
        <v>Electricity Supply and Demand Reference Costs</v>
      </c>
      <c r="D186" s="24" t="s">
        <v>261</v>
      </c>
      <c r="E186" s="17" t="s">
        <v>8</v>
      </c>
      <c r="F186" s="25">
        <v>2080</v>
      </c>
      <c r="G186" s="26">
        <v>24730574255.270451</v>
      </c>
    </row>
    <row r="187" spans="1:7" x14ac:dyDescent="0.35">
      <c r="A187" s="9">
        <f xml:space="preserve"> ROW( scalarDataframe[[#This Row],[row_id]] ) - ROW( scalarDataframe[[#Headers],[row_id]] )</f>
        <v>186</v>
      </c>
      <c r="B187" s="16" t="str">
        <f xml:space="preserve"> INDEX( co_scalarInfo[scalarType], MATCH( scalarDataframe[[#This Row],[scalarName]],  co_scalarInfo[scalarName], 0 ) )</f>
        <v>damageAdj</v>
      </c>
      <c r="C187" s="44" t="str">
        <f xml:space="preserve"> INDEX( co_scalarInfo[scalarLabel], MATCH( scalarDataframe[[#This Row],[scalarName]], co_scalarInfo[scalarName], 0 ) )</f>
        <v>Electricity Supply and Demand Reference Costs</v>
      </c>
      <c r="D187" s="24" t="s">
        <v>261</v>
      </c>
      <c r="E187" s="17" t="s">
        <v>8</v>
      </c>
      <c r="F187" s="25">
        <v>2085</v>
      </c>
      <c r="G187" s="26">
        <v>24793812450.023369</v>
      </c>
    </row>
    <row r="188" spans="1:7" x14ac:dyDescent="0.35">
      <c r="A188" s="9">
        <f xml:space="preserve"> ROW( scalarDataframe[[#This Row],[row_id]] ) - ROW( scalarDataframe[[#Headers],[row_id]] )</f>
        <v>187</v>
      </c>
      <c r="B188" s="16" t="str">
        <f xml:space="preserve"> INDEX( co_scalarInfo[scalarType], MATCH( scalarDataframe[[#This Row],[scalarName]],  co_scalarInfo[scalarName], 0 ) )</f>
        <v>damageAdj</v>
      </c>
      <c r="C188" s="44" t="str">
        <f xml:space="preserve"> INDEX( co_scalarInfo[scalarLabel], MATCH( scalarDataframe[[#This Row],[scalarName]], co_scalarInfo[scalarName], 0 ) )</f>
        <v>Electricity Supply and Demand Reference Costs</v>
      </c>
      <c r="D188" s="24" t="s">
        <v>261</v>
      </c>
      <c r="E188" s="17" t="s">
        <v>8</v>
      </c>
      <c r="F188" s="25">
        <v>2090</v>
      </c>
      <c r="G188" s="26">
        <v>25032617006.67231</v>
      </c>
    </row>
    <row r="189" spans="1:7" x14ac:dyDescent="0.35">
      <c r="A189" s="9">
        <f xml:space="preserve"> ROW( scalarDataframe[[#This Row],[row_id]] ) - ROW( scalarDataframe[[#Headers],[row_id]] )</f>
        <v>188</v>
      </c>
      <c r="B189" s="16" t="str">
        <f xml:space="preserve"> INDEX( co_scalarInfo[scalarType], MATCH( scalarDataframe[[#This Row],[scalarName]],  co_scalarInfo[scalarName], 0 ) )</f>
        <v>damageAdj</v>
      </c>
      <c r="C189" s="44" t="str">
        <f xml:space="preserve"> INDEX( co_scalarInfo[scalarLabel], MATCH( scalarDataframe[[#This Row],[scalarName]], co_scalarInfo[scalarName], 0 ) )</f>
        <v>Electricity Supply and Demand Reference Costs</v>
      </c>
      <c r="D189" s="24" t="s">
        <v>261</v>
      </c>
      <c r="E189" s="17" t="s">
        <v>9</v>
      </c>
      <c r="F189" s="25">
        <v>2010</v>
      </c>
      <c r="G189" s="26">
        <v>7676508033.8866987</v>
      </c>
    </row>
    <row r="190" spans="1:7" x14ac:dyDescent="0.35">
      <c r="A190" s="9">
        <f xml:space="preserve"> ROW( scalarDataframe[[#This Row],[row_id]] ) - ROW( scalarDataframe[[#Headers],[row_id]] )</f>
        <v>189</v>
      </c>
      <c r="B190" s="16" t="str">
        <f xml:space="preserve"> INDEX( co_scalarInfo[scalarType], MATCH( scalarDataframe[[#This Row],[scalarName]],  co_scalarInfo[scalarName], 0 ) )</f>
        <v>damageAdj</v>
      </c>
      <c r="C190" s="44" t="str">
        <f xml:space="preserve"> INDEX( co_scalarInfo[scalarLabel], MATCH( scalarDataframe[[#This Row],[scalarName]], co_scalarInfo[scalarName], 0 ) )</f>
        <v>Electricity Supply and Demand Reference Costs</v>
      </c>
      <c r="D190" s="24" t="s">
        <v>261</v>
      </c>
      <c r="E190" s="17" t="s">
        <v>9</v>
      </c>
      <c r="F190" s="25">
        <v>2015</v>
      </c>
      <c r="G190" s="26">
        <v>6639219380.842392</v>
      </c>
    </row>
    <row r="191" spans="1:7" x14ac:dyDescent="0.35">
      <c r="A191" s="9">
        <f xml:space="preserve"> ROW( scalarDataframe[[#This Row],[row_id]] ) - ROW( scalarDataframe[[#Headers],[row_id]] )</f>
        <v>190</v>
      </c>
      <c r="B191" s="16" t="str">
        <f xml:space="preserve"> INDEX( co_scalarInfo[scalarType], MATCH( scalarDataframe[[#This Row],[scalarName]],  co_scalarInfo[scalarName], 0 ) )</f>
        <v>damageAdj</v>
      </c>
      <c r="C191" s="44" t="str">
        <f xml:space="preserve"> INDEX( co_scalarInfo[scalarLabel], MATCH( scalarDataframe[[#This Row],[scalarName]], co_scalarInfo[scalarName], 0 ) )</f>
        <v>Electricity Supply and Demand Reference Costs</v>
      </c>
      <c r="D191" s="24" t="s">
        <v>261</v>
      </c>
      <c r="E191" s="17" t="s">
        <v>9</v>
      </c>
      <c r="F191" s="25">
        <v>2020</v>
      </c>
      <c r="G191" s="26">
        <v>6427937590.5210695</v>
      </c>
    </row>
    <row r="192" spans="1:7" x14ac:dyDescent="0.35">
      <c r="A192" s="9">
        <f xml:space="preserve"> ROW( scalarDataframe[[#This Row],[row_id]] ) - ROW( scalarDataframe[[#Headers],[row_id]] )</f>
        <v>191</v>
      </c>
      <c r="B192" s="16" t="str">
        <f xml:space="preserve"> INDEX( co_scalarInfo[scalarType], MATCH( scalarDataframe[[#This Row],[scalarName]],  co_scalarInfo[scalarName], 0 ) )</f>
        <v>damageAdj</v>
      </c>
      <c r="C192" s="44" t="str">
        <f xml:space="preserve"> INDEX( co_scalarInfo[scalarLabel], MATCH( scalarDataframe[[#This Row],[scalarName]], co_scalarInfo[scalarName], 0 ) )</f>
        <v>Electricity Supply and Demand Reference Costs</v>
      </c>
      <c r="D192" s="24" t="s">
        <v>261</v>
      </c>
      <c r="E192" s="17" t="s">
        <v>9</v>
      </c>
      <c r="F192" s="25">
        <v>2025</v>
      </c>
      <c r="G192" s="26">
        <v>5396785827.9899759</v>
      </c>
    </row>
    <row r="193" spans="1:7" x14ac:dyDescent="0.35">
      <c r="A193" s="9">
        <f xml:space="preserve"> ROW( scalarDataframe[[#This Row],[row_id]] ) - ROW( scalarDataframe[[#Headers],[row_id]] )</f>
        <v>192</v>
      </c>
      <c r="B193" s="16" t="str">
        <f xml:space="preserve"> INDEX( co_scalarInfo[scalarType], MATCH( scalarDataframe[[#This Row],[scalarName]],  co_scalarInfo[scalarName], 0 ) )</f>
        <v>damageAdj</v>
      </c>
      <c r="C193" s="44" t="str">
        <f xml:space="preserve"> INDEX( co_scalarInfo[scalarLabel], MATCH( scalarDataframe[[#This Row],[scalarName]], co_scalarInfo[scalarName], 0 ) )</f>
        <v>Electricity Supply and Demand Reference Costs</v>
      </c>
      <c r="D193" s="24" t="s">
        <v>261</v>
      </c>
      <c r="E193" s="17" t="s">
        <v>9</v>
      </c>
      <c r="F193" s="25">
        <v>2030</v>
      </c>
      <c r="G193" s="26">
        <v>5368674575.7475548</v>
      </c>
    </row>
    <row r="194" spans="1:7" x14ac:dyDescent="0.35">
      <c r="A194" s="9">
        <f xml:space="preserve"> ROW( scalarDataframe[[#This Row],[row_id]] ) - ROW( scalarDataframe[[#Headers],[row_id]] )</f>
        <v>193</v>
      </c>
      <c r="B194" s="16" t="str">
        <f xml:space="preserve"> INDEX( co_scalarInfo[scalarType], MATCH( scalarDataframe[[#This Row],[scalarName]],  co_scalarInfo[scalarName], 0 ) )</f>
        <v>damageAdj</v>
      </c>
      <c r="C194" s="44" t="str">
        <f xml:space="preserve"> INDEX( co_scalarInfo[scalarLabel], MATCH( scalarDataframe[[#This Row],[scalarName]], co_scalarInfo[scalarName], 0 ) )</f>
        <v>Electricity Supply and Demand Reference Costs</v>
      </c>
      <c r="D194" s="24" t="s">
        <v>261</v>
      </c>
      <c r="E194" s="17" t="s">
        <v>9</v>
      </c>
      <c r="F194" s="25">
        <v>2035</v>
      </c>
      <c r="G194" s="26">
        <v>5367947916.9983959</v>
      </c>
    </row>
    <row r="195" spans="1:7" x14ac:dyDescent="0.35">
      <c r="A195" s="9">
        <f xml:space="preserve"> ROW( scalarDataframe[[#This Row],[row_id]] ) - ROW( scalarDataframe[[#Headers],[row_id]] )</f>
        <v>194</v>
      </c>
      <c r="B195" s="16" t="str">
        <f xml:space="preserve"> INDEX( co_scalarInfo[scalarType], MATCH( scalarDataframe[[#This Row],[scalarName]],  co_scalarInfo[scalarName], 0 ) )</f>
        <v>damageAdj</v>
      </c>
      <c r="C195" s="44" t="str">
        <f xml:space="preserve"> INDEX( co_scalarInfo[scalarLabel], MATCH( scalarDataframe[[#This Row],[scalarName]], co_scalarInfo[scalarName], 0 ) )</f>
        <v>Electricity Supply and Demand Reference Costs</v>
      </c>
      <c r="D195" s="24" t="s">
        <v>261</v>
      </c>
      <c r="E195" s="17" t="s">
        <v>9</v>
      </c>
      <c r="F195" s="25">
        <v>2040</v>
      </c>
      <c r="G195" s="26">
        <v>5699312333.1966162</v>
      </c>
    </row>
    <row r="196" spans="1:7" x14ac:dyDescent="0.35">
      <c r="A196" s="9">
        <f xml:space="preserve"> ROW( scalarDataframe[[#This Row],[row_id]] ) - ROW( scalarDataframe[[#Headers],[row_id]] )</f>
        <v>195</v>
      </c>
      <c r="B196" s="16" t="str">
        <f xml:space="preserve"> INDEX( co_scalarInfo[scalarType], MATCH( scalarDataframe[[#This Row],[scalarName]],  co_scalarInfo[scalarName], 0 ) )</f>
        <v>damageAdj</v>
      </c>
      <c r="C196" s="44" t="str">
        <f xml:space="preserve"> INDEX( co_scalarInfo[scalarLabel], MATCH( scalarDataframe[[#This Row],[scalarName]], co_scalarInfo[scalarName], 0 ) )</f>
        <v>Electricity Supply and Demand Reference Costs</v>
      </c>
      <c r="D196" s="24" t="s">
        <v>261</v>
      </c>
      <c r="E196" s="17" t="s">
        <v>9</v>
      </c>
      <c r="F196" s="25">
        <v>2045</v>
      </c>
      <c r="G196" s="26">
        <v>5470608015.1526413</v>
      </c>
    </row>
    <row r="197" spans="1:7" x14ac:dyDescent="0.35">
      <c r="A197" s="9">
        <f xml:space="preserve"> ROW( scalarDataframe[[#This Row],[row_id]] ) - ROW( scalarDataframe[[#Headers],[row_id]] )</f>
        <v>196</v>
      </c>
      <c r="B197" s="16" t="str">
        <f xml:space="preserve"> INDEX( co_scalarInfo[scalarType], MATCH( scalarDataframe[[#This Row],[scalarName]],  co_scalarInfo[scalarName], 0 ) )</f>
        <v>damageAdj</v>
      </c>
      <c r="C197" s="44" t="str">
        <f xml:space="preserve"> INDEX( co_scalarInfo[scalarLabel], MATCH( scalarDataframe[[#This Row],[scalarName]], co_scalarInfo[scalarName], 0 ) )</f>
        <v>Electricity Supply and Demand Reference Costs</v>
      </c>
      <c r="D197" s="24" t="s">
        <v>261</v>
      </c>
      <c r="E197" s="17" t="s">
        <v>9</v>
      </c>
      <c r="F197" s="25">
        <v>2050</v>
      </c>
      <c r="G197" s="26">
        <v>6298708683.5966663</v>
      </c>
    </row>
    <row r="198" spans="1:7" x14ac:dyDescent="0.35">
      <c r="A198" s="9">
        <f xml:space="preserve"> ROW( scalarDataframe[[#This Row],[row_id]] ) - ROW( scalarDataframe[[#Headers],[row_id]] )</f>
        <v>197</v>
      </c>
      <c r="B198" s="16" t="str">
        <f xml:space="preserve"> INDEX( co_scalarInfo[scalarType], MATCH( scalarDataframe[[#This Row],[scalarName]],  co_scalarInfo[scalarName], 0 ) )</f>
        <v>damageAdj</v>
      </c>
      <c r="C198" s="44" t="str">
        <f xml:space="preserve"> INDEX( co_scalarInfo[scalarLabel], MATCH( scalarDataframe[[#This Row],[scalarName]], co_scalarInfo[scalarName], 0 ) )</f>
        <v>Electricity Supply and Demand Reference Costs</v>
      </c>
      <c r="D198" s="24" t="s">
        <v>261</v>
      </c>
      <c r="E198" s="17" t="s">
        <v>9</v>
      </c>
      <c r="F198" s="25">
        <v>2055</v>
      </c>
      <c r="G198" s="26">
        <v>7565376129.4326944</v>
      </c>
    </row>
    <row r="199" spans="1:7" x14ac:dyDescent="0.35">
      <c r="A199" s="9">
        <f xml:space="preserve"> ROW( scalarDataframe[[#This Row],[row_id]] ) - ROW( scalarDataframe[[#Headers],[row_id]] )</f>
        <v>198</v>
      </c>
      <c r="B199" s="16" t="str">
        <f xml:space="preserve"> INDEX( co_scalarInfo[scalarType], MATCH( scalarDataframe[[#This Row],[scalarName]],  co_scalarInfo[scalarName], 0 ) )</f>
        <v>damageAdj</v>
      </c>
      <c r="C199" s="44" t="str">
        <f xml:space="preserve"> INDEX( co_scalarInfo[scalarLabel], MATCH( scalarDataframe[[#This Row],[scalarName]], co_scalarInfo[scalarName], 0 ) )</f>
        <v>Electricity Supply and Demand Reference Costs</v>
      </c>
      <c r="D199" s="24" t="s">
        <v>261</v>
      </c>
      <c r="E199" s="17" t="s">
        <v>9</v>
      </c>
      <c r="F199" s="25">
        <v>2060</v>
      </c>
      <c r="G199" s="26">
        <v>8931710607.1825542</v>
      </c>
    </row>
    <row r="200" spans="1:7" x14ac:dyDescent="0.35">
      <c r="A200" s="9">
        <f xml:space="preserve"> ROW( scalarDataframe[[#This Row],[row_id]] ) - ROW( scalarDataframe[[#Headers],[row_id]] )</f>
        <v>199</v>
      </c>
      <c r="B200" s="16" t="str">
        <f xml:space="preserve"> INDEX( co_scalarInfo[scalarType], MATCH( scalarDataframe[[#This Row],[scalarName]],  co_scalarInfo[scalarName], 0 ) )</f>
        <v>damageAdj</v>
      </c>
      <c r="C200" s="44" t="str">
        <f xml:space="preserve"> INDEX( co_scalarInfo[scalarLabel], MATCH( scalarDataframe[[#This Row],[scalarName]], co_scalarInfo[scalarName], 0 ) )</f>
        <v>Electricity Supply and Demand Reference Costs</v>
      </c>
      <c r="D200" s="24" t="s">
        <v>261</v>
      </c>
      <c r="E200" s="17" t="s">
        <v>9</v>
      </c>
      <c r="F200" s="25">
        <v>2065</v>
      </c>
      <c r="G200" s="26">
        <v>9828051972.2828789</v>
      </c>
    </row>
    <row r="201" spans="1:7" x14ac:dyDescent="0.35">
      <c r="A201" s="9">
        <f xml:space="preserve"> ROW( scalarDataframe[[#This Row],[row_id]] ) - ROW( scalarDataframe[[#Headers],[row_id]] )</f>
        <v>200</v>
      </c>
      <c r="B201" s="16" t="str">
        <f xml:space="preserve"> INDEX( co_scalarInfo[scalarType], MATCH( scalarDataframe[[#This Row],[scalarName]],  co_scalarInfo[scalarName], 0 ) )</f>
        <v>damageAdj</v>
      </c>
      <c r="C201" s="44" t="str">
        <f xml:space="preserve"> INDEX( co_scalarInfo[scalarLabel], MATCH( scalarDataframe[[#This Row],[scalarName]], co_scalarInfo[scalarName], 0 ) )</f>
        <v>Electricity Supply and Demand Reference Costs</v>
      </c>
      <c r="D201" s="24" t="s">
        <v>261</v>
      </c>
      <c r="E201" s="17" t="s">
        <v>9</v>
      </c>
      <c r="F201" s="25">
        <v>2070</v>
      </c>
      <c r="G201" s="26">
        <v>10415065469.600653</v>
      </c>
    </row>
    <row r="202" spans="1:7" x14ac:dyDescent="0.35">
      <c r="A202" s="9">
        <f xml:space="preserve"> ROW( scalarDataframe[[#This Row],[row_id]] ) - ROW( scalarDataframe[[#Headers],[row_id]] )</f>
        <v>201</v>
      </c>
      <c r="B202" s="16" t="str">
        <f xml:space="preserve"> INDEX( co_scalarInfo[scalarType], MATCH( scalarDataframe[[#This Row],[scalarName]],  co_scalarInfo[scalarName], 0 ) )</f>
        <v>damageAdj</v>
      </c>
      <c r="C202" s="44" t="str">
        <f xml:space="preserve"> INDEX( co_scalarInfo[scalarLabel], MATCH( scalarDataframe[[#This Row],[scalarName]], co_scalarInfo[scalarName], 0 ) )</f>
        <v>Electricity Supply and Demand Reference Costs</v>
      </c>
      <c r="D202" s="24" t="s">
        <v>261</v>
      </c>
      <c r="E202" s="17" t="s">
        <v>9</v>
      </c>
      <c r="F202" s="25">
        <v>2075</v>
      </c>
      <c r="G202" s="26">
        <v>11013233487.927078</v>
      </c>
    </row>
    <row r="203" spans="1:7" x14ac:dyDescent="0.35">
      <c r="A203" s="9">
        <f xml:space="preserve"> ROW( scalarDataframe[[#This Row],[row_id]] ) - ROW( scalarDataframe[[#Headers],[row_id]] )</f>
        <v>202</v>
      </c>
      <c r="B203" s="16" t="str">
        <f xml:space="preserve"> INDEX( co_scalarInfo[scalarType], MATCH( scalarDataframe[[#This Row],[scalarName]],  co_scalarInfo[scalarName], 0 ) )</f>
        <v>damageAdj</v>
      </c>
      <c r="C203" s="44" t="str">
        <f xml:space="preserve"> INDEX( co_scalarInfo[scalarLabel], MATCH( scalarDataframe[[#This Row],[scalarName]], co_scalarInfo[scalarName], 0 ) )</f>
        <v>Electricity Supply and Demand Reference Costs</v>
      </c>
      <c r="D203" s="24" t="s">
        <v>261</v>
      </c>
      <c r="E203" s="17" t="s">
        <v>9</v>
      </c>
      <c r="F203" s="25">
        <v>2080</v>
      </c>
      <c r="G203" s="26">
        <v>11553814101.514997</v>
      </c>
    </row>
    <row r="204" spans="1:7" x14ac:dyDescent="0.35">
      <c r="A204" s="9">
        <f xml:space="preserve"> ROW( scalarDataframe[[#This Row],[row_id]] ) - ROW( scalarDataframe[[#Headers],[row_id]] )</f>
        <v>203</v>
      </c>
      <c r="B204" s="16" t="str">
        <f xml:space="preserve"> INDEX( co_scalarInfo[scalarType], MATCH( scalarDataframe[[#This Row],[scalarName]],  co_scalarInfo[scalarName], 0 ) )</f>
        <v>damageAdj</v>
      </c>
      <c r="C204" s="44" t="str">
        <f xml:space="preserve"> INDEX( co_scalarInfo[scalarLabel], MATCH( scalarDataframe[[#This Row],[scalarName]], co_scalarInfo[scalarName], 0 ) )</f>
        <v>Electricity Supply and Demand Reference Costs</v>
      </c>
      <c r="D204" s="24" t="s">
        <v>261</v>
      </c>
      <c r="E204" s="17" t="s">
        <v>9</v>
      </c>
      <c r="F204" s="25">
        <v>2085</v>
      </c>
      <c r="G204" s="26">
        <v>12028068653.200609</v>
      </c>
    </row>
    <row r="205" spans="1:7" x14ac:dyDescent="0.35">
      <c r="A205" s="9">
        <f xml:space="preserve"> ROW( scalarDataframe[[#This Row],[row_id]] ) - ROW( scalarDataframe[[#Headers],[row_id]] )</f>
        <v>204</v>
      </c>
      <c r="B205" s="16" t="str">
        <f xml:space="preserve"> INDEX( co_scalarInfo[scalarType], MATCH( scalarDataframe[[#This Row],[scalarName]],  co_scalarInfo[scalarName], 0 ) )</f>
        <v>damageAdj</v>
      </c>
      <c r="C205" s="44" t="str">
        <f xml:space="preserve"> INDEX( co_scalarInfo[scalarLabel], MATCH( scalarDataframe[[#This Row],[scalarName]], co_scalarInfo[scalarName], 0 ) )</f>
        <v>Electricity Supply and Demand Reference Costs</v>
      </c>
      <c r="D205" s="24" t="s">
        <v>261</v>
      </c>
      <c r="E205" s="17" t="s">
        <v>9</v>
      </c>
      <c r="F205" s="25">
        <v>2090</v>
      </c>
      <c r="G205" s="26">
        <v>12472610936.214165</v>
      </c>
    </row>
    <row r="206" spans="1:7" x14ac:dyDescent="0.35">
      <c r="A206" s="9">
        <f xml:space="preserve"> ROW( scalarDataframe[[#This Row],[row_id]] ) - ROW( scalarDataframe[[#Headers],[row_id]] )</f>
        <v>205</v>
      </c>
      <c r="B206" s="16" t="str">
        <f xml:space="preserve"> INDEX( co_scalarInfo[scalarType], MATCH( scalarDataframe[[#This Row],[scalarName]],  co_scalarInfo[scalarName], 0 ) )</f>
        <v>damageAdj</v>
      </c>
      <c r="C206" s="44" t="str">
        <f xml:space="preserve"> INDEX( co_scalarInfo[scalarLabel], MATCH( scalarDataframe[[#This Row],[scalarName]], co_scalarInfo[scalarName], 0 ) )</f>
        <v>Electricity Supply and Demand Reference Costs</v>
      </c>
      <c r="D206" s="24" t="s">
        <v>261</v>
      </c>
      <c r="E206" s="17" t="s">
        <v>10</v>
      </c>
      <c r="F206" s="25">
        <v>2010</v>
      </c>
      <c r="G206" s="26">
        <v>156277187781.53229</v>
      </c>
    </row>
    <row r="207" spans="1:7" x14ac:dyDescent="0.35">
      <c r="A207" s="9">
        <f xml:space="preserve"> ROW( scalarDataframe[[#This Row],[row_id]] ) - ROW( scalarDataframe[[#Headers],[row_id]] )</f>
        <v>206</v>
      </c>
      <c r="B207" s="16" t="str">
        <f xml:space="preserve"> INDEX( co_scalarInfo[scalarType], MATCH( scalarDataframe[[#This Row],[scalarName]],  co_scalarInfo[scalarName], 0 ) )</f>
        <v>damageAdj</v>
      </c>
      <c r="C207" s="44" t="str">
        <f xml:space="preserve"> INDEX( co_scalarInfo[scalarLabel], MATCH( scalarDataframe[[#This Row],[scalarName]], co_scalarInfo[scalarName], 0 ) )</f>
        <v>Electricity Supply and Demand Reference Costs</v>
      </c>
      <c r="D207" s="24" t="s">
        <v>261</v>
      </c>
      <c r="E207" s="17" t="s">
        <v>10</v>
      </c>
      <c r="F207" s="25">
        <v>2015</v>
      </c>
      <c r="G207" s="26">
        <v>144924304096.13678</v>
      </c>
    </row>
    <row r="208" spans="1:7" x14ac:dyDescent="0.35">
      <c r="A208" s="9">
        <f xml:space="preserve"> ROW( scalarDataframe[[#This Row],[row_id]] ) - ROW( scalarDataframe[[#Headers],[row_id]] )</f>
        <v>207</v>
      </c>
      <c r="B208" s="16" t="str">
        <f xml:space="preserve"> INDEX( co_scalarInfo[scalarType], MATCH( scalarDataframe[[#This Row],[scalarName]],  co_scalarInfo[scalarName], 0 ) )</f>
        <v>damageAdj</v>
      </c>
      <c r="C208" s="44" t="str">
        <f xml:space="preserve"> INDEX( co_scalarInfo[scalarLabel], MATCH( scalarDataframe[[#This Row],[scalarName]], co_scalarInfo[scalarName], 0 ) )</f>
        <v>Electricity Supply and Demand Reference Costs</v>
      </c>
      <c r="D208" s="24" t="s">
        <v>261</v>
      </c>
      <c r="E208" s="17" t="s">
        <v>10</v>
      </c>
      <c r="F208" s="25">
        <v>2020</v>
      </c>
      <c r="G208" s="26">
        <v>140249723504.68091</v>
      </c>
    </row>
    <row r="209" spans="1:7" x14ac:dyDescent="0.35">
      <c r="A209" s="9">
        <f xml:space="preserve"> ROW( scalarDataframe[[#This Row],[row_id]] ) - ROW( scalarDataframe[[#Headers],[row_id]] )</f>
        <v>208</v>
      </c>
      <c r="B209" s="16" t="str">
        <f xml:space="preserve"> INDEX( co_scalarInfo[scalarType], MATCH( scalarDataframe[[#This Row],[scalarName]],  co_scalarInfo[scalarName], 0 ) )</f>
        <v>damageAdj</v>
      </c>
      <c r="C209" s="44" t="str">
        <f xml:space="preserve"> INDEX( co_scalarInfo[scalarLabel], MATCH( scalarDataframe[[#This Row],[scalarName]], co_scalarInfo[scalarName], 0 ) )</f>
        <v>Electricity Supply and Demand Reference Costs</v>
      </c>
      <c r="D209" s="24" t="s">
        <v>261</v>
      </c>
      <c r="E209" s="17" t="s">
        <v>10</v>
      </c>
      <c r="F209" s="25">
        <v>2025</v>
      </c>
      <c r="G209" s="26">
        <v>141138780410.39493</v>
      </c>
    </row>
    <row r="210" spans="1:7" x14ac:dyDescent="0.35">
      <c r="A210" s="9">
        <f xml:space="preserve"> ROW( scalarDataframe[[#This Row],[row_id]] ) - ROW( scalarDataframe[[#Headers],[row_id]] )</f>
        <v>209</v>
      </c>
      <c r="B210" s="16" t="str">
        <f xml:space="preserve"> INDEX( co_scalarInfo[scalarType], MATCH( scalarDataframe[[#This Row],[scalarName]],  co_scalarInfo[scalarName], 0 ) )</f>
        <v>damageAdj</v>
      </c>
      <c r="C210" s="44" t="str">
        <f xml:space="preserve"> INDEX( co_scalarInfo[scalarLabel], MATCH( scalarDataframe[[#This Row],[scalarName]], co_scalarInfo[scalarName], 0 ) )</f>
        <v>Electricity Supply and Demand Reference Costs</v>
      </c>
      <c r="D210" s="24" t="s">
        <v>261</v>
      </c>
      <c r="E210" s="17" t="s">
        <v>10</v>
      </c>
      <c r="F210" s="25">
        <v>2030</v>
      </c>
      <c r="G210" s="26">
        <v>139870065258.50888</v>
      </c>
    </row>
    <row r="211" spans="1:7" x14ac:dyDescent="0.35">
      <c r="A211" s="9">
        <f xml:space="preserve"> ROW( scalarDataframe[[#This Row],[row_id]] ) - ROW( scalarDataframe[[#Headers],[row_id]] )</f>
        <v>210</v>
      </c>
      <c r="B211" s="16" t="str">
        <f xml:space="preserve"> INDEX( co_scalarInfo[scalarType], MATCH( scalarDataframe[[#This Row],[scalarName]],  co_scalarInfo[scalarName], 0 ) )</f>
        <v>damageAdj</v>
      </c>
      <c r="C211" s="44" t="str">
        <f xml:space="preserve"> INDEX( co_scalarInfo[scalarLabel], MATCH( scalarDataframe[[#This Row],[scalarName]], co_scalarInfo[scalarName], 0 ) )</f>
        <v>Electricity Supply and Demand Reference Costs</v>
      </c>
      <c r="D211" s="24" t="s">
        <v>261</v>
      </c>
      <c r="E211" s="17" t="s">
        <v>10</v>
      </c>
      <c r="F211" s="25">
        <v>2035</v>
      </c>
      <c r="G211" s="26">
        <v>139557434872.5639</v>
      </c>
    </row>
    <row r="212" spans="1:7" x14ac:dyDescent="0.35">
      <c r="A212" s="9">
        <f xml:space="preserve"> ROW( scalarDataframe[[#This Row],[row_id]] ) - ROW( scalarDataframe[[#Headers],[row_id]] )</f>
        <v>211</v>
      </c>
      <c r="B212" s="16" t="str">
        <f xml:space="preserve"> INDEX( co_scalarInfo[scalarType], MATCH( scalarDataframe[[#This Row],[scalarName]],  co_scalarInfo[scalarName], 0 ) )</f>
        <v>damageAdj</v>
      </c>
      <c r="C212" s="44" t="str">
        <f xml:space="preserve"> INDEX( co_scalarInfo[scalarLabel], MATCH( scalarDataframe[[#This Row],[scalarName]], co_scalarInfo[scalarName], 0 ) )</f>
        <v>Electricity Supply and Demand Reference Costs</v>
      </c>
      <c r="D212" s="24" t="s">
        <v>261</v>
      </c>
      <c r="E212" s="17" t="s">
        <v>10</v>
      </c>
      <c r="F212" s="25">
        <v>2040</v>
      </c>
      <c r="G212" s="26">
        <v>138272805488.45966</v>
      </c>
    </row>
    <row r="213" spans="1:7" x14ac:dyDescent="0.35">
      <c r="A213" s="9">
        <f xml:space="preserve"> ROW( scalarDataframe[[#This Row],[row_id]] ) - ROW( scalarDataframe[[#Headers],[row_id]] )</f>
        <v>212</v>
      </c>
      <c r="B213" s="16" t="str">
        <f xml:space="preserve"> INDEX( co_scalarInfo[scalarType], MATCH( scalarDataframe[[#This Row],[scalarName]],  co_scalarInfo[scalarName], 0 ) )</f>
        <v>damageAdj</v>
      </c>
      <c r="C213" s="44" t="str">
        <f xml:space="preserve"> INDEX( co_scalarInfo[scalarLabel], MATCH( scalarDataframe[[#This Row],[scalarName]], co_scalarInfo[scalarName], 0 ) )</f>
        <v>Electricity Supply and Demand Reference Costs</v>
      </c>
      <c r="D213" s="24" t="s">
        <v>261</v>
      </c>
      <c r="E213" s="17" t="s">
        <v>10</v>
      </c>
      <c r="F213" s="25">
        <v>2045</v>
      </c>
      <c r="G213" s="26">
        <v>138103056952.29608</v>
      </c>
    </row>
    <row r="214" spans="1:7" x14ac:dyDescent="0.35">
      <c r="A214" s="9">
        <f xml:space="preserve"> ROW( scalarDataframe[[#This Row],[row_id]] ) - ROW( scalarDataframe[[#Headers],[row_id]] )</f>
        <v>213</v>
      </c>
      <c r="B214" s="16" t="str">
        <f xml:space="preserve"> INDEX( co_scalarInfo[scalarType], MATCH( scalarDataframe[[#This Row],[scalarName]],  co_scalarInfo[scalarName], 0 ) )</f>
        <v>damageAdj</v>
      </c>
      <c r="C214" s="44" t="str">
        <f xml:space="preserve"> INDEX( co_scalarInfo[scalarLabel], MATCH( scalarDataframe[[#This Row],[scalarName]], co_scalarInfo[scalarName], 0 ) )</f>
        <v>Electricity Supply and Demand Reference Costs</v>
      </c>
      <c r="D214" s="24" t="s">
        <v>261</v>
      </c>
      <c r="E214" s="17" t="s">
        <v>10</v>
      </c>
      <c r="F214" s="25">
        <v>2050</v>
      </c>
      <c r="G214" s="26">
        <v>141014901174.7507</v>
      </c>
    </row>
    <row r="215" spans="1:7" x14ac:dyDescent="0.35">
      <c r="A215" s="9">
        <f xml:space="preserve"> ROW( scalarDataframe[[#This Row],[row_id]] ) - ROW( scalarDataframe[[#Headers],[row_id]] )</f>
        <v>214</v>
      </c>
      <c r="B215" s="16" t="str">
        <f xml:space="preserve"> INDEX( co_scalarInfo[scalarType], MATCH( scalarDataframe[[#This Row],[scalarName]],  co_scalarInfo[scalarName], 0 ) )</f>
        <v>damageAdj</v>
      </c>
      <c r="C215" s="44" t="str">
        <f xml:space="preserve"> INDEX( co_scalarInfo[scalarLabel], MATCH( scalarDataframe[[#This Row],[scalarName]], co_scalarInfo[scalarName], 0 ) )</f>
        <v>Electricity Supply and Demand Reference Costs</v>
      </c>
      <c r="D215" s="24" t="s">
        <v>261</v>
      </c>
      <c r="E215" s="17" t="s">
        <v>10</v>
      </c>
      <c r="F215" s="25">
        <v>2055</v>
      </c>
      <c r="G215" s="26">
        <v>149221832191.80725</v>
      </c>
    </row>
    <row r="216" spans="1:7" x14ac:dyDescent="0.35">
      <c r="A216" s="9">
        <f xml:space="preserve"> ROW( scalarDataframe[[#This Row],[row_id]] ) - ROW( scalarDataframe[[#Headers],[row_id]] )</f>
        <v>215</v>
      </c>
      <c r="B216" s="16" t="str">
        <f xml:space="preserve"> INDEX( co_scalarInfo[scalarType], MATCH( scalarDataframe[[#This Row],[scalarName]],  co_scalarInfo[scalarName], 0 ) )</f>
        <v>damageAdj</v>
      </c>
      <c r="C216" s="44" t="str">
        <f xml:space="preserve"> INDEX( co_scalarInfo[scalarLabel], MATCH( scalarDataframe[[#This Row],[scalarName]], co_scalarInfo[scalarName], 0 ) )</f>
        <v>Electricity Supply and Demand Reference Costs</v>
      </c>
      <c r="D216" s="24" t="s">
        <v>261</v>
      </c>
      <c r="E216" s="17" t="s">
        <v>10</v>
      </c>
      <c r="F216" s="25">
        <v>2060</v>
      </c>
      <c r="G216" s="26">
        <v>157894112194.63644</v>
      </c>
    </row>
    <row r="217" spans="1:7" x14ac:dyDescent="0.35">
      <c r="A217" s="9">
        <f xml:space="preserve"> ROW( scalarDataframe[[#This Row],[row_id]] ) - ROW( scalarDataframe[[#Headers],[row_id]] )</f>
        <v>216</v>
      </c>
      <c r="B217" s="16" t="str">
        <f xml:space="preserve"> INDEX( co_scalarInfo[scalarType], MATCH( scalarDataframe[[#This Row],[scalarName]],  co_scalarInfo[scalarName], 0 ) )</f>
        <v>damageAdj</v>
      </c>
      <c r="C217" s="44" t="str">
        <f xml:space="preserve"> INDEX( co_scalarInfo[scalarLabel], MATCH( scalarDataframe[[#This Row],[scalarName]], co_scalarInfo[scalarName], 0 ) )</f>
        <v>Electricity Supply and Demand Reference Costs</v>
      </c>
      <c r="D217" s="24" t="s">
        <v>261</v>
      </c>
      <c r="E217" s="17" t="s">
        <v>10</v>
      </c>
      <c r="F217" s="25">
        <v>2065</v>
      </c>
      <c r="G217" s="26">
        <v>162404974411.29446</v>
      </c>
    </row>
    <row r="218" spans="1:7" x14ac:dyDescent="0.35">
      <c r="A218" s="9">
        <f xml:space="preserve"> ROW( scalarDataframe[[#This Row],[row_id]] ) - ROW( scalarDataframe[[#Headers],[row_id]] )</f>
        <v>217</v>
      </c>
      <c r="B218" s="16" t="str">
        <f xml:space="preserve"> INDEX( co_scalarInfo[scalarType], MATCH( scalarDataframe[[#This Row],[scalarName]],  co_scalarInfo[scalarName], 0 ) )</f>
        <v>damageAdj</v>
      </c>
      <c r="C218" s="44" t="str">
        <f xml:space="preserve"> INDEX( co_scalarInfo[scalarLabel], MATCH( scalarDataframe[[#This Row],[scalarName]], co_scalarInfo[scalarName], 0 ) )</f>
        <v>Electricity Supply and Demand Reference Costs</v>
      </c>
      <c r="D218" s="24" t="s">
        <v>261</v>
      </c>
      <c r="E218" s="17" t="s">
        <v>10</v>
      </c>
      <c r="F218" s="25">
        <v>2070</v>
      </c>
      <c r="G218" s="26">
        <v>166231624817.80875</v>
      </c>
    </row>
    <row r="219" spans="1:7" x14ac:dyDescent="0.35">
      <c r="A219" s="9">
        <f xml:space="preserve"> ROW( scalarDataframe[[#This Row],[row_id]] ) - ROW( scalarDataframe[[#Headers],[row_id]] )</f>
        <v>218</v>
      </c>
      <c r="B219" s="16" t="str">
        <f xml:space="preserve"> INDEX( co_scalarInfo[scalarType], MATCH( scalarDataframe[[#This Row],[scalarName]],  co_scalarInfo[scalarName], 0 ) )</f>
        <v>damageAdj</v>
      </c>
      <c r="C219" s="44" t="str">
        <f xml:space="preserve"> INDEX( co_scalarInfo[scalarLabel], MATCH( scalarDataframe[[#This Row],[scalarName]], co_scalarInfo[scalarName], 0 ) )</f>
        <v>Electricity Supply and Demand Reference Costs</v>
      </c>
      <c r="D219" s="24" t="s">
        <v>261</v>
      </c>
      <c r="E219" s="17" t="s">
        <v>10</v>
      </c>
      <c r="F219" s="25">
        <v>2075</v>
      </c>
      <c r="G219" s="26">
        <v>170026066728.13672</v>
      </c>
    </row>
    <row r="220" spans="1:7" x14ac:dyDescent="0.35">
      <c r="A220" s="9">
        <f xml:space="preserve"> ROW( scalarDataframe[[#This Row],[row_id]] ) - ROW( scalarDataframe[[#Headers],[row_id]] )</f>
        <v>219</v>
      </c>
      <c r="B220" s="16" t="str">
        <f xml:space="preserve"> INDEX( co_scalarInfo[scalarType], MATCH( scalarDataframe[[#This Row],[scalarName]],  co_scalarInfo[scalarName], 0 ) )</f>
        <v>damageAdj</v>
      </c>
      <c r="C220" s="44" t="str">
        <f xml:space="preserve"> INDEX( co_scalarInfo[scalarLabel], MATCH( scalarDataframe[[#This Row],[scalarName]], co_scalarInfo[scalarName], 0 ) )</f>
        <v>Electricity Supply and Demand Reference Costs</v>
      </c>
      <c r="D220" s="24" t="s">
        <v>261</v>
      </c>
      <c r="E220" s="17" t="s">
        <v>10</v>
      </c>
      <c r="F220" s="25">
        <v>2080</v>
      </c>
      <c r="G220" s="26">
        <v>173881305604.23901</v>
      </c>
    </row>
    <row r="221" spans="1:7" x14ac:dyDescent="0.35">
      <c r="A221" s="9">
        <f xml:space="preserve"> ROW( scalarDataframe[[#This Row],[row_id]] ) - ROW( scalarDataframe[[#Headers],[row_id]] )</f>
        <v>220</v>
      </c>
      <c r="B221" s="16" t="str">
        <f xml:space="preserve"> INDEX( co_scalarInfo[scalarType], MATCH( scalarDataframe[[#This Row],[scalarName]],  co_scalarInfo[scalarName], 0 ) )</f>
        <v>damageAdj</v>
      </c>
      <c r="C221" s="44" t="str">
        <f xml:space="preserve"> INDEX( co_scalarInfo[scalarLabel], MATCH( scalarDataframe[[#This Row],[scalarName]], co_scalarInfo[scalarName], 0 ) )</f>
        <v>Electricity Supply and Demand Reference Costs</v>
      </c>
      <c r="D221" s="24" t="s">
        <v>261</v>
      </c>
      <c r="E221" s="17" t="s">
        <v>10</v>
      </c>
      <c r="F221" s="25">
        <v>2085</v>
      </c>
      <c r="G221" s="26">
        <v>177002438545.30481</v>
      </c>
    </row>
    <row r="222" spans="1:7" x14ac:dyDescent="0.35">
      <c r="A222" s="9">
        <f xml:space="preserve"> ROW( scalarDataframe[[#This Row],[row_id]] ) - ROW( scalarDataframe[[#Headers],[row_id]] )</f>
        <v>221</v>
      </c>
      <c r="B222" s="16" t="str">
        <f xml:space="preserve"> INDEX( co_scalarInfo[scalarType], MATCH( scalarDataframe[[#This Row],[scalarName]],  co_scalarInfo[scalarName], 0 ) )</f>
        <v>damageAdj</v>
      </c>
      <c r="C222" s="44" t="str">
        <f xml:space="preserve"> INDEX( co_scalarInfo[scalarLabel], MATCH( scalarDataframe[[#This Row],[scalarName]], co_scalarInfo[scalarName], 0 ) )</f>
        <v>Electricity Supply and Demand Reference Costs</v>
      </c>
      <c r="D222" s="24" t="s">
        <v>261</v>
      </c>
      <c r="E222" s="17" t="s">
        <v>10</v>
      </c>
      <c r="F222" s="25">
        <v>2090</v>
      </c>
      <c r="G222" s="26">
        <v>180375018946.71918</v>
      </c>
    </row>
    <row r="223" spans="1:7" x14ac:dyDescent="0.35">
      <c r="A223" s="9">
        <f xml:space="preserve"> ROW( scalarDataframe[[#This Row],[row_id]] ) - ROW( scalarDataframe[[#Headers],[row_id]] )</f>
        <v>222</v>
      </c>
      <c r="B223" s="16" t="str">
        <f xml:space="preserve"> INDEX( co_scalarInfo[scalarType], MATCH( scalarDataframe[[#This Row],[scalarName]],  co_scalarInfo[scalarName], 0 ) )</f>
        <v>damageAdj</v>
      </c>
      <c r="C223" s="44" t="str">
        <f xml:space="preserve"> INDEX( co_scalarInfo[scalarLabel], MATCH( scalarDataframe[[#This Row],[scalarName]], co_scalarInfo[scalarName], 0 ) )</f>
        <v>Electricity Supply and Demand Reference Costs</v>
      </c>
      <c r="D223" s="24" t="s">
        <v>261</v>
      </c>
      <c r="E223" s="17" t="s">
        <v>11</v>
      </c>
      <c r="F223" s="25">
        <v>2010</v>
      </c>
      <c r="G223" s="26">
        <v>55658901058.183525</v>
      </c>
    </row>
    <row r="224" spans="1:7" x14ac:dyDescent="0.35">
      <c r="A224" s="9">
        <f xml:space="preserve"> ROW( scalarDataframe[[#This Row],[row_id]] ) - ROW( scalarDataframe[[#Headers],[row_id]] )</f>
        <v>223</v>
      </c>
      <c r="B224" s="16" t="str">
        <f xml:space="preserve"> INDEX( co_scalarInfo[scalarType], MATCH( scalarDataframe[[#This Row],[scalarName]],  co_scalarInfo[scalarName], 0 ) )</f>
        <v>damageAdj</v>
      </c>
      <c r="C224" s="44" t="str">
        <f xml:space="preserve"> INDEX( co_scalarInfo[scalarLabel], MATCH( scalarDataframe[[#This Row],[scalarName]], co_scalarInfo[scalarName], 0 ) )</f>
        <v>Electricity Supply and Demand Reference Costs</v>
      </c>
      <c r="D224" s="24" t="s">
        <v>261</v>
      </c>
      <c r="E224" s="17" t="s">
        <v>11</v>
      </c>
      <c r="F224" s="25">
        <v>2015</v>
      </c>
      <c r="G224" s="26">
        <v>47461708716.052231</v>
      </c>
    </row>
    <row r="225" spans="1:7" x14ac:dyDescent="0.35">
      <c r="A225" s="9">
        <f xml:space="preserve"> ROW( scalarDataframe[[#This Row],[row_id]] ) - ROW( scalarDataframe[[#Headers],[row_id]] )</f>
        <v>224</v>
      </c>
      <c r="B225" s="16" t="str">
        <f xml:space="preserve"> INDEX( co_scalarInfo[scalarType], MATCH( scalarDataframe[[#This Row],[scalarName]],  co_scalarInfo[scalarName], 0 ) )</f>
        <v>damageAdj</v>
      </c>
      <c r="C225" s="44" t="str">
        <f xml:space="preserve"> INDEX( co_scalarInfo[scalarLabel], MATCH( scalarDataframe[[#This Row],[scalarName]], co_scalarInfo[scalarName], 0 ) )</f>
        <v>Electricity Supply and Demand Reference Costs</v>
      </c>
      <c r="D225" s="24" t="s">
        <v>261</v>
      </c>
      <c r="E225" s="17" t="s">
        <v>11</v>
      </c>
      <c r="F225" s="25">
        <v>2020</v>
      </c>
      <c r="G225" s="26">
        <v>48484926527.084976</v>
      </c>
    </row>
    <row r="226" spans="1:7" x14ac:dyDescent="0.35">
      <c r="A226" s="9">
        <f xml:space="preserve"> ROW( scalarDataframe[[#This Row],[row_id]] ) - ROW( scalarDataframe[[#Headers],[row_id]] )</f>
        <v>225</v>
      </c>
      <c r="B226" s="16" t="str">
        <f xml:space="preserve"> INDEX( co_scalarInfo[scalarType], MATCH( scalarDataframe[[#This Row],[scalarName]],  co_scalarInfo[scalarName], 0 ) )</f>
        <v>damageAdj</v>
      </c>
      <c r="C226" s="44" t="str">
        <f xml:space="preserve"> INDEX( co_scalarInfo[scalarLabel], MATCH( scalarDataframe[[#This Row],[scalarName]], co_scalarInfo[scalarName], 0 ) )</f>
        <v>Electricity Supply and Demand Reference Costs</v>
      </c>
      <c r="D226" s="24" t="s">
        <v>261</v>
      </c>
      <c r="E226" s="17" t="s">
        <v>11</v>
      </c>
      <c r="F226" s="25">
        <v>2025</v>
      </c>
      <c r="G226" s="26">
        <v>48926331234.530533</v>
      </c>
    </row>
    <row r="227" spans="1:7" x14ac:dyDescent="0.35">
      <c r="A227" s="9">
        <f xml:space="preserve"> ROW( scalarDataframe[[#This Row],[row_id]] ) - ROW( scalarDataframe[[#Headers],[row_id]] )</f>
        <v>226</v>
      </c>
      <c r="B227" s="16" t="str">
        <f xml:space="preserve"> INDEX( co_scalarInfo[scalarType], MATCH( scalarDataframe[[#This Row],[scalarName]],  co_scalarInfo[scalarName], 0 ) )</f>
        <v>damageAdj</v>
      </c>
      <c r="C227" s="44" t="str">
        <f xml:space="preserve"> INDEX( co_scalarInfo[scalarLabel], MATCH( scalarDataframe[[#This Row],[scalarName]], co_scalarInfo[scalarName], 0 ) )</f>
        <v>Electricity Supply and Demand Reference Costs</v>
      </c>
      <c r="D227" s="24" t="s">
        <v>261</v>
      </c>
      <c r="E227" s="17" t="s">
        <v>11</v>
      </c>
      <c r="F227" s="25">
        <v>2030</v>
      </c>
      <c r="G227" s="26">
        <v>48317917781.55294</v>
      </c>
    </row>
    <row r="228" spans="1:7" x14ac:dyDescent="0.35">
      <c r="A228" s="9">
        <f xml:space="preserve"> ROW( scalarDataframe[[#This Row],[row_id]] ) - ROW( scalarDataframe[[#Headers],[row_id]] )</f>
        <v>227</v>
      </c>
      <c r="B228" s="16" t="str">
        <f xml:space="preserve"> INDEX( co_scalarInfo[scalarType], MATCH( scalarDataframe[[#This Row],[scalarName]],  co_scalarInfo[scalarName], 0 ) )</f>
        <v>damageAdj</v>
      </c>
      <c r="C228" s="44" t="str">
        <f xml:space="preserve"> INDEX( co_scalarInfo[scalarLabel], MATCH( scalarDataframe[[#This Row],[scalarName]], co_scalarInfo[scalarName], 0 ) )</f>
        <v>Electricity Supply and Demand Reference Costs</v>
      </c>
      <c r="D228" s="24" t="s">
        <v>261</v>
      </c>
      <c r="E228" s="17" t="s">
        <v>11</v>
      </c>
      <c r="F228" s="25">
        <v>2035</v>
      </c>
      <c r="G228" s="26">
        <v>49075088473.273926</v>
      </c>
    </row>
    <row r="229" spans="1:7" x14ac:dyDescent="0.35">
      <c r="A229" s="9">
        <f xml:space="preserve"> ROW( scalarDataframe[[#This Row],[row_id]] ) - ROW( scalarDataframe[[#Headers],[row_id]] )</f>
        <v>228</v>
      </c>
      <c r="B229" s="16" t="str">
        <f xml:space="preserve"> INDEX( co_scalarInfo[scalarType], MATCH( scalarDataframe[[#This Row],[scalarName]],  co_scalarInfo[scalarName], 0 ) )</f>
        <v>damageAdj</v>
      </c>
      <c r="C229" s="44" t="str">
        <f xml:space="preserve"> INDEX( co_scalarInfo[scalarLabel], MATCH( scalarDataframe[[#This Row],[scalarName]], co_scalarInfo[scalarName], 0 ) )</f>
        <v>Electricity Supply and Demand Reference Costs</v>
      </c>
      <c r="D229" s="24" t="s">
        <v>261</v>
      </c>
      <c r="E229" s="17" t="s">
        <v>11</v>
      </c>
      <c r="F229" s="25">
        <v>2040</v>
      </c>
      <c r="G229" s="26">
        <v>49904251386.949059</v>
      </c>
    </row>
    <row r="230" spans="1:7" x14ac:dyDescent="0.35">
      <c r="A230" s="9">
        <f xml:space="preserve"> ROW( scalarDataframe[[#This Row],[row_id]] ) - ROW( scalarDataframe[[#Headers],[row_id]] )</f>
        <v>229</v>
      </c>
      <c r="B230" s="16" t="str">
        <f xml:space="preserve"> INDEX( co_scalarInfo[scalarType], MATCH( scalarDataframe[[#This Row],[scalarName]],  co_scalarInfo[scalarName], 0 ) )</f>
        <v>damageAdj</v>
      </c>
      <c r="C230" s="44" t="str">
        <f xml:space="preserve"> INDEX( co_scalarInfo[scalarLabel], MATCH( scalarDataframe[[#This Row],[scalarName]], co_scalarInfo[scalarName], 0 ) )</f>
        <v>Electricity Supply and Demand Reference Costs</v>
      </c>
      <c r="D230" s="24" t="s">
        <v>261</v>
      </c>
      <c r="E230" s="17" t="s">
        <v>11</v>
      </c>
      <c r="F230" s="25">
        <v>2045</v>
      </c>
      <c r="G230" s="26">
        <v>50593364878.351357</v>
      </c>
    </row>
    <row r="231" spans="1:7" x14ac:dyDescent="0.35">
      <c r="A231" s="9">
        <f xml:space="preserve"> ROW( scalarDataframe[[#This Row],[row_id]] ) - ROW( scalarDataframe[[#Headers],[row_id]] )</f>
        <v>230</v>
      </c>
      <c r="B231" s="16" t="str">
        <f xml:space="preserve"> INDEX( co_scalarInfo[scalarType], MATCH( scalarDataframe[[#This Row],[scalarName]],  co_scalarInfo[scalarName], 0 ) )</f>
        <v>damageAdj</v>
      </c>
      <c r="C231" s="44" t="str">
        <f xml:space="preserve"> INDEX( co_scalarInfo[scalarLabel], MATCH( scalarDataframe[[#This Row],[scalarName]], co_scalarInfo[scalarName], 0 ) )</f>
        <v>Electricity Supply and Demand Reference Costs</v>
      </c>
      <c r="D231" s="24" t="s">
        <v>261</v>
      </c>
      <c r="E231" s="17" t="s">
        <v>11</v>
      </c>
      <c r="F231" s="25">
        <v>2050</v>
      </c>
      <c r="G231" s="26">
        <v>50683375603.27166</v>
      </c>
    </row>
    <row r="232" spans="1:7" x14ac:dyDescent="0.35">
      <c r="A232" s="9">
        <f xml:space="preserve"> ROW( scalarDataframe[[#This Row],[row_id]] ) - ROW( scalarDataframe[[#Headers],[row_id]] )</f>
        <v>231</v>
      </c>
      <c r="B232" s="16" t="str">
        <f xml:space="preserve"> INDEX( co_scalarInfo[scalarType], MATCH( scalarDataframe[[#This Row],[scalarName]],  co_scalarInfo[scalarName], 0 ) )</f>
        <v>damageAdj</v>
      </c>
      <c r="C232" s="44" t="str">
        <f xml:space="preserve"> INDEX( co_scalarInfo[scalarLabel], MATCH( scalarDataframe[[#This Row],[scalarName]], co_scalarInfo[scalarName], 0 ) )</f>
        <v>Electricity Supply and Demand Reference Costs</v>
      </c>
      <c r="D232" s="24" t="s">
        <v>261</v>
      </c>
      <c r="E232" s="17" t="s">
        <v>11</v>
      </c>
      <c r="F232" s="25">
        <v>2055</v>
      </c>
      <c r="G232" s="26">
        <v>53917354824.549522</v>
      </c>
    </row>
    <row r="233" spans="1:7" x14ac:dyDescent="0.35">
      <c r="A233" s="9">
        <f xml:space="preserve"> ROW( scalarDataframe[[#This Row],[row_id]] ) - ROW( scalarDataframe[[#Headers],[row_id]] )</f>
        <v>232</v>
      </c>
      <c r="B233" s="16" t="str">
        <f xml:space="preserve"> INDEX( co_scalarInfo[scalarType], MATCH( scalarDataframe[[#This Row],[scalarName]],  co_scalarInfo[scalarName], 0 ) )</f>
        <v>damageAdj</v>
      </c>
      <c r="C233" s="44" t="str">
        <f xml:space="preserve"> INDEX( co_scalarInfo[scalarLabel], MATCH( scalarDataframe[[#This Row],[scalarName]], co_scalarInfo[scalarName], 0 ) )</f>
        <v>Electricity Supply and Demand Reference Costs</v>
      </c>
      <c r="D233" s="24" t="s">
        <v>261</v>
      </c>
      <c r="E233" s="17" t="s">
        <v>11</v>
      </c>
      <c r="F233" s="25">
        <v>2060</v>
      </c>
      <c r="G233" s="26">
        <v>58070137938.409988</v>
      </c>
    </row>
    <row r="234" spans="1:7" x14ac:dyDescent="0.35">
      <c r="A234" s="9">
        <f xml:space="preserve"> ROW( scalarDataframe[[#This Row],[row_id]] ) - ROW( scalarDataframe[[#Headers],[row_id]] )</f>
        <v>233</v>
      </c>
      <c r="B234" s="16" t="str">
        <f xml:space="preserve"> INDEX( co_scalarInfo[scalarType], MATCH( scalarDataframe[[#This Row],[scalarName]],  co_scalarInfo[scalarName], 0 ) )</f>
        <v>damageAdj</v>
      </c>
      <c r="C234" s="44" t="str">
        <f xml:space="preserve"> INDEX( co_scalarInfo[scalarLabel], MATCH( scalarDataframe[[#This Row],[scalarName]], co_scalarInfo[scalarName], 0 ) )</f>
        <v>Electricity Supply and Demand Reference Costs</v>
      </c>
      <c r="D234" s="24" t="s">
        <v>261</v>
      </c>
      <c r="E234" s="17" t="s">
        <v>11</v>
      </c>
      <c r="F234" s="25">
        <v>2065</v>
      </c>
      <c r="G234" s="26">
        <v>60243683399.676041</v>
      </c>
    </row>
    <row r="235" spans="1:7" x14ac:dyDescent="0.35">
      <c r="A235" s="9">
        <f xml:space="preserve"> ROW( scalarDataframe[[#This Row],[row_id]] ) - ROW( scalarDataframe[[#Headers],[row_id]] )</f>
        <v>234</v>
      </c>
      <c r="B235" s="16" t="str">
        <f xml:space="preserve"> INDEX( co_scalarInfo[scalarType], MATCH( scalarDataframe[[#This Row],[scalarName]],  co_scalarInfo[scalarName], 0 ) )</f>
        <v>damageAdj</v>
      </c>
      <c r="C235" s="44" t="str">
        <f xml:space="preserve"> INDEX( co_scalarInfo[scalarLabel], MATCH( scalarDataframe[[#This Row],[scalarName]], co_scalarInfo[scalarName], 0 ) )</f>
        <v>Electricity Supply and Demand Reference Costs</v>
      </c>
      <c r="D235" s="24" t="s">
        <v>261</v>
      </c>
      <c r="E235" s="17" t="s">
        <v>11</v>
      </c>
      <c r="F235" s="25">
        <v>2070</v>
      </c>
      <c r="G235" s="26">
        <v>62041592098.637833</v>
      </c>
    </row>
    <row r="236" spans="1:7" x14ac:dyDescent="0.35">
      <c r="A236" s="9">
        <f xml:space="preserve"> ROW( scalarDataframe[[#This Row],[row_id]] ) - ROW( scalarDataframe[[#Headers],[row_id]] )</f>
        <v>235</v>
      </c>
      <c r="B236" s="16" t="str">
        <f xml:space="preserve"> INDEX( co_scalarInfo[scalarType], MATCH( scalarDataframe[[#This Row],[scalarName]],  co_scalarInfo[scalarName], 0 ) )</f>
        <v>damageAdj</v>
      </c>
      <c r="C236" s="44" t="str">
        <f xml:space="preserve"> INDEX( co_scalarInfo[scalarLabel], MATCH( scalarDataframe[[#This Row],[scalarName]], co_scalarInfo[scalarName], 0 ) )</f>
        <v>Electricity Supply and Demand Reference Costs</v>
      </c>
      <c r="D236" s="24" t="s">
        <v>261</v>
      </c>
      <c r="E236" s="17" t="s">
        <v>11</v>
      </c>
      <c r="F236" s="25">
        <v>2075</v>
      </c>
      <c r="G236" s="26">
        <v>64116119337.656143</v>
      </c>
    </row>
    <row r="237" spans="1:7" x14ac:dyDescent="0.35">
      <c r="A237" s="9">
        <f xml:space="preserve"> ROW( scalarDataframe[[#This Row],[row_id]] ) - ROW( scalarDataframe[[#Headers],[row_id]] )</f>
        <v>236</v>
      </c>
      <c r="B237" s="16" t="str">
        <f xml:space="preserve"> INDEX( co_scalarInfo[scalarType], MATCH( scalarDataframe[[#This Row],[scalarName]],  co_scalarInfo[scalarName], 0 ) )</f>
        <v>damageAdj</v>
      </c>
      <c r="C237" s="44" t="str">
        <f xml:space="preserve"> INDEX( co_scalarInfo[scalarLabel], MATCH( scalarDataframe[[#This Row],[scalarName]], co_scalarInfo[scalarName], 0 ) )</f>
        <v>Electricity Supply and Demand Reference Costs</v>
      </c>
      <c r="D237" s="24" t="s">
        <v>261</v>
      </c>
      <c r="E237" s="17" t="s">
        <v>11</v>
      </c>
      <c r="F237" s="25">
        <v>2080</v>
      </c>
      <c r="G237" s="26">
        <v>66467410286.290504</v>
      </c>
    </row>
    <row r="238" spans="1:7" x14ac:dyDescent="0.35">
      <c r="A238" s="9">
        <f xml:space="preserve"> ROW( scalarDataframe[[#This Row],[row_id]] ) - ROW( scalarDataframe[[#Headers],[row_id]] )</f>
        <v>237</v>
      </c>
      <c r="B238" s="16" t="str">
        <f xml:space="preserve"> INDEX( co_scalarInfo[scalarType], MATCH( scalarDataframe[[#This Row],[scalarName]],  co_scalarInfo[scalarName], 0 ) )</f>
        <v>damageAdj</v>
      </c>
      <c r="C238" s="44" t="str">
        <f xml:space="preserve"> INDEX( co_scalarInfo[scalarLabel], MATCH( scalarDataframe[[#This Row],[scalarName]], co_scalarInfo[scalarName], 0 ) )</f>
        <v>Electricity Supply and Demand Reference Costs</v>
      </c>
      <c r="D238" s="24" t="s">
        <v>261</v>
      </c>
      <c r="E238" s="17" t="s">
        <v>11</v>
      </c>
      <c r="F238" s="25">
        <v>2085</v>
      </c>
      <c r="G238" s="26">
        <v>68072446030.802979</v>
      </c>
    </row>
    <row r="239" spans="1:7" x14ac:dyDescent="0.35">
      <c r="A239" s="9">
        <f xml:space="preserve"> ROW( scalarDataframe[[#This Row],[row_id]] ) - ROW( scalarDataframe[[#Headers],[row_id]] )</f>
        <v>238</v>
      </c>
      <c r="B239" s="16" t="str">
        <f xml:space="preserve"> INDEX( co_scalarInfo[scalarType], MATCH( scalarDataframe[[#This Row],[scalarName]],  co_scalarInfo[scalarName], 0 ) )</f>
        <v>damageAdj</v>
      </c>
      <c r="C239" s="44" t="str">
        <f xml:space="preserve"> INDEX( co_scalarInfo[scalarLabel], MATCH( scalarDataframe[[#This Row],[scalarName]], co_scalarInfo[scalarName], 0 ) )</f>
        <v>Electricity Supply and Demand Reference Costs</v>
      </c>
      <c r="D239" s="24" t="s">
        <v>261</v>
      </c>
      <c r="E239" s="17" t="s">
        <v>11</v>
      </c>
      <c r="F239" s="25">
        <v>2090</v>
      </c>
      <c r="G239" s="26">
        <v>69750458666.539505</v>
      </c>
    </row>
    <row r="240" spans="1:7" x14ac:dyDescent="0.35">
      <c r="A240" s="9">
        <f xml:space="preserve"> ROW( scalarDataframe[[#This Row],[row_id]] ) - ROW( scalarDataframe[[#Headers],[row_id]] )</f>
        <v>239</v>
      </c>
      <c r="B240" s="16" t="str">
        <f xml:space="preserve"> INDEX( co_scalarInfo[scalarType], MATCH( scalarDataframe[[#This Row],[scalarName]],  co_scalarInfo[scalarName], 0 ) )</f>
        <v>damageAdj</v>
      </c>
      <c r="C240" s="44" t="str">
        <f xml:space="preserve"> INDEX( co_scalarInfo[scalarLabel], MATCH( scalarDataframe[[#This Row],[scalarName]], co_scalarInfo[scalarName], 0 ) )</f>
        <v>Electricity Supply and Demand Reference Costs</v>
      </c>
      <c r="D240" s="24" t="s">
        <v>261</v>
      </c>
      <c r="E240" s="17" t="s">
        <v>12</v>
      </c>
      <c r="F240" s="25">
        <v>2010</v>
      </c>
      <c r="G240" s="26">
        <v>53197768465.506088</v>
      </c>
    </row>
    <row r="241" spans="1:7" x14ac:dyDescent="0.35">
      <c r="A241" s="9">
        <f xml:space="preserve"> ROW( scalarDataframe[[#This Row],[row_id]] ) - ROW( scalarDataframe[[#Headers],[row_id]] )</f>
        <v>240</v>
      </c>
      <c r="B241" s="16" t="str">
        <f xml:space="preserve"> INDEX( co_scalarInfo[scalarType], MATCH( scalarDataframe[[#This Row],[scalarName]],  co_scalarInfo[scalarName], 0 ) )</f>
        <v>damageAdj</v>
      </c>
      <c r="C241" s="44" t="str">
        <f xml:space="preserve"> INDEX( co_scalarInfo[scalarLabel], MATCH( scalarDataframe[[#This Row],[scalarName]], co_scalarInfo[scalarName], 0 ) )</f>
        <v>Electricity Supply and Demand Reference Costs</v>
      </c>
      <c r="D241" s="24" t="s">
        <v>261</v>
      </c>
      <c r="E241" s="17" t="s">
        <v>12</v>
      </c>
      <c r="F241" s="25">
        <v>2015</v>
      </c>
      <c r="G241" s="26">
        <v>50067860548.391357</v>
      </c>
    </row>
    <row r="242" spans="1:7" x14ac:dyDescent="0.35">
      <c r="A242" s="9">
        <f xml:space="preserve"> ROW( scalarDataframe[[#This Row],[row_id]] ) - ROW( scalarDataframe[[#Headers],[row_id]] )</f>
        <v>241</v>
      </c>
      <c r="B242" s="16" t="str">
        <f xml:space="preserve"> INDEX( co_scalarInfo[scalarType], MATCH( scalarDataframe[[#This Row],[scalarName]],  co_scalarInfo[scalarName], 0 ) )</f>
        <v>damageAdj</v>
      </c>
      <c r="C242" s="44" t="str">
        <f xml:space="preserve"> INDEX( co_scalarInfo[scalarLabel], MATCH( scalarDataframe[[#This Row],[scalarName]], co_scalarInfo[scalarName], 0 ) )</f>
        <v>Electricity Supply and Demand Reference Costs</v>
      </c>
      <c r="D242" s="24" t="s">
        <v>261</v>
      </c>
      <c r="E242" s="17" t="s">
        <v>12</v>
      </c>
      <c r="F242" s="25">
        <v>2020</v>
      </c>
      <c r="G242" s="26">
        <v>49980016566.261383</v>
      </c>
    </row>
    <row r="243" spans="1:7" x14ac:dyDescent="0.35">
      <c r="A243" s="9">
        <f xml:space="preserve"> ROW( scalarDataframe[[#This Row],[row_id]] ) - ROW( scalarDataframe[[#Headers],[row_id]] )</f>
        <v>242</v>
      </c>
      <c r="B243" s="16" t="str">
        <f xml:space="preserve"> INDEX( co_scalarInfo[scalarType], MATCH( scalarDataframe[[#This Row],[scalarName]],  co_scalarInfo[scalarName], 0 ) )</f>
        <v>damageAdj</v>
      </c>
      <c r="C243" s="44" t="str">
        <f xml:space="preserve"> INDEX( co_scalarInfo[scalarLabel], MATCH( scalarDataframe[[#This Row],[scalarName]], co_scalarInfo[scalarName], 0 ) )</f>
        <v>Electricity Supply and Demand Reference Costs</v>
      </c>
      <c r="D243" s="24" t="s">
        <v>261</v>
      </c>
      <c r="E243" s="17" t="s">
        <v>12</v>
      </c>
      <c r="F243" s="25">
        <v>2025</v>
      </c>
      <c r="G243" s="26">
        <v>50581446966.83268</v>
      </c>
    </row>
    <row r="244" spans="1:7" x14ac:dyDescent="0.35">
      <c r="A244" s="9">
        <f xml:space="preserve"> ROW( scalarDataframe[[#This Row],[row_id]] ) - ROW( scalarDataframe[[#Headers],[row_id]] )</f>
        <v>243</v>
      </c>
      <c r="B244" s="16" t="str">
        <f xml:space="preserve"> INDEX( co_scalarInfo[scalarType], MATCH( scalarDataframe[[#This Row],[scalarName]],  co_scalarInfo[scalarName], 0 ) )</f>
        <v>damageAdj</v>
      </c>
      <c r="C244" s="44" t="str">
        <f xml:space="preserve"> INDEX( co_scalarInfo[scalarLabel], MATCH( scalarDataframe[[#This Row],[scalarName]], co_scalarInfo[scalarName], 0 ) )</f>
        <v>Electricity Supply and Demand Reference Costs</v>
      </c>
      <c r="D244" s="24" t="s">
        <v>261</v>
      </c>
      <c r="E244" s="17" t="s">
        <v>12</v>
      </c>
      <c r="F244" s="25">
        <v>2030</v>
      </c>
      <c r="G244" s="26">
        <v>50690608581.464172</v>
      </c>
    </row>
    <row r="245" spans="1:7" x14ac:dyDescent="0.35">
      <c r="A245" s="9">
        <f xml:space="preserve"> ROW( scalarDataframe[[#This Row],[row_id]] ) - ROW( scalarDataframe[[#Headers],[row_id]] )</f>
        <v>244</v>
      </c>
      <c r="B245" s="16" t="str">
        <f xml:space="preserve"> INDEX( co_scalarInfo[scalarType], MATCH( scalarDataframe[[#This Row],[scalarName]],  co_scalarInfo[scalarName], 0 ) )</f>
        <v>damageAdj</v>
      </c>
      <c r="C245" s="44" t="str">
        <f xml:space="preserve"> INDEX( co_scalarInfo[scalarLabel], MATCH( scalarDataframe[[#This Row],[scalarName]], co_scalarInfo[scalarName], 0 ) )</f>
        <v>Electricity Supply and Demand Reference Costs</v>
      </c>
      <c r="D245" s="24" t="s">
        <v>261</v>
      </c>
      <c r="E245" s="17" t="s">
        <v>12</v>
      </c>
      <c r="F245" s="25">
        <v>2035</v>
      </c>
      <c r="G245" s="26">
        <v>51689600309.382492</v>
      </c>
    </row>
    <row r="246" spans="1:7" x14ac:dyDescent="0.35">
      <c r="A246" s="9">
        <f xml:space="preserve"> ROW( scalarDataframe[[#This Row],[row_id]] ) - ROW( scalarDataframe[[#Headers],[row_id]] )</f>
        <v>245</v>
      </c>
      <c r="B246" s="16" t="str">
        <f xml:space="preserve"> INDEX( co_scalarInfo[scalarType], MATCH( scalarDataframe[[#This Row],[scalarName]],  co_scalarInfo[scalarName], 0 ) )</f>
        <v>damageAdj</v>
      </c>
      <c r="C246" s="44" t="str">
        <f xml:space="preserve"> INDEX( co_scalarInfo[scalarLabel], MATCH( scalarDataframe[[#This Row],[scalarName]], co_scalarInfo[scalarName], 0 ) )</f>
        <v>Electricity Supply and Demand Reference Costs</v>
      </c>
      <c r="D246" s="24" t="s">
        <v>261</v>
      </c>
      <c r="E246" s="17" t="s">
        <v>12</v>
      </c>
      <c r="F246" s="25">
        <v>2040</v>
      </c>
      <c r="G246" s="26">
        <v>53461728262.649666</v>
      </c>
    </row>
    <row r="247" spans="1:7" x14ac:dyDescent="0.35">
      <c r="A247" s="9">
        <f xml:space="preserve"> ROW( scalarDataframe[[#This Row],[row_id]] ) - ROW( scalarDataframe[[#Headers],[row_id]] )</f>
        <v>246</v>
      </c>
      <c r="B247" s="16" t="str">
        <f xml:space="preserve"> INDEX( co_scalarInfo[scalarType], MATCH( scalarDataframe[[#This Row],[scalarName]],  co_scalarInfo[scalarName], 0 ) )</f>
        <v>damageAdj</v>
      </c>
      <c r="C247" s="44" t="str">
        <f xml:space="preserve"> INDEX( co_scalarInfo[scalarLabel], MATCH( scalarDataframe[[#This Row],[scalarName]], co_scalarInfo[scalarName], 0 ) )</f>
        <v>Electricity Supply and Demand Reference Costs</v>
      </c>
      <c r="D247" s="24" t="s">
        <v>261</v>
      </c>
      <c r="E247" s="17" t="s">
        <v>12</v>
      </c>
      <c r="F247" s="25">
        <v>2045</v>
      </c>
      <c r="G247" s="26">
        <v>55432547975.545578</v>
      </c>
    </row>
    <row r="248" spans="1:7" x14ac:dyDescent="0.35">
      <c r="A248" s="9">
        <f xml:space="preserve"> ROW( scalarDataframe[[#This Row],[row_id]] ) - ROW( scalarDataframe[[#Headers],[row_id]] )</f>
        <v>247</v>
      </c>
      <c r="B248" s="16" t="str">
        <f xml:space="preserve"> INDEX( co_scalarInfo[scalarType], MATCH( scalarDataframe[[#This Row],[scalarName]],  co_scalarInfo[scalarName], 0 ) )</f>
        <v>damageAdj</v>
      </c>
      <c r="C248" s="44" t="str">
        <f xml:space="preserve"> INDEX( co_scalarInfo[scalarLabel], MATCH( scalarDataframe[[#This Row],[scalarName]], co_scalarInfo[scalarName], 0 ) )</f>
        <v>Electricity Supply and Demand Reference Costs</v>
      </c>
      <c r="D248" s="24" t="s">
        <v>261</v>
      </c>
      <c r="E248" s="17" t="s">
        <v>12</v>
      </c>
      <c r="F248" s="25">
        <v>2050</v>
      </c>
      <c r="G248" s="26">
        <v>56159811881.989281</v>
      </c>
    </row>
    <row r="249" spans="1:7" x14ac:dyDescent="0.35">
      <c r="A249" s="9">
        <f xml:space="preserve"> ROW( scalarDataframe[[#This Row],[row_id]] ) - ROW( scalarDataframe[[#Headers],[row_id]] )</f>
        <v>248</v>
      </c>
      <c r="B249" s="16" t="str">
        <f xml:space="preserve"> INDEX( co_scalarInfo[scalarType], MATCH( scalarDataframe[[#This Row],[scalarName]],  co_scalarInfo[scalarName], 0 ) )</f>
        <v>damageAdj</v>
      </c>
      <c r="C249" s="44" t="str">
        <f xml:space="preserve"> INDEX( co_scalarInfo[scalarLabel], MATCH( scalarDataframe[[#This Row],[scalarName]], co_scalarInfo[scalarName], 0 ) )</f>
        <v>Electricity Supply and Demand Reference Costs</v>
      </c>
      <c r="D249" s="24" t="s">
        <v>261</v>
      </c>
      <c r="E249" s="17" t="s">
        <v>12</v>
      </c>
      <c r="F249" s="25">
        <v>2055</v>
      </c>
      <c r="G249" s="26">
        <v>60032844104.018028</v>
      </c>
    </row>
    <row r="250" spans="1:7" x14ac:dyDescent="0.35">
      <c r="A250" s="9">
        <f xml:space="preserve"> ROW( scalarDataframe[[#This Row],[row_id]] ) - ROW( scalarDataframe[[#Headers],[row_id]] )</f>
        <v>249</v>
      </c>
      <c r="B250" s="16" t="str">
        <f xml:space="preserve"> INDEX( co_scalarInfo[scalarType], MATCH( scalarDataframe[[#This Row],[scalarName]],  co_scalarInfo[scalarName], 0 ) )</f>
        <v>damageAdj</v>
      </c>
      <c r="C250" s="44" t="str">
        <f xml:space="preserve"> INDEX( co_scalarInfo[scalarLabel], MATCH( scalarDataframe[[#This Row],[scalarName]], co_scalarInfo[scalarName], 0 ) )</f>
        <v>Electricity Supply and Demand Reference Costs</v>
      </c>
      <c r="D250" s="24" t="s">
        <v>261</v>
      </c>
      <c r="E250" s="17" t="s">
        <v>12</v>
      </c>
      <c r="F250" s="25">
        <v>2060</v>
      </c>
      <c r="G250" s="26">
        <v>63665391108.794479</v>
      </c>
    </row>
    <row r="251" spans="1:7" x14ac:dyDescent="0.35">
      <c r="A251" s="9">
        <f xml:space="preserve"> ROW( scalarDataframe[[#This Row],[row_id]] ) - ROW( scalarDataframe[[#Headers],[row_id]] )</f>
        <v>250</v>
      </c>
      <c r="B251" s="16" t="str">
        <f xml:space="preserve"> INDEX( co_scalarInfo[scalarType], MATCH( scalarDataframe[[#This Row],[scalarName]],  co_scalarInfo[scalarName], 0 ) )</f>
        <v>damageAdj</v>
      </c>
      <c r="C251" s="44" t="str">
        <f xml:space="preserve"> INDEX( co_scalarInfo[scalarLabel], MATCH( scalarDataframe[[#This Row],[scalarName]], co_scalarInfo[scalarName], 0 ) )</f>
        <v>Electricity Supply and Demand Reference Costs</v>
      </c>
      <c r="D251" s="24" t="s">
        <v>261</v>
      </c>
      <c r="E251" s="17" t="s">
        <v>12</v>
      </c>
      <c r="F251" s="25">
        <v>2065</v>
      </c>
      <c r="G251" s="26">
        <v>65803251670.45665</v>
      </c>
    </row>
    <row r="252" spans="1:7" x14ac:dyDescent="0.35">
      <c r="A252" s="9">
        <f xml:space="preserve"> ROW( scalarDataframe[[#This Row],[row_id]] ) - ROW( scalarDataframe[[#Headers],[row_id]] )</f>
        <v>251</v>
      </c>
      <c r="B252" s="16" t="str">
        <f xml:space="preserve"> INDEX( co_scalarInfo[scalarType], MATCH( scalarDataframe[[#This Row],[scalarName]],  co_scalarInfo[scalarName], 0 ) )</f>
        <v>damageAdj</v>
      </c>
      <c r="C252" s="44" t="str">
        <f xml:space="preserve"> INDEX( co_scalarInfo[scalarLabel], MATCH( scalarDataframe[[#This Row],[scalarName]], co_scalarInfo[scalarName], 0 ) )</f>
        <v>Electricity Supply and Demand Reference Costs</v>
      </c>
      <c r="D252" s="24" t="s">
        <v>261</v>
      </c>
      <c r="E252" s="17" t="s">
        <v>12</v>
      </c>
      <c r="F252" s="25">
        <v>2070</v>
      </c>
      <c r="G252" s="26">
        <v>67658133304.790581</v>
      </c>
    </row>
    <row r="253" spans="1:7" x14ac:dyDescent="0.35">
      <c r="A253" s="9">
        <f xml:space="preserve"> ROW( scalarDataframe[[#This Row],[row_id]] ) - ROW( scalarDataframe[[#Headers],[row_id]] )</f>
        <v>252</v>
      </c>
      <c r="B253" s="16" t="str">
        <f xml:space="preserve"> INDEX( co_scalarInfo[scalarType], MATCH( scalarDataframe[[#This Row],[scalarName]],  co_scalarInfo[scalarName], 0 ) )</f>
        <v>damageAdj</v>
      </c>
      <c r="C253" s="44" t="str">
        <f xml:space="preserve"> INDEX( co_scalarInfo[scalarLabel], MATCH( scalarDataframe[[#This Row],[scalarName]], co_scalarInfo[scalarName], 0 ) )</f>
        <v>Electricity Supply and Demand Reference Costs</v>
      </c>
      <c r="D253" s="24" t="s">
        <v>261</v>
      </c>
      <c r="E253" s="17" t="s">
        <v>12</v>
      </c>
      <c r="F253" s="25">
        <v>2075</v>
      </c>
      <c r="G253" s="26">
        <v>69758081767.654816</v>
      </c>
    </row>
    <row r="254" spans="1:7" x14ac:dyDescent="0.35">
      <c r="A254" s="9">
        <f xml:space="preserve"> ROW( scalarDataframe[[#This Row],[row_id]] ) - ROW( scalarDataframe[[#Headers],[row_id]] )</f>
        <v>253</v>
      </c>
      <c r="B254" s="16" t="str">
        <f xml:space="preserve"> INDEX( co_scalarInfo[scalarType], MATCH( scalarDataframe[[#This Row],[scalarName]],  co_scalarInfo[scalarName], 0 ) )</f>
        <v>damageAdj</v>
      </c>
      <c r="C254" s="44" t="str">
        <f xml:space="preserve"> INDEX( co_scalarInfo[scalarLabel], MATCH( scalarDataframe[[#This Row],[scalarName]], co_scalarInfo[scalarName], 0 ) )</f>
        <v>Electricity Supply and Demand Reference Costs</v>
      </c>
      <c r="D254" s="24" t="s">
        <v>261</v>
      </c>
      <c r="E254" s="17" t="s">
        <v>12</v>
      </c>
      <c r="F254" s="25">
        <v>2080</v>
      </c>
      <c r="G254" s="26">
        <v>72062261231.019745</v>
      </c>
    </row>
    <row r="255" spans="1:7" x14ac:dyDescent="0.35">
      <c r="A255" s="9">
        <f xml:space="preserve"> ROW( scalarDataframe[[#This Row],[row_id]] ) - ROW( scalarDataframe[[#Headers],[row_id]] )</f>
        <v>254</v>
      </c>
      <c r="B255" s="16" t="str">
        <f xml:space="preserve"> INDEX( co_scalarInfo[scalarType], MATCH( scalarDataframe[[#This Row],[scalarName]],  co_scalarInfo[scalarName], 0 ) )</f>
        <v>damageAdj</v>
      </c>
      <c r="C255" s="44" t="str">
        <f xml:space="preserve"> INDEX( co_scalarInfo[scalarLabel], MATCH( scalarDataframe[[#This Row],[scalarName]], co_scalarInfo[scalarName], 0 ) )</f>
        <v>Electricity Supply and Demand Reference Costs</v>
      </c>
      <c r="D255" s="24" t="s">
        <v>261</v>
      </c>
      <c r="E255" s="17" t="s">
        <v>12</v>
      </c>
      <c r="F255" s="25">
        <v>2085</v>
      </c>
      <c r="G255" s="26">
        <v>73655817148.027771</v>
      </c>
    </row>
    <row r="256" spans="1:7" x14ac:dyDescent="0.35">
      <c r="A256" s="9">
        <f xml:space="preserve"> ROW( scalarDataframe[[#This Row],[row_id]] ) - ROW( scalarDataframe[[#Headers],[row_id]] )</f>
        <v>255</v>
      </c>
      <c r="B256" s="16" t="str">
        <f xml:space="preserve"> INDEX( co_scalarInfo[scalarType], MATCH( scalarDataframe[[#This Row],[scalarName]],  co_scalarInfo[scalarName], 0 ) )</f>
        <v>damageAdj</v>
      </c>
      <c r="C256" s="44" t="str">
        <f xml:space="preserve"> INDEX( co_scalarInfo[scalarLabel], MATCH( scalarDataframe[[#This Row],[scalarName]], co_scalarInfo[scalarName], 0 ) )</f>
        <v>Electricity Supply and Demand Reference Costs</v>
      </c>
      <c r="D256" s="24" t="s">
        <v>261</v>
      </c>
      <c r="E256" s="17" t="s">
        <v>12</v>
      </c>
      <c r="F256" s="25">
        <v>2090</v>
      </c>
      <c r="G256" s="26">
        <v>75009676226.761124</v>
      </c>
    </row>
    <row r="257" spans="1:7" x14ac:dyDescent="0.35">
      <c r="A257" s="9">
        <f xml:space="preserve"> ROW( scalarDataframe[[#This Row],[row_id]] ) - ROW( scalarDataframe[[#Headers],[row_id]] )</f>
        <v>256</v>
      </c>
      <c r="B257" s="16" t="str">
        <f xml:space="preserve"> INDEX( co_scalarInfo[scalarType], MATCH( scalarDataframe[[#This Row],[scalarName]],  co_scalarInfo[scalarName], 0 ) )</f>
        <v>econScalar</v>
      </c>
      <c r="C257" s="44" t="str">
        <f xml:space="preserve"> INDEX( co_scalarInfo[scalarLabel], MATCH( scalarDataframe[[#This Row],[scalarName]], co_scalarInfo[scalarName], 0 ) )</f>
        <v>Hospitalization Costs (Asthma ER)</v>
      </c>
      <c r="D257" s="24" t="s">
        <v>812</v>
      </c>
      <c r="E257" s="17" t="s">
        <v>13</v>
      </c>
      <c r="F257" s="25">
        <v>2010</v>
      </c>
      <c r="G257" s="26">
        <v>490</v>
      </c>
    </row>
    <row r="258" spans="1:7" x14ac:dyDescent="0.35">
      <c r="A258" s="9">
        <f xml:space="preserve"> ROW( scalarDataframe[[#This Row],[row_id]] ) - ROW( scalarDataframe[[#Headers],[row_id]] )</f>
        <v>257</v>
      </c>
      <c r="B258" s="16" t="str">
        <f xml:space="preserve"> INDEX( co_scalarInfo[scalarType], MATCH( scalarDataframe[[#This Row],[scalarName]],  co_scalarInfo[scalarName], 0 ) )</f>
        <v>econScalar</v>
      </c>
      <c r="C258" s="44" t="str">
        <f xml:space="preserve"> INDEX( co_scalarInfo[scalarLabel], MATCH( scalarDataframe[[#This Row],[scalarName]], co_scalarInfo[scalarName], 0 ) )</f>
        <v>Hospitalization Costs (All Cardiovascular and ACMI)</v>
      </c>
      <c r="D258" s="24" t="s">
        <v>788</v>
      </c>
      <c r="E258" s="17" t="s">
        <v>13</v>
      </c>
      <c r="F258" s="25">
        <v>2010</v>
      </c>
      <c r="G258" s="26">
        <v>43485</v>
      </c>
    </row>
    <row r="259" spans="1:7" x14ac:dyDescent="0.35">
      <c r="A259" s="9">
        <f xml:space="preserve"> ROW( scalarDataframe[[#This Row],[row_id]] ) - ROW( scalarDataframe[[#Headers],[row_id]] )</f>
        <v>258</v>
      </c>
      <c r="B259" s="16" t="str">
        <f xml:space="preserve"> INDEX( co_scalarInfo[scalarType], MATCH( scalarDataframe[[#This Row],[scalarName]],  co_scalarInfo[scalarName], 0 ) )</f>
        <v>econScalar</v>
      </c>
      <c r="C259" s="44" t="str">
        <f xml:space="preserve"> INDEX( co_scalarInfo[scalarLabel], MATCH( scalarDataframe[[#This Row],[scalarName]], co_scalarInfo[scalarName], 0 ) )</f>
        <v>Hospitalization Costs (Respiratory)</v>
      </c>
      <c r="D259" s="24" t="s">
        <v>789</v>
      </c>
      <c r="E259" s="17" t="s">
        <v>13</v>
      </c>
      <c r="F259" s="25">
        <v>2010</v>
      </c>
      <c r="G259" s="26">
        <v>36451</v>
      </c>
    </row>
    <row r="260" spans="1:7" x14ac:dyDescent="0.35">
      <c r="A260" s="9">
        <f xml:space="preserve"> ROW( scalarDataframe[[#This Row],[row_id]] ) - ROW( scalarDataframe[[#Headers],[row_id]] )</f>
        <v>259</v>
      </c>
      <c r="B260" s="16" t="str">
        <f xml:space="preserve"> INDEX( co_scalarInfo[scalarType], MATCH( scalarDataframe[[#This Row],[scalarName]],  co_scalarInfo[scalarName], 0 ) )</f>
        <v>econScalar</v>
      </c>
      <c r="C260" s="44" t="str">
        <f xml:space="preserve"> INDEX( co_scalarInfo[scalarLabel], MATCH( scalarDataframe[[#This Row],[scalarName]], co_scalarInfo[scalarName], 0 ) )</f>
        <v>VSL</v>
      </c>
      <c r="D260" s="24" t="s">
        <v>786</v>
      </c>
      <c r="E260" s="17" t="s">
        <v>13</v>
      </c>
      <c r="F260" s="25">
        <v>2010</v>
      </c>
      <c r="G260" s="26">
        <v>9800000</v>
      </c>
    </row>
    <row r="261" spans="1:7" x14ac:dyDescent="0.35">
      <c r="A261" s="9">
        <f xml:space="preserve"> ROW( scalarDataframe[[#This Row],[row_id]] ) - ROW( scalarDataframe[[#Headers],[row_id]] )</f>
        <v>260</v>
      </c>
      <c r="B261" s="16" t="str">
        <f xml:space="preserve"> INDEX( co_scalarInfo[scalarType], MATCH( scalarDataframe[[#This Row],[scalarName]],  co_scalarInfo[scalarName], 0 ) )</f>
        <v>econScalar</v>
      </c>
      <c r="C261" s="44" t="str">
        <f xml:space="preserve"> INDEX( co_scalarInfo[scalarLabel], MATCH( scalarDataframe[[#This Row],[scalarName]], co_scalarInfo[scalarName], 0 ) )</f>
        <v>High-Risk Worker Wages</v>
      </c>
      <c r="D261" s="24" t="s">
        <v>1005</v>
      </c>
      <c r="E261" s="17" t="s">
        <v>13</v>
      </c>
      <c r="F261" s="25">
        <v>2010</v>
      </c>
      <c r="G261" s="26">
        <v>25.001482212755015</v>
      </c>
    </row>
    <row r="262" spans="1:7" x14ac:dyDescent="0.35">
      <c r="A262" s="9">
        <f xml:space="preserve"> ROW( scalarDataframe[[#This Row],[row_id]] ) - ROW( scalarDataframe[[#Headers],[row_id]] )</f>
        <v>261</v>
      </c>
      <c r="B262" s="16" t="str">
        <f xml:space="preserve"> INDEX( co_scalarInfo[scalarType], MATCH( scalarDataframe[[#This Row],[scalarName]],  co_scalarInfo[scalarName], 0 ) )</f>
        <v>econScalar</v>
      </c>
      <c r="C262" s="44" t="str">
        <f xml:space="preserve"> INDEX( co_scalarInfo[scalarLabel], MATCH( scalarDataframe[[#This Row],[scalarName]], co_scalarInfo[scalarName], 0 ) )</f>
        <v>Wildfire Response Costs</v>
      </c>
      <c r="D262" s="24" t="s">
        <v>771</v>
      </c>
      <c r="E262" s="17" t="s">
        <v>6</v>
      </c>
      <c r="F262" s="25">
        <v>2010</v>
      </c>
      <c r="G262" s="26">
        <v>86.928866785264489</v>
      </c>
    </row>
    <row r="263" spans="1:7" x14ac:dyDescent="0.35">
      <c r="A263" s="9">
        <f xml:space="preserve"> ROW( scalarDataframe[[#This Row],[row_id]] ) - ROW( scalarDataframe[[#Headers],[row_id]] )</f>
        <v>262</v>
      </c>
      <c r="B263" s="16" t="str">
        <f xml:space="preserve"> INDEX( co_scalarInfo[scalarType], MATCH( scalarDataframe[[#This Row],[scalarName]],  co_scalarInfo[scalarName], 0 ) )</f>
        <v>econScalar</v>
      </c>
      <c r="C263" s="44" t="str">
        <f xml:space="preserve"> INDEX( co_scalarInfo[scalarLabel], MATCH( scalarDataframe[[#This Row],[scalarName]], co_scalarInfo[scalarName], 0 ) )</f>
        <v>Wildfire Response Costs</v>
      </c>
      <c r="D263" s="24" t="s">
        <v>771</v>
      </c>
      <c r="E263" s="17" t="s">
        <v>7</v>
      </c>
      <c r="F263" s="25">
        <v>2010</v>
      </c>
      <c r="G263" s="26">
        <v>43.710557571812423</v>
      </c>
    </row>
    <row r="264" spans="1:7" x14ac:dyDescent="0.35">
      <c r="A264" s="9">
        <f xml:space="preserve"> ROW( scalarDataframe[[#This Row],[row_id]] ) - ROW( scalarDataframe[[#Headers],[row_id]] )</f>
        <v>263</v>
      </c>
      <c r="B264" s="16" t="str">
        <f xml:space="preserve"> INDEX( co_scalarInfo[scalarType], MATCH( scalarDataframe[[#This Row],[scalarName]],  co_scalarInfo[scalarName], 0 ) )</f>
        <v>econScalar</v>
      </c>
      <c r="C264" s="44" t="str">
        <f xml:space="preserve"> INDEX( co_scalarInfo[scalarLabel], MATCH( scalarDataframe[[#This Row],[scalarName]], co_scalarInfo[scalarName], 0 ) )</f>
        <v>Wildfire Response Costs</v>
      </c>
      <c r="D264" s="24" t="s">
        <v>771</v>
      </c>
      <c r="E264" s="17" t="s">
        <v>8</v>
      </c>
      <c r="F264" s="25">
        <v>2010</v>
      </c>
      <c r="G264" s="26">
        <v>239.09510550079673</v>
      </c>
    </row>
    <row r="265" spans="1:7" x14ac:dyDescent="0.35">
      <c r="A265" s="9">
        <f xml:space="preserve"> ROW( scalarDataframe[[#This Row],[row_id]] ) - ROW( scalarDataframe[[#Headers],[row_id]] )</f>
        <v>264</v>
      </c>
      <c r="B265" s="16" t="str">
        <f xml:space="preserve"> INDEX( co_scalarInfo[scalarType], MATCH( scalarDataframe[[#This Row],[scalarName]],  co_scalarInfo[scalarName], 0 ) )</f>
        <v>econScalar</v>
      </c>
      <c r="C265" s="44" t="str">
        <f xml:space="preserve"> INDEX( co_scalarInfo[scalarLabel], MATCH( scalarDataframe[[#This Row],[scalarName]], co_scalarInfo[scalarName], 0 ) )</f>
        <v>Wildfire Response Costs</v>
      </c>
      <c r="D265" s="24" t="s">
        <v>771</v>
      </c>
      <c r="E265" s="17" t="s">
        <v>9</v>
      </c>
      <c r="F265" s="25">
        <v>2010</v>
      </c>
      <c r="G265" s="26">
        <v>209.66008025979013</v>
      </c>
    </row>
    <row r="266" spans="1:7" x14ac:dyDescent="0.35">
      <c r="A266" s="9">
        <f xml:space="preserve"> ROW( scalarDataframe[[#This Row],[row_id]] ) - ROW( scalarDataframe[[#Headers],[row_id]] )</f>
        <v>265</v>
      </c>
      <c r="B266" s="16" t="str">
        <f xml:space="preserve"> INDEX( co_scalarInfo[scalarType], MATCH( scalarDataframe[[#This Row],[scalarName]],  co_scalarInfo[scalarName], 0 ) )</f>
        <v>econScalar</v>
      </c>
      <c r="C266" s="44" t="str">
        <f xml:space="preserve"> INDEX( co_scalarInfo[scalarLabel], MATCH( scalarDataframe[[#This Row],[scalarName]], co_scalarInfo[scalarName], 0 ) )</f>
        <v>Wildfire Response Costs</v>
      </c>
      <c r="D266" s="24" t="s">
        <v>771</v>
      </c>
      <c r="E266" s="17" t="s">
        <v>10</v>
      </c>
      <c r="F266" s="25">
        <v>2010</v>
      </c>
      <c r="G266" s="26">
        <v>106.07143232419131</v>
      </c>
    </row>
    <row r="267" spans="1:7" x14ac:dyDescent="0.35">
      <c r="A267" s="9">
        <f xml:space="preserve"> ROW( scalarDataframe[[#This Row],[row_id]] ) - ROW( scalarDataframe[[#Headers],[row_id]] )</f>
        <v>266</v>
      </c>
      <c r="B267" s="16" t="str">
        <f xml:space="preserve"> INDEX( co_scalarInfo[scalarType], MATCH( scalarDataframe[[#This Row],[scalarName]],  co_scalarInfo[scalarName], 0 ) )</f>
        <v>econScalar</v>
      </c>
      <c r="C267" s="44" t="str">
        <f xml:space="preserve"> INDEX( co_scalarInfo[scalarLabel], MATCH( scalarDataframe[[#This Row],[scalarName]], co_scalarInfo[scalarName], 0 ) )</f>
        <v>Wildfire Response Costs</v>
      </c>
      <c r="D267" s="24" t="s">
        <v>771</v>
      </c>
      <c r="E267" s="17" t="s">
        <v>11</v>
      </c>
      <c r="F267" s="25">
        <v>2010</v>
      </c>
      <c r="G267" s="26">
        <v>12.263802572016607</v>
      </c>
    </row>
    <row r="268" spans="1:7" x14ac:dyDescent="0.35">
      <c r="A268" s="9">
        <f xml:space="preserve"> ROW( scalarDataframe[[#This Row],[row_id]] ) - ROW( scalarDataframe[[#Headers],[row_id]] )</f>
        <v>267</v>
      </c>
      <c r="B268" s="16" t="str">
        <f xml:space="preserve"> INDEX( co_scalarInfo[scalarType], MATCH( scalarDataframe[[#This Row],[scalarName]],  co_scalarInfo[scalarName], 0 ) )</f>
        <v>econScalar</v>
      </c>
      <c r="C268" s="44" t="str">
        <f xml:space="preserve"> INDEX( co_scalarInfo[scalarLabel], MATCH( scalarDataframe[[#This Row],[scalarName]], co_scalarInfo[scalarName], 0 ) )</f>
        <v>Wildfire Response Costs</v>
      </c>
      <c r="D268" s="24" t="s">
        <v>771</v>
      </c>
      <c r="E268" s="17" t="s">
        <v>12</v>
      </c>
      <c r="F268" s="25">
        <v>2010</v>
      </c>
      <c r="G268" s="26">
        <v>355.84968541247707</v>
      </c>
    </row>
    <row r="269" spans="1:7" x14ac:dyDescent="0.35">
      <c r="A269" s="9">
        <f xml:space="preserve"> ROW( scalarDataframe[[#This Row],[row_id]] ) - ROW( scalarDataframe[[#Headers],[row_id]] )</f>
        <v>268</v>
      </c>
      <c r="B269" s="11" t="str">
        <f xml:space="preserve"> INDEX( co_scalarInfo[scalarType], MATCH( scalarDataframe[[#This Row],[scalarName]],  co_scalarInfo[scalarName], 0 ) )</f>
        <v>physAdj</v>
      </c>
      <c r="C269" s="45" t="str">
        <f xml:space="preserve"> INDEX( co_scalarInfo[scalarLabel], MATCH( scalarDataframe[[#This Row],[scalarName]], co_scalarInfo[scalarName], 0 ) )</f>
        <v>City Population (weight)</v>
      </c>
      <c r="D269" s="25" t="s">
        <v>258</v>
      </c>
      <c r="E269" s="18" t="s">
        <v>6</v>
      </c>
      <c r="F269" s="25">
        <v>2010</v>
      </c>
      <c r="G269" s="26">
        <v>0.33946601829657497</v>
      </c>
    </row>
    <row r="270" spans="1:7" x14ac:dyDescent="0.35">
      <c r="A270" s="9">
        <f xml:space="preserve"> ROW( scalarDataframe[[#This Row],[row_id]] ) - ROW( scalarDataframe[[#Headers],[row_id]] )</f>
        <v>269</v>
      </c>
      <c r="B270" s="11" t="str">
        <f xml:space="preserve"> INDEX( co_scalarInfo[scalarType], MATCH( scalarDataframe[[#This Row],[scalarName]],  co_scalarInfo[scalarName], 0 ) )</f>
        <v>physAdj</v>
      </c>
      <c r="C270" s="45" t="str">
        <f xml:space="preserve"> INDEX( co_scalarInfo[scalarLabel], MATCH( scalarDataframe[[#This Row],[scalarName]], co_scalarInfo[scalarName], 0 ) )</f>
        <v>City Population (weight)</v>
      </c>
      <c r="D270" s="25" t="s">
        <v>258</v>
      </c>
      <c r="E270" s="18" t="s">
        <v>6</v>
      </c>
      <c r="F270" s="25">
        <v>2050</v>
      </c>
      <c r="G270" s="26">
        <v>0.33297662195848093</v>
      </c>
    </row>
    <row r="271" spans="1:7" x14ac:dyDescent="0.35">
      <c r="A271" s="9">
        <f xml:space="preserve"> ROW( scalarDataframe[[#This Row],[row_id]] ) - ROW( scalarDataframe[[#Headers],[row_id]] )</f>
        <v>270</v>
      </c>
      <c r="B271" s="11" t="str">
        <f xml:space="preserve"> INDEX( co_scalarInfo[scalarType], MATCH( scalarDataframe[[#This Row],[scalarName]],  co_scalarInfo[scalarName], 0 ) )</f>
        <v>physAdj</v>
      </c>
      <c r="C271" s="45" t="str">
        <f xml:space="preserve"> INDEX( co_scalarInfo[scalarLabel], MATCH( scalarDataframe[[#This Row],[scalarName]], co_scalarInfo[scalarName], 0 ) )</f>
        <v>City Population (weight)</v>
      </c>
      <c r="D271" s="25" t="s">
        <v>258</v>
      </c>
      <c r="E271" s="18" t="s">
        <v>6</v>
      </c>
      <c r="F271" s="25">
        <v>2090</v>
      </c>
      <c r="G271" s="26">
        <v>0.33166255598629746</v>
      </c>
    </row>
    <row r="272" spans="1:7" x14ac:dyDescent="0.35">
      <c r="A272" s="9">
        <f xml:space="preserve"> ROW( scalarDataframe[[#This Row],[row_id]] ) - ROW( scalarDataframe[[#Headers],[row_id]] )</f>
        <v>271</v>
      </c>
      <c r="B272" s="11" t="str">
        <f xml:space="preserve"> INDEX( co_scalarInfo[scalarType], MATCH( scalarDataframe[[#This Row],[scalarName]],  co_scalarInfo[scalarName], 0 ) )</f>
        <v>physAdj</v>
      </c>
      <c r="C272" s="45" t="str">
        <f xml:space="preserve"> INDEX( co_scalarInfo[scalarLabel], MATCH( scalarDataframe[[#This Row],[scalarName]], co_scalarInfo[scalarName], 0 ) )</f>
        <v>City Population (weight)</v>
      </c>
      <c r="D272" s="25" t="s">
        <v>258</v>
      </c>
      <c r="E272" s="18" t="s">
        <v>7</v>
      </c>
      <c r="F272" s="25">
        <v>2010</v>
      </c>
      <c r="G272" s="26">
        <v>0.29060023996545314</v>
      </c>
    </row>
    <row r="273" spans="1:7" x14ac:dyDescent="0.35">
      <c r="A273" s="9">
        <f xml:space="preserve"> ROW( scalarDataframe[[#This Row],[row_id]] ) - ROW( scalarDataframe[[#Headers],[row_id]] )</f>
        <v>272</v>
      </c>
      <c r="B273" s="11" t="str">
        <f xml:space="preserve"> INDEX( co_scalarInfo[scalarType], MATCH( scalarDataframe[[#This Row],[scalarName]],  co_scalarInfo[scalarName], 0 ) )</f>
        <v>physAdj</v>
      </c>
      <c r="C273" s="45" t="str">
        <f xml:space="preserve"> INDEX( co_scalarInfo[scalarLabel], MATCH( scalarDataframe[[#This Row],[scalarName]], co_scalarInfo[scalarName], 0 ) )</f>
        <v>City Population (weight)</v>
      </c>
      <c r="D273" s="25" t="s">
        <v>258</v>
      </c>
      <c r="E273" s="18" t="s">
        <v>7</v>
      </c>
      <c r="F273" s="25">
        <v>2050</v>
      </c>
      <c r="G273" s="26">
        <v>0.3101086352934091</v>
      </c>
    </row>
    <row r="274" spans="1:7" x14ac:dyDescent="0.35">
      <c r="A274" s="9">
        <f xml:space="preserve"> ROW( scalarDataframe[[#This Row],[row_id]] ) - ROW( scalarDataframe[[#Headers],[row_id]] )</f>
        <v>273</v>
      </c>
      <c r="B274" s="11" t="str">
        <f xml:space="preserve"> INDEX( co_scalarInfo[scalarType], MATCH( scalarDataframe[[#This Row],[scalarName]],  co_scalarInfo[scalarName], 0 ) )</f>
        <v>physAdj</v>
      </c>
      <c r="C274" s="45" t="str">
        <f xml:space="preserve"> INDEX( co_scalarInfo[scalarLabel], MATCH( scalarDataframe[[#This Row],[scalarName]], co_scalarInfo[scalarName], 0 ) )</f>
        <v>City Population (weight)</v>
      </c>
      <c r="D274" s="25" t="s">
        <v>258</v>
      </c>
      <c r="E274" s="18" t="s">
        <v>7</v>
      </c>
      <c r="F274" s="25">
        <v>2090</v>
      </c>
      <c r="G274" s="26">
        <v>0.32220604874394482</v>
      </c>
    </row>
    <row r="275" spans="1:7" x14ac:dyDescent="0.35">
      <c r="A275" s="9">
        <f xml:space="preserve"> ROW( scalarDataframe[[#This Row],[row_id]] ) - ROW( scalarDataframe[[#Headers],[row_id]] )</f>
        <v>274</v>
      </c>
      <c r="B275" s="11" t="str">
        <f xml:space="preserve"> INDEX( co_scalarInfo[scalarType], MATCH( scalarDataframe[[#This Row],[scalarName]],  co_scalarInfo[scalarName], 0 ) )</f>
        <v>physAdj</v>
      </c>
      <c r="C275" s="45" t="str">
        <f xml:space="preserve"> INDEX( co_scalarInfo[scalarLabel], MATCH( scalarDataframe[[#This Row],[scalarName]], co_scalarInfo[scalarName], 0 ) )</f>
        <v>City Population (weight)</v>
      </c>
      <c r="D275" s="25" t="s">
        <v>258</v>
      </c>
      <c r="E275" s="18" t="s">
        <v>8</v>
      </c>
      <c r="F275" s="25">
        <v>2010</v>
      </c>
      <c r="G275" s="26">
        <v>0</v>
      </c>
    </row>
    <row r="276" spans="1:7" x14ac:dyDescent="0.35">
      <c r="A276" s="9">
        <f xml:space="preserve"> ROW( scalarDataframe[[#This Row],[row_id]] ) - ROW( scalarDataframe[[#Headers],[row_id]] )</f>
        <v>275</v>
      </c>
      <c r="B276" s="11" t="str">
        <f xml:space="preserve"> INDEX( co_scalarInfo[scalarType], MATCH( scalarDataframe[[#This Row],[scalarName]],  co_scalarInfo[scalarName], 0 ) )</f>
        <v>physAdj</v>
      </c>
      <c r="C276" s="45" t="str">
        <f xml:space="preserve"> INDEX( co_scalarInfo[scalarLabel], MATCH( scalarDataframe[[#This Row],[scalarName]], co_scalarInfo[scalarName], 0 ) )</f>
        <v>City Population (weight)</v>
      </c>
      <c r="D276" s="25" t="s">
        <v>258</v>
      </c>
      <c r="E276" s="18" t="s">
        <v>8</v>
      </c>
      <c r="F276" s="25">
        <v>2050</v>
      </c>
      <c r="G276" s="26">
        <v>0</v>
      </c>
    </row>
    <row r="277" spans="1:7" x14ac:dyDescent="0.35">
      <c r="A277" s="9">
        <f xml:space="preserve"> ROW( scalarDataframe[[#This Row],[row_id]] ) - ROW( scalarDataframe[[#Headers],[row_id]] )</f>
        <v>276</v>
      </c>
      <c r="B277" s="11" t="str">
        <f xml:space="preserve"> INDEX( co_scalarInfo[scalarType], MATCH( scalarDataframe[[#This Row],[scalarName]],  co_scalarInfo[scalarName], 0 ) )</f>
        <v>physAdj</v>
      </c>
      <c r="C277" s="45" t="str">
        <f xml:space="preserve"> INDEX( co_scalarInfo[scalarLabel], MATCH( scalarDataframe[[#This Row],[scalarName]], co_scalarInfo[scalarName], 0 ) )</f>
        <v>City Population (weight)</v>
      </c>
      <c r="D277" s="25" t="s">
        <v>258</v>
      </c>
      <c r="E277" s="18" t="s">
        <v>8</v>
      </c>
      <c r="F277" s="25">
        <v>2090</v>
      </c>
      <c r="G277" s="26">
        <v>0</v>
      </c>
    </row>
    <row r="278" spans="1:7" x14ac:dyDescent="0.35">
      <c r="A278" s="9">
        <f xml:space="preserve"> ROW( scalarDataframe[[#This Row],[row_id]] ) - ROW( scalarDataframe[[#Headers],[row_id]] )</f>
        <v>277</v>
      </c>
      <c r="B278" s="11" t="str">
        <f xml:space="preserve"> INDEX( co_scalarInfo[scalarType], MATCH( scalarDataframe[[#This Row],[scalarName]],  co_scalarInfo[scalarName], 0 ) )</f>
        <v>physAdj</v>
      </c>
      <c r="C278" s="45" t="str">
        <f xml:space="preserve"> INDEX( co_scalarInfo[scalarLabel], MATCH( scalarDataframe[[#This Row],[scalarName]], co_scalarInfo[scalarName], 0 ) )</f>
        <v>City Population (weight)</v>
      </c>
      <c r="D278" s="25" t="s">
        <v>258</v>
      </c>
      <c r="E278" s="18" t="s">
        <v>9</v>
      </c>
      <c r="F278" s="25">
        <v>2010</v>
      </c>
      <c r="G278" s="26">
        <v>0.33353465538295346</v>
      </c>
    </row>
    <row r="279" spans="1:7" x14ac:dyDescent="0.35">
      <c r="A279" s="9">
        <f xml:space="preserve"> ROW( scalarDataframe[[#This Row],[row_id]] ) - ROW( scalarDataframe[[#Headers],[row_id]] )</f>
        <v>278</v>
      </c>
      <c r="B279" s="11" t="str">
        <f xml:space="preserve"> INDEX( co_scalarInfo[scalarType], MATCH( scalarDataframe[[#This Row],[scalarName]],  co_scalarInfo[scalarName], 0 ) )</f>
        <v>physAdj</v>
      </c>
      <c r="C279" s="45" t="str">
        <f xml:space="preserve"> INDEX( co_scalarInfo[scalarLabel], MATCH( scalarDataframe[[#This Row],[scalarName]], co_scalarInfo[scalarName], 0 ) )</f>
        <v>City Population (weight)</v>
      </c>
      <c r="D279" s="25" t="s">
        <v>258</v>
      </c>
      <c r="E279" s="18" t="s">
        <v>9</v>
      </c>
      <c r="F279" s="25">
        <v>2050</v>
      </c>
      <c r="G279" s="26">
        <v>0.33364819361936199</v>
      </c>
    </row>
    <row r="280" spans="1:7" x14ac:dyDescent="0.35">
      <c r="A280" s="9">
        <f xml:space="preserve"> ROW( scalarDataframe[[#This Row],[row_id]] ) - ROW( scalarDataframe[[#Headers],[row_id]] )</f>
        <v>279</v>
      </c>
      <c r="B280" s="11" t="str">
        <f xml:space="preserve"> INDEX( co_scalarInfo[scalarType], MATCH( scalarDataframe[[#This Row],[scalarName]],  co_scalarInfo[scalarName], 0 ) )</f>
        <v>physAdj</v>
      </c>
      <c r="C280" s="45" t="str">
        <f xml:space="preserve"> INDEX( co_scalarInfo[scalarLabel], MATCH( scalarDataframe[[#This Row],[scalarName]], co_scalarInfo[scalarName], 0 ) )</f>
        <v>City Population (weight)</v>
      </c>
      <c r="D280" s="25" t="s">
        <v>258</v>
      </c>
      <c r="E280" s="18" t="s">
        <v>9</v>
      </c>
      <c r="F280" s="25">
        <v>2090</v>
      </c>
      <c r="G280" s="26">
        <v>0.3308821613552354</v>
      </c>
    </row>
    <row r="281" spans="1:7" x14ac:dyDescent="0.35">
      <c r="A281" s="9">
        <f xml:space="preserve"> ROW( scalarDataframe[[#This Row],[row_id]] ) - ROW( scalarDataframe[[#Headers],[row_id]] )</f>
        <v>280</v>
      </c>
      <c r="B281" s="11" t="str">
        <f xml:space="preserve"> INDEX( co_scalarInfo[scalarType], MATCH( scalarDataframe[[#This Row],[scalarName]],  co_scalarInfo[scalarName], 0 ) )</f>
        <v>physAdj</v>
      </c>
      <c r="C281" s="45" t="str">
        <f xml:space="preserve"> INDEX( co_scalarInfo[scalarLabel], MATCH( scalarDataframe[[#This Row],[scalarName]], co_scalarInfo[scalarName], 0 ) )</f>
        <v>City Population (weight)</v>
      </c>
      <c r="D281" s="25" t="s">
        <v>258</v>
      </c>
      <c r="E281" s="18" t="s">
        <v>10</v>
      </c>
      <c r="F281" s="25">
        <v>2010</v>
      </c>
      <c r="G281" s="26">
        <v>0.19248509024823909</v>
      </c>
    </row>
    <row r="282" spans="1:7" x14ac:dyDescent="0.35">
      <c r="A282" s="9">
        <f xml:space="preserve"> ROW( scalarDataframe[[#This Row],[row_id]] ) - ROW( scalarDataframe[[#Headers],[row_id]] )</f>
        <v>281</v>
      </c>
      <c r="B282" s="11" t="str">
        <f xml:space="preserve"> INDEX( co_scalarInfo[scalarType], MATCH( scalarDataframe[[#This Row],[scalarName]],  co_scalarInfo[scalarName], 0 ) )</f>
        <v>physAdj</v>
      </c>
      <c r="C282" s="45" t="str">
        <f xml:space="preserve"> INDEX( co_scalarInfo[scalarLabel], MATCH( scalarDataframe[[#This Row],[scalarName]], co_scalarInfo[scalarName], 0 ) )</f>
        <v>City Population (weight)</v>
      </c>
      <c r="D282" s="25" t="s">
        <v>258</v>
      </c>
      <c r="E282" s="18" t="s">
        <v>10</v>
      </c>
      <c r="F282" s="25">
        <v>2050</v>
      </c>
      <c r="G282" s="26">
        <v>0.2016994063722955</v>
      </c>
    </row>
    <row r="283" spans="1:7" x14ac:dyDescent="0.35">
      <c r="A283" s="9">
        <f xml:space="preserve"> ROW( scalarDataframe[[#This Row],[row_id]] ) - ROW( scalarDataframe[[#Headers],[row_id]] )</f>
        <v>282</v>
      </c>
      <c r="B283" s="11" t="str">
        <f xml:space="preserve"> INDEX( co_scalarInfo[scalarType], MATCH( scalarDataframe[[#This Row],[scalarName]],  co_scalarInfo[scalarName], 0 ) )</f>
        <v>physAdj</v>
      </c>
      <c r="C283" s="45" t="str">
        <f xml:space="preserve"> INDEX( co_scalarInfo[scalarLabel], MATCH( scalarDataframe[[#This Row],[scalarName]], co_scalarInfo[scalarName], 0 ) )</f>
        <v>City Population (weight)</v>
      </c>
      <c r="D283" s="25" t="s">
        <v>258</v>
      </c>
      <c r="E283" s="18" t="s">
        <v>10</v>
      </c>
      <c r="F283" s="25">
        <v>2090</v>
      </c>
      <c r="G283" s="26">
        <v>0.210923972759956</v>
      </c>
    </row>
    <row r="284" spans="1:7" x14ac:dyDescent="0.35">
      <c r="A284" s="9">
        <f xml:space="preserve"> ROW( scalarDataframe[[#This Row],[row_id]] ) - ROW( scalarDataframe[[#Headers],[row_id]] )</f>
        <v>283</v>
      </c>
      <c r="B284" s="11" t="str">
        <f xml:space="preserve"> INDEX( co_scalarInfo[scalarType], MATCH( scalarDataframe[[#This Row],[scalarName]],  co_scalarInfo[scalarName], 0 ) )</f>
        <v>physAdj</v>
      </c>
      <c r="C284" s="45" t="str">
        <f xml:space="preserve"> INDEX( co_scalarInfo[scalarLabel], MATCH( scalarDataframe[[#This Row],[scalarName]], co_scalarInfo[scalarName], 0 ) )</f>
        <v>City Population (weight)</v>
      </c>
      <c r="D284" s="25" t="s">
        <v>258</v>
      </c>
      <c r="E284" s="18" t="s">
        <v>11</v>
      </c>
      <c r="F284" s="25">
        <v>2010</v>
      </c>
      <c r="G284" s="26">
        <v>0.27738241507173378</v>
      </c>
    </row>
    <row r="285" spans="1:7" x14ac:dyDescent="0.35">
      <c r="A285" s="9">
        <f xml:space="preserve"> ROW( scalarDataframe[[#This Row],[row_id]] ) - ROW( scalarDataframe[[#Headers],[row_id]] )</f>
        <v>284</v>
      </c>
      <c r="B285" s="11" t="str">
        <f xml:space="preserve"> INDEX( co_scalarInfo[scalarType], MATCH( scalarDataframe[[#This Row],[scalarName]],  co_scalarInfo[scalarName], 0 ) )</f>
        <v>physAdj</v>
      </c>
      <c r="C285" s="45" t="str">
        <f xml:space="preserve"> INDEX( co_scalarInfo[scalarLabel], MATCH( scalarDataframe[[#This Row],[scalarName]], co_scalarInfo[scalarName], 0 ) )</f>
        <v>City Population (weight)</v>
      </c>
      <c r="D285" s="25" t="s">
        <v>258</v>
      </c>
      <c r="E285" s="18" t="s">
        <v>11</v>
      </c>
      <c r="F285" s="25">
        <v>2050</v>
      </c>
      <c r="G285" s="26">
        <v>0.27389401097205918</v>
      </c>
    </row>
    <row r="286" spans="1:7" x14ac:dyDescent="0.35">
      <c r="A286" s="9">
        <f xml:space="preserve"> ROW( scalarDataframe[[#This Row],[row_id]] ) - ROW( scalarDataframe[[#Headers],[row_id]] )</f>
        <v>285</v>
      </c>
      <c r="B286" s="11" t="str">
        <f xml:space="preserve"> INDEX( co_scalarInfo[scalarType], MATCH( scalarDataframe[[#This Row],[scalarName]],  co_scalarInfo[scalarName], 0 ) )</f>
        <v>physAdj</v>
      </c>
      <c r="C286" s="45" t="str">
        <f xml:space="preserve"> INDEX( co_scalarInfo[scalarLabel], MATCH( scalarDataframe[[#This Row],[scalarName]], co_scalarInfo[scalarName], 0 ) )</f>
        <v>City Population (weight)</v>
      </c>
      <c r="D286" s="25" t="s">
        <v>258</v>
      </c>
      <c r="E286" s="18" t="s">
        <v>11</v>
      </c>
      <c r="F286" s="25">
        <v>2090</v>
      </c>
      <c r="G286" s="26">
        <v>0.27491526083424439</v>
      </c>
    </row>
    <row r="287" spans="1:7" x14ac:dyDescent="0.35">
      <c r="A287" s="9">
        <f xml:space="preserve"> ROW( scalarDataframe[[#This Row],[row_id]] ) - ROW( scalarDataframe[[#Headers],[row_id]] )</f>
        <v>286</v>
      </c>
      <c r="B287" s="11" t="str">
        <f xml:space="preserve"> INDEX( co_scalarInfo[scalarType], MATCH( scalarDataframe[[#This Row],[scalarName]],  co_scalarInfo[scalarName], 0 ) )</f>
        <v>physAdj</v>
      </c>
      <c r="C287" s="45" t="str">
        <f xml:space="preserve"> INDEX( co_scalarInfo[scalarLabel], MATCH( scalarDataframe[[#This Row],[scalarName]], co_scalarInfo[scalarName], 0 ) )</f>
        <v>City Population (weight)</v>
      </c>
      <c r="D287" s="25" t="s">
        <v>258</v>
      </c>
      <c r="E287" s="18" t="s">
        <v>12</v>
      </c>
      <c r="F287" s="25">
        <v>2010</v>
      </c>
      <c r="G287" s="26">
        <v>0.40848994170407671</v>
      </c>
    </row>
    <row r="288" spans="1:7" x14ac:dyDescent="0.35">
      <c r="A288" s="9">
        <f xml:space="preserve"> ROW( scalarDataframe[[#This Row],[row_id]] ) - ROW( scalarDataframe[[#Headers],[row_id]] )</f>
        <v>287</v>
      </c>
      <c r="B288" s="11" t="str">
        <f xml:space="preserve"> INDEX( co_scalarInfo[scalarType], MATCH( scalarDataframe[[#This Row],[scalarName]],  co_scalarInfo[scalarName], 0 ) )</f>
        <v>physAdj</v>
      </c>
      <c r="C288" s="45" t="str">
        <f xml:space="preserve"> INDEX( co_scalarInfo[scalarLabel], MATCH( scalarDataframe[[#This Row],[scalarName]], co_scalarInfo[scalarName], 0 ) )</f>
        <v>City Population (weight)</v>
      </c>
      <c r="D288" s="25" t="s">
        <v>258</v>
      </c>
      <c r="E288" s="18" t="s">
        <v>12</v>
      </c>
      <c r="F288" s="25">
        <v>2050</v>
      </c>
      <c r="G288" s="26">
        <v>0.41333736843906799</v>
      </c>
    </row>
    <row r="289" spans="1:7" x14ac:dyDescent="0.35">
      <c r="A289" s="9">
        <f xml:space="preserve"> ROW( scalarDataframe[[#This Row],[row_id]] ) - ROW( scalarDataframe[[#Headers],[row_id]] )</f>
        <v>288</v>
      </c>
      <c r="B289" s="11" t="str">
        <f xml:space="preserve"> INDEX( co_scalarInfo[scalarType], MATCH( scalarDataframe[[#This Row],[scalarName]],  co_scalarInfo[scalarName], 0 ) )</f>
        <v>physAdj</v>
      </c>
      <c r="C289" s="45" t="str">
        <f xml:space="preserve"> INDEX( co_scalarInfo[scalarLabel], MATCH( scalarDataframe[[#This Row],[scalarName]], co_scalarInfo[scalarName], 0 ) )</f>
        <v>City Population (weight)</v>
      </c>
      <c r="D289" s="25" t="s">
        <v>258</v>
      </c>
      <c r="E289" s="18" t="s">
        <v>12</v>
      </c>
      <c r="F289" s="25">
        <v>2090</v>
      </c>
      <c r="G289" s="26">
        <v>0.42003074987569416</v>
      </c>
    </row>
    <row r="290" spans="1:7" x14ac:dyDescent="0.35">
      <c r="A290" s="9">
        <f xml:space="preserve"> ROW( scalarDataframe[[#This Row],[row_id]] ) - ROW( scalarDataframe[[#Headers],[row_id]] )</f>
        <v>289</v>
      </c>
      <c r="B290" s="11" t="str">
        <f xml:space="preserve"> INDEX( co_scalarInfo[scalarType], MATCH( scalarDataframe[[#This Row],[scalarName]],  co_scalarInfo[scalarName], 0 ) )</f>
        <v>physAdj</v>
      </c>
      <c r="C290" s="46" t="str">
        <f xml:space="preserve"> INDEX( co_scalarInfo[scalarLabel], MATCH( scalarDataframe[[#This Row],[scalarName]], co_scalarInfo[scalarName], 0 ) )</f>
        <v>Southwest Dusts (All Ages)</v>
      </c>
      <c r="D290" s="17" t="s">
        <v>259</v>
      </c>
      <c r="E290" s="18" t="s">
        <v>6</v>
      </c>
      <c r="F290" s="25">
        <v>2010</v>
      </c>
      <c r="G290" s="26">
        <v>0</v>
      </c>
    </row>
    <row r="291" spans="1:7" x14ac:dyDescent="0.35">
      <c r="A291" s="9">
        <f xml:space="preserve"> ROW( scalarDataframe[[#This Row],[row_id]] ) - ROW( scalarDataframe[[#Headers],[row_id]] )</f>
        <v>290</v>
      </c>
      <c r="B291" s="11" t="str">
        <f xml:space="preserve"> INDEX( co_scalarInfo[scalarType], MATCH( scalarDataframe[[#This Row],[scalarName]],  co_scalarInfo[scalarName], 0 ) )</f>
        <v>physAdj</v>
      </c>
      <c r="C291" s="46" t="str">
        <f xml:space="preserve"> INDEX( co_scalarInfo[scalarLabel], MATCH( scalarDataframe[[#This Row],[scalarName]], co_scalarInfo[scalarName], 0 ) )</f>
        <v>Southwest Dusts (All Ages)</v>
      </c>
      <c r="D291" s="17" t="s">
        <v>259</v>
      </c>
      <c r="E291" s="18" t="s">
        <v>6</v>
      </c>
      <c r="F291" s="25">
        <v>2015</v>
      </c>
      <c r="G291" s="26">
        <v>0</v>
      </c>
    </row>
    <row r="292" spans="1:7" x14ac:dyDescent="0.35">
      <c r="A292" s="9">
        <f xml:space="preserve"> ROW( scalarDataframe[[#This Row],[row_id]] ) - ROW( scalarDataframe[[#Headers],[row_id]] )</f>
        <v>291</v>
      </c>
      <c r="B292" s="11" t="str">
        <f xml:space="preserve"> INDEX( co_scalarInfo[scalarType], MATCH( scalarDataframe[[#This Row],[scalarName]],  co_scalarInfo[scalarName], 0 ) )</f>
        <v>physAdj</v>
      </c>
      <c r="C292" s="46" t="str">
        <f xml:space="preserve"> INDEX( co_scalarInfo[scalarLabel], MATCH( scalarDataframe[[#This Row],[scalarName]], co_scalarInfo[scalarName], 0 ) )</f>
        <v>Southwest Dusts (All Ages)</v>
      </c>
      <c r="D292" s="17" t="s">
        <v>259</v>
      </c>
      <c r="E292" s="18" t="s">
        <v>6</v>
      </c>
      <c r="F292" s="25">
        <v>2020</v>
      </c>
      <c r="G292" s="26">
        <v>0</v>
      </c>
    </row>
    <row r="293" spans="1:7" x14ac:dyDescent="0.35">
      <c r="A293" s="9">
        <f xml:space="preserve"> ROW( scalarDataframe[[#This Row],[row_id]] ) - ROW( scalarDataframe[[#Headers],[row_id]] )</f>
        <v>292</v>
      </c>
      <c r="B293" s="11" t="str">
        <f xml:space="preserve"> INDEX( co_scalarInfo[scalarType], MATCH( scalarDataframe[[#This Row],[scalarName]],  co_scalarInfo[scalarName], 0 ) )</f>
        <v>physAdj</v>
      </c>
      <c r="C293" s="46" t="str">
        <f xml:space="preserve"> INDEX( co_scalarInfo[scalarLabel], MATCH( scalarDataframe[[#This Row],[scalarName]], co_scalarInfo[scalarName], 0 ) )</f>
        <v>Southwest Dusts (All Ages)</v>
      </c>
      <c r="D293" s="17" t="s">
        <v>259</v>
      </c>
      <c r="E293" s="18" t="s">
        <v>6</v>
      </c>
      <c r="F293" s="25">
        <v>2025</v>
      </c>
      <c r="G293" s="26">
        <v>0</v>
      </c>
    </row>
    <row r="294" spans="1:7" x14ac:dyDescent="0.35">
      <c r="A294" s="9">
        <f xml:space="preserve"> ROW( scalarDataframe[[#This Row],[row_id]] ) - ROW( scalarDataframe[[#Headers],[row_id]] )</f>
        <v>293</v>
      </c>
      <c r="B294" s="11" t="str">
        <f xml:space="preserve"> INDEX( co_scalarInfo[scalarType], MATCH( scalarDataframe[[#This Row],[scalarName]],  co_scalarInfo[scalarName], 0 ) )</f>
        <v>physAdj</v>
      </c>
      <c r="C294" s="46" t="str">
        <f xml:space="preserve"> INDEX( co_scalarInfo[scalarLabel], MATCH( scalarDataframe[[#This Row],[scalarName]], co_scalarInfo[scalarName], 0 ) )</f>
        <v>Southwest Dusts (All Ages)</v>
      </c>
      <c r="D294" s="17" t="s">
        <v>259</v>
      </c>
      <c r="E294" s="18" t="s">
        <v>6</v>
      </c>
      <c r="F294" s="25">
        <v>2030</v>
      </c>
      <c r="G294" s="26">
        <v>0</v>
      </c>
    </row>
    <row r="295" spans="1:7" x14ac:dyDescent="0.35">
      <c r="A295" s="9">
        <f xml:space="preserve"> ROW( scalarDataframe[[#This Row],[row_id]] ) - ROW( scalarDataframe[[#Headers],[row_id]] )</f>
        <v>294</v>
      </c>
      <c r="B295" s="11" t="str">
        <f xml:space="preserve"> INDEX( co_scalarInfo[scalarType], MATCH( scalarDataframe[[#This Row],[scalarName]],  co_scalarInfo[scalarName], 0 ) )</f>
        <v>physAdj</v>
      </c>
      <c r="C295" s="46" t="str">
        <f xml:space="preserve"> INDEX( co_scalarInfo[scalarLabel], MATCH( scalarDataframe[[#This Row],[scalarName]], co_scalarInfo[scalarName], 0 ) )</f>
        <v>Southwest Dusts (All Ages)</v>
      </c>
      <c r="D295" s="17" t="s">
        <v>259</v>
      </c>
      <c r="E295" s="18" t="s">
        <v>6</v>
      </c>
      <c r="F295" s="25">
        <v>2035</v>
      </c>
      <c r="G295" s="26">
        <v>0</v>
      </c>
    </row>
    <row r="296" spans="1:7" x14ac:dyDescent="0.35">
      <c r="A296" s="9">
        <f xml:space="preserve"> ROW( scalarDataframe[[#This Row],[row_id]] ) - ROW( scalarDataframe[[#Headers],[row_id]] )</f>
        <v>295</v>
      </c>
      <c r="B296" s="11" t="str">
        <f xml:space="preserve"> INDEX( co_scalarInfo[scalarType], MATCH( scalarDataframe[[#This Row],[scalarName]],  co_scalarInfo[scalarName], 0 ) )</f>
        <v>physAdj</v>
      </c>
      <c r="C296" s="46" t="str">
        <f xml:space="preserve"> INDEX( co_scalarInfo[scalarLabel], MATCH( scalarDataframe[[#This Row],[scalarName]], co_scalarInfo[scalarName], 0 ) )</f>
        <v>Southwest Dusts (All Ages)</v>
      </c>
      <c r="D296" s="17" t="s">
        <v>259</v>
      </c>
      <c r="E296" s="18" t="s">
        <v>6</v>
      </c>
      <c r="F296" s="25">
        <v>2040</v>
      </c>
      <c r="G296" s="26">
        <v>0</v>
      </c>
    </row>
    <row r="297" spans="1:7" x14ac:dyDescent="0.35">
      <c r="A297" s="9">
        <f xml:space="preserve"> ROW( scalarDataframe[[#This Row],[row_id]] ) - ROW( scalarDataframe[[#Headers],[row_id]] )</f>
        <v>296</v>
      </c>
      <c r="B297" s="11" t="str">
        <f xml:space="preserve"> INDEX( co_scalarInfo[scalarType], MATCH( scalarDataframe[[#This Row],[scalarName]],  co_scalarInfo[scalarName], 0 ) )</f>
        <v>physAdj</v>
      </c>
      <c r="C297" s="46" t="str">
        <f xml:space="preserve"> INDEX( co_scalarInfo[scalarLabel], MATCH( scalarDataframe[[#This Row],[scalarName]], co_scalarInfo[scalarName], 0 ) )</f>
        <v>Southwest Dusts (All Ages)</v>
      </c>
      <c r="D297" s="17" t="s">
        <v>259</v>
      </c>
      <c r="E297" s="18" t="s">
        <v>6</v>
      </c>
      <c r="F297" s="25">
        <v>2045</v>
      </c>
      <c r="G297" s="26">
        <v>0</v>
      </c>
    </row>
    <row r="298" spans="1:7" x14ac:dyDescent="0.35">
      <c r="A298" s="9">
        <f xml:space="preserve"> ROW( scalarDataframe[[#This Row],[row_id]] ) - ROW( scalarDataframe[[#Headers],[row_id]] )</f>
        <v>297</v>
      </c>
      <c r="B298" s="11" t="str">
        <f xml:space="preserve"> INDEX( co_scalarInfo[scalarType], MATCH( scalarDataframe[[#This Row],[scalarName]],  co_scalarInfo[scalarName], 0 ) )</f>
        <v>physAdj</v>
      </c>
      <c r="C298" s="46" t="str">
        <f xml:space="preserve"> INDEX( co_scalarInfo[scalarLabel], MATCH( scalarDataframe[[#This Row],[scalarName]], co_scalarInfo[scalarName], 0 ) )</f>
        <v>Southwest Dusts (All Ages)</v>
      </c>
      <c r="D298" s="17" t="s">
        <v>259</v>
      </c>
      <c r="E298" s="18" t="s">
        <v>6</v>
      </c>
      <c r="F298" s="25">
        <v>2050</v>
      </c>
      <c r="G298" s="26">
        <v>0</v>
      </c>
    </row>
    <row r="299" spans="1:7" x14ac:dyDescent="0.35">
      <c r="A299" s="9">
        <f xml:space="preserve"> ROW( scalarDataframe[[#This Row],[row_id]] ) - ROW( scalarDataframe[[#Headers],[row_id]] )</f>
        <v>298</v>
      </c>
      <c r="B299" s="11" t="str">
        <f xml:space="preserve"> INDEX( co_scalarInfo[scalarType], MATCH( scalarDataframe[[#This Row],[scalarName]],  co_scalarInfo[scalarName], 0 ) )</f>
        <v>physAdj</v>
      </c>
      <c r="C299" s="46" t="str">
        <f xml:space="preserve"> INDEX( co_scalarInfo[scalarLabel], MATCH( scalarDataframe[[#This Row],[scalarName]], co_scalarInfo[scalarName], 0 ) )</f>
        <v>Southwest Dusts (All Ages)</v>
      </c>
      <c r="D299" s="17" t="s">
        <v>259</v>
      </c>
      <c r="E299" s="18" t="s">
        <v>6</v>
      </c>
      <c r="F299" s="25">
        <v>2055</v>
      </c>
      <c r="G299" s="26">
        <v>0</v>
      </c>
    </row>
    <row r="300" spans="1:7" x14ac:dyDescent="0.35">
      <c r="A300" s="9">
        <f xml:space="preserve"> ROW( scalarDataframe[[#This Row],[row_id]] ) - ROW( scalarDataframe[[#Headers],[row_id]] )</f>
        <v>299</v>
      </c>
      <c r="B300" s="11" t="str">
        <f xml:space="preserve"> INDEX( co_scalarInfo[scalarType], MATCH( scalarDataframe[[#This Row],[scalarName]],  co_scalarInfo[scalarName], 0 ) )</f>
        <v>physAdj</v>
      </c>
      <c r="C300" s="46" t="str">
        <f xml:space="preserve"> INDEX( co_scalarInfo[scalarLabel], MATCH( scalarDataframe[[#This Row],[scalarName]], co_scalarInfo[scalarName], 0 ) )</f>
        <v>Southwest Dusts (All Ages)</v>
      </c>
      <c r="D300" s="17" t="s">
        <v>259</v>
      </c>
      <c r="E300" s="18" t="s">
        <v>6</v>
      </c>
      <c r="F300" s="25">
        <v>2060</v>
      </c>
      <c r="G300" s="26">
        <v>0</v>
      </c>
    </row>
    <row r="301" spans="1:7" x14ac:dyDescent="0.35">
      <c r="A301" s="9">
        <f xml:space="preserve"> ROW( scalarDataframe[[#This Row],[row_id]] ) - ROW( scalarDataframe[[#Headers],[row_id]] )</f>
        <v>300</v>
      </c>
      <c r="B301" s="11" t="str">
        <f xml:space="preserve"> INDEX( co_scalarInfo[scalarType], MATCH( scalarDataframe[[#This Row],[scalarName]],  co_scalarInfo[scalarName], 0 ) )</f>
        <v>physAdj</v>
      </c>
      <c r="C301" s="46" t="str">
        <f xml:space="preserve"> INDEX( co_scalarInfo[scalarLabel], MATCH( scalarDataframe[[#This Row],[scalarName]], co_scalarInfo[scalarName], 0 ) )</f>
        <v>Southwest Dusts (All Ages)</v>
      </c>
      <c r="D301" s="17" t="s">
        <v>259</v>
      </c>
      <c r="E301" s="18" t="s">
        <v>6</v>
      </c>
      <c r="F301" s="25">
        <v>2065</v>
      </c>
      <c r="G301" s="26">
        <v>0</v>
      </c>
    </row>
    <row r="302" spans="1:7" x14ac:dyDescent="0.35">
      <c r="A302" s="9">
        <f xml:space="preserve"> ROW( scalarDataframe[[#This Row],[row_id]] ) - ROW( scalarDataframe[[#Headers],[row_id]] )</f>
        <v>301</v>
      </c>
      <c r="B302" s="11" t="str">
        <f xml:space="preserve"> INDEX( co_scalarInfo[scalarType], MATCH( scalarDataframe[[#This Row],[scalarName]],  co_scalarInfo[scalarName], 0 ) )</f>
        <v>physAdj</v>
      </c>
      <c r="C302" s="46" t="str">
        <f xml:space="preserve"> INDEX( co_scalarInfo[scalarLabel], MATCH( scalarDataframe[[#This Row],[scalarName]], co_scalarInfo[scalarName], 0 ) )</f>
        <v>Southwest Dusts (All Ages)</v>
      </c>
      <c r="D302" s="17" t="s">
        <v>259</v>
      </c>
      <c r="E302" s="18" t="s">
        <v>6</v>
      </c>
      <c r="F302" s="25">
        <v>2070</v>
      </c>
      <c r="G302" s="26">
        <v>0</v>
      </c>
    </row>
    <row r="303" spans="1:7" x14ac:dyDescent="0.35">
      <c r="A303" s="9">
        <f xml:space="preserve"> ROW( scalarDataframe[[#This Row],[row_id]] ) - ROW( scalarDataframe[[#Headers],[row_id]] )</f>
        <v>302</v>
      </c>
      <c r="B303" s="11" t="str">
        <f xml:space="preserve"> INDEX( co_scalarInfo[scalarType], MATCH( scalarDataframe[[#This Row],[scalarName]],  co_scalarInfo[scalarName], 0 ) )</f>
        <v>physAdj</v>
      </c>
      <c r="C303" s="46" t="str">
        <f xml:space="preserve"> INDEX( co_scalarInfo[scalarLabel], MATCH( scalarDataframe[[#This Row],[scalarName]], co_scalarInfo[scalarName], 0 ) )</f>
        <v>Southwest Dusts (All Ages)</v>
      </c>
      <c r="D303" s="17" t="s">
        <v>259</v>
      </c>
      <c r="E303" s="18" t="s">
        <v>6</v>
      </c>
      <c r="F303" s="25">
        <v>2075</v>
      </c>
      <c r="G303" s="26">
        <v>0</v>
      </c>
    </row>
    <row r="304" spans="1:7" x14ac:dyDescent="0.35">
      <c r="A304" s="9">
        <f xml:space="preserve"> ROW( scalarDataframe[[#This Row],[row_id]] ) - ROW( scalarDataframe[[#Headers],[row_id]] )</f>
        <v>303</v>
      </c>
      <c r="B304" s="11" t="str">
        <f xml:space="preserve"> INDEX( co_scalarInfo[scalarType], MATCH( scalarDataframe[[#This Row],[scalarName]],  co_scalarInfo[scalarName], 0 ) )</f>
        <v>physAdj</v>
      </c>
      <c r="C304" s="46" t="str">
        <f xml:space="preserve"> INDEX( co_scalarInfo[scalarLabel], MATCH( scalarDataframe[[#This Row],[scalarName]], co_scalarInfo[scalarName], 0 ) )</f>
        <v>Southwest Dusts (All Ages)</v>
      </c>
      <c r="D304" s="17" t="s">
        <v>259</v>
      </c>
      <c r="E304" s="18" t="s">
        <v>6</v>
      </c>
      <c r="F304" s="25">
        <v>2080</v>
      </c>
      <c r="G304" s="26">
        <v>0</v>
      </c>
    </row>
    <row r="305" spans="1:7" x14ac:dyDescent="0.35">
      <c r="A305" s="9">
        <f xml:space="preserve"> ROW( scalarDataframe[[#This Row],[row_id]] ) - ROW( scalarDataframe[[#Headers],[row_id]] )</f>
        <v>304</v>
      </c>
      <c r="B305" s="11" t="str">
        <f xml:space="preserve"> INDEX( co_scalarInfo[scalarType], MATCH( scalarDataframe[[#This Row],[scalarName]],  co_scalarInfo[scalarName], 0 ) )</f>
        <v>physAdj</v>
      </c>
      <c r="C305" s="46" t="str">
        <f xml:space="preserve"> INDEX( co_scalarInfo[scalarLabel], MATCH( scalarDataframe[[#This Row],[scalarName]], co_scalarInfo[scalarName], 0 ) )</f>
        <v>Southwest Dusts (All Ages)</v>
      </c>
      <c r="D305" s="17" t="s">
        <v>259</v>
      </c>
      <c r="E305" s="18" t="s">
        <v>6</v>
      </c>
      <c r="F305" s="25">
        <v>2085</v>
      </c>
      <c r="G305" s="26">
        <v>0</v>
      </c>
    </row>
    <row r="306" spans="1:7" x14ac:dyDescent="0.35">
      <c r="A306" s="9">
        <f xml:space="preserve"> ROW( scalarDataframe[[#This Row],[row_id]] ) - ROW( scalarDataframe[[#Headers],[row_id]] )</f>
        <v>305</v>
      </c>
      <c r="B306" s="11" t="str">
        <f xml:space="preserve"> INDEX( co_scalarInfo[scalarType], MATCH( scalarDataframe[[#This Row],[scalarName]],  co_scalarInfo[scalarName], 0 ) )</f>
        <v>physAdj</v>
      </c>
      <c r="C306" s="46" t="str">
        <f xml:space="preserve"> INDEX( co_scalarInfo[scalarLabel], MATCH( scalarDataframe[[#This Row],[scalarName]], co_scalarInfo[scalarName], 0 ) )</f>
        <v>Southwest Dusts (All Ages)</v>
      </c>
      <c r="D306" s="17" t="s">
        <v>259</v>
      </c>
      <c r="E306" s="18" t="s">
        <v>6</v>
      </c>
      <c r="F306" s="25">
        <v>2090</v>
      </c>
      <c r="G306" s="26">
        <v>0</v>
      </c>
    </row>
    <row r="307" spans="1:7" x14ac:dyDescent="0.35">
      <c r="A307" s="9">
        <f xml:space="preserve"> ROW( scalarDataframe[[#This Row],[row_id]] ) - ROW( scalarDataframe[[#Headers],[row_id]] )</f>
        <v>306</v>
      </c>
      <c r="B307" s="11" t="str">
        <f xml:space="preserve"> INDEX( co_scalarInfo[scalarType], MATCH( scalarDataframe[[#This Row],[scalarName]],  co_scalarInfo[scalarName], 0 ) )</f>
        <v>physAdj</v>
      </c>
      <c r="C307" s="46" t="str">
        <f xml:space="preserve"> INDEX( co_scalarInfo[scalarLabel], MATCH( scalarDataframe[[#This Row],[scalarName]], co_scalarInfo[scalarName], 0 ) )</f>
        <v>Southwest Dusts (All Ages)</v>
      </c>
      <c r="D307" s="17" t="s">
        <v>259</v>
      </c>
      <c r="E307" s="18" t="s">
        <v>7</v>
      </c>
      <c r="F307" s="25">
        <v>2010</v>
      </c>
      <c r="G307" s="26">
        <v>0</v>
      </c>
    </row>
    <row r="308" spans="1:7" x14ac:dyDescent="0.35">
      <c r="A308" s="9">
        <f xml:space="preserve"> ROW( scalarDataframe[[#This Row],[row_id]] ) - ROW( scalarDataframe[[#Headers],[row_id]] )</f>
        <v>307</v>
      </c>
      <c r="B308" s="11" t="str">
        <f xml:space="preserve"> INDEX( co_scalarInfo[scalarType], MATCH( scalarDataframe[[#This Row],[scalarName]],  co_scalarInfo[scalarName], 0 ) )</f>
        <v>physAdj</v>
      </c>
      <c r="C308" s="46" t="str">
        <f xml:space="preserve"> INDEX( co_scalarInfo[scalarLabel], MATCH( scalarDataframe[[#This Row],[scalarName]], co_scalarInfo[scalarName], 0 ) )</f>
        <v>Southwest Dusts (All Ages)</v>
      </c>
      <c r="D308" s="17" t="s">
        <v>259</v>
      </c>
      <c r="E308" s="18" t="s">
        <v>7</v>
      </c>
      <c r="F308" s="25">
        <v>2015</v>
      </c>
      <c r="G308" s="26">
        <v>0</v>
      </c>
    </row>
    <row r="309" spans="1:7" x14ac:dyDescent="0.35">
      <c r="A309" s="9">
        <f xml:space="preserve"> ROW( scalarDataframe[[#This Row],[row_id]] ) - ROW( scalarDataframe[[#Headers],[row_id]] )</f>
        <v>308</v>
      </c>
      <c r="B309" s="11" t="str">
        <f xml:space="preserve"> INDEX( co_scalarInfo[scalarType], MATCH( scalarDataframe[[#This Row],[scalarName]],  co_scalarInfo[scalarName], 0 ) )</f>
        <v>physAdj</v>
      </c>
      <c r="C309" s="46" t="str">
        <f xml:space="preserve"> INDEX( co_scalarInfo[scalarLabel], MATCH( scalarDataframe[[#This Row],[scalarName]], co_scalarInfo[scalarName], 0 ) )</f>
        <v>Southwest Dusts (All Ages)</v>
      </c>
      <c r="D309" s="17" t="s">
        <v>259</v>
      </c>
      <c r="E309" s="18" t="s">
        <v>7</v>
      </c>
      <c r="F309" s="25">
        <v>2020</v>
      </c>
      <c r="G309" s="26">
        <v>0</v>
      </c>
    </row>
    <row r="310" spans="1:7" x14ac:dyDescent="0.35">
      <c r="A310" s="9">
        <f xml:space="preserve"> ROW( scalarDataframe[[#This Row],[row_id]] ) - ROW( scalarDataframe[[#Headers],[row_id]] )</f>
        <v>309</v>
      </c>
      <c r="B310" s="11" t="str">
        <f xml:space="preserve"> INDEX( co_scalarInfo[scalarType], MATCH( scalarDataframe[[#This Row],[scalarName]],  co_scalarInfo[scalarName], 0 ) )</f>
        <v>physAdj</v>
      </c>
      <c r="C310" s="46" t="str">
        <f xml:space="preserve"> INDEX( co_scalarInfo[scalarLabel], MATCH( scalarDataframe[[#This Row],[scalarName]], co_scalarInfo[scalarName], 0 ) )</f>
        <v>Southwest Dusts (All Ages)</v>
      </c>
      <c r="D310" s="17" t="s">
        <v>259</v>
      </c>
      <c r="E310" s="18" t="s">
        <v>7</v>
      </c>
      <c r="F310" s="25">
        <v>2025</v>
      </c>
      <c r="G310" s="26">
        <v>0</v>
      </c>
    </row>
    <row r="311" spans="1:7" x14ac:dyDescent="0.35">
      <c r="A311" s="9">
        <f xml:space="preserve"> ROW( scalarDataframe[[#This Row],[row_id]] ) - ROW( scalarDataframe[[#Headers],[row_id]] )</f>
        <v>310</v>
      </c>
      <c r="B311" s="11" t="str">
        <f xml:space="preserve"> INDEX( co_scalarInfo[scalarType], MATCH( scalarDataframe[[#This Row],[scalarName]],  co_scalarInfo[scalarName], 0 ) )</f>
        <v>physAdj</v>
      </c>
      <c r="C311" s="46" t="str">
        <f xml:space="preserve"> INDEX( co_scalarInfo[scalarLabel], MATCH( scalarDataframe[[#This Row],[scalarName]], co_scalarInfo[scalarName], 0 ) )</f>
        <v>Southwest Dusts (All Ages)</v>
      </c>
      <c r="D311" s="17" t="s">
        <v>259</v>
      </c>
      <c r="E311" s="18" t="s">
        <v>7</v>
      </c>
      <c r="F311" s="25">
        <v>2030</v>
      </c>
      <c r="G311" s="26">
        <v>0</v>
      </c>
    </row>
    <row r="312" spans="1:7" x14ac:dyDescent="0.35">
      <c r="A312" s="9">
        <f xml:space="preserve"> ROW( scalarDataframe[[#This Row],[row_id]] ) - ROW( scalarDataframe[[#Headers],[row_id]] )</f>
        <v>311</v>
      </c>
      <c r="B312" s="11" t="str">
        <f xml:space="preserve"> INDEX( co_scalarInfo[scalarType], MATCH( scalarDataframe[[#This Row],[scalarName]],  co_scalarInfo[scalarName], 0 ) )</f>
        <v>physAdj</v>
      </c>
      <c r="C312" s="46" t="str">
        <f xml:space="preserve"> INDEX( co_scalarInfo[scalarLabel], MATCH( scalarDataframe[[#This Row],[scalarName]], co_scalarInfo[scalarName], 0 ) )</f>
        <v>Southwest Dusts (All Ages)</v>
      </c>
      <c r="D312" s="17" t="s">
        <v>259</v>
      </c>
      <c r="E312" s="18" t="s">
        <v>7</v>
      </c>
      <c r="F312" s="25">
        <v>2035</v>
      </c>
      <c r="G312" s="26">
        <v>0</v>
      </c>
    </row>
    <row r="313" spans="1:7" x14ac:dyDescent="0.35">
      <c r="A313" s="9">
        <f xml:space="preserve"> ROW( scalarDataframe[[#This Row],[row_id]] ) - ROW( scalarDataframe[[#Headers],[row_id]] )</f>
        <v>312</v>
      </c>
      <c r="B313" s="11" t="str">
        <f xml:space="preserve"> INDEX( co_scalarInfo[scalarType], MATCH( scalarDataframe[[#This Row],[scalarName]],  co_scalarInfo[scalarName], 0 ) )</f>
        <v>physAdj</v>
      </c>
      <c r="C313" s="46" t="str">
        <f xml:space="preserve"> INDEX( co_scalarInfo[scalarLabel], MATCH( scalarDataframe[[#This Row],[scalarName]], co_scalarInfo[scalarName], 0 ) )</f>
        <v>Southwest Dusts (All Ages)</v>
      </c>
      <c r="D313" s="17" t="s">
        <v>259</v>
      </c>
      <c r="E313" s="18" t="s">
        <v>7</v>
      </c>
      <c r="F313" s="25">
        <v>2040</v>
      </c>
      <c r="G313" s="26">
        <v>0</v>
      </c>
    </row>
    <row r="314" spans="1:7" x14ac:dyDescent="0.35">
      <c r="A314" s="9">
        <f xml:space="preserve"> ROW( scalarDataframe[[#This Row],[row_id]] ) - ROW( scalarDataframe[[#Headers],[row_id]] )</f>
        <v>313</v>
      </c>
      <c r="B314" s="11" t="str">
        <f xml:space="preserve"> INDEX( co_scalarInfo[scalarType], MATCH( scalarDataframe[[#This Row],[scalarName]],  co_scalarInfo[scalarName], 0 ) )</f>
        <v>physAdj</v>
      </c>
      <c r="C314" s="46" t="str">
        <f xml:space="preserve"> INDEX( co_scalarInfo[scalarLabel], MATCH( scalarDataframe[[#This Row],[scalarName]], co_scalarInfo[scalarName], 0 ) )</f>
        <v>Southwest Dusts (All Ages)</v>
      </c>
      <c r="D314" s="17" t="s">
        <v>259</v>
      </c>
      <c r="E314" s="18" t="s">
        <v>7</v>
      </c>
      <c r="F314" s="25">
        <v>2045</v>
      </c>
      <c r="G314" s="26">
        <v>0</v>
      </c>
    </row>
    <row r="315" spans="1:7" x14ac:dyDescent="0.35">
      <c r="A315" s="9">
        <f xml:space="preserve"> ROW( scalarDataframe[[#This Row],[row_id]] ) - ROW( scalarDataframe[[#Headers],[row_id]] )</f>
        <v>314</v>
      </c>
      <c r="B315" s="11" t="str">
        <f xml:space="preserve"> INDEX( co_scalarInfo[scalarType], MATCH( scalarDataframe[[#This Row],[scalarName]],  co_scalarInfo[scalarName], 0 ) )</f>
        <v>physAdj</v>
      </c>
      <c r="C315" s="46" t="str">
        <f xml:space="preserve"> INDEX( co_scalarInfo[scalarLabel], MATCH( scalarDataframe[[#This Row],[scalarName]], co_scalarInfo[scalarName], 0 ) )</f>
        <v>Southwest Dusts (All Ages)</v>
      </c>
      <c r="D315" s="17" t="s">
        <v>259</v>
      </c>
      <c r="E315" s="18" t="s">
        <v>7</v>
      </c>
      <c r="F315" s="25">
        <v>2050</v>
      </c>
      <c r="G315" s="26">
        <v>0</v>
      </c>
    </row>
    <row r="316" spans="1:7" x14ac:dyDescent="0.35">
      <c r="A316" s="9">
        <f xml:space="preserve"> ROW( scalarDataframe[[#This Row],[row_id]] ) - ROW( scalarDataframe[[#Headers],[row_id]] )</f>
        <v>315</v>
      </c>
      <c r="B316" s="11" t="str">
        <f xml:space="preserve"> INDEX( co_scalarInfo[scalarType], MATCH( scalarDataframe[[#This Row],[scalarName]],  co_scalarInfo[scalarName], 0 ) )</f>
        <v>physAdj</v>
      </c>
      <c r="C316" s="46" t="str">
        <f xml:space="preserve"> INDEX( co_scalarInfo[scalarLabel], MATCH( scalarDataframe[[#This Row],[scalarName]], co_scalarInfo[scalarName], 0 ) )</f>
        <v>Southwest Dusts (All Ages)</v>
      </c>
      <c r="D316" s="17" t="s">
        <v>259</v>
      </c>
      <c r="E316" s="18" t="s">
        <v>7</v>
      </c>
      <c r="F316" s="25">
        <v>2055</v>
      </c>
      <c r="G316" s="26">
        <v>0</v>
      </c>
    </row>
    <row r="317" spans="1:7" x14ac:dyDescent="0.35">
      <c r="A317" s="9">
        <f xml:space="preserve"> ROW( scalarDataframe[[#This Row],[row_id]] ) - ROW( scalarDataframe[[#Headers],[row_id]] )</f>
        <v>316</v>
      </c>
      <c r="B317" s="11" t="str">
        <f xml:space="preserve"> INDEX( co_scalarInfo[scalarType], MATCH( scalarDataframe[[#This Row],[scalarName]],  co_scalarInfo[scalarName], 0 ) )</f>
        <v>physAdj</v>
      </c>
      <c r="C317" s="46" t="str">
        <f xml:space="preserve"> INDEX( co_scalarInfo[scalarLabel], MATCH( scalarDataframe[[#This Row],[scalarName]], co_scalarInfo[scalarName], 0 ) )</f>
        <v>Southwest Dusts (All Ages)</v>
      </c>
      <c r="D317" s="17" t="s">
        <v>259</v>
      </c>
      <c r="E317" s="18" t="s">
        <v>7</v>
      </c>
      <c r="F317" s="25">
        <v>2060</v>
      </c>
      <c r="G317" s="26">
        <v>0</v>
      </c>
    </row>
    <row r="318" spans="1:7" x14ac:dyDescent="0.35">
      <c r="A318" s="9">
        <f xml:space="preserve"> ROW( scalarDataframe[[#This Row],[row_id]] ) - ROW( scalarDataframe[[#Headers],[row_id]] )</f>
        <v>317</v>
      </c>
      <c r="B318" s="11" t="str">
        <f xml:space="preserve"> INDEX( co_scalarInfo[scalarType], MATCH( scalarDataframe[[#This Row],[scalarName]],  co_scalarInfo[scalarName], 0 ) )</f>
        <v>physAdj</v>
      </c>
      <c r="C318" s="46" t="str">
        <f xml:space="preserve"> INDEX( co_scalarInfo[scalarLabel], MATCH( scalarDataframe[[#This Row],[scalarName]], co_scalarInfo[scalarName], 0 ) )</f>
        <v>Southwest Dusts (All Ages)</v>
      </c>
      <c r="D318" s="17" t="s">
        <v>259</v>
      </c>
      <c r="E318" s="18" t="s">
        <v>7</v>
      </c>
      <c r="F318" s="25">
        <v>2065</v>
      </c>
      <c r="G318" s="26">
        <v>0</v>
      </c>
    </row>
    <row r="319" spans="1:7" x14ac:dyDescent="0.35">
      <c r="A319" s="9">
        <f xml:space="preserve"> ROW( scalarDataframe[[#This Row],[row_id]] ) - ROW( scalarDataframe[[#Headers],[row_id]] )</f>
        <v>318</v>
      </c>
      <c r="B319" s="11" t="str">
        <f xml:space="preserve"> INDEX( co_scalarInfo[scalarType], MATCH( scalarDataframe[[#This Row],[scalarName]],  co_scalarInfo[scalarName], 0 ) )</f>
        <v>physAdj</v>
      </c>
      <c r="C319" s="46" t="str">
        <f xml:space="preserve"> INDEX( co_scalarInfo[scalarLabel], MATCH( scalarDataframe[[#This Row],[scalarName]], co_scalarInfo[scalarName], 0 ) )</f>
        <v>Southwest Dusts (All Ages)</v>
      </c>
      <c r="D319" s="17" t="s">
        <v>259</v>
      </c>
      <c r="E319" s="18" t="s">
        <v>7</v>
      </c>
      <c r="F319" s="25">
        <v>2070</v>
      </c>
      <c r="G319" s="26">
        <v>0</v>
      </c>
    </row>
    <row r="320" spans="1:7" x14ac:dyDescent="0.35">
      <c r="A320" s="9">
        <f xml:space="preserve"> ROW( scalarDataframe[[#This Row],[row_id]] ) - ROW( scalarDataframe[[#Headers],[row_id]] )</f>
        <v>319</v>
      </c>
      <c r="B320" s="11" t="str">
        <f xml:space="preserve"> INDEX( co_scalarInfo[scalarType], MATCH( scalarDataframe[[#This Row],[scalarName]],  co_scalarInfo[scalarName], 0 ) )</f>
        <v>physAdj</v>
      </c>
      <c r="C320" s="46" t="str">
        <f xml:space="preserve"> INDEX( co_scalarInfo[scalarLabel], MATCH( scalarDataframe[[#This Row],[scalarName]], co_scalarInfo[scalarName], 0 ) )</f>
        <v>Southwest Dusts (All Ages)</v>
      </c>
      <c r="D320" s="17" t="s">
        <v>259</v>
      </c>
      <c r="E320" s="18" t="s">
        <v>7</v>
      </c>
      <c r="F320" s="25">
        <v>2075</v>
      </c>
      <c r="G320" s="26">
        <v>0</v>
      </c>
    </row>
    <row r="321" spans="1:7" x14ac:dyDescent="0.35">
      <c r="A321" s="9">
        <f xml:space="preserve"> ROW( scalarDataframe[[#This Row],[row_id]] ) - ROW( scalarDataframe[[#Headers],[row_id]] )</f>
        <v>320</v>
      </c>
      <c r="B321" s="11" t="str">
        <f xml:space="preserve"> INDEX( co_scalarInfo[scalarType], MATCH( scalarDataframe[[#This Row],[scalarName]],  co_scalarInfo[scalarName], 0 ) )</f>
        <v>physAdj</v>
      </c>
      <c r="C321" s="46" t="str">
        <f xml:space="preserve"> INDEX( co_scalarInfo[scalarLabel], MATCH( scalarDataframe[[#This Row],[scalarName]], co_scalarInfo[scalarName], 0 ) )</f>
        <v>Southwest Dusts (All Ages)</v>
      </c>
      <c r="D321" s="17" t="s">
        <v>259</v>
      </c>
      <c r="E321" s="18" t="s">
        <v>7</v>
      </c>
      <c r="F321" s="25">
        <v>2080</v>
      </c>
      <c r="G321" s="26">
        <v>0</v>
      </c>
    </row>
    <row r="322" spans="1:7" x14ac:dyDescent="0.35">
      <c r="A322" s="9">
        <f xml:space="preserve"> ROW( scalarDataframe[[#This Row],[row_id]] ) - ROW( scalarDataframe[[#Headers],[row_id]] )</f>
        <v>321</v>
      </c>
      <c r="B322" s="11" t="str">
        <f xml:space="preserve"> INDEX( co_scalarInfo[scalarType], MATCH( scalarDataframe[[#This Row],[scalarName]],  co_scalarInfo[scalarName], 0 ) )</f>
        <v>physAdj</v>
      </c>
      <c r="C322" s="46" t="str">
        <f xml:space="preserve"> INDEX( co_scalarInfo[scalarLabel], MATCH( scalarDataframe[[#This Row],[scalarName]], co_scalarInfo[scalarName], 0 ) )</f>
        <v>Southwest Dusts (All Ages)</v>
      </c>
      <c r="D322" s="17" t="s">
        <v>259</v>
      </c>
      <c r="E322" s="18" t="s">
        <v>7</v>
      </c>
      <c r="F322" s="25">
        <v>2085</v>
      </c>
      <c r="G322" s="26">
        <v>0</v>
      </c>
    </row>
    <row r="323" spans="1:7" x14ac:dyDescent="0.35">
      <c r="A323" s="9">
        <f xml:space="preserve"> ROW( scalarDataframe[[#This Row],[row_id]] ) - ROW( scalarDataframe[[#Headers],[row_id]] )</f>
        <v>322</v>
      </c>
      <c r="B323" s="11" t="str">
        <f xml:space="preserve"> INDEX( co_scalarInfo[scalarType], MATCH( scalarDataframe[[#This Row],[scalarName]],  co_scalarInfo[scalarName], 0 ) )</f>
        <v>physAdj</v>
      </c>
      <c r="C323" s="46" t="str">
        <f xml:space="preserve"> INDEX( co_scalarInfo[scalarLabel], MATCH( scalarDataframe[[#This Row],[scalarName]], co_scalarInfo[scalarName], 0 ) )</f>
        <v>Southwest Dusts (All Ages)</v>
      </c>
      <c r="D323" s="17" t="s">
        <v>259</v>
      </c>
      <c r="E323" s="18" t="s">
        <v>7</v>
      </c>
      <c r="F323" s="25">
        <v>2090</v>
      </c>
      <c r="G323" s="26">
        <v>0</v>
      </c>
    </row>
    <row r="324" spans="1:7" x14ac:dyDescent="0.35">
      <c r="A324" s="9">
        <f xml:space="preserve"> ROW( scalarDataframe[[#This Row],[row_id]] ) - ROW( scalarDataframe[[#Headers],[row_id]] )</f>
        <v>323</v>
      </c>
      <c r="B324" s="11" t="str">
        <f xml:space="preserve"> INDEX( co_scalarInfo[scalarType], MATCH( scalarDataframe[[#This Row],[scalarName]],  co_scalarInfo[scalarName], 0 ) )</f>
        <v>physAdj</v>
      </c>
      <c r="C324" s="46" t="str">
        <f xml:space="preserve"> INDEX( co_scalarInfo[scalarLabel], MATCH( scalarDataframe[[#This Row],[scalarName]], co_scalarInfo[scalarName], 0 ) )</f>
        <v>Southwest Dusts (All Ages)</v>
      </c>
      <c r="D324" s="17" t="s">
        <v>259</v>
      </c>
      <c r="E324" s="18" t="s">
        <v>8</v>
      </c>
      <c r="F324" s="25">
        <v>2010</v>
      </c>
      <c r="G324" s="26">
        <v>0</v>
      </c>
    </row>
    <row r="325" spans="1:7" x14ac:dyDescent="0.35">
      <c r="A325" s="9">
        <f xml:space="preserve"> ROW( scalarDataframe[[#This Row],[row_id]] ) - ROW( scalarDataframe[[#Headers],[row_id]] )</f>
        <v>324</v>
      </c>
      <c r="B325" s="11" t="str">
        <f xml:space="preserve"> INDEX( co_scalarInfo[scalarType], MATCH( scalarDataframe[[#This Row],[scalarName]],  co_scalarInfo[scalarName], 0 ) )</f>
        <v>physAdj</v>
      </c>
      <c r="C325" s="46" t="str">
        <f xml:space="preserve"> INDEX( co_scalarInfo[scalarLabel], MATCH( scalarDataframe[[#This Row],[scalarName]], co_scalarInfo[scalarName], 0 ) )</f>
        <v>Southwest Dusts (All Ages)</v>
      </c>
      <c r="D325" s="17" t="s">
        <v>259</v>
      </c>
      <c r="E325" s="18" t="s">
        <v>8</v>
      </c>
      <c r="F325" s="25">
        <v>2015</v>
      </c>
      <c r="G325" s="26">
        <v>0</v>
      </c>
    </row>
    <row r="326" spans="1:7" x14ac:dyDescent="0.35">
      <c r="A326" s="9">
        <f xml:space="preserve"> ROW( scalarDataframe[[#This Row],[row_id]] ) - ROW( scalarDataframe[[#Headers],[row_id]] )</f>
        <v>325</v>
      </c>
      <c r="B326" s="11" t="str">
        <f xml:space="preserve"> INDEX( co_scalarInfo[scalarType], MATCH( scalarDataframe[[#This Row],[scalarName]],  co_scalarInfo[scalarName], 0 ) )</f>
        <v>physAdj</v>
      </c>
      <c r="C326" s="46" t="str">
        <f xml:space="preserve"> INDEX( co_scalarInfo[scalarLabel], MATCH( scalarDataframe[[#This Row],[scalarName]], co_scalarInfo[scalarName], 0 ) )</f>
        <v>Southwest Dusts (All Ages)</v>
      </c>
      <c r="D326" s="17" t="s">
        <v>259</v>
      </c>
      <c r="E326" s="18" t="s">
        <v>8</v>
      </c>
      <c r="F326" s="25">
        <v>2020</v>
      </c>
      <c r="G326" s="26">
        <v>0</v>
      </c>
    </row>
    <row r="327" spans="1:7" x14ac:dyDescent="0.35">
      <c r="A327" s="9">
        <f xml:space="preserve"> ROW( scalarDataframe[[#This Row],[row_id]] ) - ROW( scalarDataframe[[#Headers],[row_id]] )</f>
        <v>326</v>
      </c>
      <c r="B327" s="11" t="str">
        <f xml:space="preserve"> INDEX( co_scalarInfo[scalarType], MATCH( scalarDataframe[[#This Row],[scalarName]],  co_scalarInfo[scalarName], 0 ) )</f>
        <v>physAdj</v>
      </c>
      <c r="C327" s="46" t="str">
        <f xml:space="preserve"> INDEX( co_scalarInfo[scalarLabel], MATCH( scalarDataframe[[#This Row],[scalarName]], co_scalarInfo[scalarName], 0 ) )</f>
        <v>Southwest Dusts (All Ages)</v>
      </c>
      <c r="D327" s="17" t="s">
        <v>259</v>
      </c>
      <c r="E327" s="18" t="s">
        <v>8</v>
      </c>
      <c r="F327" s="25">
        <v>2025</v>
      </c>
      <c r="G327" s="26">
        <v>0</v>
      </c>
    </row>
    <row r="328" spans="1:7" x14ac:dyDescent="0.35">
      <c r="A328" s="9">
        <f xml:space="preserve"> ROW( scalarDataframe[[#This Row],[row_id]] ) - ROW( scalarDataframe[[#Headers],[row_id]] )</f>
        <v>327</v>
      </c>
      <c r="B328" s="11" t="str">
        <f xml:space="preserve"> INDEX( co_scalarInfo[scalarType], MATCH( scalarDataframe[[#This Row],[scalarName]],  co_scalarInfo[scalarName], 0 ) )</f>
        <v>physAdj</v>
      </c>
      <c r="C328" s="46" t="str">
        <f xml:space="preserve"> INDEX( co_scalarInfo[scalarLabel], MATCH( scalarDataframe[[#This Row],[scalarName]], co_scalarInfo[scalarName], 0 ) )</f>
        <v>Southwest Dusts (All Ages)</v>
      </c>
      <c r="D328" s="17" t="s">
        <v>259</v>
      </c>
      <c r="E328" s="18" t="s">
        <v>8</v>
      </c>
      <c r="F328" s="25">
        <v>2030</v>
      </c>
      <c r="G328" s="26">
        <v>0</v>
      </c>
    </row>
    <row r="329" spans="1:7" x14ac:dyDescent="0.35">
      <c r="A329" s="9">
        <f xml:space="preserve"> ROW( scalarDataframe[[#This Row],[row_id]] ) - ROW( scalarDataframe[[#Headers],[row_id]] )</f>
        <v>328</v>
      </c>
      <c r="B329" s="11" t="str">
        <f xml:space="preserve"> INDEX( co_scalarInfo[scalarType], MATCH( scalarDataframe[[#This Row],[scalarName]],  co_scalarInfo[scalarName], 0 ) )</f>
        <v>physAdj</v>
      </c>
      <c r="C329" s="46" t="str">
        <f xml:space="preserve"> INDEX( co_scalarInfo[scalarLabel], MATCH( scalarDataframe[[#This Row],[scalarName]], co_scalarInfo[scalarName], 0 ) )</f>
        <v>Southwest Dusts (All Ages)</v>
      </c>
      <c r="D329" s="17" t="s">
        <v>259</v>
      </c>
      <c r="E329" s="18" t="s">
        <v>8</v>
      </c>
      <c r="F329" s="25">
        <v>2035</v>
      </c>
      <c r="G329" s="26">
        <v>0</v>
      </c>
    </row>
    <row r="330" spans="1:7" x14ac:dyDescent="0.35">
      <c r="A330" s="9">
        <f xml:space="preserve"> ROW( scalarDataframe[[#This Row],[row_id]] ) - ROW( scalarDataframe[[#Headers],[row_id]] )</f>
        <v>329</v>
      </c>
      <c r="B330" s="11" t="str">
        <f xml:space="preserve"> INDEX( co_scalarInfo[scalarType], MATCH( scalarDataframe[[#This Row],[scalarName]],  co_scalarInfo[scalarName], 0 ) )</f>
        <v>physAdj</v>
      </c>
      <c r="C330" s="46" t="str">
        <f xml:space="preserve"> INDEX( co_scalarInfo[scalarLabel], MATCH( scalarDataframe[[#This Row],[scalarName]], co_scalarInfo[scalarName], 0 ) )</f>
        <v>Southwest Dusts (All Ages)</v>
      </c>
      <c r="D330" s="17" t="s">
        <v>259</v>
      </c>
      <c r="E330" s="18" t="s">
        <v>8</v>
      </c>
      <c r="F330" s="25">
        <v>2040</v>
      </c>
      <c r="G330" s="26">
        <v>0</v>
      </c>
    </row>
    <row r="331" spans="1:7" x14ac:dyDescent="0.35">
      <c r="A331" s="9">
        <f xml:space="preserve"> ROW( scalarDataframe[[#This Row],[row_id]] ) - ROW( scalarDataframe[[#Headers],[row_id]] )</f>
        <v>330</v>
      </c>
      <c r="B331" s="11" t="str">
        <f xml:space="preserve"> INDEX( co_scalarInfo[scalarType], MATCH( scalarDataframe[[#This Row],[scalarName]],  co_scalarInfo[scalarName], 0 ) )</f>
        <v>physAdj</v>
      </c>
      <c r="C331" s="46" t="str">
        <f xml:space="preserve"> INDEX( co_scalarInfo[scalarLabel], MATCH( scalarDataframe[[#This Row],[scalarName]], co_scalarInfo[scalarName], 0 ) )</f>
        <v>Southwest Dusts (All Ages)</v>
      </c>
      <c r="D331" s="17" t="s">
        <v>259</v>
      </c>
      <c r="E331" s="18" t="s">
        <v>8</v>
      </c>
      <c r="F331" s="25">
        <v>2045</v>
      </c>
      <c r="G331" s="26">
        <v>0</v>
      </c>
    </row>
    <row r="332" spans="1:7" x14ac:dyDescent="0.35">
      <c r="A332" s="9">
        <f xml:space="preserve"> ROW( scalarDataframe[[#This Row],[row_id]] ) - ROW( scalarDataframe[[#Headers],[row_id]] )</f>
        <v>331</v>
      </c>
      <c r="B332" s="11" t="str">
        <f xml:space="preserve"> INDEX( co_scalarInfo[scalarType], MATCH( scalarDataframe[[#This Row],[scalarName]],  co_scalarInfo[scalarName], 0 ) )</f>
        <v>physAdj</v>
      </c>
      <c r="C332" s="46" t="str">
        <f xml:space="preserve"> INDEX( co_scalarInfo[scalarLabel], MATCH( scalarDataframe[[#This Row],[scalarName]], co_scalarInfo[scalarName], 0 ) )</f>
        <v>Southwest Dusts (All Ages)</v>
      </c>
      <c r="D332" s="17" t="s">
        <v>259</v>
      </c>
      <c r="E332" s="18" t="s">
        <v>8</v>
      </c>
      <c r="F332" s="25">
        <v>2050</v>
      </c>
      <c r="G332" s="26">
        <v>0</v>
      </c>
    </row>
    <row r="333" spans="1:7" x14ac:dyDescent="0.35">
      <c r="A333" s="9">
        <f xml:space="preserve"> ROW( scalarDataframe[[#This Row],[row_id]] ) - ROW( scalarDataframe[[#Headers],[row_id]] )</f>
        <v>332</v>
      </c>
      <c r="B333" s="11" t="str">
        <f xml:space="preserve"> INDEX( co_scalarInfo[scalarType], MATCH( scalarDataframe[[#This Row],[scalarName]],  co_scalarInfo[scalarName], 0 ) )</f>
        <v>physAdj</v>
      </c>
      <c r="C333" s="46" t="str">
        <f xml:space="preserve"> INDEX( co_scalarInfo[scalarLabel], MATCH( scalarDataframe[[#This Row],[scalarName]], co_scalarInfo[scalarName], 0 ) )</f>
        <v>Southwest Dusts (All Ages)</v>
      </c>
      <c r="D333" s="17" t="s">
        <v>259</v>
      </c>
      <c r="E333" s="18" t="s">
        <v>8</v>
      </c>
      <c r="F333" s="25">
        <v>2055</v>
      </c>
      <c r="G333" s="26">
        <v>0</v>
      </c>
    </row>
    <row r="334" spans="1:7" x14ac:dyDescent="0.35">
      <c r="A334" s="9">
        <f xml:space="preserve"> ROW( scalarDataframe[[#This Row],[row_id]] ) - ROW( scalarDataframe[[#Headers],[row_id]] )</f>
        <v>333</v>
      </c>
      <c r="B334" s="11" t="str">
        <f xml:space="preserve"> INDEX( co_scalarInfo[scalarType], MATCH( scalarDataframe[[#This Row],[scalarName]],  co_scalarInfo[scalarName], 0 ) )</f>
        <v>physAdj</v>
      </c>
      <c r="C334" s="46" t="str">
        <f xml:space="preserve"> INDEX( co_scalarInfo[scalarLabel], MATCH( scalarDataframe[[#This Row],[scalarName]], co_scalarInfo[scalarName], 0 ) )</f>
        <v>Southwest Dusts (All Ages)</v>
      </c>
      <c r="D334" s="17" t="s">
        <v>259</v>
      </c>
      <c r="E334" s="18" t="s">
        <v>8</v>
      </c>
      <c r="F334" s="25">
        <v>2060</v>
      </c>
      <c r="G334" s="26">
        <v>0</v>
      </c>
    </row>
    <row r="335" spans="1:7" x14ac:dyDescent="0.35">
      <c r="A335" s="9">
        <f xml:space="preserve"> ROW( scalarDataframe[[#This Row],[row_id]] ) - ROW( scalarDataframe[[#Headers],[row_id]] )</f>
        <v>334</v>
      </c>
      <c r="B335" s="11" t="str">
        <f xml:space="preserve"> INDEX( co_scalarInfo[scalarType], MATCH( scalarDataframe[[#This Row],[scalarName]],  co_scalarInfo[scalarName], 0 ) )</f>
        <v>physAdj</v>
      </c>
      <c r="C335" s="46" t="str">
        <f xml:space="preserve"> INDEX( co_scalarInfo[scalarLabel], MATCH( scalarDataframe[[#This Row],[scalarName]], co_scalarInfo[scalarName], 0 ) )</f>
        <v>Southwest Dusts (All Ages)</v>
      </c>
      <c r="D335" s="17" t="s">
        <v>259</v>
      </c>
      <c r="E335" s="18" t="s">
        <v>8</v>
      </c>
      <c r="F335" s="25">
        <v>2065</v>
      </c>
      <c r="G335" s="26">
        <v>0</v>
      </c>
    </row>
    <row r="336" spans="1:7" x14ac:dyDescent="0.35">
      <c r="A336" s="9">
        <f xml:space="preserve"> ROW( scalarDataframe[[#This Row],[row_id]] ) - ROW( scalarDataframe[[#Headers],[row_id]] )</f>
        <v>335</v>
      </c>
      <c r="B336" s="11" t="str">
        <f xml:space="preserve"> INDEX( co_scalarInfo[scalarType], MATCH( scalarDataframe[[#This Row],[scalarName]],  co_scalarInfo[scalarName], 0 ) )</f>
        <v>physAdj</v>
      </c>
      <c r="C336" s="46" t="str">
        <f xml:space="preserve"> INDEX( co_scalarInfo[scalarLabel], MATCH( scalarDataframe[[#This Row],[scalarName]], co_scalarInfo[scalarName], 0 ) )</f>
        <v>Southwest Dusts (All Ages)</v>
      </c>
      <c r="D336" s="17" t="s">
        <v>259</v>
      </c>
      <c r="E336" s="18" t="s">
        <v>8</v>
      </c>
      <c r="F336" s="25">
        <v>2070</v>
      </c>
      <c r="G336" s="26">
        <v>0</v>
      </c>
    </row>
    <row r="337" spans="1:7" x14ac:dyDescent="0.35">
      <c r="A337" s="9">
        <f xml:space="preserve"> ROW( scalarDataframe[[#This Row],[row_id]] ) - ROW( scalarDataframe[[#Headers],[row_id]] )</f>
        <v>336</v>
      </c>
      <c r="B337" s="11" t="str">
        <f xml:space="preserve"> INDEX( co_scalarInfo[scalarType], MATCH( scalarDataframe[[#This Row],[scalarName]],  co_scalarInfo[scalarName], 0 ) )</f>
        <v>physAdj</v>
      </c>
      <c r="C337" s="46" t="str">
        <f xml:space="preserve"> INDEX( co_scalarInfo[scalarLabel], MATCH( scalarDataframe[[#This Row],[scalarName]], co_scalarInfo[scalarName], 0 ) )</f>
        <v>Southwest Dusts (All Ages)</v>
      </c>
      <c r="D337" s="17" t="s">
        <v>259</v>
      </c>
      <c r="E337" s="18" t="s">
        <v>8</v>
      </c>
      <c r="F337" s="25">
        <v>2075</v>
      </c>
      <c r="G337" s="26">
        <v>0</v>
      </c>
    </row>
    <row r="338" spans="1:7" x14ac:dyDescent="0.35">
      <c r="A338" s="9">
        <f xml:space="preserve"> ROW( scalarDataframe[[#This Row],[row_id]] ) - ROW( scalarDataframe[[#Headers],[row_id]] )</f>
        <v>337</v>
      </c>
      <c r="B338" s="11" t="str">
        <f xml:space="preserve"> INDEX( co_scalarInfo[scalarType], MATCH( scalarDataframe[[#This Row],[scalarName]],  co_scalarInfo[scalarName], 0 ) )</f>
        <v>physAdj</v>
      </c>
      <c r="C338" s="46" t="str">
        <f xml:space="preserve"> INDEX( co_scalarInfo[scalarLabel], MATCH( scalarDataframe[[#This Row],[scalarName]], co_scalarInfo[scalarName], 0 ) )</f>
        <v>Southwest Dusts (All Ages)</v>
      </c>
      <c r="D338" s="17" t="s">
        <v>259</v>
      </c>
      <c r="E338" s="18" t="s">
        <v>8</v>
      </c>
      <c r="F338" s="25">
        <v>2080</v>
      </c>
      <c r="G338" s="26">
        <v>0</v>
      </c>
    </row>
    <row r="339" spans="1:7" x14ac:dyDescent="0.35">
      <c r="A339" s="9">
        <f xml:space="preserve"> ROW( scalarDataframe[[#This Row],[row_id]] ) - ROW( scalarDataframe[[#Headers],[row_id]] )</f>
        <v>338</v>
      </c>
      <c r="B339" s="11" t="str">
        <f xml:space="preserve"> INDEX( co_scalarInfo[scalarType], MATCH( scalarDataframe[[#This Row],[scalarName]],  co_scalarInfo[scalarName], 0 ) )</f>
        <v>physAdj</v>
      </c>
      <c r="C339" s="46" t="str">
        <f xml:space="preserve"> INDEX( co_scalarInfo[scalarLabel], MATCH( scalarDataframe[[#This Row],[scalarName]], co_scalarInfo[scalarName], 0 ) )</f>
        <v>Southwest Dusts (All Ages)</v>
      </c>
      <c r="D339" s="17" t="s">
        <v>259</v>
      </c>
      <c r="E339" s="18" t="s">
        <v>8</v>
      </c>
      <c r="F339" s="25">
        <v>2085</v>
      </c>
      <c r="G339" s="26">
        <v>0</v>
      </c>
    </row>
    <row r="340" spans="1:7" x14ac:dyDescent="0.35">
      <c r="A340" s="9">
        <f xml:space="preserve"> ROW( scalarDataframe[[#This Row],[row_id]] ) - ROW( scalarDataframe[[#Headers],[row_id]] )</f>
        <v>339</v>
      </c>
      <c r="B340" s="11" t="str">
        <f xml:space="preserve"> INDEX( co_scalarInfo[scalarType], MATCH( scalarDataframe[[#This Row],[scalarName]],  co_scalarInfo[scalarName], 0 ) )</f>
        <v>physAdj</v>
      </c>
      <c r="C340" s="46" t="str">
        <f xml:space="preserve"> INDEX( co_scalarInfo[scalarLabel], MATCH( scalarDataframe[[#This Row],[scalarName]], co_scalarInfo[scalarName], 0 ) )</f>
        <v>Southwest Dusts (All Ages)</v>
      </c>
      <c r="D340" s="17" t="s">
        <v>259</v>
      </c>
      <c r="E340" s="18" t="s">
        <v>8</v>
      </c>
      <c r="F340" s="25">
        <v>2090</v>
      </c>
      <c r="G340" s="26">
        <v>0</v>
      </c>
    </row>
    <row r="341" spans="1:7" x14ac:dyDescent="0.35">
      <c r="A341" s="9">
        <f xml:space="preserve"> ROW( scalarDataframe[[#This Row],[row_id]] ) - ROW( scalarDataframe[[#Headers],[row_id]] )</f>
        <v>340</v>
      </c>
      <c r="B341" s="11" t="str">
        <f xml:space="preserve"> INDEX( co_scalarInfo[scalarType], MATCH( scalarDataframe[[#This Row],[scalarName]],  co_scalarInfo[scalarName], 0 ) )</f>
        <v>physAdj</v>
      </c>
      <c r="C341" s="46" t="str">
        <f xml:space="preserve"> INDEX( co_scalarInfo[scalarLabel], MATCH( scalarDataframe[[#This Row],[scalarName]], co_scalarInfo[scalarName], 0 ) )</f>
        <v>Southwest Dusts (All Ages)</v>
      </c>
      <c r="D341" s="17" t="s">
        <v>259</v>
      </c>
      <c r="E341" s="18" t="s">
        <v>9</v>
      </c>
      <c r="F341" s="25">
        <v>2010</v>
      </c>
      <c r="G341" s="26">
        <v>0</v>
      </c>
    </row>
    <row r="342" spans="1:7" x14ac:dyDescent="0.35">
      <c r="A342" s="9">
        <f xml:space="preserve"> ROW( scalarDataframe[[#This Row],[row_id]] ) - ROW( scalarDataframe[[#Headers],[row_id]] )</f>
        <v>341</v>
      </c>
      <c r="B342" s="11" t="str">
        <f xml:space="preserve"> INDEX( co_scalarInfo[scalarType], MATCH( scalarDataframe[[#This Row],[scalarName]],  co_scalarInfo[scalarName], 0 ) )</f>
        <v>physAdj</v>
      </c>
      <c r="C342" s="46" t="str">
        <f xml:space="preserve"> INDEX( co_scalarInfo[scalarLabel], MATCH( scalarDataframe[[#This Row],[scalarName]], co_scalarInfo[scalarName], 0 ) )</f>
        <v>Southwest Dusts (All Ages)</v>
      </c>
      <c r="D342" s="17" t="s">
        <v>259</v>
      </c>
      <c r="E342" s="18" t="s">
        <v>9</v>
      </c>
      <c r="F342" s="25">
        <v>2015</v>
      </c>
      <c r="G342" s="26">
        <v>0</v>
      </c>
    </row>
    <row r="343" spans="1:7" x14ac:dyDescent="0.35">
      <c r="A343" s="9">
        <f xml:space="preserve"> ROW( scalarDataframe[[#This Row],[row_id]] ) - ROW( scalarDataframe[[#Headers],[row_id]] )</f>
        <v>342</v>
      </c>
      <c r="B343" s="11" t="str">
        <f xml:space="preserve"> INDEX( co_scalarInfo[scalarType], MATCH( scalarDataframe[[#This Row],[scalarName]],  co_scalarInfo[scalarName], 0 ) )</f>
        <v>physAdj</v>
      </c>
      <c r="C343" s="46" t="str">
        <f xml:space="preserve"> INDEX( co_scalarInfo[scalarLabel], MATCH( scalarDataframe[[#This Row],[scalarName]], co_scalarInfo[scalarName], 0 ) )</f>
        <v>Southwest Dusts (All Ages)</v>
      </c>
      <c r="D343" s="17" t="s">
        <v>259</v>
      </c>
      <c r="E343" s="18" t="s">
        <v>9</v>
      </c>
      <c r="F343" s="25">
        <v>2020</v>
      </c>
      <c r="G343" s="26">
        <v>0</v>
      </c>
    </row>
    <row r="344" spans="1:7" x14ac:dyDescent="0.35">
      <c r="A344" s="9">
        <f xml:space="preserve"> ROW( scalarDataframe[[#This Row],[row_id]] ) - ROW( scalarDataframe[[#Headers],[row_id]] )</f>
        <v>343</v>
      </c>
      <c r="B344" s="11" t="str">
        <f xml:space="preserve"> INDEX( co_scalarInfo[scalarType], MATCH( scalarDataframe[[#This Row],[scalarName]],  co_scalarInfo[scalarName], 0 ) )</f>
        <v>physAdj</v>
      </c>
      <c r="C344" s="46" t="str">
        <f xml:space="preserve"> INDEX( co_scalarInfo[scalarLabel], MATCH( scalarDataframe[[#This Row],[scalarName]], co_scalarInfo[scalarName], 0 ) )</f>
        <v>Southwest Dusts (All Ages)</v>
      </c>
      <c r="D344" s="17" t="s">
        <v>259</v>
      </c>
      <c r="E344" s="18" t="s">
        <v>9</v>
      </c>
      <c r="F344" s="25">
        <v>2025</v>
      </c>
      <c r="G344" s="26">
        <v>0</v>
      </c>
    </row>
    <row r="345" spans="1:7" x14ac:dyDescent="0.35">
      <c r="A345" s="9">
        <f xml:space="preserve"> ROW( scalarDataframe[[#This Row],[row_id]] ) - ROW( scalarDataframe[[#Headers],[row_id]] )</f>
        <v>344</v>
      </c>
      <c r="B345" s="11" t="str">
        <f xml:space="preserve"> INDEX( co_scalarInfo[scalarType], MATCH( scalarDataframe[[#This Row],[scalarName]],  co_scalarInfo[scalarName], 0 ) )</f>
        <v>physAdj</v>
      </c>
      <c r="C345" s="46" t="str">
        <f xml:space="preserve"> INDEX( co_scalarInfo[scalarLabel], MATCH( scalarDataframe[[#This Row],[scalarName]], co_scalarInfo[scalarName], 0 ) )</f>
        <v>Southwest Dusts (All Ages)</v>
      </c>
      <c r="D345" s="17" t="s">
        <v>259</v>
      </c>
      <c r="E345" s="18" t="s">
        <v>9</v>
      </c>
      <c r="F345" s="25">
        <v>2030</v>
      </c>
      <c r="G345" s="26">
        <v>0</v>
      </c>
    </row>
    <row r="346" spans="1:7" x14ac:dyDescent="0.35">
      <c r="A346" s="9">
        <f xml:space="preserve"> ROW( scalarDataframe[[#This Row],[row_id]] ) - ROW( scalarDataframe[[#Headers],[row_id]] )</f>
        <v>345</v>
      </c>
      <c r="B346" s="11" t="str">
        <f xml:space="preserve"> INDEX( co_scalarInfo[scalarType], MATCH( scalarDataframe[[#This Row],[scalarName]],  co_scalarInfo[scalarName], 0 ) )</f>
        <v>physAdj</v>
      </c>
      <c r="C346" s="46" t="str">
        <f xml:space="preserve"> INDEX( co_scalarInfo[scalarLabel], MATCH( scalarDataframe[[#This Row],[scalarName]], co_scalarInfo[scalarName], 0 ) )</f>
        <v>Southwest Dusts (All Ages)</v>
      </c>
      <c r="D346" s="17" t="s">
        <v>259</v>
      </c>
      <c r="E346" s="18" t="s">
        <v>9</v>
      </c>
      <c r="F346" s="25">
        <v>2035</v>
      </c>
      <c r="G346" s="26">
        <v>0</v>
      </c>
    </row>
    <row r="347" spans="1:7" x14ac:dyDescent="0.35">
      <c r="A347" s="9">
        <f xml:space="preserve"> ROW( scalarDataframe[[#This Row],[row_id]] ) - ROW( scalarDataframe[[#Headers],[row_id]] )</f>
        <v>346</v>
      </c>
      <c r="B347" s="11" t="str">
        <f xml:space="preserve"> INDEX( co_scalarInfo[scalarType], MATCH( scalarDataframe[[#This Row],[scalarName]],  co_scalarInfo[scalarName], 0 ) )</f>
        <v>physAdj</v>
      </c>
      <c r="C347" s="46" t="str">
        <f xml:space="preserve"> INDEX( co_scalarInfo[scalarLabel], MATCH( scalarDataframe[[#This Row],[scalarName]], co_scalarInfo[scalarName], 0 ) )</f>
        <v>Southwest Dusts (All Ages)</v>
      </c>
      <c r="D347" s="17" t="s">
        <v>259</v>
      </c>
      <c r="E347" s="18" t="s">
        <v>9</v>
      </c>
      <c r="F347" s="25">
        <v>2040</v>
      </c>
      <c r="G347" s="26">
        <v>0</v>
      </c>
    </row>
    <row r="348" spans="1:7" x14ac:dyDescent="0.35">
      <c r="A348" s="9">
        <f xml:space="preserve"> ROW( scalarDataframe[[#This Row],[row_id]] ) - ROW( scalarDataframe[[#Headers],[row_id]] )</f>
        <v>347</v>
      </c>
      <c r="B348" s="11" t="str">
        <f xml:space="preserve"> INDEX( co_scalarInfo[scalarType], MATCH( scalarDataframe[[#This Row],[scalarName]],  co_scalarInfo[scalarName], 0 ) )</f>
        <v>physAdj</v>
      </c>
      <c r="C348" s="46" t="str">
        <f xml:space="preserve"> INDEX( co_scalarInfo[scalarLabel], MATCH( scalarDataframe[[#This Row],[scalarName]], co_scalarInfo[scalarName], 0 ) )</f>
        <v>Southwest Dusts (All Ages)</v>
      </c>
      <c r="D348" s="17" t="s">
        <v>259</v>
      </c>
      <c r="E348" s="18" t="s">
        <v>9</v>
      </c>
      <c r="F348" s="25">
        <v>2045</v>
      </c>
      <c r="G348" s="26">
        <v>0</v>
      </c>
    </row>
    <row r="349" spans="1:7" x14ac:dyDescent="0.35">
      <c r="A349" s="9">
        <f xml:space="preserve"> ROW( scalarDataframe[[#This Row],[row_id]] ) - ROW( scalarDataframe[[#Headers],[row_id]] )</f>
        <v>348</v>
      </c>
      <c r="B349" s="11" t="str">
        <f xml:space="preserve"> INDEX( co_scalarInfo[scalarType], MATCH( scalarDataframe[[#This Row],[scalarName]],  co_scalarInfo[scalarName], 0 ) )</f>
        <v>physAdj</v>
      </c>
      <c r="C349" s="46" t="str">
        <f xml:space="preserve"> INDEX( co_scalarInfo[scalarLabel], MATCH( scalarDataframe[[#This Row],[scalarName]], co_scalarInfo[scalarName], 0 ) )</f>
        <v>Southwest Dusts (All Ages)</v>
      </c>
      <c r="D349" s="17" t="s">
        <v>259</v>
      </c>
      <c r="E349" s="18" t="s">
        <v>9</v>
      </c>
      <c r="F349" s="25">
        <v>2050</v>
      </c>
      <c r="G349" s="26">
        <v>0</v>
      </c>
    </row>
    <row r="350" spans="1:7" x14ac:dyDescent="0.35">
      <c r="A350" s="9">
        <f xml:space="preserve"> ROW( scalarDataframe[[#This Row],[row_id]] ) - ROW( scalarDataframe[[#Headers],[row_id]] )</f>
        <v>349</v>
      </c>
      <c r="B350" s="11" t="str">
        <f xml:space="preserve"> INDEX( co_scalarInfo[scalarType], MATCH( scalarDataframe[[#This Row],[scalarName]],  co_scalarInfo[scalarName], 0 ) )</f>
        <v>physAdj</v>
      </c>
      <c r="C350" s="46" t="str">
        <f xml:space="preserve"> INDEX( co_scalarInfo[scalarLabel], MATCH( scalarDataframe[[#This Row],[scalarName]], co_scalarInfo[scalarName], 0 ) )</f>
        <v>Southwest Dusts (All Ages)</v>
      </c>
      <c r="D350" s="17" t="s">
        <v>259</v>
      </c>
      <c r="E350" s="18" t="s">
        <v>9</v>
      </c>
      <c r="F350" s="25">
        <v>2055</v>
      </c>
      <c r="G350" s="26">
        <v>0</v>
      </c>
    </row>
    <row r="351" spans="1:7" x14ac:dyDescent="0.35">
      <c r="A351" s="9">
        <f xml:space="preserve"> ROW( scalarDataframe[[#This Row],[row_id]] ) - ROW( scalarDataframe[[#Headers],[row_id]] )</f>
        <v>350</v>
      </c>
      <c r="B351" s="11" t="str">
        <f xml:space="preserve"> INDEX( co_scalarInfo[scalarType], MATCH( scalarDataframe[[#This Row],[scalarName]],  co_scalarInfo[scalarName], 0 ) )</f>
        <v>physAdj</v>
      </c>
      <c r="C351" s="46" t="str">
        <f xml:space="preserve"> INDEX( co_scalarInfo[scalarLabel], MATCH( scalarDataframe[[#This Row],[scalarName]], co_scalarInfo[scalarName], 0 ) )</f>
        <v>Southwest Dusts (All Ages)</v>
      </c>
      <c r="D351" s="17" t="s">
        <v>259</v>
      </c>
      <c r="E351" s="18" t="s">
        <v>9</v>
      </c>
      <c r="F351" s="25">
        <v>2060</v>
      </c>
      <c r="G351" s="26">
        <v>0</v>
      </c>
    </row>
    <row r="352" spans="1:7" x14ac:dyDescent="0.35">
      <c r="A352" s="9">
        <f xml:space="preserve"> ROW( scalarDataframe[[#This Row],[row_id]] ) - ROW( scalarDataframe[[#Headers],[row_id]] )</f>
        <v>351</v>
      </c>
      <c r="B352" s="11" t="str">
        <f xml:space="preserve"> INDEX( co_scalarInfo[scalarType], MATCH( scalarDataframe[[#This Row],[scalarName]],  co_scalarInfo[scalarName], 0 ) )</f>
        <v>physAdj</v>
      </c>
      <c r="C352" s="46" t="str">
        <f xml:space="preserve"> INDEX( co_scalarInfo[scalarLabel], MATCH( scalarDataframe[[#This Row],[scalarName]], co_scalarInfo[scalarName], 0 ) )</f>
        <v>Southwest Dusts (All Ages)</v>
      </c>
      <c r="D352" s="17" t="s">
        <v>259</v>
      </c>
      <c r="E352" s="18" t="s">
        <v>9</v>
      </c>
      <c r="F352" s="25">
        <v>2065</v>
      </c>
      <c r="G352" s="26">
        <v>0</v>
      </c>
    </row>
    <row r="353" spans="1:7" x14ac:dyDescent="0.35">
      <c r="A353" s="9">
        <f xml:space="preserve"> ROW( scalarDataframe[[#This Row],[row_id]] ) - ROW( scalarDataframe[[#Headers],[row_id]] )</f>
        <v>352</v>
      </c>
      <c r="B353" s="11" t="str">
        <f xml:space="preserve"> INDEX( co_scalarInfo[scalarType], MATCH( scalarDataframe[[#This Row],[scalarName]],  co_scalarInfo[scalarName], 0 ) )</f>
        <v>physAdj</v>
      </c>
      <c r="C353" s="46" t="str">
        <f xml:space="preserve"> INDEX( co_scalarInfo[scalarLabel], MATCH( scalarDataframe[[#This Row],[scalarName]], co_scalarInfo[scalarName], 0 ) )</f>
        <v>Southwest Dusts (All Ages)</v>
      </c>
      <c r="D353" s="17" t="s">
        <v>259</v>
      </c>
      <c r="E353" s="18" t="s">
        <v>9</v>
      </c>
      <c r="F353" s="25">
        <v>2070</v>
      </c>
      <c r="G353" s="26">
        <v>0</v>
      </c>
    </row>
    <row r="354" spans="1:7" x14ac:dyDescent="0.35">
      <c r="A354" s="9">
        <f xml:space="preserve"> ROW( scalarDataframe[[#This Row],[row_id]] ) - ROW( scalarDataframe[[#Headers],[row_id]] )</f>
        <v>353</v>
      </c>
      <c r="B354" s="11" t="str">
        <f xml:space="preserve"> INDEX( co_scalarInfo[scalarType], MATCH( scalarDataframe[[#This Row],[scalarName]],  co_scalarInfo[scalarName], 0 ) )</f>
        <v>physAdj</v>
      </c>
      <c r="C354" s="46" t="str">
        <f xml:space="preserve"> INDEX( co_scalarInfo[scalarLabel], MATCH( scalarDataframe[[#This Row],[scalarName]], co_scalarInfo[scalarName], 0 ) )</f>
        <v>Southwest Dusts (All Ages)</v>
      </c>
      <c r="D354" s="17" t="s">
        <v>259</v>
      </c>
      <c r="E354" s="18" t="s">
        <v>9</v>
      </c>
      <c r="F354" s="25">
        <v>2075</v>
      </c>
      <c r="G354" s="26">
        <v>0</v>
      </c>
    </row>
    <row r="355" spans="1:7" x14ac:dyDescent="0.35">
      <c r="A355" s="9">
        <f xml:space="preserve"> ROW( scalarDataframe[[#This Row],[row_id]] ) - ROW( scalarDataframe[[#Headers],[row_id]] )</f>
        <v>354</v>
      </c>
      <c r="B355" s="11" t="str">
        <f xml:space="preserve"> INDEX( co_scalarInfo[scalarType], MATCH( scalarDataframe[[#This Row],[scalarName]],  co_scalarInfo[scalarName], 0 ) )</f>
        <v>physAdj</v>
      </c>
      <c r="C355" s="46" t="str">
        <f xml:space="preserve"> INDEX( co_scalarInfo[scalarLabel], MATCH( scalarDataframe[[#This Row],[scalarName]], co_scalarInfo[scalarName], 0 ) )</f>
        <v>Southwest Dusts (All Ages)</v>
      </c>
      <c r="D355" s="17" t="s">
        <v>259</v>
      </c>
      <c r="E355" s="18" t="s">
        <v>9</v>
      </c>
      <c r="F355" s="25">
        <v>2080</v>
      </c>
      <c r="G355" s="26">
        <v>0</v>
      </c>
    </row>
    <row r="356" spans="1:7" x14ac:dyDescent="0.35">
      <c r="A356" s="9">
        <f xml:space="preserve"> ROW( scalarDataframe[[#This Row],[row_id]] ) - ROW( scalarDataframe[[#Headers],[row_id]] )</f>
        <v>355</v>
      </c>
      <c r="B356" s="11" t="str">
        <f xml:space="preserve"> INDEX( co_scalarInfo[scalarType], MATCH( scalarDataframe[[#This Row],[scalarName]],  co_scalarInfo[scalarName], 0 ) )</f>
        <v>physAdj</v>
      </c>
      <c r="C356" s="46" t="str">
        <f xml:space="preserve"> INDEX( co_scalarInfo[scalarLabel], MATCH( scalarDataframe[[#This Row],[scalarName]], co_scalarInfo[scalarName], 0 ) )</f>
        <v>Southwest Dusts (All Ages)</v>
      </c>
      <c r="D356" s="17" t="s">
        <v>259</v>
      </c>
      <c r="E356" s="18" t="s">
        <v>9</v>
      </c>
      <c r="F356" s="25">
        <v>2085</v>
      </c>
      <c r="G356" s="26">
        <v>0</v>
      </c>
    </row>
    <row r="357" spans="1:7" x14ac:dyDescent="0.35">
      <c r="A357" s="9">
        <f xml:space="preserve"> ROW( scalarDataframe[[#This Row],[row_id]] ) - ROW( scalarDataframe[[#Headers],[row_id]] )</f>
        <v>356</v>
      </c>
      <c r="B357" s="11" t="str">
        <f xml:space="preserve"> INDEX( co_scalarInfo[scalarType], MATCH( scalarDataframe[[#This Row],[scalarName]],  co_scalarInfo[scalarName], 0 ) )</f>
        <v>physAdj</v>
      </c>
      <c r="C357" s="46" t="str">
        <f xml:space="preserve"> INDEX( co_scalarInfo[scalarLabel], MATCH( scalarDataframe[[#This Row],[scalarName]], co_scalarInfo[scalarName], 0 ) )</f>
        <v>Southwest Dusts (All Ages)</v>
      </c>
      <c r="D357" s="17" t="s">
        <v>259</v>
      </c>
      <c r="E357" s="18" t="s">
        <v>9</v>
      </c>
      <c r="F357" s="25">
        <v>2090</v>
      </c>
      <c r="G357" s="26">
        <v>0</v>
      </c>
    </row>
    <row r="358" spans="1:7" x14ac:dyDescent="0.35">
      <c r="A358" s="9">
        <f xml:space="preserve"> ROW( scalarDataframe[[#This Row],[row_id]] ) - ROW( scalarDataframe[[#Headers],[row_id]] )</f>
        <v>357</v>
      </c>
      <c r="B358" s="11" t="str">
        <f xml:space="preserve"> INDEX( co_scalarInfo[scalarType], MATCH( scalarDataframe[[#This Row],[scalarName]],  co_scalarInfo[scalarName], 0 ) )</f>
        <v>physAdj</v>
      </c>
      <c r="C358" s="46" t="str">
        <f xml:space="preserve"> INDEX( co_scalarInfo[scalarLabel], MATCH( scalarDataframe[[#This Row],[scalarName]], co_scalarInfo[scalarName], 0 ) )</f>
        <v>Southwest Dusts (All Ages)</v>
      </c>
      <c r="D358" s="17" t="s">
        <v>259</v>
      </c>
      <c r="E358" s="18" t="s">
        <v>10</v>
      </c>
      <c r="F358" s="25">
        <v>2010</v>
      </c>
      <c r="G358" s="26">
        <v>0</v>
      </c>
    </row>
    <row r="359" spans="1:7" x14ac:dyDescent="0.35">
      <c r="A359" s="9">
        <f xml:space="preserve"> ROW( scalarDataframe[[#This Row],[row_id]] ) - ROW( scalarDataframe[[#Headers],[row_id]] )</f>
        <v>358</v>
      </c>
      <c r="B359" s="11" t="str">
        <f xml:space="preserve"> INDEX( co_scalarInfo[scalarType], MATCH( scalarDataframe[[#This Row],[scalarName]],  co_scalarInfo[scalarName], 0 ) )</f>
        <v>physAdj</v>
      </c>
      <c r="C359" s="46" t="str">
        <f xml:space="preserve"> INDEX( co_scalarInfo[scalarLabel], MATCH( scalarDataframe[[#This Row],[scalarName]], co_scalarInfo[scalarName], 0 ) )</f>
        <v>Southwest Dusts (All Ages)</v>
      </c>
      <c r="D359" s="17" t="s">
        <v>259</v>
      </c>
      <c r="E359" s="18" t="s">
        <v>10</v>
      </c>
      <c r="F359" s="25">
        <v>2015</v>
      </c>
      <c r="G359" s="26">
        <v>0</v>
      </c>
    </row>
    <row r="360" spans="1:7" x14ac:dyDescent="0.35">
      <c r="A360" s="9">
        <f xml:space="preserve"> ROW( scalarDataframe[[#This Row],[row_id]] ) - ROW( scalarDataframe[[#Headers],[row_id]] )</f>
        <v>359</v>
      </c>
      <c r="B360" s="11" t="str">
        <f xml:space="preserve"> INDEX( co_scalarInfo[scalarType], MATCH( scalarDataframe[[#This Row],[scalarName]],  co_scalarInfo[scalarName], 0 ) )</f>
        <v>physAdj</v>
      </c>
      <c r="C360" s="46" t="str">
        <f xml:space="preserve"> INDEX( co_scalarInfo[scalarLabel], MATCH( scalarDataframe[[#This Row],[scalarName]], co_scalarInfo[scalarName], 0 ) )</f>
        <v>Southwest Dusts (All Ages)</v>
      </c>
      <c r="D360" s="17" t="s">
        <v>259</v>
      </c>
      <c r="E360" s="18" t="s">
        <v>10</v>
      </c>
      <c r="F360" s="25">
        <v>2020</v>
      </c>
      <c r="G360" s="26">
        <v>0</v>
      </c>
    </row>
    <row r="361" spans="1:7" x14ac:dyDescent="0.35">
      <c r="A361" s="9">
        <f xml:space="preserve"> ROW( scalarDataframe[[#This Row],[row_id]] ) - ROW( scalarDataframe[[#Headers],[row_id]] )</f>
        <v>360</v>
      </c>
      <c r="B361" s="11" t="str">
        <f xml:space="preserve"> INDEX( co_scalarInfo[scalarType], MATCH( scalarDataframe[[#This Row],[scalarName]],  co_scalarInfo[scalarName], 0 ) )</f>
        <v>physAdj</v>
      </c>
      <c r="C361" s="46" t="str">
        <f xml:space="preserve"> INDEX( co_scalarInfo[scalarLabel], MATCH( scalarDataframe[[#This Row],[scalarName]], co_scalarInfo[scalarName], 0 ) )</f>
        <v>Southwest Dusts (All Ages)</v>
      </c>
      <c r="D361" s="17" t="s">
        <v>259</v>
      </c>
      <c r="E361" s="18" t="s">
        <v>10</v>
      </c>
      <c r="F361" s="25">
        <v>2025</v>
      </c>
      <c r="G361" s="26">
        <v>0</v>
      </c>
    </row>
    <row r="362" spans="1:7" x14ac:dyDescent="0.35">
      <c r="A362" s="9">
        <f xml:space="preserve"> ROW( scalarDataframe[[#This Row],[row_id]] ) - ROW( scalarDataframe[[#Headers],[row_id]] )</f>
        <v>361</v>
      </c>
      <c r="B362" s="11" t="str">
        <f xml:space="preserve"> INDEX( co_scalarInfo[scalarType], MATCH( scalarDataframe[[#This Row],[scalarName]],  co_scalarInfo[scalarName], 0 ) )</f>
        <v>physAdj</v>
      </c>
      <c r="C362" s="46" t="str">
        <f xml:space="preserve"> INDEX( co_scalarInfo[scalarLabel], MATCH( scalarDataframe[[#This Row],[scalarName]], co_scalarInfo[scalarName], 0 ) )</f>
        <v>Southwest Dusts (All Ages)</v>
      </c>
      <c r="D362" s="17" t="s">
        <v>259</v>
      </c>
      <c r="E362" s="18" t="s">
        <v>10</v>
      </c>
      <c r="F362" s="25">
        <v>2030</v>
      </c>
      <c r="G362" s="26">
        <v>0</v>
      </c>
    </row>
    <row r="363" spans="1:7" x14ac:dyDescent="0.35">
      <c r="A363" s="9">
        <f xml:space="preserve"> ROW( scalarDataframe[[#This Row],[row_id]] ) - ROW( scalarDataframe[[#Headers],[row_id]] )</f>
        <v>362</v>
      </c>
      <c r="B363" s="11" t="str">
        <f xml:space="preserve"> INDEX( co_scalarInfo[scalarType], MATCH( scalarDataframe[[#This Row],[scalarName]],  co_scalarInfo[scalarName], 0 ) )</f>
        <v>physAdj</v>
      </c>
      <c r="C363" s="46" t="str">
        <f xml:space="preserve"> INDEX( co_scalarInfo[scalarLabel], MATCH( scalarDataframe[[#This Row],[scalarName]], co_scalarInfo[scalarName], 0 ) )</f>
        <v>Southwest Dusts (All Ages)</v>
      </c>
      <c r="D363" s="17" t="s">
        <v>259</v>
      </c>
      <c r="E363" s="18" t="s">
        <v>10</v>
      </c>
      <c r="F363" s="25">
        <v>2035</v>
      </c>
      <c r="G363" s="26">
        <v>0</v>
      </c>
    </row>
    <row r="364" spans="1:7" x14ac:dyDescent="0.35">
      <c r="A364" s="9">
        <f xml:space="preserve"> ROW( scalarDataframe[[#This Row],[row_id]] ) - ROW( scalarDataframe[[#Headers],[row_id]] )</f>
        <v>363</v>
      </c>
      <c r="B364" s="11" t="str">
        <f xml:space="preserve"> INDEX( co_scalarInfo[scalarType], MATCH( scalarDataframe[[#This Row],[scalarName]],  co_scalarInfo[scalarName], 0 ) )</f>
        <v>physAdj</v>
      </c>
      <c r="C364" s="46" t="str">
        <f xml:space="preserve"> INDEX( co_scalarInfo[scalarLabel], MATCH( scalarDataframe[[#This Row],[scalarName]], co_scalarInfo[scalarName], 0 ) )</f>
        <v>Southwest Dusts (All Ages)</v>
      </c>
      <c r="D364" s="17" t="s">
        <v>259</v>
      </c>
      <c r="E364" s="18" t="s">
        <v>10</v>
      </c>
      <c r="F364" s="25">
        <v>2040</v>
      </c>
      <c r="G364" s="26">
        <v>0</v>
      </c>
    </row>
    <row r="365" spans="1:7" x14ac:dyDescent="0.35">
      <c r="A365" s="9">
        <f xml:space="preserve"> ROW( scalarDataframe[[#This Row],[row_id]] ) - ROW( scalarDataframe[[#Headers],[row_id]] )</f>
        <v>364</v>
      </c>
      <c r="B365" s="11" t="str">
        <f xml:space="preserve"> INDEX( co_scalarInfo[scalarType], MATCH( scalarDataframe[[#This Row],[scalarName]],  co_scalarInfo[scalarName], 0 ) )</f>
        <v>physAdj</v>
      </c>
      <c r="C365" s="46" t="str">
        <f xml:space="preserve"> INDEX( co_scalarInfo[scalarLabel], MATCH( scalarDataframe[[#This Row],[scalarName]], co_scalarInfo[scalarName], 0 ) )</f>
        <v>Southwest Dusts (All Ages)</v>
      </c>
      <c r="D365" s="17" t="s">
        <v>259</v>
      </c>
      <c r="E365" s="18" t="s">
        <v>10</v>
      </c>
      <c r="F365" s="25">
        <v>2045</v>
      </c>
      <c r="G365" s="26">
        <v>0</v>
      </c>
    </row>
    <row r="366" spans="1:7" x14ac:dyDescent="0.35">
      <c r="A366" s="9">
        <f xml:space="preserve"> ROW( scalarDataframe[[#This Row],[row_id]] ) - ROW( scalarDataframe[[#Headers],[row_id]] )</f>
        <v>365</v>
      </c>
      <c r="B366" s="11" t="str">
        <f xml:space="preserve"> INDEX( co_scalarInfo[scalarType], MATCH( scalarDataframe[[#This Row],[scalarName]],  co_scalarInfo[scalarName], 0 ) )</f>
        <v>physAdj</v>
      </c>
      <c r="C366" s="46" t="str">
        <f xml:space="preserve"> INDEX( co_scalarInfo[scalarLabel], MATCH( scalarDataframe[[#This Row],[scalarName]], co_scalarInfo[scalarName], 0 ) )</f>
        <v>Southwest Dusts (All Ages)</v>
      </c>
      <c r="D366" s="17" t="s">
        <v>259</v>
      </c>
      <c r="E366" s="18" t="s">
        <v>10</v>
      </c>
      <c r="F366" s="25">
        <v>2050</v>
      </c>
      <c r="G366" s="26">
        <v>0</v>
      </c>
    </row>
    <row r="367" spans="1:7" x14ac:dyDescent="0.35">
      <c r="A367" s="9">
        <f xml:space="preserve"> ROW( scalarDataframe[[#This Row],[row_id]] ) - ROW( scalarDataframe[[#Headers],[row_id]] )</f>
        <v>366</v>
      </c>
      <c r="B367" s="11" t="str">
        <f xml:space="preserve"> INDEX( co_scalarInfo[scalarType], MATCH( scalarDataframe[[#This Row],[scalarName]],  co_scalarInfo[scalarName], 0 ) )</f>
        <v>physAdj</v>
      </c>
      <c r="C367" s="46" t="str">
        <f xml:space="preserve"> INDEX( co_scalarInfo[scalarLabel], MATCH( scalarDataframe[[#This Row],[scalarName]], co_scalarInfo[scalarName], 0 ) )</f>
        <v>Southwest Dusts (All Ages)</v>
      </c>
      <c r="D367" s="17" t="s">
        <v>259</v>
      </c>
      <c r="E367" s="18" t="s">
        <v>10</v>
      </c>
      <c r="F367" s="25">
        <v>2055</v>
      </c>
      <c r="G367" s="26">
        <v>0</v>
      </c>
    </row>
    <row r="368" spans="1:7" x14ac:dyDescent="0.35">
      <c r="A368" s="9">
        <f xml:space="preserve"> ROW( scalarDataframe[[#This Row],[row_id]] ) - ROW( scalarDataframe[[#Headers],[row_id]] )</f>
        <v>367</v>
      </c>
      <c r="B368" s="11" t="str">
        <f xml:space="preserve"> INDEX( co_scalarInfo[scalarType], MATCH( scalarDataframe[[#This Row],[scalarName]],  co_scalarInfo[scalarName], 0 ) )</f>
        <v>physAdj</v>
      </c>
      <c r="C368" s="46" t="str">
        <f xml:space="preserve"> INDEX( co_scalarInfo[scalarLabel], MATCH( scalarDataframe[[#This Row],[scalarName]], co_scalarInfo[scalarName], 0 ) )</f>
        <v>Southwest Dusts (All Ages)</v>
      </c>
      <c r="D368" s="17" t="s">
        <v>259</v>
      </c>
      <c r="E368" s="18" t="s">
        <v>10</v>
      </c>
      <c r="F368" s="25">
        <v>2060</v>
      </c>
      <c r="G368" s="26">
        <v>0</v>
      </c>
    </row>
    <row r="369" spans="1:7" x14ac:dyDescent="0.35">
      <c r="A369" s="9">
        <f xml:space="preserve"> ROW( scalarDataframe[[#This Row],[row_id]] ) - ROW( scalarDataframe[[#Headers],[row_id]] )</f>
        <v>368</v>
      </c>
      <c r="B369" s="11" t="str">
        <f xml:space="preserve"> INDEX( co_scalarInfo[scalarType], MATCH( scalarDataframe[[#This Row],[scalarName]],  co_scalarInfo[scalarName], 0 ) )</f>
        <v>physAdj</v>
      </c>
      <c r="C369" s="46" t="str">
        <f xml:space="preserve"> INDEX( co_scalarInfo[scalarLabel], MATCH( scalarDataframe[[#This Row],[scalarName]], co_scalarInfo[scalarName], 0 ) )</f>
        <v>Southwest Dusts (All Ages)</v>
      </c>
      <c r="D369" s="17" t="s">
        <v>259</v>
      </c>
      <c r="E369" s="18" t="s">
        <v>10</v>
      </c>
      <c r="F369" s="25">
        <v>2065</v>
      </c>
      <c r="G369" s="26">
        <v>0</v>
      </c>
    </row>
    <row r="370" spans="1:7" x14ac:dyDescent="0.35">
      <c r="A370" s="9">
        <f xml:space="preserve"> ROW( scalarDataframe[[#This Row],[row_id]] ) - ROW( scalarDataframe[[#Headers],[row_id]] )</f>
        <v>369</v>
      </c>
      <c r="B370" s="11" t="str">
        <f xml:space="preserve"> INDEX( co_scalarInfo[scalarType], MATCH( scalarDataframe[[#This Row],[scalarName]],  co_scalarInfo[scalarName], 0 ) )</f>
        <v>physAdj</v>
      </c>
      <c r="C370" s="46" t="str">
        <f xml:space="preserve"> INDEX( co_scalarInfo[scalarLabel], MATCH( scalarDataframe[[#This Row],[scalarName]], co_scalarInfo[scalarName], 0 ) )</f>
        <v>Southwest Dusts (All Ages)</v>
      </c>
      <c r="D370" s="17" t="s">
        <v>259</v>
      </c>
      <c r="E370" s="18" t="s">
        <v>10</v>
      </c>
      <c r="F370" s="25">
        <v>2070</v>
      </c>
      <c r="G370" s="26">
        <v>0</v>
      </c>
    </row>
    <row r="371" spans="1:7" x14ac:dyDescent="0.35">
      <c r="A371" s="9">
        <f xml:space="preserve"> ROW( scalarDataframe[[#This Row],[row_id]] ) - ROW( scalarDataframe[[#Headers],[row_id]] )</f>
        <v>370</v>
      </c>
      <c r="B371" s="11" t="str">
        <f xml:space="preserve"> INDEX( co_scalarInfo[scalarType], MATCH( scalarDataframe[[#This Row],[scalarName]],  co_scalarInfo[scalarName], 0 ) )</f>
        <v>physAdj</v>
      </c>
      <c r="C371" s="46" t="str">
        <f xml:space="preserve"> INDEX( co_scalarInfo[scalarLabel], MATCH( scalarDataframe[[#This Row],[scalarName]], co_scalarInfo[scalarName], 0 ) )</f>
        <v>Southwest Dusts (All Ages)</v>
      </c>
      <c r="D371" s="17" t="s">
        <v>259</v>
      </c>
      <c r="E371" s="18" t="s">
        <v>10</v>
      </c>
      <c r="F371" s="25">
        <v>2075</v>
      </c>
      <c r="G371" s="26">
        <v>0</v>
      </c>
    </row>
    <row r="372" spans="1:7" x14ac:dyDescent="0.35">
      <c r="A372" s="9">
        <f xml:space="preserve"> ROW( scalarDataframe[[#This Row],[row_id]] ) - ROW( scalarDataframe[[#Headers],[row_id]] )</f>
        <v>371</v>
      </c>
      <c r="B372" s="11" t="str">
        <f xml:space="preserve"> INDEX( co_scalarInfo[scalarType], MATCH( scalarDataframe[[#This Row],[scalarName]],  co_scalarInfo[scalarName], 0 ) )</f>
        <v>physAdj</v>
      </c>
      <c r="C372" s="46" t="str">
        <f xml:space="preserve"> INDEX( co_scalarInfo[scalarLabel], MATCH( scalarDataframe[[#This Row],[scalarName]], co_scalarInfo[scalarName], 0 ) )</f>
        <v>Southwest Dusts (All Ages)</v>
      </c>
      <c r="D372" s="17" t="s">
        <v>259</v>
      </c>
      <c r="E372" s="18" t="s">
        <v>10</v>
      </c>
      <c r="F372" s="25">
        <v>2080</v>
      </c>
      <c r="G372" s="26">
        <v>0</v>
      </c>
    </row>
    <row r="373" spans="1:7" x14ac:dyDescent="0.35">
      <c r="A373" s="9">
        <f xml:space="preserve"> ROW( scalarDataframe[[#This Row],[row_id]] ) - ROW( scalarDataframe[[#Headers],[row_id]] )</f>
        <v>372</v>
      </c>
      <c r="B373" s="11" t="str">
        <f xml:space="preserve"> INDEX( co_scalarInfo[scalarType], MATCH( scalarDataframe[[#This Row],[scalarName]],  co_scalarInfo[scalarName], 0 ) )</f>
        <v>physAdj</v>
      </c>
      <c r="C373" s="46" t="str">
        <f xml:space="preserve"> INDEX( co_scalarInfo[scalarLabel], MATCH( scalarDataframe[[#This Row],[scalarName]], co_scalarInfo[scalarName], 0 ) )</f>
        <v>Southwest Dusts (All Ages)</v>
      </c>
      <c r="D373" s="17" t="s">
        <v>259</v>
      </c>
      <c r="E373" s="18" t="s">
        <v>10</v>
      </c>
      <c r="F373" s="25">
        <v>2085</v>
      </c>
      <c r="G373" s="26">
        <v>0</v>
      </c>
    </row>
    <row r="374" spans="1:7" x14ac:dyDescent="0.35">
      <c r="A374" s="9">
        <f xml:space="preserve"> ROW( scalarDataframe[[#This Row],[row_id]] ) - ROW( scalarDataframe[[#Headers],[row_id]] )</f>
        <v>373</v>
      </c>
      <c r="B374" s="11" t="str">
        <f xml:space="preserve"> INDEX( co_scalarInfo[scalarType], MATCH( scalarDataframe[[#This Row],[scalarName]],  co_scalarInfo[scalarName], 0 ) )</f>
        <v>physAdj</v>
      </c>
      <c r="C374" s="46" t="str">
        <f xml:space="preserve"> INDEX( co_scalarInfo[scalarLabel], MATCH( scalarDataframe[[#This Row],[scalarName]], co_scalarInfo[scalarName], 0 ) )</f>
        <v>Southwest Dusts (All Ages)</v>
      </c>
      <c r="D374" s="17" t="s">
        <v>259</v>
      </c>
      <c r="E374" s="18" t="s">
        <v>10</v>
      </c>
      <c r="F374" s="25">
        <v>2090</v>
      </c>
      <c r="G374" s="26">
        <v>0</v>
      </c>
    </row>
    <row r="375" spans="1:7" x14ac:dyDescent="0.35">
      <c r="A375" s="9">
        <f xml:space="preserve"> ROW( scalarDataframe[[#This Row],[row_id]] ) - ROW( scalarDataframe[[#Headers],[row_id]] )</f>
        <v>374</v>
      </c>
      <c r="B375" s="11" t="str">
        <f xml:space="preserve"> INDEX( co_scalarInfo[scalarType], MATCH( scalarDataframe[[#This Row],[scalarName]],  co_scalarInfo[scalarName], 0 ) )</f>
        <v>physAdj</v>
      </c>
      <c r="C375" s="46" t="str">
        <f xml:space="preserve"> INDEX( co_scalarInfo[scalarLabel], MATCH( scalarDataframe[[#This Row],[scalarName]], co_scalarInfo[scalarName], 0 ) )</f>
        <v>Southwest Dusts (All Ages)</v>
      </c>
      <c r="D375" s="17" t="s">
        <v>259</v>
      </c>
      <c r="E375" s="18" t="s">
        <v>11</v>
      </c>
      <c r="F375" s="25">
        <v>2010</v>
      </c>
      <c r="G375" s="26">
        <v>0</v>
      </c>
    </row>
    <row r="376" spans="1:7" x14ac:dyDescent="0.35">
      <c r="A376" s="9">
        <f xml:space="preserve"> ROW( scalarDataframe[[#This Row],[row_id]] ) - ROW( scalarDataframe[[#Headers],[row_id]] )</f>
        <v>375</v>
      </c>
      <c r="B376" s="11" t="str">
        <f xml:space="preserve"> INDEX( co_scalarInfo[scalarType], MATCH( scalarDataframe[[#This Row],[scalarName]],  co_scalarInfo[scalarName], 0 ) )</f>
        <v>physAdj</v>
      </c>
      <c r="C376" s="46" t="str">
        <f xml:space="preserve"> INDEX( co_scalarInfo[scalarLabel], MATCH( scalarDataframe[[#This Row],[scalarName]], co_scalarInfo[scalarName], 0 ) )</f>
        <v>Southwest Dusts (All Ages)</v>
      </c>
      <c r="D376" s="17" t="s">
        <v>259</v>
      </c>
      <c r="E376" s="18" t="s">
        <v>11</v>
      </c>
      <c r="F376" s="25">
        <v>2015</v>
      </c>
      <c r="G376" s="26">
        <v>0</v>
      </c>
    </row>
    <row r="377" spans="1:7" x14ac:dyDescent="0.35">
      <c r="A377" s="9">
        <f xml:space="preserve"> ROW( scalarDataframe[[#This Row],[row_id]] ) - ROW( scalarDataframe[[#Headers],[row_id]] )</f>
        <v>376</v>
      </c>
      <c r="B377" s="11" t="str">
        <f xml:space="preserve"> INDEX( co_scalarInfo[scalarType], MATCH( scalarDataframe[[#This Row],[scalarName]],  co_scalarInfo[scalarName], 0 ) )</f>
        <v>physAdj</v>
      </c>
      <c r="C377" s="46" t="str">
        <f xml:space="preserve"> INDEX( co_scalarInfo[scalarLabel], MATCH( scalarDataframe[[#This Row],[scalarName]], co_scalarInfo[scalarName], 0 ) )</f>
        <v>Southwest Dusts (All Ages)</v>
      </c>
      <c r="D377" s="17" t="s">
        <v>259</v>
      </c>
      <c r="E377" s="18" t="s">
        <v>11</v>
      </c>
      <c r="F377" s="25">
        <v>2020</v>
      </c>
      <c r="G377" s="26">
        <v>0</v>
      </c>
    </row>
    <row r="378" spans="1:7" x14ac:dyDescent="0.35">
      <c r="A378" s="9">
        <f xml:space="preserve"> ROW( scalarDataframe[[#This Row],[row_id]] ) - ROW( scalarDataframe[[#Headers],[row_id]] )</f>
        <v>377</v>
      </c>
      <c r="B378" s="11" t="str">
        <f xml:space="preserve"> INDEX( co_scalarInfo[scalarType], MATCH( scalarDataframe[[#This Row],[scalarName]],  co_scalarInfo[scalarName], 0 ) )</f>
        <v>physAdj</v>
      </c>
      <c r="C378" s="46" t="str">
        <f xml:space="preserve"> INDEX( co_scalarInfo[scalarLabel], MATCH( scalarDataframe[[#This Row],[scalarName]], co_scalarInfo[scalarName], 0 ) )</f>
        <v>Southwest Dusts (All Ages)</v>
      </c>
      <c r="D378" s="17" t="s">
        <v>259</v>
      </c>
      <c r="E378" s="18" t="s">
        <v>11</v>
      </c>
      <c r="F378" s="25">
        <v>2025</v>
      </c>
      <c r="G378" s="26">
        <v>0</v>
      </c>
    </row>
    <row r="379" spans="1:7" x14ac:dyDescent="0.35">
      <c r="A379" s="9">
        <f xml:space="preserve"> ROW( scalarDataframe[[#This Row],[row_id]] ) - ROW( scalarDataframe[[#Headers],[row_id]] )</f>
        <v>378</v>
      </c>
      <c r="B379" s="11" t="str">
        <f xml:space="preserve"> INDEX( co_scalarInfo[scalarType], MATCH( scalarDataframe[[#This Row],[scalarName]],  co_scalarInfo[scalarName], 0 ) )</f>
        <v>physAdj</v>
      </c>
      <c r="C379" s="46" t="str">
        <f xml:space="preserve"> INDEX( co_scalarInfo[scalarLabel], MATCH( scalarDataframe[[#This Row],[scalarName]], co_scalarInfo[scalarName], 0 ) )</f>
        <v>Southwest Dusts (All Ages)</v>
      </c>
      <c r="D379" s="17" t="s">
        <v>259</v>
      </c>
      <c r="E379" s="18" t="s">
        <v>11</v>
      </c>
      <c r="F379" s="25">
        <v>2030</v>
      </c>
      <c r="G379" s="26">
        <v>0</v>
      </c>
    </row>
    <row r="380" spans="1:7" x14ac:dyDescent="0.35">
      <c r="A380" s="9">
        <f xml:space="preserve"> ROW( scalarDataframe[[#This Row],[row_id]] ) - ROW( scalarDataframe[[#Headers],[row_id]] )</f>
        <v>379</v>
      </c>
      <c r="B380" s="11" t="str">
        <f xml:space="preserve"> INDEX( co_scalarInfo[scalarType], MATCH( scalarDataframe[[#This Row],[scalarName]],  co_scalarInfo[scalarName], 0 ) )</f>
        <v>physAdj</v>
      </c>
      <c r="C380" s="46" t="str">
        <f xml:space="preserve"> INDEX( co_scalarInfo[scalarLabel], MATCH( scalarDataframe[[#This Row],[scalarName]], co_scalarInfo[scalarName], 0 ) )</f>
        <v>Southwest Dusts (All Ages)</v>
      </c>
      <c r="D380" s="17" t="s">
        <v>259</v>
      </c>
      <c r="E380" s="18" t="s">
        <v>11</v>
      </c>
      <c r="F380" s="25">
        <v>2035</v>
      </c>
      <c r="G380" s="26">
        <v>0</v>
      </c>
    </row>
    <row r="381" spans="1:7" x14ac:dyDescent="0.35">
      <c r="A381" s="9">
        <f xml:space="preserve"> ROW( scalarDataframe[[#This Row],[row_id]] ) - ROW( scalarDataframe[[#Headers],[row_id]] )</f>
        <v>380</v>
      </c>
      <c r="B381" s="11" t="str">
        <f xml:space="preserve"> INDEX( co_scalarInfo[scalarType], MATCH( scalarDataframe[[#This Row],[scalarName]],  co_scalarInfo[scalarName], 0 ) )</f>
        <v>physAdj</v>
      </c>
      <c r="C381" s="46" t="str">
        <f xml:space="preserve"> INDEX( co_scalarInfo[scalarLabel], MATCH( scalarDataframe[[#This Row],[scalarName]], co_scalarInfo[scalarName], 0 ) )</f>
        <v>Southwest Dusts (All Ages)</v>
      </c>
      <c r="D381" s="17" t="s">
        <v>259</v>
      </c>
      <c r="E381" s="18" t="s">
        <v>11</v>
      </c>
      <c r="F381" s="25">
        <v>2040</v>
      </c>
      <c r="G381" s="26">
        <v>0</v>
      </c>
    </row>
    <row r="382" spans="1:7" x14ac:dyDescent="0.35">
      <c r="A382" s="9">
        <f xml:space="preserve"> ROW( scalarDataframe[[#This Row],[row_id]] ) - ROW( scalarDataframe[[#Headers],[row_id]] )</f>
        <v>381</v>
      </c>
      <c r="B382" s="11" t="str">
        <f xml:space="preserve"> INDEX( co_scalarInfo[scalarType], MATCH( scalarDataframe[[#This Row],[scalarName]],  co_scalarInfo[scalarName], 0 ) )</f>
        <v>physAdj</v>
      </c>
      <c r="C382" s="46" t="str">
        <f xml:space="preserve"> INDEX( co_scalarInfo[scalarLabel], MATCH( scalarDataframe[[#This Row],[scalarName]], co_scalarInfo[scalarName], 0 ) )</f>
        <v>Southwest Dusts (All Ages)</v>
      </c>
      <c r="D382" s="17" t="s">
        <v>259</v>
      </c>
      <c r="E382" s="18" t="s">
        <v>11</v>
      </c>
      <c r="F382" s="25">
        <v>2045</v>
      </c>
      <c r="G382" s="26">
        <v>0</v>
      </c>
    </row>
    <row r="383" spans="1:7" x14ac:dyDescent="0.35">
      <c r="A383" s="9">
        <f xml:space="preserve"> ROW( scalarDataframe[[#This Row],[row_id]] ) - ROW( scalarDataframe[[#Headers],[row_id]] )</f>
        <v>382</v>
      </c>
      <c r="B383" s="11" t="str">
        <f xml:space="preserve"> INDEX( co_scalarInfo[scalarType], MATCH( scalarDataframe[[#This Row],[scalarName]],  co_scalarInfo[scalarName], 0 ) )</f>
        <v>physAdj</v>
      </c>
      <c r="C383" s="46" t="str">
        <f xml:space="preserve"> INDEX( co_scalarInfo[scalarLabel], MATCH( scalarDataframe[[#This Row],[scalarName]], co_scalarInfo[scalarName], 0 ) )</f>
        <v>Southwest Dusts (All Ages)</v>
      </c>
      <c r="D383" s="17" t="s">
        <v>259</v>
      </c>
      <c r="E383" s="18" t="s">
        <v>11</v>
      </c>
      <c r="F383" s="25">
        <v>2050</v>
      </c>
      <c r="G383" s="26">
        <v>0</v>
      </c>
    </row>
    <row r="384" spans="1:7" x14ac:dyDescent="0.35">
      <c r="A384" s="9">
        <f xml:space="preserve"> ROW( scalarDataframe[[#This Row],[row_id]] ) - ROW( scalarDataframe[[#Headers],[row_id]] )</f>
        <v>383</v>
      </c>
      <c r="B384" s="11" t="str">
        <f xml:space="preserve"> INDEX( co_scalarInfo[scalarType], MATCH( scalarDataframe[[#This Row],[scalarName]],  co_scalarInfo[scalarName], 0 ) )</f>
        <v>physAdj</v>
      </c>
      <c r="C384" s="46" t="str">
        <f xml:space="preserve"> INDEX( co_scalarInfo[scalarLabel], MATCH( scalarDataframe[[#This Row],[scalarName]], co_scalarInfo[scalarName], 0 ) )</f>
        <v>Southwest Dusts (All Ages)</v>
      </c>
      <c r="D384" s="17" t="s">
        <v>259</v>
      </c>
      <c r="E384" s="18" t="s">
        <v>11</v>
      </c>
      <c r="F384" s="25">
        <v>2055</v>
      </c>
      <c r="G384" s="26">
        <v>0</v>
      </c>
    </row>
    <row r="385" spans="1:7" x14ac:dyDescent="0.35">
      <c r="A385" s="9">
        <f xml:space="preserve"> ROW( scalarDataframe[[#This Row],[row_id]] ) - ROW( scalarDataframe[[#Headers],[row_id]] )</f>
        <v>384</v>
      </c>
      <c r="B385" s="11" t="str">
        <f xml:space="preserve"> INDEX( co_scalarInfo[scalarType], MATCH( scalarDataframe[[#This Row],[scalarName]],  co_scalarInfo[scalarName], 0 ) )</f>
        <v>physAdj</v>
      </c>
      <c r="C385" s="46" t="str">
        <f xml:space="preserve"> INDEX( co_scalarInfo[scalarLabel], MATCH( scalarDataframe[[#This Row],[scalarName]], co_scalarInfo[scalarName], 0 ) )</f>
        <v>Southwest Dusts (All Ages)</v>
      </c>
      <c r="D385" s="17" t="s">
        <v>259</v>
      </c>
      <c r="E385" s="18" t="s">
        <v>11</v>
      </c>
      <c r="F385" s="25">
        <v>2060</v>
      </c>
      <c r="G385" s="26">
        <v>0</v>
      </c>
    </row>
    <row r="386" spans="1:7" x14ac:dyDescent="0.35">
      <c r="A386" s="9">
        <f xml:space="preserve"> ROW( scalarDataframe[[#This Row],[row_id]] ) - ROW( scalarDataframe[[#Headers],[row_id]] )</f>
        <v>385</v>
      </c>
      <c r="B386" s="11" t="str">
        <f xml:space="preserve"> INDEX( co_scalarInfo[scalarType], MATCH( scalarDataframe[[#This Row],[scalarName]],  co_scalarInfo[scalarName], 0 ) )</f>
        <v>physAdj</v>
      </c>
      <c r="C386" s="46" t="str">
        <f xml:space="preserve"> INDEX( co_scalarInfo[scalarLabel], MATCH( scalarDataframe[[#This Row],[scalarName]], co_scalarInfo[scalarName], 0 ) )</f>
        <v>Southwest Dusts (All Ages)</v>
      </c>
      <c r="D386" s="17" t="s">
        <v>259</v>
      </c>
      <c r="E386" s="18" t="s">
        <v>11</v>
      </c>
      <c r="F386" s="25">
        <v>2065</v>
      </c>
      <c r="G386" s="26">
        <v>0</v>
      </c>
    </row>
    <row r="387" spans="1:7" x14ac:dyDescent="0.35">
      <c r="A387" s="9">
        <f xml:space="preserve"> ROW( scalarDataframe[[#This Row],[row_id]] ) - ROW( scalarDataframe[[#Headers],[row_id]] )</f>
        <v>386</v>
      </c>
      <c r="B387" s="11" t="str">
        <f xml:space="preserve"> INDEX( co_scalarInfo[scalarType], MATCH( scalarDataframe[[#This Row],[scalarName]],  co_scalarInfo[scalarName], 0 ) )</f>
        <v>physAdj</v>
      </c>
      <c r="C387" s="46" t="str">
        <f xml:space="preserve"> INDEX( co_scalarInfo[scalarLabel], MATCH( scalarDataframe[[#This Row],[scalarName]], co_scalarInfo[scalarName], 0 ) )</f>
        <v>Southwest Dusts (All Ages)</v>
      </c>
      <c r="D387" s="17" t="s">
        <v>259</v>
      </c>
      <c r="E387" s="18" t="s">
        <v>11</v>
      </c>
      <c r="F387" s="25">
        <v>2070</v>
      </c>
      <c r="G387" s="26">
        <v>0</v>
      </c>
    </row>
    <row r="388" spans="1:7" x14ac:dyDescent="0.35">
      <c r="A388" s="9">
        <f xml:space="preserve"> ROW( scalarDataframe[[#This Row],[row_id]] ) - ROW( scalarDataframe[[#Headers],[row_id]] )</f>
        <v>387</v>
      </c>
      <c r="B388" s="11" t="str">
        <f xml:space="preserve"> INDEX( co_scalarInfo[scalarType], MATCH( scalarDataframe[[#This Row],[scalarName]],  co_scalarInfo[scalarName], 0 ) )</f>
        <v>physAdj</v>
      </c>
      <c r="C388" s="46" t="str">
        <f xml:space="preserve"> INDEX( co_scalarInfo[scalarLabel], MATCH( scalarDataframe[[#This Row],[scalarName]], co_scalarInfo[scalarName], 0 ) )</f>
        <v>Southwest Dusts (All Ages)</v>
      </c>
      <c r="D388" s="17" t="s">
        <v>259</v>
      </c>
      <c r="E388" s="18" t="s">
        <v>11</v>
      </c>
      <c r="F388" s="25">
        <v>2075</v>
      </c>
      <c r="G388" s="26">
        <v>0</v>
      </c>
    </row>
    <row r="389" spans="1:7" x14ac:dyDescent="0.35">
      <c r="A389" s="9">
        <f xml:space="preserve"> ROW( scalarDataframe[[#This Row],[row_id]] ) - ROW( scalarDataframe[[#Headers],[row_id]] )</f>
        <v>388</v>
      </c>
      <c r="B389" s="11" t="str">
        <f xml:space="preserve"> INDEX( co_scalarInfo[scalarType], MATCH( scalarDataframe[[#This Row],[scalarName]],  co_scalarInfo[scalarName], 0 ) )</f>
        <v>physAdj</v>
      </c>
      <c r="C389" s="46" t="str">
        <f xml:space="preserve"> INDEX( co_scalarInfo[scalarLabel], MATCH( scalarDataframe[[#This Row],[scalarName]], co_scalarInfo[scalarName], 0 ) )</f>
        <v>Southwest Dusts (All Ages)</v>
      </c>
      <c r="D389" s="17" t="s">
        <v>259</v>
      </c>
      <c r="E389" s="18" t="s">
        <v>11</v>
      </c>
      <c r="F389" s="25">
        <v>2080</v>
      </c>
      <c r="G389" s="26">
        <v>0</v>
      </c>
    </row>
    <row r="390" spans="1:7" x14ac:dyDescent="0.35">
      <c r="A390" s="9">
        <f xml:space="preserve"> ROW( scalarDataframe[[#This Row],[row_id]] ) - ROW( scalarDataframe[[#Headers],[row_id]] )</f>
        <v>389</v>
      </c>
      <c r="B390" s="11" t="str">
        <f xml:space="preserve"> INDEX( co_scalarInfo[scalarType], MATCH( scalarDataframe[[#This Row],[scalarName]],  co_scalarInfo[scalarName], 0 ) )</f>
        <v>physAdj</v>
      </c>
      <c r="C390" s="46" t="str">
        <f xml:space="preserve"> INDEX( co_scalarInfo[scalarLabel], MATCH( scalarDataframe[[#This Row],[scalarName]], co_scalarInfo[scalarName], 0 ) )</f>
        <v>Southwest Dusts (All Ages)</v>
      </c>
      <c r="D390" s="17" t="s">
        <v>259</v>
      </c>
      <c r="E390" s="18" t="s">
        <v>11</v>
      </c>
      <c r="F390" s="25">
        <v>2085</v>
      </c>
      <c r="G390" s="26">
        <v>0</v>
      </c>
    </row>
    <row r="391" spans="1:7" x14ac:dyDescent="0.35">
      <c r="A391" s="9">
        <f xml:space="preserve"> ROW( scalarDataframe[[#This Row],[row_id]] ) - ROW( scalarDataframe[[#Headers],[row_id]] )</f>
        <v>390</v>
      </c>
      <c r="B391" s="11" t="str">
        <f xml:space="preserve"> INDEX( co_scalarInfo[scalarType], MATCH( scalarDataframe[[#This Row],[scalarName]],  co_scalarInfo[scalarName], 0 ) )</f>
        <v>physAdj</v>
      </c>
      <c r="C391" s="46" t="str">
        <f xml:space="preserve"> INDEX( co_scalarInfo[scalarLabel], MATCH( scalarDataframe[[#This Row],[scalarName]], co_scalarInfo[scalarName], 0 ) )</f>
        <v>Southwest Dusts (All Ages)</v>
      </c>
      <c r="D391" s="17" t="s">
        <v>259</v>
      </c>
      <c r="E391" s="18" t="s">
        <v>11</v>
      </c>
      <c r="F391" s="25">
        <v>2090</v>
      </c>
      <c r="G391" s="26">
        <v>0</v>
      </c>
    </row>
    <row r="392" spans="1:7" x14ac:dyDescent="0.35">
      <c r="A392" s="9">
        <f xml:space="preserve"> ROW( scalarDataframe[[#This Row],[row_id]] ) - ROW( scalarDataframe[[#Headers],[row_id]] )</f>
        <v>391</v>
      </c>
      <c r="B392" s="11" t="str">
        <f xml:space="preserve"> INDEX( co_scalarInfo[scalarType], MATCH( scalarDataframe[[#This Row],[scalarName]],  co_scalarInfo[scalarName], 0 ) )</f>
        <v>physAdj</v>
      </c>
      <c r="C392" s="46" t="str">
        <f xml:space="preserve"> INDEX( co_scalarInfo[scalarLabel], MATCH( scalarDataframe[[#This Row],[scalarName]], co_scalarInfo[scalarName], 0 ) )</f>
        <v>Southwest Dusts (All Ages)</v>
      </c>
      <c r="D392" s="17" t="s">
        <v>259</v>
      </c>
      <c r="E392" s="18" t="s">
        <v>12</v>
      </c>
      <c r="F392" s="25">
        <v>2010</v>
      </c>
      <c r="G392" s="26">
        <v>0.28841353578041828</v>
      </c>
    </row>
    <row r="393" spans="1:7" x14ac:dyDescent="0.35">
      <c r="A393" s="9">
        <f xml:space="preserve"> ROW( scalarDataframe[[#This Row],[row_id]] ) - ROW( scalarDataframe[[#Headers],[row_id]] )</f>
        <v>392</v>
      </c>
      <c r="B393" s="11" t="str">
        <f xml:space="preserve"> INDEX( co_scalarInfo[scalarType], MATCH( scalarDataframe[[#This Row],[scalarName]],  co_scalarInfo[scalarName], 0 ) )</f>
        <v>physAdj</v>
      </c>
      <c r="C393" s="46" t="str">
        <f xml:space="preserve"> INDEX( co_scalarInfo[scalarLabel], MATCH( scalarDataframe[[#This Row],[scalarName]], co_scalarInfo[scalarName], 0 ) )</f>
        <v>Southwest Dusts (All Ages)</v>
      </c>
      <c r="D393" s="17" t="s">
        <v>259</v>
      </c>
      <c r="E393" s="18" t="s">
        <v>12</v>
      </c>
      <c r="F393" s="25">
        <v>2015</v>
      </c>
      <c r="G393" s="26">
        <v>0.2843388596713351</v>
      </c>
    </row>
    <row r="394" spans="1:7" x14ac:dyDescent="0.35">
      <c r="A394" s="9">
        <f xml:space="preserve"> ROW( scalarDataframe[[#This Row],[row_id]] ) - ROW( scalarDataframe[[#Headers],[row_id]] )</f>
        <v>393</v>
      </c>
      <c r="B394" s="11" t="str">
        <f xml:space="preserve"> INDEX( co_scalarInfo[scalarType], MATCH( scalarDataframe[[#This Row],[scalarName]],  co_scalarInfo[scalarName], 0 ) )</f>
        <v>physAdj</v>
      </c>
      <c r="C394" s="46" t="str">
        <f xml:space="preserve"> INDEX( co_scalarInfo[scalarLabel], MATCH( scalarDataframe[[#This Row],[scalarName]], co_scalarInfo[scalarName], 0 ) )</f>
        <v>Southwest Dusts (All Ages)</v>
      </c>
      <c r="D394" s="17" t="s">
        <v>259</v>
      </c>
      <c r="E394" s="18" t="s">
        <v>12</v>
      </c>
      <c r="F394" s="25">
        <v>2020</v>
      </c>
      <c r="G394" s="26">
        <v>0.28165345560572275</v>
      </c>
    </row>
    <row r="395" spans="1:7" x14ac:dyDescent="0.35">
      <c r="A395" s="9">
        <f xml:space="preserve"> ROW( scalarDataframe[[#This Row],[row_id]] ) - ROW( scalarDataframe[[#Headers],[row_id]] )</f>
        <v>394</v>
      </c>
      <c r="B395" s="11" t="str">
        <f xml:space="preserve"> INDEX( co_scalarInfo[scalarType], MATCH( scalarDataframe[[#This Row],[scalarName]],  co_scalarInfo[scalarName], 0 ) )</f>
        <v>physAdj</v>
      </c>
      <c r="C395" s="46" t="str">
        <f xml:space="preserve"> INDEX( co_scalarInfo[scalarLabel], MATCH( scalarDataframe[[#This Row],[scalarName]], co_scalarInfo[scalarName], 0 ) )</f>
        <v>Southwest Dusts (All Ages)</v>
      </c>
      <c r="D395" s="17" t="s">
        <v>259</v>
      </c>
      <c r="E395" s="18" t="s">
        <v>12</v>
      </c>
      <c r="F395" s="25">
        <v>2025</v>
      </c>
      <c r="G395" s="26">
        <v>0.27956542030554921</v>
      </c>
    </row>
    <row r="396" spans="1:7" x14ac:dyDescent="0.35">
      <c r="A396" s="9">
        <f xml:space="preserve"> ROW( scalarDataframe[[#This Row],[row_id]] ) - ROW( scalarDataframe[[#Headers],[row_id]] )</f>
        <v>395</v>
      </c>
      <c r="B396" s="11" t="str">
        <f xml:space="preserve"> INDEX( co_scalarInfo[scalarType], MATCH( scalarDataframe[[#This Row],[scalarName]],  co_scalarInfo[scalarName], 0 ) )</f>
        <v>physAdj</v>
      </c>
      <c r="C396" s="46" t="str">
        <f xml:space="preserve"> INDEX( co_scalarInfo[scalarLabel], MATCH( scalarDataframe[[#This Row],[scalarName]], co_scalarInfo[scalarName], 0 ) )</f>
        <v>Southwest Dusts (All Ages)</v>
      </c>
      <c r="D396" s="17" t="s">
        <v>259</v>
      </c>
      <c r="E396" s="18" t="s">
        <v>12</v>
      </c>
      <c r="F396" s="25">
        <v>2030</v>
      </c>
      <c r="G396" s="26">
        <v>0.27808390857933568</v>
      </c>
    </row>
    <row r="397" spans="1:7" x14ac:dyDescent="0.35">
      <c r="A397" s="9">
        <f xml:space="preserve"> ROW( scalarDataframe[[#This Row],[row_id]] ) - ROW( scalarDataframe[[#Headers],[row_id]] )</f>
        <v>396</v>
      </c>
      <c r="B397" s="11" t="str">
        <f xml:space="preserve"> INDEX( co_scalarInfo[scalarType], MATCH( scalarDataframe[[#This Row],[scalarName]],  co_scalarInfo[scalarName], 0 ) )</f>
        <v>physAdj</v>
      </c>
      <c r="C397" s="46" t="str">
        <f xml:space="preserve"> INDEX( co_scalarInfo[scalarLabel], MATCH( scalarDataframe[[#This Row],[scalarName]], co_scalarInfo[scalarName], 0 ) )</f>
        <v>Southwest Dusts (All Ages)</v>
      </c>
      <c r="D397" s="17" t="s">
        <v>259</v>
      </c>
      <c r="E397" s="18" t="s">
        <v>12</v>
      </c>
      <c r="F397" s="25">
        <v>2035</v>
      </c>
      <c r="G397" s="26">
        <v>0.27582658158789897</v>
      </c>
    </row>
    <row r="398" spans="1:7" x14ac:dyDescent="0.35">
      <c r="A398" s="9">
        <f xml:space="preserve"> ROW( scalarDataframe[[#This Row],[row_id]] ) - ROW( scalarDataframe[[#Headers],[row_id]] )</f>
        <v>397</v>
      </c>
      <c r="B398" s="11" t="str">
        <f xml:space="preserve"> INDEX( co_scalarInfo[scalarType], MATCH( scalarDataframe[[#This Row],[scalarName]],  co_scalarInfo[scalarName], 0 ) )</f>
        <v>physAdj</v>
      </c>
      <c r="C398" s="46" t="str">
        <f xml:space="preserve"> INDEX( co_scalarInfo[scalarLabel], MATCH( scalarDataframe[[#This Row],[scalarName]], co_scalarInfo[scalarName], 0 ) )</f>
        <v>Southwest Dusts (All Ages)</v>
      </c>
      <c r="D398" s="17" t="s">
        <v>259</v>
      </c>
      <c r="E398" s="18" t="s">
        <v>12</v>
      </c>
      <c r="F398" s="25">
        <v>2040</v>
      </c>
      <c r="G398" s="26">
        <v>0.27435949184426439</v>
      </c>
    </row>
    <row r="399" spans="1:7" x14ac:dyDescent="0.35">
      <c r="A399" s="9">
        <f xml:space="preserve"> ROW( scalarDataframe[[#This Row],[row_id]] ) - ROW( scalarDataframe[[#Headers],[row_id]] )</f>
        <v>398</v>
      </c>
      <c r="B399" s="11" t="str">
        <f xml:space="preserve"> INDEX( co_scalarInfo[scalarType], MATCH( scalarDataframe[[#This Row],[scalarName]],  co_scalarInfo[scalarName], 0 ) )</f>
        <v>physAdj</v>
      </c>
      <c r="C399" s="46" t="str">
        <f xml:space="preserve"> INDEX( co_scalarInfo[scalarLabel], MATCH( scalarDataframe[[#This Row],[scalarName]], co_scalarInfo[scalarName], 0 ) )</f>
        <v>Southwest Dusts (All Ages)</v>
      </c>
      <c r="D399" s="17" t="s">
        <v>259</v>
      </c>
      <c r="E399" s="18" t="s">
        <v>12</v>
      </c>
      <c r="F399" s="25">
        <v>2045</v>
      </c>
      <c r="G399" s="26">
        <v>0.27358629817071373</v>
      </c>
    </row>
    <row r="400" spans="1:7" x14ac:dyDescent="0.35">
      <c r="A400" s="9">
        <f xml:space="preserve"> ROW( scalarDataframe[[#This Row],[row_id]] ) - ROW( scalarDataframe[[#Headers],[row_id]] )</f>
        <v>399</v>
      </c>
      <c r="B400" s="11" t="str">
        <f xml:space="preserve"> INDEX( co_scalarInfo[scalarType], MATCH( scalarDataframe[[#This Row],[scalarName]],  co_scalarInfo[scalarName], 0 ) )</f>
        <v>physAdj</v>
      </c>
      <c r="C400" s="46" t="str">
        <f xml:space="preserve"> INDEX( co_scalarInfo[scalarLabel], MATCH( scalarDataframe[[#This Row],[scalarName]], co_scalarInfo[scalarName], 0 ) )</f>
        <v>Southwest Dusts (All Ages)</v>
      </c>
      <c r="D400" s="17" t="s">
        <v>259</v>
      </c>
      <c r="E400" s="18" t="s">
        <v>12</v>
      </c>
      <c r="F400" s="25">
        <v>2050</v>
      </c>
      <c r="G400" s="26">
        <v>0.27328145190799019</v>
      </c>
    </row>
    <row r="401" spans="1:7" x14ac:dyDescent="0.35">
      <c r="A401" s="9">
        <f xml:space="preserve"> ROW( scalarDataframe[[#This Row],[row_id]] ) - ROW( scalarDataframe[[#Headers],[row_id]] )</f>
        <v>400</v>
      </c>
      <c r="B401" s="11" t="str">
        <f xml:space="preserve"> INDEX( co_scalarInfo[scalarType], MATCH( scalarDataframe[[#This Row],[scalarName]],  co_scalarInfo[scalarName], 0 ) )</f>
        <v>physAdj</v>
      </c>
      <c r="C401" s="46" t="str">
        <f xml:space="preserve"> INDEX( co_scalarInfo[scalarLabel], MATCH( scalarDataframe[[#This Row],[scalarName]], co_scalarInfo[scalarName], 0 ) )</f>
        <v>Southwest Dusts (All Ages)</v>
      </c>
      <c r="D401" s="17" t="s">
        <v>259</v>
      </c>
      <c r="E401" s="18" t="s">
        <v>12</v>
      </c>
      <c r="F401" s="25">
        <v>2055</v>
      </c>
      <c r="G401" s="26">
        <v>0.27261352454488891</v>
      </c>
    </row>
    <row r="402" spans="1:7" x14ac:dyDescent="0.35">
      <c r="A402" s="9">
        <f xml:space="preserve"> ROW( scalarDataframe[[#This Row],[row_id]] ) - ROW( scalarDataframe[[#Headers],[row_id]] )</f>
        <v>401</v>
      </c>
      <c r="B402" s="11" t="str">
        <f xml:space="preserve"> INDEX( co_scalarInfo[scalarType], MATCH( scalarDataframe[[#This Row],[scalarName]],  co_scalarInfo[scalarName], 0 ) )</f>
        <v>physAdj</v>
      </c>
      <c r="C402" s="46" t="str">
        <f xml:space="preserve"> INDEX( co_scalarInfo[scalarLabel], MATCH( scalarDataframe[[#This Row],[scalarName]], co_scalarInfo[scalarName], 0 ) )</f>
        <v>Southwest Dusts (All Ages)</v>
      </c>
      <c r="D402" s="17" t="s">
        <v>259</v>
      </c>
      <c r="E402" s="18" t="s">
        <v>12</v>
      </c>
      <c r="F402" s="25">
        <v>2060</v>
      </c>
      <c r="G402" s="26">
        <v>0.27209805323078651</v>
      </c>
    </row>
    <row r="403" spans="1:7" x14ac:dyDescent="0.35">
      <c r="A403" s="9">
        <f xml:space="preserve"> ROW( scalarDataframe[[#This Row],[row_id]] ) - ROW( scalarDataframe[[#Headers],[row_id]] )</f>
        <v>402</v>
      </c>
      <c r="B403" s="11" t="str">
        <f xml:space="preserve"> INDEX( co_scalarInfo[scalarType], MATCH( scalarDataframe[[#This Row],[scalarName]],  co_scalarInfo[scalarName], 0 ) )</f>
        <v>physAdj</v>
      </c>
      <c r="C403" s="46" t="str">
        <f xml:space="preserve"> INDEX( co_scalarInfo[scalarLabel], MATCH( scalarDataframe[[#This Row],[scalarName]], co_scalarInfo[scalarName], 0 ) )</f>
        <v>Southwest Dusts (All Ages)</v>
      </c>
      <c r="D403" s="17" t="s">
        <v>259</v>
      </c>
      <c r="E403" s="18" t="s">
        <v>12</v>
      </c>
      <c r="F403" s="25">
        <v>2065</v>
      </c>
      <c r="G403" s="26">
        <v>0.27175083032161929</v>
      </c>
    </row>
    <row r="404" spans="1:7" x14ac:dyDescent="0.35">
      <c r="A404" s="9">
        <f xml:space="preserve"> ROW( scalarDataframe[[#This Row],[row_id]] ) - ROW( scalarDataframe[[#Headers],[row_id]] )</f>
        <v>403</v>
      </c>
      <c r="B404" s="11" t="str">
        <f xml:space="preserve"> INDEX( co_scalarInfo[scalarType], MATCH( scalarDataframe[[#This Row],[scalarName]],  co_scalarInfo[scalarName], 0 ) )</f>
        <v>physAdj</v>
      </c>
      <c r="C404" s="46" t="str">
        <f xml:space="preserve"> INDEX( co_scalarInfo[scalarLabel], MATCH( scalarDataframe[[#This Row],[scalarName]], co_scalarInfo[scalarName], 0 ) )</f>
        <v>Southwest Dusts (All Ages)</v>
      </c>
      <c r="D404" s="17" t="s">
        <v>259</v>
      </c>
      <c r="E404" s="18" t="s">
        <v>12</v>
      </c>
      <c r="F404" s="25">
        <v>2070</v>
      </c>
      <c r="G404" s="26">
        <v>0.27173715096816647</v>
      </c>
    </row>
    <row r="405" spans="1:7" x14ac:dyDescent="0.35">
      <c r="A405" s="9">
        <f xml:space="preserve"> ROW( scalarDataframe[[#This Row],[row_id]] ) - ROW( scalarDataframe[[#Headers],[row_id]] )</f>
        <v>404</v>
      </c>
      <c r="B405" s="11" t="str">
        <f xml:space="preserve"> INDEX( co_scalarInfo[scalarType], MATCH( scalarDataframe[[#This Row],[scalarName]],  co_scalarInfo[scalarName], 0 ) )</f>
        <v>physAdj</v>
      </c>
      <c r="C405" s="46" t="str">
        <f xml:space="preserve"> INDEX( co_scalarInfo[scalarLabel], MATCH( scalarDataframe[[#This Row],[scalarName]], co_scalarInfo[scalarName], 0 ) )</f>
        <v>Southwest Dusts (All Ages)</v>
      </c>
      <c r="D405" s="17" t="s">
        <v>259</v>
      </c>
      <c r="E405" s="18" t="s">
        <v>12</v>
      </c>
      <c r="F405" s="25">
        <v>2075</v>
      </c>
      <c r="G405" s="26">
        <v>0.26924177869611399</v>
      </c>
    </row>
    <row r="406" spans="1:7" x14ac:dyDescent="0.35">
      <c r="A406" s="9">
        <f xml:space="preserve"> ROW( scalarDataframe[[#This Row],[row_id]] ) - ROW( scalarDataframe[[#Headers],[row_id]] )</f>
        <v>405</v>
      </c>
      <c r="B406" s="11" t="str">
        <f xml:space="preserve"> INDEX( co_scalarInfo[scalarType], MATCH( scalarDataframe[[#This Row],[scalarName]],  co_scalarInfo[scalarName], 0 ) )</f>
        <v>physAdj</v>
      </c>
      <c r="C406" s="46" t="str">
        <f xml:space="preserve"> INDEX( co_scalarInfo[scalarLabel], MATCH( scalarDataframe[[#This Row],[scalarName]], co_scalarInfo[scalarName], 0 ) )</f>
        <v>Southwest Dusts (All Ages)</v>
      </c>
      <c r="D406" s="17" t="s">
        <v>259</v>
      </c>
      <c r="E406" s="18" t="s">
        <v>12</v>
      </c>
      <c r="F406" s="25">
        <v>2080</v>
      </c>
      <c r="G406" s="26">
        <v>0.26732859005512699</v>
      </c>
    </row>
    <row r="407" spans="1:7" x14ac:dyDescent="0.35">
      <c r="A407" s="9">
        <f xml:space="preserve"> ROW( scalarDataframe[[#This Row],[row_id]] ) - ROW( scalarDataframe[[#Headers],[row_id]] )</f>
        <v>406</v>
      </c>
      <c r="B407" s="11" t="str">
        <f xml:space="preserve"> INDEX( co_scalarInfo[scalarType], MATCH( scalarDataframe[[#This Row],[scalarName]],  co_scalarInfo[scalarName], 0 ) )</f>
        <v>physAdj</v>
      </c>
      <c r="C407" s="46" t="str">
        <f xml:space="preserve"> INDEX( co_scalarInfo[scalarLabel], MATCH( scalarDataframe[[#This Row],[scalarName]], co_scalarInfo[scalarName], 0 ) )</f>
        <v>Southwest Dusts (All Ages)</v>
      </c>
      <c r="D407" s="17" t="s">
        <v>259</v>
      </c>
      <c r="E407" s="18" t="s">
        <v>12</v>
      </c>
      <c r="F407" s="25">
        <v>2085</v>
      </c>
      <c r="G407" s="26">
        <v>0.2659123805250127</v>
      </c>
    </row>
    <row r="408" spans="1:7" x14ac:dyDescent="0.35">
      <c r="A408" s="9">
        <f xml:space="preserve"> ROW( scalarDataframe[[#This Row],[row_id]] ) - ROW( scalarDataframe[[#Headers],[row_id]] )</f>
        <v>407</v>
      </c>
      <c r="B408" s="11" t="str">
        <f xml:space="preserve"> INDEX( co_scalarInfo[scalarType], MATCH( scalarDataframe[[#This Row],[scalarName]],  co_scalarInfo[scalarName], 0 ) )</f>
        <v>physAdj</v>
      </c>
      <c r="C408" s="46" t="str">
        <f xml:space="preserve"> INDEX( co_scalarInfo[scalarLabel], MATCH( scalarDataframe[[#This Row],[scalarName]], co_scalarInfo[scalarName], 0 ) )</f>
        <v>Southwest Dusts (All Ages)</v>
      </c>
      <c r="D408" s="17" t="s">
        <v>259</v>
      </c>
      <c r="E408" s="18" t="s">
        <v>12</v>
      </c>
      <c r="F408" s="25">
        <v>2090</v>
      </c>
      <c r="G408" s="26">
        <v>0.26600775716086311</v>
      </c>
    </row>
    <row r="409" spans="1:7" x14ac:dyDescent="0.35">
      <c r="A409" s="9">
        <f xml:space="preserve"> ROW( scalarDataframe[[#This Row],[row_id]] ) - ROW( scalarDataframe[[#Headers],[row_id]] )</f>
        <v>408</v>
      </c>
      <c r="B409" s="11" t="str">
        <f xml:space="preserve"> INDEX( co_scalarInfo[scalarType], MATCH( scalarDataframe[[#This Row],[scalarName]],  co_scalarInfo[scalarName], 0 ) )</f>
        <v>physScalar</v>
      </c>
      <c r="C409" s="46" t="str">
        <f xml:space="preserve"> INDEX( co_scalarInfo[scalarLabel], MATCH( scalarDataframe[[#This Row],[scalarName]], co_scalarInfo[scalarName], 0 ) )</f>
        <v>High Risk Worker Population</v>
      </c>
      <c r="D409" s="17" t="s">
        <v>759</v>
      </c>
      <c r="E409" s="18" t="s">
        <v>6</v>
      </c>
      <c r="F409" s="25">
        <v>2010</v>
      </c>
      <c r="G409" s="26">
        <v>7765006</v>
      </c>
    </row>
    <row r="410" spans="1:7" x14ac:dyDescent="0.35">
      <c r="A410" s="9">
        <f xml:space="preserve"> ROW( scalarDataframe[[#This Row],[row_id]] ) - ROW( scalarDataframe[[#Headers],[row_id]] )</f>
        <v>409</v>
      </c>
      <c r="B410" s="11" t="str">
        <f xml:space="preserve"> INDEX( co_scalarInfo[scalarType], MATCH( scalarDataframe[[#This Row],[scalarName]],  co_scalarInfo[scalarName], 0 ) )</f>
        <v>physScalar</v>
      </c>
      <c r="C410" s="46" t="str">
        <f xml:space="preserve"> INDEX( co_scalarInfo[scalarLabel], MATCH( scalarDataframe[[#This Row],[scalarName]], co_scalarInfo[scalarName], 0 ) )</f>
        <v>High Risk Worker Population</v>
      </c>
      <c r="D410" s="17" t="s">
        <v>759</v>
      </c>
      <c r="E410" s="18" t="s">
        <v>6</v>
      </c>
      <c r="F410" s="25">
        <v>2015</v>
      </c>
      <c r="G410" s="26">
        <v>7765006</v>
      </c>
    </row>
    <row r="411" spans="1:7" x14ac:dyDescent="0.35">
      <c r="A411" s="9">
        <f xml:space="preserve"> ROW( scalarDataframe[[#This Row],[row_id]] ) - ROW( scalarDataframe[[#Headers],[row_id]] )</f>
        <v>410</v>
      </c>
      <c r="B411" s="11" t="str">
        <f xml:space="preserve"> INDEX( co_scalarInfo[scalarType], MATCH( scalarDataframe[[#This Row],[scalarName]],  co_scalarInfo[scalarName], 0 ) )</f>
        <v>physScalar</v>
      </c>
      <c r="C411" s="46" t="str">
        <f xml:space="preserve"> INDEX( co_scalarInfo[scalarLabel], MATCH( scalarDataframe[[#This Row],[scalarName]], co_scalarInfo[scalarName], 0 ) )</f>
        <v>High Risk Worker Population</v>
      </c>
      <c r="D411" s="17" t="s">
        <v>759</v>
      </c>
      <c r="E411" s="18" t="s">
        <v>6</v>
      </c>
      <c r="F411" s="25">
        <v>2020</v>
      </c>
      <c r="G411" s="26">
        <v>7765006</v>
      </c>
    </row>
    <row r="412" spans="1:7" x14ac:dyDescent="0.35">
      <c r="A412" s="9">
        <f xml:space="preserve"> ROW( scalarDataframe[[#This Row],[row_id]] ) - ROW( scalarDataframe[[#Headers],[row_id]] )</f>
        <v>411</v>
      </c>
      <c r="B412" s="11" t="str">
        <f xml:space="preserve"> INDEX( co_scalarInfo[scalarType], MATCH( scalarDataframe[[#This Row],[scalarName]],  co_scalarInfo[scalarName], 0 ) )</f>
        <v>physScalar</v>
      </c>
      <c r="C412" s="46" t="str">
        <f xml:space="preserve"> INDEX( co_scalarInfo[scalarLabel], MATCH( scalarDataframe[[#This Row],[scalarName]], co_scalarInfo[scalarName], 0 ) )</f>
        <v>High Risk Worker Population</v>
      </c>
      <c r="D412" s="17" t="s">
        <v>759</v>
      </c>
      <c r="E412" s="18" t="s">
        <v>6</v>
      </c>
      <c r="F412" s="25">
        <v>2025</v>
      </c>
      <c r="G412" s="26">
        <v>7765006</v>
      </c>
    </row>
    <row r="413" spans="1:7" x14ac:dyDescent="0.35">
      <c r="A413" s="9">
        <f xml:space="preserve"> ROW( scalarDataframe[[#This Row],[row_id]] ) - ROW( scalarDataframe[[#Headers],[row_id]] )</f>
        <v>412</v>
      </c>
      <c r="B413" s="11" t="str">
        <f xml:space="preserve"> INDEX( co_scalarInfo[scalarType], MATCH( scalarDataframe[[#This Row],[scalarName]],  co_scalarInfo[scalarName], 0 ) )</f>
        <v>physScalar</v>
      </c>
      <c r="C413" s="46" t="str">
        <f xml:space="preserve"> INDEX( co_scalarInfo[scalarLabel], MATCH( scalarDataframe[[#This Row],[scalarName]], co_scalarInfo[scalarName], 0 ) )</f>
        <v>High Risk Worker Population</v>
      </c>
      <c r="D413" s="17" t="s">
        <v>759</v>
      </c>
      <c r="E413" s="18" t="s">
        <v>6</v>
      </c>
      <c r="F413" s="25">
        <v>2030</v>
      </c>
      <c r="G413" s="26">
        <v>7765006</v>
      </c>
    </row>
    <row r="414" spans="1:7" x14ac:dyDescent="0.35">
      <c r="A414" s="9">
        <f xml:space="preserve"> ROW( scalarDataframe[[#This Row],[row_id]] ) - ROW( scalarDataframe[[#Headers],[row_id]] )</f>
        <v>413</v>
      </c>
      <c r="B414" s="11" t="str">
        <f xml:space="preserve"> INDEX( co_scalarInfo[scalarType], MATCH( scalarDataframe[[#This Row],[scalarName]],  co_scalarInfo[scalarName], 0 ) )</f>
        <v>physScalar</v>
      </c>
      <c r="C414" s="46" t="str">
        <f xml:space="preserve"> INDEX( co_scalarInfo[scalarLabel], MATCH( scalarDataframe[[#This Row],[scalarName]], co_scalarInfo[scalarName], 0 ) )</f>
        <v>High Risk Worker Population</v>
      </c>
      <c r="D414" s="17" t="s">
        <v>759</v>
      </c>
      <c r="E414" s="18" t="s">
        <v>6</v>
      </c>
      <c r="F414" s="25">
        <v>2035</v>
      </c>
      <c r="G414" s="26">
        <v>7765006</v>
      </c>
    </row>
    <row r="415" spans="1:7" x14ac:dyDescent="0.35">
      <c r="A415" s="9">
        <f xml:space="preserve"> ROW( scalarDataframe[[#This Row],[row_id]] ) - ROW( scalarDataframe[[#Headers],[row_id]] )</f>
        <v>414</v>
      </c>
      <c r="B415" s="11" t="str">
        <f xml:space="preserve"> INDEX( co_scalarInfo[scalarType], MATCH( scalarDataframe[[#This Row],[scalarName]],  co_scalarInfo[scalarName], 0 ) )</f>
        <v>physScalar</v>
      </c>
      <c r="C415" s="46" t="str">
        <f xml:space="preserve"> INDEX( co_scalarInfo[scalarLabel], MATCH( scalarDataframe[[#This Row],[scalarName]], co_scalarInfo[scalarName], 0 ) )</f>
        <v>High Risk Worker Population</v>
      </c>
      <c r="D415" s="17" t="s">
        <v>759</v>
      </c>
      <c r="E415" s="18" t="s">
        <v>6</v>
      </c>
      <c r="F415" s="25">
        <v>2040</v>
      </c>
      <c r="G415" s="26">
        <v>7765006</v>
      </c>
    </row>
    <row r="416" spans="1:7" x14ac:dyDescent="0.35">
      <c r="A416" s="9">
        <f xml:space="preserve"> ROW( scalarDataframe[[#This Row],[row_id]] ) - ROW( scalarDataframe[[#Headers],[row_id]] )</f>
        <v>415</v>
      </c>
      <c r="B416" s="11" t="str">
        <f xml:space="preserve"> INDEX( co_scalarInfo[scalarType], MATCH( scalarDataframe[[#This Row],[scalarName]],  co_scalarInfo[scalarName], 0 ) )</f>
        <v>physScalar</v>
      </c>
      <c r="C416" s="46" t="str">
        <f xml:space="preserve"> INDEX( co_scalarInfo[scalarLabel], MATCH( scalarDataframe[[#This Row],[scalarName]], co_scalarInfo[scalarName], 0 ) )</f>
        <v>High Risk Worker Population</v>
      </c>
      <c r="D416" s="17" t="s">
        <v>759</v>
      </c>
      <c r="E416" s="18" t="s">
        <v>6</v>
      </c>
      <c r="F416" s="25">
        <v>2045</v>
      </c>
      <c r="G416" s="26">
        <v>7765006</v>
      </c>
    </row>
    <row r="417" spans="1:7" x14ac:dyDescent="0.35">
      <c r="A417" s="9">
        <f xml:space="preserve"> ROW( scalarDataframe[[#This Row],[row_id]] ) - ROW( scalarDataframe[[#Headers],[row_id]] )</f>
        <v>416</v>
      </c>
      <c r="B417" s="11" t="str">
        <f xml:space="preserve"> INDEX( co_scalarInfo[scalarType], MATCH( scalarDataframe[[#This Row],[scalarName]],  co_scalarInfo[scalarName], 0 ) )</f>
        <v>physScalar</v>
      </c>
      <c r="C417" s="46" t="str">
        <f xml:space="preserve"> INDEX( co_scalarInfo[scalarLabel], MATCH( scalarDataframe[[#This Row],[scalarName]], co_scalarInfo[scalarName], 0 ) )</f>
        <v>High Risk Worker Population</v>
      </c>
      <c r="D417" s="17" t="s">
        <v>759</v>
      </c>
      <c r="E417" s="18" t="s">
        <v>6</v>
      </c>
      <c r="F417" s="25">
        <v>2050</v>
      </c>
      <c r="G417" s="26">
        <v>7765006</v>
      </c>
    </row>
    <row r="418" spans="1:7" x14ac:dyDescent="0.35">
      <c r="A418" s="9">
        <f xml:space="preserve"> ROW( scalarDataframe[[#This Row],[row_id]] ) - ROW( scalarDataframe[[#Headers],[row_id]] )</f>
        <v>417</v>
      </c>
      <c r="B418" s="11" t="str">
        <f xml:space="preserve"> INDEX( co_scalarInfo[scalarType], MATCH( scalarDataframe[[#This Row],[scalarName]],  co_scalarInfo[scalarName], 0 ) )</f>
        <v>physScalar</v>
      </c>
      <c r="C418" s="46" t="str">
        <f xml:space="preserve"> INDEX( co_scalarInfo[scalarLabel], MATCH( scalarDataframe[[#This Row],[scalarName]], co_scalarInfo[scalarName], 0 ) )</f>
        <v>High Risk Worker Population</v>
      </c>
      <c r="D418" s="17" t="s">
        <v>759</v>
      </c>
      <c r="E418" s="18" t="s">
        <v>6</v>
      </c>
      <c r="F418" s="25">
        <v>2055</v>
      </c>
      <c r="G418" s="26">
        <v>7765006</v>
      </c>
    </row>
    <row r="419" spans="1:7" x14ac:dyDescent="0.35">
      <c r="A419" s="9">
        <f xml:space="preserve"> ROW( scalarDataframe[[#This Row],[row_id]] ) - ROW( scalarDataframe[[#Headers],[row_id]] )</f>
        <v>418</v>
      </c>
      <c r="B419" s="11" t="str">
        <f xml:space="preserve"> INDEX( co_scalarInfo[scalarType], MATCH( scalarDataframe[[#This Row],[scalarName]],  co_scalarInfo[scalarName], 0 ) )</f>
        <v>physScalar</v>
      </c>
      <c r="C419" s="46" t="str">
        <f xml:space="preserve"> INDEX( co_scalarInfo[scalarLabel], MATCH( scalarDataframe[[#This Row],[scalarName]], co_scalarInfo[scalarName], 0 ) )</f>
        <v>High Risk Worker Population</v>
      </c>
      <c r="D419" s="17" t="s">
        <v>759</v>
      </c>
      <c r="E419" s="18" t="s">
        <v>6</v>
      </c>
      <c r="F419" s="25">
        <v>2060</v>
      </c>
      <c r="G419" s="26">
        <v>7765006</v>
      </c>
    </row>
    <row r="420" spans="1:7" x14ac:dyDescent="0.35">
      <c r="A420" s="9">
        <f xml:space="preserve"> ROW( scalarDataframe[[#This Row],[row_id]] ) - ROW( scalarDataframe[[#Headers],[row_id]] )</f>
        <v>419</v>
      </c>
      <c r="B420" s="11" t="str">
        <f xml:space="preserve"> INDEX( co_scalarInfo[scalarType], MATCH( scalarDataframe[[#This Row],[scalarName]],  co_scalarInfo[scalarName], 0 ) )</f>
        <v>physScalar</v>
      </c>
      <c r="C420" s="46" t="str">
        <f xml:space="preserve"> INDEX( co_scalarInfo[scalarLabel], MATCH( scalarDataframe[[#This Row],[scalarName]], co_scalarInfo[scalarName], 0 ) )</f>
        <v>High Risk Worker Population</v>
      </c>
      <c r="D420" s="17" t="s">
        <v>759</v>
      </c>
      <c r="E420" s="18" t="s">
        <v>6</v>
      </c>
      <c r="F420" s="25">
        <v>2065</v>
      </c>
      <c r="G420" s="26">
        <v>7765006</v>
      </c>
    </row>
    <row r="421" spans="1:7" x14ac:dyDescent="0.35">
      <c r="A421" s="9">
        <f xml:space="preserve"> ROW( scalarDataframe[[#This Row],[row_id]] ) - ROW( scalarDataframe[[#Headers],[row_id]] )</f>
        <v>420</v>
      </c>
      <c r="B421" s="11" t="str">
        <f xml:space="preserve"> INDEX( co_scalarInfo[scalarType], MATCH( scalarDataframe[[#This Row],[scalarName]],  co_scalarInfo[scalarName], 0 ) )</f>
        <v>physScalar</v>
      </c>
      <c r="C421" s="46" t="str">
        <f xml:space="preserve"> INDEX( co_scalarInfo[scalarLabel], MATCH( scalarDataframe[[#This Row],[scalarName]], co_scalarInfo[scalarName], 0 ) )</f>
        <v>High Risk Worker Population</v>
      </c>
      <c r="D421" s="17" t="s">
        <v>759</v>
      </c>
      <c r="E421" s="18" t="s">
        <v>6</v>
      </c>
      <c r="F421" s="25">
        <v>2070</v>
      </c>
      <c r="G421" s="26">
        <v>7765006</v>
      </c>
    </row>
    <row r="422" spans="1:7" x14ac:dyDescent="0.35">
      <c r="A422" s="9">
        <f xml:space="preserve"> ROW( scalarDataframe[[#This Row],[row_id]] ) - ROW( scalarDataframe[[#Headers],[row_id]] )</f>
        <v>421</v>
      </c>
      <c r="B422" s="11" t="str">
        <f xml:space="preserve"> INDEX( co_scalarInfo[scalarType], MATCH( scalarDataframe[[#This Row],[scalarName]],  co_scalarInfo[scalarName], 0 ) )</f>
        <v>physScalar</v>
      </c>
      <c r="C422" s="46" t="str">
        <f xml:space="preserve"> INDEX( co_scalarInfo[scalarLabel], MATCH( scalarDataframe[[#This Row],[scalarName]], co_scalarInfo[scalarName], 0 ) )</f>
        <v>High Risk Worker Population</v>
      </c>
      <c r="D422" s="17" t="s">
        <v>759</v>
      </c>
      <c r="E422" s="18" t="s">
        <v>6</v>
      </c>
      <c r="F422" s="25">
        <v>2075</v>
      </c>
      <c r="G422" s="26">
        <v>7765006</v>
      </c>
    </row>
    <row r="423" spans="1:7" x14ac:dyDescent="0.35">
      <c r="A423" s="9">
        <f xml:space="preserve"> ROW( scalarDataframe[[#This Row],[row_id]] ) - ROW( scalarDataframe[[#Headers],[row_id]] )</f>
        <v>422</v>
      </c>
      <c r="B423" s="11" t="str">
        <f xml:space="preserve"> INDEX( co_scalarInfo[scalarType], MATCH( scalarDataframe[[#This Row],[scalarName]],  co_scalarInfo[scalarName], 0 ) )</f>
        <v>physScalar</v>
      </c>
      <c r="C423" s="46" t="str">
        <f xml:space="preserve"> INDEX( co_scalarInfo[scalarLabel], MATCH( scalarDataframe[[#This Row],[scalarName]], co_scalarInfo[scalarName], 0 ) )</f>
        <v>High Risk Worker Population</v>
      </c>
      <c r="D423" s="17" t="s">
        <v>759</v>
      </c>
      <c r="E423" s="18" t="s">
        <v>6</v>
      </c>
      <c r="F423" s="25">
        <v>2080</v>
      </c>
      <c r="G423" s="26">
        <v>7765006</v>
      </c>
    </row>
    <row r="424" spans="1:7" x14ac:dyDescent="0.35">
      <c r="A424" s="9">
        <f xml:space="preserve"> ROW( scalarDataframe[[#This Row],[row_id]] ) - ROW( scalarDataframe[[#Headers],[row_id]] )</f>
        <v>423</v>
      </c>
      <c r="B424" s="11" t="str">
        <f xml:space="preserve"> INDEX( co_scalarInfo[scalarType], MATCH( scalarDataframe[[#This Row],[scalarName]],  co_scalarInfo[scalarName], 0 ) )</f>
        <v>physScalar</v>
      </c>
      <c r="C424" s="46" t="str">
        <f xml:space="preserve"> INDEX( co_scalarInfo[scalarLabel], MATCH( scalarDataframe[[#This Row],[scalarName]], co_scalarInfo[scalarName], 0 ) )</f>
        <v>High Risk Worker Population</v>
      </c>
      <c r="D424" s="17" t="s">
        <v>759</v>
      </c>
      <c r="E424" s="18" t="s">
        <v>6</v>
      </c>
      <c r="F424" s="25">
        <v>2085</v>
      </c>
      <c r="G424" s="26">
        <v>7765006</v>
      </c>
    </row>
    <row r="425" spans="1:7" x14ac:dyDescent="0.35">
      <c r="A425" s="9">
        <f xml:space="preserve"> ROW( scalarDataframe[[#This Row],[row_id]] ) - ROW( scalarDataframe[[#Headers],[row_id]] )</f>
        <v>424</v>
      </c>
      <c r="B425" s="11" t="str">
        <f xml:space="preserve"> INDEX( co_scalarInfo[scalarType], MATCH( scalarDataframe[[#This Row],[scalarName]],  co_scalarInfo[scalarName], 0 ) )</f>
        <v>physScalar</v>
      </c>
      <c r="C425" s="46" t="str">
        <f xml:space="preserve"> INDEX( co_scalarInfo[scalarLabel], MATCH( scalarDataframe[[#This Row],[scalarName]], co_scalarInfo[scalarName], 0 ) )</f>
        <v>High Risk Worker Population</v>
      </c>
      <c r="D425" s="17" t="s">
        <v>759</v>
      </c>
      <c r="E425" s="18" t="s">
        <v>6</v>
      </c>
      <c r="F425" s="25">
        <v>2090</v>
      </c>
      <c r="G425" s="26">
        <v>7765006</v>
      </c>
    </row>
    <row r="426" spans="1:7" x14ac:dyDescent="0.35">
      <c r="A426" s="9">
        <f xml:space="preserve"> ROW( scalarDataframe[[#This Row],[row_id]] ) - ROW( scalarDataframe[[#Headers],[row_id]] )</f>
        <v>425</v>
      </c>
      <c r="B426" s="11" t="str">
        <f xml:space="preserve"> INDEX( co_scalarInfo[scalarType], MATCH( scalarDataframe[[#This Row],[scalarName]],  co_scalarInfo[scalarName], 0 ) )</f>
        <v>physScalar</v>
      </c>
      <c r="C426" s="46" t="str">
        <f xml:space="preserve"> INDEX( co_scalarInfo[scalarLabel], MATCH( scalarDataframe[[#This Row],[scalarName]], co_scalarInfo[scalarName], 0 ) )</f>
        <v>High Risk Worker Population</v>
      </c>
      <c r="D426" s="17" t="s">
        <v>759</v>
      </c>
      <c r="E426" s="18" t="s">
        <v>7</v>
      </c>
      <c r="F426" s="25">
        <v>2010</v>
      </c>
      <c r="G426" s="26">
        <v>6348864</v>
      </c>
    </row>
    <row r="427" spans="1:7" x14ac:dyDescent="0.35">
      <c r="A427" s="9">
        <f xml:space="preserve"> ROW( scalarDataframe[[#This Row],[row_id]] ) - ROW( scalarDataframe[[#Headers],[row_id]] )</f>
        <v>426</v>
      </c>
      <c r="B427" s="11" t="str">
        <f xml:space="preserve"> INDEX( co_scalarInfo[scalarType], MATCH( scalarDataframe[[#This Row],[scalarName]],  co_scalarInfo[scalarName], 0 ) )</f>
        <v>physScalar</v>
      </c>
      <c r="C427" s="46" t="str">
        <f xml:space="preserve"> INDEX( co_scalarInfo[scalarLabel], MATCH( scalarDataframe[[#This Row],[scalarName]], co_scalarInfo[scalarName], 0 ) )</f>
        <v>High Risk Worker Population</v>
      </c>
      <c r="D427" s="17" t="s">
        <v>759</v>
      </c>
      <c r="E427" s="18" t="s">
        <v>7</v>
      </c>
      <c r="F427" s="25">
        <v>2015</v>
      </c>
      <c r="G427" s="26">
        <v>6348864</v>
      </c>
    </row>
    <row r="428" spans="1:7" x14ac:dyDescent="0.35">
      <c r="A428" s="9">
        <f xml:space="preserve"> ROW( scalarDataframe[[#This Row],[row_id]] ) - ROW( scalarDataframe[[#Headers],[row_id]] )</f>
        <v>427</v>
      </c>
      <c r="B428" s="11" t="str">
        <f xml:space="preserve"> INDEX( co_scalarInfo[scalarType], MATCH( scalarDataframe[[#This Row],[scalarName]],  co_scalarInfo[scalarName], 0 ) )</f>
        <v>physScalar</v>
      </c>
      <c r="C428" s="46" t="str">
        <f xml:space="preserve"> INDEX( co_scalarInfo[scalarLabel], MATCH( scalarDataframe[[#This Row],[scalarName]], co_scalarInfo[scalarName], 0 ) )</f>
        <v>High Risk Worker Population</v>
      </c>
      <c r="D428" s="17" t="s">
        <v>759</v>
      </c>
      <c r="E428" s="18" t="s">
        <v>7</v>
      </c>
      <c r="F428" s="25">
        <v>2020</v>
      </c>
      <c r="G428" s="26">
        <v>6348864</v>
      </c>
    </row>
    <row r="429" spans="1:7" x14ac:dyDescent="0.35">
      <c r="A429" s="9">
        <f xml:space="preserve"> ROW( scalarDataframe[[#This Row],[row_id]] ) - ROW( scalarDataframe[[#Headers],[row_id]] )</f>
        <v>428</v>
      </c>
      <c r="B429" s="11" t="str">
        <f xml:space="preserve"> INDEX( co_scalarInfo[scalarType], MATCH( scalarDataframe[[#This Row],[scalarName]],  co_scalarInfo[scalarName], 0 ) )</f>
        <v>physScalar</v>
      </c>
      <c r="C429" s="46" t="str">
        <f xml:space="preserve"> INDEX( co_scalarInfo[scalarLabel], MATCH( scalarDataframe[[#This Row],[scalarName]], co_scalarInfo[scalarName], 0 ) )</f>
        <v>High Risk Worker Population</v>
      </c>
      <c r="D429" s="17" t="s">
        <v>759</v>
      </c>
      <c r="E429" s="18" t="s">
        <v>7</v>
      </c>
      <c r="F429" s="25">
        <v>2025</v>
      </c>
      <c r="G429" s="26">
        <v>6348864</v>
      </c>
    </row>
    <row r="430" spans="1:7" x14ac:dyDescent="0.35">
      <c r="A430" s="9">
        <f xml:space="preserve"> ROW( scalarDataframe[[#This Row],[row_id]] ) - ROW( scalarDataframe[[#Headers],[row_id]] )</f>
        <v>429</v>
      </c>
      <c r="B430" s="11" t="str">
        <f xml:space="preserve"> INDEX( co_scalarInfo[scalarType], MATCH( scalarDataframe[[#This Row],[scalarName]],  co_scalarInfo[scalarName], 0 ) )</f>
        <v>physScalar</v>
      </c>
      <c r="C430" s="46" t="str">
        <f xml:space="preserve"> INDEX( co_scalarInfo[scalarLabel], MATCH( scalarDataframe[[#This Row],[scalarName]], co_scalarInfo[scalarName], 0 ) )</f>
        <v>High Risk Worker Population</v>
      </c>
      <c r="D430" s="17" t="s">
        <v>759</v>
      </c>
      <c r="E430" s="18" t="s">
        <v>7</v>
      </c>
      <c r="F430" s="25">
        <v>2030</v>
      </c>
      <c r="G430" s="26">
        <v>6348864</v>
      </c>
    </row>
    <row r="431" spans="1:7" x14ac:dyDescent="0.35">
      <c r="A431" s="9">
        <f xml:space="preserve"> ROW( scalarDataframe[[#This Row],[row_id]] ) - ROW( scalarDataframe[[#Headers],[row_id]] )</f>
        <v>430</v>
      </c>
      <c r="B431" s="11" t="str">
        <f xml:space="preserve"> INDEX( co_scalarInfo[scalarType], MATCH( scalarDataframe[[#This Row],[scalarName]],  co_scalarInfo[scalarName], 0 ) )</f>
        <v>physScalar</v>
      </c>
      <c r="C431" s="46" t="str">
        <f xml:space="preserve"> INDEX( co_scalarInfo[scalarLabel], MATCH( scalarDataframe[[#This Row],[scalarName]], co_scalarInfo[scalarName], 0 ) )</f>
        <v>High Risk Worker Population</v>
      </c>
      <c r="D431" s="17" t="s">
        <v>759</v>
      </c>
      <c r="E431" s="18" t="s">
        <v>7</v>
      </c>
      <c r="F431" s="25">
        <v>2035</v>
      </c>
      <c r="G431" s="26">
        <v>6348864</v>
      </c>
    </row>
    <row r="432" spans="1:7" x14ac:dyDescent="0.35">
      <c r="A432" s="9">
        <f xml:space="preserve"> ROW( scalarDataframe[[#This Row],[row_id]] ) - ROW( scalarDataframe[[#Headers],[row_id]] )</f>
        <v>431</v>
      </c>
      <c r="B432" s="11" t="str">
        <f xml:space="preserve"> INDEX( co_scalarInfo[scalarType], MATCH( scalarDataframe[[#This Row],[scalarName]],  co_scalarInfo[scalarName], 0 ) )</f>
        <v>physScalar</v>
      </c>
      <c r="C432" s="46" t="str">
        <f xml:space="preserve"> INDEX( co_scalarInfo[scalarLabel], MATCH( scalarDataframe[[#This Row],[scalarName]], co_scalarInfo[scalarName], 0 ) )</f>
        <v>High Risk Worker Population</v>
      </c>
      <c r="D432" s="17" t="s">
        <v>759</v>
      </c>
      <c r="E432" s="18" t="s">
        <v>7</v>
      </c>
      <c r="F432" s="25">
        <v>2040</v>
      </c>
      <c r="G432" s="26">
        <v>6348864</v>
      </c>
    </row>
    <row r="433" spans="1:7" x14ac:dyDescent="0.35">
      <c r="A433" s="9">
        <f xml:space="preserve"> ROW( scalarDataframe[[#This Row],[row_id]] ) - ROW( scalarDataframe[[#Headers],[row_id]] )</f>
        <v>432</v>
      </c>
      <c r="B433" s="11" t="str">
        <f xml:space="preserve"> INDEX( co_scalarInfo[scalarType], MATCH( scalarDataframe[[#This Row],[scalarName]],  co_scalarInfo[scalarName], 0 ) )</f>
        <v>physScalar</v>
      </c>
      <c r="C433" s="46" t="str">
        <f xml:space="preserve"> INDEX( co_scalarInfo[scalarLabel], MATCH( scalarDataframe[[#This Row],[scalarName]], co_scalarInfo[scalarName], 0 ) )</f>
        <v>High Risk Worker Population</v>
      </c>
      <c r="D433" s="17" t="s">
        <v>759</v>
      </c>
      <c r="E433" s="18" t="s">
        <v>7</v>
      </c>
      <c r="F433" s="25">
        <v>2045</v>
      </c>
      <c r="G433" s="26">
        <v>6348864</v>
      </c>
    </row>
    <row r="434" spans="1:7" x14ac:dyDescent="0.35">
      <c r="A434" s="9">
        <f xml:space="preserve"> ROW( scalarDataframe[[#This Row],[row_id]] ) - ROW( scalarDataframe[[#Headers],[row_id]] )</f>
        <v>433</v>
      </c>
      <c r="B434" s="11" t="str">
        <f xml:space="preserve"> INDEX( co_scalarInfo[scalarType], MATCH( scalarDataframe[[#This Row],[scalarName]],  co_scalarInfo[scalarName], 0 ) )</f>
        <v>physScalar</v>
      </c>
      <c r="C434" s="46" t="str">
        <f xml:space="preserve"> INDEX( co_scalarInfo[scalarLabel], MATCH( scalarDataframe[[#This Row],[scalarName]], co_scalarInfo[scalarName], 0 ) )</f>
        <v>High Risk Worker Population</v>
      </c>
      <c r="D434" s="17" t="s">
        <v>759</v>
      </c>
      <c r="E434" s="18" t="s">
        <v>7</v>
      </c>
      <c r="F434" s="25">
        <v>2050</v>
      </c>
      <c r="G434" s="26">
        <v>6348864</v>
      </c>
    </row>
    <row r="435" spans="1:7" x14ac:dyDescent="0.35">
      <c r="A435" s="9">
        <f xml:space="preserve"> ROW( scalarDataframe[[#This Row],[row_id]] ) - ROW( scalarDataframe[[#Headers],[row_id]] )</f>
        <v>434</v>
      </c>
      <c r="B435" s="11" t="str">
        <f xml:space="preserve"> INDEX( co_scalarInfo[scalarType], MATCH( scalarDataframe[[#This Row],[scalarName]],  co_scalarInfo[scalarName], 0 ) )</f>
        <v>physScalar</v>
      </c>
      <c r="C435" s="46" t="str">
        <f xml:space="preserve"> INDEX( co_scalarInfo[scalarLabel], MATCH( scalarDataframe[[#This Row],[scalarName]], co_scalarInfo[scalarName], 0 ) )</f>
        <v>High Risk Worker Population</v>
      </c>
      <c r="D435" s="17" t="s">
        <v>759</v>
      </c>
      <c r="E435" s="18" t="s">
        <v>7</v>
      </c>
      <c r="F435" s="25">
        <v>2055</v>
      </c>
      <c r="G435" s="26">
        <v>6348864</v>
      </c>
    </row>
    <row r="436" spans="1:7" x14ac:dyDescent="0.35">
      <c r="A436" s="9">
        <f xml:space="preserve"> ROW( scalarDataframe[[#This Row],[row_id]] ) - ROW( scalarDataframe[[#Headers],[row_id]] )</f>
        <v>435</v>
      </c>
      <c r="B436" s="11" t="str">
        <f xml:space="preserve"> INDEX( co_scalarInfo[scalarType], MATCH( scalarDataframe[[#This Row],[scalarName]],  co_scalarInfo[scalarName], 0 ) )</f>
        <v>physScalar</v>
      </c>
      <c r="C436" s="46" t="str">
        <f xml:space="preserve"> INDEX( co_scalarInfo[scalarLabel], MATCH( scalarDataframe[[#This Row],[scalarName]], co_scalarInfo[scalarName], 0 ) )</f>
        <v>High Risk Worker Population</v>
      </c>
      <c r="D436" s="17" t="s">
        <v>759</v>
      </c>
      <c r="E436" s="18" t="s">
        <v>7</v>
      </c>
      <c r="F436" s="25">
        <v>2060</v>
      </c>
      <c r="G436" s="26">
        <v>6348864</v>
      </c>
    </row>
    <row r="437" spans="1:7" x14ac:dyDescent="0.35">
      <c r="A437" s="9">
        <f xml:space="preserve"> ROW( scalarDataframe[[#This Row],[row_id]] ) - ROW( scalarDataframe[[#Headers],[row_id]] )</f>
        <v>436</v>
      </c>
      <c r="B437" s="11" t="str">
        <f xml:space="preserve"> INDEX( co_scalarInfo[scalarType], MATCH( scalarDataframe[[#This Row],[scalarName]],  co_scalarInfo[scalarName], 0 ) )</f>
        <v>physScalar</v>
      </c>
      <c r="C437" s="46" t="str">
        <f xml:space="preserve"> INDEX( co_scalarInfo[scalarLabel], MATCH( scalarDataframe[[#This Row],[scalarName]], co_scalarInfo[scalarName], 0 ) )</f>
        <v>High Risk Worker Population</v>
      </c>
      <c r="D437" s="17" t="s">
        <v>759</v>
      </c>
      <c r="E437" s="18" t="s">
        <v>7</v>
      </c>
      <c r="F437" s="25">
        <v>2065</v>
      </c>
      <c r="G437" s="26">
        <v>6348864</v>
      </c>
    </row>
    <row r="438" spans="1:7" x14ac:dyDescent="0.35">
      <c r="A438" s="9">
        <f xml:space="preserve"> ROW( scalarDataframe[[#This Row],[row_id]] ) - ROW( scalarDataframe[[#Headers],[row_id]] )</f>
        <v>437</v>
      </c>
      <c r="B438" s="11" t="str">
        <f xml:space="preserve"> INDEX( co_scalarInfo[scalarType], MATCH( scalarDataframe[[#This Row],[scalarName]],  co_scalarInfo[scalarName], 0 ) )</f>
        <v>physScalar</v>
      </c>
      <c r="C438" s="46" t="str">
        <f xml:space="preserve"> INDEX( co_scalarInfo[scalarLabel], MATCH( scalarDataframe[[#This Row],[scalarName]], co_scalarInfo[scalarName], 0 ) )</f>
        <v>High Risk Worker Population</v>
      </c>
      <c r="D438" s="17" t="s">
        <v>759</v>
      </c>
      <c r="E438" s="18" t="s">
        <v>7</v>
      </c>
      <c r="F438" s="25">
        <v>2070</v>
      </c>
      <c r="G438" s="26">
        <v>6348864</v>
      </c>
    </row>
    <row r="439" spans="1:7" x14ac:dyDescent="0.35">
      <c r="A439" s="9">
        <f xml:space="preserve"> ROW( scalarDataframe[[#This Row],[row_id]] ) - ROW( scalarDataframe[[#Headers],[row_id]] )</f>
        <v>438</v>
      </c>
      <c r="B439" s="11" t="str">
        <f xml:space="preserve"> INDEX( co_scalarInfo[scalarType], MATCH( scalarDataframe[[#This Row],[scalarName]],  co_scalarInfo[scalarName], 0 ) )</f>
        <v>physScalar</v>
      </c>
      <c r="C439" s="46" t="str">
        <f xml:space="preserve"> INDEX( co_scalarInfo[scalarLabel], MATCH( scalarDataframe[[#This Row],[scalarName]], co_scalarInfo[scalarName], 0 ) )</f>
        <v>High Risk Worker Population</v>
      </c>
      <c r="D439" s="17" t="s">
        <v>759</v>
      </c>
      <c r="E439" s="18" t="s">
        <v>7</v>
      </c>
      <c r="F439" s="25">
        <v>2075</v>
      </c>
      <c r="G439" s="26">
        <v>6348864</v>
      </c>
    </row>
    <row r="440" spans="1:7" x14ac:dyDescent="0.35">
      <c r="A440" s="9">
        <f xml:space="preserve"> ROW( scalarDataframe[[#This Row],[row_id]] ) - ROW( scalarDataframe[[#Headers],[row_id]] )</f>
        <v>439</v>
      </c>
      <c r="B440" s="11" t="str">
        <f xml:space="preserve"> INDEX( co_scalarInfo[scalarType], MATCH( scalarDataframe[[#This Row],[scalarName]],  co_scalarInfo[scalarName], 0 ) )</f>
        <v>physScalar</v>
      </c>
      <c r="C440" s="46" t="str">
        <f xml:space="preserve"> INDEX( co_scalarInfo[scalarLabel], MATCH( scalarDataframe[[#This Row],[scalarName]], co_scalarInfo[scalarName], 0 ) )</f>
        <v>High Risk Worker Population</v>
      </c>
      <c r="D440" s="17" t="s">
        <v>759</v>
      </c>
      <c r="E440" s="18" t="s">
        <v>7</v>
      </c>
      <c r="F440" s="25">
        <v>2080</v>
      </c>
      <c r="G440" s="26">
        <v>6348864</v>
      </c>
    </row>
    <row r="441" spans="1:7" x14ac:dyDescent="0.35">
      <c r="A441" s="9">
        <f xml:space="preserve"> ROW( scalarDataframe[[#This Row],[row_id]] ) - ROW( scalarDataframe[[#Headers],[row_id]] )</f>
        <v>440</v>
      </c>
      <c r="B441" s="11" t="str">
        <f xml:space="preserve"> INDEX( co_scalarInfo[scalarType], MATCH( scalarDataframe[[#This Row],[scalarName]],  co_scalarInfo[scalarName], 0 ) )</f>
        <v>physScalar</v>
      </c>
      <c r="C441" s="46" t="str">
        <f xml:space="preserve"> INDEX( co_scalarInfo[scalarLabel], MATCH( scalarDataframe[[#This Row],[scalarName]], co_scalarInfo[scalarName], 0 ) )</f>
        <v>High Risk Worker Population</v>
      </c>
      <c r="D441" s="17" t="s">
        <v>759</v>
      </c>
      <c r="E441" s="18" t="s">
        <v>7</v>
      </c>
      <c r="F441" s="25">
        <v>2085</v>
      </c>
      <c r="G441" s="26">
        <v>6348864</v>
      </c>
    </row>
    <row r="442" spans="1:7" x14ac:dyDescent="0.35">
      <c r="A442" s="9">
        <f xml:space="preserve"> ROW( scalarDataframe[[#This Row],[row_id]] ) - ROW( scalarDataframe[[#Headers],[row_id]] )</f>
        <v>441</v>
      </c>
      <c r="B442" s="11" t="str">
        <f xml:space="preserve"> INDEX( co_scalarInfo[scalarType], MATCH( scalarDataframe[[#This Row],[scalarName]],  co_scalarInfo[scalarName], 0 ) )</f>
        <v>physScalar</v>
      </c>
      <c r="C442" s="46" t="str">
        <f xml:space="preserve"> INDEX( co_scalarInfo[scalarLabel], MATCH( scalarDataframe[[#This Row],[scalarName]], co_scalarInfo[scalarName], 0 ) )</f>
        <v>High Risk Worker Population</v>
      </c>
      <c r="D442" s="17" t="s">
        <v>759</v>
      </c>
      <c r="E442" s="18" t="s">
        <v>7</v>
      </c>
      <c r="F442" s="25">
        <v>2090</v>
      </c>
      <c r="G442" s="26">
        <v>6348864</v>
      </c>
    </row>
    <row r="443" spans="1:7" x14ac:dyDescent="0.35">
      <c r="A443" s="9">
        <f xml:space="preserve"> ROW( scalarDataframe[[#This Row],[row_id]] ) - ROW( scalarDataframe[[#Headers],[row_id]] )</f>
        <v>442</v>
      </c>
      <c r="B443" s="11" t="str">
        <f xml:space="preserve"> INDEX( co_scalarInfo[scalarType], MATCH( scalarDataframe[[#This Row],[scalarName]],  co_scalarInfo[scalarName], 0 ) )</f>
        <v>physScalar</v>
      </c>
      <c r="C443" s="46" t="str">
        <f xml:space="preserve"> INDEX( co_scalarInfo[scalarLabel], MATCH( scalarDataframe[[#This Row],[scalarName]], co_scalarInfo[scalarName], 0 ) )</f>
        <v>High Risk Worker Population</v>
      </c>
      <c r="D443" s="17" t="s">
        <v>759</v>
      </c>
      <c r="E443" s="18" t="s">
        <v>8</v>
      </c>
      <c r="F443" s="25">
        <v>2010</v>
      </c>
      <c r="G443" s="26">
        <v>694657</v>
      </c>
    </row>
    <row r="444" spans="1:7" x14ac:dyDescent="0.35">
      <c r="A444" s="9">
        <f xml:space="preserve"> ROW( scalarDataframe[[#This Row],[row_id]] ) - ROW( scalarDataframe[[#Headers],[row_id]] )</f>
        <v>443</v>
      </c>
      <c r="B444" s="11" t="str">
        <f xml:space="preserve"> INDEX( co_scalarInfo[scalarType], MATCH( scalarDataframe[[#This Row],[scalarName]],  co_scalarInfo[scalarName], 0 ) )</f>
        <v>physScalar</v>
      </c>
      <c r="C444" s="46" t="str">
        <f xml:space="preserve"> INDEX( co_scalarInfo[scalarLabel], MATCH( scalarDataframe[[#This Row],[scalarName]], co_scalarInfo[scalarName], 0 ) )</f>
        <v>High Risk Worker Population</v>
      </c>
      <c r="D444" s="17" t="s">
        <v>759</v>
      </c>
      <c r="E444" s="18" t="s">
        <v>8</v>
      </c>
      <c r="F444" s="25">
        <v>2015</v>
      </c>
      <c r="G444" s="26">
        <v>694657</v>
      </c>
    </row>
    <row r="445" spans="1:7" x14ac:dyDescent="0.35">
      <c r="A445" s="9">
        <f xml:space="preserve"> ROW( scalarDataframe[[#This Row],[row_id]] ) - ROW( scalarDataframe[[#Headers],[row_id]] )</f>
        <v>444</v>
      </c>
      <c r="B445" s="11" t="str">
        <f xml:space="preserve"> INDEX( co_scalarInfo[scalarType], MATCH( scalarDataframe[[#This Row],[scalarName]],  co_scalarInfo[scalarName], 0 ) )</f>
        <v>physScalar</v>
      </c>
      <c r="C445" s="46" t="str">
        <f xml:space="preserve"> INDEX( co_scalarInfo[scalarLabel], MATCH( scalarDataframe[[#This Row],[scalarName]], co_scalarInfo[scalarName], 0 ) )</f>
        <v>High Risk Worker Population</v>
      </c>
      <c r="D445" s="17" t="s">
        <v>759</v>
      </c>
      <c r="E445" s="18" t="s">
        <v>8</v>
      </c>
      <c r="F445" s="25">
        <v>2020</v>
      </c>
      <c r="G445" s="26">
        <v>694657</v>
      </c>
    </row>
    <row r="446" spans="1:7" x14ac:dyDescent="0.35">
      <c r="A446" s="9">
        <f xml:space="preserve"> ROW( scalarDataframe[[#This Row],[row_id]] ) - ROW( scalarDataframe[[#Headers],[row_id]] )</f>
        <v>445</v>
      </c>
      <c r="B446" s="11" t="str">
        <f xml:space="preserve"> INDEX( co_scalarInfo[scalarType], MATCH( scalarDataframe[[#This Row],[scalarName]],  co_scalarInfo[scalarName], 0 ) )</f>
        <v>physScalar</v>
      </c>
      <c r="C446" s="46" t="str">
        <f xml:space="preserve"> INDEX( co_scalarInfo[scalarLabel], MATCH( scalarDataframe[[#This Row],[scalarName]], co_scalarInfo[scalarName], 0 ) )</f>
        <v>High Risk Worker Population</v>
      </c>
      <c r="D446" s="17" t="s">
        <v>759</v>
      </c>
      <c r="E446" s="18" t="s">
        <v>8</v>
      </c>
      <c r="F446" s="25">
        <v>2025</v>
      </c>
      <c r="G446" s="26">
        <v>694657</v>
      </c>
    </row>
    <row r="447" spans="1:7" x14ac:dyDescent="0.35">
      <c r="A447" s="9">
        <f xml:space="preserve"> ROW( scalarDataframe[[#This Row],[row_id]] ) - ROW( scalarDataframe[[#Headers],[row_id]] )</f>
        <v>446</v>
      </c>
      <c r="B447" s="11" t="str">
        <f xml:space="preserve"> INDEX( co_scalarInfo[scalarType], MATCH( scalarDataframe[[#This Row],[scalarName]],  co_scalarInfo[scalarName], 0 ) )</f>
        <v>physScalar</v>
      </c>
      <c r="C447" s="46" t="str">
        <f xml:space="preserve"> INDEX( co_scalarInfo[scalarLabel], MATCH( scalarDataframe[[#This Row],[scalarName]], co_scalarInfo[scalarName], 0 ) )</f>
        <v>High Risk Worker Population</v>
      </c>
      <c r="D447" s="17" t="s">
        <v>759</v>
      </c>
      <c r="E447" s="18" t="s">
        <v>8</v>
      </c>
      <c r="F447" s="25">
        <v>2030</v>
      </c>
      <c r="G447" s="26">
        <v>694657</v>
      </c>
    </row>
    <row r="448" spans="1:7" x14ac:dyDescent="0.35">
      <c r="A448" s="9">
        <f xml:space="preserve"> ROW( scalarDataframe[[#This Row],[row_id]] ) - ROW( scalarDataframe[[#Headers],[row_id]] )</f>
        <v>447</v>
      </c>
      <c r="B448" s="11" t="str">
        <f xml:space="preserve"> INDEX( co_scalarInfo[scalarType], MATCH( scalarDataframe[[#This Row],[scalarName]],  co_scalarInfo[scalarName], 0 ) )</f>
        <v>physScalar</v>
      </c>
      <c r="C448" s="46" t="str">
        <f xml:space="preserve"> INDEX( co_scalarInfo[scalarLabel], MATCH( scalarDataframe[[#This Row],[scalarName]], co_scalarInfo[scalarName], 0 ) )</f>
        <v>High Risk Worker Population</v>
      </c>
      <c r="D448" s="17" t="s">
        <v>759</v>
      </c>
      <c r="E448" s="18" t="s">
        <v>8</v>
      </c>
      <c r="F448" s="25">
        <v>2035</v>
      </c>
      <c r="G448" s="26">
        <v>694657</v>
      </c>
    </row>
    <row r="449" spans="1:7" x14ac:dyDescent="0.35">
      <c r="A449" s="9">
        <f xml:space="preserve"> ROW( scalarDataframe[[#This Row],[row_id]] ) - ROW( scalarDataframe[[#Headers],[row_id]] )</f>
        <v>448</v>
      </c>
      <c r="B449" s="11" t="str">
        <f xml:space="preserve"> INDEX( co_scalarInfo[scalarType], MATCH( scalarDataframe[[#This Row],[scalarName]],  co_scalarInfo[scalarName], 0 ) )</f>
        <v>physScalar</v>
      </c>
      <c r="C449" s="46" t="str">
        <f xml:space="preserve"> INDEX( co_scalarInfo[scalarLabel], MATCH( scalarDataframe[[#This Row],[scalarName]], co_scalarInfo[scalarName], 0 ) )</f>
        <v>High Risk Worker Population</v>
      </c>
      <c r="D449" s="17" t="s">
        <v>759</v>
      </c>
      <c r="E449" s="18" t="s">
        <v>8</v>
      </c>
      <c r="F449" s="25">
        <v>2040</v>
      </c>
      <c r="G449" s="26">
        <v>694657</v>
      </c>
    </row>
    <row r="450" spans="1:7" x14ac:dyDescent="0.35">
      <c r="A450" s="9">
        <f xml:space="preserve"> ROW( scalarDataframe[[#This Row],[row_id]] ) - ROW( scalarDataframe[[#Headers],[row_id]] )</f>
        <v>449</v>
      </c>
      <c r="B450" s="11" t="str">
        <f xml:space="preserve"> INDEX( co_scalarInfo[scalarType], MATCH( scalarDataframe[[#This Row],[scalarName]],  co_scalarInfo[scalarName], 0 ) )</f>
        <v>physScalar</v>
      </c>
      <c r="C450" s="46" t="str">
        <f xml:space="preserve"> INDEX( co_scalarInfo[scalarLabel], MATCH( scalarDataframe[[#This Row],[scalarName]], co_scalarInfo[scalarName], 0 ) )</f>
        <v>High Risk Worker Population</v>
      </c>
      <c r="D450" s="17" t="s">
        <v>759</v>
      </c>
      <c r="E450" s="18" t="s">
        <v>8</v>
      </c>
      <c r="F450" s="25">
        <v>2045</v>
      </c>
      <c r="G450" s="26">
        <v>694657</v>
      </c>
    </row>
    <row r="451" spans="1:7" x14ac:dyDescent="0.35">
      <c r="A451" s="9">
        <f xml:space="preserve"> ROW( scalarDataframe[[#This Row],[row_id]] ) - ROW( scalarDataframe[[#Headers],[row_id]] )</f>
        <v>450</v>
      </c>
      <c r="B451" s="11" t="str">
        <f xml:space="preserve"> INDEX( co_scalarInfo[scalarType], MATCH( scalarDataframe[[#This Row],[scalarName]],  co_scalarInfo[scalarName], 0 ) )</f>
        <v>physScalar</v>
      </c>
      <c r="C451" s="46" t="str">
        <f xml:space="preserve"> INDEX( co_scalarInfo[scalarLabel], MATCH( scalarDataframe[[#This Row],[scalarName]], co_scalarInfo[scalarName], 0 ) )</f>
        <v>High Risk Worker Population</v>
      </c>
      <c r="D451" s="17" t="s">
        <v>759</v>
      </c>
      <c r="E451" s="18" t="s">
        <v>8</v>
      </c>
      <c r="F451" s="25">
        <v>2050</v>
      </c>
      <c r="G451" s="26">
        <v>694657</v>
      </c>
    </row>
    <row r="452" spans="1:7" x14ac:dyDescent="0.35">
      <c r="A452" s="9">
        <f xml:space="preserve"> ROW( scalarDataframe[[#This Row],[row_id]] ) - ROW( scalarDataframe[[#Headers],[row_id]] )</f>
        <v>451</v>
      </c>
      <c r="B452" s="11" t="str">
        <f xml:space="preserve"> INDEX( co_scalarInfo[scalarType], MATCH( scalarDataframe[[#This Row],[scalarName]],  co_scalarInfo[scalarName], 0 ) )</f>
        <v>physScalar</v>
      </c>
      <c r="C452" s="46" t="str">
        <f xml:space="preserve"> INDEX( co_scalarInfo[scalarLabel], MATCH( scalarDataframe[[#This Row],[scalarName]], co_scalarInfo[scalarName], 0 ) )</f>
        <v>High Risk Worker Population</v>
      </c>
      <c r="D452" s="17" t="s">
        <v>759</v>
      </c>
      <c r="E452" s="18" t="s">
        <v>8</v>
      </c>
      <c r="F452" s="25">
        <v>2055</v>
      </c>
      <c r="G452" s="26">
        <v>694657</v>
      </c>
    </row>
    <row r="453" spans="1:7" x14ac:dyDescent="0.35">
      <c r="A453" s="9">
        <f xml:space="preserve"> ROW( scalarDataframe[[#This Row],[row_id]] ) - ROW( scalarDataframe[[#Headers],[row_id]] )</f>
        <v>452</v>
      </c>
      <c r="B453" s="11" t="str">
        <f xml:space="preserve"> INDEX( co_scalarInfo[scalarType], MATCH( scalarDataframe[[#This Row],[scalarName]],  co_scalarInfo[scalarName], 0 ) )</f>
        <v>physScalar</v>
      </c>
      <c r="C453" s="46" t="str">
        <f xml:space="preserve"> INDEX( co_scalarInfo[scalarLabel], MATCH( scalarDataframe[[#This Row],[scalarName]], co_scalarInfo[scalarName], 0 ) )</f>
        <v>High Risk Worker Population</v>
      </c>
      <c r="D453" s="17" t="s">
        <v>759</v>
      </c>
      <c r="E453" s="18" t="s">
        <v>8</v>
      </c>
      <c r="F453" s="25">
        <v>2060</v>
      </c>
      <c r="G453" s="26">
        <v>694657</v>
      </c>
    </row>
    <row r="454" spans="1:7" x14ac:dyDescent="0.35">
      <c r="A454" s="9">
        <f xml:space="preserve"> ROW( scalarDataframe[[#This Row],[row_id]] ) - ROW( scalarDataframe[[#Headers],[row_id]] )</f>
        <v>453</v>
      </c>
      <c r="B454" s="11" t="str">
        <f xml:space="preserve"> INDEX( co_scalarInfo[scalarType], MATCH( scalarDataframe[[#This Row],[scalarName]],  co_scalarInfo[scalarName], 0 ) )</f>
        <v>physScalar</v>
      </c>
      <c r="C454" s="46" t="str">
        <f xml:space="preserve"> INDEX( co_scalarInfo[scalarLabel], MATCH( scalarDataframe[[#This Row],[scalarName]], co_scalarInfo[scalarName], 0 ) )</f>
        <v>High Risk Worker Population</v>
      </c>
      <c r="D454" s="17" t="s">
        <v>759</v>
      </c>
      <c r="E454" s="18" t="s">
        <v>8</v>
      </c>
      <c r="F454" s="25">
        <v>2065</v>
      </c>
      <c r="G454" s="26">
        <v>694657</v>
      </c>
    </row>
    <row r="455" spans="1:7" x14ac:dyDescent="0.35">
      <c r="A455" s="9">
        <f xml:space="preserve"> ROW( scalarDataframe[[#This Row],[row_id]] ) - ROW( scalarDataframe[[#Headers],[row_id]] )</f>
        <v>454</v>
      </c>
      <c r="B455" s="11" t="str">
        <f xml:space="preserve"> INDEX( co_scalarInfo[scalarType], MATCH( scalarDataframe[[#This Row],[scalarName]],  co_scalarInfo[scalarName], 0 ) )</f>
        <v>physScalar</v>
      </c>
      <c r="C455" s="46" t="str">
        <f xml:space="preserve"> INDEX( co_scalarInfo[scalarLabel], MATCH( scalarDataframe[[#This Row],[scalarName]], co_scalarInfo[scalarName], 0 ) )</f>
        <v>High Risk Worker Population</v>
      </c>
      <c r="D455" s="17" t="s">
        <v>759</v>
      </c>
      <c r="E455" s="18" t="s">
        <v>8</v>
      </c>
      <c r="F455" s="25">
        <v>2070</v>
      </c>
      <c r="G455" s="26">
        <v>694657</v>
      </c>
    </row>
    <row r="456" spans="1:7" x14ac:dyDescent="0.35">
      <c r="A456" s="9">
        <f xml:space="preserve"> ROW( scalarDataframe[[#This Row],[row_id]] ) - ROW( scalarDataframe[[#Headers],[row_id]] )</f>
        <v>455</v>
      </c>
      <c r="B456" s="11" t="str">
        <f xml:space="preserve"> INDEX( co_scalarInfo[scalarType], MATCH( scalarDataframe[[#This Row],[scalarName]],  co_scalarInfo[scalarName], 0 ) )</f>
        <v>physScalar</v>
      </c>
      <c r="C456" s="46" t="str">
        <f xml:space="preserve"> INDEX( co_scalarInfo[scalarLabel], MATCH( scalarDataframe[[#This Row],[scalarName]], co_scalarInfo[scalarName], 0 ) )</f>
        <v>High Risk Worker Population</v>
      </c>
      <c r="D456" s="17" t="s">
        <v>759</v>
      </c>
      <c r="E456" s="18" t="s">
        <v>8</v>
      </c>
      <c r="F456" s="25">
        <v>2075</v>
      </c>
      <c r="G456" s="26">
        <v>694657</v>
      </c>
    </row>
    <row r="457" spans="1:7" x14ac:dyDescent="0.35">
      <c r="A457" s="9">
        <f xml:space="preserve"> ROW( scalarDataframe[[#This Row],[row_id]] ) - ROW( scalarDataframe[[#Headers],[row_id]] )</f>
        <v>456</v>
      </c>
      <c r="B457" s="11" t="str">
        <f xml:space="preserve"> INDEX( co_scalarInfo[scalarType], MATCH( scalarDataframe[[#This Row],[scalarName]],  co_scalarInfo[scalarName], 0 ) )</f>
        <v>physScalar</v>
      </c>
      <c r="C457" s="46" t="str">
        <f xml:space="preserve"> INDEX( co_scalarInfo[scalarLabel], MATCH( scalarDataframe[[#This Row],[scalarName]], co_scalarInfo[scalarName], 0 ) )</f>
        <v>High Risk Worker Population</v>
      </c>
      <c r="D457" s="17" t="s">
        <v>759</v>
      </c>
      <c r="E457" s="18" t="s">
        <v>8</v>
      </c>
      <c r="F457" s="25">
        <v>2080</v>
      </c>
      <c r="G457" s="26">
        <v>694657</v>
      </c>
    </row>
    <row r="458" spans="1:7" x14ac:dyDescent="0.35">
      <c r="A458" s="9">
        <f xml:space="preserve"> ROW( scalarDataframe[[#This Row],[row_id]] ) - ROW( scalarDataframe[[#Headers],[row_id]] )</f>
        <v>457</v>
      </c>
      <c r="B458" s="11" t="str">
        <f xml:space="preserve"> INDEX( co_scalarInfo[scalarType], MATCH( scalarDataframe[[#This Row],[scalarName]],  co_scalarInfo[scalarName], 0 ) )</f>
        <v>physScalar</v>
      </c>
      <c r="C458" s="46" t="str">
        <f xml:space="preserve"> INDEX( co_scalarInfo[scalarLabel], MATCH( scalarDataframe[[#This Row],[scalarName]], co_scalarInfo[scalarName], 0 ) )</f>
        <v>High Risk Worker Population</v>
      </c>
      <c r="D458" s="17" t="s">
        <v>759</v>
      </c>
      <c r="E458" s="18" t="s">
        <v>8</v>
      </c>
      <c r="F458" s="25">
        <v>2085</v>
      </c>
      <c r="G458" s="26">
        <v>694657</v>
      </c>
    </row>
    <row r="459" spans="1:7" x14ac:dyDescent="0.35">
      <c r="A459" s="9">
        <f xml:space="preserve"> ROW( scalarDataframe[[#This Row],[row_id]] ) - ROW( scalarDataframe[[#Headers],[row_id]] )</f>
        <v>458</v>
      </c>
      <c r="B459" s="11" t="str">
        <f xml:space="preserve"> INDEX( co_scalarInfo[scalarType], MATCH( scalarDataframe[[#This Row],[scalarName]],  co_scalarInfo[scalarName], 0 ) )</f>
        <v>physScalar</v>
      </c>
      <c r="C459" s="46" t="str">
        <f xml:space="preserve"> INDEX( co_scalarInfo[scalarLabel], MATCH( scalarDataframe[[#This Row],[scalarName]], co_scalarInfo[scalarName], 0 ) )</f>
        <v>High Risk Worker Population</v>
      </c>
      <c r="D459" s="17" t="s">
        <v>759</v>
      </c>
      <c r="E459" s="18" t="s">
        <v>8</v>
      </c>
      <c r="F459" s="25">
        <v>2090</v>
      </c>
      <c r="G459" s="26">
        <v>694657</v>
      </c>
    </row>
    <row r="460" spans="1:7" x14ac:dyDescent="0.35">
      <c r="A460" s="9">
        <f xml:space="preserve"> ROW( scalarDataframe[[#This Row],[row_id]] ) - ROW( scalarDataframe[[#Headers],[row_id]] )</f>
        <v>459</v>
      </c>
      <c r="B460" s="11" t="str">
        <f xml:space="preserve"> INDEX( co_scalarInfo[scalarType], MATCH( scalarDataframe[[#This Row],[scalarName]],  co_scalarInfo[scalarName], 0 ) )</f>
        <v>physScalar</v>
      </c>
      <c r="C460" s="46" t="str">
        <f xml:space="preserve"> INDEX( co_scalarInfo[scalarLabel], MATCH( scalarDataframe[[#This Row],[scalarName]], co_scalarInfo[scalarName], 0 ) )</f>
        <v>High Risk Worker Population</v>
      </c>
      <c r="D460" s="17" t="s">
        <v>759</v>
      </c>
      <c r="E460" s="18" t="s">
        <v>9</v>
      </c>
      <c r="F460" s="25">
        <v>2010</v>
      </c>
      <c r="G460" s="26">
        <v>1415502</v>
      </c>
    </row>
    <row r="461" spans="1:7" x14ac:dyDescent="0.35">
      <c r="A461" s="9">
        <f xml:space="preserve"> ROW( scalarDataframe[[#This Row],[row_id]] ) - ROW( scalarDataframe[[#Headers],[row_id]] )</f>
        <v>460</v>
      </c>
      <c r="B461" s="11" t="str">
        <f xml:space="preserve"> INDEX( co_scalarInfo[scalarType], MATCH( scalarDataframe[[#This Row],[scalarName]],  co_scalarInfo[scalarName], 0 ) )</f>
        <v>physScalar</v>
      </c>
      <c r="C461" s="46" t="str">
        <f xml:space="preserve"> INDEX( co_scalarInfo[scalarLabel], MATCH( scalarDataframe[[#This Row],[scalarName]], co_scalarInfo[scalarName], 0 ) )</f>
        <v>High Risk Worker Population</v>
      </c>
      <c r="D461" s="17" t="s">
        <v>759</v>
      </c>
      <c r="E461" s="18" t="s">
        <v>9</v>
      </c>
      <c r="F461" s="25">
        <v>2015</v>
      </c>
      <c r="G461" s="26">
        <v>1415502</v>
      </c>
    </row>
    <row r="462" spans="1:7" x14ac:dyDescent="0.35">
      <c r="A462" s="9">
        <f xml:space="preserve"> ROW( scalarDataframe[[#This Row],[row_id]] ) - ROW( scalarDataframe[[#Headers],[row_id]] )</f>
        <v>461</v>
      </c>
      <c r="B462" s="11" t="str">
        <f xml:space="preserve"> INDEX( co_scalarInfo[scalarType], MATCH( scalarDataframe[[#This Row],[scalarName]],  co_scalarInfo[scalarName], 0 ) )</f>
        <v>physScalar</v>
      </c>
      <c r="C462" s="46" t="str">
        <f xml:space="preserve"> INDEX( co_scalarInfo[scalarLabel], MATCH( scalarDataframe[[#This Row],[scalarName]], co_scalarInfo[scalarName], 0 ) )</f>
        <v>High Risk Worker Population</v>
      </c>
      <c r="D462" s="17" t="s">
        <v>759</v>
      </c>
      <c r="E462" s="18" t="s">
        <v>9</v>
      </c>
      <c r="F462" s="25">
        <v>2020</v>
      </c>
      <c r="G462" s="26">
        <v>1415502</v>
      </c>
    </row>
    <row r="463" spans="1:7" x14ac:dyDescent="0.35">
      <c r="A463" s="9">
        <f xml:space="preserve"> ROW( scalarDataframe[[#This Row],[row_id]] ) - ROW( scalarDataframe[[#Headers],[row_id]] )</f>
        <v>462</v>
      </c>
      <c r="B463" s="11" t="str">
        <f xml:space="preserve"> INDEX( co_scalarInfo[scalarType], MATCH( scalarDataframe[[#This Row],[scalarName]],  co_scalarInfo[scalarName], 0 ) )</f>
        <v>physScalar</v>
      </c>
      <c r="C463" s="46" t="str">
        <f xml:space="preserve"> INDEX( co_scalarInfo[scalarLabel], MATCH( scalarDataframe[[#This Row],[scalarName]], co_scalarInfo[scalarName], 0 ) )</f>
        <v>High Risk Worker Population</v>
      </c>
      <c r="D463" s="17" t="s">
        <v>759</v>
      </c>
      <c r="E463" s="18" t="s">
        <v>9</v>
      </c>
      <c r="F463" s="25">
        <v>2025</v>
      </c>
      <c r="G463" s="26">
        <v>1415502</v>
      </c>
    </row>
    <row r="464" spans="1:7" x14ac:dyDescent="0.35">
      <c r="A464" s="9">
        <f xml:space="preserve"> ROW( scalarDataframe[[#This Row],[row_id]] ) - ROW( scalarDataframe[[#Headers],[row_id]] )</f>
        <v>463</v>
      </c>
      <c r="B464" s="11" t="str">
        <f xml:space="preserve"> INDEX( co_scalarInfo[scalarType], MATCH( scalarDataframe[[#This Row],[scalarName]],  co_scalarInfo[scalarName], 0 ) )</f>
        <v>physScalar</v>
      </c>
      <c r="C464" s="46" t="str">
        <f xml:space="preserve"> INDEX( co_scalarInfo[scalarLabel], MATCH( scalarDataframe[[#This Row],[scalarName]], co_scalarInfo[scalarName], 0 ) )</f>
        <v>High Risk Worker Population</v>
      </c>
      <c r="D464" s="17" t="s">
        <v>759</v>
      </c>
      <c r="E464" s="18" t="s">
        <v>9</v>
      </c>
      <c r="F464" s="25">
        <v>2030</v>
      </c>
      <c r="G464" s="26">
        <v>1415502</v>
      </c>
    </row>
    <row r="465" spans="1:7" x14ac:dyDescent="0.35">
      <c r="A465" s="9">
        <f xml:space="preserve"> ROW( scalarDataframe[[#This Row],[row_id]] ) - ROW( scalarDataframe[[#Headers],[row_id]] )</f>
        <v>464</v>
      </c>
      <c r="B465" s="11" t="str">
        <f xml:space="preserve"> INDEX( co_scalarInfo[scalarType], MATCH( scalarDataframe[[#This Row],[scalarName]],  co_scalarInfo[scalarName], 0 ) )</f>
        <v>physScalar</v>
      </c>
      <c r="C465" s="46" t="str">
        <f xml:space="preserve"> INDEX( co_scalarInfo[scalarLabel], MATCH( scalarDataframe[[#This Row],[scalarName]], co_scalarInfo[scalarName], 0 ) )</f>
        <v>High Risk Worker Population</v>
      </c>
      <c r="D465" s="17" t="s">
        <v>759</v>
      </c>
      <c r="E465" s="18" t="s">
        <v>9</v>
      </c>
      <c r="F465" s="25">
        <v>2035</v>
      </c>
      <c r="G465" s="26">
        <v>1415502</v>
      </c>
    </row>
    <row r="466" spans="1:7" x14ac:dyDescent="0.35">
      <c r="A466" s="9">
        <f xml:space="preserve"> ROW( scalarDataframe[[#This Row],[row_id]] ) - ROW( scalarDataframe[[#Headers],[row_id]] )</f>
        <v>465</v>
      </c>
      <c r="B466" s="11" t="str">
        <f xml:space="preserve"> INDEX( co_scalarInfo[scalarType], MATCH( scalarDataframe[[#This Row],[scalarName]],  co_scalarInfo[scalarName], 0 ) )</f>
        <v>physScalar</v>
      </c>
      <c r="C466" s="46" t="str">
        <f xml:space="preserve"> INDEX( co_scalarInfo[scalarLabel], MATCH( scalarDataframe[[#This Row],[scalarName]], co_scalarInfo[scalarName], 0 ) )</f>
        <v>High Risk Worker Population</v>
      </c>
      <c r="D466" s="17" t="s">
        <v>759</v>
      </c>
      <c r="E466" s="18" t="s">
        <v>9</v>
      </c>
      <c r="F466" s="25">
        <v>2040</v>
      </c>
      <c r="G466" s="26">
        <v>1415502</v>
      </c>
    </row>
    <row r="467" spans="1:7" x14ac:dyDescent="0.35">
      <c r="A467" s="9">
        <f xml:space="preserve"> ROW( scalarDataframe[[#This Row],[row_id]] ) - ROW( scalarDataframe[[#Headers],[row_id]] )</f>
        <v>466</v>
      </c>
      <c r="B467" s="11" t="str">
        <f xml:space="preserve"> INDEX( co_scalarInfo[scalarType], MATCH( scalarDataframe[[#This Row],[scalarName]],  co_scalarInfo[scalarName], 0 ) )</f>
        <v>physScalar</v>
      </c>
      <c r="C467" s="46" t="str">
        <f xml:space="preserve"> INDEX( co_scalarInfo[scalarLabel], MATCH( scalarDataframe[[#This Row],[scalarName]], co_scalarInfo[scalarName], 0 ) )</f>
        <v>High Risk Worker Population</v>
      </c>
      <c r="D467" s="17" t="s">
        <v>759</v>
      </c>
      <c r="E467" s="18" t="s">
        <v>9</v>
      </c>
      <c r="F467" s="25">
        <v>2045</v>
      </c>
      <c r="G467" s="26">
        <v>1415502</v>
      </c>
    </row>
    <row r="468" spans="1:7" x14ac:dyDescent="0.35">
      <c r="A468" s="9">
        <f xml:space="preserve"> ROW( scalarDataframe[[#This Row],[row_id]] ) - ROW( scalarDataframe[[#Headers],[row_id]] )</f>
        <v>467</v>
      </c>
      <c r="B468" s="11" t="str">
        <f xml:space="preserve"> INDEX( co_scalarInfo[scalarType], MATCH( scalarDataframe[[#This Row],[scalarName]],  co_scalarInfo[scalarName], 0 ) )</f>
        <v>physScalar</v>
      </c>
      <c r="C468" s="46" t="str">
        <f xml:space="preserve"> INDEX( co_scalarInfo[scalarLabel], MATCH( scalarDataframe[[#This Row],[scalarName]], co_scalarInfo[scalarName], 0 ) )</f>
        <v>High Risk Worker Population</v>
      </c>
      <c r="D468" s="17" t="s">
        <v>759</v>
      </c>
      <c r="E468" s="18" t="s">
        <v>9</v>
      </c>
      <c r="F468" s="25">
        <v>2050</v>
      </c>
      <c r="G468" s="26">
        <v>1415502</v>
      </c>
    </row>
    <row r="469" spans="1:7" x14ac:dyDescent="0.35">
      <c r="A469" s="9">
        <f xml:space="preserve"> ROW( scalarDataframe[[#This Row],[row_id]] ) - ROW( scalarDataframe[[#Headers],[row_id]] )</f>
        <v>468</v>
      </c>
      <c r="B469" s="11" t="str">
        <f xml:space="preserve"> INDEX( co_scalarInfo[scalarType], MATCH( scalarDataframe[[#This Row],[scalarName]],  co_scalarInfo[scalarName], 0 ) )</f>
        <v>physScalar</v>
      </c>
      <c r="C469" s="46" t="str">
        <f xml:space="preserve"> INDEX( co_scalarInfo[scalarLabel], MATCH( scalarDataframe[[#This Row],[scalarName]], co_scalarInfo[scalarName], 0 ) )</f>
        <v>High Risk Worker Population</v>
      </c>
      <c r="D469" s="17" t="s">
        <v>759</v>
      </c>
      <c r="E469" s="18" t="s">
        <v>9</v>
      </c>
      <c r="F469" s="25">
        <v>2055</v>
      </c>
      <c r="G469" s="26">
        <v>1415502</v>
      </c>
    </row>
    <row r="470" spans="1:7" x14ac:dyDescent="0.35">
      <c r="A470" s="9">
        <f xml:space="preserve"> ROW( scalarDataframe[[#This Row],[row_id]] ) - ROW( scalarDataframe[[#Headers],[row_id]] )</f>
        <v>469</v>
      </c>
      <c r="B470" s="11" t="str">
        <f xml:space="preserve"> INDEX( co_scalarInfo[scalarType], MATCH( scalarDataframe[[#This Row],[scalarName]],  co_scalarInfo[scalarName], 0 ) )</f>
        <v>physScalar</v>
      </c>
      <c r="C470" s="46" t="str">
        <f xml:space="preserve"> INDEX( co_scalarInfo[scalarLabel], MATCH( scalarDataframe[[#This Row],[scalarName]], co_scalarInfo[scalarName], 0 ) )</f>
        <v>High Risk Worker Population</v>
      </c>
      <c r="D470" s="17" t="s">
        <v>759</v>
      </c>
      <c r="E470" s="18" t="s">
        <v>9</v>
      </c>
      <c r="F470" s="25">
        <v>2060</v>
      </c>
      <c r="G470" s="26">
        <v>1415502</v>
      </c>
    </row>
    <row r="471" spans="1:7" x14ac:dyDescent="0.35">
      <c r="A471" s="9">
        <f xml:space="preserve"> ROW( scalarDataframe[[#This Row],[row_id]] ) - ROW( scalarDataframe[[#Headers],[row_id]] )</f>
        <v>470</v>
      </c>
      <c r="B471" s="11" t="str">
        <f xml:space="preserve"> INDEX( co_scalarInfo[scalarType], MATCH( scalarDataframe[[#This Row],[scalarName]],  co_scalarInfo[scalarName], 0 ) )</f>
        <v>physScalar</v>
      </c>
      <c r="C471" s="46" t="str">
        <f xml:space="preserve"> INDEX( co_scalarInfo[scalarLabel], MATCH( scalarDataframe[[#This Row],[scalarName]], co_scalarInfo[scalarName], 0 ) )</f>
        <v>High Risk Worker Population</v>
      </c>
      <c r="D471" s="17" t="s">
        <v>759</v>
      </c>
      <c r="E471" s="18" t="s">
        <v>9</v>
      </c>
      <c r="F471" s="25">
        <v>2065</v>
      </c>
      <c r="G471" s="26">
        <v>1415502</v>
      </c>
    </row>
    <row r="472" spans="1:7" x14ac:dyDescent="0.35">
      <c r="A472" s="9">
        <f xml:space="preserve"> ROW( scalarDataframe[[#This Row],[row_id]] ) - ROW( scalarDataframe[[#Headers],[row_id]] )</f>
        <v>471</v>
      </c>
      <c r="B472" s="11" t="str">
        <f xml:space="preserve"> INDEX( co_scalarInfo[scalarType], MATCH( scalarDataframe[[#This Row],[scalarName]],  co_scalarInfo[scalarName], 0 ) )</f>
        <v>physScalar</v>
      </c>
      <c r="C472" s="46" t="str">
        <f xml:space="preserve"> INDEX( co_scalarInfo[scalarLabel], MATCH( scalarDataframe[[#This Row],[scalarName]], co_scalarInfo[scalarName], 0 ) )</f>
        <v>High Risk Worker Population</v>
      </c>
      <c r="D472" s="17" t="s">
        <v>759</v>
      </c>
      <c r="E472" s="18" t="s">
        <v>9</v>
      </c>
      <c r="F472" s="25">
        <v>2070</v>
      </c>
      <c r="G472" s="26">
        <v>1415502</v>
      </c>
    </row>
    <row r="473" spans="1:7" x14ac:dyDescent="0.35">
      <c r="A473" s="9">
        <f xml:space="preserve"> ROW( scalarDataframe[[#This Row],[row_id]] ) - ROW( scalarDataframe[[#Headers],[row_id]] )</f>
        <v>472</v>
      </c>
      <c r="B473" s="11" t="str">
        <f xml:space="preserve"> INDEX( co_scalarInfo[scalarType], MATCH( scalarDataframe[[#This Row],[scalarName]],  co_scalarInfo[scalarName], 0 ) )</f>
        <v>physScalar</v>
      </c>
      <c r="C473" s="46" t="str">
        <f xml:space="preserve"> INDEX( co_scalarInfo[scalarLabel], MATCH( scalarDataframe[[#This Row],[scalarName]], co_scalarInfo[scalarName], 0 ) )</f>
        <v>High Risk Worker Population</v>
      </c>
      <c r="D473" s="17" t="s">
        <v>759</v>
      </c>
      <c r="E473" s="18" t="s">
        <v>9</v>
      </c>
      <c r="F473" s="25">
        <v>2075</v>
      </c>
      <c r="G473" s="26">
        <v>1415502</v>
      </c>
    </row>
    <row r="474" spans="1:7" x14ac:dyDescent="0.35">
      <c r="A474" s="9">
        <f xml:space="preserve"> ROW( scalarDataframe[[#This Row],[row_id]] ) - ROW( scalarDataframe[[#Headers],[row_id]] )</f>
        <v>473</v>
      </c>
      <c r="B474" s="11" t="str">
        <f xml:space="preserve"> INDEX( co_scalarInfo[scalarType], MATCH( scalarDataframe[[#This Row],[scalarName]],  co_scalarInfo[scalarName], 0 ) )</f>
        <v>physScalar</v>
      </c>
      <c r="C474" s="46" t="str">
        <f xml:space="preserve"> INDEX( co_scalarInfo[scalarLabel], MATCH( scalarDataframe[[#This Row],[scalarName]], co_scalarInfo[scalarName], 0 ) )</f>
        <v>High Risk Worker Population</v>
      </c>
      <c r="D474" s="17" t="s">
        <v>759</v>
      </c>
      <c r="E474" s="18" t="s">
        <v>9</v>
      </c>
      <c r="F474" s="25">
        <v>2080</v>
      </c>
      <c r="G474" s="26">
        <v>1415502</v>
      </c>
    </row>
    <row r="475" spans="1:7" x14ac:dyDescent="0.35">
      <c r="A475" s="9">
        <f xml:space="preserve"> ROW( scalarDataframe[[#This Row],[row_id]] ) - ROW( scalarDataframe[[#Headers],[row_id]] )</f>
        <v>474</v>
      </c>
      <c r="B475" s="11" t="str">
        <f xml:space="preserve"> INDEX( co_scalarInfo[scalarType], MATCH( scalarDataframe[[#This Row],[scalarName]],  co_scalarInfo[scalarName], 0 ) )</f>
        <v>physScalar</v>
      </c>
      <c r="C475" s="46" t="str">
        <f xml:space="preserve"> INDEX( co_scalarInfo[scalarLabel], MATCH( scalarDataframe[[#This Row],[scalarName]], co_scalarInfo[scalarName], 0 ) )</f>
        <v>High Risk Worker Population</v>
      </c>
      <c r="D475" s="17" t="s">
        <v>759</v>
      </c>
      <c r="E475" s="18" t="s">
        <v>9</v>
      </c>
      <c r="F475" s="25">
        <v>2085</v>
      </c>
      <c r="G475" s="26">
        <v>1415502</v>
      </c>
    </row>
    <row r="476" spans="1:7" x14ac:dyDescent="0.35">
      <c r="A476" s="9">
        <f xml:space="preserve"> ROW( scalarDataframe[[#This Row],[row_id]] ) - ROW( scalarDataframe[[#Headers],[row_id]] )</f>
        <v>475</v>
      </c>
      <c r="B476" s="11" t="str">
        <f xml:space="preserve"> INDEX( co_scalarInfo[scalarType], MATCH( scalarDataframe[[#This Row],[scalarName]],  co_scalarInfo[scalarName], 0 ) )</f>
        <v>physScalar</v>
      </c>
      <c r="C476" s="46" t="str">
        <f xml:space="preserve"> INDEX( co_scalarInfo[scalarLabel], MATCH( scalarDataframe[[#This Row],[scalarName]], co_scalarInfo[scalarName], 0 ) )</f>
        <v>High Risk Worker Population</v>
      </c>
      <c r="D476" s="17" t="s">
        <v>759</v>
      </c>
      <c r="E476" s="18" t="s">
        <v>9</v>
      </c>
      <c r="F476" s="25">
        <v>2090</v>
      </c>
      <c r="G476" s="26">
        <v>1415502</v>
      </c>
    </row>
    <row r="477" spans="1:7" x14ac:dyDescent="0.35">
      <c r="A477" s="9">
        <f xml:space="preserve"> ROW( scalarDataframe[[#This Row],[row_id]] ) - ROW( scalarDataframe[[#Headers],[row_id]] )</f>
        <v>476</v>
      </c>
      <c r="B477" s="11" t="str">
        <f xml:space="preserve"> INDEX( co_scalarInfo[scalarType], MATCH( scalarDataframe[[#This Row],[scalarName]],  co_scalarInfo[scalarName], 0 ) )</f>
        <v>physScalar</v>
      </c>
      <c r="C477" s="46" t="str">
        <f xml:space="preserve"> INDEX( co_scalarInfo[scalarLabel], MATCH( scalarDataframe[[#This Row],[scalarName]], co_scalarInfo[scalarName], 0 ) )</f>
        <v>High Risk Worker Population</v>
      </c>
      <c r="D477" s="17" t="s">
        <v>759</v>
      </c>
      <c r="E477" s="18" t="s">
        <v>10</v>
      </c>
      <c r="F477" s="25">
        <v>2010</v>
      </c>
      <c r="G477" s="26">
        <v>8116825</v>
      </c>
    </row>
    <row r="478" spans="1:7" x14ac:dyDescent="0.35">
      <c r="A478" s="9">
        <f xml:space="preserve"> ROW( scalarDataframe[[#This Row],[row_id]] ) - ROW( scalarDataframe[[#Headers],[row_id]] )</f>
        <v>477</v>
      </c>
      <c r="B478" s="11" t="str">
        <f xml:space="preserve"> INDEX( co_scalarInfo[scalarType], MATCH( scalarDataframe[[#This Row],[scalarName]],  co_scalarInfo[scalarName], 0 ) )</f>
        <v>physScalar</v>
      </c>
      <c r="C478" s="46" t="str">
        <f xml:space="preserve"> INDEX( co_scalarInfo[scalarLabel], MATCH( scalarDataframe[[#This Row],[scalarName]], co_scalarInfo[scalarName], 0 ) )</f>
        <v>High Risk Worker Population</v>
      </c>
      <c r="D478" s="17" t="s">
        <v>759</v>
      </c>
      <c r="E478" s="18" t="s">
        <v>10</v>
      </c>
      <c r="F478" s="25">
        <v>2015</v>
      </c>
      <c r="G478" s="26">
        <v>8116825</v>
      </c>
    </row>
    <row r="479" spans="1:7" x14ac:dyDescent="0.35">
      <c r="A479" s="9">
        <f xml:space="preserve"> ROW( scalarDataframe[[#This Row],[row_id]] ) - ROW( scalarDataframe[[#Headers],[row_id]] )</f>
        <v>478</v>
      </c>
      <c r="B479" s="11" t="str">
        <f xml:space="preserve"> INDEX( co_scalarInfo[scalarType], MATCH( scalarDataframe[[#This Row],[scalarName]],  co_scalarInfo[scalarName], 0 ) )</f>
        <v>physScalar</v>
      </c>
      <c r="C479" s="46" t="str">
        <f xml:space="preserve"> INDEX( co_scalarInfo[scalarLabel], MATCH( scalarDataframe[[#This Row],[scalarName]], co_scalarInfo[scalarName], 0 ) )</f>
        <v>High Risk Worker Population</v>
      </c>
      <c r="D479" s="17" t="s">
        <v>759</v>
      </c>
      <c r="E479" s="18" t="s">
        <v>10</v>
      </c>
      <c r="F479" s="25">
        <v>2020</v>
      </c>
      <c r="G479" s="26">
        <v>8116825</v>
      </c>
    </row>
    <row r="480" spans="1:7" x14ac:dyDescent="0.35">
      <c r="A480" s="9">
        <f xml:space="preserve"> ROW( scalarDataframe[[#This Row],[row_id]] ) - ROW( scalarDataframe[[#Headers],[row_id]] )</f>
        <v>479</v>
      </c>
      <c r="B480" s="11" t="str">
        <f xml:space="preserve"> INDEX( co_scalarInfo[scalarType], MATCH( scalarDataframe[[#This Row],[scalarName]],  co_scalarInfo[scalarName], 0 ) )</f>
        <v>physScalar</v>
      </c>
      <c r="C480" s="46" t="str">
        <f xml:space="preserve"> INDEX( co_scalarInfo[scalarLabel], MATCH( scalarDataframe[[#This Row],[scalarName]], co_scalarInfo[scalarName], 0 ) )</f>
        <v>High Risk Worker Population</v>
      </c>
      <c r="D480" s="17" t="s">
        <v>759</v>
      </c>
      <c r="E480" s="18" t="s">
        <v>10</v>
      </c>
      <c r="F480" s="25">
        <v>2025</v>
      </c>
      <c r="G480" s="26">
        <v>8116825</v>
      </c>
    </row>
    <row r="481" spans="1:7" x14ac:dyDescent="0.35">
      <c r="A481" s="9">
        <f xml:space="preserve"> ROW( scalarDataframe[[#This Row],[row_id]] ) - ROW( scalarDataframe[[#Headers],[row_id]] )</f>
        <v>480</v>
      </c>
      <c r="B481" s="11" t="str">
        <f xml:space="preserve"> INDEX( co_scalarInfo[scalarType], MATCH( scalarDataframe[[#This Row],[scalarName]],  co_scalarInfo[scalarName], 0 ) )</f>
        <v>physScalar</v>
      </c>
      <c r="C481" s="46" t="str">
        <f xml:space="preserve"> INDEX( co_scalarInfo[scalarLabel], MATCH( scalarDataframe[[#This Row],[scalarName]], co_scalarInfo[scalarName], 0 ) )</f>
        <v>High Risk Worker Population</v>
      </c>
      <c r="D481" s="17" t="s">
        <v>759</v>
      </c>
      <c r="E481" s="18" t="s">
        <v>10</v>
      </c>
      <c r="F481" s="25">
        <v>2030</v>
      </c>
      <c r="G481" s="26">
        <v>8116825</v>
      </c>
    </row>
    <row r="482" spans="1:7" x14ac:dyDescent="0.35">
      <c r="A482" s="9">
        <f xml:space="preserve"> ROW( scalarDataframe[[#This Row],[row_id]] ) - ROW( scalarDataframe[[#Headers],[row_id]] )</f>
        <v>481</v>
      </c>
      <c r="B482" s="11" t="str">
        <f xml:space="preserve"> INDEX( co_scalarInfo[scalarType], MATCH( scalarDataframe[[#This Row],[scalarName]],  co_scalarInfo[scalarName], 0 ) )</f>
        <v>physScalar</v>
      </c>
      <c r="C482" s="46" t="str">
        <f xml:space="preserve"> INDEX( co_scalarInfo[scalarLabel], MATCH( scalarDataframe[[#This Row],[scalarName]], co_scalarInfo[scalarName], 0 ) )</f>
        <v>High Risk Worker Population</v>
      </c>
      <c r="D482" s="17" t="s">
        <v>759</v>
      </c>
      <c r="E482" s="18" t="s">
        <v>10</v>
      </c>
      <c r="F482" s="25">
        <v>2035</v>
      </c>
      <c r="G482" s="26">
        <v>8116825</v>
      </c>
    </row>
    <row r="483" spans="1:7" x14ac:dyDescent="0.35">
      <c r="A483" s="9">
        <f xml:space="preserve"> ROW( scalarDataframe[[#This Row],[row_id]] ) - ROW( scalarDataframe[[#Headers],[row_id]] )</f>
        <v>482</v>
      </c>
      <c r="B483" s="11" t="str">
        <f xml:space="preserve"> INDEX( co_scalarInfo[scalarType], MATCH( scalarDataframe[[#This Row],[scalarName]],  co_scalarInfo[scalarName], 0 ) )</f>
        <v>physScalar</v>
      </c>
      <c r="C483" s="46" t="str">
        <f xml:space="preserve"> INDEX( co_scalarInfo[scalarLabel], MATCH( scalarDataframe[[#This Row],[scalarName]], co_scalarInfo[scalarName], 0 ) )</f>
        <v>High Risk Worker Population</v>
      </c>
      <c r="D483" s="17" t="s">
        <v>759</v>
      </c>
      <c r="E483" s="18" t="s">
        <v>10</v>
      </c>
      <c r="F483" s="25">
        <v>2040</v>
      </c>
      <c r="G483" s="26">
        <v>8116825</v>
      </c>
    </row>
    <row r="484" spans="1:7" x14ac:dyDescent="0.35">
      <c r="A484" s="9">
        <f xml:space="preserve"> ROW( scalarDataframe[[#This Row],[row_id]] ) - ROW( scalarDataframe[[#Headers],[row_id]] )</f>
        <v>483</v>
      </c>
      <c r="B484" s="11" t="str">
        <f xml:space="preserve"> INDEX( co_scalarInfo[scalarType], MATCH( scalarDataframe[[#This Row],[scalarName]],  co_scalarInfo[scalarName], 0 ) )</f>
        <v>physScalar</v>
      </c>
      <c r="C484" s="46" t="str">
        <f xml:space="preserve"> INDEX( co_scalarInfo[scalarLabel], MATCH( scalarDataframe[[#This Row],[scalarName]], co_scalarInfo[scalarName], 0 ) )</f>
        <v>High Risk Worker Population</v>
      </c>
      <c r="D484" s="17" t="s">
        <v>759</v>
      </c>
      <c r="E484" s="18" t="s">
        <v>10</v>
      </c>
      <c r="F484" s="25">
        <v>2045</v>
      </c>
      <c r="G484" s="26">
        <v>8116825</v>
      </c>
    </row>
    <row r="485" spans="1:7" x14ac:dyDescent="0.35">
      <c r="A485" s="9">
        <f xml:space="preserve"> ROW( scalarDataframe[[#This Row],[row_id]] ) - ROW( scalarDataframe[[#Headers],[row_id]] )</f>
        <v>484</v>
      </c>
      <c r="B485" s="11" t="str">
        <f xml:space="preserve"> INDEX( co_scalarInfo[scalarType], MATCH( scalarDataframe[[#This Row],[scalarName]],  co_scalarInfo[scalarName], 0 ) )</f>
        <v>physScalar</v>
      </c>
      <c r="C485" s="46" t="str">
        <f xml:space="preserve"> INDEX( co_scalarInfo[scalarLabel], MATCH( scalarDataframe[[#This Row],[scalarName]], co_scalarInfo[scalarName], 0 ) )</f>
        <v>High Risk Worker Population</v>
      </c>
      <c r="D485" s="17" t="s">
        <v>759</v>
      </c>
      <c r="E485" s="18" t="s">
        <v>10</v>
      </c>
      <c r="F485" s="25">
        <v>2050</v>
      </c>
      <c r="G485" s="26">
        <v>8116825</v>
      </c>
    </row>
    <row r="486" spans="1:7" x14ac:dyDescent="0.35">
      <c r="A486" s="9">
        <f xml:space="preserve"> ROW( scalarDataframe[[#This Row],[row_id]] ) - ROW( scalarDataframe[[#Headers],[row_id]] )</f>
        <v>485</v>
      </c>
      <c r="B486" s="11" t="str">
        <f xml:space="preserve"> INDEX( co_scalarInfo[scalarType], MATCH( scalarDataframe[[#This Row],[scalarName]],  co_scalarInfo[scalarName], 0 ) )</f>
        <v>physScalar</v>
      </c>
      <c r="C486" s="46" t="str">
        <f xml:space="preserve"> INDEX( co_scalarInfo[scalarLabel], MATCH( scalarDataframe[[#This Row],[scalarName]], co_scalarInfo[scalarName], 0 ) )</f>
        <v>High Risk Worker Population</v>
      </c>
      <c r="D486" s="17" t="s">
        <v>759</v>
      </c>
      <c r="E486" s="18" t="s">
        <v>10</v>
      </c>
      <c r="F486" s="25">
        <v>2055</v>
      </c>
      <c r="G486" s="26">
        <v>8116825</v>
      </c>
    </row>
    <row r="487" spans="1:7" x14ac:dyDescent="0.35">
      <c r="A487" s="9">
        <f xml:space="preserve"> ROW( scalarDataframe[[#This Row],[row_id]] ) - ROW( scalarDataframe[[#Headers],[row_id]] )</f>
        <v>486</v>
      </c>
      <c r="B487" s="11" t="str">
        <f xml:space="preserve"> INDEX( co_scalarInfo[scalarType], MATCH( scalarDataframe[[#This Row],[scalarName]],  co_scalarInfo[scalarName], 0 ) )</f>
        <v>physScalar</v>
      </c>
      <c r="C487" s="46" t="str">
        <f xml:space="preserve"> INDEX( co_scalarInfo[scalarLabel], MATCH( scalarDataframe[[#This Row],[scalarName]], co_scalarInfo[scalarName], 0 ) )</f>
        <v>High Risk Worker Population</v>
      </c>
      <c r="D487" s="17" t="s">
        <v>759</v>
      </c>
      <c r="E487" s="18" t="s">
        <v>10</v>
      </c>
      <c r="F487" s="25">
        <v>2060</v>
      </c>
      <c r="G487" s="26">
        <v>8116825</v>
      </c>
    </row>
    <row r="488" spans="1:7" x14ac:dyDescent="0.35">
      <c r="A488" s="9">
        <f xml:space="preserve"> ROW( scalarDataframe[[#This Row],[row_id]] ) - ROW( scalarDataframe[[#Headers],[row_id]] )</f>
        <v>487</v>
      </c>
      <c r="B488" s="11" t="str">
        <f xml:space="preserve"> INDEX( co_scalarInfo[scalarType], MATCH( scalarDataframe[[#This Row],[scalarName]],  co_scalarInfo[scalarName], 0 ) )</f>
        <v>physScalar</v>
      </c>
      <c r="C488" s="46" t="str">
        <f xml:space="preserve"> INDEX( co_scalarInfo[scalarLabel], MATCH( scalarDataframe[[#This Row],[scalarName]], co_scalarInfo[scalarName], 0 ) )</f>
        <v>High Risk Worker Population</v>
      </c>
      <c r="D488" s="17" t="s">
        <v>759</v>
      </c>
      <c r="E488" s="18" t="s">
        <v>10</v>
      </c>
      <c r="F488" s="25">
        <v>2065</v>
      </c>
      <c r="G488" s="26">
        <v>8116825</v>
      </c>
    </row>
    <row r="489" spans="1:7" x14ac:dyDescent="0.35">
      <c r="A489" s="9">
        <f xml:space="preserve"> ROW( scalarDataframe[[#This Row],[row_id]] ) - ROW( scalarDataframe[[#Headers],[row_id]] )</f>
        <v>488</v>
      </c>
      <c r="B489" s="11" t="str">
        <f xml:space="preserve"> INDEX( co_scalarInfo[scalarType], MATCH( scalarDataframe[[#This Row],[scalarName]],  co_scalarInfo[scalarName], 0 ) )</f>
        <v>physScalar</v>
      </c>
      <c r="C489" s="46" t="str">
        <f xml:space="preserve"> INDEX( co_scalarInfo[scalarLabel], MATCH( scalarDataframe[[#This Row],[scalarName]], co_scalarInfo[scalarName], 0 ) )</f>
        <v>High Risk Worker Population</v>
      </c>
      <c r="D489" s="17" t="s">
        <v>759</v>
      </c>
      <c r="E489" s="18" t="s">
        <v>10</v>
      </c>
      <c r="F489" s="25">
        <v>2070</v>
      </c>
      <c r="G489" s="26">
        <v>8116825</v>
      </c>
    </row>
    <row r="490" spans="1:7" x14ac:dyDescent="0.35">
      <c r="A490" s="9">
        <f xml:space="preserve"> ROW( scalarDataframe[[#This Row],[row_id]] ) - ROW( scalarDataframe[[#Headers],[row_id]] )</f>
        <v>489</v>
      </c>
      <c r="B490" s="11" t="str">
        <f xml:space="preserve"> INDEX( co_scalarInfo[scalarType], MATCH( scalarDataframe[[#This Row],[scalarName]],  co_scalarInfo[scalarName], 0 ) )</f>
        <v>physScalar</v>
      </c>
      <c r="C490" s="46" t="str">
        <f xml:space="preserve"> INDEX( co_scalarInfo[scalarLabel], MATCH( scalarDataframe[[#This Row],[scalarName]], co_scalarInfo[scalarName], 0 ) )</f>
        <v>High Risk Worker Population</v>
      </c>
      <c r="D490" s="17" t="s">
        <v>759</v>
      </c>
      <c r="E490" s="18" t="s">
        <v>10</v>
      </c>
      <c r="F490" s="25">
        <v>2075</v>
      </c>
      <c r="G490" s="26">
        <v>8116825</v>
      </c>
    </row>
    <row r="491" spans="1:7" x14ac:dyDescent="0.35">
      <c r="A491" s="9">
        <f xml:space="preserve"> ROW( scalarDataframe[[#This Row],[row_id]] ) - ROW( scalarDataframe[[#Headers],[row_id]] )</f>
        <v>490</v>
      </c>
      <c r="B491" s="11" t="str">
        <f xml:space="preserve"> INDEX( co_scalarInfo[scalarType], MATCH( scalarDataframe[[#This Row],[scalarName]],  co_scalarInfo[scalarName], 0 ) )</f>
        <v>physScalar</v>
      </c>
      <c r="C491" s="46" t="str">
        <f xml:space="preserve"> INDEX( co_scalarInfo[scalarLabel], MATCH( scalarDataframe[[#This Row],[scalarName]], co_scalarInfo[scalarName], 0 ) )</f>
        <v>High Risk Worker Population</v>
      </c>
      <c r="D491" s="17" t="s">
        <v>759</v>
      </c>
      <c r="E491" s="18" t="s">
        <v>10</v>
      </c>
      <c r="F491" s="25">
        <v>2080</v>
      </c>
      <c r="G491" s="26">
        <v>8116825</v>
      </c>
    </row>
    <row r="492" spans="1:7" x14ac:dyDescent="0.35">
      <c r="A492" s="9">
        <f xml:space="preserve"> ROW( scalarDataframe[[#This Row],[row_id]] ) - ROW( scalarDataframe[[#Headers],[row_id]] )</f>
        <v>491</v>
      </c>
      <c r="B492" s="11" t="str">
        <f xml:space="preserve"> INDEX( co_scalarInfo[scalarType], MATCH( scalarDataframe[[#This Row],[scalarName]],  co_scalarInfo[scalarName], 0 ) )</f>
        <v>physScalar</v>
      </c>
      <c r="C492" s="46" t="str">
        <f xml:space="preserve"> INDEX( co_scalarInfo[scalarLabel], MATCH( scalarDataframe[[#This Row],[scalarName]], co_scalarInfo[scalarName], 0 ) )</f>
        <v>High Risk Worker Population</v>
      </c>
      <c r="D492" s="17" t="s">
        <v>759</v>
      </c>
      <c r="E492" s="18" t="s">
        <v>10</v>
      </c>
      <c r="F492" s="25">
        <v>2085</v>
      </c>
      <c r="G492" s="26">
        <v>8116825</v>
      </c>
    </row>
    <row r="493" spans="1:7" x14ac:dyDescent="0.35">
      <c r="A493" s="9">
        <f xml:space="preserve"> ROW( scalarDataframe[[#This Row],[row_id]] ) - ROW( scalarDataframe[[#Headers],[row_id]] )</f>
        <v>492</v>
      </c>
      <c r="B493" s="11" t="str">
        <f xml:space="preserve"> INDEX( co_scalarInfo[scalarType], MATCH( scalarDataframe[[#This Row],[scalarName]],  co_scalarInfo[scalarName], 0 ) )</f>
        <v>physScalar</v>
      </c>
      <c r="C493" s="46" t="str">
        <f xml:space="preserve"> INDEX( co_scalarInfo[scalarLabel], MATCH( scalarDataframe[[#This Row],[scalarName]], co_scalarInfo[scalarName], 0 ) )</f>
        <v>High Risk Worker Population</v>
      </c>
      <c r="D493" s="17" t="s">
        <v>759</v>
      </c>
      <c r="E493" s="18" t="s">
        <v>10</v>
      </c>
      <c r="F493" s="25">
        <v>2090</v>
      </c>
      <c r="G493" s="26">
        <v>8116825</v>
      </c>
    </row>
    <row r="494" spans="1:7" x14ac:dyDescent="0.35">
      <c r="A494" s="9">
        <f xml:space="preserve"> ROW( scalarDataframe[[#This Row],[row_id]] ) - ROW( scalarDataframe[[#Headers],[row_id]] )</f>
        <v>493</v>
      </c>
      <c r="B494" s="11" t="str">
        <f xml:space="preserve"> INDEX( co_scalarInfo[scalarType], MATCH( scalarDataframe[[#This Row],[scalarName]],  co_scalarInfo[scalarName], 0 ) )</f>
        <v>physScalar</v>
      </c>
      <c r="C494" s="46" t="str">
        <f xml:space="preserve"> INDEX( co_scalarInfo[scalarLabel], MATCH( scalarDataframe[[#This Row],[scalarName]], co_scalarInfo[scalarName], 0 ) )</f>
        <v>High Risk Worker Population</v>
      </c>
      <c r="D494" s="17" t="s">
        <v>759</v>
      </c>
      <c r="E494" s="18" t="s">
        <v>11</v>
      </c>
      <c r="F494" s="25">
        <v>2010</v>
      </c>
      <c r="G494" s="26">
        <v>3838783</v>
      </c>
    </row>
    <row r="495" spans="1:7" x14ac:dyDescent="0.35">
      <c r="A495" s="9">
        <f xml:space="preserve"> ROW( scalarDataframe[[#This Row],[row_id]] ) - ROW( scalarDataframe[[#Headers],[row_id]] )</f>
        <v>494</v>
      </c>
      <c r="B495" s="11" t="str">
        <f xml:space="preserve"> INDEX( co_scalarInfo[scalarType], MATCH( scalarDataframe[[#This Row],[scalarName]],  co_scalarInfo[scalarName], 0 ) )</f>
        <v>physScalar</v>
      </c>
      <c r="C495" s="46" t="str">
        <f xml:space="preserve"> INDEX( co_scalarInfo[scalarLabel], MATCH( scalarDataframe[[#This Row],[scalarName]], co_scalarInfo[scalarName], 0 ) )</f>
        <v>High Risk Worker Population</v>
      </c>
      <c r="D495" s="17" t="s">
        <v>759</v>
      </c>
      <c r="E495" s="18" t="s">
        <v>11</v>
      </c>
      <c r="F495" s="25">
        <v>2015</v>
      </c>
      <c r="G495" s="26">
        <v>3838783</v>
      </c>
    </row>
    <row r="496" spans="1:7" x14ac:dyDescent="0.35">
      <c r="A496" s="9">
        <f xml:space="preserve"> ROW( scalarDataframe[[#This Row],[row_id]] ) - ROW( scalarDataframe[[#Headers],[row_id]] )</f>
        <v>495</v>
      </c>
      <c r="B496" s="11" t="str">
        <f xml:space="preserve"> INDEX( co_scalarInfo[scalarType], MATCH( scalarDataframe[[#This Row],[scalarName]],  co_scalarInfo[scalarName], 0 ) )</f>
        <v>physScalar</v>
      </c>
      <c r="C496" s="46" t="str">
        <f xml:space="preserve"> INDEX( co_scalarInfo[scalarLabel], MATCH( scalarDataframe[[#This Row],[scalarName]], co_scalarInfo[scalarName], 0 ) )</f>
        <v>High Risk Worker Population</v>
      </c>
      <c r="D496" s="17" t="s">
        <v>759</v>
      </c>
      <c r="E496" s="18" t="s">
        <v>11</v>
      </c>
      <c r="F496" s="25">
        <v>2020</v>
      </c>
      <c r="G496" s="26">
        <v>3838783</v>
      </c>
    </row>
    <row r="497" spans="1:7" x14ac:dyDescent="0.35">
      <c r="A497" s="9">
        <f xml:space="preserve"> ROW( scalarDataframe[[#This Row],[row_id]] ) - ROW( scalarDataframe[[#Headers],[row_id]] )</f>
        <v>496</v>
      </c>
      <c r="B497" s="11" t="str">
        <f xml:space="preserve"> INDEX( co_scalarInfo[scalarType], MATCH( scalarDataframe[[#This Row],[scalarName]],  co_scalarInfo[scalarName], 0 ) )</f>
        <v>physScalar</v>
      </c>
      <c r="C497" s="46" t="str">
        <f xml:space="preserve"> INDEX( co_scalarInfo[scalarLabel], MATCH( scalarDataframe[[#This Row],[scalarName]], co_scalarInfo[scalarName], 0 ) )</f>
        <v>High Risk Worker Population</v>
      </c>
      <c r="D497" s="17" t="s">
        <v>759</v>
      </c>
      <c r="E497" s="18" t="s">
        <v>11</v>
      </c>
      <c r="F497" s="25">
        <v>2025</v>
      </c>
      <c r="G497" s="26">
        <v>3838783</v>
      </c>
    </row>
    <row r="498" spans="1:7" x14ac:dyDescent="0.35">
      <c r="A498" s="9">
        <f xml:space="preserve"> ROW( scalarDataframe[[#This Row],[row_id]] ) - ROW( scalarDataframe[[#Headers],[row_id]] )</f>
        <v>497</v>
      </c>
      <c r="B498" s="11" t="str">
        <f xml:space="preserve"> INDEX( co_scalarInfo[scalarType], MATCH( scalarDataframe[[#This Row],[scalarName]],  co_scalarInfo[scalarName], 0 ) )</f>
        <v>physScalar</v>
      </c>
      <c r="C498" s="46" t="str">
        <f xml:space="preserve"> INDEX( co_scalarInfo[scalarLabel], MATCH( scalarDataframe[[#This Row],[scalarName]], co_scalarInfo[scalarName], 0 ) )</f>
        <v>High Risk Worker Population</v>
      </c>
      <c r="D498" s="17" t="s">
        <v>759</v>
      </c>
      <c r="E498" s="18" t="s">
        <v>11</v>
      </c>
      <c r="F498" s="25">
        <v>2030</v>
      </c>
      <c r="G498" s="26">
        <v>3838783</v>
      </c>
    </row>
    <row r="499" spans="1:7" x14ac:dyDescent="0.35">
      <c r="A499" s="9">
        <f xml:space="preserve"> ROW( scalarDataframe[[#This Row],[row_id]] ) - ROW( scalarDataframe[[#Headers],[row_id]] )</f>
        <v>498</v>
      </c>
      <c r="B499" s="11" t="str">
        <f xml:space="preserve"> INDEX( co_scalarInfo[scalarType], MATCH( scalarDataframe[[#This Row],[scalarName]],  co_scalarInfo[scalarName], 0 ) )</f>
        <v>physScalar</v>
      </c>
      <c r="C499" s="46" t="str">
        <f xml:space="preserve"> INDEX( co_scalarInfo[scalarLabel], MATCH( scalarDataframe[[#This Row],[scalarName]], co_scalarInfo[scalarName], 0 ) )</f>
        <v>High Risk Worker Population</v>
      </c>
      <c r="D499" s="17" t="s">
        <v>759</v>
      </c>
      <c r="E499" s="18" t="s">
        <v>11</v>
      </c>
      <c r="F499" s="25">
        <v>2035</v>
      </c>
      <c r="G499" s="26">
        <v>3838783</v>
      </c>
    </row>
    <row r="500" spans="1:7" x14ac:dyDescent="0.35">
      <c r="A500" s="9">
        <f xml:space="preserve"> ROW( scalarDataframe[[#This Row],[row_id]] ) - ROW( scalarDataframe[[#Headers],[row_id]] )</f>
        <v>499</v>
      </c>
      <c r="B500" s="11" t="str">
        <f xml:space="preserve"> INDEX( co_scalarInfo[scalarType], MATCH( scalarDataframe[[#This Row],[scalarName]],  co_scalarInfo[scalarName], 0 ) )</f>
        <v>physScalar</v>
      </c>
      <c r="C500" s="46" t="str">
        <f xml:space="preserve"> INDEX( co_scalarInfo[scalarLabel], MATCH( scalarDataframe[[#This Row],[scalarName]], co_scalarInfo[scalarName], 0 ) )</f>
        <v>High Risk Worker Population</v>
      </c>
      <c r="D500" s="17" t="s">
        <v>759</v>
      </c>
      <c r="E500" s="18" t="s">
        <v>11</v>
      </c>
      <c r="F500" s="25">
        <v>2040</v>
      </c>
      <c r="G500" s="26">
        <v>3838783</v>
      </c>
    </row>
    <row r="501" spans="1:7" x14ac:dyDescent="0.35">
      <c r="A501" s="9">
        <f xml:space="preserve"> ROW( scalarDataframe[[#This Row],[row_id]] ) - ROW( scalarDataframe[[#Headers],[row_id]] )</f>
        <v>500</v>
      </c>
      <c r="B501" s="11" t="str">
        <f xml:space="preserve"> INDEX( co_scalarInfo[scalarType], MATCH( scalarDataframe[[#This Row],[scalarName]],  co_scalarInfo[scalarName], 0 ) )</f>
        <v>physScalar</v>
      </c>
      <c r="C501" s="46" t="str">
        <f xml:space="preserve"> INDEX( co_scalarInfo[scalarLabel], MATCH( scalarDataframe[[#This Row],[scalarName]], co_scalarInfo[scalarName], 0 ) )</f>
        <v>High Risk Worker Population</v>
      </c>
      <c r="D501" s="17" t="s">
        <v>759</v>
      </c>
      <c r="E501" s="18" t="s">
        <v>11</v>
      </c>
      <c r="F501" s="25">
        <v>2045</v>
      </c>
      <c r="G501" s="26">
        <v>3838783</v>
      </c>
    </row>
    <row r="502" spans="1:7" x14ac:dyDescent="0.35">
      <c r="A502" s="9">
        <f xml:space="preserve"> ROW( scalarDataframe[[#This Row],[row_id]] ) - ROW( scalarDataframe[[#Headers],[row_id]] )</f>
        <v>501</v>
      </c>
      <c r="B502" s="11" t="str">
        <f xml:space="preserve"> INDEX( co_scalarInfo[scalarType], MATCH( scalarDataframe[[#This Row],[scalarName]],  co_scalarInfo[scalarName], 0 ) )</f>
        <v>physScalar</v>
      </c>
      <c r="C502" s="46" t="str">
        <f xml:space="preserve"> INDEX( co_scalarInfo[scalarLabel], MATCH( scalarDataframe[[#This Row],[scalarName]], co_scalarInfo[scalarName], 0 ) )</f>
        <v>High Risk Worker Population</v>
      </c>
      <c r="D502" s="17" t="s">
        <v>759</v>
      </c>
      <c r="E502" s="18" t="s">
        <v>11</v>
      </c>
      <c r="F502" s="25">
        <v>2050</v>
      </c>
      <c r="G502" s="26">
        <v>3838783</v>
      </c>
    </row>
    <row r="503" spans="1:7" x14ac:dyDescent="0.35">
      <c r="A503" s="9">
        <f xml:space="preserve"> ROW( scalarDataframe[[#This Row],[row_id]] ) - ROW( scalarDataframe[[#Headers],[row_id]] )</f>
        <v>502</v>
      </c>
      <c r="B503" s="11" t="str">
        <f xml:space="preserve"> INDEX( co_scalarInfo[scalarType], MATCH( scalarDataframe[[#This Row],[scalarName]],  co_scalarInfo[scalarName], 0 ) )</f>
        <v>physScalar</v>
      </c>
      <c r="C503" s="46" t="str">
        <f xml:space="preserve"> INDEX( co_scalarInfo[scalarLabel], MATCH( scalarDataframe[[#This Row],[scalarName]], co_scalarInfo[scalarName], 0 ) )</f>
        <v>High Risk Worker Population</v>
      </c>
      <c r="D503" s="17" t="s">
        <v>759</v>
      </c>
      <c r="E503" s="18" t="s">
        <v>11</v>
      </c>
      <c r="F503" s="25">
        <v>2055</v>
      </c>
      <c r="G503" s="26">
        <v>3838783</v>
      </c>
    </row>
    <row r="504" spans="1:7" x14ac:dyDescent="0.35">
      <c r="A504" s="9">
        <f xml:space="preserve"> ROW( scalarDataframe[[#This Row],[row_id]] ) - ROW( scalarDataframe[[#Headers],[row_id]] )</f>
        <v>503</v>
      </c>
      <c r="B504" s="11" t="str">
        <f xml:space="preserve"> INDEX( co_scalarInfo[scalarType], MATCH( scalarDataframe[[#This Row],[scalarName]],  co_scalarInfo[scalarName], 0 ) )</f>
        <v>physScalar</v>
      </c>
      <c r="C504" s="46" t="str">
        <f xml:space="preserve"> INDEX( co_scalarInfo[scalarLabel], MATCH( scalarDataframe[[#This Row],[scalarName]], co_scalarInfo[scalarName], 0 ) )</f>
        <v>High Risk Worker Population</v>
      </c>
      <c r="D504" s="17" t="s">
        <v>759</v>
      </c>
      <c r="E504" s="18" t="s">
        <v>11</v>
      </c>
      <c r="F504" s="25">
        <v>2060</v>
      </c>
      <c r="G504" s="26">
        <v>3838783</v>
      </c>
    </row>
    <row r="505" spans="1:7" x14ac:dyDescent="0.35">
      <c r="A505" s="9">
        <f xml:space="preserve"> ROW( scalarDataframe[[#This Row],[row_id]] ) - ROW( scalarDataframe[[#Headers],[row_id]] )</f>
        <v>504</v>
      </c>
      <c r="B505" s="11" t="str">
        <f xml:space="preserve"> INDEX( co_scalarInfo[scalarType], MATCH( scalarDataframe[[#This Row],[scalarName]],  co_scalarInfo[scalarName], 0 ) )</f>
        <v>physScalar</v>
      </c>
      <c r="C505" s="46" t="str">
        <f xml:space="preserve"> INDEX( co_scalarInfo[scalarLabel], MATCH( scalarDataframe[[#This Row],[scalarName]], co_scalarInfo[scalarName], 0 ) )</f>
        <v>High Risk Worker Population</v>
      </c>
      <c r="D505" s="17" t="s">
        <v>759</v>
      </c>
      <c r="E505" s="18" t="s">
        <v>11</v>
      </c>
      <c r="F505" s="25">
        <v>2065</v>
      </c>
      <c r="G505" s="26">
        <v>3838783</v>
      </c>
    </row>
    <row r="506" spans="1:7" x14ac:dyDescent="0.35">
      <c r="A506" s="9">
        <f xml:space="preserve"> ROW( scalarDataframe[[#This Row],[row_id]] ) - ROW( scalarDataframe[[#Headers],[row_id]] )</f>
        <v>505</v>
      </c>
      <c r="B506" s="11" t="str">
        <f xml:space="preserve"> INDEX( co_scalarInfo[scalarType], MATCH( scalarDataframe[[#This Row],[scalarName]],  co_scalarInfo[scalarName], 0 ) )</f>
        <v>physScalar</v>
      </c>
      <c r="C506" s="46" t="str">
        <f xml:space="preserve"> INDEX( co_scalarInfo[scalarLabel], MATCH( scalarDataframe[[#This Row],[scalarName]], co_scalarInfo[scalarName], 0 ) )</f>
        <v>High Risk Worker Population</v>
      </c>
      <c r="D506" s="17" t="s">
        <v>759</v>
      </c>
      <c r="E506" s="18" t="s">
        <v>11</v>
      </c>
      <c r="F506" s="25">
        <v>2070</v>
      </c>
      <c r="G506" s="26">
        <v>3838783</v>
      </c>
    </row>
    <row r="507" spans="1:7" x14ac:dyDescent="0.35">
      <c r="A507" s="9">
        <f xml:space="preserve"> ROW( scalarDataframe[[#This Row],[row_id]] ) - ROW( scalarDataframe[[#Headers],[row_id]] )</f>
        <v>506</v>
      </c>
      <c r="B507" s="11" t="str">
        <f xml:space="preserve"> INDEX( co_scalarInfo[scalarType], MATCH( scalarDataframe[[#This Row],[scalarName]],  co_scalarInfo[scalarName], 0 ) )</f>
        <v>physScalar</v>
      </c>
      <c r="C507" s="46" t="str">
        <f xml:space="preserve"> INDEX( co_scalarInfo[scalarLabel], MATCH( scalarDataframe[[#This Row],[scalarName]], co_scalarInfo[scalarName], 0 ) )</f>
        <v>High Risk Worker Population</v>
      </c>
      <c r="D507" s="17" t="s">
        <v>759</v>
      </c>
      <c r="E507" s="18" t="s">
        <v>11</v>
      </c>
      <c r="F507" s="25">
        <v>2075</v>
      </c>
      <c r="G507" s="26">
        <v>3838783</v>
      </c>
    </row>
    <row r="508" spans="1:7" x14ac:dyDescent="0.35">
      <c r="A508" s="9">
        <f xml:space="preserve"> ROW( scalarDataframe[[#This Row],[row_id]] ) - ROW( scalarDataframe[[#Headers],[row_id]] )</f>
        <v>507</v>
      </c>
      <c r="B508" s="11" t="str">
        <f xml:space="preserve"> INDEX( co_scalarInfo[scalarType], MATCH( scalarDataframe[[#This Row],[scalarName]],  co_scalarInfo[scalarName], 0 ) )</f>
        <v>physScalar</v>
      </c>
      <c r="C508" s="46" t="str">
        <f xml:space="preserve"> INDEX( co_scalarInfo[scalarLabel], MATCH( scalarDataframe[[#This Row],[scalarName]], co_scalarInfo[scalarName], 0 ) )</f>
        <v>High Risk Worker Population</v>
      </c>
      <c r="D508" s="17" t="s">
        <v>759</v>
      </c>
      <c r="E508" s="18" t="s">
        <v>11</v>
      </c>
      <c r="F508" s="25">
        <v>2080</v>
      </c>
      <c r="G508" s="26">
        <v>3838783</v>
      </c>
    </row>
    <row r="509" spans="1:7" x14ac:dyDescent="0.35">
      <c r="A509" s="9">
        <f xml:space="preserve"> ROW( scalarDataframe[[#This Row],[row_id]] ) - ROW( scalarDataframe[[#Headers],[row_id]] )</f>
        <v>508</v>
      </c>
      <c r="B509" s="11" t="str">
        <f xml:space="preserve"> INDEX( co_scalarInfo[scalarType], MATCH( scalarDataframe[[#This Row],[scalarName]],  co_scalarInfo[scalarName], 0 ) )</f>
        <v>physScalar</v>
      </c>
      <c r="C509" s="46" t="str">
        <f xml:space="preserve"> INDEX( co_scalarInfo[scalarLabel], MATCH( scalarDataframe[[#This Row],[scalarName]], co_scalarInfo[scalarName], 0 ) )</f>
        <v>High Risk Worker Population</v>
      </c>
      <c r="D509" s="17" t="s">
        <v>759</v>
      </c>
      <c r="E509" s="18" t="s">
        <v>11</v>
      </c>
      <c r="F509" s="25">
        <v>2085</v>
      </c>
      <c r="G509" s="26">
        <v>3838783</v>
      </c>
    </row>
    <row r="510" spans="1:7" x14ac:dyDescent="0.35">
      <c r="A510" s="9">
        <f xml:space="preserve"> ROW( scalarDataframe[[#This Row],[row_id]] ) - ROW( scalarDataframe[[#Headers],[row_id]] )</f>
        <v>509</v>
      </c>
      <c r="B510" s="11" t="str">
        <f xml:space="preserve"> INDEX( co_scalarInfo[scalarType], MATCH( scalarDataframe[[#This Row],[scalarName]],  co_scalarInfo[scalarName], 0 ) )</f>
        <v>physScalar</v>
      </c>
      <c r="C510" s="46" t="str">
        <f xml:space="preserve"> INDEX( co_scalarInfo[scalarLabel], MATCH( scalarDataframe[[#This Row],[scalarName]], co_scalarInfo[scalarName], 0 ) )</f>
        <v>High Risk Worker Population</v>
      </c>
      <c r="D510" s="17" t="s">
        <v>759</v>
      </c>
      <c r="E510" s="18" t="s">
        <v>11</v>
      </c>
      <c r="F510" s="25">
        <v>2090</v>
      </c>
      <c r="G510" s="26">
        <v>3838783</v>
      </c>
    </row>
    <row r="511" spans="1:7" x14ac:dyDescent="0.35">
      <c r="A511" s="9">
        <f xml:space="preserve"> ROW( scalarDataframe[[#This Row],[row_id]] ) - ROW( scalarDataframe[[#Headers],[row_id]] )</f>
        <v>510</v>
      </c>
      <c r="B511" s="11" t="str">
        <f xml:space="preserve"> INDEX( co_scalarInfo[scalarType], MATCH( scalarDataframe[[#This Row],[scalarName]],  co_scalarInfo[scalarName], 0 ) )</f>
        <v>physScalar</v>
      </c>
      <c r="C511" s="46" t="str">
        <f xml:space="preserve"> INDEX( co_scalarInfo[scalarLabel], MATCH( scalarDataframe[[#This Row],[scalarName]], co_scalarInfo[scalarName], 0 ) )</f>
        <v>High Risk Worker Population</v>
      </c>
      <c r="D511" s="17" t="s">
        <v>759</v>
      </c>
      <c r="E511" s="18" t="s">
        <v>12</v>
      </c>
      <c r="F511" s="25">
        <v>2010</v>
      </c>
      <c r="G511" s="26">
        <v>5718429</v>
      </c>
    </row>
    <row r="512" spans="1:7" x14ac:dyDescent="0.35">
      <c r="A512" s="9">
        <f xml:space="preserve"> ROW( scalarDataframe[[#This Row],[row_id]] ) - ROW( scalarDataframe[[#Headers],[row_id]] )</f>
        <v>511</v>
      </c>
      <c r="B512" s="11" t="str">
        <f xml:space="preserve"> INDEX( co_scalarInfo[scalarType], MATCH( scalarDataframe[[#This Row],[scalarName]],  co_scalarInfo[scalarName], 0 ) )</f>
        <v>physScalar</v>
      </c>
      <c r="C512" s="46" t="str">
        <f xml:space="preserve"> INDEX( co_scalarInfo[scalarLabel], MATCH( scalarDataframe[[#This Row],[scalarName]], co_scalarInfo[scalarName], 0 ) )</f>
        <v>High Risk Worker Population</v>
      </c>
      <c r="D512" s="17" t="s">
        <v>759</v>
      </c>
      <c r="E512" s="18" t="s">
        <v>12</v>
      </c>
      <c r="F512" s="25">
        <v>2015</v>
      </c>
      <c r="G512" s="26">
        <v>5718429</v>
      </c>
    </row>
    <row r="513" spans="1:7" x14ac:dyDescent="0.35">
      <c r="A513" s="9">
        <f xml:space="preserve"> ROW( scalarDataframe[[#This Row],[row_id]] ) - ROW( scalarDataframe[[#Headers],[row_id]] )</f>
        <v>512</v>
      </c>
      <c r="B513" s="11" t="str">
        <f xml:space="preserve"> INDEX( co_scalarInfo[scalarType], MATCH( scalarDataframe[[#This Row],[scalarName]],  co_scalarInfo[scalarName], 0 ) )</f>
        <v>physScalar</v>
      </c>
      <c r="C513" s="46" t="str">
        <f xml:space="preserve"> INDEX( co_scalarInfo[scalarLabel], MATCH( scalarDataframe[[#This Row],[scalarName]], co_scalarInfo[scalarName], 0 ) )</f>
        <v>High Risk Worker Population</v>
      </c>
      <c r="D513" s="17" t="s">
        <v>759</v>
      </c>
      <c r="E513" s="18" t="s">
        <v>12</v>
      </c>
      <c r="F513" s="25">
        <v>2020</v>
      </c>
      <c r="G513" s="26">
        <v>5718429</v>
      </c>
    </row>
    <row r="514" spans="1:7" x14ac:dyDescent="0.35">
      <c r="A514" s="9">
        <f xml:space="preserve"> ROW( scalarDataframe[[#This Row],[row_id]] ) - ROW( scalarDataframe[[#Headers],[row_id]] )</f>
        <v>513</v>
      </c>
      <c r="B514" s="11" t="str">
        <f xml:space="preserve"> INDEX( co_scalarInfo[scalarType], MATCH( scalarDataframe[[#This Row],[scalarName]],  co_scalarInfo[scalarName], 0 ) )</f>
        <v>physScalar</v>
      </c>
      <c r="C514" s="46" t="str">
        <f xml:space="preserve"> INDEX( co_scalarInfo[scalarLabel], MATCH( scalarDataframe[[#This Row],[scalarName]], co_scalarInfo[scalarName], 0 ) )</f>
        <v>High Risk Worker Population</v>
      </c>
      <c r="D514" s="17" t="s">
        <v>759</v>
      </c>
      <c r="E514" s="18" t="s">
        <v>12</v>
      </c>
      <c r="F514" s="25">
        <v>2025</v>
      </c>
      <c r="G514" s="26">
        <v>5718429</v>
      </c>
    </row>
    <row r="515" spans="1:7" x14ac:dyDescent="0.35">
      <c r="A515" s="9">
        <f xml:space="preserve"> ROW( scalarDataframe[[#This Row],[row_id]] ) - ROW( scalarDataframe[[#Headers],[row_id]] )</f>
        <v>514</v>
      </c>
      <c r="B515" s="11" t="str">
        <f xml:space="preserve"> INDEX( co_scalarInfo[scalarType], MATCH( scalarDataframe[[#This Row],[scalarName]],  co_scalarInfo[scalarName], 0 ) )</f>
        <v>physScalar</v>
      </c>
      <c r="C515" s="46" t="str">
        <f xml:space="preserve"> INDEX( co_scalarInfo[scalarLabel], MATCH( scalarDataframe[[#This Row],[scalarName]], co_scalarInfo[scalarName], 0 ) )</f>
        <v>High Risk Worker Population</v>
      </c>
      <c r="D515" s="17" t="s">
        <v>759</v>
      </c>
      <c r="E515" s="18" t="s">
        <v>12</v>
      </c>
      <c r="F515" s="25">
        <v>2030</v>
      </c>
      <c r="G515" s="26">
        <v>5718429</v>
      </c>
    </row>
    <row r="516" spans="1:7" x14ac:dyDescent="0.35">
      <c r="A516" s="9">
        <f xml:space="preserve"> ROW( scalarDataframe[[#This Row],[row_id]] ) - ROW( scalarDataframe[[#Headers],[row_id]] )</f>
        <v>515</v>
      </c>
      <c r="B516" s="11" t="str">
        <f xml:space="preserve"> INDEX( co_scalarInfo[scalarType], MATCH( scalarDataframe[[#This Row],[scalarName]],  co_scalarInfo[scalarName], 0 ) )</f>
        <v>physScalar</v>
      </c>
      <c r="C516" s="46" t="str">
        <f xml:space="preserve"> INDEX( co_scalarInfo[scalarLabel], MATCH( scalarDataframe[[#This Row],[scalarName]], co_scalarInfo[scalarName], 0 ) )</f>
        <v>High Risk Worker Population</v>
      </c>
      <c r="D516" s="17" t="s">
        <v>759</v>
      </c>
      <c r="E516" s="18" t="s">
        <v>12</v>
      </c>
      <c r="F516" s="25">
        <v>2035</v>
      </c>
      <c r="G516" s="26">
        <v>5718429</v>
      </c>
    </row>
    <row r="517" spans="1:7" x14ac:dyDescent="0.35">
      <c r="A517" s="9">
        <f xml:space="preserve"> ROW( scalarDataframe[[#This Row],[row_id]] ) - ROW( scalarDataframe[[#Headers],[row_id]] )</f>
        <v>516</v>
      </c>
      <c r="B517" s="11" t="str">
        <f xml:space="preserve"> INDEX( co_scalarInfo[scalarType], MATCH( scalarDataframe[[#This Row],[scalarName]],  co_scalarInfo[scalarName], 0 ) )</f>
        <v>physScalar</v>
      </c>
      <c r="C517" s="46" t="str">
        <f xml:space="preserve"> INDEX( co_scalarInfo[scalarLabel], MATCH( scalarDataframe[[#This Row],[scalarName]], co_scalarInfo[scalarName], 0 ) )</f>
        <v>High Risk Worker Population</v>
      </c>
      <c r="D517" s="17" t="s">
        <v>759</v>
      </c>
      <c r="E517" s="18" t="s">
        <v>12</v>
      </c>
      <c r="F517" s="25">
        <v>2040</v>
      </c>
      <c r="G517" s="26">
        <v>5718429</v>
      </c>
    </row>
    <row r="518" spans="1:7" x14ac:dyDescent="0.35">
      <c r="A518" s="9">
        <f xml:space="preserve"> ROW( scalarDataframe[[#This Row],[row_id]] ) - ROW( scalarDataframe[[#Headers],[row_id]] )</f>
        <v>517</v>
      </c>
      <c r="B518" s="11" t="str">
        <f xml:space="preserve"> INDEX( co_scalarInfo[scalarType], MATCH( scalarDataframe[[#This Row],[scalarName]],  co_scalarInfo[scalarName], 0 ) )</f>
        <v>physScalar</v>
      </c>
      <c r="C518" s="46" t="str">
        <f xml:space="preserve"> INDEX( co_scalarInfo[scalarLabel], MATCH( scalarDataframe[[#This Row],[scalarName]], co_scalarInfo[scalarName], 0 ) )</f>
        <v>High Risk Worker Population</v>
      </c>
      <c r="D518" s="17" t="s">
        <v>759</v>
      </c>
      <c r="E518" s="18" t="s">
        <v>12</v>
      </c>
      <c r="F518" s="25">
        <v>2045</v>
      </c>
      <c r="G518" s="26">
        <v>5718429</v>
      </c>
    </row>
    <row r="519" spans="1:7" x14ac:dyDescent="0.35">
      <c r="A519" s="9">
        <f xml:space="preserve"> ROW( scalarDataframe[[#This Row],[row_id]] ) - ROW( scalarDataframe[[#Headers],[row_id]] )</f>
        <v>518</v>
      </c>
      <c r="B519" s="11" t="str">
        <f xml:space="preserve"> INDEX( co_scalarInfo[scalarType], MATCH( scalarDataframe[[#This Row],[scalarName]],  co_scalarInfo[scalarName], 0 ) )</f>
        <v>physScalar</v>
      </c>
      <c r="C519" s="46" t="str">
        <f xml:space="preserve"> INDEX( co_scalarInfo[scalarLabel], MATCH( scalarDataframe[[#This Row],[scalarName]], co_scalarInfo[scalarName], 0 ) )</f>
        <v>High Risk Worker Population</v>
      </c>
      <c r="D519" s="17" t="s">
        <v>759</v>
      </c>
      <c r="E519" s="18" t="s">
        <v>12</v>
      </c>
      <c r="F519" s="25">
        <v>2050</v>
      </c>
      <c r="G519" s="26">
        <v>5718429</v>
      </c>
    </row>
    <row r="520" spans="1:7" x14ac:dyDescent="0.35">
      <c r="A520" s="9">
        <f xml:space="preserve"> ROW( scalarDataframe[[#This Row],[row_id]] ) - ROW( scalarDataframe[[#Headers],[row_id]] )</f>
        <v>519</v>
      </c>
      <c r="B520" s="11" t="str">
        <f xml:space="preserve"> INDEX( co_scalarInfo[scalarType], MATCH( scalarDataframe[[#This Row],[scalarName]],  co_scalarInfo[scalarName], 0 ) )</f>
        <v>physScalar</v>
      </c>
      <c r="C520" s="46" t="str">
        <f xml:space="preserve"> INDEX( co_scalarInfo[scalarLabel], MATCH( scalarDataframe[[#This Row],[scalarName]], co_scalarInfo[scalarName], 0 ) )</f>
        <v>High Risk Worker Population</v>
      </c>
      <c r="D520" s="17" t="s">
        <v>759</v>
      </c>
      <c r="E520" s="18" t="s">
        <v>12</v>
      </c>
      <c r="F520" s="25">
        <v>2055</v>
      </c>
      <c r="G520" s="26">
        <v>5718429</v>
      </c>
    </row>
    <row r="521" spans="1:7" x14ac:dyDescent="0.35">
      <c r="A521" s="9">
        <f xml:space="preserve"> ROW( scalarDataframe[[#This Row],[row_id]] ) - ROW( scalarDataframe[[#Headers],[row_id]] )</f>
        <v>520</v>
      </c>
      <c r="B521" s="11" t="str">
        <f xml:space="preserve"> INDEX( co_scalarInfo[scalarType], MATCH( scalarDataframe[[#This Row],[scalarName]],  co_scalarInfo[scalarName], 0 ) )</f>
        <v>physScalar</v>
      </c>
      <c r="C521" s="46" t="str">
        <f xml:space="preserve"> INDEX( co_scalarInfo[scalarLabel], MATCH( scalarDataframe[[#This Row],[scalarName]], co_scalarInfo[scalarName], 0 ) )</f>
        <v>High Risk Worker Population</v>
      </c>
      <c r="D521" s="17" t="s">
        <v>759</v>
      </c>
      <c r="E521" s="18" t="s">
        <v>12</v>
      </c>
      <c r="F521" s="25">
        <v>2060</v>
      </c>
      <c r="G521" s="26">
        <v>5718429</v>
      </c>
    </row>
    <row r="522" spans="1:7" x14ac:dyDescent="0.35">
      <c r="A522" s="9">
        <f xml:space="preserve"> ROW( scalarDataframe[[#This Row],[row_id]] ) - ROW( scalarDataframe[[#Headers],[row_id]] )</f>
        <v>521</v>
      </c>
      <c r="B522" s="11" t="str">
        <f xml:space="preserve"> INDEX( co_scalarInfo[scalarType], MATCH( scalarDataframe[[#This Row],[scalarName]],  co_scalarInfo[scalarName], 0 ) )</f>
        <v>physScalar</v>
      </c>
      <c r="C522" s="46" t="str">
        <f xml:space="preserve"> INDEX( co_scalarInfo[scalarLabel], MATCH( scalarDataframe[[#This Row],[scalarName]], co_scalarInfo[scalarName], 0 ) )</f>
        <v>High Risk Worker Population</v>
      </c>
      <c r="D522" s="17" t="s">
        <v>759</v>
      </c>
      <c r="E522" s="18" t="s">
        <v>12</v>
      </c>
      <c r="F522" s="25">
        <v>2065</v>
      </c>
      <c r="G522" s="26">
        <v>5718429</v>
      </c>
    </row>
    <row r="523" spans="1:7" x14ac:dyDescent="0.35">
      <c r="A523" s="9">
        <f xml:space="preserve"> ROW( scalarDataframe[[#This Row],[row_id]] ) - ROW( scalarDataframe[[#Headers],[row_id]] )</f>
        <v>522</v>
      </c>
      <c r="B523" s="11" t="str">
        <f xml:space="preserve"> INDEX( co_scalarInfo[scalarType], MATCH( scalarDataframe[[#This Row],[scalarName]],  co_scalarInfo[scalarName], 0 ) )</f>
        <v>physScalar</v>
      </c>
      <c r="C523" s="46" t="str">
        <f xml:space="preserve"> INDEX( co_scalarInfo[scalarLabel], MATCH( scalarDataframe[[#This Row],[scalarName]], co_scalarInfo[scalarName], 0 ) )</f>
        <v>High Risk Worker Population</v>
      </c>
      <c r="D523" s="17" t="s">
        <v>759</v>
      </c>
      <c r="E523" s="18" t="s">
        <v>12</v>
      </c>
      <c r="F523" s="25">
        <v>2070</v>
      </c>
      <c r="G523" s="26">
        <v>5718429</v>
      </c>
    </row>
    <row r="524" spans="1:7" x14ac:dyDescent="0.35">
      <c r="A524" s="9">
        <f xml:space="preserve"> ROW( scalarDataframe[[#This Row],[row_id]] ) - ROW( scalarDataframe[[#Headers],[row_id]] )</f>
        <v>523</v>
      </c>
      <c r="B524" s="11" t="str">
        <f xml:space="preserve"> INDEX( co_scalarInfo[scalarType], MATCH( scalarDataframe[[#This Row],[scalarName]],  co_scalarInfo[scalarName], 0 ) )</f>
        <v>physScalar</v>
      </c>
      <c r="C524" s="46" t="str">
        <f xml:space="preserve"> INDEX( co_scalarInfo[scalarLabel], MATCH( scalarDataframe[[#This Row],[scalarName]], co_scalarInfo[scalarName], 0 ) )</f>
        <v>High Risk Worker Population</v>
      </c>
      <c r="D524" s="17" t="s">
        <v>759</v>
      </c>
      <c r="E524" s="18" t="s">
        <v>12</v>
      </c>
      <c r="F524" s="25">
        <v>2075</v>
      </c>
      <c r="G524" s="26">
        <v>5718429</v>
      </c>
    </row>
    <row r="525" spans="1:7" x14ac:dyDescent="0.35">
      <c r="A525" s="9">
        <f xml:space="preserve"> ROW( scalarDataframe[[#This Row],[row_id]] ) - ROW( scalarDataframe[[#Headers],[row_id]] )</f>
        <v>524</v>
      </c>
      <c r="B525" s="11" t="str">
        <f xml:space="preserve"> INDEX( co_scalarInfo[scalarType], MATCH( scalarDataframe[[#This Row],[scalarName]],  co_scalarInfo[scalarName], 0 ) )</f>
        <v>physScalar</v>
      </c>
      <c r="C525" s="46" t="str">
        <f xml:space="preserve"> INDEX( co_scalarInfo[scalarLabel], MATCH( scalarDataframe[[#This Row],[scalarName]], co_scalarInfo[scalarName], 0 ) )</f>
        <v>High Risk Worker Population</v>
      </c>
      <c r="D525" s="17" t="s">
        <v>759</v>
      </c>
      <c r="E525" s="18" t="s">
        <v>12</v>
      </c>
      <c r="F525" s="25">
        <v>2080</v>
      </c>
      <c r="G525" s="26">
        <v>5718429</v>
      </c>
    </row>
    <row r="526" spans="1:7" x14ac:dyDescent="0.35">
      <c r="A526" s="9">
        <f xml:space="preserve"> ROW( scalarDataframe[[#This Row],[row_id]] ) - ROW( scalarDataframe[[#Headers],[row_id]] )</f>
        <v>525</v>
      </c>
      <c r="B526" s="11" t="str">
        <f xml:space="preserve"> INDEX( co_scalarInfo[scalarType], MATCH( scalarDataframe[[#This Row],[scalarName]],  co_scalarInfo[scalarName], 0 ) )</f>
        <v>physScalar</v>
      </c>
      <c r="C526" s="46" t="str">
        <f xml:space="preserve"> INDEX( co_scalarInfo[scalarLabel], MATCH( scalarDataframe[[#This Row],[scalarName]], co_scalarInfo[scalarName], 0 ) )</f>
        <v>High Risk Worker Population</v>
      </c>
      <c r="D526" s="17" t="s">
        <v>759</v>
      </c>
      <c r="E526" s="18" t="s">
        <v>12</v>
      </c>
      <c r="F526" s="25">
        <v>2085</v>
      </c>
      <c r="G526" s="26">
        <v>5718429</v>
      </c>
    </row>
    <row r="527" spans="1:7" x14ac:dyDescent="0.35">
      <c r="A527" s="9">
        <f xml:space="preserve"> ROW( scalarDataframe[[#This Row],[row_id]] ) - ROW( scalarDataframe[[#Headers],[row_id]] )</f>
        <v>526</v>
      </c>
      <c r="B527" s="11" t="str">
        <f xml:space="preserve"> INDEX( co_scalarInfo[scalarType], MATCH( scalarDataframe[[#This Row],[scalarName]],  co_scalarInfo[scalarName], 0 ) )</f>
        <v>physScalar</v>
      </c>
      <c r="C527" s="46" t="str">
        <f xml:space="preserve"> INDEX( co_scalarInfo[scalarLabel], MATCH( scalarDataframe[[#This Row],[scalarName]], co_scalarInfo[scalarName], 0 ) )</f>
        <v>High Risk Worker Population</v>
      </c>
      <c r="D527" s="17" t="s">
        <v>759</v>
      </c>
      <c r="E527" s="18" t="s">
        <v>12</v>
      </c>
      <c r="F527" s="25">
        <v>2090</v>
      </c>
      <c r="G527" s="26">
        <v>5718429</v>
      </c>
    </row>
    <row r="528" spans="1:7" x14ac:dyDescent="0.35">
      <c r="A528" s="9">
        <f xml:space="preserve"> ROW( scalarDataframe[[#This Row],[row_id]] ) - ROW( scalarDataframe[[#Headers],[row_id]] )</f>
        <v>527</v>
      </c>
      <c r="B528" s="11" t="str">
        <f xml:space="preserve"> INDEX( co_scalarInfo[scalarType], MATCH( scalarDataframe[[#This Row],[scalarName]],  co_scalarInfo[scalarName], 0 ) )</f>
        <v>physScalar</v>
      </c>
      <c r="C528" s="46" t="str">
        <f xml:space="preserve"> INDEX( co_scalarInfo[scalarLabel], MATCH( scalarDataframe[[#This Row],[scalarName]], co_scalarInfo[scalarName], 0 ) )</f>
        <v>Rail Miles</v>
      </c>
      <c r="D528" s="17" t="s">
        <v>236</v>
      </c>
      <c r="E528" s="18" t="s">
        <v>6</v>
      </c>
      <c r="F528" s="25">
        <v>2010</v>
      </c>
      <c r="G528" s="26">
        <v>45519.437499030275</v>
      </c>
    </row>
    <row r="529" spans="1:7" x14ac:dyDescent="0.35">
      <c r="A529" s="9">
        <f xml:space="preserve"> ROW( scalarDataframe[[#This Row],[row_id]] ) - ROW( scalarDataframe[[#Headers],[row_id]] )</f>
        <v>528</v>
      </c>
      <c r="B529" s="11" t="str">
        <f xml:space="preserve"> INDEX( co_scalarInfo[scalarType], MATCH( scalarDataframe[[#This Row],[scalarName]],  co_scalarInfo[scalarName], 0 ) )</f>
        <v>physScalar</v>
      </c>
      <c r="C529" s="46" t="str">
        <f xml:space="preserve"> INDEX( co_scalarInfo[scalarLabel], MATCH( scalarDataframe[[#This Row],[scalarName]], co_scalarInfo[scalarName], 0 ) )</f>
        <v>Rail Miles</v>
      </c>
      <c r="D529" s="17" t="s">
        <v>236</v>
      </c>
      <c r="E529" s="18" t="s">
        <v>13</v>
      </c>
      <c r="F529" s="25">
        <v>2010</v>
      </c>
      <c r="G529" s="26">
        <v>172703.81037377601</v>
      </c>
    </row>
    <row r="530" spans="1:7" x14ac:dyDescent="0.35">
      <c r="A530" s="9">
        <f xml:space="preserve"> ROW( scalarDataframe[[#This Row],[row_id]] ) - ROW( scalarDataframe[[#Headers],[row_id]] )</f>
        <v>529</v>
      </c>
      <c r="B530" s="11" t="str">
        <f xml:space="preserve"> INDEX( co_scalarInfo[scalarType], MATCH( scalarDataframe[[#This Row],[scalarName]],  co_scalarInfo[scalarName], 0 ) )</f>
        <v>physScalar</v>
      </c>
      <c r="C530" s="46" t="str">
        <f xml:space="preserve"> INDEX( co_scalarInfo[scalarLabel], MATCH( scalarDataframe[[#This Row],[scalarName]], co_scalarInfo[scalarName], 0 ) )</f>
        <v>Rail Miles</v>
      </c>
      <c r="D530" s="17" t="s">
        <v>236</v>
      </c>
      <c r="E530" s="18" t="s">
        <v>7</v>
      </c>
      <c r="F530" s="25">
        <v>2010</v>
      </c>
      <c r="G530" s="26">
        <v>21238.660469659051</v>
      </c>
    </row>
    <row r="531" spans="1:7" x14ac:dyDescent="0.35">
      <c r="A531" s="9">
        <f xml:space="preserve"> ROW( scalarDataframe[[#This Row],[row_id]] ) - ROW( scalarDataframe[[#Headers],[row_id]] )</f>
        <v>530</v>
      </c>
      <c r="B531" s="11" t="str">
        <f xml:space="preserve"> INDEX( co_scalarInfo[scalarType], MATCH( scalarDataframe[[#This Row],[scalarName]],  co_scalarInfo[scalarName], 0 ) )</f>
        <v>physScalar</v>
      </c>
      <c r="C531" s="46" t="str">
        <f xml:space="preserve"> INDEX( co_scalarInfo[scalarLabel], MATCH( scalarDataframe[[#This Row],[scalarName]], co_scalarInfo[scalarName], 0 ) )</f>
        <v>Rail Miles</v>
      </c>
      <c r="D531" s="17" t="s">
        <v>236</v>
      </c>
      <c r="E531" s="18" t="s">
        <v>8</v>
      </c>
      <c r="F531" s="25">
        <v>2010</v>
      </c>
      <c r="G531" s="26">
        <v>16012.8149398062</v>
      </c>
    </row>
    <row r="532" spans="1:7" x14ac:dyDescent="0.35">
      <c r="A532" s="9">
        <f xml:space="preserve"> ROW( scalarDataframe[[#This Row],[row_id]] ) - ROW( scalarDataframe[[#Headers],[row_id]] )</f>
        <v>531</v>
      </c>
      <c r="B532" s="11" t="str">
        <f xml:space="preserve"> INDEX( co_scalarInfo[scalarType], MATCH( scalarDataframe[[#This Row],[scalarName]],  co_scalarInfo[scalarName], 0 ) )</f>
        <v>physScalar</v>
      </c>
      <c r="C532" s="46" t="str">
        <f xml:space="preserve"> INDEX( co_scalarInfo[scalarLabel], MATCH( scalarDataframe[[#This Row],[scalarName]], co_scalarInfo[scalarName], 0 ) )</f>
        <v>Rail Miles</v>
      </c>
      <c r="D532" s="17" t="s">
        <v>236</v>
      </c>
      <c r="E532" s="18" t="s">
        <v>9</v>
      </c>
      <c r="F532" s="25">
        <v>2010</v>
      </c>
      <c r="G532" s="26">
        <v>8715.2955883617506</v>
      </c>
    </row>
    <row r="533" spans="1:7" x14ac:dyDescent="0.35">
      <c r="A533" s="9">
        <f xml:space="preserve"> ROW( scalarDataframe[[#This Row],[row_id]] ) - ROW( scalarDataframe[[#Headers],[row_id]] )</f>
        <v>532</v>
      </c>
      <c r="B533" s="11" t="str">
        <f xml:space="preserve"> INDEX( co_scalarInfo[scalarType], MATCH( scalarDataframe[[#This Row],[scalarName]],  co_scalarInfo[scalarName], 0 ) )</f>
        <v>physScalar</v>
      </c>
      <c r="C533" s="46" t="str">
        <f xml:space="preserve"> INDEX( co_scalarInfo[scalarLabel], MATCH( scalarDataframe[[#This Row],[scalarName]], co_scalarInfo[scalarName], 0 ) )</f>
        <v>Rail Miles</v>
      </c>
      <c r="D533" s="17" t="s">
        <v>236</v>
      </c>
      <c r="E533" s="18" t="s">
        <v>10</v>
      </c>
      <c r="F533" s="25">
        <v>2010</v>
      </c>
      <c r="G533" s="26">
        <v>39095.975839710947</v>
      </c>
    </row>
    <row r="534" spans="1:7" x14ac:dyDescent="0.35">
      <c r="A534" s="9">
        <f xml:space="preserve"> ROW( scalarDataframe[[#This Row],[row_id]] ) - ROW( scalarDataframe[[#Headers],[row_id]] )</f>
        <v>533</v>
      </c>
      <c r="B534" s="11" t="str">
        <f xml:space="preserve"> INDEX( co_scalarInfo[scalarType], MATCH( scalarDataframe[[#This Row],[scalarName]],  co_scalarInfo[scalarName], 0 ) )</f>
        <v>physScalar</v>
      </c>
      <c r="C534" s="46" t="str">
        <f xml:space="preserve"> INDEX( co_scalarInfo[scalarLabel], MATCH( scalarDataframe[[#This Row],[scalarName]], co_scalarInfo[scalarName], 0 ) )</f>
        <v>Rail Miles</v>
      </c>
      <c r="D534" s="17" t="s">
        <v>236</v>
      </c>
      <c r="E534" s="18" t="s">
        <v>11</v>
      </c>
      <c r="F534" s="25">
        <v>2010</v>
      </c>
      <c r="G534" s="26">
        <v>22149.35855572742</v>
      </c>
    </row>
    <row r="535" spans="1:7" x14ac:dyDescent="0.35">
      <c r="A535" s="9">
        <f xml:space="preserve"> ROW( scalarDataframe[[#This Row],[row_id]] ) - ROW( scalarDataframe[[#Headers],[row_id]] )</f>
        <v>534</v>
      </c>
      <c r="B535" s="11" t="str">
        <f xml:space="preserve"> INDEX( co_scalarInfo[scalarType], MATCH( scalarDataframe[[#This Row],[scalarName]],  co_scalarInfo[scalarName], 0 ) )</f>
        <v>physScalar</v>
      </c>
      <c r="C535" s="46" t="str">
        <f xml:space="preserve"> INDEX( co_scalarInfo[scalarLabel], MATCH( scalarDataframe[[#This Row],[scalarName]], co_scalarInfo[scalarName], 0 ) )</f>
        <v>Rail Miles</v>
      </c>
      <c r="D535" s="17" t="s">
        <v>236</v>
      </c>
      <c r="E535" s="18" t="s">
        <v>12</v>
      </c>
      <c r="F535" s="25">
        <v>2010</v>
      </c>
      <c r="G535" s="26">
        <v>19972.267481480369</v>
      </c>
    </row>
    <row r="536" spans="1:7" x14ac:dyDescent="0.35">
      <c r="A536" s="9">
        <f xml:space="preserve"> ROW( scalarDataframe[[#This Row],[row_id]] ) - ROW( scalarDataframe[[#Headers],[row_id]] )</f>
        <v>535</v>
      </c>
      <c r="B536" s="11" t="str">
        <f xml:space="preserve"> INDEX( co_scalarInfo[scalarType], MATCH( scalarDataframe[[#This Row],[scalarName]],  co_scalarInfo[scalarName], 0 ) )</f>
        <v>physScalar</v>
      </c>
      <c r="C536" s="46" t="str">
        <f xml:space="preserve"> INDEX( co_scalarInfo[scalarLabel], MATCH( scalarDataframe[[#This Row],[scalarName]], co_scalarInfo[scalarName], 0 ) )</f>
        <v>Road Miles</v>
      </c>
      <c r="D536" s="17" t="s">
        <v>250</v>
      </c>
      <c r="E536" s="18" t="s">
        <v>6</v>
      </c>
      <c r="F536" s="25">
        <v>2010</v>
      </c>
      <c r="G536" s="26">
        <v>2031304.073620277</v>
      </c>
    </row>
    <row r="537" spans="1:7" x14ac:dyDescent="0.35">
      <c r="A537" s="9">
        <f xml:space="preserve"> ROW( scalarDataframe[[#This Row],[row_id]] ) - ROW( scalarDataframe[[#Headers],[row_id]] )</f>
        <v>536</v>
      </c>
      <c r="B537" s="11" t="str">
        <f xml:space="preserve"> INDEX( co_scalarInfo[scalarType], MATCH( scalarDataframe[[#This Row],[scalarName]],  co_scalarInfo[scalarName], 0 ) )</f>
        <v>physScalar</v>
      </c>
      <c r="C537" s="46" t="str">
        <f xml:space="preserve"> INDEX( co_scalarInfo[scalarLabel], MATCH( scalarDataframe[[#This Row],[scalarName]], co_scalarInfo[scalarName], 0 ) )</f>
        <v>Road Miles</v>
      </c>
      <c r="D537" s="17" t="s">
        <v>250</v>
      </c>
      <c r="E537" s="18" t="s">
        <v>7</v>
      </c>
      <c r="F537" s="25">
        <v>2010</v>
      </c>
      <c r="G537" s="26">
        <v>991722.197822463</v>
      </c>
    </row>
    <row r="538" spans="1:7" x14ac:dyDescent="0.35">
      <c r="A538" s="9">
        <f xml:space="preserve"> ROW( scalarDataframe[[#This Row],[row_id]] ) - ROW( scalarDataframe[[#Headers],[row_id]] )</f>
        <v>537</v>
      </c>
      <c r="B538" s="11" t="str">
        <f xml:space="preserve"> INDEX( co_scalarInfo[scalarType], MATCH( scalarDataframe[[#This Row],[scalarName]],  co_scalarInfo[scalarName], 0 ) )</f>
        <v>physScalar</v>
      </c>
      <c r="C538" s="46" t="str">
        <f xml:space="preserve"> INDEX( co_scalarInfo[scalarLabel], MATCH( scalarDataframe[[#This Row],[scalarName]], co_scalarInfo[scalarName], 0 ) )</f>
        <v>Road Miles</v>
      </c>
      <c r="D538" s="17" t="s">
        <v>250</v>
      </c>
      <c r="E538" s="18" t="s">
        <v>8</v>
      </c>
      <c r="F538" s="25">
        <v>2010</v>
      </c>
      <c r="G538" s="26">
        <v>743409.69855529245</v>
      </c>
    </row>
    <row r="539" spans="1:7" x14ac:dyDescent="0.35">
      <c r="A539" s="9">
        <f xml:space="preserve"> ROW( scalarDataframe[[#This Row],[row_id]] ) - ROW( scalarDataframe[[#Headers],[row_id]] )</f>
        <v>538</v>
      </c>
      <c r="B539" s="11" t="str">
        <f xml:space="preserve"> INDEX( co_scalarInfo[scalarType], MATCH( scalarDataframe[[#This Row],[scalarName]],  co_scalarInfo[scalarName], 0 ) )</f>
        <v>physScalar</v>
      </c>
      <c r="C539" s="46" t="str">
        <f xml:space="preserve"> INDEX( co_scalarInfo[scalarLabel], MATCH( scalarDataframe[[#This Row],[scalarName]], co_scalarInfo[scalarName], 0 ) )</f>
        <v>Road Miles</v>
      </c>
      <c r="D539" s="17" t="s">
        <v>250</v>
      </c>
      <c r="E539" s="18" t="s">
        <v>9</v>
      </c>
      <c r="F539" s="25">
        <v>2010</v>
      </c>
      <c r="G539" s="26">
        <v>394630.18146074592</v>
      </c>
    </row>
    <row r="540" spans="1:7" x14ac:dyDescent="0.35">
      <c r="A540" s="9">
        <f xml:space="preserve"> ROW( scalarDataframe[[#This Row],[row_id]] ) - ROW( scalarDataframe[[#Headers],[row_id]] )</f>
        <v>539</v>
      </c>
      <c r="B540" s="11" t="str">
        <f xml:space="preserve"> INDEX( co_scalarInfo[scalarType], MATCH( scalarDataframe[[#This Row],[scalarName]],  co_scalarInfo[scalarName], 0 ) )</f>
        <v>physScalar</v>
      </c>
      <c r="C540" s="46" t="str">
        <f xml:space="preserve"> INDEX( co_scalarInfo[scalarLabel], MATCH( scalarDataframe[[#This Row],[scalarName]], co_scalarInfo[scalarName], 0 ) )</f>
        <v>Road Miles</v>
      </c>
      <c r="D540" s="17" t="s">
        <v>250</v>
      </c>
      <c r="E540" s="18" t="s">
        <v>10</v>
      </c>
      <c r="F540" s="25">
        <v>2010</v>
      </c>
      <c r="G540" s="26">
        <v>2093115.1420239499</v>
      </c>
    </row>
    <row r="541" spans="1:7" x14ac:dyDescent="0.35">
      <c r="A541" s="9">
        <f xml:space="preserve"> ROW( scalarDataframe[[#This Row],[row_id]] ) - ROW( scalarDataframe[[#Headers],[row_id]] )</f>
        <v>540</v>
      </c>
      <c r="B541" s="11" t="str">
        <f xml:space="preserve"> INDEX( co_scalarInfo[scalarType], MATCH( scalarDataframe[[#This Row],[scalarName]],  co_scalarInfo[scalarName], 0 ) )</f>
        <v>physScalar</v>
      </c>
      <c r="C541" s="46" t="str">
        <f xml:space="preserve"> INDEX( co_scalarInfo[scalarLabel], MATCH( scalarDataframe[[#This Row],[scalarName]], co_scalarInfo[scalarName], 0 ) )</f>
        <v>Road Miles</v>
      </c>
      <c r="D541" s="17" t="s">
        <v>250</v>
      </c>
      <c r="E541" s="18" t="s">
        <v>11</v>
      </c>
      <c r="F541" s="25">
        <v>2010</v>
      </c>
      <c r="G541" s="26">
        <v>1173032.6544251321</v>
      </c>
    </row>
    <row r="542" spans="1:7" x14ac:dyDescent="0.35">
      <c r="A542" s="9">
        <f xml:space="preserve"> ROW( scalarDataframe[[#This Row],[row_id]] ) - ROW( scalarDataframe[[#Headers],[row_id]] )</f>
        <v>541</v>
      </c>
      <c r="B542" s="11" t="str">
        <f xml:space="preserve"> INDEX( co_scalarInfo[scalarType], MATCH( scalarDataframe[[#This Row],[scalarName]],  co_scalarInfo[scalarName], 0 ) )</f>
        <v>physScalar</v>
      </c>
      <c r="C542" s="46" t="str">
        <f xml:space="preserve"> INDEX( co_scalarInfo[scalarLabel], MATCH( scalarDataframe[[#This Row],[scalarName]], co_scalarInfo[scalarName], 0 ) )</f>
        <v>Road Miles</v>
      </c>
      <c r="D542" s="17" t="s">
        <v>250</v>
      </c>
      <c r="E542" s="18" t="s">
        <v>12</v>
      </c>
      <c r="F542" s="25">
        <v>2010</v>
      </c>
      <c r="G542" s="26">
        <v>1008686.4610274433</v>
      </c>
    </row>
    <row r="543" spans="1:7" x14ac:dyDescent="0.35">
      <c r="A543" s="9">
        <f xml:space="preserve"> ROW( scalarDataframe[[#This Row],[row_id]] ) - ROW( scalarDataframe[[#Headers],[row_id]] )</f>
        <v>542</v>
      </c>
      <c r="B543" s="16" t="str">
        <f xml:space="preserve"> INDEX( co_scalarInfo[scalarType], MATCH( scalarDataframe[[#This Row],[scalarName]],  co_scalarInfo[scalarName], 0 ) )</f>
        <v>physAdj</v>
      </c>
      <c r="C543" s="44" t="str">
        <f xml:space="preserve"> INDEX( co_scalarInfo[scalarLabel], MATCH( scalarDataframe[[#This Row],[scalarName]], co_scalarInfo[scalarName], 0 ) )</f>
        <v>Valley Fever Mortality Outcome Probability</v>
      </c>
      <c r="D543" s="24" t="s">
        <v>983</v>
      </c>
      <c r="E543" s="17" t="s">
        <v>13</v>
      </c>
      <c r="F543" s="25">
        <v>2010</v>
      </c>
      <c r="G543" s="26">
        <v>0.04</v>
      </c>
    </row>
    <row r="544" spans="1:7" x14ac:dyDescent="0.35">
      <c r="A544" s="9">
        <f xml:space="preserve"> ROW( scalarDataframe[[#This Row],[row_id]] ) - ROW( scalarDataframe[[#Headers],[row_id]] )</f>
        <v>543</v>
      </c>
      <c r="B544" s="16" t="str">
        <f xml:space="preserve"> INDEX( co_scalarInfo[scalarType], MATCH( scalarDataframe[[#This Row],[scalarName]],  co_scalarInfo[scalarName], 0 ) )</f>
        <v>physAdj</v>
      </c>
      <c r="C544" s="44" t="str">
        <f xml:space="preserve"> INDEX( co_scalarInfo[scalarLabel], MATCH( scalarDataframe[[#This Row],[scalarName]], co_scalarInfo[scalarName], 0 ) )</f>
        <v>Valley Fever Morbidity Outcome Probability</v>
      </c>
      <c r="D544" s="24" t="s">
        <v>1006</v>
      </c>
      <c r="E544" s="17" t="s">
        <v>13</v>
      </c>
      <c r="F544" s="25">
        <v>2010</v>
      </c>
      <c r="G544" s="26">
        <v>0.96</v>
      </c>
    </row>
    <row r="545" spans="1:7" x14ac:dyDescent="0.35">
      <c r="A545" s="9">
        <f xml:space="preserve"> ROW( scalarDataframe[[#This Row],[row_id]] ) - ROW( scalarDataframe[[#Headers],[row_id]] )</f>
        <v>544</v>
      </c>
      <c r="B545" s="16" t="str">
        <f xml:space="preserve"> INDEX( co_scalarInfo[scalarType], MATCH( scalarDataframe[[#This Row],[scalarName]],  co_scalarInfo[scalarName], 0 ) )</f>
        <v>physAdj</v>
      </c>
      <c r="C545" s="44" t="str">
        <f xml:space="preserve"> INDEX( co_scalarInfo[scalarLabel], MATCH( scalarDataframe[[#This Row],[scalarName]], co_scalarInfo[scalarName], 0 ) )</f>
        <v>Valley Fever Lost Wages Outcome Probability</v>
      </c>
      <c r="D545" s="24" t="s">
        <v>984</v>
      </c>
      <c r="E545" s="17" t="s">
        <v>13</v>
      </c>
      <c r="F545" s="25">
        <v>2010</v>
      </c>
      <c r="G545" s="26">
        <v>4.4160000000000004</v>
      </c>
    </row>
    <row r="546" spans="1:7" x14ac:dyDescent="0.35">
      <c r="A546" s="9">
        <f xml:space="preserve"> ROW( scalarDataframe[[#This Row],[row_id]] ) - ROW( scalarDataframe[[#Headers],[row_id]] )</f>
        <v>545</v>
      </c>
      <c r="B546" s="16" t="str">
        <f xml:space="preserve"> INDEX( co_scalarInfo[scalarType], MATCH( scalarDataframe[[#This Row],[scalarName]],  co_scalarInfo[scalarName], 0 ) )</f>
        <v>econScalar</v>
      </c>
      <c r="C546" s="44" t="str">
        <f xml:space="preserve"> INDEX( co_scalarInfo[scalarLabel], MATCH( scalarDataframe[[#This Row],[scalarName]], co_scalarInfo[scalarName], 0 ) )</f>
        <v>Valley Fever Average Cost of Illness</v>
      </c>
      <c r="D546" s="24" t="s">
        <v>986</v>
      </c>
      <c r="E546" s="17" t="s">
        <v>13</v>
      </c>
      <c r="F546" s="25">
        <v>2010</v>
      </c>
      <c r="G546" s="26">
        <v>9984.1978090000011</v>
      </c>
    </row>
    <row r="547" spans="1:7" x14ac:dyDescent="0.35">
      <c r="A547" s="9">
        <f xml:space="preserve"> ROW( scalarDataframe[[#This Row],[row_id]] ) - ROW( scalarDataframe[[#Headers],[row_id]] )</f>
        <v>546</v>
      </c>
      <c r="B547" s="16" t="str">
        <f xml:space="preserve"> INDEX( co_scalarInfo[scalarType], MATCH( scalarDataframe[[#This Row],[scalarName]],  co_scalarInfo[scalarName], 0 ) )</f>
        <v>econScalar</v>
      </c>
      <c r="C547" s="44" t="str">
        <f xml:space="preserve"> INDEX( co_scalarInfo[scalarLabel], MATCH( scalarDataframe[[#This Row],[scalarName]], co_scalarInfo[scalarName], 0 ) )</f>
        <v>Daily Wages</v>
      </c>
      <c r="D547" s="24" t="s">
        <v>985</v>
      </c>
      <c r="E547" s="17" t="s">
        <v>13</v>
      </c>
      <c r="F547" s="25">
        <v>2010</v>
      </c>
      <c r="G547" s="26">
        <v>162.86601665293983</v>
      </c>
    </row>
    <row r="548" spans="1:7" x14ac:dyDescent="0.35">
      <c r="A548" s="9">
        <f xml:space="preserve"> ROW( scalarDataframe[[#This Row],[row_id]] ) - ROW( scalarDataframe[[#Headers],[row_id]] )</f>
        <v>547</v>
      </c>
      <c r="B548" s="16" t="str">
        <f xml:space="preserve"> INDEX( co_scalarInfo[scalarType], MATCH( scalarDataframe[[#This Row],[scalarName]],  co_scalarInfo[scalarName], 0 ) )</f>
        <v>physScalar</v>
      </c>
      <c r="C548" s="44" t="str">
        <f xml:space="preserve"> INDEX( co_scalarInfo[scalarLabel], MATCH( scalarDataframe[[#This Row],[scalarName]], co_scalarInfo[scalarName], 0 ) )</f>
        <v>Asphalt Lane Miles</v>
      </c>
      <c r="D548" s="24" t="s">
        <v>1004</v>
      </c>
      <c r="E548" s="17" t="s">
        <v>6</v>
      </c>
      <c r="F548" s="25">
        <v>2010</v>
      </c>
      <c r="G548" s="26">
        <v>286006.92906156898</v>
      </c>
    </row>
    <row r="549" spans="1:7" x14ac:dyDescent="0.35">
      <c r="A549" s="9">
        <f xml:space="preserve"> ROW( scalarDataframe[[#This Row],[row_id]] ) - ROW( scalarDataframe[[#Headers],[row_id]] )</f>
        <v>548</v>
      </c>
      <c r="B549" s="16" t="str">
        <f xml:space="preserve"> INDEX( co_scalarInfo[scalarType], MATCH( scalarDataframe[[#This Row],[scalarName]],  co_scalarInfo[scalarName], 0 ) )</f>
        <v>physScalar</v>
      </c>
      <c r="C549" s="44" t="str">
        <f xml:space="preserve"> INDEX( co_scalarInfo[scalarLabel], MATCH( scalarDataframe[[#This Row],[scalarName]], co_scalarInfo[scalarName], 0 ) )</f>
        <v>Asphalt Lane Miles</v>
      </c>
      <c r="D549" s="24" t="s">
        <v>1004</v>
      </c>
      <c r="E549" s="17" t="s">
        <v>7</v>
      </c>
      <c r="F549" s="25">
        <v>2010</v>
      </c>
      <c r="G549" s="26">
        <v>192526.71769571205</v>
      </c>
    </row>
    <row r="550" spans="1:7" x14ac:dyDescent="0.35">
      <c r="A550" s="9">
        <f xml:space="preserve"> ROW( scalarDataframe[[#This Row],[row_id]] ) - ROW( scalarDataframe[[#Headers],[row_id]] )</f>
        <v>549</v>
      </c>
      <c r="B550" s="16" t="str">
        <f xml:space="preserve"> INDEX( co_scalarInfo[scalarType], MATCH( scalarDataframe[[#This Row],[scalarName]],  co_scalarInfo[scalarName], 0 ) )</f>
        <v>physScalar</v>
      </c>
      <c r="C550" s="44" t="str">
        <f xml:space="preserve"> INDEX( co_scalarInfo[scalarLabel], MATCH( scalarDataframe[[#This Row],[scalarName]], co_scalarInfo[scalarName], 0 ) )</f>
        <v>Asphalt Lane Miles</v>
      </c>
      <c r="D550" s="24" t="s">
        <v>1004</v>
      </c>
      <c r="E550" s="17" t="s">
        <v>8</v>
      </c>
      <c r="F550" s="25">
        <v>2010</v>
      </c>
      <c r="G550" s="26">
        <v>116423.82845335787</v>
      </c>
    </row>
    <row r="551" spans="1:7" x14ac:dyDescent="0.35">
      <c r="A551" s="9">
        <f xml:space="preserve"> ROW( scalarDataframe[[#This Row],[row_id]] ) - ROW( scalarDataframe[[#Headers],[row_id]] )</f>
        <v>550</v>
      </c>
      <c r="B551" s="16" t="str">
        <f xml:space="preserve"> INDEX( co_scalarInfo[scalarType], MATCH( scalarDataframe[[#This Row],[scalarName]],  co_scalarInfo[scalarName], 0 ) )</f>
        <v>physScalar</v>
      </c>
      <c r="C551" s="44" t="str">
        <f xml:space="preserve"> INDEX( co_scalarInfo[scalarLabel], MATCH( scalarDataframe[[#This Row],[scalarName]], co_scalarInfo[scalarName], 0 ) )</f>
        <v>Asphalt Lane Miles</v>
      </c>
      <c r="D551" s="24" t="s">
        <v>1004</v>
      </c>
      <c r="E551" s="17" t="s">
        <v>9</v>
      </c>
      <c r="F551" s="25">
        <v>2010</v>
      </c>
      <c r="G551" s="26">
        <v>64218.221156922475</v>
      </c>
    </row>
    <row r="552" spans="1:7" x14ac:dyDescent="0.35">
      <c r="A552" s="9">
        <f xml:space="preserve"> ROW( scalarDataframe[[#This Row],[row_id]] ) - ROW( scalarDataframe[[#Headers],[row_id]] )</f>
        <v>551</v>
      </c>
      <c r="B552" s="16" t="str">
        <f xml:space="preserve"> INDEX( co_scalarInfo[scalarType], MATCH( scalarDataframe[[#This Row],[scalarName]],  co_scalarInfo[scalarName], 0 ) )</f>
        <v>physScalar</v>
      </c>
      <c r="C552" s="44" t="str">
        <f xml:space="preserve"> INDEX( co_scalarInfo[scalarLabel], MATCH( scalarDataframe[[#This Row],[scalarName]], co_scalarInfo[scalarName], 0 ) )</f>
        <v>Asphalt Lane Miles</v>
      </c>
      <c r="D552" s="24" t="s">
        <v>1004</v>
      </c>
      <c r="E552" s="17" t="s">
        <v>10</v>
      </c>
      <c r="F552" s="25">
        <v>2010</v>
      </c>
      <c r="G552" s="26">
        <v>341919.61241713847</v>
      </c>
    </row>
    <row r="553" spans="1:7" x14ac:dyDescent="0.35">
      <c r="A553" s="9">
        <f xml:space="preserve"> ROW( scalarDataframe[[#This Row],[row_id]] ) - ROW( scalarDataframe[[#Headers],[row_id]] )</f>
        <v>552</v>
      </c>
      <c r="B553" s="16" t="str">
        <f xml:space="preserve"> INDEX( co_scalarInfo[scalarType], MATCH( scalarDataframe[[#This Row],[scalarName]],  co_scalarInfo[scalarName], 0 ) )</f>
        <v>physScalar</v>
      </c>
      <c r="C553" s="44" t="str">
        <f xml:space="preserve"> INDEX( co_scalarInfo[scalarLabel], MATCH( scalarDataframe[[#This Row],[scalarName]], co_scalarInfo[scalarName], 0 ) )</f>
        <v>Asphalt Lane Miles</v>
      </c>
      <c r="D553" s="24" t="s">
        <v>1004</v>
      </c>
      <c r="E553" s="17" t="s">
        <v>11</v>
      </c>
      <c r="F553" s="25">
        <v>2010</v>
      </c>
      <c r="G553" s="26">
        <v>168381.86865958094</v>
      </c>
    </row>
    <row r="554" spans="1:7" x14ac:dyDescent="0.35">
      <c r="A554" s="9">
        <f xml:space="preserve"> ROW( scalarDataframe[[#This Row],[row_id]] ) - ROW( scalarDataframe[[#Headers],[row_id]] )</f>
        <v>553</v>
      </c>
      <c r="B554" s="16" t="str">
        <f xml:space="preserve"> INDEX( co_scalarInfo[scalarType], MATCH( scalarDataframe[[#This Row],[scalarName]],  co_scalarInfo[scalarName], 0 ) )</f>
        <v>physScalar</v>
      </c>
      <c r="C554" s="44" t="str">
        <f xml:space="preserve"> INDEX( co_scalarInfo[scalarLabel], MATCH( scalarDataframe[[#This Row],[scalarName]], co_scalarInfo[scalarName], 0 ) )</f>
        <v>Asphalt Lane Miles</v>
      </c>
      <c r="D554" s="24" t="s">
        <v>1004</v>
      </c>
      <c r="E554" s="17" t="s">
        <v>12</v>
      </c>
      <c r="F554" s="25">
        <v>2010</v>
      </c>
      <c r="G554" s="26">
        <v>180492.42935059752</v>
      </c>
    </row>
    <row r="555" spans="1:7" x14ac:dyDescent="0.35">
      <c r="A555" s="9">
        <f xml:space="preserve"> ROW( scalarDataframe[[#This Row],[row_id]] ) - ROW( scalarDataframe[[#Headers],[row_id]] )</f>
        <v>554</v>
      </c>
      <c r="B555" s="16" t="str">
        <f xml:space="preserve"> INDEX( co_scalarInfo[scalarType], MATCH( scalarDataframe[[#This Row],[scalarName]],  co_scalarInfo[scalarName], 0 ) )</f>
        <v>physScalar</v>
      </c>
      <c r="C555" s="44" t="str">
        <f xml:space="preserve"> INDEX( co_scalarInfo[scalarLabel], MATCH( scalarDataframe[[#This Row],[scalarName]], co_scalarInfo[scalarName], 0 ) )</f>
        <v>Asphalt Lane Miles</v>
      </c>
      <c r="D555" s="24" t="s">
        <v>1004</v>
      </c>
      <c r="E555" s="17" t="s">
        <v>13</v>
      </c>
      <c r="F555" s="25">
        <v>2010</v>
      </c>
      <c r="G555" s="26">
        <v>1349969.6067948786</v>
      </c>
    </row>
    <row r="556" spans="1:7" x14ac:dyDescent="0.35">
      <c r="A556" s="9">
        <f xml:space="preserve"> ROW( scalarDataframe[[#This Row],[row_id]] ) - ROW( scalarDataframe[[#Headers],[row_id]] )</f>
        <v>555</v>
      </c>
      <c r="B556" s="16" t="str">
        <f xml:space="preserve"> INDEX( co_scalarInfo[scalarType], MATCH( scalarDataframe[[#This Row],[scalarName]],  co_scalarInfo[scalarName], 0 ) )</f>
        <v>physScalar</v>
      </c>
      <c r="C556" s="44" t="str">
        <f xml:space="preserve"> INDEX( co_scalarInfo[scalarLabel], MATCH( scalarDataframe[[#This Row],[scalarName]], co_scalarInfo[scalarName], 0 ) )</f>
        <v>Asphalt Lane Miles</v>
      </c>
      <c r="D556" s="24" t="s">
        <v>1004</v>
      </c>
      <c r="E556" s="17" t="s">
        <v>6</v>
      </c>
      <c r="F556" s="25">
        <v>2015</v>
      </c>
      <c r="G556" s="26">
        <v>286006.92906156898</v>
      </c>
    </row>
    <row r="557" spans="1:7" x14ac:dyDescent="0.35">
      <c r="A557" s="9">
        <f xml:space="preserve"> ROW( scalarDataframe[[#This Row],[row_id]] ) - ROW( scalarDataframe[[#Headers],[row_id]] )</f>
        <v>556</v>
      </c>
      <c r="B557" s="16" t="str">
        <f xml:space="preserve"> INDEX( co_scalarInfo[scalarType], MATCH( scalarDataframe[[#This Row],[scalarName]],  co_scalarInfo[scalarName], 0 ) )</f>
        <v>physScalar</v>
      </c>
      <c r="C557" s="44" t="str">
        <f xml:space="preserve"> INDEX( co_scalarInfo[scalarLabel], MATCH( scalarDataframe[[#This Row],[scalarName]], co_scalarInfo[scalarName], 0 ) )</f>
        <v>Asphalt Lane Miles</v>
      </c>
      <c r="D557" s="24" t="s">
        <v>1004</v>
      </c>
      <c r="E557" s="17" t="s">
        <v>7</v>
      </c>
      <c r="F557" s="25">
        <v>2015</v>
      </c>
      <c r="G557" s="26">
        <v>192526.71769571205</v>
      </c>
    </row>
    <row r="558" spans="1:7" x14ac:dyDescent="0.35">
      <c r="A558" s="9">
        <f xml:space="preserve"> ROW( scalarDataframe[[#This Row],[row_id]] ) - ROW( scalarDataframe[[#Headers],[row_id]] )</f>
        <v>557</v>
      </c>
      <c r="B558" s="16" t="str">
        <f xml:space="preserve"> INDEX( co_scalarInfo[scalarType], MATCH( scalarDataframe[[#This Row],[scalarName]],  co_scalarInfo[scalarName], 0 ) )</f>
        <v>physScalar</v>
      </c>
      <c r="C558" s="44" t="str">
        <f xml:space="preserve"> INDEX( co_scalarInfo[scalarLabel], MATCH( scalarDataframe[[#This Row],[scalarName]], co_scalarInfo[scalarName], 0 ) )</f>
        <v>Asphalt Lane Miles</v>
      </c>
      <c r="D558" s="24" t="s">
        <v>1004</v>
      </c>
      <c r="E558" s="17" t="s">
        <v>8</v>
      </c>
      <c r="F558" s="25">
        <v>2015</v>
      </c>
      <c r="G558" s="26">
        <v>116423.82845335787</v>
      </c>
    </row>
    <row r="559" spans="1:7" x14ac:dyDescent="0.35">
      <c r="A559" s="9">
        <f xml:space="preserve"> ROW( scalarDataframe[[#This Row],[row_id]] ) - ROW( scalarDataframe[[#Headers],[row_id]] )</f>
        <v>558</v>
      </c>
      <c r="B559" s="16" t="str">
        <f xml:space="preserve"> INDEX( co_scalarInfo[scalarType], MATCH( scalarDataframe[[#This Row],[scalarName]],  co_scalarInfo[scalarName], 0 ) )</f>
        <v>physScalar</v>
      </c>
      <c r="C559" s="44" t="str">
        <f xml:space="preserve"> INDEX( co_scalarInfo[scalarLabel], MATCH( scalarDataframe[[#This Row],[scalarName]], co_scalarInfo[scalarName], 0 ) )</f>
        <v>Asphalt Lane Miles</v>
      </c>
      <c r="D559" s="24" t="s">
        <v>1004</v>
      </c>
      <c r="E559" s="17" t="s">
        <v>9</v>
      </c>
      <c r="F559" s="25">
        <v>2015</v>
      </c>
      <c r="G559" s="26">
        <v>64218.221156922475</v>
      </c>
    </row>
    <row r="560" spans="1:7" x14ac:dyDescent="0.35">
      <c r="A560" s="9">
        <f xml:space="preserve"> ROW( scalarDataframe[[#This Row],[row_id]] ) - ROW( scalarDataframe[[#Headers],[row_id]] )</f>
        <v>559</v>
      </c>
      <c r="B560" s="16" t="str">
        <f xml:space="preserve"> INDEX( co_scalarInfo[scalarType], MATCH( scalarDataframe[[#This Row],[scalarName]],  co_scalarInfo[scalarName], 0 ) )</f>
        <v>physScalar</v>
      </c>
      <c r="C560" s="44" t="str">
        <f xml:space="preserve"> INDEX( co_scalarInfo[scalarLabel], MATCH( scalarDataframe[[#This Row],[scalarName]], co_scalarInfo[scalarName], 0 ) )</f>
        <v>Asphalt Lane Miles</v>
      </c>
      <c r="D560" s="24" t="s">
        <v>1004</v>
      </c>
      <c r="E560" s="17" t="s">
        <v>10</v>
      </c>
      <c r="F560" s="25">
        <v>2015</v>
      </c>
      <c r="G560" s="26">
        <v>341919.61241713847</v>
      </c>
    </row>
    <row r="561" spans="1:7" x14ac:dyDescent="0.35">
      <c r="A561" s="9">
        <f xml:space="preserve"> ROW( scalarDataframe[[#This Row],[row_id]] ) - ROW( scalarDataframe[[#Headers],[row_id]] )</f>
        <v>560</v>
      </c>
      <c r="B561" s="16" t="str">
        <f xml:space="preserve"> INDEX( co_scalarInfo[scalarType], MATCH( scalarDataframe[[#This Row],[scalarName]],  co_scalarInfo[scalarName], 0 ) )</f>
        <v>physScalar</v>
      </c>
      <c r="C561" s="44" t="str">
        <f xml:space="preserve"> INDEX( co_scalarInfo[scalarLabel], MATCH( scalarDataframe[[#This Row],[scalarName]], co_scalarInfo[scalarName], 0 ) )</f>
        <v>Asphalt Lane Miles</v>
      </c>
      <c r="D561" s="24" t="s">
        <v>1004</v>
      </c>
      <c r="E561" s="17" t="s">
        <v>11</v>
      </c>
      <c r="F561" s="25">
        <v>2015</v>
      </c>
      <c r="G561" s="26">
        <v>168381.86865958094</v>
      </c>
    </row>
    <row r="562" spans="1:7" x14ac:dyDescent="0.35">
      <c r="A562" s="9">
        <f xml:space="preserve"> ROW( scalarDataframe[[#This Row],[row_id]] ) - ROW( scalarDataframe[[#Headers],[row_id]] )</f>
        <v>561</v>
      </c>
      <c r="B562" s="16" t="str">
        <f xml:space="preserve"> INDEX( co_scalarInfo[scalarType], MATCH( scalarDataframe[[#This Row],[scalarName]],  co_scalarInfo[scalarName], 0 ) )</f>
        <v>physScalar</v>
      </c>
      <c r="C562" s="44" t="str">
        <f xml:space="preserve"> INDEX( co_scalarInfo[scalarLabel], MATCH( scalarDataframe[[#This Row],[scalarName]], co_scalarInfo[scalarName], 0 ) )</f>
        <v>Asphalt Lane Miles</v>
      </c>
      <c r="D562" s="24" t="s">
        <v>1004</v>
      </c>
      <c r="E562" s="17" t="s">
        <v>12</v>
      </c>
      <c r="F562" s="25">
        <v>2015</v>
      </c>
      <c r="G562" s="26">
        <v>180492.42935059752</v>
      </c>
    </row>
    <row r="563" spans="1:7" x14ac:dyDescent="0.35">
      <c r="A563" s="9">
        <f xml:space="preserve"> ROW( scalarDataframe[[#This Row],[row_id]] ) - ROW( scalarDataframe[[#Headers],[row_id]] )</f>
        <v>562</v>
      </c>
      <c r="B563" s="16" t="str">
        <f xml:space="preserve"> INDEX( co_scalarInfo[scalarType], MATCH( scalarDataframe[[#This Row],[scalarName]],  co_scalarInfo[scalarName], 0 ) )</f>
        <v>physScalar</v>
      </c>
      <c r="C563" s="44" t="str">
        <f xml:space="preserve"> INDEX( co_scalarInfo[scalarLabel], MATCH( scalarDataframe[[#This Row],[scalarName]], co_scalarInfo[scalarName], 0 ) )</f>
        <v>Asphalt Lane Miles</v>
      </c>
      <c r="D563" s="24" t="s">
        <v>1004</v>
      </c>
      <c r="E563" s="17" t="s">
        <v>13</v>
      </c>
      <c r="F563" s="25">
        <v>2015</v>
      </c>
      <c r="G563" s="26">
        <v>1349969.6067948786</v>
      </c>
    </row>
    <row r="564" spans="1:7" x14ac:dyDescent="0.35">
      <c r="A564" s="9">
        <f xml:space="preserve"> ROW( scalarDataframe[[#This Row],[row_id]] ) - ROW( scalarDataframe[[#Headers],[row_id]] )</f>
        <v>563</v>
      </c>
      <c r="B564" s="16" t="str">
        <f xml:space="preserve"> INDEX( co_scalarInfo[scalarType], MATCH( scalarDataframe[[#This Row],[scalarName]],  co_scalarInfo[scalarName], 0 ) )</f>
        <v>physScalar</v>
      </c>
      <c r="C564" s="44" t="str">
        <f xml:space="preserve"> INDEX( co_scalarInfo[scalarLabel], MATCH( scalarDataframe[[#This Row],[scalarName]], co_scalarInfo[scalarName], 0 ) )</f>
        <v>Asphalt Lane Miles</v>
      </c>
      <c r="D564" s="24" t="s">
        <v>1004</v>
      </c>
      <c r="E564" s="17" t="s">
        <v>6</v>
      </c>
      <c r="F564" s="25">
        <v>2020</v>
      </c>
      <c r="G564" s="26">
        <v>286006.92906156898</v>
      </c>
    </row>
    <row r="565" spans="1:7" x14ac:dyDescent="0.35">
      <c r="A565" s="9">
        <f xml:space="preserve"> ROW( scalarDataframe[[#This Row],[row_id]] ) - ROW( scalarDataframe[[#Headers],[row_id]] )</f>
        <v>564</v>
      </c>
      <c r="B565" s="16" t="str">
        <f xml:space="preserve"> INDEX( co_scalarInfo[scalarType], MATCH( scalarDataframe[[#This Row],[scalarName]],  co_scalarInfo[scalarName], 0 ) )</f>
        <v>physScalar</v>
      </c>
      <c r="C565" s="44" t="str">
        <f xml:space="preserve"> INDEX( co_scalarInfo[scalarLabel], MATCH( scalarDataframe[[#This Row],[scalarName]], co_scalarInfo[scalarName], 0 ) )</f>
        <v>Asphalt Lane Miles</v>
      </c>
      <c r="D565" s="24" t="s">
        <v>1004</v>
      </c>
      <c r="E565" s="17" t="s">
        <v>7</v>
      </c>
      <c r="F565" s="25">
        <v>2020</v>
      </c>
      <c r="G565" s="26">
        <v>192526.71769571205</v>
      </c>
    </row>
    <row r="566" spans="1:7" x14ac:dyDescent="0.35">
      <c r="A566" s="9">
        <f xml:space="preserve"> ROW( scalarDataframe[[#This Row],[row_id]] ) - ROW( scalarDataframe[[#Headers],[row_id]] )</f>
        <v>565</v>
      </c>
      <c r="B566" s="16" t="str">
        <f xml:space="preserve"> INDEX( co_scalarInfo[scalarType], MATCH( scalarDataframe[[#This Row],[scalarName]],  co_scalarInfo[scalarName], 0 ) )</f>
        <v>physScalar</v>
      </c>
      <c r="C566" s="44" t="str">
        <f xml:space="preserve"> INDEX( co_scalarInfo[scalarLabel], MATCH( scalarDataframe[[#This Row],[scalarName]], co_scalarInfo[scalarName], 0 ) )</f>
        <v>Asphalt Lane Miles</v>
      </c>
      <c r="D566" s="24" t="s">
        <v>1004</v>
      </c>
      <c r="E566" s="17" t="s">
        <v>8</v>
      </c>
      <c r="F566" s="25">
        <v>2020</v>
      </c>
      <c r="G566" s="26">
        <v>116423.82845335787</v>
      </c>
    </row>
    <row r="567" spans="1:7" x14ac:dyDescent="0.35">
      <c r="A567" s="9">
        <f xml:space="preserve"> ROW( scalarDataframe[[#This Row],[row_id]] ) - ROW( scalarDataframe[[#Headers],[row_id]] )</f>
        <v>566</v>
      </c>
      <c r="B567" s="16" t="str">
        <f xml:space="preserve"> INDEX( co_scalarInfo[scalarType], MATCH( scalarDataframe[[#This Row],[scalarName]],  co_scalarInfo[scalarName], 0 ) )</f>
        <v>physScalar</v>
      </c>
      <c r="C567" s="44" t="str">
        <f xml:space="preserve"> INDEX( co_scalarInfo[scalarLabel], MATCH( scalarDataframe[[#This Row],[scalarName]], co_scalarInfo[scalarName], 0 ) )</f>
        <v>Asphalt Lane Miles</v>
      </c>
      <c r="D567" s="24" t="s">
        <v>1004</v>
      </c>
      <c r="E567" s="17" t="s">
        <v>9</v>
      </c>
      <c r="F567" s="25">
        <v>2020</v>
      </c>
      <c r="G567" s="26">
        <v>64218.221156922475</v>
      </c>
    </row>
    <row r="568" spans="1:7" x14ac:dyDescent="0.35">
      <c r="A568" s="9">
        <f xml:space="preserve"> ROW( scalarDataframe[[#This Row],[row_id]] ) - ROW( scalarDataframe[[#Headers],[row_id]] )</f>
        <v>567</v>
      </c>
      <c r="B568" s="16" t="str">
        <f xml:space="preserve"> INDEX( co_scalarInfo[scalarType], MATCH( scalarDataframe[[#This Row],[scalarName]],  co_scalarInfo[scalarName], 0 ) )</f>
        <v>physScalar</v>
      </c>
      <c r="C568" s="44" t="str">
        <f xml:space="preserve"> INDEX( co_scalarInfo[scalarLabel], MATCH( scalarDataframe[[#This Row],[scalarName]], co_scalarInfo[scalarName], 0 ) )</f>
        <v>Asphalt Lane Miles</v>
      </c>
      <c r="D568" s="24" t="s">
        <v>1004</v>
      </c>
      <c r="E568" s="17" t="s">
        <v>10</v>
      </c>
      <c r="F568" s="25">
        <v>2020</v>
      </c>
      <c r="G568" s="26">
        <v>341919.61241713847</v>
      </c>
    </row>
    <row r="569" spans="1:7" x14ac:dyDescent="0.35">
      <c r="A569" s="9">
        <f xml:space="preserve"> ROW( scalarDataframe[[#This Row],[row_id]] ) - ROW( scalarDataframe[[#Headers],[row_id]] )</f>
        <v>568</v>
      </c>
      <c r="B569" s="16" t="str">
        <f xml:space="preserve"> INDEX( co_scalarInfo[scalarType], MATCH( scalarDataframe[[#This Row],[scalarName]],  co_scalarInfo[scalarName], 0 ) )</f>
        <v>physScalar</v>
      </c>
      <c r="C569" s="44" t="str">
        <f xml:space="preserve"> INDEX( co_scalarInfo[scalarLabel], MATCH( scalarDataframe[[#This Row],[scalarName]], co_scalarInfo[scalarName], 0 ) )</f>
        <v>Asphalt Lane Miles</v>
      </c>
      <c r="D569" s="24" t="s">
        <v>1004</v>
      </c>
      <c r="E569" s="17" t="s">
        <v>11</v>
      </c>
      <c r="F569" s="25">
        <v>2020</v>
      </c>
      <c r="G569" s="26">
        <v>168381.86865958094</v>
      </c>
    </row>
    <row r="570" spans="1:7" x14ac:dyDescent="0.35">
      <c r="A570" s="9">
        <f xml:space="preserve"> ROW( scalarDataframe[[#This Row],[row_id]] ) - ROW( scalarDataframe[[#Headers],[row_id]] )</f>
        <v>569</v>
      </c>
      <c r="B570" s="16" t="str">
        <f xml:space="preserve"> INDEX( co_scalarInfo[scalarType], MATCH( scalarDataframe[[#This Row],[scalarName]],  co_scalarInfo[scalarName], 0 ) )</f>
        <v>physScalar</v>
      </c>
      <c r="C570" s="44" t="str">
        <f xml:space="preserve"> INDEX( co_scalarInfo[scalarLabel], MATCH( scalarDataframe[[#This Row],[scalarName]], co_scalarInfo[scalarName], 0 ) )</f>
        <v>Asphalt Lane Miles</v>
      </c>
      <c r="D570" s="24" t="s">
        <v>1004</v>
      </c>
      <c r="E570" s="17" t="s">
        <v>12</v>
      </c>
      <c r="F570" s="25">
        <v>2020</v>
      </c>
      <c r="G570" s="26">
        <v>180492.42935059752</v>
      </c>
    </row>
    <row r="571" spans="1:7" x14ac:dyDescent="0.35">
      <c r="A571" s="9">
        <f xml:space="preserve"> ROW( scalarDataframe[[#This Row],[row_id]] ) - ROW( scalarDataframe[[#Headers],[row_id]] )</f>
        <v>570</v>
      </c>
      <c r="B571" s="16" t="str">
        <f xml:space="preserve"> INDEX( co_scalarInfo[scalarType], MATCH( scalarDataframe[[#This Row],[scalarName]],  co_scalarInfo[scalarName], 0 ) )</f>
        <v>physScalar</v>
      </c>
      <c r="C571" s="44" t="str">
        <f xml:space="preserve"> INDEX( co_scalarInfo[scalarLabel], MATCH( scalarDataframe[[#This Row],[scalarName]], co_scalarInfo[scalarName], 0 ) )</f>
        <v>Asphalt Lane Miles</v>
      </c>
      <c r="D571" s="24" t="s">
        <v>1004</v>
      </c>
      <c r="E571" s="17" t="s">
        <v>13</v>
      </c>
      <c r="F571" s="25">
        <v>2020</v>
      </c>
      <c r="G571" s="26">
        <v>1349969.6067948786</v>
      </c>
    </row>
    <row r="572" spans="1:7" x14ac:dyDescent="0.35">
      <c r="A572" s="9">
        <f xml:space="preserve"> ROW( scalarDataframe[[#This Row],[row_id]] ) - ROW( scalarDataframe[[#Headers],[row_id]] )</f>
        <v>571</v>
      </c>
      <c r="B572" s="16" t="str">
        <f xml:space="preserve"> INDEX( co_scalarInfo[scalarType], MATCH( scalarDataframe[[#This Row],[scalarName]],  co_scalarInfo[scalarName], 0 ) )</f>
        <v>physScalar</v>
      </c>
      <c r="C572" s="44" t="str">
        <f xml:space="preserve"> INDEX( co_scalarInfo[scalarLabel], MATCH( scalarDataframe[[#This Row],[scalarName]], co_scalarInfo[scalarName], 0 ) )</f>
        <v>Asphalt Lane Miles</v>
      </c>
      <c r="D572" s="24" t="s">
        <v>1004</v>
      </c>
      <c r="E572" s="17" t="s">
        <v>6</v>
      </c>
      <c r="F572" s="25">
        <v>2025</v>
      </c>
      <c r="G572" s="26">
        <v>286006.92906156898</v>
      </c>
    </row>
    <row r="573" spans="1:7" x14ac:dyDescent="0.35">
      <c r="A573" s="9">
        <f xml:space="preserve"> ROW( scalarDataframe[[#This Row],[row_id]] ) - ROW( scalarDataframe[[#Headers],[row_id]] )</f>
        <v>572</v>
      </c>
      <c r="B573" s="16" t="str">
        <f xml:space="preserve"> INDEX( co_scalarInfo[scalarType], MATCH( scalarDataframe[[#This Row],[scalarName]],  co_scalarInfo[scalarName], 0 ) )</f>
        <v>physScalar</v>
      </c>
      <c r="C573" s="44" t="str">
        <f xml:space="preserve"> INDEX( co_scalarInfo[scalarLabel], MATCH( scalarDataframe[[#This Row],[scalarName]], co_scalarInfo[scalarName], 0 ) )</f>
        <v>Asphalt Lane Miles</v>
      </c>
      <c r="D573" s="24" t="s">
        <v>1004</v>
      </c>
      <c r="E573" s="17" t="s">
        <v>7</v>
      </c>
      <c r="F573" s="25">
        <v>2025</v>
      </c>
      <c r="G573" s="26">
        <v>192526.71769571205</v>
      </c>
    </row>
    <row r="574" spans="1:7" x14ac:dyDescent="0.35">
      <c r="A574" s="9">
        <f xml:space="preserve"> ROW( scalarDataframe[[#This Row],[row_id]] ) - ROW( scalarDataframe[[#Headers],[row_id]] )</f>
        <v>573</v>
      </c>
      <c r="B574" s="16" t="str">
        <f xml:space="preserve"> INDEX( co_scalarInfo[scalarType], MATCH( scalarDataframe[[#This Row],[scalarName]],  co_scalarInfo[scalarName], 0 ) )</f>
        <v>physScalar</v>
      </c>
      <c r="C574" s="44" t="str">
        <f xml:space="preserve"> INDEX( co_scalarInfo[scalarLabel], MATCH( scalarDataframe[[#This Row],[scalarName]], co_scalarInfo[scalarName], 0 ) )</f>
        <v>Asphalt Lane Miles</v>
      </c>
      <c r="D574" s="24" t="s">
        <v>1004</v>
      </c>
      <c r="E574" s="17" t="s">
        <v>8</v>
      </c>
      <c r="F574" s="25">
        <v>2025</v>
      </c>
      <c r="G574" s="26">
        <v>116423.82845335787</v>
      </c>
    </row>
    <row r="575" spans="1:7" x14ac:dyDescent="0.35">
      <c r="A575" s="9">
        <f xml:space="preserve"> ROW( scalarDataframe[[#This Row],[row_id]] ) - ROW( scalarDataframe[[#Headers],[row_id]] )</f>
        <v>574</v>
      </c>
      <c r="B575" s="16" t="str">
        <f xml:space="preserve"> INDEX( co_scalarInfo[scalarType], MATCH( scalarDataframe[[#This Row],[scalarName]],  co_scalarInfo[scalarName], 0 ) )</f>
        <v>physScalar</v>
      </c>
      <c r="C575" s="44" t="str">
        <f xml:space="preserve"> INDEX( co_scalarInfo[scalarLabel], MATCH( scalarDataframe[[#This Row],[scalarName]], co_scalarInfo[scalarName], 0 ) )</f>
        <v>Asphalt Lane Miles</v>
      </c>
      <c r="D575" s="24" t="s">
        <v>1004</v>
      </c>
      <c r="E575" s="17" t="s">
        <v>9</v>
      </c>
      <c r="F575" s="25">
        <v>2025</v>
      </c>
      <c r="G575" s="26">
        <v>64218.221156922475</v>
      </c>
    </row>
    <row r="576" spans="1:7" x14ac:dyDescent="0.35">
      <c r="A576" s="9">
        <f xml:space="preserve"> ROW( scalarDataframe[[#This Row],[row_id]] ) - ROW( scalarDataframe[[#Headers],[row_id]] )</f>
        <v>575</v>
      </c>
      <c r="B576" s="16" t="str">
        <f xml:space="preserve"> INDEX( co_scalarInfo[scalarType], MATCH( scalarDataframe[[#This Row],[scalarName]],  co_scalarInfo[scalarName], 0 ) )</f>
        <v>physScalar</v>
      </c>
      <c r="C576" s="44" t="str">
        <f xml:space="preserve"> INDEX( co_scalarInfo[scalarLabel], MATCH( scalarDataframe[[#This Row],[scalarName]], co_scalarInfo[scalarName], 0 ) )</f>
        <v>Asphalt Lane Miles</v>
      </c>
      <c r="D576" s="24" t="s">
        <v>1004</v>
      </c>
      <c r="E576" s="17" t="s">
        <v>10</v>
      </c>
      <c r="F576" s="25">
        <v>2025</v>
      </c>
      <c r="G576" s="26">
        <v>341919.61241713847</v>
      </c>
    </row>
    <row r="577" spans="1:7" x14ac:dyDescent="0.35">
      <c r="A577" s="9">
        <f xml:space="preserve"> ROW( scalarDataframe[[#This Row],[row_id]] ) - ROW( scalarDataframe[[#Headers],[row_id]] )</f>
        <v>576</v>
      </c>
      <c r="B577" s="16" t="str">
        <f xml:space="preserve"> INDEX( co_scalarInfo[scalarType], MATCH( scalarDataframe[[#This Row],[scalarName]],  co_scalarInfo[scalarName], 0 ) )</f>
        <v>physScalar</v>
      </c>
      <c r="C577" s="44" t="str">
        <f xml:space="preserve"> INDEX( co_scalarInfo[scalarLabel], MATCH( scalarDataframe[[#This Row],[scalarName]], co_scalarInfo[scalarName], 0 ) )</f>
        <v>Asphalt Lane Miles</v>
      </c>
      <c r="D577" s="24" t="s">
        <v>1004</v>
      </c>
      <c r="E577" s="17" t="s">
        <v>11</v>
      </c>
      <c r="F577" s="25">
        <v>2025</v>
      </c>
      <c r="G577" s="26">
        <v>168381.86865958094</v>
      </c>
    </row>
    <row r="578" spans="1:7" x14ac:dyDescent="0.35">
      <c r="A578" s="9">
        <f xml:space="preserve"> ROW( scalarDataframe[[#This Row],[row_id]] ) - ROW( scalarDataframe[[#Headers],[row_id]] )</f>
        <v>577</v>
      </c>
      <c r="B578" s="16" t="str">
        <f xml:space="preserve"> INDEX( co_scalarInfo[scalarType], MATCH( scalarDataframe[[#This Row],[scalarName]],  co_scalarInfo[scalarName], 0 ) )</f>
        <v>physScalar</v>
      </c>
      <c r="C578" s="44" t="str">
        <f xml:space="preserve"> INDEX( co_scalarInfo[scalarLabel], MATCH( scalarDataframe[[#This Row],[scalarName]], co_scalarInfo[scalarName], 0 ) )</f>
        <v>Asphalt Lane Miles</v>
      </c>
      <c r="D578" s="24" t="s">
        <v>1004</v>
      </c>
      <c r="E578" s="17" t="s">
        <v>12</v>
      </c>
      <c r="F578" s="25">
        <v>2025</v>
      </c>
      <c r="G578" s="26">
        <v>180492.42935059752</v>
      </c>
    </row>
    <row r="579" spans="1:7" x14ac:dyDescent="0.35">
      <c r="A579" s="9">
        <f xml:space="preserve"> ROW( scalarDataframe[[#This Row],[row_id]] ) - ROW( scalarDataframe[[#Headers],[row_id]] )</f>
        <v>578</v>
      </c>
      <c r="B579" s="16" t="str">
        <f xml:space="preserve"> INDEX( co_scalarInfo[scalarType], MATCH( scalarDataframe[[#This Row],[scalarName]],  co_scalarInfo[scalarName], 0 ) )</f>
        <v>physScalar</v>
      </c>
      <c r="C579" s="44" t="str">
        <f xml:space="preserve"> INDEX( co_scalarInfo[scalarLabel], MATCH( scalarDataframe[[#This Row],[scalarName]], co_scalarInfo[scalarName], 0 ) )</f>
        <v>Asphalt Lane Miles</v>
      </c>
      <c r="D579" s="24" t="s">
        <v>1004</v>
      </c>
      <c r="E579" s="17" t="s">
        <v>13</v>
      </c>
      <c r="F579" s="25">
        <v>2025</v>
      </c>
      <c r="G579" s="26">
        <v>1349969.6067948786</v>
      </c>
    </row>
    <row r="580" spans="1:7" x14ac:dyDescent="0.35">
      <c r="A580" s="9">
        <f xml:space="preserve"> ROW( scalarDataframe[[#This Row],[row_id]] ) - ROW( scalarDataframe[[#Headers],[row_id]] )</f>
        <v>579</v>
      </c>
      <c r="B580" s="16" t="str">
        <f xml:space="preserve"> INDEX( co_scalarInfo[scalarType], MATCH( scalarDataframe[[#This Row],[scalarName]],  co_scalarInfo[scalarName], 0 ) )</f>
        <v>physScalar</v>
      </c>
      <c r="C580" s="44" t="str">
        <f xml:space="preserve"> INDEX( co_scalarInfo[scalarLabel], MATCH( scalarDataframe[[#This Row],[scalarName]], co_scalarInfo[scalarName], 0 ) )</f>
        <v>Asphalt Lane Miles</v>
      </c>
      <c r="D580" s="24" t="s">
        <v>1004</v>
      </c>
      <c r="E580" s="17" t="s">
        <v>6</v>
      </c>
      <c r="F580" s="25">
        <v>2030</v>
      </c>
      <c r="G580" s="26">
        <v>286006.92906156898</v>
      </c>
    </row>
    <row r="581" spans="1:7" x14ac:dyDescent="0.35">
      <c r="A581" s="9">
        <f xml:space="preserve"> ROW( scalarDataframe[[#This Row],[row_id]] ) - ROW( scalarDataframe[[#Headers],[row_id]] )</f>
        <v>580</v>
      </c>
      <c r="B581" s="16" t="str">
        <f xml:space="preserve"> INDEX( co_scalarInfo[scalarType], MATCH( scalarDataframe[[#This Row],[scalarName]],  co_scalarInfo[scalarName], 0 ) )</f>
        <v>physScalar</v>
      </c>
      <c r="C581" s="44" t="str">
        <f xml:space="preserve"> INDEX( co_scalarInfo[scalarLabel], MATCH( scalarDataframe[[#This Row],[scalarName]], co_scalarInfo[scalarName], 0 ) )</f>
        <v>Asphalt Lane Miles</v>
      </c>
      <c r="D581" s="24" t="s">
        <v>1004</v>
      </c>
      <c r="E581" s="17" t="s">
        <v>7</v>
      </c>
      <c r="F581" s="25">
        <v>2030</v>
      </c>
      <c r="G581" s="26">
        <v>192526.71769571205</v>
      </c>
    </row>
    <row r="582" spans="1:7" x14ac:dyDescent="0.35">
      <c r="A582" s="9">
        <f xml:space="preserve"> ROW( scalarDataframe[[#This Row],[row_id]] ) - ROW( scalarDataframe[[#Headers],[row_id]] )</f>
        <v>581</v>
      </c>
      <c r="B582" s="16" t="str">
        <f xml:space="preserve"> INDEX( co_scalarInfo[scalarType], MATCH( scalarDataframe[[#This Row],[scalarName]],  co_scalarInfo[scalarName], 0 ) )</f>
        <v>physScalar</v>
      </c>
      <c r="C582" s="44" t="str">
        <f xml:space="preserve"> INDEX( co_scalarInfo[scalarLabel], MATCH( scalarDataframe[[#This Row],[scalarName]], co_scalarInfo[scalarName], 0 ) )</f>
        <v>Asphalt Lane Miles</v>
      </c>
      <c r="D582" s="24" t="s">
        <v>1004</v>
      </c>
      <c r="E582" s="17" t="s">
        <v>8</v>
      </c>
      <c r="F582" s="25">
        <v>2030</v>
      </c>
      <c r="G582" s="26">
        <v>116423.82845335787</v>
      </c>
    </row>
    <row r="583" spans="1:7" x14ac:dyDescent="0.35">
      <c r="A583" s="9">
        <f xml:space="preserve"> ROW( scalarDataframe[[#This Row],[row_id]] ) - ROW( scalarDataframe[[#Headers],[row_id]] )</f>
        <v>582</v>
      </c>
      <c r="B583" s="16" t="str">
        <f xml:space="preserve"> INDEX( co_scalarInfo[scalarType], MATCH( scalarDataframe[[#This Row],[scalarName]],  co_scalarInfo[scalarName], 0 ) )</f>
        <v>physScalar</v>
      </c>
      <c r="C583" s="44" t="str">
        <f xml:space="preserve"> INDEX( co_scalarInfo[scalarLabel], MATCH( scalarDataframe[[#This Row],[scalarName]], co_scalarInfo[scalarName], 0 ) )</f>
        <v>Asphalt Lane Miles</v>
      </c>
      <c r="D583" s="24" t="s">
        <v>1004</v>
      </c>
      <c r="E583" s="17" t="s">
        <v>9</v>
      </c>
      <c r="F583" s="25">
        <v>2030</v>
      </c>
      <c r="G583" s="26">
        <v>64218.221156922475</v>
      </c>
    </row>
    <row r="584" spans="1:7" x14ac:dyDescent="0.35">
      <c r="A584" s="9">
        <f xml:space="preserve"> ROW( scalarDataframe[[#This Row],[row_id]] ) - ROW( scalarDataframe[[#Headers],[row_id]] )</f>
        <v>583</v>
      </c>
      <c r="B584" s="16" t="str">
        <f xml:space="preserve"> INDEX( co_scalarInfo[scalarType], MATCH( scalarDataframe[[#This Row],[scalarName]],  co_scalarInfo[scalarName], 0 ) )</f>
        <v>physScalar</v>
      </c>
      <c r="C584" s="44" t="str">
        <f xml:space="preserve"> INDEX( co_scalarInfo[scalarLabel], MATCH( scalarDataframe[[#This Row],[scalarName]], co_scalarInfo[scalarName], 0 ) )</f>
        <v>Asphalt Lane Miles</v>
      </c>
      <c r="D584" s="24" t="s">
        <v>1004</v>
      </c>
      <c r="E584" s="17" t="s">
        <v>10</v>
      </c>
      <c r="F584" s="25">
        <v>2030</v>
      </c>
      <c r="G584" s="26">
        <v>341919.61241713847</v>
      </c>
    </row>
    <row r="585" spans="1:7" x14ac:dyDescent="0.35">
      <c r="A585" s="9">
        <f xml:space="preserve"> ROW( scalarDataframe[[#This Row],[row_id]] ) - ROW( scalarDataframe[[#Headers],[row_id]] )</f>
        <v>584</v>
      </c>
      <c r="B585" s="16" t="str">
        <f xml:space="preserve"> INDEX( co_scalarInfo[scalarType], MATCH( scalarDataframe[[#This Row],[scalarName]],  co_scalarInfo[scalarName], 0 ) )</f>
        <v>physScalar</v>
      </c>
      <c r="C585" s="44" t="str">
        <f xml:space="preserve"> INDEX( co_scalarInfo[scalarLabel], MATCH( scalarDataframe[[#This Row],[scalarName]], co_scalarInfo[scalarName], 0 ) )</f>
        <v>Asphalt Lane Miles</v>
      </c>
      <c r="D585" s="24" t="s">
        <v>1004</v>
      </c>
      <c r="E585" s="17" t="s">
        <v>11</v>
      </c>
      <c r="F585" s="25">
        <v>2030</v>
      </c>
      <c r="G585" s="26">
        <v>168381.86865958094</v>
      </c>
    </row>
    <row r="586" spans="1:7" x14ac:dyDescent="0.35">
      <c r="A586" s="9">
        <f xml:space="preserve"> ROW( scalarDataframe[[#This Row],[row_id]] ) - ROW( scalarDataframe[[#Headers],[row_id]] )</f>
        <v>585</v>
      </c>
      <c r="B586" s="16" t="str">
        <f xml:space="preserve"> INDEX( co_scalarInfo[scalarType], MATCH( scalarDataframe[[#This Row],[scalarName]],  co_scalarInfo[scalarName], 0 ) )</f>
        <v>physScalar</v>
      </c>
      <c r="C586" s="44" t="str">
        <f xml:space="preserve"> INDEX( co_scalarInfo[scalarLabel], MATCH( scalarDataframe[[#This Row],[scalarName]], co_scalarInfo[scalarName], 0 ) )</f>
        <v>Asphalt Lane Miles</v>
      </c>
      <c r="D586" s="24" t="s">
        <v>1004</v>
      </c>
      <c r="E586" s="17" t="s">
        <v>12</v>
      </c>
      <c r="F586" s="25">
        <v>2030</v>
      </c>
      <c r="G586" s="26">
        <v>180492.42935059752</v>
      </c>
    </row>
    <row r="587" spans="1:7" x14ac:dyDescent="0.35">
      <c r="A587" s="9">
        <f xml:space="preserve"> ROW( scalarDataframe[[#This Row],[row_id]] ) - ROW( scalarDataframe[[#Headers],[row_id]] )</f>
        <v>586</v>
      </c>
      <c r="B587" s="16" t="str">
        <f xml:space="preserve"> INDEX( co_scalarInfo[scalarType], MATCH( scalarDataframe[[#This Row],[scalarName]],  co_scalarInfo[scalarName], 0 ) )</f>
        <v>physScalar</v>
      </c>
      <c r="C587" s="44" t="str">
        <f xml:space="preserve"> INDEX( co_scalarInfo[scalarLabel], MATCH( scalarDataframe[[#This Row],[scalarName]], co_scalarInfo[scalarName], 0 ) )</f>
        <v>Asphalt Lane Miles</v>
      </c>
      <c r="D587" s="24" t="s">
        <v>1004</v>
      </c>
      <c r="E587" s="17" t="s">
        <v>13</v>
      </c>
      <c r="F587" s="25">
        <v>2030</v>
      </c>
      <c r="G587" s="26">
        <v>1349969.6067948786</v>
      </c>
    </row>
    <row r="588" spans="1:7" x14ac:dyDescent="0.35">
      <c r="A588" s="9">
        <f xml:space="preserve"> ROW( scalarDataframe[[#This Row],[row_id]] ) - ROW( scalarDataframe[[#Headers],[row_id]] )</f>
        <v>587</v>
      </c>
      <c r="B588" s="16" t="str">
        <f xml:space="preserve"> INDEX( co_scalarInfo[scalarType], MATCH( scalarDataframe[[#This Row],[scalarName]],  co_scalarInfo[scalarName], 0 ) )</f>
        <v>physScalar</v>
      </c>
      <c r="C588" s="44" t="str">
        <f xml:space="preserve"> INDEX( co_scalarInfo[scalarLabel], MATCH( scalarDataframe[[#This Row],[scalarName]], co_scalarInfo[scalarName], 0 ) )</f>
        <v>Asphalt Lane Miles</v>
      </c>
      <c r="D588" s="24" t="s">
        <v>1004</v>
      </c>
      <c r="E588" s="17" t="s">
        <v>6</v>
      </c>
      <c r="F588" s="25">
        <v>2035</v>
      </c>
      <c r="G588" s="26">
        <v>286006.92906156898</v>
      </c>
    </row>
    <row r="589" spans="1:7" x14ac:dyDescent="0.35">
      <c r="A589" s="9">
        <f xml:space="preserve"> ROW( scalarDataframe[[#This Row],[row_id]] ) - ROW( scalarDataframe[[#Headers],[row_id]] )</f>
        <v>588</v>
      </c>
      <c r="B589" s="16" t="str">
        <f xml:space="preserve"> INDEX( co_scalarInfo[scalarType], MATCH( scalarDataframe[[#This Row],[scalarName]],  co_scalarInfo[scalarName], 0 ) )</f>
        <v>physScalar</v>
      </c>
      <c r="C589" s="44" t="str">
        <f xml:space="preserve"> INDEX( co_scalarInfo[scalarLabel], MATCH( scalarDataframe[[#This Row],[scalarName]], co_scalarInfo[scalarName], 0 ) )</f>
        <v>Asphalt Lane Miles</v>
      </c>
      <c r="D589" s="24" t="s">
        <v>1004</v>
      </c>
      <c r="E589" s="17" t="s">
        <v>7</v>
      </c>
      <c r="F589" s="25">
        <v>2035</v>
      </c>
      <c r="G589" s="26">
        <v>192526.71769571205</v>
      </c>
    </row>
    <row r="590" spans="1:7" x14ac:dyDescent="0.35">
      <c r="A590" s="9">
        <f xml:space="preserve"> ROW( scalarDataframe[[#This Row],[row_id]] ) - ROW( scalarDataframe[[#Headers],[row_id]] )</f>
        <v>589</v>
      </c>
      <c r="B590" s="16" t="str">
        <f xml:space="preserve"> INDEX( co_scalarInfo[scalarType], MATCH( scalarDataframe[[#This Row],[scalarName]],  co_scalarInfo[scalarName], 0 ) )</f>
        <v>physScalar</v>
      </c>
      <c r="C590" s="44" t="str">
        <f xml:space="preserve"> INDEX( co_scalarInfo[scalarLabel], MATCH( scalarDataframe[[#This Row],[scalarName]], co_scalarInfo[scalarName], 0 ) )</f>
        <v>Asphalt Lane Miles</v>
      </c>
      <c r="D590" s="24" t="s">
        <v>1004</v>
      </c>
      <c r="E590" s="17" t="s">
        <v>8</v>
      </c>
      <c r="F590" s="25">
        <v>2035</v>
      </c>
      <c r="G590" s="26">
        <v>116423.82845335787</v>
      </c>
    </row>
    <row r="591" spans="1:7" x14ac:dyDescent="0.35">
      <c r="A591" s="9">
        <f xml:space="preserve"> ROW( scalarDataframe[[#This Row],[row_id]] ) - ROW( scalarDataframe[[#Headers],[row_id]] )</f>
        <v>590</v>
      </c>
      <c r="B591" s="16" t="str">
        <f xml:space="preserve"> INDEX( co_scalarInfo[scalarType], MATCH( scalarDataframe[[#This Row],[scalarName]],  co_scalarInfo[scalarName], 0 ) )</f>
        <v>physScalar</v>
      </c>
      <c r="C591" s="44" t="str">
        <f xml:space="preserve"> INDEX( co_scalarInfo[scalarLabel], MATCH( scalarDataframe[[#This Row],[scalarName]], co_scalarInfo[scalarName], 0 ) )</f>
        <v>Asphalt Lane Miles</v>
      </c>
      <c r="D591" s="24" t="s">
        <v>1004</v>
      </c>
      <c r="E591" s="17" t="s">
        <v>9</v>
      </c>
      <c r="F591" s="25">
        <v>2035</v>
      </c>
      <c r="G591" s="26">
        <v>64218.221156922475</v>
      </c>
    </row>
    <row r="592" spans="1:7" x14ac:dyDescent="0.35">
      <c r="A592" s="9">
        <f xml:space="preserve"> ROW( scalarDataframe[[#This Row],[row_id]] ) - ROW( scalarDataframe[[#Headers],[row_id]] )</f>
        <v>591</v>
      </c>
      <c r="B592" s="16" t="str">
        <f xml:space="preserve"> INDEX( co_scalarInfo[scalarType], MATCH( scalarDataframe[[#This Row],[scalarName]],  co_scalarInfo[scalarName], 0 ) )</f>
        <v>physScalar</v>
      </c>
      <c r="C592" s="44" t="str">
        <f xml:space="preserve"> INDEX( co_scalarInfo[scalarLabel], MATCH( scalarDataframe[[#This Row],[scalarName]], co_scalarInfo[scalarName], 0 ) )</f>
        <v>Asphalt Lane Miles</v>
      </c>
      <c r="D592" s="24" t="s">
        <v>1004</v>
      </c>
      <c r="E592" s="17" t="s">
        <v>10</v>
      </c>
      <c r="F592" s="25">
        <v>2035</v>
      </c>
      <c r="G592" s="26">
        <v>341919.61241713847</v>
      </c>
    </row>
    <row r="593" spans="1:7" x14ac:dyDescent="0.35">
      <c r="A593" s="9">
        <f xml:space="preserve"> ROW( scalarDataframe[[#This Row],[row_id]] ) - ROW( scalarDataframe[[#Headers],[row_id]] )</f>
        <v>592</v>
      </c>
      <c r="B593" s="16" t="str">
        <f xml:space="preserve"> INDEX( co_scalarInfo[scalarType], MATCH( scalarDataframe[[#This Row],[scalarName]],  co_scalarInfo[scalarName], 0 ) )</f>
        <v>physScalar</v>
      </c>
      <c r="C593" s="44" t="str">
        <f xml:space="preserve"> INDEX( co_scalarInfo[scalarLabel], MATCH( scalarDataframe[[#This Row],[scalarName]], co_scalarInfo[scalarName], 0 ) )</f>
        <v>Asphalt Lane Miles</v>
      </c>
      <c r="D593" s="24" t="s">
        <v>1004</v>
      </c>
      <c r="E593" s="17" t="s">
        <v>11</v>
      </c>
      <c r="F593" s="25">
        <v>2035</v>
      </c>
      <c r="G593" s="26">
        <v>168381.86865958094</v>
      </c>
    </row>
    <row r="594" spans="1:7" x14ac:dyDescent="0.35">
      <c r="A594" s="9">
        <f xml:space="preserve"> ROW( scalarDataframe[[#This Row],[row_id]] ) - ROW( scalarDataframe[[#Headers],[row_id]] )</f>
        <v>593</v>
      </c>
      <c r="B594" s="16" t="str">
        <f xml:space="preserve"> INDEX( co_scalarInfo[scalarType], MATCH( scalarDataframe[[#This Row],[scalarName]],  co_scalarInfo[scalarName], 0 ) )</f>
        <v>physScalar</v>
      </c>
      <c r="C594" s="44" t="str">
        <f xml:space="preserve"> INDEX( co_scalarInfo[scalarLabel], MATCH( scalarDataframe[[#This Row],[scalarName]], co_scalarInfo[scalarName], 0 ) )</f>
        <v>Asphalt Lane Miles</v>
      </c>
      <c r="D594" s="24" t="s">
        <v>1004</v>
      </c>
      <c r="E594" s="17" t="s">
        <v>12</v>
      </c>
      <c r="F594" s="25">
        <v>2035</v>
      </c>
      <c r="G594" s="26">
        <v>180492.42935059752</v>
      </c>
    </row>
    <row r="595" spans="1:7" x14ac:dyDescent="0.35">
      <c r="A595" s="9">
        <f xml:space="preserve"> ROW( scalarDataframe[[#This Row],[row_id]] ) - ROW( scalarDataframe[[#Headers],[row_id]] )</f>
        <v>594</v>
      </c>
      <c r="B595" s="16" t="str">
        <f xml:space="preserve"> INDEX( co_scalarInfo[scalarType], MATCH( scalarDataframe[[#This Row],[scalarName]],  co_scalarInfo[scalarName], 0 ) )</f>
        <v>physScalar</v>
      </c>
      <c r="C595" s="44" t="str">
        <f xml:space="preserve"> INDEX( co_scalarInfo[scalarLabel], MATCH( scalarDataframe[[#This Row],[scalarName]], co_scalarInfo[scalarName], 0 ) )</f>
        <v>Asphalt Lane Miles</v>
      </c>
      <c r="D595" s="24" t="s">
        <v>1004</v>
      </c>
      <c r="E595" s="17" t="s">
        <v>13</v>
      </c>
      <c r="F595" s="25">
        <v>2035</v>
      </c>
      <c r="G595" s="26">
        <v>1349969.6067948786</v>
      </c>
    </row>
    <row r="596" spans="1:7" x14ac:dyDescent="0.35">
      <c r="A596" s="9">
        <f xml:space="preserve"> ROW( scalarDataframe[[#This Row],[row_id]] ) - ROW( scalarDataframe[[#Headers],[row_id]] )</f>
        <v>595</v>
      </c>
      <c r="B596" s="16" t="str">
        <f xml:space="preserve"> INDEX( co_scalarInfo[scalarType], MATCH( scalarDataframe[[#This Row],[scalarName]],  co_scalarInfo[scalarName], 0 ) )</f>
        <v>physScalar</v>
      </c>
      <c r="C596" s="44" t="str">
        <f xml:space="preserve"> INDEX( co_scalarInfo[scalarLabel], MATCH( scalarDataframe[[#This Row],[scalarName]], co_scalarInfo[scalarName], 0 ) )</f>
        <v>Asphalt Lane Miles</v>
      </c>
      <c r="D596" s="24" t="s">
        <v>1004</v>
      </c>
      <c r="E596" s="17" t="s">
        <v>6</v>
      </c>
      <c r="F596" s="25">
        <v>2040</v>
      </c>
      <c r="G596" s="26">
        <v>286006.92906156898</v>
      </c>
    </row>
    <row r="597" spans="1:7" x14ac:dyDescent="0.35">
      <c r="A597" s="9">
        <f xml:space="preserve"> ROW( scalarDataframe[[#This Row],[row_id]] ) - ROW( scalarDataframe[[#Headers],[row_id]] )</f>
        <v>596</v>
      </c>
      <c r="B597" s="16" t="str">
        <f xml:space="preserve"> INDEX( co_scalarInfo[scalarType], MATCH( scalarDataframe[[#This Row],[scalarName]],  co_scalarInfo[scalarName], 0 ) )</f>
        <v>physScalar</v>
      </c>
      <c r="C597" s="44" t="str">
        <f xml:space="preserve"> INDEX( co_scalarInfo[scalarLabel], MATCH( scalarDataframe[[#This Row],[scalarName]], co_scalarInfo[scalarName], 0 ) )</f>
        <v>Asphalt Lane Miles</v>
      </c>
      <c r="D597" s="24" t="s">
        <v>1004</v>
      </c>
      <c r="E597" s="17" t="s">
        <v>7</v>
      </c>
      <c r="F597" s="25">
        <v>2040</v>
      </c>
      <c r="G597" s="26">
        <v>192526.71769571205</v>
      </c>
    </row>
    <row r="598" spans="1:7" x14ac:dyDescent="0.35">
      <c r="A598" s="9">
        <f xml:space="preserve"> ROW( scalarDataframe[[#This Row],[row_id]] ) - ROW( scalarDataframe[[#Headers],[row_id]] )</f>
        <v>597</v>
      </c>
      <c r="B598" s="16" t="str">
        <f xml:space="preserve"> INDEX( co_scalarInfo[scalarType], MATCH( scalarDataframe[[#This Row],[scalarName]],  co_scalarInfo[scalarName], 0 ) )</f>
        <v>physScalar</v>
      </c>
      <c r="C598" s="44" t="str">
        <f xml:space="preserve"> INDEX( co_scalarInfo[scalarLabel], MATCH( scalarDataframe[[#This Row],[scalarName]], co_scalarInfo[scalarName], 0 ) )</f>
        <v>Asphalt Lane Miles</v>
      </c>
      <c r="D598" s="24" t="s">
        <v>1004</v>
      </c>
      <c r="E598" s="17" t="s">
        <v>8</v>
      </c>
      <c r="F598" s="25">
        <v>2040</v>
      </c>
      <c r="G598" s="26">
        <v>116423.82845335787</v>
      </c>
    </row>
    <row r="599" spans="1:7" x14ac:dyDescent="0.35">
      <c r="A599" s="9">
        <f xml:space="preserve"> ROW( scalarDataframe[[#This Row],[row_id]] ) - ROW( scalarDataframe[[#Headers],[row_id]] )</f>
        <v>598</v>
      </c>
      <c r="B599" s="16" t="str">
        <f xml:space="preserve"> INDEX( co_scalarInfo[scalarType], MATCH( scalarDataframe[[#This Row],[scalarName]],  co_scalarInfo[scalarName], 0 ) )</f>
        <v>physScalar</v>
      </c>
      <c r="C599" s="44" t="str">
        <f xml:space="preserve"> INDEX( co_scalarInfo[scalarLabel], MATCH( scalarDataframe[[#This Row],[scalarName]], co_scalarInfo[scalarName], 0 ) )</f>
        <v>Asphalt Lane Miles</v>
      </c>
      <c r="D599" s="24" t="s">
        <v>1004</v>
      </c>
      <c r="E599" s="17" t="s">
        <v>9</v>
      </c>
      <c r="F599" s="25">
        <v>2040</v>
      </c>
      <c r="G599" s="26">
        <v>64218.221156922475</v>
      </c>
    </row>
    <row r="600" spans="1:7" x14ac:dyDescent="0.35">
      <c r="A600" s="9">
        <f xml:space="preserve"> ROW( scalarDataframe[[#This Row],[row_id]] ) - ROW( scalarDataframe[[#Headers],[row_id]] )</f>
        <v>599</v>
      </c>
      <c r="B600" s="16" t="str">
        <f xml:space="preserve"> INDEX( co_scalarInfo[scalarType], MATCH( scalarDataframe[[#This Row],[scalarName]],  co_scalarInfo[scalarName], 0 ) )</f>
        <v>physScalar</v>
      </c>
      <c r="C600" s="44" t="str">
        <f xml:space="preserve"> INDEX( co_scalarInfo[scalarLabel], MATCH( scalarDataframe[[#This Row],[scalarName]], co_scalarInfo[scalarName], 0 ) )</f>
        <v>Asphalt Lane Miles</v>
      </c>
      <c r="D600" s="24" t="s">
        <v>1004</v>
      </c>
      <c r="E600" s="17" t="s">
        <v>10</v>
      </c>
      <c r="F600" s="25">
        <v>2040</v>
      </c>
      <c r="G600" s="26">
        <v>341919.61241713847</v>
      </c>
    </row>
    <row r="601" spans="1:7" x14ac:dyDescent="0.35">
      <c r="A601" s="9">
        <f xml:space="preserve"> ROW( scalarDataframe[[#This Row],[row_id]] ) - ROW( scalarDataframe[[#Headers],[row_id]] )</f>
        <v>600</v>
      </c>
      <c r="B601" s="16" t="str">
        <f xml:space="preserve"> INDEX( co_scalarInfo[scalarType], MATCH( scalarDataframe[[#This Row],[scalarName]],  co_scalarInfo[scalarName], 0 ) )</f>
        <v>physScalar</v>
      </c>
      <c r="C601" s="44" t="str">
        <f xml:space="preserve"> INDEX( co_scalarInfo[scalarLabel], MATCH( scalarDataframe[[#This Row],[scalarName]], co_scalarInfo[scalarName], 0 ) )</f>
        <v>Asphalt Lane Miles</v>
      </c>
      <c r="D601" s="24" t="s">
        <v>1004</v>
      </c>
      <c r="E601" s="17" t="s">
        <v>11</v>
      </c>
      <c r="F601" s="25">
        <v>2040</v>
      </c>
      <c r="G601" s="26">
        <v>168381.86865958094</v>
      </c>
    </row>
    <row r="602" spans="1:7" x14ac:dyDescent="0.35">
      <c r="A602" s="9">
        <f xml:space="preserve"> ROW( scalarDataframe[[#This Row],[row_id]] ) - ROW( scalarDataframe[[#Headers],[row_id]] )</f>
        <v>601</v>
      </c>
      <c r="B602" s="16" t="str">
        <f xml:space="preserve"> INDEX( co_scalarInfo[scalarType], MATCH( scalarDataframe[[#This Row],[scalarName]],  co_scalarInfo[scalarName], 0 ) )</f>
        <v>physScalar</v>
      </c>
      <c r="C602" s="44" t="str">
        <f xml:space="preserve"> INDEX( co_scalarInfo[scalarLabel], MATCH( scalarDataframe[[#This Row],[scalarName]], co_scalarInfo[scalarName], 0 ) )</f>
        <v>Asphalt Lane Miles</v>
      </c>
      <c r="D602" s="24" t="s">
        <v>1004</v>
      </c>
      <c r="E602" s="17" t="s">
        <v>12</v>
      </c>
      <c r="F602" s="25">
        <v>2040</v>
      </c>
      <c r="G602" s="26">
        <v>180492.42935059752</v>
      </c>
    </row>
    <row r="603" spans="1:7" x14ac:dyDescent="0.35">
      <c r="A603" s="9">
        <f xml:space="preserve"> ROW( scalarDataframe[[#This Row],[row_id]] ) - ROW( scalarDataframe[[#Headers],[row_id]] )</f>
        <v>602</v>
      </c>
      <c r="B603" s="16" t="str">
        <f xml:space="preserve"> INDEX( co_scalarInfo[scalarType], MATCH( scalarDataframe[[#This Row],[scalarName]],  co_scalarInfo[scalarName], 0 ) )</f>
        <v>physScalar</v>
      </c>
      <c r="C603" s="44" t="str">
        <f xml:space="preserve"> INDEX( co_scalarInfo[scalarLabel], MATCH( scalarDataframe[[#This Row],[scalarName]], co_scalarInfo[scalarName], 0 ) )</f>
        <v>Asphalt Lane Miles</v>
      </c>
      <c r="D603" s="24" t="s">
        <v>1004</v>
      </c>
      <c r="E603" s="17" t="s">
        <v>13</v>
      </c>
      <c r="F603" s="25">
        <v>2040</v>
      </c>
      <c r="G603" s="26">
        <v>1349969.6067948786</v>
      </c>
    </row>
    <row r="604" spans="1:7" x14ac:dyDescent="0.35">
      <c r="A604" s="9">
        <f xml:space="preserve"> ROW( scalarDataframe[[#This Row],[row_id]] ) - ROW( scalarDataframe[[#Headers],[row_id]] )</f>
        <v>603</v>
      </c>
      <c r="B604" s="16" t="str">
        <f xml:space="preserve"> INDEX( co_scalarInfo[scalarType], MATCH( scalarDataframe[[#This Row],[scalarName]],  co_scalarInfo[scalarName], 0 ) )</f>
        <v>physScalar</v>
      </c>
      <c r="C604" s="44" t="str">
        <f xml:space="preserve"> INDEX( co_scalarInfo[scalarLabel], MATCH( scalarDataframe[[#This Row],[scalarName]], co_scalarInfo[scalarName], 0 ) )</f>
        <v>Asphalt Lane Miles</v>
      </c>
      <c r="D604" s="24" t="s">
        <v>1004</v>
      </c>
      <c r="E604" s="17" t="s">
        <v>6</v>
      </c>
      <c r="F604" s="25">
        <v>2045</v>
      </c>
      <c r="G604" s="26">
        <v>286006.92906156898</v>
      </c>
    </row>
    <row r="605" spans="1:7" x14ac:dyDescent="0.35">
      <c r="A605" s="9">
        <f xml:space="preserve"> ROW( scalarDataframe[[#This Row],[row_id]] ) - ROW( scalarDataframe[[#Headers],[row_id]] )</f>
        <v>604</v>
      </c>
      <c r="B605" s="16" t="str">
        <f xml:space="preserve"> INDEX( co_scalarInfo[scalarType], MATCH( scalarDataframe[[#This Row],[scalarName]],  co_scalarInfo[scalarName], 0 ) )</f>
        <v>physScalar</v>
      </c>
      <c r="C605" s="44" t="str">
        <f xml:space="preserve"> INDEX( co_scalarInfo[scalarLabel], MATCH( scalarDataframe[[#This Row],[scalarName]], co_scalarInfo[scalarName], 0 ) )</f>
        <v>Asphalt Lane Miles</v>
      </c>
      <c r="D605" s="24" t="s">
        <v>1004</v>
      </c>
      <c r="E605" s="17" t="s">
        <v>7</v>
      </c>
      <c r="F605" s="25">
        <v>2045</v>
      </c>
      <c r="G605" s="26">
        <v>192526.71769571205</v>
      </c>
    </row>
    <row r="606" spans="1:7" x14ac:dyDescent="0.35">
      <c r="A606" s="9">
        <f xml:space="preserve"> ROW( scalarDataframe[[#This Row],[row_id]] ) - ROW( scalarDataframe[[#Headers],[row_id]] )</f>
        <v>605</v>
      </c>
      <c r="B606" s="16" t="str">
        <f xml:space="preserve"> INDEX( co_scalarInfo[scalarType], MATCH( scalarDataframe[[#This Row],[scalarName]],  co_scalarInfo[scalarName], 0 ) )</f>
        <v>physScalar</v>
      </c>
      <c r="C606" s="44" t="str">
        <f xml:space="preserve"> INDEX( co_scalarInfo[scalarLabel], MATCH( scalarDataframe[[#This Row],[scalarName]], co_scalarInfo[scalarName], 0 ) )</f>
        <v>Asphalt Lane Miles</v>
      </c>
      <c r="D606" s="24" t="s">
        <v>1004</v>
      </c>
      <c r="E606" s="17" t="s">
        <v>8</v>
      </c>
      <c r="F606" s="25">
        <v>2045</v>
      </c>
      <c r="G606" s="26">
        <v>116423.82845335787</v>
      </c>
    </row>
    <row r="607" spans="1:7" x14ac:dyDescent="0.35">
      <c r="A607" s="9">
        <f xml:space="preserve"> ROW( scalarDataframe[[#This Row],[row_id]] ) - ROW( scalarDataframe[[#Headers],[row_id]] )</f>
        <v>606</v>
      </c>
      <c r="B607" s="16" t="str">
        <f xml:space="preserve"> INDEX( co_scalarInfo[scalarType], MATCH( scalarDataframe[[#This Row],[scalarName]],  co_scalarInfo[scalarName], 0 ) )</f>
        <v>physScalar</v>
      </c>
      <c r="C607" s="44" t="str">
        <f xml:space="preserve"> INDEX( co_scalarInfo[scalarLabel], MATCH( scalarDataframe[[#This Row],[scalarName]], co_scalarInfo[scalarName], 0 ) )</f>
        <v>Asphalt Lane Miles</v>
      </c>
      <c r="D607" s="24" t="s">
        <v>1004</v>
      </c>
      <c r="E607" s="17" t="s">
        <v>9</v>
      </c>
      <c r="F607" s="25">
        <v>2045</v>
      </c>
      <c r="G607" s="26">
        <v>64218.221156922475</v>
      </c>
    </row>
    <row r="608" spans="1:7" x14ac:dyDescent="0.35">
      <c r="A608" s="9">
        <f xml:space="preserve"> ROW( scalarDataframe[[#This Row],[row_id]] ) - ROW( scalarDataframe[[#Headers],[row_id]] )</f>
        <v>607</v>
      </c>
      <c r="B608" s="16" t="str">
        <f xml:space="preserve"> INDEX( co_scalarInfo[scalarType], MATCH( scalarDataframe[[#This Row],[scalarName]],  co_scalarInfo[scalarName], 0 ) )</f>
        <v>physScalar</v>
      </c>
      <c r="C608" s="44" t="str">
        <f xml:space="preserve"> INDEX( co_scalarInfo[scalarLabel], MATCH( scalarDataframe[[#This Row],[scalarName]], co_scalarInfo[scalarName], 0 ) )</f>
        <v>Asphalt Lane Miles</v>
      </c>
      <c r="D608" s="24" t="s">
        <v>1004</v>
      </c>
      <c r="E608" s="17" t="s">
        <v>10</v>
      </c>
      <c r="F608" s="25">
        <v>2045</v>
      </c>
      <c r="G608" s="26">
        <v>341919.61241713847</v>
      </c>
    </row>
    <row r="609" spans="1:7" x14ac:dyDescent="0.35">
      <c r="A609" s="9">
        <f xml:space="preserve"> ROW( scalarDataframe[[#This Row],[row_id]] ) - ROW( scalarDataframe[[#Headers],[row_id]] )</f>
        <v>608</v>
      </c>
      <c r="B609" s="16" t="str">
        <f xml:space="preserve"> INDEX( co_scalarInfo[scalarType], MATCH( scalarDataframe[[#This Row],[scalarName]],  co_scalarInfo[scalarName], 0 ) )</f>
        <v>physScalar</v>
      </c>
      <c r="C609" s="44" t="str">
        <f xml:space="preserve"> INDEX( co_scalarInfo[scalarLabel], MATCH( scalarDataframe[[#This Row],[scalarName]], co_scalarInfo[scalarName], 0 ) )</f>
        <v>Asphalt Lane Miles</v>
      </c>
      <c r="D609" s="24" t="s">
        <v>1004</v>
      </c>
      <c r="E609" s="17" t="s">
        <v>11</v>
      </c>
      <c r="F609" s="25">
        <v>2045</v>
      </c>
      <c r="G609" s="26">
        <v>168381.86865958094</v>
      </c>
    </row>
    <row r="610" spans="1:7" x14ac:dyDescent="0.35">
      <c r="A610" s="9">
        <f xml:space="preserve"> ROW( scalarDataframe[[#This Row],[row_id]] ) - ROW( scalarDataframe[[#Headers],[row_id]] )</f>
        <v>609</v>
      </c>
      <c r="B610" s="16" t="str">
        <f xml:space="preserve"> INDEX( co_scalarInfo[scalarType], MATCH( scalarDataframe[[#This Row],[scalarName]],  co_scalarInfo[scalarName], 0 ) )</f>
        <v>physScalar</v>
      </c>
      <c r="C610" s="44" t="str">
        <f xml:space="preserve"> INDEX( co_scalarInfo[scalarLabel], MATCH( scalarDataframe[[#This Row],[scalarName]], co_scalarInfo[scalarName], 0 ) )</f>
        <v>Asphalt Lane Miles</v>
      </c>
      <c r="D610" s="24" t="s">
        <v>1004</v>
      </c>
      <c r="E610" s="17" t="s">
        <v>12</v>
      </c>
      <c r="F610" s="25">
        <v>2045</v>
      </c>
      <c r="G610" s="26">
        <v>180492.42935059752</v>
      </c>
    </row>
    <row r="611" spans="1:7" x14ac:dyDescent="0.35">
      <c r="A611" s="9">
        <f xml:space="preserve"> ROW( scalarDataframe[[#This Row],[row_id]] ) - ROW( scalarDataframe[[#Headers],[row_id]] )</f>
        <v>610</v>
      </c>
      <c r="B611" s="16" t="str">
        <f xml:space="preserve"> INDEX( co_scalarInfo[scalarType], MATCH( scalarDataframe[[#This Row],[scalarName]],  co_scalarInfo[scalarName], 0 ) )</f>
        <v>physScalar</v>
      </c>
      <c r="C611" s="44" t="str">
        <f xml:space="preserve"> INDEX( co_scalarInfo[scalarLabel], MATCH( scalarDataframe[[#This Row],[scalarName]], co_scalarInfo[scalarName], 0 ) )</f>
        <v>Asphalt Lane Miles</v>
      </c>
      <c r="D611" s="24" t="s">
        <v>1004</v>
      </c>
      <c r="E611" s="17" t="s">
        <v>13</v>
      </c>
      <c r="F611" s="25">
        <v>2045</v>
      </c>
      <c r="G611" s="26">
        <v>1349969.6067948786</v>
      </c>
    </row>
    <row r="612" spans="1:7" x14ac:dyDescent="0.35">
      <c r="A612" s="9">
        <f xml:space="preserve"> ROW( scalarDataframe[[#This Row],[row_id]] ) - ROW( scalarDataframe[[#Headers],[row_id]] )</f>
        <v>611</v>
      </c>
      <c r="B612" s="16" t="str">
        <f xml:space="preserve"> INDEX( co_scalarInfo[scalarType], MATCH( scalarDataframe[[#This Row],[scalarName]],  co_scalarInfo[scalarName], 0 ) )</f>
        <v>physScalar</v>
      </c>
      <c r="C612" s="44" t="str">
        <f xml:space="preserve"> INDEX( co_scalarInfo[scalarLabel], MATCH( scalarDataframe[[#This Row],[scalarName]], co_scalarInfo[scalarName], 0 ) )</f>
        <v>Asphalt Lane Miles</v>
      </c>
      <c r="D612" s="24" t="s">
        <v>1004</v>
      </c>
      <c r="E612" s="17" t="s">
        <v>6</v>
      </c>
      <c r="F612" s="25">
        <v>2050</v>
      </c>
      <c r="G612" s="26">
        <v>286006.92906156898</v>
      </c>
    </row>
    <row r="613" spans="1:7" x14ac:dyDescent="0.35">
      <c r="A613" s="9">
        <f xml:space="preserve"> ROW( scalarDataframe[[#This Row],[row_id]] ) - ROW( scalarDataframe[[#Headers],[row_id]] )</f>
        <v>612</v>
      </c>
      <c r="B613" s="16" t="str">
        <f xml:space="preserve"> INDEX( co_scalarInfo[scalarType], MATCH( scalarDataframe[[#This Row],[scalarName]],  co_scalarInfo[scalarName], 0 ) )</f>
        <v>physScalar</v>
      </c>
      <c r="C613" s="44" t="str">
        <f xml:space="preserve"> INDEX( co_scalarInfo[scalarLabel], MATCH( scalarDataframe[[#This Row],[scalarName]], co_scalarInfo[scalarName], 0 ) )</f>
        <v>Asphalt Lane Miles</v>
      </c>
      <c r="D613" s="24" t="s">
        <v>1004</v>
      </c>
      <c r="E613" s="17" t="s">
        <v>7</v>
      </c>
      <c r="F613" s="25">
        <v>2050</v>
      </c>
      <c r="G613" s="26">
        <v>192526.71769571205</v>
      </c>
    </row>
    <row r="614" spans="1:7" x14ac:dyDescent="0.35">
      <c r="A614" s="9">
        <f xml:space="preserve"> ROW( scalarDataframe[[#This Row],[row_id]] ) - ROW( scalarDataframe[[#Headers],[row_id]] )</f>
        <v>613</v>
      </c>
      <c r="B614" s="16" t="str">
        <f xml:space="preserve"> INDEX( co_scalarInfo[scalarType], MATCH( scalarDataframe[[#This Row],[scalarName]],  co_scalarInfo[scalarName], 0 ) )</f>
        <v>physScalar</v>
      </c>
      <c r="C614" s="44" t="str">
        <f xml:space="preserve"> INDEX( co_scalarInfo[scalarLabel], MATCH( scalarDataframe[[#This Row],[scalarName]], co_scalarInfo[scalarName], 0 ) )</f>
        <v>Asphalt Lane Miles</v>
      </c>
      <c r="D614" s="24" t="s">
        <v>1004</v>
      </c>
      <c r="E614" s="17" t="s">
        <v>8</v>
      </c>
      <c r="F614" s="25">
        <v>2050</v>
      </c>
      <c r="G614" s="26">
        <v>116423.82845335787</v>
      </c>
    </row>
    <row r="615" spans="1:7" x14ac:dyDescent="0.35">
      <c r="A615" s="9">
        <f xml:space="preserve"> ROW( scalarDataframe[[#This Row],[row_id]] ) - ROW( scalarDataframe[[#Headers],[row_id]] )</f>
        <v>614</v>
      </c>
      <c r="B615" s="16" t="str">
        <f xml:space="preserve"> INDEX( co_scalarInfo[scalarType], MATCH( scalarDataframe[[#This Row],[scalarName]],  co_scalarInfo[scalarName], 0 ) )</f>
        <v>physScalar</v>
      </c>
      <c r="C615" s="44" t="str">
        <f xml:space="preserve"> INDEX( co_scalarInfo[scalarLabel], MATCH( scalarDataframe[[#This Row],[scalarName]], co_scalarInfo[scalarName], 0 ) )</f>
        <v>Asphalt Lane Miles</v>
      </c>
      <c r="D615" s="24" t="s">
        <v>1004</v>
      </c>
      <c r="E615" s="17" t="s">
        <v>9</v>
      </c>
      <c r="F615" s="25">
        <v>2050</v>
      </c>
      <c r="G615" s="26">
        <v>64218.221156922475</v>
      </c>
    </row>
    <row r="616" spans="1:7" x14ac:dyDescent="0.35">
      <c r="A616" s="9">
        <f xml:space="preserve"> ROW( scalarDataframe[[#This Row],[row_id]] ) - ROW( scalarDataframe[[#Headers],[row_id]] )</f>
        <v>615</v>
      </c>
      <c r="B616" s="16" t="str">
        <f xml:space="preserve"> INDEX( co_scalarInfo[scalarType], MATCH( scalarDataframe[[#This Row],[scalarName]],  co_scalarInfo[scalarName], 0 ) )</f>
        <v>physScalar</v>
      </c>
      <c r="C616" s="44" t="str">
        <f xml:space="preserve"> INDEX( co_scalarInfo[scalarLabel], MATCH( scalarDataframe[[#This Row],[scalarName]], co_scalarInfo[scalarName], 0 ) )</f>
        <v>Asphalt Lane Miles</v>
      </c>
      <c r="D616" s="24" t="s">
        <v>1004</v>
      </c>
      <c r="E616" s="17" t="s">
        <v>10</v>
      </c>
      <c r="F616" s="25">
        <v>2050</v>
      </c>
      <c r="G616" s="26">
        <v>341919.61241713847</v>
      </c>
    </row>
    <row r="617" spans="1:7" x14ac:dyDescent="0.35">
      <c r="A617" s="9">
        <f xml:space="preserve"> ROW( scalarDataframe[[#This Row],[row_id]] ) - ROW( scalarDataframe[[#Headers],[row_id]] )</f>
        <v>616</v>
      </c>
      <c r="B617" s="16" t="str">
        <f xml:space="preserve"> INDEX( co_scalarInfo[scalarType], MATCH( scalarDataframe[[#This Row],[scalarName]],  co_scalarInfo[scalarName], 0 ) )</f>
        <v>physScalar</v>
      </c>
      <c r="C617" s="44" t="str">
        <f xml:space="preserve"> INDEX( co_scalarInfo[scalarLabel], MATCH( scalarDataframe[[#This Row],[scalarName]], co_scalarInfo[scalarName], 0 ) )</f>
        <v>Asphalt Lane Miles</v>
      </c>
      <c r="D617" s="24" t="s">
        <v>1004</v>
      </c>
      <c r="E617" s="17" t="s">
        <v>11</v>
      </c>
      <c r="F617" s="25">
        <v>2050</v>
      </c>
      <c r="G617" s="26">
        <v>168381.86865958094</v>
      </c>
    </row>
    <row r="618" spans="1:7" x14ac:dyDescent="0.35">
      <c r="A618" s="9">
        <f xml:space="preserve"> ROW( scalarDataframe[[#This Row],[row_id]] ) - ROW( scalarDataframe[[#Headers],[row_id]] )</f>
        <v>617</v>
      </c>
      <c r="B618" s="16" t="str">
        <f xml:space="preserve"> INDEX( co_scalarInfo[scalarType], MATCH( scalarDataframe[[#This Row],[scalarName]],  co_scalarInfo[scalarName], 0 ) )</f>
        <v>physScalar</v>
      </c>
      <c r="C618" s="44" t="str">
        <f xml:space="preserve"> INDEX( co_scalarInfo[scalarLabel], MATCH( scalarDataframe[[#This Row],[scalarName]], co_scalarInfo[scalarName], 0 ) )</f>
        <v>Asphalt Lane Miles</v>
      </c>
      <c r="D618" s="24" t="s">
        <v>1004</v>
      </c>
      <c r="E618" s="17" t="s">
        <v>12</v>
      </c>
      <c r="F618" s="25">
        <v>2050</v>
      </c>
      <c r="G618" s="26">
        <v>180492.42935059752</v>
      </c>
    </row>
    <row r="619" spans="1:7" x14ac:dyDescent="0.35">
      <c r="A619" s="9">
        <f xml:space="preserve"> ROW( scalarDataframe[[#This Row],[row_id]] ) - ROW( scalarDataframe[[#Headers],[row_id]] )</f>
        <v>618</v>
      </c>
      <c r="B619" s="16" t="str">
        <f xml:space="preserve"> INDEX( co_scalarInfo[scalarType], MATCH( scalarDataframe[[#This Row],[scalarName]],  co_scalarInfo[scalarName], 0 ) )</f>
        <v>physScalar</v>
      </c>
      <c r="C619" s="44" t="str">
        <f xml:space="preserve"> INDEX( co_scalarInfo[scalarLabel], MATCH( scalarDataframe[[#This Row],[scalarName]], co_scalarInfo[scalarName], 0 ) )</f>
        <v>Asphalt Lane Miles</v>
      </c>
      <c r="D619" s="24" t="s">
        <v>1004</v>
      </c>
      <c r="E619" s="17" t="s">
        <v>13</v>
      </c>
      <c r="F619" s="25">
        <v>2050</v>
      </c>
      <c r="G619" s="26">
        <v>1349969.6067948786</v>
      </c>
    </row>
    <row r="620" spans="1:7" x14ac:dyDescent="0.35">
      <c r="A620" s="9">
        <f xml:space="preserve"> ROW( scalarDataframe[[#This Row],[row_id]] ) - ROW( scalarDataframe[[#Headers],[row_id]] )</f>
        <v>619</v>
      </c>
      <c r="B620" s="16" t="str">
        <f xml:space="preserve"> INDEX( co_scalarInfo[scalarType], MATCH( scalarDataframe[[#This Row],[scalarName]],  co_scalarInfo[scalarName], 0 ) )</f>
        <v>physScalar</v>
      </c>
      <c r="C620" s="44" t="str">
        <f xml:space="preserve"> INDEX( co_scalarInfo[scalarLabel], MATCH( scalarDataframe[[#This Row],[scalarName]], co_scalarInfo[scalarName], 0 ) )</f>
        <v>Asphalt Lane Miles</v>
      </c>
      <c r="D620" s="24" t="s">
        <v>1004</v>
      </c>
      <c r="E620" s="17" t="s">
        <v>6</v>
      </c>
      <c r="F620" s="25">
        <v>2055</v>
      </c>
      <c r="G620" s="26">
        <v>286006.92906156898</v>
      </c>
    </row>
    <row r="621" spans="1:7" x14ac:dyDescent="0.35">
      <c r="A621" s="9">
        <f xml:space="preserve"> ROW( scalarDataframe[[#This Row],[row_id]] ) - ROW( scalarDataframe[[#Headers],[row_id]] )</f>
        <v>620</v>
      </c>
      <c r="B621" s="16" t="str">
        <f xml:space="preserve"> INDEX( co_scalarInfo[scalarType], MATCH( scalarDataframe[[#This Row],[scalarName]],  co_scalarInfo[scalarName], 0 ) )</f>
        <v>physScalar</v>
      </c>
      <c r="C621" s="44" t="str">
        <f xml:space="preserve"> INDEX( co_scalarInfo[scalarLabel], MATCH( scalarDataframe[[#This Row],[scalarName]], co_scalarInfo[scalarName], 0 ) )</f>
        <v>Asphalt Lane Miles</v>
      </c>
      <c r="D621" s="24" t="s">
        <v>1004</v>
      </c>
      <c r="E621" s="17" t="s">
        <v>7</v>
      </c>
      <c r="F621" s="25">
        <v>2055</v>
      </c>
      <c r="G621" s="26">
        <v>192526.71769571205</v>
      </c>
    </row>
    <row r="622" spans="1:7" x14ac:dyDescent="0.35">
      <c r="A622" s="9">
        <f xml:space="preserve"> ROW( scalarDataframe[[#This Row],[row_id]] ) - ROW( scalarDataframe[[#Headers],[row_id]] )</f>
        <v>621</v>
      </c>
      <c r="B622" s="16" t="str">
        <f xml:space="preserve"> INDEX( co_scalarInfo[scalarType], MATCH( scalarDataframe[[#This Row],[scalarName]],  co_scalarInfo[scalarName], 0 ) )</f>
        <v>physScalar</v>
      </c>
      <c r="C622" s="44" t="str">
        <f xml:space="preserve"> INDEX( co_scalarInfo[scalarLabel], MATCH( scalarDataframe[[#This Row],[scalarName]], co_scalarInfo[scalarName], 0 ) )</f>
        <v>Asphalt Lane Miles</v>
      </c>
      <c r="D622" s="24" t="s">
        <v>1004</v>
      </c>
      <c r="E622" s="17" t="s">
        <v>8</v>
      </c>
      <c r="F622" s="25">
        <v>2055</v>
      </c>
      <c r="G622" s="26">
        <v>116423.82845335787</v>
      </c>
    </row>
    <row r="623" spans="1:7" x14ac:dyDescent="0.35">
      <c r="A623" s="9">
        <f xml:space="preserve"> ROW( scalarDataframe[[#This Row],[row_id]] ) - ROW( scalarDataframe[[#Headers],[row_id]] )</f>
        <v>622</v>
      </c>
      <c r="B623" s="16" t="str">
        <f xml:space="preserve"> INDEX( co_scalarInfo[scalarType], MATCH( scalarDataframe[[#This Row],[scalarName]],  co_scalarInfo[scalarName], 0 ) )</f>
        <v>physScalar</v>
      </c>
      <c r="C623" s="44" t="str">
        <f xml:space="preserve"> INDEX( co_scalarInfo[scalarLabel], MATCH( scalarDataframe[[#This Row],[scalarName]], co_scalarInfo[scalarName], 0 ) )</f>
        <v>Asphalt Lane Miles</v>
      </c>
      <c r="D623" s="24" t="s">
        <v>1004</v>
      </c>
      <c r="E623" s="17" t="s">
        <v>9</v>
      </c>
      <c r="F623" s="25">
        <v>2055</v>
      </c>
      <c r="G623" s="26">
        <v>64218.221156922475</v>
      </c>
    </row>
    <row r="624" spans="1:7" x14ac:dyDescent="0.35">
      <c r="A624" s="9">
        <f xml:space="preserve"> ROW( scalarDataframe[[#This Row],[row_id]] ) - ROW( scalarDataframe[[#Headers],[row_id]] )</f>
        <v>623</v>
      </c>
      <c r="B624" s="16" t="str">
        <f xml:space="preserve"> INDEX( co_scalarInfo[scalarType], MATCH( scalarDataframe[[#This Row],[scalarName]],  co_scalarInfo[scalarName], 0 ) )</f>
        <v>physScalar</v>
      </c>
      <c r="C624" s="44" t="str">
        <f xml:space="preserve"> INDEX( co_scalarInfo[scalarLabel], MATCH( scalarDataframe[[#This Row],[scalarName]], co_scalarInfo[scalarName], 0 ) )</f>
        <v>Asphalt Lane Miles</v>
      </c>
      <c r="D624" s="24" t="s">
        <v>1004</v>
      </c>
      <c r="E624" s="17" t="s">
        <v>10</v>
      </c>
      <c r="F624" s="25">
        <v>2055</v>
      </c>
      <c r="G624" s="26">
        <v>341919.61241713847</v>
      </c>
    </row>
    <row r="625" spans="1:7" x14ac:dyDescent="0.35">
      <c r="A625" s="9">
        <f xml:space="preserve"> ROW( scalarDataframe[[#This Row],[row_id]] ) - ROW( scalarDataframe[[#Headers],[row_id]] )</f>
        <v>624</v>
      </c>
      <c r="B625" s="16" t="str">
        <f xml:space="preserve"> INDEX( co_scalarInfo[scalarType], MATCH( scalarDataframe[[#This Row],[scalarName]],  co_scalarInfo[scalarName], 0 ) )</f>
        <v>physScalar</v>
      </c>
      <c r="C625" s="44" t="str">
        <f xml:space="preserve"> INDEX( co_scalarInfo[scalarLabel], MATCH( scalarDataframe[[#This Row],[scalarName]], co_scalarInfo[scalarName], 0 ) )</f>
        <v>Asphalt Lane Miles</v>
      </c>
      <c r="D625" s="24" t="s">
        <v>1004</v>
      </c>
      <c r="E625" s="17" t="s">
        <v>11</v>
      </c>
      <c r="F625" s="25">
        <v>2055</v>
      </c>
      <c r="G625" s="26">
        <v>168381.86865958094</v>
      </c>
    </row>
    <row r="626" spans="1:7" x14ac:dyDescent="0.35">
      <c r="A626" s="9">
        <f xml:space="preserve"> ROW( scalarDataframe[[#This Row],[row_id]] ) - ROW( scalarDataframe[[#Headers],[row_id]] )</f>
        <v>625</v>
      </c>
      <c r="B626" s="16" t="str">
        <f xml:space="preserve"> INDEX( co_scalarInfo[scalarType], MATCH( scalarDataframe[[#This Row],[scalarName]],  co_scalarInfo[scalarName], 0 ) )</f>
        <v>physScalar</v>
      </c>
      <c r="C626" s="44" t="str">
        <f xml:space="preserve"> INDEX( co_scalarInfo[scalarLabel], MATCH( scalarDataframe[[#This Row],[scalarName]], co_scalarInfo[scalarName], 0 ) )</f>
        <v>Asphalt Lane Miles</v>
      </c>
      <c r="D626" s="24" t="s">
        <v>1004</v>
      </c>
      <c r="E626" s="17" t="s">
        <v>12</v>
      </c>
      <c r="F626" s="25">
        <v>2055</v>
      </c>
      <c r="G626" s="26">
        <v>180492.42935059752</v>
      </c>
    </row>
    <row r="627" spans="1:7" x14ac:dyDescent="0.35">
      <c r="A627" s="9">
        <f xml:space="preserve"> ROW( scalarDataframe[[#This Row],[row_id]] ) - ROW( scalarDataframe[[#Headers],[row_id]] )</f>
        <v>626</v>
      </c>
      <c r="B627" s="16" t="str">
        <f xml:space="preserve"> INDEX( co_scalarInfo[scalarType], MATCH( scalarDataframe[[#This Row],[scalarName]],  co_scalarInfo[scalarName], 0 ) )</f>
        <v>physScalar</v>
      </c>
      <c r="C627" s="44" t="str">
        <f xml:space="preserve"> INDEX( co_scalarInfo[scalarLabel], MATCH( scalarDataframe[[#This Row],[scalarName]], co_scalarInfo[scalarName], 0 ) )</f>
        <v>Asphalt Lane Miles</v>
      </c>
      <c r="D627" s="24" t="s">
        <v>1004</v>
      </c>
      <c r="E627" s="17" t="s">
        <v>13</v>
      </c>
      <c r="F627" s="25">
        <v>2055</v>
      </c>
      <c r="G627" s="26">
        <v>1349969.6067948786</v>
      </c>
    </row>
    <row r="628" spans="1:7" x14ac:dyDescent="0.35">
      <c r="A628" s="9">
        <f xml:space="preserve"> ROW( scalarDataframe[[#This Row],[row_id]] ) - ROW( scalarDataframe[[#Headers],[row_id]] )</f>
        <v>627</v>
      </c>
      <c r="B628" s="16" t="str">
        <f xml:space="preserve"> INDEX( co_scalarInfo[scalarType], MATCH( scalarDataframe[[#This Row],[scalarName]],  co_scalarInfo[scalarName], 0 ) )</f>
        <v>physScalar</v>
      </c>
      <c r="C628" s="44" t="str">
        <f xml:space="preserve"> INDEX( co_scalarInfo[scalarLabel], MATCH( scalarDataframe[[#This Row],[scalarName]], co_scalarInfo[scalarName], 0 ) )</f>
        <v>Asphalt Lane Miles</v>
      </c>
      <c r="D628" s="24" t="s">
        <v>1004</v>
      </c>
      <c r="E628" s="17" t="s">
        <v>6</v>
      </c>
      <c r="F628" s="25">
        <v>2060</v>
      </c>
      <c r="G628" s="26">
        <v>286006.92906156898</v>
      </c>
    </row>
    <row r="629" spans="1:7" x14ac:dyDescent="0.35">
      <c r="A629" s="9">
        <f xml:space="preserve"> ROW( scalarDataframe[[#This Row],[row_id]] ) - ROW( scalarDataframe[[#Headers],[row_id]] )</f>
        <v>628</v>
      </c>
      <c r="B629" s="16" t="str">
        <f xml:space="preserve"> INDEX( co_scalarInfo[scalarType], MATCH( scalarDataframe[[#This Row],[scalarName]],  co_scalarInfo[scalarName], 0 ) )</f>
        <v>physScalar</v>
      </c>
      <c r="C629" s="44" t="str">
        <f xml:space="preserve"> INDEX( co_scalarInfo[scalarLabel], MATCH( scalarDataframe[[#This Row],[scalarName]], co_scalarInfo[scalarName], 0 ) )</f>
        <v>Asphalt Lane Miles</v>
      </c>
      <c r="D629" s="24" t="s">
        <v>1004</v>
      </c>
      <c r="E629" s="17" t="s">
        <v>7</v>
      </c>
      <c r="F629" s="25">
        <v>2060</v>
      </c>
      <c r="G629" s="26">
        <v>192526.71769571205</v>
      </c>
    </row>
    <row r="630" spans="1:7" x14ac:dyDescent="0.35">
      <c r="A630" s="9">
        <f xml:space="preserve"> ROW( scalarDataframe[[#This Row],[row_id]] ) - ROW( scalarDataframe[[#Headers],[row_id]] )</f>
        <v>629</v>
      </c>
      <c r="B630" s="16" t="str">
        <f xml:space="preserve"> INDEX( co_scalarInfo[scalarType], MATCH( scalarDataframe[[#This Row],[scalarName]],  co_scalarInfo[scalarName], 0 ) )</f>
        <v>physScalar</v>
      </c>
      <c r="C630" s="44" t="str">
        <f xml:space="preserve"> INDEX( co_scalarInfo[scalarLabel], MATCH( scalarDataframe[[#This Row],[scalarName]], co_scalarInfo[scalarName], 0 ) )</f>
        <v>Asphalt Lane Miles</v>
      </c>
      <c r="D630" s="24" t="s">
        <v>1004</v>
      </c>
      <c r="E630" s="17" t="s">
        <v>8</v>
      </c>
      <c r="F630" s="25">
        <v>2060</v>
      </c>
      <c r="G630" s="26">
        <v>116423.82845335787</v>
      </c>
    </row>
    <row r="631" spans="1:7" x14ac:dyDescent="0.35">
      <c r="A631" s="9">
        <f xml:space="preserve"> ROW( scalarDataframe[[#This Row],[row_id]] ) - ROW( scalarDataframe[[#Headers],[row_id]] )</f>
        <v>630</v>
      </c>
      <c r="B631" s="16" t="str">
        <f xml:space="preserve"> INDEX( co_scalarInfo[scalarType], MATCH( scalarDataframe[[#This Row],[scalarName]],  co_scalarInfo[scalarName], 0 ) )</f>
        <v>physScalar</v>
      </c>
      <c r="C631" s="44" t="str">
        <f xml:space="preserve"> INDEX( co_scalarInfo[scalarLabel], MATCH( scalarDataframe[[#This Row],[scalarName]], co_scalarInfo[scalarName], 0 ) )</f>
        <v>Asphalt Lane Miles</v>
      </c>
      <c r="D631" s="24" t="s">
        <v>1004</v>
      </c>
      <c r="E631" s="17" t="s">
        <v>9</v>
      </c>
      <c r="F631" s="25">
        <v>2060</v>
      </c>
      <c r="G631" s="26">
        <v>64218.221156922475</v>
      </c>
    </row>
    <row r="632" spans="1:7" x14ac:dyDescent="0.35">
      <c r="A632" s="9">
        <f xml:space="preserve"> ROW( scalarDataframe[[#This Row],[row_id]] ) - ROW( scalarDataframe[[#Headers],[row_id]] )</f>
        <v>631</v>
      </c>
      <c r="B632" s="16" t="str">
        <f xml:space="preserve"> INDEX( co_scalarInfo[scalarType], MATCH( scalarDataframe[[#This Row],[scalarName]],  co_scalarInfo[scalarName], 0 ) )</f>
        <v>physScalar</v>
      </c>
      <c r="C632" s="44" t="str">
        <f xml:space="preserve"> INDEX( co_scalarInfo[scalarLabel], MATCH( scalarDataframe[[#This Row],[scalarName]], co_scalarInfo[scalarName], 0 ) )</f>
        <v>Asphalt Lane Miles</v>
      </c>
      <c r="D632" s="24" t="s">
        <v>1004</v>
      </c>
      <c r="E632" s="17" t="s">
        <v>10</v>
      </c>
      <c r="F632" s="25">
        <v>2060</v>
      </c>
      <c r="G632" s="26">
        <v>341919.61241713847</v>
      </c>
    </row>
    <row r="633" spans="1:7" x14ac:dyDescent="0.35">
      <c r="A633" s="9">
        <f xml:space="preserve"> ROW( scalarDataframe[[#This Row],[row_id]] ) - ROW( scalarDataframe[[#Headers],[row_id]] )</f>
        <v>632</v>
      </c>
      <c r="B633" s="16" t="str">
        <f xml:space="preserve"> INDEX( co_scalarInfo[scalarType], MATCH( scalarDataframe[[#This Row],[scalarName]],  co_scalarInfo[scalarName], 0 ) )</f>
        <v>physScalar</v>
      </c>
      <c r="C633" s="44" t="str">
        <f xml:space="preserve"> INDEX( co_scalarInfo[scalarLabel], MATCH( scalarDataframe[[#This Row],[scalarName]], co_scalarInfo[scalarName], 0 ) )</f>
        <v>Asphalt Lane Miles</v>
      </c>
      <c r="D633" s="24" t="s">
        <v>1004</v>
      </c>
      <c r="E633" s="17" t="s">
        <v>11</v>
      </c>
      <c r="F633" s="25">
        <v>2060</v>
      </c>
      <c r="G633" s="26">
        <v>168381.86865958094</v>
      </c>
    </row>
    <row r="634" spans="1:7" x14ac:dyDescent="0.35">
      <c r="A634" s="9">
        <f xml:space="preserve"> ROW( scalarDataframe[[#This Row],[row_id]] ) - ROW( scalarDataframe[[#Headers],[row_id]] )</f>
        <v>633</v>
      </c>
      <c r="B634" s="16" t="str">
        <f xml:space="preserve"> INDEX( co_scalarInfo[scalarType], MATCH( scalarDataframe[[#This Row],[scalarName]],  co_scalarInfo[scalarName], 0 ) )</f>
        <v>physScalar</v>
      </c>
      <c r="C634" s="44" t="str">
        <f xml:space="preserve"> INDEX( co_scalarInfo[scalarLabel], MATCH( scalarDataframe[[#This Row],[scalarName]], co_scalarInfo[scalarName], 0 ) )</f>
        <v>Asphalt Lane Miles</v>
      </c>
      <c r="D634" s="24" t="s">
        <v>1004</v>
      </c>
      <c r="E634" s="17" t="s">
        <v>12</v>
      </c>
      <c r="F634" s="25">
        <v>2060</v>
      </c>
      <c r="G634" s="26">
        <v>180492.42935059752</v>
      </c>
    </row>
    <row r="635" spans="1:7" x14ac:dyDescent="0.35">
      <c r="A635" s="9">
        <f xml:space="preserve"> ROW( scalarDataframe[[#This Row],[row_id]] ) - ROW( scalarDataframe[[#Headers],[row_id]] )</f>
        <v>634</v>
      </c>
      <c r="B635" s="16" t="str">
        <f xml:space="preserve"> INDEX( co_scalarInfo[scalarType], MATCH( scalarDataframe[[#This Row],[scalarName]],  co_scalarInfo[scalarName], 0 ) )</f>
        <v>physScalar</v>
      </c>
      <c r="C635" s="44" t="str">
        <f xml:space="preserve"> INDEX( co_scalarInfo[scalarLabel], MATCH( scalarDataframe[[#This Row],[scalarName]], co_scalarInfo[scalarName], 0 ) )</f>
        <v>Asphalt Lane Miles</v>
      </c>
      <c r="D635" s="24" t="s">
        <v>1004</v>
      </c>
      <c r="E635" s="17" t="s">
        <v>13</v>
      </c>
      <c r="F635" s="25">
        <v>2060</v>
      </c>
      <c r="G635" s="26">
        <v>1349969.6067948786</v>
      </c>
    </row>
    <row r="636" spans="1:7" x14ac:dyDescent="0.35">
      <c r="A636" s="9">
        <f xml:space="preserve"> ROW( scalarDataframe[[#This Row],[row_id]] ) - ROW( scalarDataframe[[#Headers],[row_id]] )</f>
        <v>635</v>
      </c>
      <c r="B636" s="16" t="str">
        <f xml:space="preserve"> INDEX( co_scalarInfo[scalarType], MATCH( scalarDataframe[[#This Row],[scalarName]],  co_scalarInfo[scalarName], 0 ) )</f>
        <v>physScalar</v>
      </c>
      <c r="C636" s="44" t="str">
        <f xml:space="preserve"> INDEX( co_scalarInfo[scalarLabel], MATCH( scalarDataframe[[#This Row],[scalarName]], co_scalarInfo[scalarName], 0 ) )</f>
        <v>Asphalt Lane Miles</v>
      </c>
      <c r="D636" s="24" t="s">
        <v>1004</v>
      </c>
      <c r="E636" s="17" t="s">
        <v>6</v>
      </c>
      <c r="F636" s="25">
        <v>2065</v>
      </c>
      <c r="G636" s="26">
        <v>286006.92906156898</v>
      </c>
    </row>
    <row r="637" spans="1:7" x14ac:dyDescent="0.35">
      <c r="A637" s="9">
        <f xml:space="preserve"> ROW( scalarDataframe[[#This Row],[row_id]] ) - ROW( scalarDataframe[[#Headers],[row_id]] )</f>
        <v>636</v>
      </c>
      <c r="B637" s="16" t="str">
        <f xml:space="preserve"> INDEX( co_scalarInfo[scalarType], MATCH( scalarDataframe[[#This Row],[scalarName]],  co_scalarInfo[scalarName], 0 ) )</f>
        <v>physScalar</v>
      </c>
      <c r="C637" s="44" t="str">
        <f xml:space="preserve"> INDEX( co_scalarInfo[scalarLabel], MATCH( scalarDataframe[[#This Row],[scalarName]], co_scalarInfo[scalarName], 0 ) )</f>
        <v>Asphalt Lane Miles</v>
      </c>
      <c r="D637" s="24" t="s">
        <v>1004</v>
      </c>
      <c r="E637" s="17" t="s">
        <v>7</v>
      </c>
      <c r="F637" s="25">
        <v>2065</v>
      </c>
      <c r="G637" s="26">
        <v>192526.71769571205</v>
      </c>
    </row>
    <row r="638" spans="1:7" x14ac:dyDescent="0.35">
      <c r="A638" s="9">
        <f xml:space="preserve"> ROW( scalarDataframe[[#This Row],[row_id]] ) - ROW( scalarDataframe[[#Headers],[row_id]] )</f>
        <v>637</v>
      </c>
      <c r="B638" s="16" t="str">
        <f xml:space="preserve"> INDEX( co_scalarInfo[scalarType], MATCH( scalarDataframe[[#This Row],[scalarName]],  co_scalarInfo[scalarName], 0 ) )</f>
        <v>physScalar</v>
      </c>
      <c r="C638" s="44" t="str">
        <f xml:space="preserve"> INDEX( co_scalarInfo[scalarLabel], MATCH( scalarDataframe[[#This Row],[scalarName]], co_scalarInfo[scalarName], 0 ) )</f>
        <v>Asphalt Lane Miles</v>
      </c>
      <c r="D638" s="24" t="s">
        <v>1004</v>
      </c>
      <c r="E638" s="17" t="s">
        <v>8</v>
      </c>
      <c r="F638" s="25">
        <v>2065</v>
      </c>
      <c r="G638" s="26">
        <v>116423.82845335787</v>
      </c>
    </row>
    <row r="639" spans="1:7" x14ac:dyDescent="0.35">
      <c r="A639" s="9">
        <f xml:space="preserve"> ROW( scalarDataframe[[#This Row],[row_id]] ) - ROW( scalarDataframe[[#Headers],[row_id]] )</f>
        <v>638</v>
      </c>
      <c r="B639" s="16" t="str">
        <f xml:space="preserve"> INDEX( co_scalarInfo[scalarType], MATCH( scalarDataframe[[#This Row],[scalarName]],  co_scalarInfo[scalarName], 0 ) )</f>
        <v>physScalar</v>
      </c>
      <c r="C639" s="44" t="str">
        <f xml:space="preserve"> INDEX( co_scalarInfo[scalarLabel], MATCH( scalarDataframe[[#This Row],[scalarName]], co_scalarInfo[scalarName], 0 ) )</f>
        <v>Asphalt Lane Miles</v>
      </c>
      <c r="D639" s="24" t="s">
        <v>1004</v>
      </c>
      <c r="E639" s="17" t="s">
        <v>9</v>
      </c>
      <c r="F639" s="25">
        <v>2065</v>
      </c>
      <c r="G639" s="26">
        <v>64218.221156922475</v>
      </c>
    </row>
    <row r="640" spans="1:7" x14ac:dyDescent="0.35">
      <c r="A640" s="9">
        <f xml:space="preserve"> ROW( scalarDataframe[[#This Row],[row_id]] ) - ROW( scalarDataframe[[#Headers],[row_id]] )</f>
        <v>639</v>
      </c>
      <c r="B640" s="16" t="str">
        <f xml:space="preserve"> INDEX( co_scalarInfo[scalarType], MATCH( scalarDataframe[[#This Row],[scalarName]],  co_scalarInfo[scalarName], 0 ) )</f>
        <v>physScalar</v>
      </c>
      <c r="C640" s="44" t="str">
        <f xml:space="preserve"> INDEX( co_scalarInfo[scalarLabel], MATCH( scalarDataframe[[#This Row],[scalarName]], co_scalarInfo[scalarName], 0 ) )</f>
        <v>Asphalt Lane Miles</v>
      </c>
      <c r="D640" s="24" t="s">
        <v>1004</v>
      </c>
      <c r="E640" s="17" t="s">
        <v>10</v>
      </c>
      <c r="F640" s="25">
        <v>2065</v>
      </c>
      <c r="G640" s="26">
        <v>341919.61241713847</v>
      </c>
    </row>
    <row r="641" spans="1:7" x14ac:dyDescent="0.35">
      <c r="A641" s="9">
        <f xml:space="preserve"> ROW( scalarDataframe[[#This Row],[row_id]] ) - ROW( scalarDataframe[[#Headers],[row_id]] )</f>
        <v>640</v>
      </c>
      <c r="B641" s="16" t="str">
        <f xml:space="preserve"> INDEX( co_scalarInfo[scalarType], MATCH( scalarDataframe[[#This Row],[scalarName]],  co_scalarInfo[scalarName], 0 ) )</f>
        <v>physScalar</v>
      </c>
      <c r="C641" s="44" t="str">
        <f xml:space="preserve"> INDEX( co_scalarInfo[scalarLabel], MATCH( scalarDataframe[[#This Row],[scalarName]], co_scalarInfo[scalarName], 0 ) )</f>
        <v>Asphalt Lane Miles</v>
      </c>
      <c r="D641" s="24" t="s">
        <v>1004</v>
      </c>
      <c r="E641" s="17" t="s">
        <v>11</v>
      </c>
      <c r="F641" s="25">
        <v>2065</v>
      </c>
      <c r="G641" s="26">
        <v>168381.86865958094</v>
      </c>
    </row>
    <row r="642" spans="1:7" x14ac:dyDescent="0.35">
      <c r="A642" s="9">
        <f xml:space="preserve"> ROW( scalarDataframe[[#This Row],[row_id]] ) - ROW( scalarDataframe[[#Headers],[row_id]] )</f>
        <v>641</v>
      </c>
      <c r="B642" s="16" t="str">
        <f xml:space="preserve"> INDEX( co_scalarInfo[scalarType], MATCH( scalarDataframe[[#This Row],[scalarName]],  co_scalarInfo[scalarName], 0 ) )</f>
        <v>physScalar</v>
      </c>
      <c r="C642" s="44" t="str">
        <f xml:space="preserve"> INDEX( co_scalarInfo[scalarLabel], MATCH( scalarDataframe[[#This Row],[scalarName]], co_scalarInfo[scalarName], 0 ) )</f>
        <v>Asphalt Lane Miles</v>
      </c>
      <c r="D642" s="24" t="s">
        <v>1004</v>
      </c>
      <c r="E642" s="17" t="s">
        <v>12</v>
      </c>
      <c r="F642" s="25">
        <v>2065</v>
      </c>
      <c r="G642" s="26">
        <v>180492.42935059752</v>
      </c>
    </row>
    <row r="643" spans="1:7" x14ac:dyDescent="0.35">
      <c r="A643" s="9">
        <f xml:space="preserve"> ROW( scalarDataframe[[#This Row],[row_id]] ) - ROW( scalarDataframe[[#Headers],[row_id]] )</f>
        <v>642</v>
      </c>
      <c r="B643" s="16" t="str">
        <f xml:space="preserve"> INDEX( co_scalarInfo[scalarType], MATCH( scalarDataframe[[#This Row],[scalarName]],  co_scalarInfo[scalarName], 0 ) )</f>
        <v>physScalar</v>
      </c>
      <c r="C643" s="44" t="str">
        <f xml:space="preserve"> INDEX( co_scalarInfo[scalarLabel], MATCH( scalarDataframe[[#This Row],[scalarName]], co_scalarInfo[scalarName], 0 ) )</f>
        <v>Asphalt Lane Miles</v>
      </c>
      <c r="D643" s="24" t="s">
        <v>1004</v>
      </c>
      <c r="E643" s="17" t="s">
        <v>13</v>
      </c>
      <c r="F643" s="25">
        <v>2065</v>
      </c>
      <c r="G643" s="26">
        <v>1349969.6067948786</v>
      </c>
    </row>
    <row r="644" spans="1:7" x14ac:dyDescent="0.35">
      <c r="A644" s="9">
        <f xml:space="preserve"> ROW( scalarDataframe[[#This Row],[row_id]] ) - ROW( scalarDataframe[[#Headers],[row_id]] )</f>
        <v>643</v>
      </c>
      <c r="B644" s="16" t="str">
        <f xml:space="preserve"> INDEX( co_scalarInfo[scalarType], MATCH( scalarDataframe[[#This Row],[scalarName]],  co_scalarInfo[scalarName], 0 ) )</f>
        <v>physScalar</v>
      </c>
      <c r="C644" s="44" t="str">
        <f xml:space="preserve"> INDEX( co_scalarInfo[scalarLabel], MATCH( scalarDataframe[[#This Row],[scalarName]], co_scalarInfo[scalarName], 0 ) )</f>
        <v>Asphalt Lane Miles</v>
      </c>
      <c r="D644" s="24" t="s">
        <v>1004</v>
      </c>
      <c r="E644" s="17" t="s">
        <v>6</v>
      </c>
      <c r="F644" s="25">
        <v>2070</v>
      </c>
      <c r="G644" s="26">
        <v>286006.92906156898</v>
      </c>
    </row>
    <row r="645" spans="1:7" x14ac:dyDescent="0.35">
      <c r="A645" s="9">
        <f xml:space="preserve"> ROW( scalarDataframe[[#This Row],[row_id]] ) - ROW( scalarDataframe[[#Headers],[row_id]] )</f>
        <v>644</v>
      </c>
      <c r="B645" s="16" t="str">
        <f xml:space="preserve"> INDEX( co_scalarInfo[scalarType], MATCH( scalarDataframe[[#This Row],[scalarName]],  co_scalarInfo[scalarName], 0 ) )</f>
        <v>physScalar</v>
      </c>
      <c r="C645" s="44" t="str">
        <f xml:space="preserve"> INDEX( co_scalarInfo[scalarLabel], MATCH( scalarDataframe[[#This Row],[scalarName]], co_scalarInfo[scalarName], 0 ) )</f>
        <v>Asphalt Lane Miles</v>
      </c>
      <c r="D645" s="24" t="s">
        <v>1004</v>
      </c>
      <c r="E645" s="17" t="s">
        <v>7</v>
      </c>
      <c r="F645" s="25">
        <v>2070</v>
      </c>
      <c r="G645" s="26">
        <v>192526.71769571205</v>
      </c>
    </row>
    <row r="646" spans="1:7" x14ac:dyDescent="0.35">
      <c r="A646" s="9">
        <f xml:space="preserve"> ROW( scalarDataframe[[#This Row],[row_id]] ) - ROW( scalarDataframe[[#Headers],[row_id]] )</f>
        <v>645</v>
      </c>
      <c r="B646" s="16" t="str">
        <f xml:space="preserve"> INDEX( co_scalarInfo[scalarType], MATCH( scalarDataframe[[#This Row],[scalarName]],  co_scalarInfo[scalarName], 0 ) )</f>
        <v>physScalar</v>
      </c>
      <c r="C646" s="44" t="str">
        <f xml:space="preserve"> INDEX( co_scalarInfo[scalarLabel], MATCH( scalarDataframe[[#This Row],[scalarName]], co_scalarInfo[scalarName], 0 ) )</f>
        <v>Asphalt Lane Miles</v>
      </c>
      <c r="D646" s="24" t="s">
        <v>1004</v>
      </c>
      <c r="E646" s="17" t="s">
        <v>8</v>
      </c>
      <c r="F646" s="25">
        <v>2070</v>
      </c>
      <c r="G646" s="26">
        <v>116423.82845335787</v>
      </c>
    </row>
    <row r="647" spans="1:7" x14ac:dyDescent="0.35">
      <c r="A647" s="9">
        <f xml:space="preserve"> ROW( scalarDataframe[[#This Row],[row_id]] ) - ROW( scalarDataframe[[#Headers],[row_id]] )</f>
        <v>646</v>
      </c>
      <c r="B647" s="16" t="str">
        <f xml:space="preserve"> INDEX( co_scalarInfo[scalarType], MATCH( scalarDataframe[[#This Row],[scalarName]],  co_scalarInfo[scalarName], 0 ) )</f>
        <v>physScalar</v>
      </c>
      <c r="C647" s="44" t="str">
        <f xml:space="preserve"> INDEX( co_scalarInfo[scalarLabel], MATCH( scalarDataframe[[#This Row],[scalarName]], co_scalarInfo[scalarName], 0 ) )</f>
        <v>Asphalt Lane Miles</v>
      </c>
      <c r="D647" s="24" t="s">
        <v>1004</v>
      </c>
      <c r="E647" s="17" t="s">
        <v>9</v>
      </c>
      <c r="F647" s="25">
        <v>2070</v>
      </c>
      <c r="G647" s="26">
        <v>64218.221156922475</v>
      </c>
    </row>
    <row r="648" spans="1:7" x14ac:dyDescent="0.35">
      <c r="A648" s="9">
        <f xml:space="preserve"> ROW( scalarDataframe[[#This Row],[row_id]] ) - ROW( scalarDataframe[[#Headers],[row_id]] )</f>
        <v>647</v>
      </c>
      <c r="B648" s="16" t="str">
        <f xml:space="preserve"> INDEX( co_scalarInfo[scalarType], MATCH( scalarDataframe[[#This Row],[scalarName]],  co_scalarInfo[scalarName], 0 ) )</f>
        <v>physScalar</v>
      </c>
      <c r="C648" s="44" t="str">
        <f xml:space="preserve"> INDEX( co_scalarInfo[scalarLabel], MATCH( scalarDataframe[[#This Row],[scalarName]], co_scalarInfo[scalarName], 0 ) )</f>
        <v>Asphalt Lane Miles</v>
      </c>
      <c r="D648" s="24" t="s">
        <v>1004</v>
      </c>
      <c r="E648" s="17" t="s">
        <v>10</v>
      </c>
      <c r="F648" s="25">
        <v>2070</v>
      </c>
      <c r="G648" s="26">
        <v>341919.61241713847</v>
      </c>
    </row>
    <row r="649" spans="1:7" x14ac:dyDescent="0.35">
      <c r="A649" s="9">
        <f xml:space="preserve"> ROW( scalarDataframe[[#This Row],[row_id]] ) - ROW( scalarDataframe[[#Headers],[row_id]] )</f>
        <v>648</v>
      </c>
      <c r="B649" s="16" t="str">
        <f xml:space="preserve"> INDEX( co_scalarInfo[scalarType], MATCH( scalarDataframe[[#This Row],[scalarName]],  co_scalarInfo[scalarName], 0 ) )</f>
        <v>physScalar</v>
      </c>
      <c r="C649" s="44" t="str">
        <f xml:space="preserve"> INDEX( co_scalarInfo[scalarLabel], MATCH( scalarDataframe[[#This Row],[scalarName]], co_scalarInfo[scalarName], 0 ) )</f>
        <v>Asphalt Lane Miles</v>
      </c>
      <c r="D649" s="24" t="s">
        <v>1004</v>
      </c>
      <c r="E649" s="17" t="s">
        <v>11</v>
      </c>
      <c r="F649" s="25">
        <v>2070</v>
      </c>
      <c r="G649" s="26">
        <v>168381.86865958094</v>
      </c>
    </row>
    <row r="650" spans="1:7" x14ac:dyDescent="0.35">
      <c r="A650" s="9">
        <f xml:space="preserve"> ROW( scalarDataframe[[#This Row],[row_id]] ) - ROW( scalarDataframe[[#Headers],[row_id]] )</f>
        <v>649</v>
      </c>
      <c r="B650" s="16" t="str">
        <f xml:space="preserve"> INDEX( co_scalarInfo[scalarType], MATCH( scalarDataframe[[#This Row],[scalarName]],  co_scalarInfo[scalarName], 0 ) )</f>
        <v>physScalar</v>
      </c>
      <c r="C650" s="44" t="str">
        <f xml:space="preserve"> INDEX( co_scalarInfo[scalarLabel], MATCH( scalarDataframe[[#This Row],[scalarName]], co_scalarInfo[scalarName], 0 ) )</f>
        <v>Asphalt Lane Miles</v>
      </c>
      <c r="D650" s="24" t="s">
        <v>1004</v>
      </c>
      <c r="E650" s="17" t="s">
        <v>12</v>
      </c>
      <c r="F650" s="25">
        <v>2070</v>
      </c>
      <c r="G650" s="26">
        <v>180492.42935059752</v>
      </c>
    </row>
    <row r="651" spans="1:7" x14ac:dyDescent="0.35">
      <c r="A651" s="9">
        <f xml:space="preserve"> ROW( scalarDataframe[[#This Row],[row_id]] ) - ROW( scalarDataframe[[#Headers],[row_id]] )</f>
        <v>650</v>
      </c>
      <c r="B651" s="16" t="str">
        <f xml:space="preserve"> INDEX( co_scalarInfo[scalarType], MATCH( scalarDataframe[[#This Row],[scalarName]],  co_scalarInfo[scalarName], 0 ) )</f>
        <v>physScalar</v>
      </c>
      <c r="C651" s="44" t="str">
        <f xml:space="preserve"> INDEX( co_scalarInfo[scalarLabel], MATCH( scalarDataframe[[#This Row],[scalarName]], co_scalarInfo[scalarName], 0 ) )</f>
        <v>Asphalt Lane Miles</v>
      </c>
      <c r="D651" s="24" t="s">
        <v>1004</v>
      </c>
      <c r="E651" s="17" t="s">
        <v>13</v>
      </c>
      <c r="F651" s="25">
        <v>2070</v>
      </c>
      <c r="G651" s="26">
        <v>1349969.6067948786</v>
      </c>
    </row>
    <row r="652" spans="1:7" x14ac:dyDescent="0.35">
      <c r="A652" s="9">
        <f xml:space="preserve"> ROW( scalarDataframe[[#This Row],[row_id]] ) - ROW( scalarDataframe[[#Headers],[row_id]] )</f>
        <v>651</v>
      </c>
      <c r="B652" s="16" t="str">
        <f xml:space="preserve"> INDEX( co_scalarInfo[scalarType], MATCH( scalarDataframe[[#This Row],[scalarName]],  co_scalarInfo[scalarName], 0 ) )</f>
        <v>physScalar</v>
      </c>
      <c r="C652" s="44" t="str">
        <f xml:space="preserve"> INDEX( co_scalarInfo[scalarLabel], MATCH( scalarDataframe[[#This Row],[scalarName]], co_scalarInfo[scalarName], 0 ) )</f>
        <v>Asphalt Lane Miles</v>
      </c>
      <c r="D652" s="24" t="s">
        <v>1004</v>
      </c>
      <c r="E652" s="17" t="s">
        <v>6</v>
      </c>
      <c r="F652" s="25">
        <v>2075</v>
      </c>
      <c r="G652" s="26">
        <v>286006.92906156898</v>
      </c>
    </row>
    <row r="653" spans="1:7" x14ac:dyDescent="0.35">
      <c r="A653" s="9">
        <f xml:space="preserve"> ROW( scalarDataframe[[#This Row],[row_id]] ) - ROW( scalarDataframe[[#Headers],[row_id]] )</f>
        <v>652</v>
      </c>
      <c r="B653" s="16" t="str">
        <f xml:space="preserve"> INDEX( co_scalarInfo[scalarType], MATCH( scalarDataframe[[#This Row],[scalarName]],  co_scalarInfo[scalarName], 0 ) )</f>
        <v>physScalar</v>
      </c>
      <c r="C653" s="44" t="str">
        <f xml:space="preserve"> INDEX( co_scalarInfo[scalarLabel], MATCH( scalarDataframe[[#This Row],[scalarName]], co_scalarInfo[scalarName], 0 ) )</f>
        <v>Asphalt Lane Miles</v>
      </c>
      <c r="D653" s="24" t="s">
        <v>1004</v>
      </c>
      <c r="E653" s="17" t="s">
        <v>7</v>
      </c>
      <c r="F653" s="25">
        <v>2075</v>
      </c>
      <c r="G653" s="26">
        <v>192526.71769571205</v>
      </c>
    </row>
    <row r="654" spans="1:7" x14ac:dyDescent="0.35">
      <c r="A654" s="9">
        <f xml:space="preserve"> ROW( scalarDataframe[[#This Row],[row_id]] ) - ROW( scalarDataframe[[#Headers],[row_id]] )</f>
        <v>653</v>
      </c>
      <c r="B654" s="16" t="str">
        <f xml:space="preserve"> INDEX( co_scalarInfo[scalarType], MATCH( scalarDataframe[[#This Row],[scalarName]],  co_scalarInfo[scalarName], 0 ) )</f>
        <v>physScalar</v>
      </c>
      <c r="C654" s="44" t="str">
        <f xml:space="preserve"> INDEX( co_scalarInfo[scalarLabel], MATCH( scalarDataframe[[#This Row],[scalarName]], co_scalarInfo[scalarName], 0 ) )</f>
        <v>Asphalt Lane Miles</v>
      </c>
      <c r="D654" s="24" t="s">
        <v>1004</v>
      </c>
      <c r="E654" s="17" t="s">
        <v>8</v>
      </c>
      <c r="F654" s="25">
        <v>2075</v>
      </c>
      <c r="G654" s="26">
        <v>116423.82845335787</v>
      </c>
    </row>
    <row r="655" spans="1:7" x14ac:dyDescent="0.35">
      <c r="A655" s="9">
        <f xml:space="preserve"> ROW( scalarDataframe[[#This Row],[row_id]] ) - ROW( scalarDataframe[[#Headers],[row_id]] )</f>
        <v>654</v>
      </c>
      <c r="B655" s="16" t="str">
        <f xml:space="preserve"> INDEX( co_scalarInfo[scalarType], MATCH( scalarDataframe[[#This Row],[scalarName]],  co_scalarInfo[scalarName], 0 ) )</f>
        <v>physScalar</v>
      </c>
      <c r="C655" s="44" t="str">
        <f xml:space="preserve"> INDEX( co_scalarInfo[scalarLabel], MATCH( scalarDataframe[[#This Row],[scalarName]], co_scalarInfo[scalarName], 0 ) )</f>
        <v>Asphalt Lane Miles</v>
      </c>
      <c r="D655" s="24" t="s">
        <v>1004</v>
      </c>
      <c r="E655" s="17" t="s">
        <v>9</v>
      </c>
      <c r="F655" s="25">
        <v>2075</v>
      </c>
      <c r="G655" s="26">
        <v>64218.221156922475</v>
      </c>
    </row>
    <row r="656" spans="1:7" x14ac:dyDescent="0.35">
      <c r="A656" s="9">
        <f xml:space="preserve"> ROW( scalarDataframe[[#This Row],[row_id]] ) - ROW( scalarDataframe[[#Headers],[row_id]] )</f>
        <v>655</v>
      </c>
      <c r="B656" s="16" t="str">
        <f xml:space="preserve"> INDEX( co_scalarInfo[scalarType], MATCH( scalarDataframe[[#This Row],[scalarName]],  co_scalarInfo[scalarName], 0 ) )</f>
        <v>physScalar</v>
      </c>
      <c r="C656" s="44" t="str">
        <f xml:space="preserve"> INDEX( co_scalarInfo[scalarLabel], MATCH( scalarDataframe[[#This Row],[scalarName]], co_scalarInfo[scalarName], 0 ) )</f>
        <v>Asphalt Lane Miles</v>
      </c>
      <c r="D656" s="24" t="s">
        <v>1004</v>
      </c>
      <c r="E656" s="17" t="s">
        <v>10</v>
      </c>
      <c r="F656" s="25">
        <v>2075</v>
      </c>
      <c r="G656" s="26">
        <v>341919.61241713847</v>
      </c>
    </row>
    <row r="657" spans="1:7" x14ac:dyDescent="0.35">
      <c r="A657" s="9">
        <f xml:space="preserve"> ROW( scalarDataframe[[#This Row],[row_id]] ) - ROW( scalarDataframe[[#Headers],[row_id]] )</f>
        <v>656</v>
      </c>
      <c r="B657" s="16" t="str">
        <f xml:space="preserve"> INDEX( co_scalarInfo[scalarType], MATCH( scalarDataframe[[#This Row],[scalarName]],  co_scalarInfo[scalarName], 0 ) )</f>
        <v>physScalar</v>
      </c>
      <c r="C657" s="44" t="str">
        <f xml:space="preserve"> INDEX( co_scalarInfo[scalarLabel], MATCH( scalarDataframe[[#This Row],[scalarName]], co_scalarInfo[scalarName], 0 ) )</f>
        <v>Asphalt Lane Miles</v>
      </c>
      <c r="D657" s="24" t="s">
        <v>1004</v>
      </c>
      <c r="E657" s="17" t="s">
        <v>11</v>
      </c>
      <c r="F657" s="25">
        <v>2075</v>
      </c>
      <c r="G657" s="26">
        <v>168381.86865958094</v>
      </c>
    </row>
    <row r="658" spans="1:7" x14ac:dyDescent="0.35">
      <c r="A658" s="9">
        <f xml:space="preserve"> ROW( scalarDataframe[[#This Row],[row_id]] ) - ROW( scalarDataframe[[#Headers],[row_id]] )</f>
        <v>657</v>
      </c>
      <c r="B658" s="16" t="str">
        <f xml:space="preserve"> INDEX( co_scalarInfo[scalarType], MATCH( scalarDataframe[[#This Row],[scalarName]],  co_scalarInfo[scalarName], 0 ) )</f>
        <v>physScalar</v>
      </c>
      <c r="C658" s="44" t="str">
        <f xml:space="preserve"> INDEX( co_scalarInfo[scalarLabel], MATCH( scalarDataframe[[#This Row],[scalarName]], co_scalarInfo[scalarName], 0 ) )</f>
        <v>Asphalt Lane Miles</v>
      </c>
      <c r="D658" s="24" t="s">
        <v>1004</v>
      </c>
      <c r="E658" s="17" t="s">
        <v>12</v>
      </c>
      <c r="F658" s="25">
        <v>2075</v>
      </c>
      <c r="G658" s="26">
        <v>180492.42935059752</v>
      </c>
    </row>
    <row r="659" spans="1:7" x14ac:dyDescent="0.35">
      <c r="A659" s="9">
        <f xml:space="preserve"> ROW( scalarDataframe[[#This Row],[row_id]] ) - ROW( scalarDataframe[[#Headers],[row_id]] )</f>
        <v>658</v>
      </c>
      <c r="B659" s="16" t="str">
        <f xml:space="preserve"> INDEX( co_scalarInfo[scalarType], MATCH( scalarDataframe[[#This Row],[scalarName]],  co_scalarInfo[scalarName], 0 ) )</f>
        <v>physScalar</v>
      </c>
      <c r="C659" s="44" t="str">
        <f xml:space="preserve"> INDEX( co_scalarInfo[scalarLabel], MATCH( scalarDataframe[[#This Row],[scalarName]], co_scalarInfo[scalarName], 0 ) )</f>
        <v>Asphalt Lane Miles</v>
      </c>
      <c r="D659" s="24" t="s">
        <v>1004</v>
      </c>
      <c r="E659" s="17" t="s">
        <v>13</v>
      </c>
      <c r="F659" s="25">
        <v>2075</v>
      </c>
      <c r="G659" s="26">
        <v>1349969.6067948786</v>
      </c>
    </row>
    <row r="660" spans="1:7" x14ac:dyDescent="0.35">
      <c r="A660" s="9">
        <f xml:space="preserve"> ROW( scalarDataframe[[#This Row],[row_id]] ) - ROW( scalarDataframe[[#Headers],[row_id]] )</f>
        <v>659</v>
      </c>
      <c r="B660" s="16" t="str">
        <f xml:space="preserve"> INDEX( co_scalarInfo[scalarType], MATCH( scalarDataframe[[#This Row],[scalarName]],  co_scalarInfo[scalarName], 0 ) )</f>
        <v>physScalar</v>
      </c>
      <c r="C660" s="44" t="str">
        <f xml:space="preserve"> INDEX( co_scalarInfo[scalarLabel], MATCH( scalarDataframe[[#This Row],[scalarName]], co_scalarInfo[scalarName], 0 ) )</f>
        <v>Asphalt Lane Miles</v>
      </c>
      <c r="D660" s="24" t="s">
        <v>1004</v>
      </c>
      <c r="E660" s="17" t="s">
        <v>6</v>
      </c>
      <c r="F660" s="25">
        <v>2080</v>
      </c>
      <c r="G660" s="26">
        <v>286006.92906156898</v>
      </c>
    </row>
    <row r="661" spans="1:7" x14ac:dyDescent="0.35">
      <c r="A661" s="9">
        <f xml:space="preserve"> ROW( scalarDataframe[[#This Row],[row_id]] ) - ROW( scalarDataframe[[#Headers],[row_id]] )</f>
        <v>660</v>
      </c>
      <c r="B661" s="16" t="str">
        <f xml:space="preserve"> INDEX( co_scalarInfo[scalarType], MATCH( scalarDataframe[[#This Row],[scalarName]],  co_scalarInfo[scalarName], 0 ) )</f>
        <v>physScalar</v>
      </c>
      <c r="C661" s="44" t="str">
        <f xml:space="preserve"> INDEX( co_scalarInfo[scalarLabel], MATCH( scalarDataframe[[#This Row],[scalarName]], co_scalarInfo[scalarName], 0 ) )</f>
        <v>Asphalt Lane Miles</v>
      </c>
      <c r="D661" s="24" t="s">
        <v>1004</v>
      </c>
      <c r="E661" s="17" t="s">
        <v>7</v>
      </c>
      <c r="F661" s="25">
        <v>2080</v>
      </c>
      <c r="G661" s="26">
        <v>192526.71769571205</v>
      </c>
    </row>
    <row r="662" spans="1:7" x14ac:dyDescent="0.35">
      <c r="A662" s="9">
        <f xml:space="preserve"> ROW( scalarDataframe[[#This Row],[row_id]] ) - ROW( scalarDataframe[[#Headers],[row_id]] )</f>
        <v>661</v>
      </c>
      <c r="B662" s="16" t="str">
        <f xml:space="preserve"> INDEX( co_scalarInfo[scalarType], MATCH( scalarDataframe[[#This Row],[scalarName]],  co_scalarInfo[scalarName], 0 ) )</f>
        <v>physScalar</v>
      </c>
      <c r="C662" s="44" t="str">
        <f xml:space="preserve"> INDEX( co_scalarInfo[scalarLabel], MATCH( scalarDataframe[[#This Row],[scalarName]], co_scalarInfo[scalarName], 0 ) )</f>
        <v>Asphalt Lane Miles</v>
      </c>
      <c r="D662" s="24" t="s">
        <v>1004</v>
      </c>
      <c r="E662" s="17" t="s">
        <v>8</v>
      </c>
      <c r="F662" s="25">
        <v>2080</v>
      </c>
      <c r="G662" s="26">
        <v>116423.82845335787</v>
      </c>
    </row>
    <row r="663" spans="1:7" x14ac:dyDescent="0.35">
      <c r="A663" s="9">
        <f xml:space="preserve"> ROW( scalarDataframe[[#This Row],[row_id]] ) - ROW( scalarDataframe[[#Headers],[row_id]] )</f>
        <v>662</v>
      </c>
      <c r="B663" s="16" t="str">
        <f xml:space="preserve"> INDEX( co_scalarInfo[scalarType], MATCH( scalarDataframe[[#This Row],[scalarName]],  co_scalarInfo[scalarName], 0 ) )</f>
        <v>physScalar</v>
      </c>
      <c r="C663" s="44" t="str">
        <f xml:space="preserve"> INDEX( co_scalarInfo[scalarLabel], MATCH( scalarDataframe[[#This Row],[scalarName]], co_scalarInfo[scalarName], 0 ) )</f>
        <v>Asphalt Lane Miles</v>
      </c>
      <c r="D663" s="24" t="s">
        <v>1004</v>
      </c>
      <c r="E663" s="17" t="s">
        <v>9</v>
      </c>
      <c r="F663" s="25">
        <v>2080</v>
      </c>
      <c r="G663" s="26">
        <v>64218.221156922475</v>
      </c>
    </row>
    <row r="664" spans="1:7" x14ac:dyDescent="0.35">
      <c r="A664" s="9">
        <f xml:space="preserve"> ROW( scalarDataframe[[#This Row],[row_id]] ) - ROW( scalarDataframe[[#Headers],[row_id]] )</f>
        <v>663</v>
      </c>
      <c r="B664" s="16" t="str">
        <f xml:space="preserve"> INDEX( co_scalarInfo[scalarType], MATCH( scalarDataframe[[#This Row],[scalarName]],  co_scalarInfo[scalarName], 0 ) )</f>
        <v>physScalar</v>
      </c>
      <c r="C664" s="44" t="str">
        <f xml:space="preserve"> INDEX( co_scalarInfo[scalarLabel], MATCH( scalarDataframe[[#This Row],[scalarName]], co_scalarInfo[scalarName], 0 ) )</f>
        <v>Asphalt Lane Miles</v>
      </c>
      <c r="D664" s="24" t="s">
        <v>1004</v>
      </c>
      <c r="E664" s="17" t="s">
        <v>10</v>
      </c>
      <c r="F664" s="25">
        <v>2080</v>
      </c>
      <c r="G664" s="26">
        <v>341919.61241713847</v>
      </c>
    </row>
    <row r="665" spans="1:7" x14ac:dyDescent="0.35">
      <c r="A665" s="9">
        <f xml:space="preserve"> ROW( scalarDataframe[[#This Row],[row_id]] ) - ROW( scalarDataframe[[#Headers],[row_id]] )</f>
        <v>664</v>
      </c>
      <c r="B665" s="16" t="str">
        <f xml:space="preserve"> INDEX( co_scalarInfo[scalarType], MATCH( scalarDataframe[[#This Row],[scalarName]],  co_scalarInfo[scalarName], 0 ) )</f>
        <v>physScalar</v>
      </c>
      <c r="C665" s="44" t="str">
        <f xml:space="preserve"> INDEX( co_scalarInfo[scalarLabel], MATCH( scalarDataframe[[#This Row],[scalarName]], co_scalarInfo[scalarName], 0 ) )</f>
        <v>Asphalt Lane Miles</v>
      </c>
      <c r="D665" s="24" t="s">
        <v>1004</v>
      </c>
      <c r="E665" s="17" t="s">
        <v>11</v>
      </c>
      <c r="F665" s="25">
        <v>2080</v>
      </c>
      <c r="G665" s="26">
        <v>168381.86865958094</v>
      </c>
    </row>
    <row r="666" spans="1:7" x14ac:dyDescent="0.35">
      <c r="A666" s="9">
        <f xml:space="preserve"> ROW( scalarDataframe[[#This Row],[row_id]] ) - ROW( scalarDataframe[[#Headers],[row_id]] )</f>
        <v>665</v>
      </c>
      <c r="B666" s="16" t="str">
        <f xml:space="preserve"> INDEX( co_scalarInfo[scalarType], MATCH( scalarDataframe[[#This Row],[scalarName]],  co_scalarInfo[scalarName], 0 ) )</f>
        <v>physScalar</v>
      </c>
      <c r="C666" s="44" t="str">
        <f xml:space="preserve"> INDEX( co_scalarInfo[scalarLabel], MATCH( scalarDataframe[[#This Row],[scalarName]], co_scalarInfo[scalarName], 0 ) )</f>
        <v>Asphalt Lane Miles</v>
      </c>
      <c r="D666" s="24" t="s">
        <v>1004</v>
      </c>
      <c r="E666" s="17" t="s">
        <v>12</v>
      </c>
      <c r="F666" s="25">
        <v>2080</v>
      </c>
      <c r="G666" s="26">
        <v>180492.42935059752</v>
      </c>
    </row>
    <row r="667" spans="1:7" x14ac:dyDescent="0.35">
      <c r="A667" s="9">
        <f xml:space="preserve"> ROW( scalarDataframe[[#This Row],[row_id]] ) - ROW( scalarDataframe[[#Headers],[row_id]] )</f>
        <v>666</v>
      </c>
      <c r="B667" s="16" t="str">
        <f xml:space="preserve"> INDEX( co_scalarInfo[scalarType], MATCH( scalarDataframe[[#This Row],[scalarName]],  co_scalarInfo[scalarName], 0 ) )</f>
        <v>physScalar</v>
      </c>
      <c r="C667" s="44" t="str">
        <f xml:space="preserve"> INDEX( co_scalarInfo[scalarLabel], MATCH( scalarDataframe[[#This Row],[scalarName]], co_scalarInfo[scalarName], 0 ) )</f>
        <v>Asphalt Lane Miles</v>
      </c>
      <c r="D667" s="24" t="s">
        <v>1004</v>
      </c>
      <c r="E667" s="17" t="s">
        <v>13</v>
      </c>
      <c r="F667" s="25">
        <v>2080</v>
      </c>
      <c r="G667" s="26">
        <v>1349969.6067948786</v>
      </c>
    </row>
    <row r="668" spans="1:7" x14ac:dyDescent="0.35">
      <c r="A668" s="9">
        <f xml:space="preserve"> ROW( scalarDataframe[[#This Row],[row_id]] ) - ROW( scalarDataframe[[#Headers],[row_id]] )</f>
        <v>667</v>
      </c>
      <c r="B668" s="16" t="str">
        <f xml:space="preserve"> INDEX( co_scalarInfo[scalarType], MATCH( scalarDataframe[[#This Row],[scalarName]],  co_scalarInfo[scalarName], 0 ) )</f>
        <v>physScalar</v>
      </c>
      <c r="C668" s="44" t="str">
        <f xml:space="preserve"> INDEX( co_scalarInfo[scalarLabel], MATCH( scalarDataframe[[#This Row],[scalarName]], co_scalarInfo[scalarName], 0 ) )</f>
        <v>Asphalt Lane Miles</v>
      </c>
      <c r="D668" s="24" t="s">
        <v>1004</v>
      </c>
      <c r="E668" s="17" t="s">
        <v>6</v>
      </c>
      <c r="F668" s="25">
        <v>2085</v>
      </c>
      <c r="G668" s="26">
        <v>286006.92906156898</v>
      </c>
    </row>
    <row r="669" spans="1:7" x14ac:dyDescent="0.35">
      <c r="A669" s="9">
        <f xml:space="preserve"> ROW( scalarDataframe[[#This Row],[row_id]] ) - ROW( scalarDataframe[[#Headers],[row_id]] )</f>
        <v>668</v>
      </c>
      <c r="B669" s="16" t="str">
        <f xml:space="preserve"> INDEX( co_scalarInfo[scalarType], MATCH( scalarDataframe[[#This Row],[scalarName]],  co_scalarInfo[scalarName], 0 ) )</f>
        <v>physScalar</v>
      </c>
      <c r="C669" s="44" t="str">
        <f xml:space="preserve"> INDEX( co_scalarInfo[scalarLabel], MATCH( scalarDataframe[[#This Row],[scalarName]], co_scalarInfo[scalarName], 0 ) )</f>
        <v>Asphalt Lane Miles</v>
      </c>
      <c r="D669" s="24" t="s">
        <v>1004</v>
      </c>
      <c r="E669" s="17" t="s">
        <v>7</v>
      </c>
      <c r="F669" s="25">
        <v>2085</v>
      </c>
      <c r="G669" s="26">
        <v>192526.71769571205</v>
      </c>
    </row>
    <row r="670" spans="1:7" x14ac:dyDescent="0.35">
      <c r="A670" s="9">
        <f xml:space="preserve"> ROW( scalarDataframe[[#This Row],[row_id]] ) - ROW( scalarDataframe[[#Headers],[row_id]] )</f>
        <v>669</v>
      </c>
      <c r="B670" s="16" t="str">
        <f xml:space="preserve"> INDEX( co_scalarInfo[scalarType], MATCH( scalarDataframe[[#This Row],[scalarName]],  co_scalarInfo[scalarName], 0 ) )</f>
        <v>physScalar</v>
      </c>
      <c r="C670" s="44" t="str">
        <f xml:space="preserve"> INDEX( co_scalarInfo[scalarLabel], MATCH( scalarDataframe[[#This Row],[scalarName]], co_scalarInfo[scalarName], 0 ) )</f>
        <v>Asphalt Lane Miles</v>
      </c>
      <c r="D670" s="24" t="s">
        <v>1004</v>
      </c>
      <c r="E670" s="17" t="s">
        <v>8</v>
      </c>
      <c r="F670" s="25">
        <v>2085</v>
      </c>
      <c r="G670" s="26">
        <v>116423.82845335787</v>
      </c>
    </row>
    <row r="671" spans="1:7" x14ac:dyDescent="0.35">
      <c r="A671" s="9">
        <f xml:space="preserve"> ROW( scalarDataframe[[#This Row],[row_id]] ) - ROW( scalarDataframe[[#Headers],[row_id]] )</f>
        <v>670</v>
      </c>
      <c r="B671" s="16" t="str">
        <f xml:space="preserve"> INDEX( co_scalarInfo[scalarType], MATCH( scalarDataframe[[#This Row],[scalarName]],  co_scalarInfo[scalarName], 0 ) )</f>
        <v>physScalar</v>
      </c>
      <c r="C671" s="44" t="str">
        <f xml:space="preserve"> INDEX( co_scalarInfo[scalarLabel], MATCH( scalarDataframe[[#This Row],[scalarName]], co_scalarInfo[scalarName], 0 ) )</f>
        <v>Asphalt Lane Miles</v>
      </c>
      <c r="D671" s="24" t="s">
        <v>1004</v>
      </c>
      <c r="E671" s="17" t="s">
        <v>9</v>
      </c>
      <c r="F671" s="25">
        <v>2085</v>
      </c>
      <c r="G671" s="26">
        <v>64218.221156922475</v>
      </c>
    </row>
    <row r="672" spans="1:7" x14ac:dyDescent="0.35">
      <c r="A672" s="9">
        <f xml:space="preserve"> ROW( scalarDataframe[[#This Row],[row_id]] ) - ROW( scalarDataframe[[#Headers],[row_id]] )</f>
        <v>671</v>
      </c>
      <c r="B672" s="16" t="str">
        <f xml:space="preserve"> INDEX( co_scalarInfo[scalarType], MATCH( scalarDataframe[[#This Row],[scalarName]],  co_scalarInfo[scalarName], 0 ) )</f>
        <v>physScalar</v>
      </c>
      <c r="C672" s="44" t="str">
        <f xml:space="preserve"> INDEX( co_scalarInfo[scalarLabel], MATCH( scalarDataframe[[#This Row],[scalarName]], co_scalarInfo[scalarName], 0 ) )</f>
        <v>Asphalt Lane Miles</v>
      </c>
      <c r="D672" s="24" t="s">
        <v>1004</v>
      </c>
      <c r="E672" s="17" t="s">
        <v>10</v>
      </c>
      <c r="F672" s="25">
        <v>2085</v>
      </c>
      <c r="G672" s="26">
        <v>341919.61241713847</v>
      </c>
    </row>
    <row r="673" spans="1:7" x14ac:dyDescent="0.35">
      <c r="A673" s="9">
        <f xml:space="preserve"> ROW( scalarDataframe[[#This Row],[row_id]] ) - ROW( scalarDataframe[[#Headers],[row_id]] )</f>
        <v>672</v>
      </c>
      <c r="B673" s="16" t="str">
        <f xml:space="preserve"> INDEX( co_scalarInfo[scalarType], MATCH( scalarDataframe[[#This Row],[scalarName]],  co_scalarInfo[scalarName], 0 ) )</f>
        <v>physScalar</v>
      </c>
      <c r="C673" s="44" t="str">
        <f xml:space="preserve"> INDEX( co_scalarInfo[scalarLabel], MATCH( scalarDataframe[[#This Row],[scalarName]], co_scalarInfo[scalarName], 0 ) )</f>
        <v>Asphalt Lane Miles</v>
      </c>
      <c r="D673" s="24" t="s">
        <v>1004</v>
      </c>
      <c r="E673" s="17" t="s">
        <v>11</v>
      </c>
      <c r="F673" s="25">
        <v>2085</v>
      </c>
      <c r="G673" s="26">
        <v>168381.86865958094</v>
      </c>
    </row>
    <row r="674" spans="1:7" x14ac:dyDescent="0.35">
      <c r="A674" s="9">
        <f xml:space="preserve"> ROW( scalarDataframe[[#This Row],[row_id]] ) - ROW( scalarDataframe[[#Headers],[row_id]] )</f>
        <v>673</v>
      </c>
      <c r="B674" s="16" t="str">
        <f xml:space="preserve"> INDEX( co_scalarInfo[scalarType], MATCH( scalarDataframe[[#This Row],[scalarName]],  co_scalarInfo[scalarName], 0 ) )</f>
        <v>physScalar</v>
      </c>
      <c r="C674" s="44" t="str">
        <f xml:space="preserve"> INDEX( co_scalarInfo[scalarLabel], MATCH( scalarDataframe[[#This Row],[scalarName]], co_scalarInfo[scalarName], 0 ) )</f>
        <v>Asphalt Lane Miles</v>
      </c>
      <c r="D674" s="24" t="s">
        <v>1004</v>
      </c>
      <c r="E674" s="17" t="s">
        <v>12</v>
      </c>
      <c r="F674" s="25">
        <v>2085</v>
      </c>
      <c r="G674" s="26">
        <v>180492.42935059752</v>
      </c>
    </row>
    <row r="675" spans="1:7" x14ac:dyDescent="0.35">
      <c r="A675" s="9">
        <f xml:space="preserve"> ROW( scalarDataframe[[#This Row],[row_id]] ) - ROW( scalarDataframe[[#Headers],[row_id]] )</f>
        <v>674</v>
      </c>
      <c r="B675" s="16" t="str">
        <f xml:space="preserve"> INDEX( co_scalarInfo[scalarType], MATCH( scalarDataframe[[#This Row],[scalarName]],  co_scalarInfo[scalarName], 0 ) )</f>
        <v>physScalar</v>
      </c>
      <c r="C675" s="44" t="str">
        <f xml:space="preserve"> INDEX( co_scalarInfo[scalarLabel], MATCH( scalarDataframe[[#This Row],[scalarName]], co_scalarInfo[scalarName], 0 ) )</f>
        <v>Asphalt Lane Miles</v>
      </c>
      <c r="D675" s="24" t="s">
        <v>1004</v>
      </c>
      <c r="E675" s="17" t="s">
        <v>13</v>
      </c>
      <c r="F675" s="25">
        <v>2085</v>
      </c>
      <c r="G675" s="26">
        <v>1349969.6067948786</v>
      </c>
    </row>
    <row r="676" spans="1:7" x14ac:dyDescent="0.35">
      <c r="A676" s="9">
        <f xml:space="preserve"> ROW( scalarDataframe[[#This Row],[row_id]] ) - ROW( scalarDataframe[[#Headers],[row_id]] )</f>
        <v>675</v>
      </c>
      <c r="B676" s="16" t="str">
        <f xml:space="preserve"> INDEX( co_scalarInfo[scalarType], MATCH( scalarDataframe[[#This Row],[scalarName]],  co_scalarInfo[scalarName], 0 ) )</f>
        <v>physScalar</v>
      </c>
      <c r="C676" s="44" t="str">
        <f xml:space="preserve"> INDEX( co_scalarInfo[scalarLabel], MATCH( scalarDataframe[[#This Row],[scalarName]], co_scalarInfo[scalarName], 0 ) )</f>
        <v>Asphalt Lane Miles</v>
      </c>
      <c r="D676" s="24" t="s">
        <v>1004</v>
      </c>
      <c r="E676" s="17" t="s">
        <v>6</v>
      </c>
      <c r="F676" s="25">
        <v>2090</v>
      </c>
      <c r="G676" s="26">
        <v>286006.92906156898</v>
      </c>
    </row>
    <row r="677" spans="1:7" x14ac:dyDescent="0.35">
      <c r="A677" s="9">
        <f xml:space="preserve"> ROW( scalarDataframe[[#This Row],[row_id]] ) - ROW( scalarDataframe[[#Headers],[row_id]] )</f>
        <v>676</v>
      </c>
      <c r="B677" s="16" t="str">
        <f xml:space="preserve"> INDEX( co_scalarInfo[scalarType], MATCH( scalarDataframe[[#This Row],[scalarName]],  co_scalarInfo[scalarName], 0 ) )</f>
        <v>physScalar</v>
      </c>
      <c r="C677" s="44" t="str">
        <f xml:space="preserve"> INDEX( co_scalarInfo[scalarLabel], MATCH( scalarDataframe[[#This Row],[scalarName]], co_scalarInfo[scalarName], 0 ) )</f>
        <v>Asphalt Lane Miles</v>
      </c>
      <c r="D677" s="24" t="s">
        <v>1004</v>
      </c>
      <c r="E677" s="17" t="s">
        <v>7</v>
      </c>
      <c r="F677" s="25">
        <v>2090</v>
      </c>
      <c r="G677" s="26">
        <v>192526.71769571205</v>
      </c>
    </row>
    <row r="678" spans="1:7" x14ac:dyDescent="0.35">
      <c r="A678" s="9">
        <f xml:space="preserve"> ROW( scalarDataframe[[#This Row],[row_id]] ) - ROW( scalarDataframe[[#Headers],[row_id]] )</f>
        <v>677</v>
      </c>
      <c r="B678" s="16" t="str">
        <f xml:space="preserve"> INDEX( co_scalarInfo[scalarType], MATCH( scalarDataframe[[#This Row],[scalarName]],  co_scalarInfo[scalarName], 0 ) )</f>
        <v>physScalar</v>
      </c>
      <c r="C678" s="44" t="str">
        <f xml:space="preserve"> INDEX( co_scalarInfo[scalarLabel], MATCH( scalarDataframe[[#This Row],[scalarName]], co_scalarInfo[scalarName], 0 ) )</f>
        <v>Asphalt Lane Miles</v>
      </c>
      <c r="D678" s="24" t="s">
        <v>1004</v>
      </c>
      <c r="E678" s="17" t="s">
        <v>8</v>
      </c>
      <c r="F678" s="25">
        <v>2090</v>
      </c>
      <c r="G678" s="26">
        <v>116423.82845335787</v>
      </c>
    </row>
    <row r="679" spans="1:7" x14ac:dyDescent="0.35">
      <c r="A679" s="9">
        <f xml:space="preserve"> ROW( scalarDataframe[[#This Row],[row_id]] ) - ROW( scalarDataframe[[#Headers],[row_id]] )</f>
        <v>678</v>
      </c>
      <c r="B679" s="16" t="str">
        <f xml:space="preserve"> INDEX( co_scalarInfo[scalarType], MATCH( scalarDataframe[[#This Row],[scalarName]],  co_scalarInfo[scalarName], 0 ) )</f>
        <v>physScalar</v>
      </c>
      <c r="C679" s="44" t="str">
        <f xml:space="preserve"> INDEX( co_scalarInfo[scalarLabel], MATCH( scalarDataframe[[#This Row],[scalarName]], co_scalarInfo[scalarName], 0 ) )</f>
        <v>Asphalt Lane Miles</v>
      </c>
      <c r="D679" s="24" t="s">
        <v>1004</v>
      </c>
      <c r="E679" s="17" t="s">
        <v>9</v>
      </c>
      <c r="F679" s="25">
        <v>2090</v>
      </c>
      <c r="G679" s="26">
        <v>64218.221156922475</v>
      </c>
    </row>
    <row r="680" spans="1:7" x14ac:dyDescent="0.35">
      <c r="A680" s="9">
        <f xml:space="preserve"> ROW( scalarDataframe[[#This Row],[row_id]] ) - ROW( scalarDataframe[[#Headers],[row_id]] )</f>
        <v>679</v>
      </c>
      <c r="B680" s="16" t="str">
        <f xml:space="preserve"> INDEX( co_scalarInfo[scalarType], MATCH( scalarDataframe[[#This Row],[scalarName]],  co_scalarInfo[scalarName], 0 ) )</f>
        <v>physScalar</v>
      </c>
      <c r="C680" s="44" t="str">
        <f xml:space="preserve"> INDEX( co_scalarInfo[scalarLabel], MATCH( scalarDataframe[[#This Row],[scalarName]], co_scalarInfo[scalarName], 0 ) )</f>
        <v>Asphalt Lane Miles</v>
      </c>
      <c r="D680" s="24" t="s">
        <v>1004</v>
      </c>
      <c r="E680" s="17" t="s">
        <v>10</v>
      </c>
      <c r="F680" s="25">
        <v>2090</v>
      </c>
      <c r="G680" s="26">
        <v>341919.61241713847</v>
      </c>
    </row>
    <row r="681" spans="1:7" x14ac:dyDescent="0.35">
      <c r="A681" s="9">
        <f xml:space="preserve"> ROW( scalarDataframe[[#This Row],[row_id]] ) - ROW( scalarDataframe[[#Headers],[row_id]] )</f>
        <v>680</v>
      </c>
      <c r="B681" s="16" t="str">
        <f xml:space="preserve"> INDEX( co_scalarInfo[scalarType], MATCH( scalarDataframe[[#This Row],[scalarName]],  co_scalarInfo[scalarName], 0 ) )</f>
        <v>physScalar</v>
      </c>
      <c r="C681" s="44" t="str">
        <f xml:space="preserve"> INDEX( co_scalarInfo[scalarLabel], MATCH( scalarDataframe[[#This Row],[scalarName]], co_scalarInfo[scalarName], 0 ) )</f>
        <v>Asphalt Lane Miles</v>
      </c>
      <c r="D681" s="24" t="s">
        <v>1004</v>
      </c>
      <c r="E681" s="17" t="s">
        <v>11</v>
      </c>
      <c r="F681" s="25">
        <v>2090</v>
      </c>
      <c r="G681" s="26">
        <v>168381.86865958094</v>
      </c>
    </row>
    <row r="682" spans="1:7" x14ac:dyDescent="0.35">
      <c r="A682" s="9">
        <f xml:space="preserve"> ROW( scalarDataframe[[#This Row],[row_id]] ) - ROW( scalarDataframe[[#Headers],[row_id]] )</f>
        <v>681</v>
      </c>
      <c r="B682" s="16" t="str">
        <f xml:space="preserve"> INDEX( co_scalarInfo[scalarType], MATCH( scalarDataframe[[#This Row],[scalarName]],  co_scalarInfo[scalarName], 0 ) )</f>
        <v>physScalar</v>
      </c>
      <c r="C682" s="44" t="str">
        <f xml:space="preserve"> INDEX( co_scalarInfo[scalarLabel], MATCH( scalarDataframe[[#This Row],[scalarName]], co_scalarInfo[scalarName], 0 ) )</f>
        <v>Asphalt Lane Miles</v>
      </c>
      <c r="D682" s="24" t="s">
        <v>1004</v>
      </c>
      <c r="E682" s="17" t="s">
        <v>12</v>
      </c>
      <c r="F682" s="25">
        <v>2090</v>
      </c>
      <c r="G682" s="26">
        <v>180492.42935059752</v>
      </c>
    </row>
    <row r="683" spans="1:7" x14ac:dyDescent="0.35">
      <c r="A683" s="9">
        <f xml:space="preserve"> ROW( scalarDataframe[[#This Row],[row_id]] ) - ROW( scalarDataframe[[#Headers],[row_id]] )</f>
        <v>682</v>
      </c>
      <c r="B683" s="16" t="str">
        <f xml:space="preserve"> INDEX( co_scalarInfo[scalarType], MATCH( scalarDataframe[[#This Row],[scalarName]],  co_scalarInfo[scalarName], 0 ) )</f>
        <v>physScalar</v>
      </c>
      <c r="C683" s="44" t="str">
        <f xml:space="preserve"> INDEX( co_scalarInfo[scalarLabel], MATCH( scalarDataframe[[#This Row],[scalarName]], co_scalarInfo[scalarName], 0 ) )</f>
        <v>Asphalt Lane Miles</v>
      </c>
      <c r="D683" s="24" t="s">
        <v>1004</v>
      </c>
      <c r="E683" s="17" t="s">
        <v>13</v>
      </c>
      <c r="F683" s="25">
        <v>2090</v>
      </c>
      <c r="G683" s="26">
        <v>1349969.6067948786</v>
      </c>
    </row>
    <row r="684" spans="1:7" x14ac:dyDescent="0.35">
      <c r="A684" s="9">
        <f xml:space="preserve"> ROW( scalarDataframe[[#This Row],[row_id]] ) - ROW( scalarDataframe[[#Headers],[row_id]] )</f>
        <v>683</v>
      </c>
      <c r="B684" s="16" t="str">
        <f xml:space="preserve"> INDEX( co_scalarInfo[scalarType], MATCH( scalarDataframe[[#This Row],[scalarName]],  co_scalarInfo[scalarName], 0 ) )</f>
        <v>econScalar</v>
      </c>
      <c r="C684" s="44" t="str">
        <f xml:space="preserve"> INDEX( co_scalarInfo[scalarLabel], MATCH( scalarDataframe[[#This Row],[scalarName]], co_scalarInfo[scalarName], 0 ) )</f>
        <v>Property Crime Costs</v>
      </c>
      <c r="D684" s="59" t="s">
        <v>1220</v>
      </c>
      <c r="E684" s="17" t="s">
        <v>6</v>
      </c>
      <c r="F684" s="25">
        <v>2010</v>
      </c>
      <c r="G684" s="26">
        <v>8658.7923206378673</v>
      </c>
    </row>
    <row r="685" spans="1:7" x14ac:dyDescent="0.35">
      <c r="A685" s="9">
        <f xml:space="preserve"> ROW( scalarDataframe[[#This Row],[row_id]] ) - ROW( scalarDataframe[[#Headers],[row_id]] )</f>
        <v>684</v>
      </c>
      <c r="B685" s="16" t="str">
        <f xml:space="preserve"> INDEX( co_scalarInfo[scalarType], MATCH( scalarDataframe[[#This Row],[scalarName]],  co_scalarInfo[scalarName], 0 ) )</f>
        <v>econScalar</v>
      </c>
      <c r="C685" s="44" t="str">
        <f xml:space="preserve"> INDEX( co_scalarInfo[scalarLabel], MATCH( scalarDataframe[[#This Row],[scalarName]], co_scalarInfo[scalarName], 0 ) )</f>
        <v>Property Crime Costs</v>
      </c>
      <c r="D685" s="59" t="s">
        <v>1220</v>
      </c>
      <c r="E685" s="17" t="s">
        <v>7</v>
      </c>
      <c r="F685" s="25">
        <v>2010</v>
      </c>
      <c r="G685" s="26">
        <v>9413.7845905261202</v>
      </c>
    </row>
    <row r="686" spans="1:7" x14ac:dyDescent="0.35">
      <c r="A686" s="9">
        <f xml:space="preserve"> ROW( scalarDataframe[[#This Row],[row_id]] ) - ROW( scalarDataframe[[#Headers],[row_id]] )</f>
        <v>685</v>
      </c>
      <c r="B686" s="16" t="str">
        <f xml:space="preserve"> INDEX( co_scalarInfo[scalarType], MATCH( scalarDataframe[[#This Row],[scalarName]],  co_scalarInfo[scalarName], 0 ) )</f>
        <v>econScalar</v>
      </c>
      <c r="C686" s="44" t="str">
        <f xml:space="preserve"> INDEX( co_scalarInfo[scalarLabel], MATCH( scalarDataframe[[#This Row],[scalarName]], co_scalarInfo[scalarName], 0 ) )</f>
        <v>Property Crime Costs</v>
      </c>
      <c r="D686" s="59" t="s">
        <v>1220</v>
      </c>
      <c r="E686" s="17" t="s">
        <v>8</v>
      </c>
      <c r="F686" s="25">
        <v>2010</v>
      </c>
      <c r="G686" s="26">
        <v>5979.8234765776087</v>
      </c>
    </row>
    <row r="687" spans="1:7" x14ac:dyDescent="0.35">
      <c r="A687" s="9">
        <f xml:space="preserve"> ROW( scalarDataframe[[#This Row],[row_id]] ) - ROW( scalarDataframe[[#Headers],[row_id]] )</f>
        <v>686</v>
      </c>
      <c r="B687" s="16" t="str">
        <f xml:space="preserve"> INDEX( co_scalarInfo[scalarType], MATCH( scalarDataframe[[#This Row],[scalarName]],  co_scalarInfo[scalarName], 0 ) )</f>
        <v>econScalar</v>
      </c>
      <c r="C687" s="44" t="str">
        <f xml:space="preserve"> INDEX( co_scalarInfo[scalarLabel], MATCH( scalarDataframe[[#This Row],[scalarName]], co_scalarInfo[scalarName], 0 ) )</f>
        <v>Property Crime Costs</v>
      </c>
      <c r="D687" s="59" t="s">
        <v>1220</v>
      </c>
      <c r="E687" s="17" t="s">
        <v>9</v>
      </c>
      <c r="F687" s="25">
        <v>2010</v>
      </c>
      <c r="G687" s="26">
        <v>7281.1130797242786</v>
      </c>
    </row>
    <row r="688" spans="1:7" x14ac:dyDescent="0.35">
      <c r="A688" s="9">
        <f xml:space="preserve"> ROW( scalarDataframe[[#This Row],[row_id]] ) - ROW( scalarDataframe[[#Headers],[row_id]] )</f>
        <v>687</v>
      </c>
      <c r="B688" s="16" t="str">
        <f xml:space="preserve"> INDEX( co_scalarInfo[scalarType], MATCH( scalarDataframe[[#This Row],[scalarName]],  co_scalarInfo[scalarName], 0 ) )</f>
        <v>econScalar</v>
      </c>
      <c r="C688" s="44" t="str">
        <f xml:space="preserve"> INDEX( co_scalarInfo[scalarLabel], MATCH( scalarDataframe[[#This Row],[scalarName]], co_scalarInfo[scalarName], 0 ) )</f>
        <v>Property Crime Costs</v>
      </c>
      <c r="D688" s="59" t="s">
        <v>1220</v>
      </c>
      <c r="E688" s="17" t="s">
        <v>10</v>
      </c>
      <c r="F688" s="25">
        <v>2010</v>
      </c>
      <c r="G688" s="26">
        <v>8304.678974062359</v>
      </c>
    </row>
    <row r="689" spans="1:7" x14ac:dyDescent="0.35">
      <c r="A689" s="9">
        <f xml:space="preserve"> ROW( scalarDataframe[[#This Row],[row_id]] ) - ROW( scalarDataframe[[#Headers],[row_id]] )</f>
        <v>688</v>
      </c>
      <c r="B689" s="16" t="str">
        <f xml:space="preserve"> INDEX( co_scalarInfo[scalarType], MATCH( scalarDataframe[[#This Row],[scalarName]],  co_scalarInfo[scalarName], 0 ) )</f>
        <v>econScalar</v>
      </c>
      <c r="C689" s="44" t="str">
        <f xml:space="preserve"> INDEX( co_scalarInfo[scalarLabel], MATCH( scalarDataframe[[#This Row],[scalarName]], co_scalarInfo[scalarName], 0 ) )</f>
        <v>Property Crime Costs</v>
      </c>
      <c r="D689" s="59" t="s">
        <v>1220</v>
      </c>
      <c r="E689" s="17" t="s">
        <v>11</v>
      </c>
      <c r="F689" s="25">
        <v>2010</v>
      </c>
      <c r="G689" s="26">
        <v>8121.0106430448941</v>
      </c>
    </row>
    <row r="690" spans="1:7" x14ac:dyDescent="0.35">
      <c r="A690" s="9">
        <f xml:space="preserve"> ROW( scalarDataframe[[#This Row],[row_id]] ) - ROW( scalarDataframe[[#Headers],[row_id]] )</f>
        <v>689</v>
      </c>
      <c r="B690" s="16" t="str">
        <f xml:space="preserve"> INDEX( co_scalarInfo[scalarType], MATCH( scalarDataframe[[#This Row],[scalarName]],  co_scalarInfo[scalarName], 0 ) )</f>
        <v>econScalar</v>
      </c>
      <c r="C690" s="44" t="str">
        <f xml:space="preserve"> INDEX( co_scalarInfo[scalarLabel], MATCH( scalarDataframe[[#This Row],[scalarName]], co_scalarInfo[scalarName], 0 ) )</f>
        <v>Property Crime Costs</v>
      </c>
      <c r="D690" s="59" t="s">
        <v>1220</v>
      </c>
      <c r="E690" s="17" t="s">
        <v>12</v>
      </c>
      <c r="F690" s="25">
        <v>2010</v>
      </c>
      <c r="G690" s="26">
        <v>9455.7312129484544</v>
      </c>
    </row>
    <row r="691" spans="1:7" x14ac:dyDescent="0.35">
      <c r="A691" s="9">
        <f xml:space="preserve"> ROW( scalarDataframe[[#This Row],[row_id]] ) - ROW( scalarDataframe[[#Headers],[row_id]] )</f>
        <v>690</v>
      </c>
      <c r="B691" s="16" t="str">
        <f xml:space="preserve"> INDEX( co_scalarInfo[scalarType], MATCH( scalarDataframe[[#This Row],[scalarName]],  co_scalarInfo[scalarName], 0 ) )</f>
        <v>econScalar</v>
      </c>
      <c r="C691" s="44" t="str">
        <f xml:space="preserve"> INDEX( co_scalarInfo[scalarLabel], MATCH( scalarDataframe[[#This Row],[scalarName]], co_scalarInfo[scalarName], 0 ) )</f>
        <v>Violent Crime Costs</v>
      </c>
      <c r="D691" s="24" t="s">
        <v>1222</v>
      </c>
      <c r="E691" s="17" t="s">
        <v>6</v>
      </c>
      <c r="F691" s="25">
        <v>2010</v>
      </c>
      <c r="G691" s="26">
        <v>308600.71697237162</v>
      </c>
    </row>
    <row r="692" spans="1:7" x14ac:dyDescent="0.35">
      <c r="A692" s="9">
        <f xml:space="preserve"> ROW( scalarDataframe[[#This Row],[row_id]] ) - ROW( scalarDataframe[[#Headers],[row_id]] )</f>
        <v>691</v>
      </c>
      <c r="B692" s="16" t="str">
        <f xml:space="preserve"> INDEX( co_scalarInfo[scalarType], MATCH( scalarDataframe[[#This Row],[scalarName]],  co_scalarInfo[scalarName], 0 ) )</f>
        <v>econScalar</v>
      </c>
      <c r="C692" s="44" t="str">
        <f xml:space="preserve"> INDEX( co_scalarInfo[scalarLabel], MATCH( scalarDataframe[[#This Row],[scalarName]], co_scalarInfo[scalarName], 0 ) )</f>
        <v>Violent Crime Costs</v>
      </c>
      <c r="D692" s="24" t="s">
        <v>1222</v>
      </c>
      <c r="E692" s="17" t="s">
        <v>7</v>
      </c>
      <c r="F692" s="25">
        <v>2010</v>
      </c>
      <c r="G692" s="26">
        <v>276099.55031651491</v>
      </c>
    </row>
    <row r="693" spans="1:7" x14ac:dyDescent="0.35">
      <c r="A693" s="9">
        <f xml:space="preserve"> ROW( scalarDataframe[[#This Row],[row_id]] ) - ROW( scalarDataframe[[#Headers],[row_id]] )</f>
        <v>692</v>
      </c>
      <c r="B693" s="16" t="str">
        <f xml:space="preserve"> INDEX( co_scalarInfo[scalarType], MATCH( scalarDataframe[[#This Row],[scalarName]],  co_scalarInfo[scalarName], 0 ) )</f>
        <v>econScalar</v>
      </c>
      <c r="C693" s="44" t="str">
        <f xml:space="preserve"> INDEX( co_scalarInfo[scalarLabel], MATCH( scalarDataframe[[#This Row],[scalarName]], co_scalarInfo[scalarName], 0 ) )</f>
        <v>Violent Crime Costs</v>
      </c>
      <c r="D693" s="24" t="s">
        <v>1222</v>
      </c>
      <c r="E693" s="17" t="s">
        <v>8</v>
      </c>
      <c r="F693" s="25">
        <v>2010</v>
      </c>
      <c r="G693" s="26">
        <v>240544.09465422665</v>
      </c>
    </row>
    <row r="694" spans="1:7" x14ac:dyDescent="0.35">
      <c r="A694" s="9">
        <f xml:space="preserve"> ROW( scalarDataframe[[#This Row],[row_id]] ) - ROW( scalarDataframe[[#Headers],[row_id]] )</f>
        <v>693</v>
      </c>
      <c r="B694" s="16" t="str">
        <f xml:space="preserve"> INDEX( co_scalarInfo[scalarType], MATCH( scalarDataframe[[#This Row],[scalarName]],  co_scalarInfo[scalarName], 0 ) )</f>
        <v>econScalar</v>
      </c>
      <c r="C694" s="44" t="str">
        <f xml:space="preserve"> INDEX( co_scalarInfo[scalarLabel], MATCH( scalarDataframe[[#This Row],[scalarName]], co_scalarInfo[scalarName], 0 ) )</f>
        <v>Violent Crime Costs</v>
      </c>
      <c r="D694" s="24" t="s">
        <v>1222</v>
      </c>
      <c r="E694" s="17" t="s">
        <v>9</v>
      </c>
      <c r="F694" s="25">
        <v>2010</v>
      </c>
      <c r="G694" s="26">
        <v>249582.98267865408</v>
      </c>
    </row>
    <row r="695" spans="1:7" x14ac:dyDescent="0.35">
      <c r="A695" s="9">
        <f xml:space="preserve"> ROW( scalarDataframe[[#This Row],[row_id]] ) - ROW( scalarDataframe[[#Headers],[row_id]] )</f>
        <v>694</v>
      </c>
      <c r="B695" s="16" t="str">
        <f xml:space="preserve"> INDEX( co_scalarInfo[scalarType], MATCH( scalarDataframe[[#This Row],[scalarName]],  co_scalarInfo[scalarName], 0 ) )</f>
        <v>econScalar</v>
      </c>
      <c r="C695" s="44" t="str">
        <f xml:space="preserve"> INDEX( co_scalarInfo[scalarLabel], MATCH( scalarDataframe[[#This Row],[scalarName]], co_scalarInfo[scalarName], 0 ) )</f>
        <v>Violent Crime Costs</v>
      </c>
      <c r="D695" s="24" t="s">
        <v>1222</v>
      </c>
      <c r="E695" s="17" t="s">
        <v>10</v>
      </c>
      <c r="F695" s="25">
        <v>2010</v>
      </c>
      <c r="G695" s="26">
        <v>291640.23177717323</v>
      </c>
    </row>
    <row r="696" spans="1:7" x14ac:dyDescent="0.35">
      <c r="A696" s="9">
        <f xml:space="preserve"> ROW( scalarDataframe[[#This Row],[row_id]] ) - ROW( scalarDataframe[[#Headers],[row_id]] )</f>
        <v>695</v>
      </c>
      <c r="B696" s="16" t="str">
        <f xml:space="preserve"> INDEX( co_scalarInfo[scalarType], MATCH( scalarDataframe[[#This Row],[scalarName]],  co_scalarInfo[scalarName], 0 ) )</f>
        <v>econScalar</v>
      </c>
      <c r="C696" s="44" t="str">
        <f xml:space="preserve"> INDEX( co_scalarInfo[scalarLabel], MATCH( scalarDataframe[[#This Row],[scalarName]], co_scalarInfo[scalarName], 0 ) )</f>
        <v>Violent Crime Costs</v>
      </c>
      <c r="D696" s="24" t="s">
        <v>1222</v>
      </c>
      <c r="E696" s="17" t="s">
        <v>11</v>
      </c>
      <c r="F696" s="25">
        <v>2010</v>
      </c>
      <c r="G696" s="26">
        <v>255067.33507733521</v>
      </c>
    </row>
    <row r="697" spans="1:7" x14ac:dyDescent="0.35">
      <c r="A697" s="9">
        <f xml:space="preserve"> ROW( scalarDataframe[[#This Row],[row_id]] ) - ROW( scalarDataframe[[#Headers],[row_id]] )</f>
        <v>696</v>
      </c>
      <c r="B697" s="16" t="str">
        <f xml:space="preserve"> INDEX( co_scalarInfo[scalarType], MATCH( scalarDataframe[[#This Row],[scalarName]],  co_scalarInfo[scalarName], 0 ) )</f>
        <v>econScalar</v>
      </c>
      <c r="C697" s="44" t="str">
        <f xml:space="preserve"> INDEX( co_scalarInfo[scalarLabel], MATCH( scalarDataframe[[#This Row],[scalarName]], co_scalarInfo[scalarName], 0 ) )</f>
        <v>Violent Crime Costs</v>
      </c>
      <c r="D697" s="24" t="s">
        <v>1222</v>
      </c>
      <c r="E697" s="17" t="s">
        <v>12</v>
      </c>
      <c r="F697" s="25">
        <v>2010</v>
      </c>
      <c r="G697" s="26">
        <v>270546.93901391578</v>
      </c>
    </row>
    <row r="698" spans="1:7" x14ac:dyDescent="0.35">
      <c r="A698" s="9">
        <f xml:space="preserve"> ROW( scalarDataframe[[#This Row],[row_id]] ) - ROW( scalarDataframe[[#Headers],[row_id]] )</f>
        <v>697</v>
      </c>
      <c r="B698" s="16" t="str">
        <f xml:space="preserve"> INDEX( co_scalarInfo[scalarType], MATCH( scalarDataframe[[#This Row],[scalarName]],  co_scalarInfo[scalarName], 0 ) )</f>
        <v>physAdj</v>
      </c>
      <c r="C698" s="44" t="str">
        <f xml:space="preserve"> INDEX( co_scalarInfo[scalarLabel], MATCH( scalarDataframe[[#This Row],[scalarName]], co_scalarInfo[scalarName], 0 ) )</f>
        <v>City Population (weight)</v>
      </c>
      <c r="D698" s="133" t="s">
        <v>258</v>
      </c>
      <c r="E698" s="131" t="s">
        <v>6</v>
      </c>
      <c r="F698" s="130">
        <v>2100</v>
      </c>
      <c r="G698" s="132">
        <v>0.33166255598629746</v>
      </c>
    </row>
    <row r="699" spans="1:7" x14ac:dyDescent="0.35">
      <c r="A699" s="9">
        <f xml:space="preserve"> ROW( scalarDataframe[[#This Row],[row_id]] ) - ROW( scalarDataframe[[#Headers],[row_id]] )</f>
        <v>698</v>
      </c>
      <c r="B699" s="16" t="str">
        <f xml:space="preserve"> INDEX( co_scalarInfo[scalarType], MATCH( scalarDataframe[[#This Row],[scalarName]],  co_scalarInfo[scalarName], 0 ) )</f>
        <v>physAdj</v>
      </c>
      <c r="C699" s="44" t="str">
        <f xml:space="preserve"> INDEX( co_scalarInfo[scalarLabel], MATCH( scalarDataframe[[#This Row],[scalarName]], co_scalarInfo[scalarName], 0 ) )</f>
        <v>City Population (weight)</v>
      </c>
      <c r="D699" s="133" t="s">
        <v>258</v>
      </c>
      <c r="E699" s="131" t="s">
        <v>7</v>
      </c>
      <c r="F699" s="130">
        <v>2100</v>
      </c>
      <c r="G699" s="132">
        <v>0.32220604874394482</v>
      </c>
    </row>
    <row r="700" spans="1:7" x14ac:dyDescent="0.35">
      <c r="A700" s="9">
        <f xml:space="preserve"> ROW( scalarDataframe[[#This Row],[row_id]] ) - ROW( scalarDataframe[[#Headers],[row_id]] )</f>
        <v>699</v>
      </c>
      <c r="B700" s="16" t="str">
        <f xml:space="preserve"> INDEX( co_scalarInfo[scalarType], MATCH( scalarDataframe[[#This Row],[scalarName]],  co_scalarInfo[scalarName], 0 ) )</f>
        <v>physAdj</v>
      </c>
      <c r="C700" s="44" t="str">
        <f xml:space="preserve"> INDEX( co_scalarInfo[scalarLabel], MATCH( scalarDataframe[[#This Row],[scalarName]], co_scalarInfo[scalarName], 0 ) )</f>
        <v>City Population (weight)</v>
      </c>
      <c r="D700" s="133" t="s">
        <v>258</v>
      </c>
      <c r="E700" s="131" t="s">
        <v>8</v>
      </c>
      <c r="F700" s="130">
        <v>2100</v>
      </c>
      <c r="G700" s="132">
        <v>0</v>
      </c>
    </row>
    <row r="701" spans="1:7" x14ac:dyDescent="0.35">
      <c r="A701" s="9">
        <f xml:space="preserve"> ROW( scalarDataframe[[#This Row],[row_id]] ) - ROW( scalarDataframe[[#Headers],[row_id]] )</f>
        <v>700</v>
      </c>
      <c r="B701" s="16" t="str">
        <f xml:space="preserve"> INDEX( co_scalarInfo[scalarType], MATCH( scalarDataframe[[#This Row],[scalarName]],  co_scalarInfo[scalarName], 0 ) )</f>
        <v>physAdj</v>
      </c>
      <c r="C701" s="44" t="str">
        <f xml:space="preserve"> INDEX( co_scalarInfo[scalarLabel], MATCH( scalarDataframe[[#This Row],[scalarName]], co_scalarInfo[scalarName], 0 ) )</f>
        <v>City Population (weight)</v>
      </c>
      <c r="D701" s="133" t="s">
        <v>258</v>
      </c>
      <c r="E701" s="131" t="s">
        <v>9</v>
      </c>
      <c r="F701" s="130">
        <v>2100</v>
      </c>
      <c r="G701" s="132">
        <v>0.3308821613552354</v>
      </c>
    </row>
    <row r="702" spans="1:7" x14ac:dyDescent="0.35">
      <c r="A702" s="9">
        <f xml:space="preserve"> ROW( scalarDataframe[[#This Row],[row_id]] ) - ROW( scalarDataframe[[#Headers],[row_id]] )</f>
        <v>701</v>
      </c>
      <c r="B702" s="16" t="str">
        <f xml:space="preserve"> INDEX( co_scalarInfo[scalarType], MATCH( scalarDataframe[[#This Row],[scalarName]],  co_scalarInfo[scalarName], 0 ) )</f>
        <v>physAdj</v>
      </c>
      <c r="C702" s="44" t="str">
        <f xml:space="preserve"> INDEX( co_scalarInfo[scalarLabel], MATCH( scalarDataframe[[#This Row],[scalarName]], co_scalarInfo[scalarName], 0 ) )</f>
        <v>City Population (weight)</v>
      </c>
      <c r="D702" s="133" t="s">
        <v>258</v>
      </c>
      <c r="E702" s="131" t="s">
        <v>10</v>
      </c>
      <c r="F702" s="130">
        <v>2100</v>
      </c>
      <c r="G702" s="132">
        <v>0.210923972759956</v>
      </c>
    </row>
    <row r="703" spans="1:7" x14ac:dyDescent="0.35">
      <c r="A703" s="9">
        <f xml:space="preserve"> ROW( scalarDataframe[[#This Row],[row_id]] ) - ROW( scalarDataframe[[#Headers],[row_id]] )</f>
        <v>702</v>
      </c>
      <c r="B703" s="16" t="str">
        <f xml:space="preserve"> INDEX( co_scalarInfo[scalarType], MATCH( scalarDataframe[[#This Row],[scalarName]],  co_scalarInfo[scalarName], 0 ) )</f>
        <v>physAdj</v>
      </c>
      <c r="C703" s="44" t="str">
        <f xml:space="preserve"> INDEX( co_scalarInfo[scalarLabel], MATCH( scalarDataframe[[#This Row],[scalarName]], co_scalarInfo[scalarName], 0 ) )</f>
        <v>City Population (weight)</v>
      </c>
      <c r="D703" s="133" t="s">
        <v>258</v>
      </c>
      <c r="E703" s="131" t="s">
        <v>11</v>
      </c>
      <c r="F703" s="130">
        <v>2100</v>
      </c>
      <c r="G703" s="132">
        <v>0.27491526083424439</v>
      </c>
    </row>
    <row r="704" spans="1:7" x14ac:dyDescent="0.35">
      <c r="A704" s="9">
        <f xml:space="preserve"> ROW( scalarDataframe[[#This Row],[row_id]] ) - ROW( scalarDataframe[[#Headers],[row_id]] )</f>
        <v>703</v>
      </c>
      <c r="B704" s="16" t="str">
        <f xml:space="preserve"> INDEX( co_scalarInfo[scalarType], MATCH( scalarDataframe[[#This Row],[scalarName]],  co_scalarInfo[scalarName], 0 ) )</f>
        <v>physAdj</v>
      </c>
      <c r="C704" s="44" t="str">
        <f xml:space="preserve"> INDEX( co_scalarInfo[scalarLabel], MATCH( scalarDataframe[[#This Row],[scalarName]], co_scalarInfo[scalarName], 0 ) )</f>
        <v>City Population (weight)</v>
      </c>
      <c r="D704" s="133" t="s">
        <v>258</v>
      </c>
      <c r="E704" s="131" t="s">
        <v>12</v>
      </c>
      <c r="F704" s="130">
        <v>2100</v>
      </c>
      <c r="G704" s="132">
        <v>0.42003074987569416</v>
      </c>
    </row>
    <row r="705" spans="1:7" x14ac:dyDescent="0.35">
      <c r="A705" s="9">
        <f xml:space="preserve"> ROW( scalarDataframe[[#This Row],[row_id]] ) - ROW( scalarDataframe[[#Headers],[row_id]] )</f>
        <v>704</v>
      </c>
      <c r="B705" s="16" t="str">
        <f xml:space="preserve"> INDEX( co_scalarInfo[scalarType], MATCH( scalarDataframe[[#This Row],[scalarName]],  co_scalarInfo[scalarName], 0 ) )</f>
        <v>physAdj</v>
      </c>
      <c r="C705" s="44" t="str">
        <f xml:space="preserve"> INDEX( co_scalarInfo[scalarLabel], MATCH( scalarDataframe[[#This Row],[scalarName]], co_scalarInfo[scalarName], 0 ) )</f>
        <v>City Population (weight)</v>
      </c>
      <c r="D705" s="133" t="s">
        <v>258</v>
      </c>
      <c r="E705" s="131" t="s">
        <v>6</v>
      </c>
      <c r="F705" s="130">
        <v>2200</v>
      </c>
      <c r="G705" s="132">
        <v>0.33166255598629746</v>
      </c>
    </row>
    <row r="706" spans="1:7" x14ac:dyDescent="0.35">
      <c r="A706" s="9">
        <f xml:space="preserve"> ROW( scalarDataframe[[#This Row],[row_id]] ) - ROW( scalarDataframe[[#Headers],[row_id]] )</f>
        <v>705</v>
      </c>
      <c r="B706" s="16" t="str">
        <f xml:space="preserve"> INDEX( co_scalarInfo[scalarType], MATCH( scalarDataframe[[#This Row],[scalarName]],  co_scalarInfo[scalarName], 0 ) )</f>
        <v>physAdj</v>
      </c>
      <c r="C706" s="44" t="str">
        <f xml:space="preserve"> INDEX( co_scalarInfo[scalarLabel], MATCH( scalarDataframe[[#This Row],[scalarName]], co_scalarInfo[scalarName], 0 ) )</f>
        <v>City Population (weight)</v>
      </c>
      <c r="D706" s="133" t="s">
        <v>258</v>
      </c>
      <c r="E706" s="131" t="s">
        <v>7</v>
      </c>
      <c r="F706" s="130">
        <v>2200</v>
      </c>
      <c r="G706" s="132">
        <v>0.32220604874394482</v>
      </c>
    </row>
    <row r="707" spans="1:7" x14ac:dyDescent="0.35">
      <c r="A707" s="9">
        <f xml:space="preserve"> ROW( scalarDataframe[[#This Row],[row_id]] ) - ROW( scalarDataframe[[#Headers],[row_id]] )</f>
        <v>706</v>
      </c>
      <c r="B707" s="16" t="str">
        <f xml:space="preserve"> INDEX( co_scalarInfo[scalarType], MATCH( scalarDataframe[[#This Row],[scalarName]],  co_scalarInfo[scalarName], 0 ) )</f>
        <v>physAdj</v>
      </c>
      <c r="C707" s="44" t="str">
        <f xml:space="preserve"> INDEX( co_scalarInfo[scalarLabel], MATCH( scalarDataframe[[#This Row],[scalarName]], co_scalarInfo[scalarName], 0 ) )</f>
        <v>City Population (weight)</v>
      </c>
      <c r="D707" s="133" t="s">
        <v>258</v>
      </c>
      <c r="E707" s="131" t="s">
        <v>8</v>
      </c>
      <c r="F707" s="130">
        <v>2200</v>
      </c>
      <c r="G707" s="132">
        <v>0</v>
      </c>
    </row>
    <row r="708" spans="1:7" x14ac:dyDescent="0.35">
      <c r="A708" s="9">
        <f xml:space="preserve"> ROW( scalarDataframe[[#This Row],[row_id]] ) - ROW( scalarDataframe[[#Headers],[row_id]] )</f>
        <v>707</v>
      </c>
      <c r="B708" s="16" t="str">
        <f xml:space="preserve"> INDEX( co_scalarInfo[scalarType], MATCH( scalarDataframe[[#This Row],[scalarName]],  co_scalarInfo[scalarName], 0 ) )</f>
        <v>physAdj</v>
      </c>
      <c r="C708" s="44" t="str">
        <f xml:space="preserve"> INDEX( co_scalarInfo[scalarLabel], MATCH( scalarDataframe[[#This Row],[scalarName]], co_scalarInfo[scalarName], 0 ) )</f>
        <v>City Population (weight)</v>
      </c>
      <c r="D708" s="133" t="s">
        <v>258</v>
      </c>
      <c r="E708" s="131" t="s">
        <v>9</v>
      </c>
      <c r="F708" s="130">
        <v>2200</v>
      </c>
      <c r="G708" s="132">
        <v>0.3308821613552354</v>
      </c>
    </row>
    <row r="709" spans="1:7" x14ac:dyDescent="0.35">
      <c r="A709" s="9">
        <f xml:space="preserve"> ROW( scalarDataframe[[#This Row],[row_id]] ) - ROW( scalarDataframe[[#Headers],[row_id]] )</f>
        <v>708</v>
      </c>
      <c r="B709" s="16" t="str">
        <f xml:space="preserve"> INDEX( co_scalarInfo[scalarType], MATCH( scalarDataframe[[#This Row],[scalarName]],  co_scalarInfo[scalarName], 0 ) )</f>
        <v>physAdj</v>
      </c>
      <c r="C709" s="44" t="str">
        <f xml:space="preserve"> INDEX( co_scalarInfo[scalarLabel], MATCH( scalarDataframe[[#This Row],[scalarName]], co_scalarInfo[scalarName], 0 ) )</f>
        <v>City Population (weight)</v>
      </c>
      <c r="D709" s="133" t="s">
        <v>258</v>
      </c>
      <c r="E709" s="131" t="s">
        <v>10</v>
      </c>
      <c r="F709" s="130">
        <v>2200</v>
      </c>
      <c r="G709" s="132">
        <v>0.210923972759956</v>
      </c>
    </row>
    <row r="710" spans="1:7" x14ac:dyDescent="0.35">
      <c r="A710" s="9">
        <f xml:space="preserve"> ROW( scalarDataframe[[#This Row],[row_id]] ) - ROW( scalarDataframe[[#Headers],[row_id]] )</f>
        <v>709</v>
      </c>
      <c r="B710" s="16" t="str">
        <f xml:space="preserve"> INDEX( co_scalarInfo[scalarType], MATCH( scalarDataframe[[#This Row],[scalarName]],  co_scalarInfo[scalarName], 0 ) )</f>
        <v>physAdj</v>
      </c>
      <c r="C710" s="44" t="str">
        <f xml:space="preserve"> INDEX( co_scalarInfo[scalarLabel], MATCH( scalarDataframe[[#This Row],[scalarName]], co_scalarInfo[scalarName], 0 ) )</f>
        <v>City Population (weight)</v>
      </c>
      <c r="D710" s="133" t="s">
        <v>258</v>
      </c>
      <c r="E710" s="131" t="s">
        <v>11</v>
      </c>
      <c r="F710" s="130">
        <v>2200</v>
      </c>
      <c r="G710" s="132">
        <v>0.27491526083424439</v>
      </c>
    </row>
    <row r="711" spans="1:7" x14ac:dyDescent="0.35">
      <c r="A711" s="9">
        <f xml:space="preserve"> ROW( scalarDataframe[[#This Row],[row_id]] ) - ROW( scalarDataframe[[#Headers],[row_id]] )</f>
        <v>710</v>
      </c>
      <c r="B711" s="16" t="str">
        <f xml:space="preserve"> INDEX( co_scalarInfo[scalarType], MATCH( scalarDataframe[[#This Row],[scalarName]],  co_scalarInfo[scalarName], 0 ) )</f>
        <v>physAdj</v>
      </c>
      <c r="C711" s="44" t="str">
        <f xml:space="preserve"> INDEX( co_scalarInfo[scalarLabel], MATCH( scalarDataframe[[#This Row],[scalarName]], co_scalarInfo[scalarName], 0 ) )</f>
        <v>City Population (weight)</v>
      </c>
      <c r="D711" s="133" t="s">
        <v>258</v>
      </c>
      <c r="E711" s="131" t="s">
        <v>12</v>
      </c>
      <c r="F711" s="130">
        <v>2200</v>
      </c>
      <c r="G711" s="132">
        <v>0.42003074987569416</v>
      </c>
    </row>
    <row r="712" spans="1:7" x14ac:dyDescent="0.35">
      <c r="A712" s="9">
        <f xml:space="preserve"> ROW( scalarDataframe[[#This Row],[row_id]] ) - ROW( scalarDataframe[[#Headers],[row_id]] )</f>
        <v>711</v>
      </c>
      <c r="B712" s="16" t="str">
        <f xml:space="preserve"> INDEX( co_scalarInfo[scalarType], MATCH( scalarDataframe[[#This Row],[scalarName]],  co_scalarInfo[scalarName], 0 ) )</f>
        <v>physAdj</v>
      </c>
      <c r="C712" s="44" t="str">
        <f xml:space="preserve"> INDEX( co_scalarInfo[scalarLabel], MATCH( scalarDataframe[[#This Row],[scalarName]], co_scalarInfo[scalarName], 0 ) )</f>
        <v>City Population (weight)</v>
      </c>
      <c r="D712" s="133" t="s">
        <v>258</v>
      </c>
      <c r="E712" s="131" t="s">
        <v>6</v>
      </c>
      <c r="F712" s="130">
        <v>2300</v>
      </c>
      <c r="G712" s="132">
        <v>0.33166255598629746</v>
      </c>
    </row>
    <row r="713" spans="1:7" x14ac:dyDescent="0.35">
      <c r="A713" s="9">
        <f xml:space="preserve"> ROW( scalarDataframe[[#This Row],[row_id]] ) - ROW( scalarDataframe[[#Headers],[row_id]] )</f>
        <v>712</v>
      </c>
      <c r="B713" s="16" t="str">
        <f xml:space="preserve"> INDEX( co_scalarInfo[scalarType], MATCH( scalarDataframe[[#This Row],[scalarName]],  co_scalarInfo[scalarName], 0 ) )</f>
        <v>physAdj</v>
      </c>
      <c r="C713" s="44" t="str">
        <f xml:space="preserve"> INDEX( co_scalarInfo[scalarLabel], MATCH( scalarDataframe[[#This Row],[scalarName]], co_scalarInfo[scalarName], 0 ) )</f>
        <v>City Population (weight)</v>
      </c>
      <c r="D713" s="133" t="s">
        <v>258</v>
      </c>
      <c r="E713" s="131" t="s">
        <v>7</v>
      </c>
      <c r="F713" s="130">
        <v>2300</v>
      </c>
      <c r="G713" s="132">
        <v>0.32220604874394482</v>
      </c>
    </row>
    <row r="714" spans="1:7" x14ac:dyDescent="0.35">
      <c r="A714" s="9">
        <f xml:space="preserve"> ROW( scalarDataframe[[#This Row],[row_id]] ) - ROW( scalarDataframe[[#Headers],[row_id]] )</f>
        <v>713</v>
      </c>
      <c r="B714" s="16" t="str">
        <f xml:space="preserve"> INDEX( co_scalarInfo[scalarType], MATCH( scalarDataframe[[#This Row],[scalarName]],  co_scalarInfo[scalarName], 0 ) )</f>
        <v>physAdj</v>
      </c>
      <c r="C714" s="44" t="str">
        <f xml:space="preserve"> INDEX( co_scalarInfo[scalarLabel], MATCH( scalarDataframe[[#This Row],[scalarName]], co_scalarInfo[scalarName], 0 ) )</f>
        <v>City Population (weight)</v>
      </c>
      <c r="D714" s="133" t="s">
        <v>258</v>
      </c>
      <c r="E714" s="131" t="s">
        <v>8</v>
      </c>
      <c r="F714" s="130">
        <v>2300</v>
      </c>
      <c r="G714" s="132">
        <v>0</v>
      </c>
    </row>
    <row r="715" spans="1:7" x14ac:dyDescent="0.35">
      <c r="A715" s="9">
        <f xml:space="preserve"> ROW( scalarDataframe[[#This Row],[row_id]] ) - ROW( scalarDataframe[[#Headers],[row_id]] )</f>
        <v>714</v>
      </c>
      <c r="B715" s="16" t="str">
        <f xml:space="preserve"> INDEX( co_scalarInfo[scalarType], MATCH( scalarDataframe[[#This Row],[scalarName]],  co_scalarInfo[scalarName], 0 ) )</f>
        <v>physAdj</v>
      </c>
      <c r="C715" s="44" t="str">
        <f xml:space="preserve"> INDEX( co_scalarInfo[scalarLabel], MATCH( scalarDataframe[[#This Row],[scalarName]], co_scalarInfo[scalarName], 0 ) )</f>
        <v>City Population (weight)</v>
      </c>
      <c r="D715" s="133" t="s">
        <v>258</v>
      </c>
      <c r="E715" s="131" t="s">
        <v>9</v>
      </c>
      <c r="F715" s="130">
        <v>2300</v>
      </c>
      <c r="G715" s="132">
        <v>0.3308821613552354</v>
      </c>
    </row>
    <row r="716" spans="1:7" x14ac:dyDescent="0.35">
      <c r="A716" s="9">
        <f xml:space="preserve"> ROW( scalarDataframe[[#This Row],[row_id]] ) - ROW( scalarDataframe[[#Headers],[row_id]] )</f>
        <v>715</v>
      </c>
      <c r="B716" s="16" t="str">
        <f xml:space="preserve"> INDEX( co_scalarInfo[scalarType], MATCH( scalarDataframe[[#This Row],[scalarName]],  co_scalarInfo[scalarName], 0 ) )</f>
        <v>physAdj</v>
      </c>
      <c r="C716" s="44" t="str">
        <f xml:space="preserve"> INDEX( co_scalarInfo[scalarLabel], MATCH( scalarDataframe[[#This Row],[scalarName]], co_scalarInfo[scalarName], 0 ) )</f>
        <v>City Population (weight)</v>
      </c>
      <c r="D716" s="133" t="s">
        <v>258</v>
      </c>
      <c r="E716" s="131" t="s">
        <v>10</v>
      </c>
      <c r="F716" s="130">
        <v>2300</v>
      </c>
      <c r="G716" s="132">
        <v>0.210923972759956</v>
      </c>
    </row>
    <row r="717" spans="1:7" x14ac:dyDescent="0.35">
      <c r="A717" s="9">
        <f xml:space="preserve"> ROW( scalarDataframe[[#This Row],[row_id]] ) - ROW( scalarDataframe[[#Headers],[row_id]] )</f>
        <v>716</v>
      </c>
      <c r="B717" s="16" t="str">
        <f xml:space="preserve"> INDEX( co_scalarInfo[scalarType], MATCH( scalarDataframe[[#This Row],[scalarName]],  co_scalarInfo[scalarName], 0 ) )</f>
        <v>physAdj</v>
      </c>
      <c r="C717" s="44" t="str">
        <f xml:space="preserve"> INDEX( co_scalarInfo[scalarLabel], MATCH( scalarDataframe[[#This Row],[scalarName]], co_scalarInfo[scalarName], 0 ) )</f>
        <v>City Population (weight)</v>
      </c>
      <c r="D717" s="133" t="s">
        <v>258</v>
      </c>
      <c r="E717" s="131" t="s">
        <v>11</v>
      </c>
      <c r="F717" s="130">
        <v>2300</v>
      </c>
      <c r="G717" s="132">
        <v>0.27491526083424439</v>
      </c>
    </row>
    <row r="718" spans="1:7" x14ac:dyDescent="0.35">
      <c r="A718" s="9">
        <f xml:space="preserve"> ROW( scalarDataframe[[#This Row],[row_id]] ) - ROW( scalarDataframe[[#Headers],[row_id]] )</f>
        <v>717</v>
      </c>
      <c r="B718" s="16" t="str">
        <f xml:space="preserve"> INDEX( co_scalarInfo[scalarType], MATCH( scalarDataframe[[#This Row],[scalarName]],  co_scalarInfo[scalarName], 0 ) )</f>
        <v>physAdj</v>
      </c>
      <c r="C718" s="44" t="str">
        <f xml:space="preserve"> INDEX( co_scalarInfo[scalarLabel], MATCH( scalarDataframe[[#This Row],[scalarName]], co_scalarInfo[scalarName], 0 ) )</f>
        <v>City Population (weight)</v>
      </c>
      <c r="D718" s="133" t="s">
        <v>258</v>
      </c>
      <c r="E718" s="131" t="s">
        <v>12</v>
      </c>
      <c r="F718" s="130">
        <v>2300</v>
      </c>
      <c r="G718" s="132">
        <v>0.42003074987569416</v>
      </c>
    </row>
    <row r="719" spans="1:7" x14ac:dyDescent="0.35">
      <c r="A719" s="9">
        <f xml:space="preserve"> ROW( scalarDataframe[[#This Row],[row_id]] ) - ROW( scalarDataframe[[#Headers],[row_id]] )</f>
        <v>718</v>
      </c>
      <c r="B719" s="16" t="str">
        <f xml:space="preserve"> INDEX( co_scalarInfo[scalarType], MATCH( scalarDataframe[[#This Row],[scalarName]],  co_scalarInfo[scalarName], 0 ) )</f>
        <v>physAdj</v>
      </c>
      <c r="C719" s="44" t="str">
        <f xml:space="preserve"> INDEX( co_scalarInfo[scalarLabel], MATCH( scalarDataframe[[#This Row],[scalarName]], co_scalarInfo[scalarName], 0 ) )</f>
        <v>Southwest Dusts (All Ages)</v>
      </c>
      <c r="D719" s="133" t="s">
        <v>259</v>
      </c>
      <c r="E719" s="131" t="s">
        <v>6</v>
      </c>
      <c r="F719" s="130">
        <v>2100</v>
      </c>
      <c r="G719" s="132">
        <v>0</v>
      </c>
    </row>
    <row r="720" spans="1:7" x14ac:dyDescent="0.35">
      <c r="A720" s="9">
        <f xml:space="preserve"> ROW( scalarDataframe[[#This Row],[row_id]] ) - ROW( scalarDataframe[[#Headers],[row_id]] )</f>
        <v>719</v>
      </c>
      <c r="B720" s="16" t="str">
        <f xml:space="preserve"> INDEX( co_scalarInfo[scalarType], MATCH( scalarDataframe[[#This Row],[scalarName]],  co_scalarInfo[scalarName], 0 ) )</f>
        <v>physAdj</v>
      </c>
      <c r="C720" s="44" t="str">
        <f xml:space="preserve"> INDEX( co_scalarInfo[scalarLabel], MATCH( scalarDataframe[[#This Row],[scalarName]], co_scalarInfo[scalarName], 0 ) )</f>
        <v>Southwest Dusts (All Ages)</v>
      </c>
      <c r="D720" s="133" t="s">
        <v>259</v>
      </c>
      <c r="E720" s="131" t="s">
        <v>7</v>
      </c>
      <c r="F720" s="130">
        <v>2100</v>
      </c>
      <c r="G720" s="132">
        <v>0</v>
      </c>
    </row>
    <row r="721" spans="1:7" x14ac:dyDescent="0.35">
      <c r="A721" s="9">
        <f xml:space="preserve"> ROW( scalarDataframe[[#This Row],[row_id]] ) - ROW( scalarDataframe[[#Headers],[row_id]] )</f>
        <v>720</v>
      </c>
      <c r="B721" s="16" t="str">
        <f xml:space="preserve"> INDEX( co_scalarInfo[scalarType], MATCH( scalarDataframe[[#This Row],[scalarName]],  co_scalarInfo[scalarName], 0 ) )</f>
        <v>physAdj</v>
      </c>
      <c r="C721" s="44" t="str">
        <f xml:space="preserve"> INDEX( co_scalarInfo[scalarLabel], MATCH( scalarDataframe[[#This Row],[scalarName]], co_scalarInfo[scalarName], 0 ) )</f>
        <v>Southwest Dusts (All Ages)</v>
      </c>
      <c r="D721" s="133" t="s">
        <v>259</v>
      </c>
      <c r="E721" s="131" t="s">
        <v>8</v>
      </c>
      <c r="F721" s="130">
        <v>2100</v>
      </c>
      <c r="G721" s="132">
        <v>0</v>
      </c>
    </row>
    <row r="722" spans="1:7" x14ac:dyDescent="0.35">
      <c r="A722" s="9">
        <f xml:space="preserve"> ROW( scalarDataframe[[#This Row],[row_id]] ) - ROW( scalarDataframe[[#Headers],[row_id]] )</f>
        <v>721</v>
      </c>
      <c r="B722" s="16" t="str">
        <f xml:space="preserve"> INDEX( co_scalarInfo[scalarType], MATCH( scalarDataframe[[#This Row],[scalarName]],  co_scalarInfo[scalarName], 0 ) )</f>
        <v>physAdj</v>
      </c>
      <c r="C722" s="44" t="str">
        <f xml:space="preserve"> INDEX( co_scalarInfo[scalarLabel], MATCH( scalarDataframe[[#This Row],[scalarName]], co_scalarInfo[scalarName], 0 ) )</f>
        <v>Southwest Dusts (All Ages)</v>
      </c>
      <c r="D722" s="133" t="s">
        <v>259</v>
      </c>
      <c r="E722" s="131" t="s">
        <v>9</v>
      </c>
      <c r="F722" s="130">
        <v>2100</v>
      </c>
      <c r="G722" s="132">
        <v>0</v>
      </c>
    </row>
    <row r="723" spans="1:7" x14ac:dyDescent="0.35">
      <c r="A723" s="9">
        <f xml:space="preserve"> ROW( scalarDataframe[[#This Row],[row_id]] ) - ROW( scalarDataframe[[#Headers],[row_id]] )</f>
        <v>722</v>
      </c>
      <c r="B723" s="16" t="str">
        <f xml:space="preserve"> INDEX( co_scalarInfo[scalarType], MATCH( scalarDataframe[[#This Row],[scalarName]],  co_scalarInfo[scalarName], 0 ) )</f>
        <v>physAdj</v>
      </c>
      <c r="C723" s="44" t="str">
        <f xml:space="preserve"> INDEX( co_scalarInfo[scalarLabel], MATCH( scalarDataframe[[#This Row],[scalarName]], co_scalarInfo[scalarName], 0 ) )</f>
        <v>Southwest Dusts (All Ages)</v>
      </c>
      <c r="D723" s="133" t="s">
        <v>259</v>
      </c>
      <c r="E723" s="131" t="s">
        <v>10</v>
      </c>
      <c r="F723" s="130">
        <v>2100</v>
      </c>
      <c r="G723" s="132">
        <v>0</v>
      </c>
    </row>
    <row r="724" spans="1:7" x14ac:dyDescent="0.35">
      <c r="A724" s="9">
        <f xml:space="preserve"> ROW( scalarDataframe[[#This Row],[row_id]] ) - ROW( scalarDataframe[[#Headers],[row_id]] )</f>
        <v>723</v>
      </c>
      <c r="B724" s="16" t="str">
        <f xml:space="preserve"> INDEX( co_scalarInfo[scalarType], MATCH( scalarDataframe[[#This Row],[scalarName]],  co_scalarInfo[scalarName], 0 ) )</f>
        <v>physAdj</v>
      </c>
      <c r="C724" s="44" t="str">
        <f xml:space="preserve"> INDEX( co_scalarInfo[scalarLabel], MATCH( scalarDataframe[[#This Row],[scalarName]], co_scalarInfo[scalarName], 0 ) )</f>
        <v>Southwest Dusts (All Ages)</v>
      </c>
      <c r="D724" s="133" t="s">
        <v>259</v>
      </c>
      <c r="E724" s="131" t="s">
        <v>11</v>
      </c>
      <c r="F724" s="130">
        <v>2100</v>
      </c>
      <c r="G724" s="132">
        <v>0</v>
      </c>
    </row>
    <row r="725" spans="1:7" x14ac:dyDescent="0.35">
      <c r="A725" s="9">
        <f xml:space="preserve"> ROW( scalarDataframe[[#This Row],[row_id]] ) - ROW( scalarDataframe[[#Headers],[row_id]] )</f>
        <v>724</v>
      </c>
      <c r="B725" s="16" t="str">
        <f xml:space="preserve"> INDEX( co_scalarInfo[scalarType], MATCH( scalarDataframe[[#This Row],[scalarName]],  co_scalarInfo[scalarName], 0 ) )</f>
        <v>physAdj</v>
      </c>
      <c r="C725" s="44" t="str">
        <f xml:space="preserve"> INDEX( co_scalarInfo[scalarLabel], MATCH( scalarDataframe[[#This Row],[scalarName]], co_scalarInfo[scalarName], 0 ) )</f>
        <v>Southwest Dusts (All Ages)</v>
      </c>
      <c r="D725" s="133" t="s">
        <v>259</v>
      </c>
      <c r="E725" s="131" t="s">
        <v>12</v>
      </c>
      <c r="F725" s="130">
        <v>2100</v>
      </c>
      <c r="G725" s="132">
        <v>0.26600775716086311</v>
      </c>
    </row>
    <row r="726" spans="1:7" x14ac:dyDescent="0.35">
      <c r="A726" s="9">
        <f xml:space="preserve"> ROW( scalarDataframe[[#This Row],[row_id]] ) - ROW( scalarDataframe[[#Headers],[row_id]] )</f>
        <v>725</v>
      </c>
      <c r="B726" s="16" t="str">
        <f xml:space="preserve"> INDEX( co_scalarInfo[scalarType], MATCH( scalarDataframe[[#This Row],[scalarName]],  co_scalarInfo[scalarName], 0 ) )</f>
        <v>physAdj</v>
      </c>
      <c r="C726" s="44" t="str">
        <f xml:space="preserve"> INDEX( co_scalarInfo[scalarLabel], MATCH( scalarDataframe[[#This Row],[scalarName]], co_scalarInfo[scalarName], 0 ) )</f>
        <v>Southwest Dusts (All Ages)</v>
      </c>
      <c r="D726" s="133" t="s">
        <v>259</v>
      </c>
      <c r="E726" s="131" t="s">
        <v>6</v>
      </c>
      <c r="F726" s="130">
        <v>2200</v>
      </c>
      <c r="G726" s="132">
        <v>0</v>
      </c>
    </row>
    <row r="727" spans="1:7" x14ac:dyDescent="0.35">
      <c r="A727" s="9">
        <f xml:space="preserve"> ROW( scalarDataframe[[#This Row],[row_id]] ) - ROW( scalarDataframe[[#Headers],[row_id]] )</f>
        <v>726</v>
      </c>
      <c r="B727" s="16" t="str">
        <f xml:space="preserve"> INDEX( co_scalarInfo[scalarType], MATCH( scalarDataframe[[#This Row],[scalarName]],  co_scalarInfo[scalarName], 0 ) )</f>
        <v>physAdj</v>
      </c>
      <c r="C727" s="44" t="str">
        <f xml:space="preserve"> INDEX( co_scalarInfo[scalarLabel], MATCH( scalarDataframe[[#This Row],[scalarName]], co_scalarInfo[scalarName], 0 ) )</f>
        <v>Southwest Dusts (All Ages)</v>
      </c>
      <c r="D727" s="133" t="s">
        <v>259</v>
      </c>
      <c r="E727" s="131" t="s">
        <v>7</v>
      </c>
      <c r="F727" s="130">
        <v>2200</v>
      </c>
      <c r="G727" s="132">
        <v>0</v>
      </c>
    </row>
    <row r="728" spans="1:7" x14ac:dyDescent="0.35">
      <c r="A728" s="9">
        <f xml:space="preserve"> ROW( scalarDataframe[[#This Row],[row_id]] ) - ROW( scalarDataframe[[#Headers],[row_id]] )</f>
        <v>727</v>
      </c>
      <c r="B728" s="16" t="str">
        <f xml:space="preserve"> INDEX( co_scalarInfo[scalarType], MATCH( scalarDataframe[[#This Row],[scalarName]],  co_scalarInfo[scalarName], 0 ) )</f>
        <v>physAdj</v>
      </c>
      <c r="C728" s="44" t="str">
        <f xml:space="preserve"> INDEX( co_scalarInfo[scalarLabel], MATCH( scalarDataframe[[#This Row],[scalarName]], co_scalarInfo[scalarName], 0 ) )</f>
        <v>Southwest Dusts (All Ages)</v>
      </c>
      <c r="D728" s="133" t="s">
        <v>259</v>
      </c>
      <c r="E728" s="131" t="s">
        <v>8</v>
      </c>
      <c r="F728" s="130">
        <v>2200</v>
      </c>
      <c r="G728" s="132">
        <v>0</v>
      </c>
    </row>
    <row r="729" spans="1:7" x14ac:dyDescent="0.35">
      <c r="A729" s="9">
        <f xml:space="preserve"> ROW( scalarDataframe[[#This Row],[row_id]] ) - ROW( scalarDataframe[[#Headers],[row_id]] )</f>
        <v>728</v>
      </c>
      <c r="B729" s="16" t="str">
        <f xml:space="preserve"> INDEX( co_scalarInfo[scalarType], MATCH( scalarDataframe[[#This Row],[scalarName]],  co_scalarInfo[scalarName], 0 ) )</f>
        <v>physAdj</v>
      </c>
      <c r="C729" s="44" t="str">
        <f xml:space="preserve"> INDEX( co_scalarInfo[scalarLabel], MATCH( scalarDataframe[[#This Row],[scalarName]], co_scalarInfo[scalarName], 0 ) )</f>
        <v>Southwest Dusts (All Ages)</v>
      </c>
      <c r="D729" s="133" t="s">
        <v>259</v>
      </c>
      <c r="E729" s="131" t="s">
        <v>9</v>
      </c>
      <c r="F729" s="130">
        <v>2200</v>
      </c>
      <c r="G729" s="132">
        <v>0</v>
      </c>
    </row>
    <row r="730" spans="1:7" x14ac:dyDescent="0.35">
      <c r="A730" s="9">
        <f xml:space="preserve"> ROW( scalarDataframe[[#This Row],[row_id]] ) - ROW( scalarDataframe[[#Headers],[row_id]] )</f>
        <v>729</v>
      </c>
      <c r="B730" s="16" t="str">
        <f xml:space="preserve"> INDEX( co_scalarInfo[scalarType], MATCH( scalarDataframe[[#This Row],[scalarName]],  co_scalarInfo[scalarName], 0 ) )</f>
        <v>physAdj</v>
      </c>
      <c r="C730" s="44" t="str">
        <f xml:space="preserve"> INDEX( co_scalarInfo[scalarLabel], MATCH( scalarDataframe[[#This Row],[scalarName]], co_scalarInfo[scalarName], 0 ) )</f>
        <v>Southwest Dusts (All Ages)</v>
      </c>
      <c r="D730" s="133" t="s">
        <v>259</v>
      </c>
      <c r="E730" s="131" t="s">
        <v>10</v>
      </c>
      <c r="F730" s="130">
        <v>2200</v>
      </c>
      <c r="G730" s="132">
        <v>0</v>
      </c>
    </row>
    <row r="731" spans="1:7" x14ac:dyDescent="0.35">
      <c r="A731" s="9">
        <f xml:space="preserve"> ROW( scalarDataframe[[#This Row],[row_id]] ) - ROW( scalarDataframe[[#Headers],[row_id]] )</f>
        <v>730</v>
      </c>
      <c r="B731" s="16" t="str">
        <f xml:space="preserve"> INDEX( co_scalarInfo[scalarType], MATCH( scalarDataframe[[#This Row],[scalarName]],  co_scalarInfo[scalarName], 0 ) )</f>
        <v>physAdj</v>
      </c>
      <c r="C731" s="44" t="str">
        <f xml:space="preserve"> INDEX( co_scalarInfo[scalarLabel], MATCH( scalarDataframe[[#This Row],[scalarName]], co_scalarInfo[scalarName], 0 ) )</f>
        <v>Southwest Dusts (All Ages)</v>
      </c>
      <c r="D731" s="133" t="s">
        <v>259</v>
      </c>
      <c r="E731" s="131" t="s">
        <v>11</v>
      </c>
      <c r="F731" s="130">
        <v>2200</v>
      </c>
      <c r="G731" s="132">
        <v>0</v>
      </c>
    </row>
    <row r="732" spans="1:7" x14ac:dyDescent="0.35">
      <c r="A732" s="9">
        <f xml:space="preserve"> ROW( scalarDataframe[[#This Row],[row_id]] ) - ROW( scalarDataframe[[#Headers],[row_id]] )</f>
        <v>731</v>
      </c>
      <c r="B732" s="16" t="str">
        <f xml:space="preserve"> INDEX( co_scalarInfo[scalarType], MATCH( scalarDataframe[[#This Row],[scalarName]],  co_scalarInfo[scalarName], 0 ) )</f>
        <v>physAdj</v>
      </c>
      <c r="C732" s="44" t="str">
        <f xml:space="preserve"> INDEX( co_scalarInfo[scalarLabel], MATCH( scalarDataframe[[#This Row],[scalarName]], co_scalarInfo[scalarName], 0 ) )</f>
        <v>Southwest Dusts (All Ages)</v>
      </c>
      <c r="D732" s="133" t="s">
        <v>259</v>
      </c>
      <c r="E732" s="131" t="s">
        <v>12</v>
      </c>
      <c r="F732" s="130">
        <v>2200</v>
      </c>
      <c r="G732" s="132">
        <v>0.26600775716086311</v>
      </c>
    </row>
    <row r="733" spans="1:7" x14ac:dyDescent="0.35">
      <c r="A733" s="9">
        <f xml:space="preserve"> ROW( scalarDataframe[[#This Row],[row_id]] ) - ROW( scalarDataframe[[#Headers],[row_id]] )</f>
        <v>732</v>
      </c>
      <c r="B733" s="16" t="str">
        <f xml:space="preserve"> INDEX( co_scalarInfo[scalarType], MATCH( scalarDataframe[[#This Row],[scalarName]],  co_scalarInfo[scalarName], 0 ) )</f>
        <v>physAdj</v>
      </c>
      <c r="C733" s="44" t="str">
        <f xml:space="preserve"> INDEX( co_scalarInfo[scalarLabel], MATCH( scalarDataframe[[#This Row],[scalarName]], co_scalarInfo[scalarName], 0 ) )</f>
        <v>Southwest Dusts (All Ages)</v>
      </c>
      <c r="D733" s="133" t="s">
        <v>259</v>
      </c>
      <c r="E733" s="131" t="s">
        <v>6</v>
      </c>
      <c r="F733" s="130">
        <v>2300</v>
      </c>
      <c r="G733" s="132">
        <v>0</v>
      </c>
    </row>
    <row r="734" spans="1:7" x14ac:dyDescent="0.35">
      <c r="A734" s="9">
        <f xml:space="preserve"> ROW( scalarDataframe[[#This Row],[row_id]] ) - ROW( scalarDataframe[[#Headers],[row_id]] )</f>
        <v>733</v>
      </c>
      <c r="B734" s="16" t="str">
        <f xml:space="preserve"> INDEX( co_scalarInfo[scalarType], MATCH( scalarDataframe[[#This Row],[scalarName]],  co_scalarInfo[scalarName], 0 ) )</f>
        <v>physAdj</v>
      </c>
      <c r="C734" s="44" t="str">
        <f xml:space="preserve"> INDEX( co_scalarInfo[scalarLabel], MATCH( scalarDataframe[[#This Row],[scalarName]], co_scalarInfo[scalarName], 0 ) )</f>
        <v>Southwest Dusts (All Ages)</v>
      </c>
      <c r="D734" s="133" t="s">
        <v>259</v>
      </c>
      <c r="E734" s="131" t="s">
        <v>7</v>
      </c>
      <c r="F734" s="130">
        <v>2300</v>
      </c>
      <c r="G734" s="132">
        <v>0</v>
      </c>
    </row>
    <row r="735" spans="1:7" x14ac:dyDescent="0.35">
      <c r="A735" s="9">
        <f xml:space="preserve"> ROW( scalarDataframe[[#This Row],[row_id]] ) - ROW( scalarDataframe[[#Headers],[row_id]] )</f>
        <v>734</v>
      </c>
      <c r="B735" s="16" t="str">
        <f xml:space="preserve"> INDEX( co_scalarInfo[scalarType], MATCH( scalarDataframe[[#This Row],[scalarName]],  co_scalarInfo[scalarName], 0 ) )</f>
        <v>physAdj</v>
      </c>
      <c r="C735" s="44" t="str">
        <f xml:space="preserve"> INDEX( co_scalarInfo[scalarLabel], MATCH( scalarDataframe[[#This Row],[scalarName]], co_scalarInfo[scalarName], 0 ) )</f>
        <v>Southwest Dusts (All Ages)</v>
      </c>
      <c r="D735" s="133" t="s">
        <v>259</v>
      </c>
      <c r="E735" s="131" t="s">
        <v>8</v>
      </c>
      <c r="F735" s="130">
        <v>2300</v>
      </c>
      <c r="G735" s="132">
        <v>0</v>
      </c>
    </row>
    <row r="736" spans="1:7" x14ac:dyDescent="0.35">
      <c r="A736" s="9">
        <f xml:space="preserve"> ROW( scalarDataframe[[#This Row],[row_id]] ) - ROW( scalarDataframe[[#Headers],[row_id]] )</f>
        <v>735</v>
      </c>
      <c r="B736" s="16" t="str">
        <f xml:space="preserve"> INDEX( co_scalarInfo[scalarType], MATCH( scalarDataframe[[#This Row],[scalarName]],  co_scalarInfo[scalarName], 0 ) )</f>
        <v>physAdj</v>
      </c>
      <c r="C736" s="44" t="str">
        <f xml:space="preserve"> INDEX( co_scalarInfo[scalarLabel], MATCH( scalarDataframe[[#This Row],[scalarName]], co_scalarInfo[scalarName], 0 ) )</f>
        <v>Southwest Dusts (All Ages)</v>
      </c>
      <c r="D736" s="133" t="s">
        <v>259</v>
      </c>
      <c r="E736" s="131" t="s">
        <v>9</v>
      </c>
      <c r="F736" s="130">
        <v>2300</v>
      </c>
      <c r="G736" s="132">
        <v>0</v>
      </c>
    </row>
    <row r="737" spans="1:7" x14ac:dyDescent="0.35">
      <c r="A737" s="9">
        <f xml:space="preserve"> ROW( scalarDataframe[[#This Row],[row_id]] ) - ROW( scalarDataframe[[#Headers],[row_id]] )</f>
        <v>736</v>
      </c>
      <c r="B737" s="16" t="str">
        <f xml:space="preserve"> INDEX( co_scalarInfo[scalarType], MATCH( scalarDataframe[[#This Row],[scalarName]],  co_scalarInfo[scalarName], 0 ) )</f>
        <v>physAdj</v>
      </c>
      <c r="C737" s="44" t="str">
        <f xml:space="preserve"> INDEX( co_scalarInfo[scalarLabel], MATCH( scalarDataframe[[#This Row],[scalarName]], co_scalarInfo[scalarName], 0 ) )</f>
        <v>Southwest Dusts (All Ages)</v>
      </c>
      <c r="D737" s="133" t="s">
        <v>259</v>
      </c>
      <c r="E737" s="131" t="s">
        <v>10</v>
      </c>
      <c r="F737" s="130">
        <v>2300</v>
      </c>
      <c r="G737" s="132">
        <v>0</v>
      </c>
    </row>
    <row r="738" spans="1:7" x14ac:dyDescent="0.35">
      <c r="A738" s="9">
        <f xml:space="preserve"> ROW( scalarDataframe[[#This Row],[row_id]] ) - ROW( scalarDataframe[[#Headers],[row_id]] )</f>
        <v>737</v>
      </c>
      <c r="B738" s="16" t="str">
        <f xml:space="preserve"> INDEX( co_scalarInfo[scalarType], MATCH( scalarDataframe[[#This Row],[scalarName]],  co_scalarInfo[scalarName], 0 ) )</f>
        <v>physAdj</v>
      </c>
      <c r="C738" s="44" t="str">
        <f xml:space="preserve"> INDEX( co_scalarInfo[scalarLabel], MATCH( scalarDataframe[[#This Row],[scalarName]], co_scalarInfo[scalarName], 0 ) )</f>
        <v>Southwest Dusts (All Ages)</v>
      </c>
      <c r="D738" s="133" t="s">
        <v>259</v>
      </c>
      <c r="E738" s="131" t="s">
        <v>11</v>
      </c>
      <c r="F738" s="130">
        <v>2300</v>
      </c>
      <c r="G738" s="132">
        <v>0</v>
      </c>
    </row>
    <row r="739" spans="1:7" x14ac:dyDescent="0.35">
      <c r="A739" s="9">
        <f xml:space="preserve"> ROW( scalarDataframe[[#This Row],[row_id]] ) - ROW( scalarDataframe[[#Headers],[row_id]] )</f>
        <v>738</v>
      </c>
      <c r="B739" s="16" t="str">
        <f xml:space="preserve"> INDEX( co_scalarInfo[scalarType], MATCH( scalarDataframe[[#This Row],[scalarName]],  co_scalarInfo[scalarName], 0 ) )</f>
        <v>physAdj</v>
      </c>
      <c r="C739" s="44" t="str">
        <f xml:space="preserve"> INDEX( co_scalarInfo[scalarLabel], MATCH( scalarDataframe[[#This Row],[scalarName]], co_scalarInfo[scalarName], 0 ) )</f>
        <v>Southwest Dusts (All Ages)</v>
      </c>
      <c r="D739" s="133" t="s">
        <v>259</v>
      </c>
      <c r="E739" s="131" t="s">
        <v>12</v>
      </c>
      <c r="F739" s="130">
        <v>2300</v>
      </c>
      <c r="G739" s="132">
        <v>0.26600775716086311</v>
      </c>
    </row>
    <row r="740" spans="1:7" x14ac:dyDescent="0.35">
      <c r="A740" s="9">
        <f xml:space="preserve"> ROW( scalarDataframe[[#This Row],[row_id]] ) - ROW( scalarDataframe[[#Headers],[row_id]] )</f>
        <v>739</v>
      </c>
      <c r="B740" s="16" t="str">
        <f xml:space="preserve"> INDEX( co_scalarInfo[scalarType], MATCH( scalarDataframe[[#This Row],[scalarName]],  co_scalarInfo[scalarName], 0 ) )</f>
        <v>damageAdj</v>
      </c>
      <c r="C740" s="44" t="str">
        <f xml:space="preserve"> INDEX( co_scalarInfo[scalarLabel], MATCH( scalarDataframe[[#This Row],[scalarName]], co_scalarInfo[scalarName], 0 ) )</f>
        <v>Rail Traffic Growth Factor</v>
      </c>
      <c r="D740" s="133" t="s">
        <v>781</v>
      </c>
      <c r="E740" s="131" t="s">
        <v>13</v>
      </c>
      <c r="F740" s="130">
        <v>2100</v>
      </c>
      <c r="G740" s="132">
        <v>4.5285436209868806</v>
      </c>
    </row>
    <row r="741" spans="1:7" x14ac:dyDescent="0.35">
      <c r="A741" s="9">
        <f xml:space="preserve"> ROW( scalarDataframe[[#This Row],[row_id]] ) - ROW( scalarDataframe[[#Headers],[row_id]] )</f>
        <v>740</v>
      </c>
      <c r="B741" s="16" t="str">
        <f xml:space="preserve"> INDEX( co_scalarInfo[scalarType], MATCH( scalarDataframe[[#This Row],[scalarName]],  co_scalarInfo[scalarName], 0 ) )</f>
        <v>damageAdj</v>
      </c>
      <c r="C741" s="44" t="str">
        <f xml:space="preserve"> INDEX( co_scalarInfo[scalarLabel], MATCH( scalarDataframe[[#This Row],[scalarName]], co_scalarInfo[scalarName], 0 ) )</f>
        <v>Rail Traffic Growth Factor</v>
      </c>
      <c r="D741" s="133" t="s">
        <v>781</v>
      </c>
      <c r="E741" s="131" t="s">
        <v>13</v>
      </c>
      <c r="F741" s="130">
        <v>2200</v>
      </c>
      <c r="G741" s="132">
        <v>9.2349693636240744</v>
      </c>
    </row>
    <row r="742" spans="1:7" x14ac:dyDescent="0.35">
      <c r="A742" s="9">
        <f xml:space="preserve"> ROW( scalarDataframe[[#This Row],[row_id]] ) - ROW( scalarDataframe[[#Headers],[row_id]] )</f>
        <v>741</v>
      </c>
      <c r="B742" s="16" t="str">
        <f xml:space="preserve"> INDEX( co_scalarInfo[scalarType], MATCH( scalarDataframe[[#This Row],[scalarName]],  co_scalarInfo[scalarName], 0 ) )</f>
        <v>damageAdj</v>
      </c>
      <c r="C742" s="44" t="str">
        <f xml:space="preserve"> INDEX( co_scalarInfo[scalarLabel], MATCH( scalarDataframe[[#This Row],[scalarName]], co_scalarInfo[scalarName], 0 ) )</f>
        <v>Rail Traffic Growth Factor</v>
      </c>
      <c r="D742" s="133" t="s">
        <v>781</v>
      </c>
      <c r="E742" s="131" t="s">
        <v>13</v>
      </c>
      <c r="F742" s="130">
        <v>2300</v>
      </c>
      <c r="G742" s="132">
        <v>13.941395106261268</v>
      </c>
    </row>
    <row r="743" spans="1:7" x14ac:dyDescent="0.35">
      <c r="A743" s="9">
        <f xml:space="preserve"> ROW( scalarDataframe[[#This Row],[row_id]] ) - ROW( scalarDataframe[[#Headers],[row_id]] )</f>
        <v>742</v>
      </c>
      <c r="B743" s="16" t="str">
        <f xml:space="preserve"> INDEX( co_scalarInfo[scalarType], MATCH( scalarDataframe[[#This Row],[scalarName]],  co_scalarInfo[scalarName], 0 ) )</f>
        <v>damageAdj</v>
      </c>
      <c r="C743" s="44" t="str">
        <f xml:space="preserve"> INDEX( co_scalarInfo[scalarLabel], MATCH( scalarDataframe[[#This Row],[scalarName]], co_scalarInfo[scalarName], 0 ) )</f>
        <v>Population-Driven Demand Growth Factor for Grid Reliability</v>
      </c>
      <c r="D743" s="133" t="s">
        <v>998</v>
      </c>
      <c r="E743" s="131" t="s">
        <v>6</v>
      </c>
      <c r="F743" s="130">
        <v>2100</v>
      </c>
      <c r="G743" s="132">
        <v>1.4850893005702073</v>
      </c>
    </row>
    <row r="744" spans="1:7" x14ac:dyDescent="0.35">
      <c r="A744" s="9">
        <f xml:space="preserve"> ROW( scalarDataframe[[#This Row],[row_id]] ) - ROW( scalarDataframe[[#Headers],[row_id]] )</f>
        <v>743</v>
      </c>
      <c r="B744" s="16" t="str">
        <f xml:space="preserve"> INDEX( co_scalarInfo[scalarType], MATCH( scalarDataframe[[#This Row],[scalarName]],  co_scalarInfo[scalarName], 0 ) )</f>
        <v>damageAdj</v>
      </c>
      <c r="C744" s="44" t="str">
        <f xml:space="preserve"> INDEX( co_scalarInfo[scalarLabel], MATCH( scalarDataframe[[#This Row],[scalarName]], co_scalarInfo[scalarName], 0 ) )</f>
        <v>Population-Driven Demand Growth Factor for Grid Reliability</v>
      </c>
      <c r="D744" s="133" t="s">
        <v>998</v>
      </c>
      <c r="E744" s="131" t="s">
        <v>7</v>
      </c>
      <c r="F744" s="130">
        <v>2100</v>
      </c>
      <c r="G744" s="132">
        <v>1.5923438330431203</v>
      </c>
    </row>
    <row r="745" spans="1:7" x14ac:dyDescent="0.35">
      <c r="A745" s="9">
        <f xml:space="preserve"> ROW( scalarDataframe[[#This Row],[row_id]] ) - ROW( scalarDataframe[[#Headers],[row_id]] )</f>
        <v>744</v>
      </c>
      <c r="B745" s="16" t="str">
        <f xml:space="preserve"> INDEX( co_scalarInfo[scalarType], MATCH( scalarDataframe[[#This Row],[scalarName]],  co_scalarInfo[scalarName], 0 ) )</f>
        <v>damageAdj</v>
      </c>
      <c r="C745" s="44" t="str">
        <f xml:space="preserve"> INDEX( co_scalarInfo[scalarLabel], MATCH( scalarDataframe[[#This Row],[scalarName]], co_scalarInfo[scalarName], 0 ) )</f>
        <v>Population-Driven Demand Growth Factor for Grid Reliability</v>
      </c>
      <c r="D745" s="133" t="s">
        <v>998</v>
      </c>
      <c r="E745" s="131" t="s">
        <v>8</v>
      </c>
      <c r="F745" s="130">
        <v>2100</v>
      </c>
      <c r="G745" s="132">
        <v>2.0954654699694366</v>
      </c>
    </row>
    <row r="746" spans="1:7" x14ac:dyDescent="0.35">
      <c r="A746" s="9">
        <f xml:space="preserve"> ROW( scalarDataframe[[#This Row],[row_id]] ) - ROW( scalarDataframe[[#Headers],[row_id]] )</f>
        <v>745</v>
      </c>
      <c r="B746" s="16" t="str">
        <f xml:space="preserve"> INDEX( co_scalarInfo[scalarType], MATCH( scalarDataframe[[#This Row],[scalarName]],  co_scalarInfo[scalarName], 0 ) )</f>
        <v>damageAdj</v>
      </c>
      <c r="C746" s="44" t="str">
        <f xml:space="preserve"> INDEX( co_scalarInfo[scalarLabel], MATCH( scalarDataframe[[#This Row],[scalarName]], co_scalarInfo[scalarName], 0 ) )</f>
        <v>Population-Driven Demand Growth Factor for Grid Reliability</v>
      </c>
      <c r="D746" s="133" t="s">
        <v>998</v>
      </c>
      <c r="E746" s="131" t="s">
        <v>9</v>
      </c>
      <c r="F746" s="130">
        <v>2100</v>
      </c>
      <c r="G746" s="132">
        <v>1.8937572976374462</v>
      </c>
    </row>
    <row r="747" spans="1:7" x14ac:dyDescent="0.35">
      <c r="A747" s="9">
        <f xml:space="preserve"> ROW( scalarDataframe[[#This Row],[row_id]] ) - ROW( scalarDataframe[[#Headers],[row_id]] )</f>
        <v>746</v>
      </c>
      <c r="B747" s="16" t="str">
        <f xml:space="preserve"> INDEX( co_scalarInfo[scalarType], MATCH( scalarDataframe[[#This Row],[scalarName]],  co_scalarInfo[scalarName], 0 ) )</f>
        <v>damageAdj</v>
      </c>
      <c r="C747" s="44" t="str">
        <f xml:space="preserve"> INDEX( co_scalarInfo[scalarLabel], MATCH( scalarDataframe[[#This Row],[scalarName]], co_scalarInfo[scalarName], 0 ) )</f>
        <v>Population-Driven Demand Growth Factor for Grid Reliability</v>
      </c>
      <c r="D747" s="133" t="s">
        <v>998</v>
      </c>
      <c r="E747" s="131" t="s">
        <v>10</v>
      </c>
      <c r="F747" s="130">
        <v>2100</v>
      </c>
      <c r="G747" s="132">
        <v>1.9049463226697299</v>
      </c>
    </row>
    <row r="748" spans="1:7" x14ac:dyDescent="0.35">
      <c r="A748" s="9">
        <f xml:space="preserve"> ROW( scalarDataframe[[#This Row],[row_id]] ) - ROW( scalarDataframe[[#Headers],[row_id]] )</f>
        <v>747</v>
      </c>
      <c r="B748" s="16" t="str">
        <f xml:space="preserve"> INDEX( co_scalarInfo[scalarType], MATCH( scalarDataframe[[#This Row],[scalarName]],  co_scalarInfo[scalarName], 0 ) )</f>
        <v>damageAdj</v>
      </c>
      <c r="C748" s="44" t="str">
        <f xml:space="preserve"> INDEX( co_scalarInfo[scalarLabel], MATCH( scalarDataframe[[#This Row],[scalarName]], co_scalarInfo[scalarName], 0 ) )</f>
        <v>Population-Driven Demand Growth Factor for Grid Reliability</v>
      </c>
      <c r="D748" s="133" t="s">
        <v>998</v>
      </c>
      <c r="E748" s="131" t="s">
        <v>11</v>
      </c>
      <c r="F748" s="130">
        <v>2100</v>
      </c>
      <c r="G748" s="132">
        <v>2.4231616195986447</v>
      </c>
    </row>
    <row r="749" spans="1:7" x14ac:dyDescent="0.35">
      <c r="A749" s="9">
        <f xml:space="preserve"> ROW( scalarDataframe[[#This Row],[row_id]] ) - ROW( scalarDataframe[[#Headers],[row_id]] )</f>
        <v>748</v>
      </c>
      <c r="B749" s="16" t="str">
        <f xml:space="preserve"> INDEX( co_scalarInfo[scalarType], MATCH( scalarDataframe[[#This Row],[scalarName]],  co_scalarInfo[scalarName], 0 ) )</f>
        <v>damageAdj</v>
      </c>
      <c r="C749" s="44" t="str">
        <f xml:space="preserve"> INDEX( co_scalarInfo[scalarLabel], MATCH( scalarDataframe[[#This Row],[scalarName]], co_scalarInfo[scalarName], 0 ) )</f>
        <v>Population-Driven Demand Growth Factor for Grid Reliability</v>
      </c>
      <c r="D749" s="133" t="s">
        <v>998</v>
      </c>
      <c r="E749" s="131" t="s">
        <v>12</v>
      </c>
      <c r="F749" s="130">
        <v>2100</v>
      </c>
      <c r="G749" s="132">
        <v>2.5172334806660004</v>
      </c>
    </row>
    <row r="750" spans="1:7" x14ac:dyDescent="0.35">
      <c r="A750" s="9">
        <f xml:space="preserve"> ROW( scalarDataframe[[#This Row],[row_id]] ) - ROW( scalarDataframe[[#Headers],[row_id]] )</f>
        <v>749</v>
      </c>
      <c r="B750" s="16" t="str">
        <f xml:space="preserve"> INDEX( co_scalarInfo[scalarType], MATCH( scalarDataframe[[#This Row],[scalarName]],  co_scalarInfo[scalarName], 0 ) )</f>
        <v>damageAdj</v>
      </c>
      <c r="C750" s="44" t="str">
        <f xml:space="preserve"> INDEX( co_scalarInfo[scalarLabel], MATCH( scalarDataframe[[#This Row],[scalarName]], co_scalarInfo[scalarName], 0 ) )</f>
        <v>Population-Driven Demand Growth Factor for Grid Reliability</v>
      </c>
      <c r="D750" s="133" t="s">
        <v>998</v>
      </c>
      <c r="E750" s="131" t="s">
        <v>6</v>
      </c>
      <c r="F750" s="130">
        <v>2200</v>
      </c>
      <c r="G750" s="132">
        <v>2.1986660938521219</v>
      </c>
    </row>
    <row r="751" spans="1:7" x14ac:dyDescent="0.35">
      <c r="A751" s="9">
        <f xml:space="preserve"> ROW( scalarDataframe[[#This Row],[row_id]] ) - ROW( scalarDataframe[[#Headers],[row_id]] )</f>
        <v>750</v>
      </c>
      <c r="B751" s="16" t="str">
        <f xml:space="preserve"> INDEX( co_scalarInfo[scalarType], MATCH( scalarDataframe[[#This Row],[scalarName]],  co_scalarInfo[scalarName], 0 ) )</f>
        <v>damageAdj</v>
      </c>
      <c r="C751" s="44" t="str">
        <f xml:space="preserve"> INDEX( co_scalarInfo[scalarLabel], MATCH( scalarDataframe[[#This Row],[scalarName]], co_scalarInfo[scalarName], 0 ) )</f>
        <v>Population-Driven Demand Growth Factor for Grid Reliability</v>
      </c>
      <c r="D751" s="133" t="s">
        <v>998</v>
      </c>
      <c r="E751" s="131" t="s">
        <v>7</v>
      </c>
      <c r="F751" s="130">
        <v>2200</v>
      </c>
      <c r="G751" s="132">
        <v>2.4370061654218667</v>
      </c>
    </row>
    <row r="752" spans="1:7" x14ac:dyDescent="0.35">
      <c r="A752" s="9">
        <f xml:space="preserve"> ROW( scalarDataframe[[#This Row],[row_id]] ) - ROW( scalarDataframe[[#Headers],[row_id]] )</f>
        <v>751</v>
      </c>
      <c r="B752" s="16" t="str">
        <f xml:space="preserve"> INDEX( co_scalarInfo[scalarType], MATCH( scalarDataframe[[#This Row],[scalarName]],  co_scalarInfo[scalarName], 0 ) )</f>
        <v>damageAdj</v>
      </c>
      <c r="C752" s="44" t="str">
        <f xml:space="preserve"> INDEX( co_scalarInfo[scalarLabel], MATCH( scalarDataframe[[#This Row],[scalarName]], co_scalarInfo[scalarName], 0 ) )</f>
        <v>Population-Driven Demand Growth Factor for Grid Reliability</v>
      </c>
      <c r="D752" s="133" t="s">
        <v>998</v>
      </c>
      <c r="E752" s="131" t="s">
        <v>8</v>
      </c>
      <c r="F752" s="130">
        <v>2200</v>
      </c>
      <c r="G752" s="132">
        <v>3.4107607171884915</v>
      </c>
    </row>
    <row r="753" spans="1:7" x14ac:dyDescent="0.35">
      <c r="A753" s="9">
        <f xml:space="preserve"> ROW( scalarDataframe[[#This Row],[row_id]] ) - ROW( scalarDataframe[[#Headers],[row_id]] )</f>
        <v>752</v>
      </c>
      <c r="B753" s="16" t="str">
        <f xml:space="preserve"> INDEX( co_scalarInfo[scalarType], MATCH( scalarDataframe[[#This Row],[scalarName]],  co_scalarInfo[scalarName], 0 ) )</f>
        <v>damageAdj</v>
      </c>
      <c r="C753" s="44" t="str">
        <f xml:space="preserve"> INDEX( co_scalarInfo[scalarLabel], MATCH( scalarDataframe[[#This Row],[scalarName]], co_scalarInfo[scalarName], 0 ) )</f>
        <v>Population-Driven Demand Growth Factor for Grid Reliability</v>
      </c>
      <c r="D753" s="133" t="s">
        <v>998</v>
      </c>
      <c r="E753" s="131" t="s">
        <v>9</v>
      </c>
      <c r="F753" s="130">
        <v>2200</v>
      </c>
      <c r="G753" s="132">
        <v>2.9351674804293317</v>
      </c>
    </row>
    <row r="754" spans="1:7" x14ac:dyDescent="0.35">
      <c r="A754" s="9">
        <f xml:space="preserve"> ROW( scalarDataframe[[#This Row],[row_id]] ) - ROW( scalarDataframe[[#Headers],[row_id]] )</f>
        <v>753</v>
      </c>
      <c r="B754" s="16" t="str">
        <f xml:space="preserve"> INDEX( co_scalarInfo[scalarType], MATCH( scalarDataframe[[#This Row],[scalarName]],  co_scalarInfo[scalarName], 0 ) )</f>
        <v>damageAdj</v>
      </c>
      <c r="C754" s="44" t="str">
        <f xml:space="preserve"> INDEX( co_scalarInfo[scalarLabel], MATCH( scalarDataframe[[#This Row],[scalarName]], co_scalarInfo[scalarName], 0 ) )</f>
        <v>Population-Driven Demand Growth Factor for Grid Reliability</v>
      </c>
      <c r="D754" s="133" t="s">
        <v>998</v>
      </c>
      <c r="E754" s="131" t="s">
        <v>10</v>
      </c>
      <c r="F754" s="130">
        <v>2200</v>
      </c>
      <c r="G754" s="132">
        <v>2.8717064322295798</v>
      </c>
    </row>
    <row r="755" spans="1:7" x14ac:dyDescent="0.35">
      <c r="A755" s="9">
        <f xml:space="preserve"> ROW( scalarDataframe[[#This Row],[row_id]] ) - ROW( scalarDataframe[[#Headers],[row_id]] )</f>
        <v>754</v>
      </c>
      <c r="B755" s="16" t="str">
        <f xml:space="preserve"> INDEX( co_scalarInfo[scalarType], MATCH( scalarDataframe[[#This Row],[scalarName]],  co_scalarInfo[scalarName], 0 ) )</f>
        <v>damageAdj</v>
      </c>
      <c r="C755" s="44" t="str">
        <f xml:space="preserve"> INDEX( co_scalarInfo[scalarLabel], MATCH( scalarDataframe[[#This Row],[scalarName]], co_scalarInfo[scalarName], 0 ) )</f>
        <v>Population-Driven Demand Growth Factor for Grid Reliability</v>
      </c>
      <c r="D755" s="133" t="s">
        <v>998</v>
      </c>
      <c r="E755" s="131" t="s">
        <v>11</v>
      </c>
      <c r="F755" s="130">
        <v>2200</v>
      </c>
      <c r="G755" s="132">
        <v>3.8453977599572973</v>
      </c>
    </row>
    <row r="756" spans="1:7" x14ac:dyDescent="0.35">
      <c r="A756" s="9">
        <f xml:space="preserve"> ROW( scalarDataframe[[#This Row],[row_id]] ) - ROW( scalarDataframe[[#Headers],[row_id]] )</f>
        <v>755</v>
      </c>
      <c r="B756" s="16" t="str">
        <f xml:space="preserve"> INDEX( co_scalarInfo[scalarType], MATCH( scalarDataframe[[#This Row],[scalarName]],  co_scalarInfo[scalarName], 0 ) )</f>
        <v>damageAdj</v>
      </c>
      <c r="C756" s="44" t="str">
        <f xml:space="preserve"> INDEX( co_scalarInfo[scalarLabel], MATCH( scalarDataframe[[#This Row],[scalarName]], co_scalarInfo[scalarName], 0 ) )</f>
        <v>Population-Driven Demand Growth Factor for Grid Reliability</v>
      </c>
      <c r="D756" s="133" t="s">
        <v>998</v>
      </c>
      <c r="E756" s="131" t="s">
        <v>12</v>
      </c>
      <c r="F756" s="130">
        <v>2200</v>
      </c>
      <c r="G756" s="132">
        <v>4.4064627564087218</v>
      </c>
    </row>
    <row r="757" spans="1:7" x14ac:dyDescent="0.35">
      <c r="A757" s="9">
        <f xml:space="preserve"> ROW( scalarDataframe[[#This Row],[row_id]] ) - ROW( scalarDataframe[[#Headers],[row_id]] )</f>
        <v>756</v>
      </c>
      <c r="B757" s="16" t="str">
        <f xml:space="preserve"> INDEX( co_scalarInfo[scalarType], MATCH( scalarDataframe[[#This Row],[scalarName]],  co_scalarInfo[scalarName], 0 ) )</f>
        <v>damageAdj</v>
      </c>
      <c r="C757" s="44" t="str">
        <f xml:space="preserve"> INDEX( co_scalarInfo[scalarLabel], MATCH( scalarDataframe[[#This Row],[scalarName]], co_scalarInfo[scalarName], 0 ) )</f>
        <v>Population-Driven Demand Growth Factor for Grid Reliability</v>
      </c>
      <c r="D757" s="133" t="s">
        <v>998</v>
      </c>
      <c r="E757" s="131" t="s">
        <v>6</v>
      </c>
      <c r="F757" s="130">
        <v>2300</v>
      </c>
      <c r="G757" s="132">
        <v>2.9122428871340382</v>
      </c>
    </row>
    <row r="758" spans="1:7" x14ac:dyDescent="0.35">
      <c r="A758" s="9">
        <f xml:space="preserve"> ROW( scalarDataframe[[#This Row],[row_id]] ) - ROW( scalarDataframe[[#Headers],[row_id]] )</f>
        <v>757</v>
      </c>
      <c r="B758" s="16" t="str">
        <f xml:space="preserve"> INDEX( co_scalarInfo[scalarType], MATCH( scalarDataframe[[#This Row],[scalarName]],  co_scalarInfo[scalarName], 0 ) )</f>
        <v>damageAdj</v>
      </c>
      <c r="C758" s="44" t="str">
        <f xml:space="preserve"> INDEX( co_scalarInfo[scalarLabel], MATCH( scalarDataframe[[#This Row],[scalarName]], co_scalarInfo[scalarName], 0 ) )</f>
        <v>Population-Driven Demand Growth Factor for Grid Reliability</v>
      </c>
      <c r="D758" s="133" t="s">
        <v>998</v>
      </c>
      <c r="E758" s="131" t="s">
        <v>7</v>
      </c>
      <c r="F758" s="130">
        <v>2300</v>
      </c>
      <c r="G758" s="132">
        <v>3.2816684978006165</v>
      </c>
    </row>
    <row r="759" spans="1:7" x14ac:dyDescent="0.35">
      <c r="A759" s="9">
        <f xml:space="preserve"> ROW( scalarDataframe[[#This Row],[row_id]] ) - ROW( scalarDataframe[[#Headers],[row_id]] )</f>
        <v>758</v>
      </c>
      <c r="B759" s="16" t="str">
        <f xml:space="preserve"> INDEX( co_scalarInfo[scalarType], MATCH( scalarDataframe[[#This Row],[scalarName]],  co_scalarInfo[scalarName], 0 ) )</f>
        <v>damageAdj</v>
      </c>
      <c r="C759" s="44" t="str">
        <f xml:space="preserve"> INDEX( co_scalarInfo[scalarLabel], MATCH( scalarDataframe[[#This Row],[scalarName]], co_scalarInfo[scalarName], 0 ) )</f>
        <v>Population-Driven Demand Growth Factor for Grid Reliability</v>
      </c>
      <c r="D759" s="133" t="s">
        <v>998</v>
      </c>
      <c r="E759" s="131" t="s">
        <v>8</v>
      </c>
      <c r="F759" s="130">
        <v>2300</v>
      </c>
      <c r="G759" s="132">
        <v>4.7260559644075464</v>
      </c>
    </row>
    <row r="760" spans="1:7" x14ac:dyDescent="0.35">
      <c r="A760" s="9">
        <f xml:space="preserve"> ROW( scalarDataframe[[#This Row],[row_id]] ) - ROW( scalarDataframe[[#Headers],[row_id]] )</f>
        <v>759</v>
      </c>
      <c r="B760" s="16" t="str">
        <f xml:space="preserve"> INDEX( co_scalarInfo[scalarType], MATCH( scalarDataframe[[#This Row],[scalarName]],  co_scalarInfo[scalarName], 0 ) )</f>
        <v>damageAdj</v>
      </c>
      <c r="C760" s="44" t="str">
        <f xml:space="preserve"> INDEX( co_scalarInfo[scalarLabel], MATCH( scalarDataframe[[#This Row],[scalarName]], co_scalarInfo[scalarName], 0 ) )</f>
        <v>Population-Driven Demand Growth Factor for Grid Reliability</v>
      </c>
      <c r="D760" s="133" t="s">
        <v>998</v>
      </c>
      <c r="E760" s="131" t="s">
        <v>9</v>
      </c>
      <c r="F760" s="130">
        <v>2300</v>
      </c>
      <c r="G760" s="132">
        <v>3.9765776632212138</v>
      </c>
    </row>
    <row r="761" spans="1:7" x14ac:dyDescent="0.35">
      <c r="A761" s="9">
        <f xml:space="preserve"> ROW( scalarDataframe[[#This Row],[row_id]] ) - ROW( scalarDataframe[[#Headers],[row_id]] )</f>
        <v>760</v>
      </c>
      <c r="B761" s="16" t="str">
        <f xml:space="preserve"> INDEX( co_scalarInfo[scalarType], MATCH( scalarDataframe[[#This Row],[scalarName]],  co_scalarInfo[scalarName], 0 ) )</f>
        <v>damageAdj</v>
      </c>
      <c r="C761" s="44" t="str">
        <f xml:space="preserve"> INDEX( co_scalarInfo[scalarLabel], MATCH( scalarDataframe[[#This Row],[scalarName]], co_scalarInfo[scalarName], 0 ) )</f>
        <v>Population-Driven Demand Growth Factor for Grid Reliability</v>
      </c>
      <c r="D761" s="133" t="s">
        <v>998</v>
      </c>
      <c r="E761" s="131" t="s">
        <v>10</v>
      </c>
      <c r="F761" s="130">
        <v>2300</v>
      </c>
      <c r="G761" s="132">
        <v>3.8384665417894297</v>
      </c>
    </row>
    <row r="762" spans="1:7" x14ac:dyDescent="0.35">
      <c r="A762" s="9">
        <f xml:space="preserve"> ROW( scalarDataframe[[#This Row],[row_id]] ) - ROW( scalarDataframe[[#Headers],[row_id]] )</f>
        <v>761</v>
      </c>
      <c r="B762" s="16" t="str">
        <f xml:space="preserve"> INDEX( co_scalarInfo[scalarType], MATCH( scalarDataframe[[#This Row],[scalarName]],  co_scalarInfo[scalarName], 0 ) )</f>
        <v>damageAdj</v>
      </c>
      <c r="C762" s="44" t="str">
        <f xml:space="preserve"> INDEX( co_scalarInfo[scalarLabel], MATCH( scalarDataframe[[#This Row],[scalarName]], co_scalarInfo[scalarName], 0 ) )</f>
        <v>Population-Driven Demand Growth Factor for Grid Reliability</v>
      </c>
      <c r="D762" s="133" t="s">
        <v>998</v>
      </c>
      <c r="E762" s="131" t="s">
        <v>11</v>
      </c>
      <c r="F762" s="130">
        <v>2300</v>
      </c>
      <c r="G762" s="132">
        <v>5.2676339003159498</v>
      </c>
    </row>
    <row r="763" spans="1:7" x14ac:dyDescent="0.35">
      <c r="A763" s="9">
        <f xml:space="preserve"> ROW( scalarDataframe[[#This Row],[row_id]] ) - ROW( scalarDataframe[[#Headers],[row_id]] )</f>
        <v>762</v>
      </c>
      <c r="B763" s="16" t="str">
        <f xml:space="preserve"> INDEX( co_scalarInfo[scalarType], MATCH( scalarDataframe[[#This Row],[scalarName]],  co_scalarInfo[scalarName], 0 ) )</f>
        <v>damageAdj</v>
      </c>
      <c r="C763" s="44" t="str">
        <f xml:space="preserve"> INDEX( co_scalarInfo[scalarLabel], MATCH( scalarDataframe[[#This Row],[scalarName]], co_scalarInfo[scalarName], 0 ) )</f>
        <v>Population-Driven Demand Growth Factor for Grid Reliability</v>
      </c>
      <c r="D763" s="133" t="s">
        <v>998</v>
      </c>
      <c r="E763" s="131" t="s">
        <v>12</v>
      </c>
      <c r="F763" s="130">
        <v>2300</v>
      </c>
      <c r="G763" s="132">
        <v>6.295692032151436</v>
      </c>
    </row>
    <row r="764" spans="1:7" x14ac:dyDescent="0.35">
      <c r="A764" s="9">
        <f xml:space="preserve"> ROW( scalarDataframe[[#This Row],[row_id]] ) - ROW( scalarDataframe[[#Headers],[row_id]] )</f>
        <v>763</v>
      </c>
      <c r="B764" s="16" t="str">
        <f xml:space="preserve"> INDEX( co_scalarInfo[scalarType], MATCH( scalarDataframe[[#This Row],[scalarName]],  co_scalarInfo[scalarName], 0 ) )</f>
        <v>damageAdj</v>
      </c>
      <c r="C764" s="44" t="str">
        <f xml:space="preserve"> INDEX( co_scalarInfo[scalarLabel], MATCH( scalarDataframe[[#This Row],[scalarName]], co_scalarInfo[scalarName], 0 ) )</f>
        <v>Electricity Supply and Demand Reference Costs</v>
      </c>
      <c r="D764" s="133" t="s">
        <v>261</v>
      </c>
      <c r="E764" s="131" t="s">
        <v>6</v>
      </c>
      <c r="F764" s="130">
        <v>2100</v>
      </c>
      <c r="G764" s="132">
        <v>179330929602.50439</v>
      </c>
    </row>
    <row r="765" spans="1:7" x14ac:dyDescent="0.35">
      <c r="A765" s="9">
        <f xml:space="preserve"> ROW( scalarDataframe[[#This Row],[row_id]] ) - ROW( scalarDataframe[[#Headers],[row_id]] )</f>
        <v>764</v>
      </c>
      <c r="B765" s="16" t="str">
        <f xml:space="preserve"> INDEX( co_scalarInfo[scalarType], MATCH( scalarDataframe[[#This Row],[scalarName]],  co_scalarInfo[scalarName], 0 ) )</f>
        <v>damageAdj</v>
      </c>
      <c r="C765" s="44" t="str">
        <f xml:space="preserve"> INDEX( co_scalarInfo[scalarLabel], MATCH( scalarDataframe[[#This Row],[scalarName]], co_scalarInfo[scalarName], 0 ) )</f>
        <v>Electricity Supply and Demand Reference Costs</v>
      </c>
      <c r="D765" s="133" t="s">
        <v>261</v>
      </c>
      <c r="E765" s="131" t="s">
        <v>7</v>
      </c>
      <c r="F765" s="130">
        <v>2100</v>
      </c>
      <c r="G765" s="132">
        <v>125189142367.94434</v>
      </c>
    </row>
    <row r="766" spans="1:7" x14ac:dyDescent="0.35">
      <c r="A766" s="9">
        <f xml:space="preserve"> ROW( scalarDataframe[[#This Row],[row_id]] ) - ROW( scalarDataframe[[#Headers],[row_id]] )</f>
        <v>765</v>
      </c>
      <c r="B766" s="16" t="str">
        <f xml:space="preserve"> INDEX( co_scalarInfo[scalarType], MATCH( scalarDataframe[[#This Row],[scalarName]],  co_scalarInfo[scalarName], 0 ) )</f>
        <v>damageAdj</v>
      </c>
      <c r="C766" s="44" t="str">
        <f xml:space="preserve"> INDEX( co_scalarInfo[scalarLabel], MATCH( scalarDataframe[[#This Row],[scalarName]], co_scalarInfo[scalarName], 0 ) )</f>
        <v>Electricity Supply and Demand Reference Costs</v>
      </c>
      <c r="D766" s="133" t="s">
        <v>261</v>
      </c>
      <c r="E766" s="131" t="s">
        <v>8</v>
      </c>
      <c r="F766" s="130">
        <v>2100</v>
      </c>
      <c r="G766" s="132">
        <v>25569380066.292725</v>
      </c>
    </row>
    <row r="767" spans="1:7" x14ac:dyDescent="0.35">
      <c r="A767" s="9">
        <f xml:space="preserve"> ROW( scalarDataframe[[#This Row],[row_id]] ) - ROW( scalarDataframe[[#Headers],[row_id]] )</f>
        <v>766</v>
      </c>
      <c r="B767" s="16" t="str">
        <f xml:space="preserve"> INDEX( co_scalarInfo[scalarType], MATCH( scalarDataframe[[#This Row],[scalarName]],  co_scalarInfo[scalarName], 0 ) )</f>
        <v>damageAdj</v>
      </c>
      <c r="C767" s="44" t="str">
        <f xml:space="preserve"> INDEX( co_scalarInfo[scalarLabel], MATCH( scalarDataframe[[#This Row],[scalarName]], co_scalarInfo[scalarName], 0 ) )</f>
        <v>Electricity Supply and Demand Reference Costs</v>
      </c>
      <c r="D767" s="133" t="s">
        <v>261</v>
      </c>
      <c r="E767" s="131" t="s">
        <v>9</v>
      </c>
      <c r="F767" s="130">
        <v>2100</v>
      </c>
      <c r="G767" s="132">
        <v>14463156402.047424</v>
      </c>
    </row>
    <row r="768" spans="1:7" x14ac:dyDescent="0.35">
      <c r="A768" s="9">
        <f xml:space="preserve"> ROW( scalarDataframe[[#This Row],[row_id]] ) - ROW( scalarDataframe[[#Headers],[row_id]] )</f>
        <v>767</v>
      </c>
      <c r="B768" s="16" t="str">
        <f xml:space="preserve"> INDEX( co_scalarInfo[scalarType], MATCH( scalarDataframe[[#This Row],[scalarName]],  co_scalarInfo[scalarName], 0 ) )</f>
        <v>damageAdj</v>
      </c>
      <c r="C768" s="44" t="str">
        <f xml:space="preserve"> INDEX( co_scalarInfo[scalarLabel], MATCH( scalarDataframe[[#This Row],[scalarName]], co_scalarInfo[scalarName], 0 ) )</f>
        <v>Electricity Supply and Demand Reference Costs</v>
      </c>
      <c r="D768" s="133" t="s">
        <v>261</v>
      </c>
      <c r="E768" s="131" t="s">
        <v>10</v>
      </c>
      <c r="F768" s="130">
        <v>2100</v>
      </c>
      <c r="G768" s="132">
        <v>192265807441.18555</v>
      </c>
    </row>
    <row r="769" spans="1:7" x14ac:dyDescent="0.35">
      <c r="A769" s="9">
        <f xml:space="preserve"> ROW( scalarDataframe[[#This Row],[row_id]] ) - ROW( scalarDataframe[[#Headers],[row_id]] )</f>
        <v>768</v>
      </c>
      <c r="B769" s="16" t="str">
        <f xml:space="preserve"> INDEX( co_scalarInfo[scalarType], MATCH( scalarDataframe[[#This Row],[scalarName]],  co_scalarInfo[scalarName], 0 ) )</f>
        <v>damageAdj</v>
      </c>
      <c r="C769" s="44" t="str">
        <f xml:space="preserve"> INDEX( co_scalarInfo[scalarLabel], MATCH( scalarDataframe[[#This Row],[scalarName]], co_scalarInfo[scalarName], 0 ) )</f>
        <v>Electricity Supply and Demand Reference Costs</v>
      </c>
      <c r="D769" s="133" t="s">
        <v>261</v>
      </c>
      <c r="E769" s="131" t="s">
        <v>11</v>
      </c>
      <c r="F769" s="130">
        <v>2100</v>
      </c>
      <c r="G769" s="132">
        <v>75424789560.094482</v>
      </c>
    </row>
    <row r="770" spans="1:7" x14ac:dyDescent="0.35">
      <c r="A770" s="9">
        <f xml:space="preserve"> ROW( scalarDataframe[[#This Row],[row_id]] ) - ROW( scalarDataframe[[#Headers],[row_id]] )</f>
        <v>769</v>
      </c>
      <c r="B770" s="16" t="str">
        <f xml:space="preserve"> INDEX( co_scalarInfo[scalarType], MATCH( scalarDataframe[[#This Row],[scalarName]],  co_scalarInfo[scalarName], 0 ) )</f>
        <v>damageAdj</v>
      </c>
      <c r="C770" s="44" t="str">
        <f xml:space="preserve"> INDEX( co_scalarInfo[scalarLabel], MATCH( scalarDataframe[[#This Row],[scalarName]], co_scalarInfo[scalarName], 0 ) )</f>
        <v>Electricity Supply and Demand Reference Costs</v>
      </c>
      <c r="D770" s="133" t="s">
        <v>261</v>
      </c>
      <c r="E770" s="131" t="s">
        <v>12</v>
      </c>
      <c r="F770" s="130">
        <v>2100</v>
      </c>
      <c r="G770" s="132">
        <v>80791168956.777832</v>
      </c>
    </row>
    <row r="771" spans="1:7" x14ac:dyDescent="0.35">
      <c r="A771" s="9">
        <f xml:space="preserve"> ROW( scalarDataframe[[#This Row],[row_id]] ) - ROW( scalarDataframe[[#Headers],[row_id]] )</f>
        <v>770</v>
      </c>
      <c r="B771" s="16" t="str">
        <f xml:space="preserve"> INDEX( co_scalarInfo[scalarType], MATCH( scalarDataframe[[#This Row],[scalarName]],  co_scalarInfo[scalarName], 0 ) )</f>
        <v>damageAdj</v>
      </c>
      <c r="C771" s="44" t="str">
        <f xml:space="preserve"> INDEX( co_scalarInfo[scalarLabel], MATCH( scalarDataframe[[#This Row],[scalarName]], co_scalarInfo[scalarName], 0 ) )</f>
        <v>Electricity Supply and Demand Reference Costs</v>
      </c>
      <c r="D771" s="133" t="s">
        <v>261</v>
      </c>
      <c r="E771" s="131" t="s">
        <v>6</v>
      </c>
      <c r="F771" s="130">
        <v>2200</v>
      </c>
      <c r="G771" s="132">
        <v>282277520670.82764</v>
      </c>
    </row>
    <row r="772" spans="1:7" x14ac:dyDescent="0.35">
      <c r="A772" s="9">
        <f xml:space="preserve"> ROW( scalarDataframe[[#This Row],[row_id]] ) - ROW( scalarDataframe[[#Headers],[row_id]] )</f>
        <v>771</v>
      </c>
      <c r="B772" s="16" t="str">
        <f xml:space="preserve"> INDEX( co_scalarInfo[scalarType], MATCH( scalarDataframe[[#This Row],[scalarName]],  co_scalarInfo[scalarName], 0 ) )</f>
        <v>damageAdj</v>
      </c>
      <c r="C772" s="44" t="str">
        <f xml:space="preserve"> INDEX( co_scalarInfo[scalarLabel], MATCH( scalarDataframe[[#This Row],[scalarName]], co_scalarInfo[scalarName], 0 ) )</f>
        <v>Electricity Supply and Demand Reference Costs</v>
      </c>
      <c r="D772" s="133" t="s">
        <v>261</v>
      </c>
      <c r="E772" s="131" t="s">
        <v>7</v>
      </c>
      <c r="F772" s="130">
        <v>2200</v>
      </c>
      <c r="G772" s="132">
        <v>185953632401.35596</v>
      </c>
    </row>
    <row r="773" spans="1:7" x14ac:dyDescent="0.35">
      <c r="A773" s="9">
        <f xml:space="preserve"> ROW( scalarDataframe[[#This Row],[row_id]] ) - ROW( scalarDataframe[[#Headers],[row_id]] )</f>
        <v>772</v>
      </c>
      <c r="B773" s="16" t="str">
        <f xml:space="preserve"> INDEX( co_scalarInfo[scalarType], MATCH( scalarDataframe[[#This Row],[scalarName]],  co_scalarInfo[scalarName], 0 ) )</f>
        <v>damageAdj</v>
      </c>
      <c r="C773" s="44" t="str">
        <f xml:space="preserve"> INDEX( co_scalarInfo[scalarLabel], MATCH( scalarDataframe[[#This Row],[scalarName]], co_scalarInfo[scalarName], 0 ) )</f>
        <v>Electricity Supply and Demand Reference Costs</v>
      </c>
      <c r="D773" s="133" t="s">
        <v>261</v>
      </c>
      <c r="E773" s="131" t="s">
        <v>8</v>
      </c>
      <c r="F773" s="130">
        <v>2200</v>
      </c>
      <c r="G773" s="132">
        <v>31043869481.799835</v>
      </c>
    </row>
    <row r="774" spans="1:7" x14ac:dyDescent="0.35">
      <c r="A774" s="9">
        <f xml:space="preserve"> ROW( scalarDataframe[[#This Row],[row_id]] ) - ROW( scalarDataframe[[#Headers],[row_id]] )</f>
        <v>773</v>
      </c>
      <c r="B774" s="16" t="str">
        <f xml:space="preserve"> INDEX( co_scalarInfo[scalarType], MATCH( scalarDataframe[[#This Row],[scalarName]],  co_scalarInfo[scalarName], 0 ) )</f>
        <v>damageAdj</v>
      </c>
      <c r="C774" s="44" t="str">
        <f xml:space="preserve"> INDEX( co_scalarInfo[scalarLabel], MATCH( scalarDataframe[[#This Row],[scalarName]], co_scalarInfo[scalarName], 0 ) )</f>
        <v>Electricity Supply and Demand Reference Costs</v>
      </c>
      <c r="D774" s="133" t="s">
        <v>261</v>
      </c>
      <c r="E774" s="131" t="s">
        <v>9</v>
      </c>
      <c r="F774" s="130">
        <v>2200</v>
      </c>
      <c r="G774" s="132">
        <v>29300848097.408325</v>
      </c>
    </row>
    <row r="775" spans="1:7" x14ac:dyDescent="0.35">
      <c r="A775" s="9">
        <f xml:space="preserve"> ROW( scalarDataframe[[#This Row],[row_id]] ) - ROW( scalarDataframe[[#Headers],[row_id]] )</f>
        <v>774</v>
      </c>
      <c r="B775" s="16" t="str">
        <f xml:space="preserve"> INDEX( co_scalarInfo[scalarType], MATCH( scalarDataframe[[#This Row],[scalarName]],  co_scalarInfo[scalarName], 0 ) )</f>
        <v>damageAdj</v>
      </c>
      <c r="C775" s="44" t="str">
        <f xml:space="preserve"> INDEX( co_scalarInfo[scalarLabel], MATCH( scalarDataframe[[#This Row],[scalarName]], co_scalarInfo[scalarName], 0 ) )</f>
        <v>Electricity Supply and Demand Reference Costs</v>
      </c>
      <c r="D775" s="133" t="s">
        <v>261</v>
      </c>
      <c r="E775" s="131" t="s">
        <v>10</v>
      </c>
      <c r="F775" s="130">
        <v>2200</v>
      </c>
      <c r="G775" s="132">
        <v>285725063869.32349</v>
      </c>
    </row>
    <row r="776" spans="1:7" x14ac:dyDescent="0.35">
      <c r="A776" s="9">
        <f xml:space="preserve"> ROW( scalarDataframe[[#This Row],[row_id]] ) - ROW( scalarDataframe[[#Headers],[row_id]] )</f>
        <v>775</v>
      </c>
      <c r="B776" s="16" t="str">
        <f xml:space="preserve"> INDEX( co_scalarInfo[scalarType], MATCH( scalarDataframe[[#This Row],[scalarName]],  co_scalarInfo[scalarName], 0 ) )</f>
        <v>damageAdj</v>
      </c>
      <c r="C776" s="44" t="str">
        <f xml:space="preserve"> INDEX( co_scalarInfo[scalarLabel], MATCH( scalarDataframe[[#This Row],[scalarName]], co_scalarInfo[scalarName], 0 ) )</f>
        <v>Electricity Supply and Demand Reference Costs</v>
      </c>
      <c r="D776" s="133" t="s">
        <v>261</v>
      </c>
      <c r="E776" s="131" t="s">
        <v>11</v>
      </c>
      <c r="F776" s="130">
        <v>2200</v>
      </c>
      <c r="G776" s="132">
        <v>121891651728.61877</v>
      </c>
    </row>
    <row r="777" spans="1:7" x14ac:dyDescent="0.35">
      <c r="A777" s="9">
        <f xml:space="preserve"> ROW( scalarDataframe[[#This Row],[row_id]] ) - ROW( scalarDataframe[[#Headers],[row_id]] )</f>
        <v>776</v>
      </c>
      <c r="B777" s="16" t="str">
        <f xml:space="preserve"> INDEX( co_scalarInfo[scalarType], MATCH( scalarDataframe[[#This Row],[scalarName]],  co_scalarInfo[scalarName], 0 ) )</f>
        <v>damageAdj</v>
      </c>
      <c r="C777" s="44" t="str">
        <f xml:space="preserve"> INDEX( co_scalarInfo[scalarLabel], MATCH( scalarDataframe[[#This Row],[scalarName]], co_scalarInfo[scalarName], 0 ) )</f>
        <v>Electricity Supply and Demand Reference Costs</v>
      </c>
      <c r="D777" s="133" t="s">
        <v>261</v>
      </c>
      <c r="E777" s="131" t="s">
        <v>12</v>
      </c>
      <c r="F777" s="130">
        <v>2200</v>
      </c>
      <c r="G777" s="132">
        <v>126463484574.36621</v>
      </c>
    </row>
    <row r="778" spans="1:7" x14ac:dyDescent="0.35">
      <c r="A778" s="9">
        <f xml:space="preserve"> ROW( scalarDataframe[[#This Row],[row_id]] ) - ROW( scalarDataframe[[#Headers],[row_id]] )</f>
        <v>777</v>
      </c>
      <c r="B778" s="16" t="str">
        <f xml:space="preserve"> INDEX( co_scalarInfo[scalarType], MATCH( scalarDataframe[[#This Row],[scalarName]],  co_scalarInfo[scalarName], 0 ) )</f>
        <v>damageAdj</v>
      </c>
      <c r="C778" s="44" t="str">
        <f xml:space="preserve"> INDEX( co_scalarInfo[scalarLabel], MATCH( scalarDataframe[[#This Row],[scalarName]], co_scalarInfo[scalarName], 0 ) )</f>
        <v>Electricity Supply and Demand Reference Costs</v>
      </c>
      <c r="D778" s="133" t="s">
        <v>261</v>
      </c>
      <c r="E778" s="131" t="s">
        <v>6</v>
      </c>
      <c r="F778" s="130">
        <v>2300</v>
      </c>
      <c r="G778" s="132">
        <v>385224111739.15137</v>
      </c>
    </row>
    <row r="779" spans="1:7" x14ac:dyDescent="0.35">
      <c r="A779" s="9">
        <f xml:space="preserve"> ROW( scalarDataframe[[#This Row],[row_id]] ) - ROW( scalarDataframe[[#Headers],[row_id]] )</f>
        <v>778</v>
      </c>
      <c r="B779" s="16" t="str">
        <f xml:space="preserve"> INDEX( co_scalarInfo[scalarType], MATCH( scalarDataframe[[#This Row],[scalarName]],  co_scalarInfo[scalarName], 0 ) )</f>
        <v>damageAdj</v>
      </c>
      <c r="C779" s="44" t="str">
        <f xml:space="preserve"> INDEX( co_scalarInfo[scalarLabel], MATCH( scalarDataframe[[#This Row],[scalarName]], co_scalarInfo[scalarName], 0 ) )</f>
        <v>Electricity Supply and Demand Reference Costs</v>
      </c>
      <c r="D779" s="133" t="s">
        <v>261</v>
      </c>
      <c r="E779" s="131" t="s">
        <v>7</v>
      </c>
      <c r="F779" s="130">
        <v>2300</v>
      </c>
      <c r="G779" s="132">
        <v>246718122434.76758</v>
      </c>
    </row>
    <row r="780" spans="1:7" x14ac:dyDescent="0.35">
      <c r="A780" s="9">
        <f xml:space="preserve"> ROW( scalarDataframe[[#This Row],[row_id]] ) - ROW( scalarDataframe[[#Headers],[row_id]] )</f>
        <v>779</v>
      </c>
      <c r="B780" s="16" t="str">
        <f xml:space="preserve"> INDEX( co_scalarInfo[scalarType], MATCH( scalarDataframe[[#This Row],[scalarName]],  co_scalarInfo[scalarName], 0 ) )</f>
        <v>damageAdj</v>
      </c>
      <c r="C780" s="44" t="str">
        <f xml:space="preserve"> INDEX( co_scalarInfo[scalarLabel], MATCH( scalarDataframe[[#This Row],[scalarName]], co_scalarInfo[scalarName], 0 ) )</f>
        <v>Electricity Supply and Demand Reference Costs</v>
      </c>
      <c r="D780" s="133" t="s">
        <v>261</v>
      </c>
      <c r="E780" s="131" t="s">
        <v>8</v>
      </c>
      <c r="F780" s="130">
        <v>2300</v>
      </c>
      <c r="G780" s="132">
        <v>36518358897.306931</v>
      </c>
    </row>
    <row r="781" spans="1:7" x14ac:dyDescent="0.35">
      <c r="A781" s="9">
        <f xml:space="preserve"> ROW( scalarDataframe[[#This Row],[row_id]] ) - ROW( scalarDataframe[[#Headers],[row_id]] )</f>
        <v>780</v>
      </c>
      <c r="B781" s="16" t="str">
        <f xml:space="preserve"> INDEX( co_scalarInfo[scalarType], MATCH( scalarDataframe[[#This Row],[scalarName]],  co_scalarInfo[scalarName], 0 ) )</f>
        <v>damageAdj</v>
      </c>
      <c r="C781" s="44" t="str">
        <f xml:space="preserve"> INDEX( co_scalarInfo[scalarLabel], MATCH( scalarDataframe[[#This Row],[scalarName]], co_scalarInfo[scalarName], 0 ) )</f>
        <v>Electricity Supply and Demand Reference Costs</v>
      </c>
      <c r="D781" s="133" t="s">
        <v>261</v>
      </c>
      <c r="E781" s="131" t="s">
        <v>9</v>
      </c>
      <c r="F781" s="130">
        <v>2300</v>
      </c>
      <c r="G781" s="132">
        <v>44138539792.769287</v>
      </c>
    </row>
    <row r="782" spans="1:7" x14ac:dyDescent="0.35">
      <c r="A782" s="9">
        <f xml:space="preserve"> ROW( scalarDataframe[[#This Row],[row_id]] ) - ROW( scalarDataframe[[#Headers],[row_id]] )</f>
        <v>781</v>
      </c>
      <c r="B782" s="16" t="str">
        <f xml:space="preserve"> INDEX( co_scalarInfo[scalarType], MATCH( scalarDataframe[[#This Row],[scalarName]],  co_scalarInfo[scalarName], 0 ) )</f>
        <v>damageAdj</v>
      </c>
      <c r="C782" s="44" t="str">
        <f xml:space="preserve"> INDEX( co_scalarInfo[scalarLabel], MATCH( scalarDataframe[[#This Row],[scalarName]], co_scalarInfo[scalarName], 0 ) )</f>
        <v>Electricity Supply and Demand Reference Costs</v>
      </c>
      <c r="D782" s="133" t="s">
        <v>261</v>
      </c>
      <c r="E782" s="131" t="s">
        <v>10</v>
      </c>
      <c r="F782" s="130">
        <v>2300</v>
      </c>
      <c r="G782" s="132">
        <v>379184320297.46143</v>
      </c>
    </row>
    <row r="783" spans="1:7" x14ac:dyDescent="0.35">
      <c r="A783" s="9">
        <f xml:space="preserve"> ROW( scalarDataframe[[#This Row],[row_id]] ) - ROW( scalarDataframe[[#Headers],[row_id]] )</f>
        <v>782</v>
      </c>
      <c r="B783" s="16" t="str">
        <f xml:space="preserve"> INDEX( co_scalarInfo[scalarType], MATCH( scalarDataframe[[#This Row],[scalarName]],  co_scalarInfo[scalarName], 0 ) )</f>
        <v>damageAdj</v>
      </c>
      <c r="C783" s="44" t="str">
        <f xml:space="preserve"> INDEX( co_scalarInfo[scalarLabel], MATCH( scalarDataframe[[#This Row],[scalarName]], co_scalarInfo[scalarName], 0 ) )</f>
        <v>Electricity Supply and Demand Reference Costs</v>
      </c>
      <c r="D783" s="133" t="s">
        <v>261</v>
      </c>
      <c r="E783" s="131" t="s">
        <v>11</v>
      </c>
      <c r="F783" s="130">
        <v>2300</v>
      </c>
      <c r="G783" s="132">
        <v>168358513897.14307</v>
      </c>
    </row>
    <row r="784" spans="1:7" x14ac:dyDescent="0.35">
      <c r="A784" s="9">
        <f xml:space="preserve"> ROW( scalarDataframe[[#This Row],[row_id]] ) - ROW( scalarDataframe[[#Headers],[row_id]] )</f>
        <v>783</v>
      </c>
      <c r="B784" s="16" t="str">
        <f xml:space="preserve"> INDEX( co_scalarInfo[scalarType], MATCH( scalarDataframe[[#This Row],[scalarName]],  co_scalarInfo[scalarName], 0 ) )</f>
        <v>damageAdj</v>
      </c>
      <c r="C784" s="44" t="str">
        <f xml:space="preserve"> INDEX( co_scalarInfo[scalarLabel], MATCH( scalarDataframe[[#This Row],[scalarName]], co_scalarInfo[scalarName], 0 ) )</f>
        <v>Electricity Supply and Demand Reference Costs</v>
      </c>
      <c r="D784" s="133" t="s">
        <v>261</v>
      </c>
      <c r="E784" s="131" t="s">
        <v>12</v>
      </c>
      <c r="F784" s="130">
        <v>2300</v>
      </c>
      <c r="G784" s="132">
        <v>172135800191.95471</v>
      </c>
    </row>
    <row r="785" spans="1:7" x14ac:dyDescent="0.35">
      <c r="A785" s="9">
        <f xml:space="preserve"> ROW( scalarDataframe[[#This Row],[row_id]] ) - ROW( scalarDataframe[[#Headers],[row_id]] )</f>
        <v>784</v>
      </c>
      <c r="B785" s="16" t="str">
        <f xml:space="preserve"> INDEX( co_scalarInfo[scalarType], MATCH( scalarDataframe[[#This Row],[scalarName]],  co_scalarInfo[scalarName], 0 ) )</f>
        <v>damageAdj</v>
      </c>
      <c r="C785" s="44" t="str">
        <f xml:space="preserve"> INDEX( co_scalarInfo[scalarLabel], MATCH( scalarDataframe[[#This Row],[scalarName]], co_scalarInfo[scalarName], 0 ) )</f>
        <v>MH Demographic Proportion Adjustment Factor</v>
      </c>
      <c r="D785" s="24" t="s">
        <v>1310</v>
      </c>
      <c r="E785" s="17" t="s">
        <v>6</v>
      </c>
      <c r="F785" s="25">
        <v>2010</v>
      </c>
      <c r="G785" s="26">
        <v>1.0020358987493501</v>
      </c>
    </row>
    <row r="786" spans="1:7" x14ac:dyDescent="0.35">
      <c r="A786" s="9">
        <f xml:space="preserve"> ROW( scalarDataframe[[#This Row],[row_id]] ) - ROW( scalarDataframe[[#Headers],[row_id]] )</f>
        <v>785</v>
      </c>
      <c r="B786" s="16" t="str">
        <f xml:space="preserve"> INDEX( co_scalarInfo[scalarType], MATCH( scalarDataframe[[#This Row],[scalarName]],  co_scalarInfo[scalarName], 0 ) )</f>
        <v>damageAdj</v>
      </c>
      <c r="C786" s="44" t="str">
        <f xml:space="preserve"> INDEX( co_scalarInfo[scalarLabel], MATCH( scalarDataframe[[#This Row],[scalarName]], co_scalarInfo[scalarName], 0 ) )</f>
        <v>MH Demographic Proportion Adjustment Factor</v>
      </c>
      <c r="D786" s="24" t="s">
        <v>1310</v>
      </c>
      <c r="E786" s="17" t="s">
        <v>6</v>
      </c>
      <c r="F786" s="25">
        <v>2011</v>
      </c>
      <c r="G786" s="26">
        <v>1.0016250853338</v>
      </c>
    </row>
    <row r="787" spans="1:7" x14ac:dyDescent="0.35">
      <c r="A787" s="9">
        <f xml:space="preserve"> ROW( scalarDataframe[[#This Row],[row_id]] ) - ROW( scalarDataframe[[#Headers],[row_id]] )</f>
        <v>786</v>
      </c>
      <c r="B787" s="16" t="str">
        <f xml:space="preserve"> INDEX( co_scalarInfo[scalarType], MATCH( scalarDataframe[[#This Row],[scalarName]],  co_scalarInfo[scalarName], 0 ) )</f>
        <v>damageAdj</v>
      </c>
      <c r="C787" s="44" t="str">
        <f xml:space="preserve"> INDEX( co_scalarInfo[scalarLabel], MATCH( scalarDataframe[[#This Row],[scalarName]], co_scalarInfo[scalarName], 0 ) )</f>
        <v>MH Demographic Proportion Adjustment Factor</v>
      </c>
      <c r="D787" s="24" t="s">
        <v>1310</v>
      </c>
      <c r="E787" s="17" t="s">
        <v>6</v>
      </c>
      <c r="F787" s="25">
        <v>2013</v>
      </c>
      <c r="G787" s="26">
        <v>1.0008034585026999</v>
      </c>
    </row>
    <row r="788" spans="1:7" x14ac:dyDescent="0.35">
      <c r="A788" s="9">
        <f xml:space="preserve"> ROW( scalarDataframe[[#This Row],[row_id]] ) - ROW( scalarDataframe[[#Headers],[row_id]] )</f>
        <v>787</v>
      </c>
      <c r="B788" s="16" t="str">
        <f xml:space="preserve"> INDEX( co_scalarInfo[scalarType], MATCH( scalarDataframe[[#This Row],[scalarName]],  co_scalarInfo[scalarName], 0 ) )</f>
        <v>damageAdj</v>
      </c>
      <c r="C788" s="44" t="str">
        <f xml:space="preserve"> INDEX( co_scalarInfo[scalarLabel], MATCH( scalarDataframe[[#This Row],[scalarName]], co_scalarInfo[scalarName], 0 ) )</f>
        <v>MH Demographic Proportion Adjustment Factor</v>
      </c>
      <c r="D788" s="24" t="s">
        <v>1310</v>
      </c>
      <c r="E788" s="17" t="s">
        <v>6</v>
      </c>
      <c r="F788" s="25">
        <v>2017</v>
      </c>
      <c r="G788" s="26">
        <v>0.99918158258854906</v>
      </c>
    </row>
    <row r="789" spans="1:7" x14ac:dyDescent="0.35">
      <c r="A789" s="9">
        <f xml:space="preserve"> ROW( scalarDataframe[[#This Row],[row_id]] ) - ROW( scalarDataframe[[#Headers],[row_id]] )</f>
        <v>788</v>
      </c>
      <c r="B789" s="16" t="str">
        <f xml:space="preserve"> INDEX( co_scalarInfo[scalarType], MATCH( scalarDataframe[[#This Row],[scalarName]],  co_scalarInfo[scalarName], 0 ) )</f>
        <v>damageAdj</v>
      </c>
      <c r="C789" s="44" t="str">
        <f xml:space="preserve"> INDEX( co_scalarInfo[scalarLabel], MATCH( scalarDataframe[[#This Row],[scalarName]], co_scalarInfo[scalarName], 0 ) )</f>
        <v>MH Demographic Proportion Adjustment Factor</v>
      </c>
      <c r="D789" s="24" t="s">
        <v>1310</v>
      </c>
      <c r="E789" s="17" t="s">
        <v>6</v>
      </c>
      <c r="F789" s="25">
        <v>2025</v>
      </c>
      <c r="G789" s="26">
        <v>0.99869212678404595</v>
      </c>
    </row>
    <row r="790" spans="1:7" x14ac:dyDescent="0.35">
      <c r="A790" s="9">
        <f xml:space="preserve"> ROW( scalarDataframe[[#This Row],[row_id]] ) - ROW( scalarDataframe[[#Headers],[row_id]] )</f>
        <v>789</v>
      </c>
      <c r="B790" s="16" t="str">
        <f xml:space="preserve"> INDEX( co_scalarInfo[scalarType], MATCH( scalarDataframe[[#This Row],[scalarName]],  co_scalarInfo[scalarName], 0 ) )</f>
        <v>damageAdj</v>
      </c>
      <c r="C790" s="44" t="str">
        <f xml:space="preserve"> INDEX( co_scalarInfo[scalarLabel], MATCH( scalarDataframe[[#This Row],[scalarName]], co_scalarInfo[scalarName], 0 ) )</f>
        <v>MH Demographic Proportion Adjustment Factor</v>
      </c>
      <c r="D790" s="24" t="s">
        <v>1310</v>
      </c>
      <c r="E790" s="17" t="s">
        <v>6</v>
      </c>
      <c r="F790" s="25">
        <v>2029</v>
      </c>
      <c r="G790" s="26">
        <v>0.99929112327545699</v>
      </c>
    </row>
    <row r="791" spans="1:7" x14ac:dyDescent="0.35">
      <c r="A791" s="9">
        <f xml:space="preserve"> ROW( scalarDataframe[[#This Row],[row_id]] ) - ROW( scalarDataframe[[#Headers],[row_id]] )</f>
        <v>790</v>
      </c>
      <c r="B791" s="16" t="str">
        <f xml:space="preserve"> INDEX( co_scalarInfo[scalarType], MATCH( scalarDataframe[[#This Row],[scalarName]],  co_scalarInfo[scalarName], 0 ) )</f>
        <v>damageAdj</v>
      </c>
      <c r="C791" s="44" t="str">
        <f xml:space="preserve"> INDEX( co_scalarInfo[scalarLabel], MATCH( scalarDataframe[[#This Row],[scalarName]], co_scalarInfo[scalarName], 0 ) )</f>
        <v>MH Demographic Proportion Adjustment Factor</v>
      </c>
      <c r="D791" s="24" t="s">
        <v>1310</v>
      </c>
      <c r="E791" s="17" t="s">
        <v>6</v>
      </c>
      <c r="F791" s="25">
        <v>2032</v>
      </c>
      <c r="G791" s="26">
        <v>1.0008918463868299</v>
      </c>
    </row>
    <row r="792" spans="1:7" x14ac:dyDescent="0.35">
      <c r="A792" s="9">
        <f xml:space="preserve"> ROW( scalarDataframe[[#This Row],[row_id]] ) - ROW( scalarDataframe[[#Headers],[row_id]] )</f>
        <v>791</v>
      </c>
      <c r="B792" s="16" t="str">
        <f xml:space="preserve"> INDEX( co_scalarInfo[scalarType], MATCH( scalarDataframe[[#This Row],[scalarName]],  co_scalarInfo[scalarName], 0 ) )</f>
        <v>damageAdj</v>
      </c>
      <c r="C792" s="44" t="str">
        <f xml:space="preserve"> INDEX( co_scalarInfo[scalarLabel], MATCH( scalarDataframe[[#This Row],[scalarName]], co_scalarInfo[scalarName], 0 ) )</f>
        <v>MH Demographic Proportion Adjustment Factor</v>
      </c>
      <c r="D792" s="24" t="s">
        <v>1310</v>
      </c>
      <c r="E792" s="17" t="s">
        <v>6</v>
      </c>
      <c r="F792" s="25">
        <v>2033</v>
      </c>
      <c r="G792" s="26">
        <v>1.0016483586529601</v>
      </c>
    </row>
    <row r="793" spans="1:7" x14ac:dyDescent="0.35">
      <c r="A793" s="9">
        <f xml:space="preserve"> ROW( scalarDataframe[[#This Row],[row_id]] ) - ROW( scalarDataframe[[#Headers],[row_id]] )</f>
        <v>792</v>
      </c>
      <c r="B793" s="16" t="str">
        <f xml:space="preserve"> INDEX( co_scalarInfo[scalarType], MATCH( scalarDataframe[[#This Row],[scalarName]],  co_scalarInfo[scalarName], 0 ) )</f>
        <v>damageAdj</v>
      </c>
      <c r="C793" s="44" t="str">
        <f xml:space="preserve"> INDEX( co_scalarInfo[scalarLabel], MATCH( scalarDataframe[[#This Row],[scalarName]], co_scalarInfo[scalarName], 0 ) )</f>
        <v>MH Demographic Proportion Adjustment Factor</v>
      </c>
      <c r="D793" s="24" t="s">
        <v>1310</v>
      </c>
      <c r="E793" s="17" t="s">
        <v>6</v>
      </c>
      <c r="F793" s="25">
        <v>2037</v>
      </c>
      <c r="G793" s="26">
        <v>1.0046663900719801</v>
      </c>
    </row>
    <row r="794" spans="1:7" x14ac:dyDescent="0.35">
      <c r="A794" s="9">
        <f xml:space="preserve"> ROW( scalarDataframe[[#This Row],[row_id]] ) - ROW( scalarDataframe[[#Headers],[row_id]] )</f>
        <v>793</v>
      </c>
      <c r="B794" s="16" t="str">
        <f xml:space="preserve"> INDEX( co_scalarInfo[scalarType], MATCH( scalarDataframe[[#This Row],[scalarName]],  co_scalarInfo[scalarName], 0 ) )</f>
        <v>damageAdj</v>
      </c>
      <c r="C794" s="44" t="str">
        <f xml:space="preserve"> INDEX( co_scalarInfo[scalarLabel], MATCH( scalarDataframe[[#This Row],[scalarName]], co_scalarInfo[scalarName], 0 ) )</f>
        <v>MH Demographic Proportion Adjustment Factor</v>
      </c>
      <c r="D794" s="24" t="s">
        <v>1310</v>
      </c>
      <c r="E794" s="17" t="s">
        <v>6</v>
      </c>
      <c r="F794" s="25">
        <v>2044</v>
      </c>
      <c r="G794" s="26">
        <v>1.00654467386709</v>
      </c>
    </row>
    <row r="795" spans="1:7" x14ac:dyDescent="0.35">
      <c r="A795" s="9">
        <f xml:space="preserve"> ROW( scalarDataframe[[#This Row],[row_id]] ) - ROW( scalarDataframe[[#Headers],[row_id]] )</f>
        <v>794</v>
      </c>
      <c r="B795" s="16" t="str">
        <f xml:space="preserve"> INDEX( co_scalarInfo[scalarType], MATCH( scalarDataframe[[#This Row],[scalarName]],  co_scalarInfo[scalarName], 0 ) )</f>
        <v>damageAdj</v>
      </c>
      <c r="C795" s="44" t="str">
        <f xml:space="preserve"> INDEX( co_scalarInfo[scalarLabel], MATCH( scalarDataframe[[#This Row],[scalarName]], co_scalarInfo[scalarName], 0 ) )</f>
        <v>MH Demographic Proportion Adjustment Factor</v>
      </c>
      <c r="D795" s="24" t="s">
        <v>1310</v>
      </c>
      <c r="E795" s="17" t="s">
        <v>6</v>
      </c>
      <c r="F795" s="25">
        <v>2048</v>
      </c>
      <c r="G795" s="26">
        <v>1.0059066548759701</v>
      </c>
    </row>
    <row r="796" spans="1:7" x14ac:dyDescent="0.35">
      <c r="A796" s="9">
        <f xml:space="preserve"> ROW( scalarDataframe[[#This Row],[row_id]] ) - ROW( scalarDataframe[[#Headers],[row_id]] )</f>
        <v>795</v>
      </c>
      <c r="B796" s="16" t="str">
        <f xml:space="preserve"> INDEX( co_scalarInfo[scalarType], MATCH( scalarDataframe[[#This Row],[scalarName]],  co_scalarInfo[scalarName], 0 ) )</f>
        <v>damageAdj</v>
      </c>
      <c r="C796" s="44" t="str">
        <f xml:space="preserve"> INDEX( co_scalarInfo[scalarLabel], MATCH( scalarDataframe[[#This Row],[scalarName]], co_scalarInfo[scalarName], 0 ) )</f>
        <v>MH Demographic Proportion Adjustment Factor</v>
      </c>
      <c r="D796" s="24" t="s">
        <v>1310</v>
      </c>
      <c r="E796" s="17" t="s">
        <v>6</v>
      </c>
      <c r="F796" s="25">
        <v>2049</v>
      </c>
      <c r="G796" s="26">
        <v>1.0058421204921499</v>
      </c>
    </row>
    <row r="797" spans="1:7" x14ac:dyDescent="0.35">
      <c r="A797" s="9">
        <f xml:space="preserve"> ROW( scalarDataframe[[#This Row],[row_id]] ) - ROW( scalarDataframe[[#Headers],[row_id]] )</f>
        <v>796</v>
      </c>
      <c r="B797" s="16" t="str">
        <f xml:space="preserve"> INDEX( co_scalarInfo[scalarType], MATCH( scalarDataframe[[#This Row],[scalarName]],  co_scalarInfo[scalarName], 0 ) )</f>
        <v>damageAdj</v>
      </c>
      <c r="C797" s="44" t="str">
        <f xml:space="preserve"> INDEX( co_scalarInfo[scalarLabel], MATCH( scalarDataframe[[#This Row],[scalarName]], co_scalarInfo[scalarName], 0 ) )</f>
        <v>MH Demographic Proportion Adjustment Factor</v>
      </c>
      <c r="D797" s="24" t="s">
        <v>1310</v>
      </c>
      <c r="E797" s="17" t="s">
        <v>6</v>
      </c>
      <c r="F797" s="25">
        <v>2050</v>
      </c>
      <c r="G797" s="26">
        <v>1.00567909261872</v>
      </c>
    </row>
    <row r="798" spans="1:7" x14ac:dyDescent="0.35">
      <c r="A798" s="9">
        <f xml:space="preserve"> ROW( scalarDataframe[[#This Row],[row_id]] ) - ROW( scalarDataframe[[#Headers],[row_id]] )</f>
        <v>797</v>
      </c>
      <c r="B798" s="16" t="str">
        <f xml:space="preserve"> INDEX( co_scalarInfo[scalarType], MATCH( scalarDataframe[[#This Row],[scalarName]],  co_scalarInfo[scalarName], 0 ) )</f>
        <v>damageAdj</v>
      </c>
      <c r="C798" s="44" t="str">
        <f xml:space="preserve"> INDEX( co_scalarInfo[scalarLabel], MATCH( scalarDataframe[[#This Row],[scalarName]], co_scalarInfo[scalarName], 0 ) )</f>
        <v>MH Demographic Proportion Adjustment Factor</v>
      </c>
      <c r="D798" s="24" t="s">
        <v>1310</v>
      </c>
      <c r="E798" s="17" t="s">
        <v>6</v>
      </c>
      <c r="F798" s="25">
        <v>2052</v>
      </c>
      <c r="G798" s="26">
        <v>1.00628611696792</v>
      </c>
    </row>
    <row r="799" spans="1:7" x14ac:dyDescent="0.35">
      <c r="A799" s="9">
        <f xml:space="preserve"> ROW( scalarDataframe[[#This Row],[row_id]] ) - ROW( scalarDataframe[[#Headers],[row_id]] )</f>
        <v>798</v>
      </c>
      <c r="B799" s="16" t="str">
        <f xml:space="preserve"> INDEX( co_scalarInfo[scalarType], MATCH( scalarDataframe[[#This Row],[scalarName]],  co_scalarInfo[scalarName], 0 ) )</f>
        <v>damageAdj</v>
      </c>
      <c r="C799" s="44" t="str">
        <f xml:space="preserve"> INDEX( co_scalarInfo[scalarLabel], MATCH( scalarDataframe[[#This Row],[scalarName]], co_scalarInfo[scalarName], 0 ) )</f>
        <v>MH Demographic Proportion Adjustment Factor</v>
      </c>
      <c r="D799" s="24" t="s">
        <v>1310</v>
      </c>
      <c r="E799" s="17" t="s">
        <v>6</v>
      </c>
      <c r="F799" s="25">
        <v>2055</v>
      </c>
      <c r="G799" s="26">
        <v>1.0073135400992199</v>
      </c>
    </row>
    <row r="800" spans="1:7" x14ac:dyDescent="0.35">
      <c r="A800" s="9">
        <f xml:space="preserve"> ROW( scalarDataframe[[#This Row],[row_id]] ) - ROW( scalarDataframe[[#Headers],[row_id]] )</f>
        <v>799</v>
      </c>
      <c r="B800" s="16" t="str">
        <f xml:space="preserve"> INDEX( co_scalarInfo[scalarType], MATCH( scalarDataframe[[#This Row],[scalarName]],  co_scalarInfo[scalarName], 0 ) )</f>
        <v>damageAdj</v>
      </c>
      <c r="C800" s="44" t="str">
        <f xml:space="preserve"> INDEX( co_scalarInfo[scalarLabel], MATCH( scalarDataframe[[#This Row],[scalarName]], co_scalarInfo[scalarName], 0 ) )</f>
        <v>MH Demographic Proportion Adjustment Factor</v>
      </c>
      <c r="D800" s="24" t="s">
        <v>1310</v>
      </c>
      <c r="E800" s="17" t="s">
        <v>6</v>
      </c>
      <c r="F800" s="25">
        <v>2059</v>
      </c>
      <c r="G800" s="26">
        <v>1.0085472175636401</v>
      </c>
    </row>
    <row r="801" spans="1:7" x14ac:dyDescent="0.35">
      <c r="A801" s="9">
        <f xml:space="preserve"> ROW( scalarDataframe[[#This Row],[row_id]] ) - ROW( scalarDataframe[[#Headers],[row_id]] )</f>
        <v>800</v>
      </c>
      <c r="B801" s="16" t="str">
        <f xml:space="preserve"> INDEX( co_scalarInfo[scalarType], MATCH( scalarDataframe[[#This Row],[scalarName]],  co_scalarInfo[scalarName], 0 ) )</f>
        <v>damageAdj</v>
      </c>
      <c r="C801" s="44" t="str">
        <f xml:space="preserve"> INDEX( co_scalarInfo[scalarLabel], MATCH( scalarDataframe[[#This Row],[scalarName]], co_scalarInfo[scalarName], 0 ) )</f>
        <v>MH Demographic Proportion Adjustment Factor</v>
      </c>
      <c r="D801" s="24" t="s">
        <v>1310</v>
      </c>
      <c r="E801" s="17" t="s">
        <v>6</v>
      </c>
      <c r="F801" s="25">
        <v>2061</v>
      </c>
      <c r="G801" s="26">
        <v>1.0094395346549601</v>
      </c>
    </row>
    <row r="802" spans="1:7" x14ac:dyDescent="0.35">
      <c r="A802" s="9">
        <f xml:space="preserve"> ROW( scalarDataframe[[#This Row],[row_id]] ) - ROW( scalarDataframe[[#Headers],[row_id]] )</f>
        <v>801</v>
      </c>
      <c r="B802" s="16" t="str">
        <f xml:space="preserve"> INDEX( co_scalarInfo[scalarType], MATCH( scalarDataframe[[#This Row],[scalarName]],  co_scalarInfo[scalarName], 0 ) )</f>
        <v>damageAdj</v>
      </c>
      <c r="C802" s="44" t="str">
        <f xml:space="preserve"> INDEX( co_scalarInfo[scalarLabel], MATCH( scalarDataframe[[#This Row],[scalarName]], co_scalarInfo[scalarName], 0 ) )</f>
        <v>MH Demographic Proportion Adjustment Factor</v>
      </c>
      <c r="D802" s="24" t="s">
        <v>1310</v>
      </c>
      <c r="E802" s="17" t="s">
        <v>6</v>
      </c>
      <c r="F802" s="25">
        <v>2062</v>
      </c>
      <c r="G802" s="26">
        <v>1.0100230811650099</v>
      </c>
    </row>
    <row r="803" spans="1:7" x14ac:dyDescent="0.35">
      <c r="A803" s="9">
        <f xml:space="preserve"> ROW( scalarDataframe[[#This Row],[row_id]] ) - ROW( scalarDataframe[[#Headers],[row_id]] )</f>
        <v>802</v>
      </c>
      <c r="B803" s="16" t="str">
        <f xml:space="preserve"> INDEX( co_scalarInfo[scalarType], MATCH( scalarDataframe[[#This Row],[scalarName]],  co_scalarInfo[scalarName], 0 ) )</f>
        <v>damageAdj</v>
      </c>
      <c r="C803" s="44" t="str">
        <f xml:space="preserve"> INDEX( co_scalarInfo[scalarLabel], MATCH( scalarDataframe[[#This Row],[scalarName]], co_scalarInfo[scalarName], 0 ) )</f>
        <v>MH Demographic Proportion Adjustment Factor</v>
      </c>
      <c r="D803" s="24" t="s">
        <v>1310</v>
      </c>
      <c r="E803" s="17" t="s">
        <v>6</v>
      </c>
      <c r="F803" s="25">
        <v>2064</v>
      </c>
      <c r="G803" s="26">
        <v>1.0112933607204599</v>
      </c>
    </row>
    <row r="804" spans="1:7" x14ac:dyDescent="0.35">
      <c r="A804" s="9">
        <f xml:space="preserve"> ROW( scalarDataframe[[#This Row],[row_id]] ) - ROW( scalarDataframe[[#Headers],[row_id]] )</f>
        <v>803</v>
      </c>
      <c r="B804" s="16" t="str">
        <f xml:space="preserve"> INDEX( co_scalarInfo[scalarType], MATCH( scalarDataframe[[#This Row],[scalarName]],  co_scalarInfo[scalarName], 0 ) )</f>
        <v>damageAdj</v>
      </c>
      <c r="C804" s="44" t="str">
        <f xml:space="preserve"> INDEX( co_scalarInfo[scalarLabel], MATCH( scalarDataframe[[#This Row],[scalarName]], co_scalarInfo[scalarName], 0 ) )</f>
        <v>MH Demographic Proportion Adjustment Factor</v>
      </c>
      <c r="D804" s="24" t="s">
        <v>1310</v>
      </c>
      <c r="E804" s="17" t="s">
        <v>6</v>
      </c>
      <c r="F804" s="25">
        <v>2067</v>
      </c>
      <c r="G804" s="26">
        <v>1.01316030650093</v>
      </c>
    </row>
    <row r="805" spans="1:7" x14ac:dyDescent="0.35">
      <c r="A805" s="9">
        <f xml:space="preserve"> ROW( scalarDataframe[[#This Row],[row_id]] ) - ROW( scalarDataframe[[#Headers],[row_id]] )</f>
        <v>804</v>
      </c>
      <c r="B805" s="16" t="str">
        <f xml:space="preserve"> INDEX( co_scalarInfo[scalarType], MATCH( scalarDataframe[[#This Row],[scalarName]],  co_scalarInfo[scalarName], 0 ) )</f>
        <v>damageAdj</v>
      </c>
      <c r="C805" s="44" t="str">
        <f xml:space="preserve"> INDEX( co_scalarInfo[scalarLabel], MATCH( scalarDataframe[[#This Row],[scalarName]], co_scalarInfo[scalarName], 0 ) )</f>
        <v>MH Demographic Proportion Adjustment Factor</v>
      </c>
      <c r="D805" s="24" t="s">
        <v>1310</v>
      </c>
      <c r="E805" s="17" t="s">
        <v>6</v>
      </c>
      <c r="F805" s="25">
        <v>2071</v>
      </c>
      <c r="G805" s="26">
        <v>1.01502096924015</v>
      </c>
    </row>
    <row r="806" spans="1:7" x14ac:dyDescent="0.35">
      <c r="A806" s="9">
        <f xml:space="preserve"> ROW( scalarDataframe[[#This Row],[row_id]] ) - ROW( scalarDataframe[[#Headers],[row_id]] )</f>
        <v>805</v>
      </c>
      <c r="B806" s="16" t="str">
        <f xml:space="preserve"> INDEX( co_scalarInfo[scalarType], MATCH( scalarDataframe[[#This Row],[scalarName]],  co_scalarInfo[scalarName], 0 ) )</f>
        <v>damageAdj</v>
      </c>
      <c r="C806" s="44" t="str">
        <f xml:space="preserve"> INDEX( co_scalarInfo[scalarLabel], MATCH( scalarDataframe[[#This Row],[scalarName]], co_scalarInfo[scalarName], 0 ) )</f>
        <v>MH Demographic Proportion Adjustment Factor</v>
      </c>
      <c r="D806" s="24" t="s">
        <v>1310</v>
      </c>
      <c r="E806" s="17" t="s">
        <v>6</v>
      </c>
      <c r="F806" s="25">
        <v>2076</v>
      </c>
      <c r="G806" s="26">
        <v>1.01557782921488</v>
      </c>
    </row>
    <row r="807" spans="1:7" x14ac:dyDescent="0.35">
      <c r="A807" s="9">
        <f xml:space="preserve"> ROW( scalarDataframe[[#This Row],[row_id]] ) - ROW( scalarDataframe[[#Headers],[row_id]] )</f>
        <v>806</v>
      </c>
      <c r="B807" s="16" t="str">
        <f xml:space="preserve"> INDEX( co_scalarInfo[scalarType], MATCH( scalarDataframe[[#This Row],[scalarName]],  co_scalarInfo[scalarName], 0 ) )</f>
        <v>damageAdj</v>
      </c>
      <c r="C807" s="44" t="str">
        <f xml:space="preserve"> INDEX( co_scalarInfo[scalarLabel], MATCH( scalarDataframe[[#This Row],[scalarName]], co_scalarInfo[scalarName], 0 ) )</f>
        <v>MH Demographic Proportion Adjustment Factor</v>
      </c>
      <c r="D807" s="24" t="s">
        <v>1310</v>
      </c>
      <c r="E807" s="17" t="s">
        <v>6</v>
      </c>
      <c r="F807" s="25">
        <v>2077</v>
      </c>
      <c r="G807" s="26">
        <v>1.0156101322358</v>
      </c>
    </row>
    <row r="808" spans="1:7" x14ac:dyDescent="0.35">
      <c r="A808" s="9">
        <f xml:space="preserve"> ROW( scalarDataframe[[#This Row],[row_id]] ) - ROW( scalarDataframe[[#Headers],[row_id]] )</f>
        <v>807</v>
      </c>
      <c r="B808" s="16" t="str">
        <f xml:space="preserve"> INDEX( co_scalarInfo[scalarType], MATCH( scalarDataframe[[#This Row],[scalarName]],  co_scalarInfo[scalarName], 0 ) )</f>
        <v>damageAdj</v>
      </c>
      <c r="C808" s="44" t="str">
        <f xml:space="preserve"> INDEX( co_scalarInfo[scalarLabel], MATCH( scalarDataframe[[#This Row],[scalarName]], co_scalarInfo[scalarName], 0 ) )</f>
        <v>MH Demographic Proportion Adjustment Factor</v>
      </c>
      <c r="D808" s="24" t="s">
        <v>1310</v>
      </c>
      <c r="E808" s="17" t="s">
        <v>6</v>
      </c>
      <c r="F808" s="25">
        <v>2081</v>
      </c>
      <c r="G808" s="26">
        <v>1.0164382641791001</v>
      </c>
    </row>
    <row r="809" spans="1:7" x14ac:dyDescent="0.35">
      <c r="A809" s="9">
        <f xml:space="preserve"> ROW( scalarDataframe[[#This Row],[row_id]] ) - ROW( scalarDataframe[[#Headers],[row_id]] )</f>
        <v>808</v>
      </c>
      <c r="B809" s="16" t="str">
        <f xml:space="preserve"> INDEX( co_scalarInfo[scalarType], MATCH( scalarDataframe[[#This Row],[scalarName]],  co_scalarInfo[scalarName], 0 ) )</f>
        <v>damageAdj</v>
      </c>
      <c r="C809" s="44" t="str">
        <f xml:space="preserve"> INDEX( co_scalarInfo[scalarLabel], MATCH( scalarDataframe[[#This Row],[scalarName]], co_scalarInfo[scalarName], 0 ) )</f>
        <v>MH Demographic Proportion Adjustment Factor</v>
      </c>
      <c r="D809" s="24" t="s">
        <v>1310</v>
      </c>
      <c r="E809" s="17" t="s">
        <v>6</v>
      </c>
      <c r="F809" s="25">
        <v>2082</v>
      </c>
      <c r="G809" s="26">
        <v>1.0166109719049301</v>
      </c>
    </row>
    <row r="810" spans="1:7" x14ac:dyDescent="0.35">
      <c r="A810" s="9">
        <f xml:space="preserve"> ROW( scalarDataframe[[#This Row],[row_id]] ) - ROW( scalarDataframe[[#Headers],[row_id]] )</f>
        <v>809</v>
      </c>
      <c r="B810" s="16" t="str">
        <f xml:space="preserve"> INDEX( co_scalarInfo[scalarType], MATCH( scalarDataframe[[#This Row],[scalarName]],  co_scalarInfo[scalarName], 0 ) )</f>
        <v>damageAdj</v>
      </c>
      <c r="C810" s="44" t="str">
        <f xml:space="preserve"> INDEX( co_scalarInfo[scalarLabel], MATCH( scalarDataframe[[#This Row],[scalarName]], co_scalarInfo[scalarName], 0 ) )</f>
        <v>MH Demographic Proportion Adjustment Factor</v>
      </c>
      <c r="D810" s="24" t="s">
        <v>1310</v>
      </c>
      <c r="E810" s="17" t="s">
        <v>6</v>
      </c>
      <c r="F810" s="25">
        <v>2087</v>
      </c>
      <c r="G810" s="26">
        <v>1.0184079755161699</v>
      </c>
    </row>
    <row r="811" spans="1:7" x14ac:dyDescent="0.35">
      <c r="A811" s="9">
        <f xml:space="preserve"> ROW( scalarDataframe[[#This Row],[row_id]] ) - ROW( scalarDataframe[[#Headers],[row_id]] )</f>
        <v>810</v>
      </c>
      <c r="B811" s="16" t="str">
        <f xml:space="preserve"> INDEX( co_scalarInfo[scalarType], MATCH( scalarDataframe[[#This Row],[scalarName]],  co_scalarInfo[scalarName], 0 ) )</f>
        <v>damageAdj</v>
      </c>
      <c r="C811" s="44" t="str">
        <f xml:space="preserve"> INDEX( co_scalarInfo[scalarLabel], MATCH( scalarDataframe[[#This Row],[scalarName]], co_scalarInfo[scalarName], 0 ) )</f>
        <v>MH Demographic Proportion Adjustment Factor</v>
      </c>
      <c r="D811" s="24" t="s">
        <v>1310</v>
      </c>
      <c r="E811" s="17" t="s">
        <v>6</v>
      </c>
      <c r="F811" s="25">
        <v>2091</v>
      </c>
      <c r="G811" s="26">
        <v>1.0203877135305399</v>
      </c>
    </row>
    <row r="812" spans="1:7" x14ac:dyDescent="0.35">
      <c r="A812" s="9">
        <f xml:space="preserve"> ROW( scalarDataframe[[#This Row],[row_id]] ) - ROW( scalarDataframe[[#Headers],[row_id]] )</f>
        <v>811</v>
      </c>
      <c r="B812" s="16" t="str">
        <f xml:space="preserve"> INDEX( co_scalarInfo[scalarType], MATCH( scalarDataframe[[#This Row],[scalarName]],  co_scalarInfo[scalarName], 0 ) )</f>
        <v>damageAdj</v>
      </c>
      <c r="C812" s="44" t="str">
        <f xml:space="preserve"> INDEX( co_scalarInfo[scalarLabel], MATCH( scalarDataframe[[#This Row],[scalarName]], co_scalarInfo[scalarName], 0 ) )</f>
        <v>MH Demographic Proportion Adjustment Factor</v>
      </c>
      <c r="D812" s="24" t="s">
        <v>1310</v>
      </c>
      <c r="E812" s="17" t="s">
        <v>6</v>
      </c>
      <c r="F812" s="25">
        <v>2300</v>
      </c>
      <c r="G812" s="26">
        <v>1.0203877135305399</v>
      </c>
    </row>
    <row r="813" spans="1:7" x14ac:dyDescent="0.35">
      <c r="A813" s="9">
        <f xml:space="preserve"> ROW( scalarDataframe[[#This Row],[row_id]] ) - ROW( scalarDataframe[[#Headers],[row_id]] )</f>
        <v>812</v>
      </c>
      <c r="B813" s="16" t="str">
        <f xml:space="preserve"> INDEX( co_scalarInfo[scalarType], MATCH( scalarDataframe[[#This Row],[scalarName]],  co_scalarInfo[scalarName], 0 ) )</f>
        <v>damageAdj</v>
      </c>
      <c r="C813" s="44" t="str">
        <f xml:space="preserve"> INDEX( co_scalarInfo[scalarLabel], MATCH( scalarDataframe[[#This Row],[scalarName]], co_scalarInfo[scalarName], 0 ) )</f>
        <v>MH Demographic Proportion Adjustment Factor</v>
      </c>
      <c r="D813" s="24" t="s">
        <v>1310</v>
      </c>
      <c r="E813" s="17" t="s">
        <v>7</v>
      </c>
      <c r="F813" s="25">
        <v>2010</v>
      </c>
      <c r="G813" s="26">
        <v>1.0085295652211195</v>
      </c>
    </row>
    <row r="814" spans="1:7" x14ac:dyDescent="0.35">
      <c r="A814" s="9">
        <f xml:space="preserve"> ROW( scalarDataframe[[#This Row],[row_id]] ) - ROW( scalarDataframe[[#Headers],[row_id]] )</f>
        <v>813</v>
      </c>
      <c r="B814" s="16" t="str">
        <f xml:space="preserve"> INDEX( co_scalarInfo[scalarType], MATCH( scalarDataframe[[#This Row],[scalarName]],  co_scalarInfo[scalarName], 0 ) )</f>
        <v>damageAdj</v>
      </c>
      <c r="C814" s="44" t="str">
        <f xml:space="preserve"> INDEX( co_scalarInfo[scalarLabel], MATCH( scalarDataframe[[#This Row],[scalarName]], co_scalarInfo[scalarName], 0 ) )</f>
        <v>MH Demographic Proportion Adjustment Factor</v>
      </c>
      <c r="D814" s="24" t="s">
        <v>1310</v>
      </c>
      <c r="E814" s="17" t="s">
        <v>7</v>
      </c>
      <c r="F814" s="25">
        <v>2011</v>
      </c>
      <c r="G814" s="26">
        <v>1.0068110448954199</v>
      </c>
    </row>
    <row r="815" spans="1:7" x14ac:dyDescent="0.35">
      <c r="A815" s="9">
        <f xml:space="preserve"> ROW( scalarDataframe[[#This Row],[row_id]] ) - ROW( scalarDataframe[[#Headers],[row_id]] )</f>
        <v>814</v>
      </c>
      <c r="B815" s="16" t="str">
        <f xml:space="preserve"> INDEX( co_scalarInfo[scalarType], MATCH( scalarDataframe[[#This Row],[scalarName]],  co_scalarInfo[scalarName], 0 ) )</f>
        <v>damageAdj</v>
      </c>
      <c r="C815" s="44" t="str">
        <f xml:space="preserve"> INDEX( co_scalarInfo[scalarLabel], MATCH( scalarDataframe[[#This Row],[scalarName]], co_scalarInfo[scalarName], 0 ) )</f>
        <v>MH Demographic Proportion Adjustment Factor</v>
      </c>
      <c r="D815" s="24" t="s">
        <v>1310</v>
      </c>
      <c r="E815" s="17" t="s">
        <v>7</v>
      </c>
      <c r="F815" s="25">
        <v>2013</v>
      </c>
      <c r="G815" s="26">
        <v>1.00337400424402</v>
      </c>
    </row>
    <row r="816" spans="1:7" x14ac:dyDescent="0.35">
      <c r="A816" s="9">
        <f xml:space="preserve"> ROW( scalarDataframe[[#This Row],[row_id]] ) - ROW( scalarDataframe[[#Headers],[row_id]] )</f>
        <v>815</v>
      </c>
      <c r="B816" s="16" t="str">
        <f xml:space="preserve"> INDEX( co_scalarInfo[scalarType], MATCH( scalarDataframe[[#This Row],[scalarName]],  co_scalarInfo[scalarName], 0 ) )</f>
        <v>damageAdj</v>
      </c>
      <c r="C816" s="44" t="str">
        <f xml:space="preserve"> INDEX( co_scalarInfo[scalarLabel], MATCH( scalarDataframe[[#This Row],[scalarName]], co_scalarInfo[scalarName], 0 ) )</f>
        <v>MH Demographic Proportion Adjustment Factor</v>
      </c>
      <c r="D816" s="24" t="s">
        <v>1310</v>
      </c>
      <c r="E816" s="17" t="s">
        <v>7</v>
      </c>
      <c r="F816" s="25">
        <v>2017</v>
      </c>
      <c r="G816" s="26">
        <v>0.99661113266946699</v>
      </c>
    </row>
    <row r="817" spans="1:7" x14ac:dyDescent="0.35">
      <c r="A817" s="9">
        <f xml:space="preserve"> ROW( scalarDataframe[[#This Row],[row_id]] ) - ROW( scalarDataframe[[#Headers],[row_id]] )</f>
        <v>816</v>
      </c>
      <c r="B817" s="16" t="str">
        <f xml:space="preserve"> INDEX( co_scalarInfo[scalarType], MATCH( scalarDataframe[[#This Row],[scalarName]],  co_scalarInfo[scalarName], 0 ) )</f>
        <v>damageAdj</v>
      </c>
      <c r="C817" s="44" t="str">
        <f xml:space="preserve"> INDEX( co_scalarInfo[scalarLabel], MATCH( scalarDataframe[[#This Row],[scalarName]], co_scalarInfo[scalarName], 0 ) )</f>
        <v>MH Demographic Proportion Adjustment Factor</v>
      </c>
      <c r="D817" s="24" t="s">
        <v>1310</v>
      </c>
      <c r="E817" s="17" t="s">
        <v>7</v>
      </c>
      <c r="F817" s="25">
        <v>2025</v>
      </c>
      <c r="G817" s="26">
        <v>0.98776066481343705</v>
      </c>
    </row>
    <row r="818" spans="1:7" x14ac:dyDescent="0.35">
      <c r="A818" s="9">
        <f xml:space="preserve"> ROW( scalarDataframe[[#This Row],[row_id]] ) - ROW( scalarDataframe[[#Headers],[row_id]] )</f>
        <v>817</v>
      </c>
      <c r="B818" s="16" t="str">
        <f xml:space="preserve"> INDEX( co_scalarInfo[scalarType], MATCH( scalarDataframe[[#This Row],[scalarName]],  co_scalarInfo[scalarName], 0 ) )</f>
        <v>damageAdj</v>
      </c>
      <c r="C818" s="44" t="str">
        <f xml:space="preserve"> INDEX( co_scalarInfo[scalarLabel], MATCH( scalarDataframe[[#This Row],[scalarName]], co_scalarInfo[scalarName], 0 ) )</f>
        <v>MH Demographic Proportion Adjustment Factor</v>
      </c>
      <c r="D818" s="24" t="s">
        <v>1310</v>
      </c>
      <c r="E818" s="17" t="s">
        <v>7</v>
      </c>
      <c r="F818" s="25">
        <v>2029</v>
      </c>
      <c r="G818" s="26">
        <v>0.98433331368784605</v>
      </c>
    </row>
    <row r="819" spans="1:7" x14ac:dyDescent="0.35">
      <c r="A819" s="9">
        <f xml:space="preserve"> ROW( scalarDataframe[[#This Row],[row_id]] ) - ROW( scalarDataframe[[#Headers],[row_id]] )</f>
        <v>818</v>
      </c>
      <c r="B819" s="16" t="str">
        <f xml:space="preserve"> INDEX( co_scalarInfo[scalarType], MATCH( scalarDataframe[[#This Row],[scalarName]],  co_scalarInfo[scalarName], 0 ) )</f>
        <v>damageAdj</v>
      </c>
      <c r="C819" s="44" t="str">
        <f xml:space="preserve"> INDEX( co_scalarInfo[scalarLabel], MATCH( scalarDataframe[[#This Row],[scalarName]], co_scalarInfo[scalarName], 0 ) )</f>
        <v>MH Demographic Proportion Adjustment Factor</v>
      </c>
      <c r="D819" s="24" t="s">
        <v>1310</v>
      </c>
      <c r="E819" s="17" t="s">
        <v>7</v>
      </c>
      <c r="F819" s="25">
        <v>2032</v>
      </c>
      <c r="G819" s="26">
        <v>0.98379196835581595</v>
      </c>
    </row>
    <row r="820" spans="1:7" x14ac:dyDescent="0.35">
      <c r="A820" s="9">
        <f xml:space="preserve"> ROW( scalarDataframe[[#This Row],[row_id]] ) - ROW( scalarDataframe[[#Headers],[row_id]] )</f>
        <v>819</v>
      </c>
      <c r="B820" s="16" t="str">
        <f xml:space="preserve"> INDEX( co_scalarInfo[scalarType], MATCH( scalarDataframe[[#This Row],[scalarName]],  co_scalarInfo[scalarName], 0 ) )</f>
        <v>damageAdj</v>
      </c>
      <c r="C820" s="44" t="str">
        <f xml:space="preserve"> INDEX( co_scalarInfo[scalarLabel], MATCH( scalarDataframe[[#This Row],[scalarName]], co_scalarInfo[scalarName], 0 ) )</f>
        <v>MH Demographic Proportion Adjustment Factor</v>
      </c>
      <c r="D820" s="24" t="s">
        <v>1310</v>
      </c>
      <c r="E820" s="17" t="s">
        <v>7</v>
      </c>
      <c r="F820" s="25">
        <v>2033</v>
      </c>
      <c r="G820" s="26">
        <v>0.98391701861770198</v>
      </c>
    </row>
    <row r="821" spans="1:7" x14ac:dyDescent="0.35">
      <c r="A821" s="9">
        <f xml:space="preserve"> ROW( scalarDataframe[[#This Row],[row_id]] ) - ROW( scalarDataframe[[#Headers],[row_id]] )</f>
        <v>820</v>
      </c>
      <c r="B821" s="16" t="str">
        <f xml:space="preserve"> INDEX( co_scalarInfo[scalarType], MATCH( scalarDataframe[[#This Row],[scalarName]],  co_scalarInfo[scalarName], 0 ) )</f>
        <v>damageAdj</v>
      </c>
      <c r="C821" s="44" t="str">
        <f xml:space="preserve"> INDEX( co_scalarInfo[scalarLabel], MATCH( scalarDataframe[[#This Row],[scalarName]], co_scalarInfo[scalarName], 0 ) )</f>
        <v>MH Demographic Proportion Adjustment Factor</v>
      </c>
      <c r="D821" s="24" t="s">
        <v>1310</v>
      </c>
      <c r="E821" s="17" t="s">
        <v>7</v>
      </c>
      <c r="F821" s="25">
        <v>2037</v>
      </c>
      <c r="G821" s="26">
        <v>0.98445220235822295</v>
      </c>
    </row>
    <row r="822" spans="1:7" x14ac:dyDescent="0.35">
      <c r="A822" s="9">
        <f xml:space="preserve"> ROW( scalarDataframe[[#This Row],[row_id]] ) - ROW( scalarDataframe[[#Headers],[row_id]] )</f>
        <v>821</v>
      </c>
      <c r="B822" s="16" t="str">
        <f xml:space="preserve"> INDEX( co_scalarInfo[scalarType], MATCH( scalarDataframe[[#This Row],[scalarName]],  co_scalarInfo[scalarName], 0 ) )</f>
        <v>damageAdj</v>
      </c>
      <c r="C822" s="44" t="str">
        <f xml:space="preserve"> INDEX( co_scalarInfo[scalarLabel], MATCH( scalarDataframe[[#This Row],[scalarName]], co_scalarInfo[scalarName], 0 ) )</f>
        <v>MH Demographic Proportion Adjustment Factor</v>
      </c>
      <c r="D822" s="24" t="s">
        <v>1310</v>
      </c>
      <c r="E822" s="17" t="s">
        <v>7</v>
      </c>
      <c r="F822" s="25">
        <v>2044</v>
      </c>
      <c r="G822" s="26">
        <v>0.98135413644813196</v>
      </c>
    </row>
    <row r="823" spans="1:7" x14ac:dyDescent="0.35">
      <c r="A823" s="9">
        <f xml:space="preserve"> ROW( scalarDataframe[[#This Row],[row_id]] ) - ROW( scalarDataframe[[#Headers],[row_id]] )</f>
        <v>822</v>
      </c>
      <c r="B823" s="16" t="str">
        <f xml:space="preserve"> INDEX( co_scalarInfo[scalarType], MATCH( scalarDataframe[[#This Row],[scalarName]],  co_scalarInfo[scalarName], 0 ) )</f>
        <v>damageAdj</v>
      </c>
      <c r="C823" s="44" t="str">
        <f xml:space="preserve"> INDEX( co_scalarInfo[scalarLabel], MATCH( scalarDataframe[[#This Row],[scalarName]], co_scalarInfo[scalarName], 0 ) )</f>
        <v>MH Demographic Proportion Adjustment Factor</v>
      </c>
      <c r="D823" s="24" t="s">
        <v>1310</v>
      </c>
      <c r="E823" s="17" t="s">
        <v>7</v>
      </c>
      <c r="F823" s="25">
        <v>2048</v>
      </c>
      <c r="G823" s="26">
        <v>0.97831093994011997</v>
      </c>
    </row>
    <row r="824" spans="1:7" x14ac:dyDescent="0.35">
      <c r="A824" s="9">
        <f xml:space="preserve"> ROW( scalarDataframe[[#This Row],[row_id]] ) - ROW( scalarDataframe[[#Headers],[row_id]] )</f>
        <v>823</v>
      </c>
      <c r="B824" s="16" t="str">
        <f xml:space="preserve"> INDEX( co_scalarInfo[scalarType], MATCH( scalarDataframe[[#This Row],[scalarName]],  co_scalarInfo[scalarName], 0 ) )</f>
        <v>damageAdj</v>
      </c>
      <c r="C824" s="44" t="str">
        <f xml:space="preserve"> INDEX( co_scalarInfo[scalarLabel], MATCH( scalarDataframe[[#This Row],[scalarName]], co_scalarInfo[scalarName], 0 ) )</f>
        <v>MH Demographic Proportion Adjustment Factor</v>
      </c>
      <c r="D824" s="24" t="s">
        <v>1310</v>
      </c>
      <c r="E824" s="17" t="s">
        <v>7</v>
      </c>
      <c r="F824" s="25">
        <v>2049</v>
      </c>
      <c r="G824" s="26">
        <v>0.97752027518008699</v>
      </c>
    </row>
    <row r="825" spans="1:7" x14ac:dyDescent="0.35">
      <c r="A825" s="9">
        <f xml:space="preserve"> ROW( scalarDataframe[[#This Row],[row_id]] ) - ROW( scalarDataframe[[#Headers],[row_id]] )</f>
        <v>824</v>
      </c>
      <c r="B825" s="16" t="str">
        <f xml:space="preserve"> INDEX( co_scalarInfo[scalarType], MATCH( scalarDataframe[[#This Row],[scalarName]],  co_scalarInfo[scalarName], 0 ) )</f>
        <v>damageAdj</v>
      </c>
      <c r="C825" s="44" t="str">
        <f xml:space="preserve"> INDEX( co_scalarInfo[scalarLabel], MATCH( scalarDataframe[[#This Row],[scalarName]], co_scalarInfo[scalarName], 0 ) )</f>
        <v>MH Demographic Proportion Adjustment Factor</v>
      </c>
      <c r="D825" s="24" t="s">
        <v>1310</v>
      </c>
      <c r="E825" s="17" t="s">
        <v>7</v>
      </c>
      <c r="F825" s="25">
        <v>2050</v>
      </c>
      <c r="G825" s="26">
        <v>0.97669731199290799</v>
      </c>
    </row>
    <row r="826" spans="1:7" x14ac:dyDescent="0.35">
      <c r="A826" s="9">
        <f xml:space="preserve"> ROW( scalarDataframe[[#This Row],[row_id]] ) - ROW( scalarDataframe[[#Headers],[row_id]] )</f>
        <v>825</v>
      </c>
      <c r="B826" s="16" t="str">
        <f xml:space="preserve"> INDEX( co_scalarInfo[scalarType], MATCH( scalarDataframe[[#This Row],[scalarName]],  co_scalarInfo[scalarName], 0 ) )</f>
        <v>damageAdj</v>
      </c>
      <c r="C826" s="44" t="str">
        <f xml:space="preserve"> INDEX( co_scalarInfo[scalarLabel], MATCH( scalarDataframe[[#This Row],[scalarName]], co_scalarInfo[scalarName], 0 ) )</f>
        <v>MH Demographic Proportion Adjustment Factor</v>
      </c>
      <c r="D826" s="24" t="s">
        <v>1310</v>
      </c>
      <c r="E826" s="17" t="s">
        <v>7</v>
      </c>
      <c r="F826" s="25">
        <v>2052</v>
      </c>
      <c r="G826" s="26">
        <v>0.975345945000891</v>
      </c>
    </row>
    <row r="827" spans="1:7" x14ac:dyDescent="0.35">
      <c r="A827" s="9">
        <f xml:space="preserve"> ROW( scalarDataframe[[#This Row],[row_id]] ) - ROW( scalarDataframe[[#Headers],[row_id]] )</f>
        <v>826</v>
      </c>
      <c r="B827" s="16" t="str">
        <f xml:space="preserve"> INDEX( co_scalarInfo[scalarType], MATCH( scalarDataframe[[#This Row],[scalarName]],  co_scalarInfo[scalarName], 0 ) )</f>
        <v>damageAdj</v>
      </c>
      <c r="C827" s="44" t="str">
        <f xml:space="preserve"> INDEX( co_scalarInfo[scalarLabel], MATCH( scalarDataframe[[#This Row],[scalarName]], co_scalarInfo[scalarName], 0 ) )</f>
        <v>MH Demographic Proportion Adjustment Factor</v>
      </c>
      <c r="D827" s="24" t="s">
        <v>1310</v>
      </c>
      <c r="E827" s="17" t="s">
        <v>7</v>
      </c>
      <c r="F827" s="25">
        <v>2055</v>
      </c>
      <c r="G827" s="26">
        <v>0.97345017624087404</v>
      </c>
    </row>
    <row r="828" spans="1:7" x14ac:dyDescent="0.35">
      <c r="A828" s="9">
        <f xml:space="preserve"> ROW( scalarDataframe[[#This Row],[row_id]] ) - ROW( scalarDataframe[[#Headers],[row_id]] )</f>
        <v>827</v>
      </c>
      <c r="B828" s="16" t="str">
        <f xml:space="preserve"> INDEX( co_scalarInfo[scalarType], MATCH( scalarDataframe[[#This Row],[scalarName]],  co_scalarInfo[scalarName], 0 ) )</f>
        <v>damageAdj</v>
      </c>
      <c r="C828" s="44" t="str">
        <f xml:space="preserve"> INDEX( co_scalarInfo[scalarLabel], MATCH( scalarDataframe[[#This Row],[scalarName]], co_scalarInfo[scalarName], 0 ) )</f>
        <v>MH Demographic Proportion Adjustment Factor</v>
      </c>
      <c r="D828" s="24" t="s">
        <v>1310</v>
      </c>
      <c r="E828" s="17" t="s">
        <v>7</v>
      </c>
      <c r="F828" s="25">
        <v>2059</v>
      </c>
      <c r="G828" s="26">
        <v>0.97137097748661905</v>
      </c>
    </row>
    <row r="829" spans="1:7" x14ac:dyDescent="0.35">
      <c r="A829" s="9">
        <f xml:space="preserve"> ROW( scalarDataframe[[#This Row],[row_id]] ) - ROW( scalarDataframe[[#Headers],[row_id]] )</f>
        <v>828</v>
      </c>
      <c r="B829" s="16" t="str">
        <f xml:space="preserve"> INDEX( co_scalarInfo[scalarType], MATCH( scalarDataframe[[#This Row],[scalarName]],  co_scalarInfo[scalarName], 0 ) )</f>
        <v>damageAdj</v>
      </c>
      <c r="C829" s="44" t="str">
        <f xml:space="preserve"> INDEX( co_scalarInfo[scalarLabel], MATCH( scalarDataframe[[#This Row],[scalarName]], co_scalarInfo[scalarName], 0 ) )</f>
        <v>MH Demographic Proportion Adjustment Factor</v>
      </c>
      <c r="D829" s="24" t="s">
        <v>1310</v>
      </c>
      <c r="E829" s="17" t="s">
        <v>7</v>
      </c>
      <c r="F829" s="25">
        <v>2061</v>
      </c>
      <c r="G829" s="26">
        <v>0.97047225784510605</v>
      </c>
    </row>
    <row r="830" spans="1:7" x14ac:dyDescent="0.35">
      <c r="A830" s="9">
        <f xml:space="preserve"> ROW( scalarDataframe[[#This Row],[row_id]] ) - ROW( scalarDataframe[[#Headers],[row_id]] )</f>
        <v>829</v>
      </c>
      <c r="B830" s="16" t="str">
        <f xml:space="preserve"> INDEX( co_scalarInfo[scalarType], MATCH( scalarDataframe[[#This Row],[scalarName]],  co_scalarInfo[scalarName], 0 ) )</f>
        <v>damageAdj</v>
      </c>
      <c r="C830" s="44" t="str">
        <f xml:space="preserve"> INDEX( co_scalarInfo[scalarLabel], MATCH( scalarDataframe[[#This Row],[scalarName]], co_scalarInfo[scalarName], 0 ) )</f>
        <v>MH Demographic Proportion Adjustment Factor</v>
      </c>
      <c r="D830" s="24" t="s">
        <v>1310</v>
      </c>
      <c r="E830" s="17" t="s">
        <v>7</v>
      </c>
      <c r="F830" s="25">
        <v>2062</v>
      </c>
      <c r="G830" s="26">
        <v>0.97060098441862297</v>
      </c>
    </row>
    <row r="831" spans="1:7" x14ac:dyDescent="0.35">
      <c r="A831" s="9">
        <f xml:space="preserve"> ROW( scalarDataframe[[#This Row],[row_id]] ) - ROW( scalarDataframe[[#Headers],[row_id]] )</f>
        <v>830</v>
      </c>
      <c r="B831" s="16" t="str">
        <f xml:space="preserve"> INDEX( co_scalarInfo[scalarType], MATCH( scalarDataframe[[#This Row],[scalarName]],  co_scalarInfo[scalarName], 0 ) )</f>
        <v>damageAdj</v>
      </c>
      <c r="C831" s="44" t="str">
        <f xml:space="preserve"> INDEX( co_scalarInfo[scalarLabel], MATCH( scalarDataframe[[#This Row],[scalarName]], co_scalarInfo[scalarName], 0 ) )</f>
        <v>MH Demographic Proportion Adjustment Factor</v>
      </c>
      <c r="D831" s="24" t="s">
        <v>1310</v>
      </c>
      <c r="E831" s="17" t="s">
        <v>7</v>
      </c>
      <c r="F831" s="25">
        <v>2064</v>
      </c>
      <c r="G831" s="26">
        <v>0.97020476528834798</v>
      </c>
    </row>
    <row r="832" spans="1:7" x14ac:dyDescent="0.35">
      <c r="A832" s="9">
        <f xml:space="preserve"> ROW( scalarDataframe[[#This Row],[row_id]] ) - ROW( scalarDataframe[[#Headers],[row_id]] )</f>
        <v>831</v>
      </c>
      <c r="B832" s="16" t="str">
        <f xml:space="preserve"> INDEX( co_scalarInfo[scalarType], MATCH( scalarDataframe[[#This Row],[scalarName]],  co_scalarInfo[scalarName], 0 ) )</f>
        <v>damageAdj</v>
      </c>
      <c r="C832" s="44" t="str">
        <f xml:space="preserve"> INDEX( co_scalarInfo[scalarLabel], MATCH( scalarDataframe[[#This Row],[scalarName]], co_scalarInfo[scalarName], 0 ) )</f>
        <v>MH Demographic Proportion Adjustment Factor</v>
      </c>
      <c r="D832" s="24" t="s">
        <v>1310</v>
      </c>
      <c r="E832" s="17" t="s">
        <v>7</v>
      </c>
      <c r="F832" s="25">
        <v>2067</v>
      </c>
      <c r="G832" s="26">
        <v>0.97033074958096599</v>
      </c>
    </row>
    <row r="833" spans="1:7" x14ac:dyDescent="0.35">
      <c r="A833" s="9">
        <f xml:space="preserve"> ROW( scalarDataframe[[#This Row],[row_id]] ) - ROW( scalarDataframe[[#Headers],[row_id]] )</f>
        <v>832</v>
      </c>
      <c r="B833" s="16" t="str">
        <f xml:space="preserve"> INDEX( co_scalarInfo[scalarType], MATCH( scalarDataframe[[#This Row],[scalarName]],  co_scalarInfo[scalarName], 0 ) )</f>
        <v>damageAdj</v>
      </c>
      <c r="C833" s="44" t="str">
        <f xml:space="preserve"> INDEX( co_scalarInfo[scalarLabel], MATCH( scalarDataframe[[#This Row],[scalarName]], co_scalarInfo[scalarName], 0 ) )</f>
        <v>MH Demographic Proportion Adjustment Factor</v>
      </c>
      <c r="D833" s="24" t="s">
        <v>1310</v>
      </c>
      <c r="E833" s="17" t="s">
        <v>7</v>
      </c>
      <c r="F833" s="25">
        <v>2071</v>
      </c>
      <c r="G833" s="26">
        <v>0.96960487115488103</v>
      </c>
    </row>
    <row r="834" spans="1:7" x14ac:dyDescent="0.35">
      <c r="A834" s="9">
        <f xml:space="preserve"> ROW( scalarDataframe[[#This Row],[row_id]] ) - ROW( scalarDataframe[[#Headers],[row_id]] )</f>
        <v>833</v>
      </c>
      <c r="B834" s="16" t="str">
        <f xml:space="preserve"> INDEX( co_scalarInfo[scalarType], MATCH( scalarDataframe[[#This Row],[scalarName]],  co_scalarInfo[scalarName], 0 ) )</f>
        <v>damageAdj</v>
      </c>
      <c r="C834" s="44" t="str">
        <f xml:space="preserve"> INDEX( co_scalarInfo[scalarLabel], MATCH( scalarDataframe[[#This Row],[scalarName]], co_scalarInfo[scalarName], 0 ) )</f>
        <v>MH Demographic Proportion Adjustment Factor</v>
      </c>
      <c r="D834" s="24" t="s">
        <v>1310</v>
      </c>
      <c r="E834" s="17" t="s">
        <v>7</v>
      </c>
      <c r="F834" s="25">
        <v>2076</v>
      </c>
      <c r="G834" s="26">
        <v>0.96801639787276905</v>
      </c>
    </row>
    <row r="835" spans="1:7" x14ac:dyDescent="0.35">
      <c r="A835" s="9">
        <f xml:space="preserve"> ROW( scalarDataframe[[#This Row],[row_id]] ) - ROW( scalarDataframe[[#Headers],[row_id]] )</f>
        <v>834</v>
      </c>
      <c r="B835" s="16" t="str">
        <f xml:space="preserve"> INDEX( co_scalarInfo[scalarType], MATCH( scalarDataframe[[#This Row],[scalarName]],  co_scalarInfo[scalarName], 0 ) )</f>
        <v>damageAdj</v>
      </c>
      <c r="C835" s="44" t="str">
        <f xml:space="preserve"> INDEX( co_scalarInfo[scalarLabel], MATCH( scalarDataframe[[#This Row],[scalarName]], co_scalarInfo[scalarName], 0 ) )</f>
        <v>MH Demographic Proportion Adjustment Factor</v>
      </c>
      <c r="D835" s="24" t="s">
        <v>1310</v>
      </c>
      <c r="E835" s="17" t="s">
        <v>7</v>
      </c>
      <c r="F835" s="25">
        <v>2077</v>
      </c>
      <c r="G835" s="26">
        <v>0.96772346599502201</v>
      </c>
    </row>
    <row r="836" spans="1:7" x14ac:dyDescent="0.35">
      <c r="A836" s="9">
        <f xml:space="preserve"> ROW( scalarDataframe[[#This Row],[row_id]] ) - ROW( scalarDataframe[[#Headers],[row_id]] )</f>
        <v>835</v>
      </c>
      <c r="B836" s="16" t="str">
        <f xml:space="preserve"> INDEX( co_scalarInfo[scalarType], MATCH( scalarDataframe[[#This Row],[scalarName]],  co_scalarInfo[scalarName], 0 ) )</f>
        <v>damageAdj</v>
      </c>
      <c r="C836" s="44" t="str">
        <f xml:space="preserve"> INDEX( co_scalarInfo[scalarLabel], MATCH( scalarDataframe[[#This Row],[scalarName]], co_scalarInfo[scalarName], 0 ) )</f>
        <v>MH Demographic Proportion Adjustment Factor</v>
      </c>
      <c r="D836" s="24" t="s">
        <v>1310</v>
      </c>
      <c r="E836" s="17" t="s">
        <v>7</v>
      </c>
      <c r="F836" s="25">
        <v>2081</v>
      </c>
      <c r="G836" s="26">
        <v>0.96685945340602097</v>
      </c>
    </row>
    <row r="837" spans="1:7" x14ac:dyDescent="0.35">
      <c r="A837" s="9">
        <f xml:space="preserve"> ROW( scalarDataframe[[#This Row],[row_id]] ) - ROW( scalarDataframe[[#Headers],[row_id]] )</f>
        <v>836</v>
      </c>
      <c r="B837" s="16" t="str">
        <f xml:space="preserve"> INDEX( co_scalarInfo[scalarType], MATCH( scalarDataframe[[#This Row],[scalarName]],  co_scalarInfo[scalarName], 0 ) )</f>
        <v>damageAdj</v>
      </c>
      <c r="C837" s="44" t="str">
        <f xml:space="preserve"> INDEX( co_scalarInfo[scalarLabel], MATCH( scalarDataframe[[#This Row],[scalarName]], co_scalarInfo[scalarName], 0 ) )</f>
        <v>MH Demographic Proportion Adjustment Factor</v>
      </c>
      <c r="D837" s="24" t="s">
        <v>1310</v>
      </c>
      <c r="E837" s="17" t="s">
        <v>7</v>
      </c>
      <c r="F837" s="25">
        <v>2082</v>
      </c>
      <c r="G837" s="26">
        <v>0.96694952645844401</v>
      </c>
    </row>
    <row r="838" spans="1:7" x14ac:dyDescent="0.35">
      <c r="A838" s="9">
        <f xml:space="preserve"> ROW( scalarDataframe[[#This Row],[row_id]] ) - ROW( scalarDataframe[[#Headers],[row_id]] )</f>
        <v>837</v>
      </c>
      <c r="B838" s="16" t="str">
        <f xml:space="preserve"> INDEX( co_scalarInfo[scalarType], MATCH( scalarDataframe[[#This Row],[scalarName]],  co_scalarInfo[scalarName], 0 ) )</f>
        <v>damageAdj</v>
      </c>
      <c r="C838" s="44" t="str">
        <f xml:space="preserve"> INDEX( co_scalarInfo[scalarLabel], MATCH( scalarDataframe[[#This Row],[scalarName]], co_scalarInfo[scalarName], 0 ) )</f>
        <v>MH Demographic Proportion Adjustment Factor</v>
      </c>
      <c r="D838" s="24" t="s">
        <v>1310</v>
      </c>
      <c r="E838" s="17" t="s">
        <v>7</v>
      </c>
      <c r="F838" s="25">
        <v>2087</v>
      </c>
      <c r="G838" s="26">
        <v>0.96670340107064801</v>
      </c>
    </row>
    <row r="839" spans="1:7" x14ac:dyDescent="0.35">
      <c r="A839" s="9">
        <f xml:space="preserve"> ROW( scalarDataframe[[#This Row],[row_id]] ) - ROW( scalarDataframe[[#Headers],[row_id]] )</f>
        <v>838</v>
      </c>
      <c r="B839" s="16" t="str">
        <f xml:space="preserve"> INDEX( co_scalarInfo[scalarType], MATCH( scalarDataframe[[#This Row],[scalarName]],  co_scalarInfo[scalarName], 0 ) )</f>
        <v>damageAdj</v>
      </c>
      <c r="C839" s="44" t="str">
        <f xml:space="preserve"> INDEX( co_scalarInfo[scalarLabel], MATCH( scalarDataframe[[#This Row],[scalarName]], co_scalarInfo[scalarName], 0 ) )</f>
        <v>MH Demographic Proportion Adjustment Factor</v>
      </c>
      <c r="D839" s="24" t="s">
        <v>1310</v>
      </c>
      <c r="E839" s="17" t="s">
        <v>7</v>
      </c>
      <c r="F839" s="25">
        <v>2091</v>
      </c>
      <c r="G839" s="26">
        <v>0.96880700254581997</v>
      </c>
    </row>
    <row r="840" spans="1:7" x14ac:dyDescent="0.35">
      <c r="A840" s="9">
        <f xml:space="preserve"> ROW( scalarDataframe[[#This Row],[row_id]] ) - ROW( scalarDataframe[[#Headers],[row_id]] )</f>
        <v>839</v>
      </c>
      <c r="B840" s="16" t="str">
        <f xml:space="preserve"> INDEX( co_scalarInfo[scalarType], MATCH( scalarDataframe[[#This Row],[scalarName]],  co_scalarInfo[scalarName], 0 ) )</f>
        <v>damageAdj</v>
      </c>
      <c r="C840" s="44" t="str">
        <f xml:space="preserve"> INDEX( co_scalarInfo[scalarLabel], MATCH( scalarDataframe[[#This Row],[scalarName]], co_scalarInfo[scalarName], 0 ) )</f>
        <v>MH Demographic Proportion Adjustment Factor</v>
      </c>
      <c r="D840" s="24" t="s">
        <v>1310</v>
      </c>
      <c r="E840" s="17" t="s">
        <v>7</v>
      </c>
      <c r="F840" s="25">
        <v>2300</v>
      </c>
      <c r="G840" s="26">
        <v>0.96880700254581997</v>
      </c>
    </row>
    <row r="841" spans="1:7" x14ac:dyDescent="0.35">
      <c r="A841" s="9">
        <f xml:space="preserve"> ROW( scalarDataframe[[#This Row],[row_id]] ) - ROW( scalarDataframe[[#Headers],[row_id]] )</f>
        <v>840</v>
      </c>
      <c r="B841" s="16" t="str">
        <f xml:space="preserve"> INDEX( co_scalarInfo[scalarType], MATCH( scalarDataframe[[#This Row],[scalarName]],  co_scalarInfo[scalarName], 0 ) )</f>
        <v>damageAdj</v>
      </c>
      <c r="C841" s="44" t="str">
        <f xml:space="preserve"> INDEX( co_scalarInfo[scalarLabel], MATCH( scalarDataframe[[#This Row],[scalarName]], co_scalarInfo[scalarName], 0 ) )</f>
        <v>MH Demographic Proportion Adjustment Factor</v>
      </c>
      <c r="D841" s="24" t="s">
        <v>1310</v>
      </c>
      <c r="E841" s="17" t="s">
        <v>8</v>
      </c>
      <c r="F841" s="25">
        <v>2010</v>
      </c>
      <c r="G841" s="26">
        <v>1.0000078367968801</v>
      </c>
    </row>
    <row r="842" spans="1:7" x14ac:dyDescent="0.35">
      <c r="A842" s="9">
        <f xml:space="preserve"> ROW( scalarDataframe[[#This Row],[row_id]] ) - ROW( scalarDataframe[[#Headers],[row_id]] )</f>
        <v>841</v>
      </c>
      <c r="B842" s="16" t="str">
        <f xml:space="preserve"> INDEX( co_scalarInfo[scalarType], MATCH( scalarDataframe[[#This Row],[scalarName]],  co_scalarInfo[scalarName], 0 ) )</f>
        <v>damageAdj</v>
      </c>
      <c r="C842" s="44" t="str">
        <f xml:space="preserve"> INDEX( co_scalarInfo[scalarLabel], MATCH( scalarDataframe[[#This Row],[scalarName]], co_scalarInfo[scalarName], 0 ) )</f>
        <v>MH Demographic Proportion Adjustment Factor</v>
      </c>
      <c r="D842" s="24" t="s">
        <v>1310</v>
      </c>
      <c r="E842" s="17" t="s">
        <v>8</v>
      </c>
      <c r="F842" s="25">
        <v>2011</v>
      </c>
      <c r="G842" s="26">
        <v>1.0000085958285301</v>
      </c>
    </row>
    <row r="843" spans="1:7" x14ac:dyDescent="0.35">
      <c r="A843" s="9">
        <f xml:space="preserve"> ROW( scalarDataframe[[#This Row],[row_id]] ) - ROW( scalarDataframe[[#Headers],[row_id]] )</f>
        <v>842</v>
      </c>
      <c r="B843" s="16" t="str">
        <f xml:space="preserve"> INDEX( co_scalarInfo[scalarType], MATCH( scalarDataframe[[#This Row],[scalarName]],  co_scalarInfo[scalarName], 0 ) )</f>
        <v>damageAdj</v>
      </c>
      <c r="C843" s="44" t="str">
        <f xml:space="preserve"> INDEX( co_scalarInfo[scalarLabel], MATCH( scalarDataframe[[#This Row],[scalarName]], co_scalarInfo[scalarName], 0 ) )</f>
        <v>MH Demographic Proportion Adjustment Factor</v>
      </c>
      <c r="D843" s="24" t="s">
        <v>1310</v>
      </c>
      <c r="E843" s="17" t="s">
        <v>8</v>
      </c>
      <c r="F843" s="25">
        <v>2013</v>
      </c>
      <c r="G843" s="26">
        <v>1.00001011389183</v>
      </c>
    </row>
    <row r="844" spans="1:7" x14ac:dyDescent="0.35">
      <c r="A844" s="9">
        <f xml:space="preserve"> ROW( scalarDataframe[[#This Row],[row_id]] ) - ROW( scalarDataframe[[#Headers],[row_id]] )</f>
        <v>843</v>
      </c>
      <c r="B844" s="16" t="str">
        <f xml:space="preserve"> INDEX( co_scalarInfo[scalarType], MATCH( scalarDataframe[[#This Row],[scalarName]],  co_scalarInfo[scalarName], 0 ) )</f>
        <v>damageAdj</v>
      </c>
      <c r="C844" s="44" t="str">
        <f xml:space="preserve"> INDEX( co_scalarInfo[scalarLabel], MATCH( scalarDataframe[[#This Row],[scalarName]], co_scalarInfo[scalarName], 0 ) )</f>
        <v>MH Demographic Proportion Adjustment Factor</v>
      </c>
      <c r="D844" s="24" t="s">
        <v>1310</v>
      </c>
      <c r="E844" s="17" t="s">
        <v>8</v>
      </c>
      <c r="F844" s="25">
        <v>2017</v>
      </c>
      <c r="G844" s="26">
        <v>0.99964420282838795</v>
      </c>
    </row>
    <row r="845" spans="1:7" x14ac:dyDescent="0.35">
      <c r="A845" s="9">
        <f xml:space="preserve"> ROW( scalarDataframe[[#This Row],[row_id]] ) - ROW( scalarDataframe[[#Headers],[row_id]] )</f>
        <v>844</v>
      </c>
      <c r="B845" s="16" t="str">
        <f xml:space="preserve"> INDEX( co_scalarInfo[scalarType], MATCH( scalarDataframe[[#This Row],[scalarName]],  co_scalarInfo[scalarName], 0 ) )</f>
        <v>damageAdj</v>
      </c>
      <c r="C845" s="44" t="str">
        <f xml:space="preserve"> INDEX( co_scalarInfo[scalarLabel], MATCH( scalarDataframe[[#This Row],[scalarName]], co_scalarInfo[scalarName], 0 ) )</f>
        <v>MH Demographic Proportion Adjustment Factor</v>
      </c>
      <c r="D845" s="24" t="s">
        <v>1310</v>
      </c>
      <c r="E845" s="17" t="s">
        <v>8</v>
      </c>
      <c r="F845" s="25">
        <v>2025</v>
      </c>
      <c r="G845" s="26">
        <v>1.00465582883895</v>
      </c>
    </row>
    <row r="846" spans="1:7" x14ac:dyDescent="0.35">
      <c r="A846" s="9">
        <f xml:space="preserve"> ROW( scalarDataframe[[#This Row],[row_id]] ) - ROW( scalarDataframe[[#Headers],[row_id]] )</f>
        <v>845</v>
      </c>
      <c r="B846" s="16" t="str">
        <f xml:space="preserve"> INDEX( co_scalarInfo[scalarType], MATCH( scalarDataframe[[#This Row],[scalarName]],  co_scalarInfo[scalarName], 0 ) )</f>
        <v>damageAdj</v>
      </c>
      <c r="C846" s="44" t="str">
        <f xml:space="preserve"> INDEX( co_scalarInfo[scalarLabel], MATCH( scalarDataframe[[#This Row],[scalarName]], co_scalarInfo[scalarName], 0 ) )</f>
        <v>MH Demographic Proportion Adjustment Factor</v>
      </c>
      <c r="D846" s="24" t="s">
        <v>1310</v>
      </c>
      <c r="E846" s="17" t="s">
        <v>8</v>
      </c>
      <c r="F846" s="25">
        <v>2029</v>
      </c>
      <c r="G846" s="26">
        <v>1.0086880866444901</v>
      </c>
    </row>
    <row r="847" spans="1:7" x14ac:dyDescent="0.35">
      <c r="A847" s="9">
        <f xml:space="preserve"> ROW( scalarDataframe[[#This Row],[row_id]] ) - ROW( scalarDataframe[[#Headers],[row_id]] )</f>
        <v>846</v>
      </c>
      <c r="B847" s="16" t="str">
        <f xml:space="preserve"> INDEX( co_scalarInfo[scalarType], MATCH( scalarDataframe[[#This Row],[scalarName]],  co_scalarInfo[scalarName], 0 ) )</f>
        <v>damageAdj</v>
      </c>
      <c r="C847" s="44" t="str">
        <f xml:space="preserve"> INDEX( co_scalarInfo[scalarLabel], MATCH( scalarDataframe[[#This Row],[scalarName]], co_scalarInfo[scalarName], 0 ) )</f>
        <v>MH Demographic Proportion Adjustment Factor</v>
      </c>
      <c r="D847" s="24" t="s">
        <v>1310</v>
      </c>
      <c r="E847" s="17" t="s">
        <v>8</v>
      </c>
      <c r="F847" s="25">
        <v>2032</v>
      </c>
      <c r="G847" s="26">
        <v>1.0135005253471701</v>
      </c>
    </row>
    <row r="848" spans="1:7" x14ac:dyDescent="0.35">
      <c r="A848" s="9">
        <f xml:space="preserve"> ROW( scalarDataframe[[#This Row],[row_id]] ) - ROW( scalarDataframe[[#Headers],[row_id]] )</f>
        <v>847</v>
      </c>
      <c r="B848" s="16" t="str">
        <f xml:space="preserve"> INDEX( co_scalarInfo[scalarType], MATCH( scalarDataframe[[#This Row],[scalarName]],  co_scalarInfo[scalarName], 0 ) )</f>
        <v>damageAdj</v>
      </c>
      <c r="C848" s="44" t="str">
        <f xml:space="preserve"> INDEX( co_scalarInfo[scalarLabel], MATCH( scalarDataframe[[#This Row],[scalarName]], co_scalarInfo[scalarName], 0 ) )</f>
        <v>MH Demographic Proportion Adjustment Factor</v>
      </c>
      <c r="D848" s="24" t="s">
        <v>1310</v>
      </c>
      <c r="E848" s="17" t="s">
        <v>8</v>
      </c>
      <c r="F848" s="25">
        <v>2033</v>
      </c>
      <c r="G848" s="26">
        <v>1.01538550450773</v>
      </c>
    </row>
    <row r="849" spans="1:7" x14ac:dyDescent="0.35">
      <c r="A849" s="9">
        <f xml:space="preserve"> ROW( scalarDataframe[[#This Row],[row_id]] ) - ROW( scalarDataframe[[#Headers],[row_id]] )</f>
        <v>848</v>
      </c>
      <c r="B849" s="16" t="str">
        <f xml:space="preserve"> INDEX( co_scalarInfo[scalarType], MATCH( scalarDataframe[[#This Row],[scalarName]],  co_scalarInfo[scalarName], 0 ) )</f>
        <v>damageAdj</v>
      </c>
      <c r="C849" s="44" t="str">
        <f xml:space="preserve"> INDEX( co_scalarInfo[scalarLabel], MATCH( scalarDataframe[[#This Row],[scalarName]], co_scalarInfo[scalarName], 0 ) )</f>
        <v>MH Demographic Proportion Adjustment Factor</v>
      </c>
      <c r="D849" s="24" t="s">
        <v>1310</v>
      </c>
      <c r="E849" s="17" t="s">
        <v>8</v>
      </c>
      <c r="F849" s="25">
        <v>2037</v>
      </c>
      <c r="G849" s="26">
        <v>1.0230243417617499</v>
      </c>
    </row>
    <row r="850" spans="1:7" x14ac:dyDescent="0.35">
      <c r="A850" s="9">
        <f xml:space="preserve"> ROW( scalarDataframe[[#This Row],[row_id]] ) - ROW( scalarDataframe[[#Headers],[row_id]] )</f>
        <v>849</v>
      </c>
      <c r="B850" s="16" t="str">
        <f xml:space="preserve"> INDEX( co_scalarInfo[scalarType], MATCH( scalarDataframe[[#This Row],[scalarName]],  co_scalarInfo[scalarName], 0 ) )</f>
        <v>damageAdj</v>
      </c>
      <c r="C850" s="44" t="str">
        <f xml:space="preserve"> INDEX( co_scalarInfo[scalarLabel], MATCH( scalarDataframe[[#This Row],[scalarName]], co_scalarInfo[scalarName], 0 ) )</f>
        <v>MH Demographic Proportion Adjustment Factor</v>
      </c>
      <c r="D850" s="24" t="s">
        <v>1310</v>
      </c>
      <c r="E850" s="17" t="s">
        <v>8</v>
      </c>
      <c r="F850" s="25">
        <v>2044</v>
      </c>
      <c r="G850" s="26">
        <v>1.02724196452887</v>
      </c>
    </row>
    <row r="851" spans="1:7" x14ac:dyDescent="0.35">
      <c r="A851" s="9">
        <f xml:space="preserve"> ROW( scalarDataframe[[#This Row],[row_id]] ) - ROW( scalarDataframe[[#Headers],[row_id]] )</f>
        <v>850</v>
      </c>
      <c r="B851" s="16" t="str">
        <f xml:space="preserve"> INDEX( co_scalarInfo[scalarType], MATCH( scalarDataframe[[#This Row],[scalarName]],  co_scalarInfo[scalarName], 0 ) )</f>
        <v>damageAdj</v>
      </c>
      <c r="C851" s="44" t="str">
        <f xml:space="preserve"> INDEX( co_scalarInfo[scalarLabel], MATCH( scalarDataframe[[#This Row],[scalarName]], co_scalarInfo[scalarName], 0 ) )</f>
        <v>MH Demographic Proportion Adjustment Factor</v>
      </c>
      <c r="D851" s="24" t="s">
        <v>1310</v>
      </c>
      <c r="E851" s="17" t="s">
        <v>8</v>
      </c>
      <c r="F851" s="25">
        <v>2048</v>
      </c>
      <c r="G851" s="26">
        <v>1.0257870179404001</v>
      </c>
    </row>
    <row r="852" spans="1:7" x14ac:dyDescent="0.35">
      <c r="A852" s="9">
        <f xml:space="preserve"> ROW( scalarDataframe[[#This Row],[row_id]] ) - ROW( scalarDataframe[[#Headers],[row_id]] )</f>
        <v>851</v>
      </c>
      <c r="B852" s="16" t="str">
        <f xml:space="preserve"> INDEX( co_scalarInfo[scalarType], MATCH( scalarDataframe[[#This Row],[scalarName]],  co_scalarInfo[scalarName], 0 ) )</f>
        <v>damageAdj</v>
      </c>
      <c r="C852" s="44" t="str">
        <f xml:space="preserve"> INDEX( co_scalarInfo[scalarLabel], MATCH( scalarDataframe[[#This Row],[scalarName]], co_scalarInfo[scalarName], 0 ) )</f>
        <v>MH Demographic Proportion Adjustment Factor</v>
      </c>
      <c r="D852" s="24" t="s">
        <v>1310</v>
      </c>
      <c r="E852" s="17" t="s">
        <v>8</v>
      </c>
      <c r="F852" s="25">
        <v>2049</v>
      </c>
      <c r="G852" s="26">
        <v>1.0255352338748001</v>
      </c>
    </row>
    <row r="853" spans="1:7" x14ac:dyDescent="0.35">
      <c r="A853" s="9">
        <f xml:space="preserve"> ROW( scalarDataframe[[#This Row],[row_id]] ) - ROW( scalarDataframe[[#Headers],[row_id]] )</f>
        <v>852</v>
      </c>
      <c r="B853" s="16" t="str">
        <f xml:space="preserve"> INDEX( co_scalarInfo[scalarType], MATCH( scalarDataframe[[#This Row],[scalarName]],  co_scalarInfo[scalarName], 0 ) )</f>
        <v>damageAdj</v>
      </c>
      <c r="C853" s="44" t="str">
        <f xml:space="preserve"> INDEX( co_scalarInfo[scalarLabel], MATCH( scalarDataframe[[#This Row],[scalarName]], co_scalarInfo[scalarName], 0 ) )</f>
        <v>MH Demographic Proportion Adjustment Factor</v>
      </c>
      <c r="D853" s="24" t="s">
        <v>1310</v>
      </c>
      <c r="E853" s="17" t="s">
        <v>8</v>
      </c>
      <c r="F853" s="25">
        <v>2050</v>
      </c>
      <c r="G853" s="26">
        <v>1.02524308422616</v>
      </c>
    </row>
    <row r="854" spans="1:7" x14ac:dyDescent="0.35">
      <c r="A854" s="9">
        <f xml:space="preserve"> ROW( scalarDataframe[[#This Row],[row_id]] ) - ROW( scalarDataframe[[#Headers],[row_id]] )</f>
        <v>853</v>
      </c>
      <c r="B854" s="16" t="str">
        <f xml:space="preserve"> INDEX( co_scalarInfo[scalarType], MATCH( scalarDataframe[[#This Row],[scalarName]],  co_scalarInfo[scalarName], 0 ) )</f>
        <v>damageAdj</v>
      </c>
      <c r="C854" s="44" t="str">
        <f xml:space="preserve"> INDEX( co_scalarInfo[scalarLabel], MATCH( scalarDataframe[[#This Row],[scalarName]], co_scalarInfo[scalarName], 0 ) )</f>
        <v>MH Demographic Proportion Adjustment Factor</v>
      </c>
      <c r="D854" s="24" t="s">
        <v>1310</v>
      </c>
      <c r="E854" s="17" t="s">
        <v>8</v>
      </c>
      <c r="F854" s="25">
        <v>2052</v>
      </c>
      <c r="G854" s="26">
        <v>1.0263472012734001</v>
      </c>
    </row>
    <row r="855" spans="1:7" x14ac:dyDescent="0.35">
      <c r="A855" s="9">
        <f xml:space="preserve"> ROW( scalarDataframe[[#This Row],[row_id]] ) - ROW( scalarDataframe[[#Headers],[row_id]] )</f>
        <v>854</v>
      </c>
      <c r="B855" s="16" t="str">
        <f xml:space="preserve"> INDEX( co_scalarInfo[scalarType], MATCH( scalarDataframe[[#This Row],[scalarName]],  co_scalarInfo[scalarName], 0 ) )</f>
        <v>damageAdj</v>
      </c>
      <c r="C855" s="44" t="str">
        <f xml:space="preserve"> INDEX( co_scalarInfo[scalarLabel], MATCH( scalarDataframe[[#This Row],[scalarName]], co_scalarInfo[scalarName], 0 ) )</f>
        <v>MH Demographic Proportion Adjustment Factor</v>
      </c>
      <c r="D855" s="24" t="s">
        <v>1310</v>
      </c>
      <c r="E855" s="17" t="s">
        <v>8</v>
      </c>
      <c r="F855" s="25">
        <v>2055</v>
      </c>
      <c r="G855" s="26">
        <v>1.0280543267197599</v>
      </c>
    </row>
    <row r="856" spans="1:7" x14ac:dyDescent="0.35">
      <c r="A856" s="9">
        <f xml:space="preserve"> ROW( scalarDataframe[[#This Row],[row_id]] ) - ROW( scalarDataframe[[#Headers],[row_id]] )</f>
        <v>855</v>
      </c>
      <c r="B856" s="16" t="str">
        <f xml:space="preserve"> INDEX( co_scalarInfo[scalarType], MATCH( scalarDataframe[[#This Row],[scalarName]],  co_scalarInfo[scalarName], 0 ) )</f>
        <v>damageAdj</v>
      </c>
      <c r="C856" s="44" t="str">
        <f xml:space="preserve"> INDEX( co_scalarInfo[scalarLabel], MATCH( scalarDataframe[[#This Row],[scalarName]], co_scalarInfo[scalarName], 0 ) )</f>
        <v>MH Demographic Proportion Adjustment Factor</v>
      </c>
      <c r="D856" s="24" t="s">
        <v>1310</v>
      </c>
      <c r="E856" s="17" t="s">
        <v>8</v>
      </c>
      <c r="F856" s="25">
        <v>2059</v>
      </c>
      <c r="G856" s="26">
        <v>1.0302932538873699</v>
      </c>
    </row>
    <row r="857" spans="1:7" x14ac:dyDescent="0.35">
      <c r="A857" s="9">
        <f xml:space="preserve"> ROW( scalarDataframe[[#This Row],[row_id]] ) - ROW( scalarDataframe[[#Headers],[row_id]] )</f>
        <v>856</v>
      </c>
      <c r="B857" s="16" t="str">
        <f xml:space="preserve"> INDEX( co_scalarInfo[scalarType], MATCH( scalarDataframe[[#This Row],[scalarName]],  co_scalarInfo[scalarName], 0 ) )</f>
        <v>damageAdj</v>
      </c>
      <c r="C857" s="44" t="str">
        <f xml:space="preserve"> INDEX( co_scalarInfo[scalarLabel], MATCH( scalarDataframe[[#This Row],[scalarName]], co_scalarInfo[scalarName], 0 ) )</f>
        <v>MH Demographic Proportion Adjustment Factor</v>
      </c>
      <c r="D857" s="24" t="s">
        <v>1310</v>
      </c>
      <c r="E857" s="17" t="s">
        <v>8</v>
      </c>
      <c r="F857" s="25">
        <v>2061</v>
      </c>
      <c r="G857" s="26">
        <v>1.0321688280293999</v>
      </c>
    </row>
    <row r="858" spans="1:7" x14ac:dyDescent="0.35">
      <c r="A858" s="9">
        <f xml:space="preserve"> ROW( scalarDataframe[[#This Row],[row_id]] ) - ROW( scalarDataframe[[#Headers],[row_id]] )</f>
        <v>857</v>
      </c>
      <c r="B858" s="16" t="str">
        <f xml:space="preserve"> INDEX( co_scalarInfo[scalarType], MATCH( scalarDataframe[[#This Row],[scalarName]],  co_scalarInfo[scalarName], 0 ) )</f>
        <v>damageAdj</v>
      </c>
      <c r="C858" s="44" t="str">
        <f xml:space="preserve"> INDEX( co_scalarInfo[scalarLabel], MATCH( scalarDataframe[[#This Row],[scalarName]], co_scalarInfo[scalarName], 0 ) )</f>
        <v>MH Demographic Proportion Adjustment Factor</v>
      </c>
      <c r="D858" s="24" t="s">
        <v>1310</v>
      </c>
      <c r="E858" s="17" t="s">
        <v>8</v>
      </c>
      <c r="F858" s="25">
        <v>2062</v>
      </c>
      <c r="G858" s="26">
        <v>1.03354778328911</v>
      </c>
    </row>
    <row r="859" spans="1:7" x14ac:dyDescent="0.35">
      <c r="A859" s="9">
        <f xml:space="preserve"> ROW( scalarDataframe[[#This Row],[row_id]] ) - ROW( scalarDataframe[[#Headers],[row_id]] )</f>
        <v>858</v>
      </c>
      <c r="B859" s="16" t="str">
        <f xml:space="preserve"> INDEX( co_scalarInfo[scalarType], MATCH( scalarDataframe[[#This Row],[scalarName]],  co_scalarInfo[scalarName], 0 ) )</f>
        <v>damageAdj</v>
      </c>
      <c r="C859" s="44" t="str">
        <f xml:space="preserve"> INDEX( co_scalarInfo[scalarLabel], MATCH( scalarDataframe[[#This Row],[scalarName]], co_scalarInfo[scalarName], 0 ) )</f>
        <v>MH Demographic Proportion Adjustment Factor</v>
      </c>
      <c r="D859" s="24" t="s">
        <v>1310</v>
      </c>
      <c r="E859" s="17" t="s">
        <v>8</v>
      </c>
      <c r="F859" s="25">
        <v>2064</v>
      </c>
      <c r="G859" s="26">
        <v>1.0361699169257199</v>
      </c>
    </row>
    <row r="860" spans="1:7" x14ac:dyDescent="0.35">
      <c r="A860" s="9">
        <f xml:space="preserve"> ROW( scalarDataframe[[#This Row],[row_id]] ) - ROW( scalarDataframe[[#Headers],[row_id]] )</f>
        <v>859</v>
      </c>
      <c r="B860" s="16" t="str">
        <f xml:space="preserve"> INDEX( co_scalarInfo[scalarType], MATCH( scalarDataframe[[#This Row],[scalarName]],  co_scalarInfo[scalarName], 0 ) )</f>
        <v>damageAdj</v>
      </c>
      <c r="C860" s="44" t="str">
        <f xml:space="preserve"> INDEX( co_scalarInfo[scalarLabel], MATCH( scalarDataframe[[#This Row],[scalarName]], co_scalarInfo[scalarName], 0 ) )</f>
        <v>MH Demographic Proportion Adjustment Factor</v>
      </c>
      <c r="D860" s="24" t="s">
        <v>1310</v>
      </c>
      <c r="E860" s="17" t="s">
        <v>8</v>
      </c>
      <c r="F860" s="25">
        <v>2067</v>
      </c>
      <c r="G860" s="26">
        <v>1.04009193338484</v>
      </c>
    </row>
    <row r="861" spans="1:7" x14ac:dyDescent="0.35">
      <c r="A861" s="9">
        <f xml:space="preserve"> ROW( scalarDataframe[[#This Row],[row_id]] ) - ROW( scalarDataframe[[#Headers],[row_id]] )</f>
        <v>860</v>
      </c>
      <c r="B861" s="16" t="str">
        <f xml:space="preserve"> INDEX( co_scalarInfo[scalarType], MATCH( scalarDataframe[[#This Row],[scalarName]],  co_scalarInfo[scalarName], 0 ) )</f>
        <v>damageAdj</v>
      </c>
      <c r="C861" s="44" t="str">
        <f xml:space="preserve"> INDEX( co_scalarInfo[scalarLabel], MATCH( scalarDataframe[[#This Row],[scalarName]], co_scalarInfo[scalarName], 0 ) )</f>
        <v>MH Demographic Proportion Adjustment Factor</v>
      </c>
      <c r="D861" s="24" t="s">
        <v>1310</v>
      </c>
      <c r="E861" s="17" t="s">
        <v>8</v>
      </c>
      <c r="F861" s="25">
        <v>2071</v>
      </c>
      <c r="G861" s="26">
        <v>1.0443365823727899</v>
      </c>
    </row>
    <row r="862" spans="1:7" x14ac:dyDescent="0.35">
      <c r="A862" s="9">
        <f xml:space="preserve"> ROW( scalarDataframe[[#This Row],[row_id]] ) - ROW( scalarDataframe[[#Headers],[row_id]] )</f>
        <v>861</v>
      </c>
      <c r="B862" s="16" t="str">
        <f xml:space="preserve"> INDEX( co_scalarInfo[scalarType], MATCH( scalarDataframe[[#This Row],[scalarName]],  co_scalarInfo[scalarName], 0 ) )</f>
        <v>damageAdj</v>
      </c>
      <c r="C862" s="44" t="str">
        <f xml:space="preserve"> INDEX( co_scalarInfo[scalarLabel], MATCH( scalarDataframe[[#This Row],[scalarName]], co_scalarInfo[scalarName], 0 ) )</f>
        <v>MH Demographic Proportion Adjustment Factor</v>
      </c>
      <c r="D862" s="24" t="s">
        <v>1310</v>
      </c>
      <c r="E862" s="17" t="s">
        <v>8</v>
      </c>
      <c r="F862" s="25">
        <v>2076</v>
      </c>
      <c r="G862" s="26">
        <v>1.0454022777884</v>
      </c>
    </row>
    <row r="863" spans="1:7" x14ac:dyDescent="0.35">
      <c r="A863" s="9">
        <f xml:space="preserve"> ROW( scalarDataframe[[#This Row],[row_id]] ) - ROW( scalarDataframe[[#Headers],[row_id]] )</f>
        <v>862</v>
      </c>
      <c r="B863" s="16" t="str">
        <f xml:space="preserve"> INDEX( co_scalarInfo[scalarType], MATCH( scalarDataframe[[#This Row],[scalarName]],  co_scalarInfo[scalarName], 0 ) )</f>
        <v>damageAdj</v>
      </c>
      <c r="C863" s="44" t="str">
        <f xml:space="preserve"> INDEX( co_scalarInfo[scalarLabel], MATCH( scalarDataframe[[#This Row],[scalarName]], co_scalarInfo[scalarName], 0 ) )</f>
        <v>MH Demographic Proportion Adjustment Factor</v>
      </c>
      <c r="D863" s="24" t="s">
        <v>1310</v>
      </c>
      <c r="E863" s="17" t="s">
        <v>8</v>
      </c>
      <c r="F863" s="25">
        <v>2077</v>
      </c>
      <c r="G863" s="26">
        <v>1.0458140054037699</v>
      </c>
    </row>
    <row r="864" spans="1:7" x14ac:dyDescent="0.35">
      <c r="A864" s="9">
        <f xml:space="preserve"> ROW( scalarDataframe[[#This Row],[row_id]] ) - ROW( scalarDataframe[[#Headers],[row_id]] )</f>
        <v>863</v>
      </c>
      <c r="B864" s="16" t="str">
        <f xml:space="preserve"> INDEX( co_scalarInfo[scalarType], MATCH( scalarDataframe[[#This Row],[scalarName]],  co_scalarInfo[scalarName], 0 ) )</f>
        <v>damageAdj</v>
      </c>
      <c r="C864" s="44" t="str">
        <f xml:space="preserve"> INDEX( co_scalarInfo[scalarLabel], MATCH( scalarDataframe[[#This Row],[scalarName]], co_scalarInfo[scalarName], 0 ) )</f>
        <v>MH Demographic Proportion Adjustment Factor</v>
      </c>
      <c r="D864" s="24" t="s">
        <v>1310</v>
      </c>
      <c r="E864" s="17" t="s">
        <v>8</v>
      </c>
      <c r="F864" s="25">
        <v>2081</v>
      </c>
      <c r="G864" s="26">
        <v>1.0467632740441399</v>
      </c>
    </row>
    <row r="865" spans="1:7" x14ac:dyDescent="0.35">
      <c r="A865" s="9">
        <f xml:space="preserve"> ROW( scalarDataframe[[#This Row],[row_id]] ) - ROW( scalarDataframe[[#Headers],[row_id]] )</f>
        <v>864</v>
      </c>
      <c r="B865" s="16" t="str">
        <f xml:space="preserve"> INDEX( co_scalarInfo[scalarType], MATCH( scalarDataframe[[#This Row],[scalarName]],  co_scalarInfo[scalarName], 0 ) )</f>
        <v>damageAdj</v>
      </c>
      <c r="C865" s="44" t="str">
        <f xml:space="preserve"> INDEX( co_scalarInfo[scalarLabel], MATCH( scalarDataframe[[#This Row],[scalarName]], co_scalarInfo[scalarName], 0 ) )</f>
        <v>MH Demographic Proportion Adjustment Factor</v>
      </c>
      <c r="D865" s="24" t="s">
        <v>1310</v>
      </c>
      <c r="E865" s="17" t="s">
        <v>8</v>
      </c>
      <c r="F865" s="25">
        <v>2082</v>
      </c>
      <c r="G865" s="26">
        <v>1.04741698034796</v>
      </c>
    </row>
    <row r="866" spans="1:7" x14ac:dyDescent="0.35">
      <c r="A866" s="9">
        <f xml:space="preserve"> ROW( scalarDataframe[[#This Row],[row_id]] ) - ROW( scalarDataframe[[#Headers],[row_id]] )</f>
        <v>865</v>
      </c>
      <c r="B866" s="16" t="str">
        <f xml:space="preserve"> INDEX( co_scalarInfo[scalarType], MATCH( scalarDataframe[[#This Row],[scalarName]],  co_scalarInfo[scalarName], 0 ) )</f>
        <v>damageAdj</v>
      </c>
      <c r="C866" s="44" t="str">
        <f xml:space="preserve"> INDEX( co_scalarInfo[scalarLabel], MATCH( scalarDataframe[[#This Row],[scalarName]], co_scalarInfo[scalarName], 0 ) )</f>
        <v>MH Demographic Proportion Adjustment Factor</v>
      </c>
      <c r="D866" s="24" t="s">
        <v>1310</v>
      </c>
      <c r="E866" s="17" t="s">
        <v>8</v>
      </c>
      <c r="F866" s="25">
        <v>2087</v>
      </c>
      <c r="G866" s="26">
        <v>1.0495860178745999</v>
      </c>
    </row>
    <row r="867" spans="1:7" x14ac:dyDescent="0.35">
      <c r="A867" s="9">
        <f xml:space="preserve"> ROW( scalarDataframe[[#This Row],[row_id]] ) - ROW( scalarDataframe[[#Headers],[row_id]] )</f>
        <v>866</v>
      </c>
      <c r="B867" s="16" t="str">
        <f xml:space="preserve"> INDEX( co_scalarInfo[scalarType], MATCH( scalarDataframe[[#This Row],[scalarName]],  co_scalarInfo[scalarName], 0 ) )</f>
        <v>damageAdj</v>
      </c>
      <c r="C867" s="44" t="str">
        <f xml:space="preserve"> INDEX( co_scalarInfo[scalarLabel], MATCH( scalarDataframe[[#This Row],[scalarName]], co_scalarInfo[scalarName], 0 ) )</f>
        <v>MH Demographic Proportion Adjustment Factor</v>
      </c>
      <c r="D867" s="24" t="s">
        <v>1310</v>
      </c>
      <c r="E867" s="17" t="s">
        <v>8</v>
      </c>
      <c r="F867" s="25">
        <v>2091</v>
      </c>
      <c r="G867" s="26">
        <v>1.05142065504116</v>
      </c>
    </row>
    <row r="868" spans="1:7" x14ac:dyDescent="0.35">
      <c r="A868" s="9">
        <f xml:space="preserve"> ROW( scalarDataframe[[#This Row],[row_id]] ) - ROW( scalarDataframe[[#Headers],[row_id]] )</f>
        <v>867</v>
      </c>
      <c r="B868" s="16" t="str">
        <f xml:space="preserve"> INDEX( co_scalarInfo[scalarType], MATCH( scalarDataframe[[#This Row],[scalarName]],  co_scalarInfo[scalarName], 0 ) )</f>
        <v>damageAdj</v>
      </c>
      <c r="C868" s="44" t="str">
        <f xml:space="preserve"> INDEX( co_scalarInfo[scalarLabel], MATCH( scalarDataframe[[#This Row],[scalarName]], co_scalarInfo[scalarName], 0 ) )</f>
        <v>MH Demographic Proportion Adjustment Factor</v>
      </c>
      <c r="D868" s="24" t="s">
        <v>1310</v>
      </c>
      <c r="E868" s="17" t="s">
        <v>8</v>
      </c>
      <c r="F868" s="25">
        <v>2300</v>
      </c>
      <c r="G868" s="26">
        <v>1.05142065504116</v>
      </c>
    </row>
    <row r="869" spans="1:7" x14ac:dyDescent="0.35">
      <c r="A869" s="9">
        <f xml:space="preserve"> ROW( scalarDataframe[[#This Row],[row_id]] ) - ROW( scalarDataframe[[#Headers],[row_id]] )</f>
        <v>868</v>
      </c>
      <c r="B869" s="16" t="str">
        <f xml:space="preserve"> INDEX( co_scalarInfo[scalarType], MATCH( scalarDataframe[[#This Row],[scalarName]],  co_scalarInfo[scalarName], 0 ) )</f>
        <v>damageAdj</v>
      </c>
      <c r="C869" s="44" t="str">
        <f xml:space="preserve"> INDEX( co_scalarInfo[scalarLabel], MATCH( scalarDataframe[[#This Row],[scalarName]], co_scalarInfo[scalarName], 0 ) )</f>
        <v>MH Demographic Proportion Adjustment Factor</v>
      </c>
      <c r="D869" s="24" t="s">
        <v>1310</v>
      </c>
      <c r="E869" s="17" t="s">
        <v>9</v>
      </c>
      <c r="F869" s="25">
        <v>2010</v>
      </c>
      <c r="G869" s="26">
        <v>0.99882913356436753</v>
      </c>
    </row>
    <row r="870" spans="1:7" x14ac:dyDescent="0.35">
      <c r="A870" s="9">
        <f xml:space="preserve"> ROW( scalarDataframe[[#This Row],[row_id]] ) - ROW( scalarDataframe[[#Headers],[row_id]] )</f>
        <v>869</v>
      </c>
      <c r="B870" s="16" t="str">
        <f xml:space="preserve"> INDEX( co_scalarInfo[scalarType], MATCH( scalarDataframe[[#This Row],[scalarName]],  co_scalarInfo[scalarName], 0 ) )</f>
        <v>damageAdj</v>
      </c>
      <c r="C870" s="44" t="str">
        <f xml:space="preserve"> INDEX( co_scalarInfo[scalarLabel], MATCH( scalarDataframe[[#This Row],[scalarName]], co_scalarInfo[scalarName], 0 ) )</f>
        <v>MH Demographic Proportion Adjustment Factor</v>
      </c>
      <c r="D870" s="24" t="s">
        <v>1310</v>
      </c>
      <c r="E870" s="17" t="s">
        <v>9</v>
      </c>
      <c r="F870" s="25">
        <v>2011</v>
      </c>
      <c r="G870" s="26">
        <v>0.99906623206444301</v>
      </c>
    </row>
    <row r="871" spans="1:7" x14ac:dyDescent="0.35">
      <c r="A871" s="9">
        <f xml:space="preserve"> ROW( scalarDataframe[[#This Row],[row_id]] ) - ROW( scalarDataframe[[#Headers],[row_id]] )</f>
        <v>870</v>
      </c>
      <c r="B871" s="16" t="str">
        <f xml:space="preserve"> INDEX( co_scalarInfo[scalarType], MATCH( scalarDataframe[[#This Row],[scalarName]],  co_scalarInfo[scalarName], 0 ) )</f>
        <v>damageAdj</v>
      </c>
      <c r="C871" s="44" t="str">
        <f xml:space="preserve"> INDEX( co_scalarInfo[scalarLabel], MATCH( scalarDataframe[[#This Row],[scalarName]], co_scalarInfo[scalarName], 0 ) )</f>
        <v>MH Demographic Proportion Adjustment Factor</v>
      </c>
      <c r="D871" s="24" t="s">
        <v>1310</v>
      </c>
      <c r="E871" s="17" t="s">
        <v>9</v>
      </c>
      <c r="F871" s="25">
        <v>2013</v>
      </c>
      <c r="G871" s="26">
        <v>0.99954042906459395</v>
      </c>
    </row>
    <row r="872" spans="1:7" x14ac:dyDescent="0.35">
      <c r="A872" s="9">
        <f xml:space="preserve"> ROW( scalarDataframe[[#This Row],[row_id]] ) - ROW( scalarDataframe[[#Headers],[row_id]] )</f>
        <v>871</v>
      </c>
      <c r="B872" s="16" t="str">
        <f xml:space="preserve"> INDEX( co_scalarInfo[scalarType], MATCH( scalarDataframe[[#This Row],[scalarName]],  co_scalarInfo[scalarName], 0 ) )</f>
        <v>damageAdj</v>
      </c>
      <c r="C872" s="44" t="str">
        <f xml:space="preserve"> INDEX( co_scalarInfo[scalarLabel], MATCH( scalarDataframe[[#This Row],[scalarName]], co_scalarInfo[scalarName], 0 ) )</f>
        <v>MH Demographic Proportion Adjustment Factor</v>
      </c>
      <c r="D872" s="24" t="s">
        <v>1310</v>
      </c>
      <c r="E872" s="17" t="s">
        <v>9</v>
      </c>
      <c r="F872" s="25">
        <v>2017</v>
      </c>
      <c r="G872" s="26">
        <v>1.0003392640217601</v>
      </c>
    </row>
    <row r="873" spans="1:7" x14ac:dyDescent="0.35">
      <c r="A873" s="9">
        <f xml:space="preserve"> ROW( scalarDataframe[[#This Row],[row_id]] ) - ROW( scalarDataframe[[#Headers],[row_id]] )</f>
        <v>872</v>
      </c>
      <c r="B873" s="16" t="str">
        <f xml:space="preserve"> INDEX( co_scalarInfo[scalarType], MATCH( scalarDataframe[[#This Row],[scalarName]],  co_scalarInfo[scalarName], 0 ) )</f>
        <v>damageAdj</v>
      </c>
      <c r="C873" s="44" t="str">
        <f xml:space="preserve"> INDEX( co_scalarInfo[scalarLabel], MATCH( scalarDataframe[[#This Row],[scalarName]], co_scalarInfo[scalarName], 0 ) )</f>
        <v>MH Demographic Proportion Adjustment Factor</v>
      </c>
      <c r="D873" s="24" t="s">
        <v>1310</v>
      </c>
      <c r="E873" s="17" t="s">
        <v>9</v>
      </c>
      <c r="F873" s="25">
        <v>2025</v>
      </c>
      <c r="G873" s="26">
        <v>1.00702969361898</v>
      </c>
    </row>
    <row r="874" spans="1:7" x14ac:dyDescent="0.35">
      <c r="A874" s="9">
        <f xml:space="preserve"> ROW( scalarDataframe[[#This Row],[row_id]] ) - ROW( scalarDataframe[[#Headers],[row_id]] )</f>
        <v>873</v>
      </c>
      <c r="B874" s="16" t="str">
        <f xml:space="preserve"> INDEX( co_scalarInfo[scalarType], MATCH( scalarDataframe[[#This Row],[scalarName]],  co_scalarInfo[scalarName], 0 ) )</f>
        <v>damageAdj</v>
      </c>
      <c r="C874" s="44" t="str">
        <f xml:space="preserve"> INDEX( co_scalarInfo[scalarLabel], MATCH( scalarDataframe[[#This Row],[scalarName]], co_scalarInfo[scalarName], 0 ) )</f>
        <v>MH Demographic Proportion Adjustment Factor</v>
      </c>
      <c r="D874" s="24" t="s">
        <v>1310</v>
      </c>
      <c r="E874" s="17" t="s">
        <v>9</v>
      </c>
      <c r="F874" s="25">
        <v>2029</v>
      </c>
      <c r="G874" s="26">
        <v>1.01198125386406</v>
      </c>
    </row>
    <row r="875" spans="1:7" x14ac:dyDescent="0.35">
      <c r="A875" s="9">
        <f xml:space="preserve"> ROW( scalarDataframe[[#This Row],[row_id]] ) - ROW( scalarDataframe[[#Headers],[row_id]] )</f>
        <v>874</v>
      </c>
      <c r="B875" s="16" t="str">
        <f xml:space="preserve"> INDEX( co_scalarInfo[scalarType], MATCH( scalarDataframe[[#This Row],[scalarName]],  co_scalarInfo[scalarName], 0 ) )</f>
        <v>damageAdj</v>
      </c>
      <c r="C875" s="44" t="str">
        <f xml:space="preserve"> INDEX( co_scalarInfo[scalarLabel], MATCH( scalarDataframe[[#This Row],[scalarName]], co_scalarInfo[scalarName], 0 ) )</f>
        <v>MH Demographic Proportion Adjustment Factor</v>
      </c>
      <c r="D875" s="24" t="s">
        <v>1310</v>
      </c>
      <c r="E875" s="17" t="s">
        <v>9</v>
      </c>
      <c r="F875" s="25">
        <v>2032</v>
      </c>
      <c r="G875" s="26">
        <v>1.01562722552066</v>
      </c>
    </row>
    <row r="876" spans="1:7" x14ac:dyDescent="0.35">
      <c r="A876" s="9">
        <f xml:space="preserve"> ROW( scalarDataframe[[#This Row],[row_id]] ) - ROW( scalarDataframe[[#Headers],[row_id]] )</f>
        <v>875</v>
      </c>
      <c r="B876" s="16" t="str">
        <f xml:space="preserve"> INDEX( co_scalarInfo[scalarType], MATCH( scalarDataframe[[#This Row],[scalarName]],  co_scalarInfo[scalarName], 0 ) )</f>
        <v>damageAdj</v>
      </c>
      <c r="C876" s="44" t="str">
        <f xml:space="preserve"> INDEX( co_scalarInfo[scalarLabel], MATCH( scalarDataframe[[#This Row],[scalarName]], co_scalarInfo[scalarName], 0 ) )</f>
        <v>MH Demographic Proportion Adjustment Factor</v>
      </c>
      <c r="D876" s="24" t="s">
        <v>1310</v>
      </c>
      <c r="E876" s="17" t="s">
        <v>9</v>
      </c>
      <c r="F876" s="25">
        <v>2033</v>
      </c>
      <c r="G876" s="26">
        <v>1.0168034409089901</v>
      </c>
    </row>
    <row r="877" spans="1:7" x14ac:dyDescent="0.35">
      <c r="A877" s="9">
        <f xml:space="preserve"> ROW( scalarDataframe[[#This Row],[row_id]] ) - ROW( scalarDataframe[[#Headers],[row_id]] )</f>
        <v>876</v>
      </c>
      <c r="B877" s="16" t="str">
        <f xml:space="preserve"> INDEX( co_scalarInfo[scalarType], MATCH( scalarDataframe[[#This Row],[scalarName]],  co_scalarInfo[scalarName], 0 ) )</f>
        <v>damageAdj</v>
      </c>
      <c r="C877" s="44" t="str">
        <f xml:space="preserve"> INDEX( co_scalarInfo[scalarLabel], MATCH( scalarDataframe[[#This Row],[scalarName]], co_scalarInfo[scalarName], 0 ) )</f>
        <v>MH Demographic Proportion Adjustment Factor</v>
      </c>
      <c r="D877" s="24" t="s">
        <v>1310</v>
      </c>
      <c r="E877" s="17" t="s">
        <v>9</v>
      </c>
      <c r="F877" s="25">
        <v>2037</v>
      </c>
      <c r="G877" s="26">
        <v>1.0216272728389</v>
      </c>
    </row>
    <row r="878" spans="1:7" x14ac:dyDescent="0.35">
      <c r="A878" s="9">
        <f xml:space="preserve"> ROW( scalarDataframe[[#This Row],[row_id]] ) - ROW( scalarDataframe[[#Headers],[row_id]] )</f>
        <v>877</v>
      </c>
      <c r="B878" s="16" t="str">
        <f xml:space="preserve"> INDEX( co_scalarInfo[scalarType], MATCH( scalarDataframe[[#This Row],[scalarName]],  co_scalarInfo[scalarName], 0 ) )</f>
        <v>damageAdj</v>
      </c>
      <c r="C878" s="44" t="str">
        <f xml:space="preserve"> INDEX( co_scalarInfo[scalarLabel], MATCH( scalarDataframe[[#This Row],[scalarName]], co_scalarInfo[scalarName], 0 ) )</f>
        <v>MH Demographic Proportion Adjustment Factor</v>
      </c>
      <c r="D878" s="24" t="s">
        <v>1310</v>
      </c>
      <c r="E878" s="17" t="s">
        <v>9</v>
      </c>
      <c r="F878" s="25">
        <v>2044</v>
      </c>
      <c r="G878" s="26">
        <v>1.0250872851851101</v>
      </c>
    </row>
    <row r="879" spans="1:7" x14ac:dyDescent="0.35">
      <c r="A879" s="9">
        <f xml:space="preserve"> ROW( scalarDataframe[[#This Row],[row_id]] ) - ROW( scalarDataframe[[#Headers],[row_id]] )</f>
        <v>878</v>
      </c>
      <c r="B879" s="16" t="str">
        <f xml:space="preserve"> INDEX( co_scalarInfo[scalarType], MATCH( scalarDataframe[[#This Row],[scalarName]],  co_scalarInfo[scalarName], 0 ) )</f>
        <v>damageAdj</v>
      </c>
      <c r="C879" s="44" t="str">
        <f xml:space="preserve"> INDEX( co_scalarInfo[scalarLabel], MATCH( scalarDataframe[[#This Row],[scalarName]], co_scalarInfo[scalarName], 0 ) )</f>
        <v>MH Demographic Proportion Adjustment Factor</v>
      </c>
      <c r="D879" s="24" t="s">
        <v>1310</v>
      </c>
      <c r="E879" s="17" t="s">
        <v>9</v>
      </c>
      <c r="F879" s="25">
        <v>2048</v>
      </c>
      <c r="G879" s="26">
        <v>1.0252136353057499</v>
      </c>
    </row>
    <row r="880" spans="1:7" x14ac:dyDescent="0.35">
      <c r="A880" s="9">
        <f xml:space="preserve"> ROW( scalarDataframe[[#This Row],[row_id]] ) - ROW( scalarDataframe[[#Headers],[row_id]] )</f>
        <v>879</v>
      </c>
      <c r="B880" s="16" t="str">
        <f xml:space="preserve"> INDEX( co_scalarInfo[scalarType], MATCH( scalarDataframe[[#This Row],[scalarName]],  co_scalarInfo[scalarName], 0 ) )</f>
        <v>damageAdj</v>
      </c>
      <c r="C880" s="44" t="str">
        <f xml:space="preserve"> INDEX( co_scalarInfo[scalarLabel], MATCH( scalarDataframe[[#This Row],[scalarName]], co_scalarInfo[scalarName], 0 ) )</f>
        <v>MH Demographic Proportion Adjustment Factor</v>
      </c>
      <c r="D880" s="24" t="s">
        <v>1310</v>
      </c>
      <c r="E880" s="17" t="s">
        <v>9</v>
      </c>
      <c r="F880" s="25">
        <v>2049</v>
      </c>
      <c r="G880" s="26">
        <v>1.02529964815147</v>
      </c>
    </row>
    <row r="881" spans="1:7" x14ac:dyDescent="0.35">
      <c r="A881" s="9">
        <f xml:space="preserve"> ROW( scalarDataframe[[#This Row],[row_id]] ) - ROW( scalarDataframe[[#Headers],[row_id]] )</f>
        <v>880</v>
      </c>
      <c r="B881" s="16" t="str">
        <f xml:space="preserve"> INDEX( co_scalarInfo[scalarType], MATCH( scalarDataframe[[#This Row],[scalarName]],  co_scalarInfo[scalarName], 0 ) )</f>
        <v>damageAdj</v>
      </c>
      <c r="C881" s="44" t="str">
        <f xml:space="preserve"> INDEX( co_scalarInfo[scalarLabel], MATCH( scalarDataframe[[#This Row],[scalarName]], co_scalarInfo[scalarName], 0 ) )</f>
        <v>MH Demographic Proportion Adjustment Factor</v>
      </c>
      <c r="D881" s="24" t="s">
        <v>1310</v>
      </c>
      <c r="E881" s="17" t="s">
        <v>9</v>
      </c>
      <c r="F881" s="25">
        <v>2050</v>
      </c>
      <c r="G881" s="26">
        <v>1.0253584507847</v>
      </c>
    </row>
    <row r="882" spans="1:7" x14ac:dyDescent="0.35">
      <c r="A882" s="9">
        <f xml:space="preserve"> ROW( scalarDataframe[[#This Row],[row_id]] ) - ROW( scalarDataframe[[#Headers],[row_id]] )</f>
        <v>881</v>
      </c>
      <c r="B882" s="16" t="str">
        <f xml:space="preserve"> INDEX( co_scalarInfo[scalarType], MATCH( scalarDataframe[[#This Row],[scalarName]],  co_scalarInfo[scalarName], 0 ) )</f>
        <v>damageAdj</v>
      </c>
      <c r="C882" s="44" t="str">
        <f xml:space="preserve"> INDEX( co_scalarInfo[scalarLabel], MATCH( scalarDataframe[[#This Row],[scalarName]], co_scalarInfo[scalarName], 0 ) )</f>
        <v>MH Demographic Proportion Adjustment Factor</v>
      </c>
      <c r="D882" s="24" t="s">
        <v>1310</v>
      </c>
      <c r="E882" s="17" t="s">
        <v>9</v>
      </c>
      <c r="F882" s="25">
        <v>2052</v>
      </c>
      <c r="G882" s="26">
        <v>1.0264975667096801</v>
      </c>
    </row>
    <row r="883" spans="1:7" x14ac:dyDescent="0.35">
      <c r="A883" s="9">
        <f xml:space="preserve"> ROW( scalarDataframe[[#This Row],[row_id]] ) - ROW( scalarDataframe[[#Headers],[row_id]] )</f>
        <v>882</v>
      </c>
      <c r="B883" s="16" t="str">
        <f xml:space="preserve"> INDEX( co_scalarInfo[scalarType], MATCH( scalarDataframe[[#This Row],[scalarName]],  co_scalarInfo[scalarName], 0 ) )</f>
        <v>damageAdj</v>
      </c>
      <c r="C883" s="44" t="str">
        <f xml:space="preserve"> INDEX( co_scalarInfo[scalarLabel], MATCH( scalarDataframe[[#This Row],[scalarName]], co_scalarInfo[scalarName], 0 ) )</f>
        <v>MH Demographic Proportion Adjustment Factor</v>
      </c>
      <c r="D883" s="24" t="s">
        <v>1310</v>
      </c>
      <c r="E883" s="17" t="s">
        <v>9</v>
      </c>
      <c r="F883" s="25">
        <v>2055</v>
      </c>
      <c r="G883" s="26">
        <v>1.0285381888237899</v>
      </c>
    </row>
    <row r="884" spans="1:7" x14ac:dyDescent="0.35">
      <c r="A884" s="9">
        <f xml:space="preserve"> ROW( scalarDataframe[[#This Row],[row_id]] ) - ROW( scalarDataframe[[#Headers],[row_id]] )</f>
        <v>883</v>
      </c>
      <c r="B884" s="16" t="str">
        <f xml:space="preserve"> INDEX( co_scalarInfo[scalarType], MATCH( scalarDataframe[[#This Row],[scalarName]],  co_scalarInfo[scalarName], 0 ) )</f>
        <v>damageAdj</v>
      </c>
      <c r="C884" s="44" t="str">
        <f xml:space="preserve"> INDEX( co_scalarInfo[scalarLabel], MATCH( scalarDataframe[[#This Row],[scalarName]], co_scalarInfo[scalarName], 0 ) )</f>
        <v>MH Demographic Proportion Adjustment Factor</v>
      </c>
      <c r="D884" s="24" t="s">
        <v>1310</v>
      </c>
      <c r="E884" s="17" t="s">
        <v>9</v>
      </c>
      <c r="F884" s="25">
        <v>2059</v>
      </c>
      <c r="G884" s="26">
        <v>1.0313609376619299</v>
      </c>
    </row>
    <row r="885" spans="1:7" x14ac:dyDescent="0.35">
      <c r="A885" s="9">
        <f xml:space="preserve"> ROW( scalarDataframe[[#This Row],[row_id]] ) - ROW( scalarDataframe[[#Headers],[row_id]] )</f>
        <v>884</v>
      </c>
      <c r="B885" s="16" t="str">
        <f xml:space="preserve"> INDEX( co_scalarInfo[scalarType], MATCH( scalarDataframe[[#This Row],[scalarName]],  co_scalarInfo[scalarName], 0 ) )</f>
        <v>damageAdj</v>
      </c>
      <c r="C885" s="44" t="str">
        <f xml:space="preserve"> INDEX( co_scalarInfo[scalarLabel], MATCH( scalarDataframe[[#This Row],[scalarName]], co_scalarInfo[scalarName], 0 ) )</f>
        <v>MH Demographic Proportion Adjustment Factor</v>
      </c>
      <c r="D885" s="24" t="s">
        <v>1310</v>
      </c>
      <c r="E885" s="17" t="s">
        <v>9</v>
      </c>
      <c r="F885" s="25">
        <v>2061</v>
      </c>
      <c r="G885" s="26">
        <v>1.03299370929685</v>
      </c>
    </row>
    <row r="886" spans="1:7" x14ac:dyDescent="0.35">
      <c r="A886" s="9">
        <f xml:space="preserve"> ROW( scalarDataframe[[#This Row],[row_id]] ) - ROW( scalarDataframe[[#Headers],[row_id]] )</f>
        <v>885</v>
      </c>
      <c r="B886" s="16" t="str">
        <f xml:space="preserve"> INDEX( co_scalarInfo[scalarType], MATCH( scalarDataframe[[#This Row],[scalarName]],  co_scalarInfo[scalarName], 0 ) )</f>
        <v>damageAdj</v>
      </c>
      <c r="C886" s="44" t="str">
        <f xml:space="preserve"> INDEX( co_scalarInfo[scalarLabel], MATCH( scalarDataframe[[#This Row],[scalarName]], co_scalarInfo[scalarName], 0 ) )</f>
        <v>MH Demographic Proportion Adjustment Factor</v>
      </c>
      <c r="D886" s="24" t="s">
        <v>1310</v>
      </c>
      <c r="E886" s="17" t="s">
        <v>9</v>
      </c>
      <c r="F886" s="25">
        <v>2062</v>
      </c>
      <c r="G886" s="26">
        <v>1.03373777107192</v>
      </c>
    </row>
    <row r="887" spans="1:7" x14ac:dyDescent="0.35">
      <c r="A887" s="9">
        <f xml:space="preserve"> ROW( scalarDataframe[[#This Row],[row_id]] ) - ROW( scalarDataframe[[#Headers],[row_id]] )</f>
        <v>886</v>
      </c>
      <c r="B887" s="16" t="str">
        <f xml:space="preserve"> INDEX( co_scalarInfo[scalarType], MATCH( scalarDataframe[[#This Row],[scalarName]],  co_scalarInfo[scalarName], 0 ) )</f>
        <v>damageAdj</v>
      </c>
      <c r="C887" s="44" t="str">
        <f xml:space="preserve"> INDEX( co_scalarInfo[scalarLabel], MATCH( scalarDataframe[[#This Row],[scalarName]], co_scalarInfo[scalarName], 0 ) )</f>
        <v>MH Demographic Proportion Adjustment Factor</v>
      </c>
      <c r="D887" s="24" t="s">
        <v>1310</v>
      </c>
      <c r="E887" s="17" t="s">
        <v>9</v>
      </c>
      <c r="F887" s="25">
        <v>2064</v>
      </c>
      <c r="G887" s="26">
        <v>1.0354904823858599</v>
      </c>
    </row>
    <row r="888" spans="1:7" x14ac:dyDescent="0.35">
      <c r="A888" s="9">
        <f xml:space="preserve"> ROW( scalarDataframe[[#This Row],[row_id]] ) - ROW( scalarDataframe[[#Headers],[row_id]] )</f>
        <v>887</v>
      </c>
      <c r="B888" s="16" t="str">
        <f xml:space="preserve"> INDEX( co_scalarInfo[scalarType], MATCH( scalarDataframe[[#This Row],[scalarName]],  co_scalarInfo[scalarName], 0 ) )</f>
        <v>damageAdj</v>
      </c>
      <c r="C888" s="44" t="str">
        <f xml:space="preserve"> INDEX( co_scalarInfo[scalarLabel], MATCH( scalarDataframe[[#This Row],[scalarName]], co_scalarInfo[scalarName], 0 ) )</f>
        <v>MH Demographic Proportion Adjustment Factor</v>
      </c>
      <c r="D888" s="24" t="s">
        <v>1310</v>
      </c>
      <c r="E888" s="17" t="s">
        <v>9</v>
      </c>
      <c r="F888" s="25">
        <v>2067</v>
      </c>
      <c r="G888" s="26">
        <v>1.03810741237284</v>
      </c>
    </row>
    <row r="889" spans="1:7" x14ac:dyDescent="0.35">
      <c r="A889" s="9">
        <f xml:space="preserve"> ROW( scalarDataframe[[#This Row],[row_id]] ) - ROW( scalarDataframe[[#Headers],[row_id]] )</f>
        <v>888</v>
      </c>
      <c r="B889" s="16" t="str">
        <f xml:space="preserve"> INDEX( co_scalarInfo[scalarType], MATCH( scalarDataframe[[#This Row],[scalarName]],  co_scalarInfo[scalarName], 0 ) )</f>
        <v>damageAdj</v>
      </c>
      <c r="C889" s="44" t="str">
        <f xml:space="preserve"> INDEX( co_scalarInfo[scalarLabel], MATCH( scalarDataframe[[#This Row],[scalarName]], co_scalarInfo[scalarName], 0 ) )</f>
        <v>MH Demographic Proportion Adjustment Factor</v>
      </c>
      <c r="D889" s="24" t="s">
        <v>1310</v>
      </c>
      <c r="E889" s="17" t="s">
        <v>9</v>
      </c>
      <c r="F889" s="25">
        <v>2071</v>
      </c>
      <c r="G889" s="26">
        <v>1.0410335762338501</v>
      </c>
    </row>
    <row r="890" spans="1:7" x14ac:dyDescent="0.35">
      <c r="A890" s="9">
        <f xml:space="preserve"> ROW( scalarDataframe[[#This Row],[row_id]] ) - ROW( scalarDataframe[[#Headers],[row_id]] )</f>
        <v>889</v>
      </c>
      <c r="B890" s="16" t="str">
        <f xml:space="preserve"> INDEX( co_scalarInfo[scalarType], MATCH( scalarDataframe[[#This Row],[scalarName]],  co_scalarInfo[scalarName], 0 ) )</f>
        <v>damageAdj</v>
      </c>
      <c r="C890" s="44" t="str">
        <f xml:space="preserve"> INDEX( co_scalarInfo[scalarLabel], MATCH( scalarDataframe[[#This Row],[scalarName]], co_scalarInfo[scalarName], 0 ) )</f>
        <v>MH Demographic Proportion Adjustment Factor</v>
      </c>
      <c r="D890" s="24" t="s">
        <v>1310</v>
      </c>
      <c r="E890" s="17" t="s">
        <v>9</v>
      </c>
      <c r="F890" s="25">
        <v>2076</v>
      </c>
      <c r="G890" s="26">
        <v>1.04210334760381</v>
      </c>
    </row>
    <row r="891" spans="1:7" x14ac:dyDescent="0.35">
      <c r="A891" s="9">
        <f xml:space="preserve"> ROW( scalarDataframe[[#This Row],[row_id]] ) - ROW( scalarDataframe[[#Headers],[row_id]] )</f>
        <v>890</v>
      </c>
      <c r="B891" s="16" t="str">
        <f xml:space="preserve"> INDEX( co_scalarInfo[scalarType], MATCH( scalarDataframe[[#This Row],[scalarName]],  co_scalarInfo[scalarName], 0 ) )</f>
        <v>damageAdj</v>
      </c>
      <c r="C891" s="44" t="str">
        <f xml:space="preserve"> INDEX( co_scalarInfo[scalarLabel], MATCH( scalarDataframe[[#This Row],[scalarName]], co_scalarInfo[scalarName], 0 ) )</f>
        <v>MH Demographic Proportion Adjustment Factor</v>
      </c>
      <c r="D891" s="24" t="s">
        <v>1310</v>
      </c>
      <c r="E891" s="17" t="s">
        <v>9</v>
      </c>
      <c r="F891" s="25">
        <v>2077</v>
      </c>
      <c r="G891" s="26">
        <v>1.0424433761154499</v>
      </c>
    </row>
    <row r="892" spans="1:7" x14ac:dyDescent="0.35">
      <c r="A892" s="9">
        <f xml:space="preserve"> ROW( scalarDataframe[[#This Row],[row_id]] ) - ROW( scalarDataframe[[#Headers],[row_id]] )</f>
        <v>891</v>
      </c>
      <c r="B892" s="16" t="str">
        <f xml:space="preserve"> INDEX( co_scalarInfo[scalarType], MATCH( scalarDataframe[[#This Row],[scalarName]],  co_scalarInfo[scalarName], 0 ) )</f>
        <v>damageAdj</v>
      </c>
      <c r="C892" s="44" t="str">
        <f xml:space="preserve"> INDEX( co_scalarInfo[scalarLabel], MATCH( scalarDataframe[[#This Row],[scalarName]], co_scalarInfo[scalarName], 0 ) )</f>
        <v>MH Demographic Proportion Adjustment Factor</v>
      </c>
      <c r="D892" s="24" t="s">
        <v>1310</v>
      </c>
      <c r="E892" s="17" t="s">
        <v>9</v>
      </c>
      <c r="F892" s="25">
        <v>2081</v>
      </c>
      <c r="G892" s="26">
        <v>1.0438877072129999</v>
      </c>
    </row>
    <row r="893" spans="1:7" x14ac:dyDescent="0.35">
      <c r="A893" s="9">
        <f xml:space="preserve"> ROW( scalarDataframe[[#This Row],[row_id]] ) - ROW( scalarDataframe[[#Headers],[row_id]] )</f>
        <v>892</v>
      </c>
      <c r="B893" s="16" t="str">
        <f xml:space="preserve"> INDEX( co_scalarInfo[scalarType], MATCH( scalarDataframe[[#This Row],[scalarName]],  co_scalarInfo[scalarName], 0 ) )</f>
        <v>damageAdj</v>
      </c>
      <c r="C893" s="44" t="str">
        <f xml:space="preserve"> INDEX( co_scalarInfo[scalarLabel], MATCH( scalarDataframe[[#This Row],[scalarName]], co_scalarInfo[scalarName], 0 ) )</f>
        <v>MH Demographic Proportion Adjustment Factor</v>
      </c>
      <c r="D893" s="24" t="s">
        <v>1310</v>
      </c>
      <c r="E893" s="17" t="s">
        <v>9</v>
      </c>
      <c r="F893" s="25">
        <v>2082</v>
      </c>
      <c r="G893" s="26">
        <v>1.04420576736286</v>
      </c>
    </row>
    <row r="894" spans="1:7" x14ac:dyDescent="0.35">
      <c r="A894" s="9">
        <f xml:space="preserve"> ROW( scalarDataframe[[#This Row],[row_id]] ) - ROW( scalarDataframe[[#Headers],[row_id]] )</f>
        <v>893</v>
      </c>
      <c r="B894" s="16" t="str">
        <f xml:space="preserve"> INDEX( co_scalarInfo[scalarType], MATCH( scalarDataframe[[#This Row],[scalarName]],  co_scalarInfo[scalarName], 0 ) )</f>
        <v>damageAdj</v>
      </c>
      <c r="C894" s="44" t="str">
        <f xml:space="preserve"> INDEX( co_scalarInfo[scalarLabel], MATCH( scalarDataframe[[#This Row],[scalarName]], co_scalarInfo[scalarName], 0 ) )</f>
        <v>MH Demographic Proportion Adjustment Factor</v>
      </c>
      <c r="D894" s="24" t="s">
        <v>1310</v>
      </c>
      <c r="E894" s="17" t="s">
        <v>9</v>
      </c>
      <c r="F894" s="25">
        <v>2087</v>
      </c>
      <c r="G894" s="26">
        <v>1.0480141786611901</v>
      </c>
    </row>
    <row r="895" spans="1:7" x14ac:dyDescent="0.35">
      <c r="A895" s="9">
        <f xml:space="preserve"> ROW( scalarDataframe[[#This Row],[row_id]] ) - ROW( scalarDataframe[[#Headers],[row_id]] )</f>
        <v>894</v>
      </c>
      <c r="B895" s="16" t="str">
        <f xml:space="preserve"> INDEX( co_scalarInfo[scalarType], MATCH( scalarDataframe[[#This Row],[scalarName]],  co_scalarInfo[scalarName], 0 ) )</f>
        <v>damageAdj</v>
      </c>
      <c r="C895" s="44" t="str">
        <f xml:space="preserve"> INDEX( co_scalarInfo[scalarLabel], MATCH( scalarDataframe[[#This Row],[scalarName]], co_scalarInfo[scalarName], 0 ) )</f>
        <v>MH Demographic Proportion Adjustment Factor</v>
      </c>
      <c r="D895" s="24" t="s">
        <v>1310</v>
      </c>
      <c r="E895" s="17" t="s">
        <v>9</v>
      </c>
      <c r="F895" s="25">
        <v>2091</v>
      </c>
      <c r="G895" s="26">
        <v>1.0510405119896</v>
      </c>
    </row>
    <row r="896" spans="1:7" x14ac:dyDescent="0.35">
      <c r="A896" s="9">
        <f xml:space="preserve"> ROW( scalarDataframe[[#This Row],[row_id]] ) - ROW( scalarDataframe[[#Headers],[row_id]] )</f>
        <v>895</v>
      </c>
      <c r="B896" s="16" t="str">
        <f xml:space="preserve"> INDEX( co_scalarInfo[scalarType], MATCH( scalarDataframe[[#This Row],[scalarName]],  co_scalarInfo[scalarName], 0 ) )</f>
        <v>damageAdj</v>
      </c>
      <c r="C896" s="44" t="str">
        <f xml:space="preserve"> INDEX( co_scalarInfo[scalarLabel], MATCH( scalarDataframe[[#This Row],[scalarName]], co_scalarInfo[scalarName], 0 ) )</f>
        <v>MH Demographic Proportion Adjustment Factor</v>
      </c>
      <c r="D896" s="24" t="s">
        <v>1310</v>
      </c>
      <c r="E896" s="17" t="s">
        <v>9</v>
      </c>
      <c r="F896" s="25">
        <v>2300</v>
      </c>
      <c r="G896" s="26">
        <v>1.0510405119896</v>
      </c>
    </row>
    <row r="897" spans="1:7" x14ac:dyDescent="0.35">
      <c r="A897" s="9">
        <f xml:space="preserve"> ROW( scalarDataframe[[#This Row],[row_id]] ) - ROW( scalarDataframe[[#Headers],[row_id]] )</f>
        <v>896</v>
      </c>
      <c r="B897" s="16" t="str">
        <f xml:space="preserve"> INDEX( co_scalarInfo[scalarType], MATCH( scalarDataframe[[#This Row],[scalarName]],  co_scalarInfo[scalarName], 0 ) )</f>
        <v>damageAdj</v>
      </c>
      <c r="C897" s="44" t="str">
        <f xml:space="preserve"> INDEX( co_scalarInfo[scalarLabel], MATCH( scalarDataframe[[#This Row],[scalarName]], co_scalarInfo[scalarName], 0 ) )</f>
        <v>MH Demographic Proportion Adjustment Factor</v>
      </c>
      <c r="D897" s="24" t="s">
        <v>1310</v>
      </c>
      <c r="E897" s="17" t="s">
        <v>10</v>
      </c>
      <c r="F897" s="25">
        <v>2010</v>
      </c>
      <c r="G897" s="26">
        <v>0.99568521610406646</v>
      </c>
    </row>
    <row r="898" spans="1:7" x14ac:dyDescent="0.35">
      <c r="A898" s="9">
        <f xml:space="preserve"> ROW( scalarDataframe[[#This Row],[row_id]] ) - ROW( scalarDataframe[[#Headers],[row_id]] )</f>
        <v>897</v>
      </c>
      <c r="B898" s="16" t="str">
        <f xml:space="preserve"> INDEX( co_scalarInfo[scalarType], MATCH( scalarDataframe[[#This Row],[scalarName]],  co_scalarInfo[scalarName], 0 ) )</f>
        <v>damageAdj</v>
      </c>
      <c r="C898" s="44" t="str">
        <f xml:space="preserve"> INDEX( co_scalarInfo[scalarLabel], MATCH( scalarDataframe[[#This Row],[scalarName]], co_scalarInfo[scalarName], 0 ) )</f>
        <v>MH Demographic Proportion Adjustment Factor</v>
      </c>
      <c r="D898" s="24" t="s">
        <v>1310</v>
      </c>
      <c r="E898" s="17" t="s">
        <v>10</v>
      </c>
      <c r="F898" s="25">
        <v>2011</v>
      </c>
      <c r="G898" s="26">
        <v>0.99656007861970297</v>
      </c>
    </row>
    <row r="899" spans="1:7" x14ac:dyDescent="0.35">
      <c r="A899" s="9">
        <f xml:space="preserve"> ROW( scalarDataframe[[#This Row],[row_id]] ) - ROW( scalarDataframe[[#Headers],[row_id]] )</f>
        <v>898</v>
      </c>
      <c r="B899" s="16" t="str">
        <f xml:space="preserve"> INDEX( co_scalarInfo[scalarType], MATCH( scalarDataframe[[#This Row],[scalarName]],  co_scalarInfo[scalarName], 0 ) )</f>
        <v>damageAdj</v>
      </c>
      <c r="C899" s="44" t="str">
        <f xml:space="preserve"> INDEX( co_scalarInfo[scalarLabel], MATCH( scalarDataframe[[#This Row],[scalarName]], co_scalarInfo[scalarName], 0 ) )</f>
        <v>MH Demographic Proportion Adjustment Factor</v>
      </c>
      <c r="D899" s="24" t="s">
        <v>1310</v>
      </c>
      <c r="E899" s="17" t="s">
        <v>10</v>
      </c>
      <c r="F899" s="25">
        <v>2013</v>
      </c>
      <c r="G899" s="26">
        <v>0.99830980365097599</v>
      </c>
    </row>
    <row r="900" spans="1:7" x14ac:dyDescent="0.35">
      <c r="A900" s="9">
        <f xml:space="preserve"> ROW( scalarDataframe[[#This Row],[row_id]] ) - ROW( scalarDataframe[[#Headers],[row_id]] )</f>
        <v>899</v>
      </c>
      <c r="B900" s="16" t="str">
        <f xml:space="preserve"> INDEX( co_scalarInfo[scalarType], MATCH( scalarDataframe[[#This Row],[scalarName]],  co_scalarInfo[scalarName], 0 ) )</f>
        <v>damageAdj</v>
      </c>
      <c r="C900" s="44" t="str">
        <f xml:space="preserve"> INDEX( co_scalarInfo[scalarLabel], MATCH( scalarDataframe[[#This Row],[scalarName]], co_scalarInfo[scalarName], 0 ) )</f>
        <v>MH Demographic Proportion Adjustment Factor</v>
      </c>
      <c r="D900" s="24" t="s">
        <v>1310</v>
      </c>
      <c r="E900" s="17" t="s">
        <v>10</v>
      </c>
      <c r="F900" s="25">
        <v>2017</v>
      </c>
      <c r="G900" s="26">
        <v>1.0015728076222301</v>
      </c>
    </row>
    <row r="901" spans="1:7" x14ac:dyDescent="0.35">
      <c r="A901" s="9">
        <f xml:space="preserve"> ROW( scalarDataframe[[#This Row],[row_id]] ) - ROW( scalarDataframe[[#Headers],[row_id]] )</f>
        <v>900</v>
      </c>
      <c r="B901" s="16" t="str">
        <f xml:space="preserve"> INDEX( co_scalarInfo[scalarType], MATCH( scalarDataframe[[#This Row],[scalarName]],  co_scalarInfo[scalarName], 0 ) )</f>
        <v>damageAdj</v>
      </c>
      <c r="C901" s="44" t="str">
        <f xml:space="preserve"> INDEX( co_scalarInfo[scalarLabel], MATCH( scalarDataframe[[#This Row],[scalarName]], co_scalarInfo[scalarName], 0 ) )</f>
        <v>MH Demographic Proportion Adjustment Factor</v>
      </c>
      <c r="D901" s="24" t="s">
        <v>1310</v>
      </c>
      <c r="E901" s="17" t="s">
        <v>10</v>
      </c>
      <c r="F901" s="25">
        <v>2025</v>
      </c>
      <c r="G901" s="26">
        <v>1.0085809737161899</v>
      </c>
    </row>
    <row r="902" spans="1:7" x14ac:dyDescent="0.35">
      <c r="A902" s="9">
        <f xml:space="preserve"> ROW( scalarDataframe[[#This Row],[row_id]] ) - ROW( scalarDataframe[[#Headers],[row_id]] )</f>
        <v>901</v>
      </c>
      <c r="B902" s="16" t="str">
        <f xml:space="preserve"> INDEX( co_scalarInfo[scalarType], MATCH( scalarDataframe[[#This Row],[scalarName]],  co_scalarInfo[scalarName], 0 ) )</f>
        <v>damageAdj</v>
      </c>
      <c r="C902" s="44" t="str">
        <f xml:space="preserve"> INDEX( co_scalarInfo[scalarLabel], MATCH( scalarDataframe[[#This Row],[scalarName]], co_scalarInfo[scalarName], 0 ) )</f>
        <v>MH Demographic Proportion Adjustment Factor</v>
      </c>
      <c r="D902" s="24" t="s">
        <v>1310</v>
      </c>
      <c r="E902" s="17" t="s">
        <v>10</v>
      </c>
      <c r="F902" s="25">
        <v>2029</v>
      </c>
      <c r="G902" s="26">
        <v>1.01218398583216</v>
      </c>
    </row>
    <row r="903" spans="1:7" x14ac:dyDescent="0.35">
      <c r="A903" s="9">
        <f xml:space="preserve"> ROW( scalarDataframe[[#This Row],[row_id]] ) - ROW( scalarDataframe[[#Headers],[row_id]] )</f>
        <v>902</v>
      </c>
      <c r="B903" s="16" t="str">
        <f xml:space="preserve"> INDEX( co_scalarInfo[scalarType], MATCH( scalarDataframe[[#This Row],[scalarName]],  co_scalarInfo[scalarName], 0 ) )</f>
        <v>damageAdj</v>
      </c>
      <c r="C903" s="44" t="str">
        <f xml:space="preserve"> INDEX( co_scalarInfo[scalarLabel], MATCH( scalarDataframe[[#This Row],[scalarName]], co_scalarInfo[scalarName], 0 ) )</f>
        <v>MH Demographic Proportion Adjustment Factor</v>
      </c>
      <c r="D903" s="24" t="s">
        <v>1310</v>
      </c>
      <c r="E903" s="17" t="s">
        <v>10</v>
      </c>
      <c r="F903" s="25">
        <v>2032</v>
      </c>
      <c r="G903" s="26">
        <v>1.0155089547789899</v>
      </c>
    </row>
    <row r="904" spans="1:7" x14ac:dyDescent="0.35">
      <c r="A904" s="9">
        <f xml:space="preserve"> ROW( scalarDataframe[[#This Row],[row_id]] ) - ROW( scalarDataframe[[#Headers],[row_id]] )</f>
        <v>903</v>
      </c>
      <c r="B904" s="16" t="str">
        <f xml:space="preserve"> INDEX( co_scalarInfo[scalarType], MATCH( scalarDataframe[[#This Row],[scalarName]],  co_scalarInfo[scalarName], 0 ) )</f>
        <v>damageAdj</v>
      </c>
      <c r="C904" s="44" t="str">
        <f xml:space="preserve"> INDEX( co_scalarInfo[scalarLabel], MATCH( scalarDataframe[[#This Row],[scalarName]], co_scalarInfo[scalarName], 0 ) )</f>
        <v>MH Demographic Proportion Adjustment Factor</v>
      </c>
      <c r="D904" s="24" t="s">
        <v>1310</v>
      </c>
      <c r="E904" s="17" t="s">
        <v>10</v>
      </c>
      <c r="F904" s="25">
        <v>2033</v>
      </c>
      <c r="G904" s="26">
        <v>1.01670740152664</v>
      </c>
    </row>
    <row r="905" spans="1:7" x14ac:dyDescent="0.35">
      <c r="A905" s="9">
        <f xml:space="preserve"> ROW( scalarDataframe[[#This Row],[row_id]] ) - ROW( scalarDataframe[[#Headers],[row_id]] )</f>
        <v>904</v>
      </c>
      <c r="B905" s="16" t="str">
        <f xml:space="preserve"> INDEX( co_scalarInfo[scalarType], MATCH( scalarDataframe[[#This Row],[scalarName]],  co_scalarInfo[scalarName], 0 ) )</f>
        <v>damageAdj</v>
      </c>
      <c r="C905" s="44" t="str">
        <f xml:space="preserve"> INDEX( co_scalarInfo[scalarLabel], MATCH( scalarDataframe[[#This Row],[scalarName]], co_scalarInfo[scalarName], 0 ) )</f>
        <v>MH Demographic Proportion Adjustment Factor</v>
      </c>
      <c r="D905" s="24" t="s">
        <v>1310</v>
      </c>
      <c r="E905" s="17" t="s">
        <v>10</v>
      </c>
      <c r="F905" s="25">
        <v>2037</v>
      </c>
      <c r="G905" s="26">
        <v>1.0213831535865501</v>
      </c>
    </row>
    <row r="906" spans="1:7" x14ac:dyDescent="0.35">
      <c r="A906" s="9">
        <f xml:space="preserve"> ROW( scalarDataframe[[#This Row],[row_id]] ) - ROW( scalarDataframe[[#Headers],[row_id]] )</f>
        <v>905</v>
      </c>
      <c r="B906" s="16" t="str">
        <f xml:space="preserve"> INDEX( co_scalarInfo[scalarType], MATCH( scalarDataframe[[#This Row],[scalarName]],  co_scalarInfo[scalarName], 0 ) )</f>
        <v>damageAdj</v>
      </c>
      <c r="C906" s="44" t="str">
        <f xml:space="preserve"> INDEX( co_scalarInfo[scalarLabel], MATCH( scalarDataframe[[#This Row],[scalarName]], co_scalarInfo[scalarName], 0 ) )</f>
        <v>MH Demographic Proportion Adjustment Factor</v>
      </c>
      <c r="D906" s="24" t="s">
        <v>1310</v>
      </c>
      <c r="E906" s="17" t="s">
        <v>10</v>
      </c>
      <c r="F906" s="25">
        <v>2044</v>
      </c>
      <c r="G906" s="26">
        <v>1.02749901943804</v>
      </c>
    </row>
    <row r="907" spans="1:7" x14ac:dyDescent="0.35">
      <c r="A907" s="9">
        <f xml:space="preserve"> ROW( scalarDataframe[[#This Row],[row_id]] ) - ROW( scalarDataframe[[#Headers],[row_id]] )</f>
        <v>906</v>
      </c>
      <c r="B907" s="16" t="str">
        <f xml:space="preserve"> INDEX( co_scalarInfo[scalarType], MATCH( scalarDataframe[[#This Row],[scalarName]],  co_scalarInfo[scalarName], 0 ) )</f>
        <v>damageAdj</v>
      </c>
      <c r="C907" s="44" t="str">
        <f xml:space="preserve"> INDEX( co_scalarInfo[scalarLabel], MATCH( scalarDataframe[[#This Row],[scalarName]], co_scalarInfo[scalarName], 0 ) )</f>
        <v>MH Demographic Proportion Adjustment Factor</v>
      </c>
      <c r="D907" s="24" t="s">
        <v>1310</v>
      </c>
      <c r="E907" s="17" t="s">
        <v>10</v>
      </c>
      <c r="F907" s="25">
        <v>2048</v>
      </c>
      <c r="G907" s="26">
        <v>1.03030262112074</v>
      </c>
    </row>
    <row r="908" spans="1:7" x14ac:dyDescent="0.35">
      <c r="A908" s="9">
        <f xml:space="preserve"> ROW( scalarDataframe[[#This Row],[row_id]] ) - ROW( scalarDataframe[[#Headers],[row_id]] )</f>
        <v>907</v>
      </c>
      <c r="B908" s="16" t="str">
        <f xml:space="preserve"> INDEX( co_scalarInfo[scalarType], MATCH( scalarDataframe[[#This Row],[scalarName]],  co_scalarInfo[scalarName], 0 ) )</f>
        <v>damageAdj</v>
      </c>
      <c r="C908" s="44" t="str">
        <f xml:space="preserve"> INDEX( co_scalarInfo[scalarLabel], MATCH( scalarDataframe[[#This Row],[scalarName]], co_scalarInfo[scalarName], 0 ) )</f>
        <v>MH Demographic Proportion Adjustment Factor</v>
      </c>
      <c r="D908" s="24" t="s">
        <v>1310</v>
      </c>
      <c r="E908" s="17" t="s">
        <v>10</v>
      </c>
      <c r="F908" s="25">
        <v>2049</v>
      </c>
      <c r="G908" s="26">
        <v>1.0309305511740201</v>
      </c>
    </row>
    <row r="909" spans="1:7" x14ac:dyDescent="0.35">
      <c r="A909" s="9">
        <f xml:space="preserve"> ROW( scalarDataframe[[#This Row],[row_id]] ) - ROW( scalarDataframe[[#Headers],[row_id]] )</f>
        <v>908</v>
      </c>
      <c r="B909" s="16" t="str">
        <f xml:space="preserve"> INDEX( co_scalarInfo[scalarType], MATCH( scalarDataframe[[#This Row],[scalarName]],  co_scalarInfo[scalarName], 0 ) )</f>
        <v>damageAdj</v>
      </c>
      <c r="C909" s="44" t="str">
        <f xml:space="preserve"> INDEX( co_scalarInfo[scalarLabel], MATCH( scalarDataframe[[#This Row],[scalarName]], co_scalarInfo[scalarName], 0 ) )</f>
        <v>MH Demographic Proportion Adjustment Factor</v>
      </c>
      <c r="D909" s="24" t="s">
        <v>1310</v>
      </c>
      <c r="E909" s="17" t="s">
        <v>10</v>
      </c>
      <c r="F909" s="25">
        <v>2050</v>
      </c>
      <c r="G909" s="26">
        <v>1.03157050559578</v>
      </c>
    </row>
    <row r="910" spans="1:7" x14ac:dyDescent="0.35">
      <c r="A910" s="9">
        <f xml:space="preserve"> ROW( scalarDataframe[[#This Row],[row_id]] ) - ROW( scalarDataframe[[#Headers],[row_id]] )</f>
        <v>909</v>
      </c>
      <c r="B910" s="16" t="str">
        <f xml:space="preserve"> INDEX( co_scalarInfo[scalarType], MATCH( scalarDataframe[[#This Row],[scalarName]],  co_scalarInfo[scalarName], 0 ) )</f>
        <v>damageAdj</v>
      </c>
      <c r="C910" s="44" t="str">
        <f xml:space="preserve"> INDEX( co_scalarInfo[scalarLabel], MATCH( scalarDataframe[[#This Row],[scalarName]], co_scalarInfo[scalarName], 0 ) )</f>
        <v>MH Demographic Proportion Adjustment Factor</v>
      </c>
      <c r="D910" s="24" t="s">
        <v>1310</v>
      </c>
      <c r="E910" s="17" t="s">
        <v>10</v>
      </c>
      <c r="F910" s="25">
        <v>2052</v>
      </c>
      <c r="G910" s="26">
        <v>1.0325778386592299</v>
      </c>
    </row>
    <row r="911" spans="1:7" x14ac:dyDescent="0.35">
      <c r="A911" s="9">
        <f xml:space="preserve"> ROW( scalarDataframe[[#This Row],[row_id]] ) - ROW( scalarDataframe[[#Headers],[row_id]] )</f>
        <v>910</v>
      </c>
      <c r="B911" s="16" t="str">
        <f xml:space="preserve"> INDEX( co_scalarInfo[scalarType], MATCH( scalarDataframe[[#This Row],[scalarName]],  co_scalarInfo[scalarName], 0 ) )</f>
        <v>damageAdj</v>
      </c>
      <c r="C911" s="44" t="str">
        <f xml:space="preserve"> INDEX( co_scalarInfo[scalarLabel], MATCH( scalarDataframe[[#This Row],[scalarName]], co_scalarInfo[scalarName], 0 ) )</f>
        <v>MH Demographic Proportion Adjustment Factor</v>
      </c>
      <c r="D911" s="24" t="s">
        <v>1310</v>
      </c>
      <c r="E911" s="17" t="s">
        <v>10</v>
      </c>
      <c r="F911" s="25">
        <v>2055</v>
      </c>
      <c r="G911" s="26">
        <v>1.0337794306372201</v>
      </c>
    </row>
    <row r="912" spans="1:7" x14ac:dyDescent="0.35">
      <c r="A912" s="9">
        <f xml:space="preserve"> ROW( scalarDataframe[[#This Row],[row_id]] ) - ROW( scalarDataframe[[#Headers],[row_id]] )</f>
        <v>911</v>
      </c>
      <c r="B912" s="16" t="str">
        <f xml:space="preserve"> INDEX( co_scalarInfo[scalarType], MATCH( scalarDataframe[[#This Row],[scalarName]],  co_scalarInfo[scalarName], 0 ) )</f>
        <v>damageAdj</v>
      </c>
      <c r="C912" s="44" t="str">
        <f xml:space="preserve"> INDEX( co_scalarInfo[scalarLabel], MATCH( scalarDataframe[[#This Row],[scalarName]], co_scalarInfo[scalarName], 0 ) )</f>
        <v>MH Demographic Proportion Adjustment Factor</v>
      </c>
      <c r="D912" s="24" t="s">
        <v>1310</v>
      </c>
      <c r="E912" s="17" t="s">
        <v>10</v>
      </c>
      <c r="F912" s="25">
        <v>2059</v>
      </c>
      <c r="G912" s="26">
        <v>1.03567670092655</v>
      </c>
    </row>
    <row r="913" spans="1:7" x14ac:dyDescent="0.35">
      <c r="A913" s="9">
        <f xml:space="preserve"> ROW( scalarDataframe[[#This Row],[row_id]] ) - ROW( scalarDataframe[[#Headers],[row_id]] )</f>
        <v>912</v>
      </c>
      <c r="B913" s="16" t="str">
        <f xml:space="preserve"> INDEX( co_scalarInfo[scalarType], MATCH( scalarDataframe[[#This Row],[scalarName]],  co_scalarInfo[scalarName], 0 ) )</f>
        <v>damageAdj</v>
      </c>
      <c r="C913" s="44" t="str">
        <f xml:space="preserve"> INDEX( co_scalarInfo[scalarLabel], MATCH( scalarDataframe[[#This Row],[scalarName]], co_scalarInfo[scalarName], 0 ) )</f>
        <v>MH Demographic Proportion Adjustment Factor</v>
      </c>
      <c r="D913" s="24" t="s">
        <v>1310</v>
      </c>
      <c r="E913" s="17" t="s">
        <v>10</v>
      </c>
      <c r="F913" s="25">
        <v>2061</v>
      </c>
      <c r="G913" s="26">
        <v>1.03676479073854</v>
      </c>
    </row>
    <row r="914" spans="1:7" x14ac:dyDescent="0.35">
      <c r="A914" s="9">
        <f xml:space="preserve"> ROW( scalarDataframe[[#This Row],[row_id]] ) - ROW( scalarDataframe[[#Headers],[row_id]] )</f>
        <v>913</v>
      </c>
      <c r="B914" s="16" t="str">
        <f xml:space="preserve"> INDEX( co_scalarInfo[scalarType], MATCH( scalarDataframe[[#This Row],[scalarName]],  co_scalarInfo[scalarName], 0 ) )</f>
        <v>damageAdj</v>
      </c>
      <c r="C914" s="44" t="str">
        <f xml:space="preserve"> INDEX( co_scalarInfo[scalarLabel], MATCH( scalarDataframe[[#This Row],[scalarName]], co_scalarInfo[scalarName], 0 ) )</f>
        <v>MH Demographic Proportion Adjustment Factor</v>
      </c>
      <c r="D914" s="24" t="s">
        <v>1310</v>
      </c>
      <c r="E914" s="17" t="s">
        <v>10</v>
      </c>
      <c r="F914" s="25">
        <v>2062</v>
      </c>
      <c r="G914" s="26">
        <v>1.0373628457836199</v>
      </c>
    </row>
    <row r="915" spans="1:7" x14ac:dyDescent="0.35">
      <c r="A915" s="9">
        <f xml:space="preserve"> ROW( scalarDataframe[[#This Row],[row_id]] ) - ROW( scalarDataframe[[#Headers],[row_id]] )</f>
        <v>914</v>
      </c>
      <c r="B915" s="16" t="str">
        <f xml:space="preserve"> INDEX( co_scalarInfo[scalarType], MATCH( scalarDataframe[[#This Row],[scalarName]],  co_scalarInfo[scalarName], 0 ) )</f>
        <v>damageAdj</v>
      </c>
      <c r="C915" s="44" t="str">
        <f xml:space="preserve"> INDEX( co_scalarInfo[scalarLabel], MATCH( scalarDataframe[[#This Row],[scalarName]], co_scalarInfo[scalarName], 0 ) )</f>
        <v>MH Demographic Proportion Adjustment Factor</v>
      </c>
      <c r="D915" s="24" t="s">
        <v>1310</v>
      </c>
      <c r="E915" s="17" t="s">
        <v>10</v>
      </c>
      <c r="F915" s="25">
        <v>2064</v>
      </c>
      <c r="G915" s="26">
        <v>1.0384565275648201</v>
      </c>
    </row>
    <row r="916" spans="1:7" x14ac:dyDescent="0.35">
      <c r="A916" s="9">
        <f xml:space="preserve"> ROW( scalarDataframe[[#This Row],[row_id]] ) - ROW( scalarDataframe[[#Headers],[row_id]] )</f>
        <v>915</v>
      </c>
      <c r="B916" s="16" t="str">
        <f xml:space="preserve"> INDEX( co_scalarInfo[scalarType], MATCH( scalarDataframe[[#This Row],[scalarName]],  co_scalarInfo[scalarName], 0 ) )</f>
        <v>damageAdj</v>
      </c>
      <c r="C916" s="44" t="str">
        <f xml:space="preserve"> INDEX( co_scalarInfo[scalarLabel], MATCH( scalarDataframe[[#This Row],[scalarName]], co_scalarInfo[scalarName], 0 ) )</f>
        <v>MH Demographic Proportion Adjustment Factor</v>
      </c>
      <c r="D916" s="24" t="s">
        <v>1310</v>
      </c>
      <c r="E916" s="17" t="s">
        <v>10</v>
      </c>
      <c r="F916" s="25">
        <v>2067</v>
      </c>
      <c r="G916" s="26">
        <v>1.0403460498691699</v>
      </c>
    </row>
    <row r="917" spans="1:7" x14ac:dyDescent="0.35">
      <c r="A917" s="9">
        <f xml:space="preserve"> ROW( scalarDataframe[[#This Row],[row_id]] ) - ROW( scalarDataframe[[#Headers],[row_id]] )</f>
        <v>916</v>
      </c>
      <c r="B917" s="16" t="str">
        <f xml:space="preserve"> INDEX( co_scalarInfo[scalarType], MATCH( scalarDataframe[[#This Row],[scalarName]],  co_scalarInfo[scalarName], 0 ) )</f>
        <v>damageAdj</v>
      </c>
      <c r="C917" s="44" t="str">
        <f xml:space="preserve"> INDEX( co_scalarInfo[scalarLabel], MATCH( scalarDataframe[[#This Row],[scalarName]], co_scalarInfo[scalarName], 0 ) )</f>
        <v>MH Demographic Proportion Adjustment Factor</v>
      </c>
      <c r="D917" s="24" t="s">
        <v>1310</v>
      </c>
      <c r="E917" s="17" t="s">
        <v>10</v>
      </c>
      <c r="F917" s="25">
        <v>2071</v>
      </c>
      <c r="G917" s="26">
        <v>1.04265113500066</v>
      </c>
    </row>
    <row r="918" spans="1:7" x14ac:dyDescent="0.35">
      <c r="A918" s="9">
        <f xml:space="preserve"> ROW( scalarDataframe[[#This Row],[row_id]] ) - ROW( scalarDataframe[[#Headers],[row_id]] )</f>
        <v>917</v>
      </c>
      <c r="B918" s="16" t="str">
        <f xml:space="preserve"> INDEX( co_scalarInfo[scalarType], MATCH( scalarDataframe[[#This Row],[scalarName]],  co_scalarInfo[scalarName], 0 ) )</f>
        <v>damageAdj</v>
      </c>
      <c r="C918" s="44" t="str">
        <f xml:space="preserve"> INDEX( co_scalarInfo[scalarLabel], MATCH( scalarDataframe[[#This Row],[scalarName]], co_scalarInfo[scalarName], 0 ) )</f>
        <v>MH Demographic Proportion Adjustment Factor</v>
      </c>
      <c r="D918" s="24" t="s">
        <v>1310</v>
      </c>
      <c r="E918" s="17" t="s">
        <v>10</v>
      </c>
      <c r="F918" s="25">
        <v>2076</v>
      </c>
      <c r="G918" s="26">
        <v>1.04477079431469</v>
      </c>
    </row>
    <row r="919" spans="1:7" x14ac:dyDescent="0.35">
      <c r="A919" s="9">
        <f xml:space="preserve"> ROW( scalarDataframe[[#This Row],[row_id]] ) - ROW( scalarDataframe[[#Headers],[row_id]] )</f>
        <v>918</v>
      </c>
      <c r="B919" s="16" t="str">
        <f xml:space="preserve"> INDEX( co_scalarInfo[scalarType], MATCH( scalarDataframe[[#This Row],[scalarName]],  co_scalarInfo[scalarName], 0 ) )</f>
        <v>damageAdj</v>
      </c>
      <c r="C919" s="44" t="str">
        <f xml:space="preserve"> INDEX( co_scalarInfo[scalarLabel], MATCH( scalarDataframe[[#This Row],[scalarName]], co_scalarInfo[scalarName], 0 ) )</f>
        <v>MH Demographic Proportion Adjustment Factor</v>
      </c>
      <c r="D919" s="24" t="s">
        <v>1310</v>
      </c>
      <c r="E919" s="17" t="s">
        <v>10</v>
      </c>
      <c r="F919" s="25">
        <v>2077</v>
      </c>
      <c r="G919" s="26">
        <v>1.04517032159898</v>
      </c>
    </row>
    <row r="920" spans="1:7" x14ac:dyDescent="0.35">
      <c r="A920" s="9">
        <f xml:space="preserve"> ROW( scalarDataframe[[#This Row],[row_id]] ) - ROW( scalarDataframe[[#Headers],[row_id]] )</f>
        <v>919</v>
      </c>
      <c r="B920" s="16" t="str">
        <f xml:space="preserve"> INDEX( co_scalarInfo[scalarType], MATCH( scalarDataframe[[#This Row],[scalarName]],  co_scalarInfo[scalarName], 0 ) )</f>
        <v>damageAdj</v>
      </c>
      <c r="C920" s="44" t="str">
        <f xml:space="preserve"> INDEX( co_scalarInfo[scalarLabel], MATCH( scalarDataframe[[#This Row],[scalarName]], co_scalarInfo[scalarName], 0 ) )</f>
        <v>MH Demographic Proportion Adjustment Factor</v>
      </c>
      <c r="D920" s="24" t="s">
        <v>1310</v>
      </c>
      <c r="E920" s="17" t="s">
        <v>10</v>
      </c>
      <c r="F920" s="25">
        <v>2081</v>
      </c>
      <c r="G920" s="26">
        <v>1.04701360828684</v>
      </c>
    </row>
    <row r="921" spans="1:7" x14ac:dyDescent="0.35">
      <c r="A921" s="9">
        <f xml:space="preserve"> ROW( scalarDataframe[[#This Row],[row_id]] ) - ROW( scalarDataframe[[#Headers],[row_id]] )</f>
        <v>920</v>
      </c>
      <c r="B921" s="16" t="str">
        <f xml:space="preserve"> INDEX( co_scalarInfo[scalarType], MATCH( scalarDataframe[[#This Row],[scalarName]],  co_scalarInfo[scalarName], 0 ) )</f>
        <v>damageAdj</v>
      </c>
      <c r="C921" s="44" t="str">
        <f xml:space="preserve"> INDEX( co_scalarInfo[scalarLabel], MATCH( scalarDataframe[[#This Row],[scalarName]], co_scalarInfo[scalarName], 0 ) )</f>
        <v>MH Demographic Proportion Adjustment Factor</v>
      </c>
      <c r="D921" s="24" t="s">
        <v>1310</v>
      </c>
      <c r="E921" s="17" t="s">
        <v>10</v>
      </c>
      <c r="F921" s="25">
        <v>2082</v>
      </c>
      <c r="G921" s="26">
        <v>1.0478782752232201</v>
      </c>
    </row>
    <row r="922" spans="1:7" x14ac:dyDescent="0.35">
      <c r="A922" s="9">
        <f xml:space="preserve"> ROW( scalarDataframe[[#This Row],[row_id]] ) - ROW( scalarDataframe[[#Headers],[row_id]] )</f>
        <v>921</v>
      </c>
      <c r="B922" s="16" t="str">
        <f xml:space="preserve"> INDEX( co_scalarInfo[scalarType], MATCH( scalarDataframe[[#This Row],[scalarName]],  co_scalarInfo[scalarName], 0 ) )</f>
        <v>damageAdj</v>
      </c>
      <c r="C922" s="44" t="str">
        <f xml:space="preserve"> INDEX( co_scalarInfo[scalarLabel], MATCH( scalarDataframe[[#This Row],[scalarName]], co_scalarInfo[scalarName], 0 ) )</f>
        <v>MH Demographic Proportion Adjustment Factor</v>
      </c>
      <c r="D922" s="24" t="s">
        <v>1310</v>
      </c>
      <c r="E922" s="17" t="s">
        <v>10</v>
      </c>
      <c r="F922" s="25">
        <v>2087</v>
      </c>
      <c r="G922" s="26">
        <v>1.05108637273163</v>
      </c>
    </row>
    <row r="923" spans="1:7" x14ac:dyDescent="0.35">
      <c r="A923" s="9">
        <f xml:space="preserve"> ROW( scalarDataframe[[#This Row],[row_id]] ) - ROW( scalarDataframe[[#Headers],[row_id]] )</f>
        <v>922</v>
      </c>
      <c r="B923" s="16" t="str">
        <f xml:space="preserve"> INDEX( co_scalarInfo[scalarType], MATCH( scalarDataframe[[#This Row],[scalarName]],  co_scalarInfo[scalarName], 0 ) )</f>
        <v>damageAdj</v>
      </c>
      <c r="C923" s="44" t="str">
        <f xml:space="preserve"> INDEX( co_scalarInfo[scalarLabel], MATCH( scalarDataframe[[#This Row],[scalarName]], co_scalarInfo[scalarName], 0 ) )</f>
        <v>MH Demographic Proportion Adjustment Factor</v>
      </c>
      <c r="D923" s="24" t="s">
        <v>1310</v>
      </c>
      <c r="E923" s="17" t="s">
        <v>10</v>
      </c>
      <c r="F923" s="25">
        <v>2091</v>
      </c>
      <c r="G923" s="26">
        <v>1.0539960298960001</v>
      </c>
    </row>
    <row r="924" spans="1:7" x14ac:dyDescent="0.35">
      <c r="A924" s="9">
        <f xml:space="preserve"> ROW( scalarDataframe[[#This Row],[row_id]] ) - ROW( scalarDataframe[[#Headers],[row_id]] )</f>
        <v>923</v>
      </c>
      <c r="B924" s="16" t="str">
        <f xml:space="preserve"> INDEX( co_scalarInfo[scalarType], MATCH( scalarDataframe[[#This Row],[scalarName]],  co_scalarInfo[scalarName], 0 ) )</f>
        <v>damageAdj</v>
      </c>
      <c r="C924" s="44" t="str">
        <f xml:space="preserve"> INDEX( co_scalarInfo[scalarLabel], MATCH( scalarDataframe[[#This Row],[scalarName]], co_scalarInfo[scalarName], 0 ) )</f>
        <v>MH Demographic Proportion Adjustment Factor</v>
      </c>
      <c r="D924" s="24" t="s">
        <v>1310</v>
      </c>
      <c r="E924" s="17" t="s">
        <v>10</v>
      </c>
      <c r="F924" s="25">
        <v>2300</v>
      </c>
      <c r="G924" s="26">
        <v>1.0539960298960001</v>
      </c>
    </row>
    <row r="925" spans="1:7" x14ac:dyDescent="0.35">
      <c r="A925" s="9">
        <f xml:space="preserve"> ROW( scalarDataframe[[#This Row],[row_id]] ) - ROW( scalarDataframe[[#Headers],[row_id]] )</f>
        <v>924</v>
      </c>
      <c r="B925" s="16" t="str">
        <f xml:space="preserve"> INDEX( co_scalarInfo[scalarType], MATCH( scalarDataframe[[#This Row],[scalarName]],  co_scalarInfo[scalarName], 0 ) )</f>
        <v>damageAdj</v>
      </c>
      <c r="C925" s="44" t="str">
        <f xml:space="preserve"> INDEX( co_scalarInfo[scalarLabel], MATCH( scalarDataframe[[#This Row],[scalarName]], co_scalarInfo[scalarName], 0 ) )</f>
        <v>MH Demographic Proportion Adjustment Factor</v>
      </c>
      <c r="D925" s="24" t="s">
        <v>1310</v>
      </c>
      <c r="E925" s="17" t="s">
        <v>11</v>
      </c>
      <c r="F925" s="25">
        <v>2010</v>
      </c>
      <c r="G925" s="26">
        <v>0.99467658136172643</v>
      </c>
    </row>
    <row r="926" spans="1:7" x14ac:dyDescent="0.35">
      <c r="A926" s="9">
        <f xml:space="preserve"> ROW( scalarDataframe[[#This Row],[row_id]] ) - ROW( scalarDataframe[[#Headers],[row_id]] )</f>
        <v>925</v>
      </c>
      <c r="B926" s="16" t="str">
        <f xml:space="preserve"> INDEX( co_scalarInfo[scalarType], MATCH( scalarDataframe[[#This Row],[scalarName]],  co_scalarInfo[scalarName], 0 ) )</f>
        <v>damageAdj</v>
      </c>
      <c r="C926" s="44" t="str">
        <f xml:space="preserve"> INDEX( co_scalarInfo[scalarLabel], MATCH( scalarDataframe[[#This Row],[scalarName]], co_scalarInfo[scalarName], 0 ) )</f>
        <v>MH Demographic Proportion Adjustment Factor</v>
      </c>
      <c r="D926" s="24" t="s">
        <v>1310</v>
      </c>
      <c r="E926" s="17" t="s">
        <v>11</v>
      </c>
      <c r="F926" s="25">
        <v>2011</v>
      </c>
      <c r="G926" s="26">
        <v>0.99576429610908701</v>
      </c>
    </row>
    <row r="927" spans="1:7" x14ac:dyDescent="0.35">
      <c r="A927" s="9">
        <f xml:space="preserve"> ROW( scalarDataframe[[#This Row],[row_id]] ) - ROW( scalarDataframe[[#Headers],[row_id]] )</f>
        <v>926</v>
      </c>
      <c r="B927" s="16" t="str">
        <f xml:space="preserve"> INDEX( co_scalarInfo[scalarType], MATCH( scalarDataframe[[#This Row],[scalarName]],  co_scalarInfo[scalarName], 0 ) )</f>
        <v>damageAdj</v>
      </c>
      <c r="C927" s="44" t="str">
        <f xml:space="preserve"> INDEX( co_scalarInfo[scalarLabel], MATCH( scalarDataframe[[#This Row],[scalarName]], co_scalarInfo[scalarName], 0 ) )</f>
        <v>MH Demographic Proportion Adjustment Factor</v>
      </c>
      <c r="D927" s="24" t="s">
        <v>1310</v>
      </c>
      <c r="E927" s="17" t="s">
        <v>11</v>
      </c>
      <c r="F927" s="25">
        <v>2013</v>
      </c>
      <c r="G927" s="26">
        <v>0.99793972560380795</v>
      </c>
    </row>
    <row r="928" spans="1:7" x14ac:dyDescent="0.35">
      <c r="A928" s="9">
        <f xml:space="preserve"> ROW( scalarDataframe[[#This Row],[row_id]] ) - ROW( scalarDataframe[[#Headers],[row_id]] )</f>
        <v>927</v>
      </c>
      <c r="B928" s="16" t="str">
        <f xml:space="preserve"> INDEX( co_scalarInfo[scalarType], MATCH( scalarDataframe[[#This Row],[scalarName]],  co_scalarInfo[scalarName], 0 ) )</f>
        <v>damageAdj</v>
      </c>
      <c r="C928" s="44" t="str">
        <f xml:space="preserve"> INDEX( co_scalarInfo[scalarLabel], MATCH( scalarDataframe[[#This Row],[scalarName]], co_scalarInfo[scalarName], 0 ) )</f>
        <v>MH Demographic Proportion Adjustment Factor</v>
      </c>
      <c r="D928" s="24" t="s">
        <v>1310</v>
      </c>
      <c r="E928" s="17" t="s">
        <v>11</v>
      </c>
      <c r="F928" s="25">
        <v>2017</v>
      </c>
      <c r="G928" s="26">
        <v>1.0017593109285701</v>
      </c>
    </row>
    <row r="929" spans="1:7" x14ac:dyDescent="0.35">
      <c r="A929" s="9">
        <f xml:space="preserve"> ROW( scalarDataframe[[#This Row],[row_id]] ) - ROW( scalarDataframe[[#Headers],[row_id]] )</f>
        <v>928</v>
      </c>
      <c r="B929" s="16" t="str">
        <f xml:space="preserve"> INDEX( co_scalarInfo[scalarType], MATCH( scalarDataframe[[#This Row],[scalarName]],  co_scalarInfo[scalarName], 0 ) )</f>
        <v>damageAdj</v>
      </c>
      <c r="C929" s="44" t="str">
        <f xml:space="preserve"> INDEX( co_scalarInfo[scalarLabel], MATCH( scalarDataframe[[#This Row],[scalarName]], co_scalarInfo[scalarName], 0 ) )</f>
        <v>MH Demographic Proportion Adjustment Factor</v>
      </c>
      <c r="D929" s="24" t="s">
        <v>1310</v>
      </c>
      <c r="E929" s="17" t="s">
        <v>11</v>
      </c>
      <c r="F929" s="25">
        <v>2025</v>
      </c>
      <c r="G929" s="26">
        <v>1.0113203944098501</v>
      </c>
    </row>
    <row r="930" spans="1:7" x14ac:dyDescent="0.35">
      <c r="A930" s="9">
        <f xml:space="preserve"> ROW( scalarDataframe[[#This Row],[row_id]] ) - ROW( scalarDataframe[[#Headers],[row_id]] )</f>
        <v>929</v>
      </c>
      <c r="B930" s="16" t="str">
        <f xml:space="preserve"> INDEX( co_scalarInfo[scalarType], MATCH( scalarDataframe[[#This Row],[scalarName]],  co_scalarInfo[scalarName], 0 ) )</f>
        <v>damageAdj</v>
      </c>
      <c r="C930" s="44" t="str">
        <f xml:space="preserve"> INDEX( co_scalarInfo[scalarLabel], MATCH( scalarDataframe[[#This Row],[scalarName]], co_scalarInfo[scalarName], 0 ) )</f>
        <v>MH Demographic Proportion Adjustment Factor</v>
      </c>
      <c r="D930" s="24" t="s">
        <v>1310</v>
      </c>
      <c r="E930" s="17" t="s">
        <v>11</v>
      </c>
      <c r="F930" s="25">
        <v>2029</v>
      </c>
      <c r="G930" s="26">
        <v>1.01638101267742</v>
      </c>
    </row>
    <row r="931" spans="1:7" x14ac:dyDescent="0.35">
      <c r="A931" s="9">
        <f xml:space="preserve"> ROW( scalarDataframe[[#This Row],[row_id]] ) - ROW( scalarDataframe[[#Headers],[row_id]] )</f>
        <v>930</v>
      </c>
      <c r="B931" s="16" t="str">
        <f xml:space="preserve"> INDEX( co_scalarInfo[scalarType], MATCH( scalarDataframe[[#This Row],[scalarName]],  co_scalarInfo[scalarName], 0 ) )</f>
        <v>damageAdj</v>
      </c>
      <c r="C931" s="44" t="str">
        <f xml:space="preserve"> INDEX( co_scalarInfo[scalarLabel], MATCH( scalarDataframe[[#This Row],[scalarName]], co_scalarInfo[scalarName], 0 ) )</f>
        <v>MH Demographic Proportion Adjustment Factor</v>
      </c>
      <c r="D931" s="24" t="s">
        <v>1310</v>
      </c>
      <c r="E931" s="17" t="s">
        <v>11</v>
      </c>
      <c r="F931" s="25">
        <v>2032</v>
      </c>
      <c r="G931" s="26">
        <v>1.0199277662083901</v>
      </c>
    </row>
    <row r="932" spans="1:7" x14ac:dyDescent="0.35">
      <c r="A932" s="9">
        <f xml:space="preserve"> ROW( scalarDataframe[[#This Row],[row_id]] ) - ROW( scalarDataframe[[#Headers],[row_id]] )</f>
        <v>931</v>
      </c>
      <c r="B932" s="16" t="str">
        <f xml:space="preserve"> INDEX( co_scalarInfo[scalarType], MATCH( scalarDataframe[[#This Row],[scalarName]],  co_scalarInfo[scalarName], 0 ) )</f>
        <v>damageAdj</v>
      </c>
      <c r="C932" s="44" t="str">
        <f xml:space="preserve"> INDEX( co_scalarInfo[scalarLabel], MATCH( scalarDataframe[[#This Row],[scalarName]], co_scalarInfo[scalarName], 0 ) )</f>
        <v>MH Demographic Proportion Adjustment Factor</v>
      </c>
      <c r="D932" s="24" t="s">
        <v>1310</v>
      </c>
      <c r="E932" s="17" t="s">
        <v>11</v>
      </c>
      <c r="F932" s="25">
        <v>2033</v>
      </c>
      <c r="G932" s="26">
        <v>1.02100930186938</v>
      </c>
    </row>
    <row r="933" spans="1:7" x14ac:dyDescent="0.35">
      <c r="A933" s="9">
        <f xml:space="preserve"> ROW( scalarDataframe[[#This Row],[row_id]] ) - ROW( scalarDataframe[[#Headers],[row_id]] )</f>
        <v>932</v>
      </c>
      <c r="B933" s="16" t="str">
        <f xml:space="preserve"> INDEX( co_scalarInfo[scalarType], MATCH( scalarDataframe[[#This Row],[scalarName]],  co_scalarInfo[scalarName], 0 ) )</f>
        <v>damageAdj</v>
      </c>
      <c r="C933" s="44" t="str">
        <f xml:space="preserve"> INDEX( co_scalarInfo[scalarLabel], MATCH( scalarDataframe[[#This Row],[scalarName]], co_scalarInfo[scalarName], 0 ) )</f>
        <v>MH Demographic Proportion Adjustment Factor</v>
      </c>
      <c r="D933" s="24" t="s">
        <v>1310</v>
      </c>
      <c r="E933" s="17" t="s">
        <v>11</v>
      </c>
      <c r="F933" s="25">
        <v>2037</v>
      </c>
      <c r="G933" s="26">
        <v>1.0253427524296701</v>
      </c>
    </row>
    <row r="934" spans="1:7" x14ac:dyDescent="0.35">
      <c r="A934" s="9">
        <f xml:space="preserve"> ROW( scalarDataframe[[#This Row],[row_id]] ) - ROW( scalarDataframe[[#Headers],[row_id]] )</f>
        <v>933</v>
      </c>
      <c r="B934" s="16" t="str">
        <f xml:space="preserve"> INDEX( co_scalarInfo[scalarType], MATCH( scalarDataframe[[#This Row],[scalarName]],  co_scalarInfo[scalarName], 0 ) )</f>
        <v>damageAdj</v>
      </c>
      <c r="C934" s="44" t="str">
        <f xml:space="preserve"> INDEX( co_scalarInfo[scalarLabel], MATCH( scalarDataframe[[#This Row],[scalarName]], co_scalarInfo[scalarName], 0 ) )</f>
        <v>MH Demographic Proportion Adjustment Factor</v>
      </c>
      <c r="D934" s="24" t="s">
        <v>1310</v>
      </c>
      <c r="E934" s="17" t="s">
        <v>11</v>
      </c>
      <c r="F934" s="25">
        <v>2044</v>
      </c>
      <c r="G934" s="26">
        <v>1.0309518804564799</v>
      </c>
    </row>
    <row r="935" spans="1:7" x14ac:dyDescent="0.35">
      <c r="A935" s="9">
        <f xml:space="preserve"> ROW( scalarDataframe[[#This Row],[row_id]] ) - ROW( scalarDataframe[[#Headers],[row_id]] )</f>
        <v>934</v>
      </c>
      <c r="B935" s="16" t="str">
        <f xml:space="preserve"> INDEX( co_scalarInfo[scalarType], MATCH( scalarDataframe[[#This Row],[scalarName]],  co_scalarInfo[scalarName], 0 ) )</f>
        <v>damageAdj</v>
      </c>
      <c r="C935" s="44" t="str">
        <f xml:space="preserve"> INDEX( co_scalarInfo[scalarLabel], MATCH( scalarDataframe[[#This Row],[scalarName]], co_scalarInfo[scalarName], 0 ) )</f>
        <v>MH Demographic Proportion Adjustment Factor</v>
      </c>
      <c r="D935" s="24" t="s">
        <v>1310</v>
      </c>
      <c r="E935" s="17" t="s">
        <v>11</v>
      </c>
      <c r="F935" s="25">
        <v>2048</v>
      </c>
      <c r="G935" s="26">
        <v>1.03343374460103</v>
      </c>
    </row>
    <row r="936" spans="1:7" x14ac:dyDescent="0.35">
      <c r="A936" s="9">
        <f xml:space="preserve"> ROW( scalarDataframe[[#This Row],[row_id]] ) - ROW( scalarDataframe[[#Headers],[row_id]] )</f>
        <v>935</v>
      </c>
      <c r="B936" s="16" t="str">
        <f xml:space="preserve"> INDEX( co_scalarInfo[scalarType], MATCH( scalarDataframe[[#This Row],[scalarName]],  co_scalarInfo[scalarName], 0 ) )</f>
        <v>damageAdj</v>
      </c>
      <c r="C936" s="44" t="str">
        <f xml:space="preserve"> INDEX( co_scalarInfo[scalarLabel], MATCH( scalarDataframe[[#This Row],[scalarName]], co_scalarInfo[scalarName], 0 ) )</f>
        <v>MH Demographic Proportion Adjustment Factor</v>
      </c>
      <c r="D936" s="24" t="s">
        <v>1310</v>
      </c>
      <c r="E936" s="17" t="s">
        <v>11</v>
      </c>
      <c r="F936" s="25">
        <v>2049</v>
      </c>
      <c r="G936" s="26">
        <v>1.03406034210395</v>
      </c>
    </row>
    <row r="937" spans="1:7" x14ac:dyDescent="0.35">
      <c r="A937" s="9">
        <f xml:space="preserve"> ROW( scalarDataframe[[#This Row],[row_id]] ) - ROW( scalarDataframe[[#Headers],[row_id]] )</f>
        <v>936</v>
      </c>
      <c r="B937" s="16" t="str">
        <f xml:space="preserve"> INDEX( co_scalarInfo[scalarType], MATCH( scalarDataframe[[#This Row],[scalarName]],  co_scalarInfo[scalarName], 0 ) )</f>
        <v>damageAdj</v>
      </c>
      <c r="C937" s="44" t="str">
        <f xml:space="preserve"> INDEX( co_scalarInfo[scalarLabel], MATCH( scalarDataframe[[#This Row],[scalarName]], co_scalarInfo[scalarName], 0 ) )</f>
        <v>MH Demographic Proportion Adjustment Factor</v>
      </c>
      <c r="D937" s="24" t="s">
        <v>1310</v>
      </c>
      <c r="E937" s="17" t="s">
        <v>11</v>
      </c>
      <c r="F937" s="25">
        <v>2050</v>
      </c>
      <c r="G937" s="26">
        <v>1.03447907059945</v>
      </c>
    </row>
    <row r="938" spans="1:7" x14ac:dyDescent="0.35">
      <c r="A938" s="9">
        <f xml:space="preserve"> ROW( scalarDataframe[[#This Row],[row_id]] ) - ROW( scalarDataframe[[#Headers],[row_id]] )</f>
        <v>937</v>
      </c>
      <c r="B938" s="16" t="str">
        <f xml:space="preserve"> INDEX( co_scalarInfo[scalarType], MATCH( scalarDataframe[[#This Row],[scalarName]],  co_scalarInfo[scalarName], 0 ) )</f>
        <v>damageAdj</v>
      </c>
      <c r="C938" s="44" t="str">
        <f xml:space="preserve"> INDEX( co_scalarInfo[scalarLabel], MATCH( scalarDataframe[[#This Row],[scalarName]], co_scalarInfo[scalarName], 0 ) )</f>
        <v>MH Demographic Proportion Adjustment Factor</v>
      </c>
      <c r="D938" s="24" t="s">
        <v>1310</v>
      </c>
      <c r="E938" s="17" t="s">
        <v>11</v>
      </c>
      <c r="F938" s="25">
        <v>2052</v>
      </c>
      <c r="G938" s="26">
        <v>1.0360772910421701</v>
      </c>
    </row>
    <row r="939" spans="1:7" x14ac:dyDescent="0.35">
      <c r="A939" s="9">
        <f xml:space="preserve"> ROW( scalarDataframe[[#This Row],[row_id]] ) - ROW( scalarDataframe[[#Headers],[row_id]] )</f>
        <v>938</v>
      </c>
      <c r="B939" s="16" t="str">
        <f xml:space="preserve"> INDEX( co_scalarInfo[scalarType], MATCH( scalarDataframe[[#This Row],[scalarName]],  co_scalarInfo[scalarName], 0 ) )</f>
        <v>damageAdj</v>
      </c>
      <c r="C939" s="44" t="str">
        <f xml:space="preserve"> INDEX( co_scalarInfo[scalarLabel], MATCH( scalarDataframe[[#This Row],[scalarName]], co_scalarInfo[scalarName], 0 ) )</f>
        <v>MH Demographic Proportion Adjustment Factor</v>
      </c>
      <c r="D939" s="24" t="s">
        <v>1310</v>
      </c>
      <c r="E939" s="17" t="s">
        <v>11</v>
      </c>
      <c r="F939" s="25">
        <v>2055</v>
      </c>
      <c r="G939" s="26">
        <v>1.03811897862057</v>
      </c>
    </row>
    <row r="940" spans="1:7" x14ac:dyDescent="0.35">
      <c r="A940" s="9">
        <f xml:space="preserve"> ROW( scalarDataframe[[#This Row],[row_id]] ) - ROW( scalarDataframe[[#Headers],[row_id]] )</f>
        <v>939</v>
      </c>
      <c r="B940" s="16" t="str">
        <f xml:space="preserve"> INDEX( co_scalarInfo[scalarType], MATCH( scalarDataframe[[#This Row],[scalarName]],  co_scalarInfo[scalarName], 0 ) )</f>
        <v>damageAdj</v>
      </c>
      <c r="C940" s="44" t="str">
        <f xml:space="preserve"> INDEX( co_scalarInfo[scalarLabel], MATCH( scalarDataframe[[#This Row],[scalarName]], co_scalarInfo[scalarName], 0 ) )</f>
        <v>MH Demographic Proportion Adjustment Factor</v>
      </c>
      <c r="D940" s="24" t="s">
        <v>1310</v>
      </c>
      <c r="E940" s="17" t="s">
        <v>11</v>
      </c>
      <c r="F940" s="25">
        <v>2059</v>
      </c>
      <c r="G940" s="26">
        <v>1.04109988176516</v>
      </c>
    </row>
    <row r="941" spans="1:7" x14ac:dyDescent="0.35">
      <c r="A941" s="9">
        <f xml:space="preserve"> ROW( scalarDataframe[[#This Row],[row_id]] ) - ROW( scalarDataframe[[#Headers],[row_id]] )</f>
        <v>940</v>
      </c>
      <c r="B941" s="16" t="str">
        <f xml:space="preserve"> INDEX( co_scalarInfo[scalarType], MATCH( scalarDataframe[[#This Row],[scalarName]],  co_scalarInfo[scalarName], 0 ) )</f>
        <v>damageAdj</v>
      </c>
      <c r="C941" s="44" t="str">
        <f xml:space="preserve"> INDEX( co_scalarInfo[scalarLabel], MATCH( scalarDataframe[[#This Row],[scalarName]], co_scalarInfo[scalarName], 0 ) )</f>
        <v>MH Demographic Proportion Adjustment Factor</v>
      </c>
      <c r="D941" s="24" t="s">
        <v>1310</v>
      </c>
      <c r="E941" s="17" t="s">
        <v>11</v>
      </c>
      <c r="F941" s="25">
        <v>2061</v>
      </c>
      <c r="G941" s="26">
        <v>1.04247108769373</v>
      </c>
    </row>
    <row r="942" spans="1:7" x14ac:dyDescent="0.35">
      <c r="A942" s="9">
        <f xml:space="preserve"> ROW( scalarDataframe[[#This Row],[row_id]] ) - ROW( scalarDataframe[[#Headers],[row_id]] )</f>
        <v>941</v>
      </c>
      <c r="B942" s="16" t="str">
        <f xml:space="preserve"> INDEX( co_scalarInfo[scalarType], MATCH( scalarDataframe[[#This Row],[scalarName]],  co_scalarInfo[scalarName], 0 ) )</f>
        <v>damageAdj</v>
      </c>
      <c r="C942" s="44" t="str">
        <f xml:space="preserve"> INDEX( co_scalarInfo[scalarLabel], MATCH( scalarDataframe[[#This Row],[scalarName]], co_scalarInfo[scalarName], 0 ) )</f>
        <v>MH Demographic Proportion Adjustment Factor</v>
      </c>
      <c r="D942" s="24" t="s">
        <v>1310</v>
      </c>
      <c r="E942" s="17" t="s">
        <v>11</v>
      </c>
      <c r="F942" s="25">
        <v>2062</v>
      </c>
      <c r="G942" s="26">
        <v>1.04281297091589</v>
      </c>
    </row>
    <row r="943" spans="1:7" x14ac:dyDescent="0.35">
      <c r="A943" s="9">
        <f xml:space="preserve"> ROW( scalarDataframe[[#This Row],[row_id]] ) - ROW( scalarDataframe[[#Headers],[row_id]] )</f>
        <v>942</v>
      </c>
      <c r="B943" s="16" t="str">
        <f xml:space="preserve"> INDEX( co_scalarInfo[scalarType], MATCH( scalarDataframe[[#This Row],[scalarName]],  co_scalarInfo[scalarName], 0 ) )</f>
        <v>damageAdj</v>
      </c>
      <c r="C943" s="44" t="str">
        <f xml:space="preserve"> INDEX( co_scalarInfo[scalarLabel], MATCH( scalarDataframe[[#This Row],[scalarName]], co_scalarInfo[scalarName], 0 ) )</f>
        <v>MH Demographic Proportion Adjustment Factor</v>
      </c>
      <c r="D943" s="24" t="s">
        <v>1310</v>
      </c>
      <c r="E943" s="17" t="s">
        <v>11</v>
      </c>
      <c r="F943" s="25">
        <v>2064</v>
      </c>
      <c r="G943" s="26">
        <v>1.0435186292485299</v>
      </c>
    </row>
    <row r="944" spans="1:7" x14ac:dyDescent="0.35">
      <c r="A944" s="9">
        <f xml:space="preserve"> ROW( scalarDataframe[[#This Row],[row_id]] ) - ROW( scalarDataframe[[#Headers],[row_id]] )</f>
        <v>943</v>
      </c>
      <c r="B944" s="16" t="str">
        <f xml:space="preserve"> INDEX( co_scalarInfo[scalarType], MATCH( scalarDataframe[[#This Row],[scalarName]],  co_scalarInfo[scalarName], 0 ) )</f>
        <v>damageAdj</v>
      </c>
      <c r="C944" s="44" t="str">
        <f xml:space="preserve"> INDEX( co_scalarInfo[scalarLabel], MATCH( scalarDataframe[[#This Row],[scalarName]], co_scalarInfo[scalarName], 0 ) )</f>
        <v>MH Demographic Proportion Adjustment Factor</v>
      </c>
      <c r="D944" s="24" t="s">
        <v>1310</v>
      </c>
      <c r="E944" s="17" t="s">
        <v>11</v>
      </c>
      <c r="F944" s="25">
        <v>2067</v>
      </c>
      <c r="G944" s="26">
        <v>1.0448510263386801</v>
      </c>
    </row>
    <row r="945" spans="1:7" x14ac:dyDescent="0.35">
      <c r="A945" s="9">
        <f xml:space="preserve"> ROW( scalarDataframe[[#This Row],[row_id]] ) - ROW( scalarDataframe[[#Headers],[row_id]] )</f>
        <v>944</v>
      </c>
      <c r="B945" s="16" t="str">
        <f xml:space="preserve"> INDEX( co_scalarInfo[scalarType], MATCH( scalarDataframe[[#This Row],[scalarName]],  co_scalarInfo[scalarName], 0 ) )</f>
        <v>damageAdj</v>
      </c>
      <c r="C945" s="44" t="str">
        <f xml:space="preserve"> INDEX( co_scalarInfo[scalarLabel], MATCH( scalarDataframe[[#This Row],[scalarName]], co_scalarInfo[scalarName], 0 ) )</f>
        <v>MH Demographic Proportion Adjustment Factor</v>
      </c>
      <c r="D945" s="24" t="s">
        <v>1310</v>
      </c>
      <c r="E945" s="17" t="s">
        <v>11</v>
      </c>
      <c r="F945" s="25">
        <v>2071</v>
      </c>
      <c r="G945" s="26">
        <v>1.0467764486554101</v>
      </c>
    </row>
    <row r="946" spans="1:7" x14ac:dyDescent="0.35">
      <c r="A946" s="9">
        <f xml:space="preserve"> ROW( scalarDataframe[[#This Row],[row_id]] ) - ROW( scalarDataframe[[#Headers],[row_id]] )</f>
        <v>945</v>
      </c>
      <c r="B946" s="16" t="str">
        <f xml:space="preserve"> INDEX( co_scalarInfo[scalarType], MATCH( scalarDataframe[[#This Row],[scalarName]],  co_scalarInfo[scalarName], 0 ) )</f>
        <v>damageAdj</v>
      </c>
      <c r="C946" s="44" t="str">
        <f xml:space="preserve"> INDEX( co_scalarInfo[scalarLabel], MATCH( scalarDataframe[[#This Row],[scalarName]], co_scalarInfo[scalarName], 0 ) )</f>
        <v>MH Demographic Proportion Adjustment Factor</v>
      </c>
      <c r="D946" s="24" t="s">
        <v>1310</v>
      </c>
      <c r="E946" s="17" t="s">
        <v>11</v>
      </c>
      <c r="F946" s="25">
        <v>2076</v>
      </c>
      <c r="G946" s="26">
        <v>1.0482886199775101</v>
      </c>
    </row>
    <row r="947" spans="1:7" x14ac:dyDescent="0.35">
      <c r="A947" s="9">
        <f xml:space="preserve"> ROW( scalarDataframe[[#This Row],[row_id]] ) - ROW( scalarDataframe[[#Headers],[row_id]] )</f>
        <v>946</v>
      </c>
      <c r="B947" s="16" t="str">
        <f xml:space="preserve"> INDEX( co_scalarInfo[scalarType], MATCH( scalarDataframe[[#This Row],[scalarName]],  co_scalarInfo[scalarName], 0 ) )</f>
        <v>damageAdj</v>
      </c>
      <c r="C947" s="44" t="str">
        <f xml:space="preserve"> INDEX( co_scalarInfo[scalarLabel], MATCH( scalarDataframe[[#This Row],[scalarName]], co_scalarInfo[scalarName], 0 ) )</f>
        <v>MH Demographic Proportion Adjustment Factor</v>
      </c>
      <c r="D947" s="24" t="s">
        <v>1310</v>
      </c>
      <c r="E947" s="17" t="s">
        <v>11</v>
      </c>
      <c r="F947" s="25">
        <v>2077</v>
      </c>
      <c r="G947" s="26">
        <v>1.04854107921615</v>
      </c>
    </row>
    <row r="948" spans="1:7" x14ac:dyDescent="0.35">
      <c r="A948" s="9">
        <f xml:space="preserve"> ROW( scalarDataframe[[#This Row],[row_id]] ) - ROW( scalarDataframe[[#Headers],[row_id]] )</f>
        <v>947</v>
      </c>
      <c r="B948" s="16" t="str">
        <f xml:space="preserve"> INDEX( co_scalarInfo[scalarType], MATCH( scalarDataframe[[#This Row],[scalarName]],  co_scalarInfo[scalarName], 0 ) )</f>
        <v>damageAdj</v>
      </c>
      <c r="C948" s="44" t="str">
        <f xml:space="preserve"> INDEX( co_scalarInfo[scalarLabel], MATCH( scalarDataframe[[#This Row],[scalarName]], co_scalarInfo[scalarName], 0 ) )</f>
        <v>MH Demographic Proportion Adjustment Factor</v>
      </c>
      <c r="D948" s="24" t="s">
        <v>1310</v>
      </c>
      <c r="E948" s="17" t="s">
        <v>11</v>
      </c>
      <c r="F948" s="25">
        <v>2081</v>
      </c>
      <c r="G948" s="26">
        <v>1.05007410869457</v>
      </c>
    </row>
    <row r="949" spans="1:7" x14ac:dyDescent="0.35">
      <c r="A949" s="9">
        <f xml:space="preserve"> ROW( scalarDataframe[[#This Row],[row_id]] ) - ROW( scalarDataframe[[#Headers],[row_id]] )</f>
        <v>948</v>
      </c>
      <c r="B949" s="16" t="str">
        <f xml:space="preserve"> INDEX( co_scalarInfo[scalarType], MATCH( scalarDataframe[[#This Row],[scalarName]],  co_scalarInfo[scalarName], 0 ) )</f>
        <v>damageAdj</v>
      </c>
      <c r="C949" s="44" t="str">
        <f xml:space="preserve"> INDEX( co_scalarInfo[scalarLabel], MATCH( scalarDataframe[[#This Row],[scalarName]], co_scalarInfo[scalarName], 0 ) )</f>
        <v>MH Demographic Proportion Adjustment Factor</v>
      </c>
      <c r="D949" s="24" t="s">
        <v>1310</v>
      </c>
      <c r="E949" s="17" t="s">
        <v>11</v>
      </c>
      <c r="F949" s="25">
        <v>2082</v>
      </c>
      <c r="G949" s="26">
        <v>1.05105341440398</v>
      </c>
    </row>
    <row r="950" spans="1:7" x14ac:dyDescent="0.35">
      <c r="A950" s="9">
        <f xml:space="preserve"> ROW( scalarDataframe[[#This Row],[row_id]] ) - ROW( scalarDataframe[[#Headers],[row_id]] )</f>
        <v>949</v>
      </c>
      <c r="B950" s="16" t="str">
        <f xml:space="preserve"> INDEX( co_scalarInfo[scalarType], MATCH( scalarDataframe[[#This Row],[scalarName]],  co_scalarInfo[scalarName], 0 ) )</f>
        <v>damageAdj</v>
      </c>
      <c r="C950" s="44" t="str">
        <f xml:space="preserve"> INDEX( co_scalarInfo[scalarLabel], MATCH( scalarDataframe[[#This Row],[scalarName]], co_scalarInfo[scalarName], 0 ) )</f>
        <v>MH Demographic Proportion Adjustment Factor</v>
      </c>
      <c r="D950" s="24" t="s">
        <v>1310</v>
      </c>
      <c r="E950" s="17" t="s">
        <v>11</v>
      </c>
      <c r="F950" s="25">
        <v>2087</v>
      </c>
      <c r="G950" s="26">
        <v>1.0551764251021001</v>
      </c>
    </row>
    <row r="951" spans="1:7" x14ac:dyDescent="0.35">
      <c r="A951" s="9">
        <f xml:space="preserve"> ROW( scalarDataframe[[#This Row],[row_id]] ) - ROW( scalarDataframe[[#Headers],[row_id]] )</f>
        <v>950</v>
      </c>
      <c r="B951" s="16" t="str">
        <f xml:space="preserve"> INDEX( co_scalarInfo[scalarType], MATCH( scalarDataframe[[#This Row],[scalarName]],  co_scalarInfo[scalarName], 0 ) )</f>
        <v>damageAdj</v>
      </c>
      <c r="C951" s="44" t="str">
        <f xml:space="preserve"> INDEX( co_scalarInfo[scalarLabel], MATCH( scalarDataframe[[#This Row],[scalarName]], co_scalarInfo[scalarName], 0 ) )</f>
        <v>MH Demographic Proportion Adjustment Factor</v>
      </c>
      <c r="D951" s="24" t="s">
        <v>1310</v>
      </c>
      <c r="E951" s="17" t="s">
        <v>11</v>
      </c>
      <c r="F951" s="25">
        <v>2091</v>
      </c>
      <c r="G951" s="26">
        <v>1.05853553219845</v>
      </c>
    </row>
    <row r="952" spans="1:7" x14ac:dyDescent="0.35">
      <c r="A952" s="9">
        <f xml:space="preserve"> ROW( scalarDataframe[[#This Row],[row_id]] ) - ROW( scalarDataframe[[#Headers],[row_id]] )</f>
        <v>951</v>
      </c>
      <c r="B952" s="16" t="str">
        <f xml:space="preserve"> INDEX( co_scalarInfo[scalarType], MATCH( scalarDataframe[[#This Row],[scalarName]],  co_scalarInfo[scalarName], 0 ) )</f>
        <v>damageAdj</v>
      </c>
      <c r="C952" s="44" t="str">
        <f xml:space="preserve"> INDEX( co_scalarInfo[scalarLabel], MATCH( scalarDataframe[[#This Row],[scalarName]], co_scalarInfo[scalarName], 0 ) )</f>
        <v>MH Demographic Proportion Adjustment Factor</v>
      </c>
      <c r="D952" s="24" t="s">
        <v>1310</v>
      </c>
      <c r="E952" s="17" t="s">
        <v>11</v>
      </c>
      <c r="F952" s="25">
        <v>2300</v>
      </c>
      <c r="G952" s="26">
        <v>1.05853553219845</v>
      </c>
    </row>
    <row r="953" spans="1:7" x14ac:dyDescent="0.35">
      <c r="A953" s="9">
        <f xml:space="preserve"> ROW( scalarDataframe[[#This Row],[row_id]] ) - ROW( scalarDataframe[[#Headers],[row_id]] )</f>
        <v>952</v>
      </c>
      <c r="B953" s="16" t="str">
        <f xml:space="preserve"> INDEX( co_scalarInfo[scalarType], MATCH( scalarDataframe[[#This Row],[scalarName]],  co_scalarInfo[scalarName], 0 ) )</f>
        <v>damageAdj</v>
      </c>
      <c r="C953" s="44" t="str">
        <f xml:space="preserve"> INDEX( co_scalarInfo[scalarLabel], MATCH( scalarDataframe[[#This Row],[scalarName]], co_scalarInfo[scalarName], 0 ) )</f>
        <v>MH Demographic Proportion Adjustment Factor</v>
      </c>
      <c r="D953" s="24" t="s">
        <v>1310</v>
      </c>
      <c r="E953" s="17" t="s">
        <v>12</v>
      </c>
      <c r="F953" s="25">
        <v>2010</v>
      </c>
      <c r="G953" s="26">
        <v>0.99508202265015666</v>
      </c>
    </row>
    <row r="954" spans="1:7" x14ac:dyDescent="0.35">
      <c r="A954" s="9">
        <f xml:space="preserve"> ROW( scalarDataframe[[#This Row],[row_id]] ) - ROW( scalarDataframe[[#Headers],[row_id]] )</f>
        <v>953</v>
      </c>
      <c r="B954" s="16" t="str">
        <f xml:space="preserve"> INDEX( co_scalarInfo[scalarType], MATCH( scalarDataframe[[#This Row],[scalarName]],  co_scalarInfo[scalarName], 0 ) )</f>
        <v>damageAdj</v>
      </c>
      <c r="C954" s="44" t="str">
        <f xml:space="preserve"> INDEX( co_scalarInfo[scalarLabel], MATCH( scalarDataframe[[#This Row],[scalarName]], co_scalarInfo[scalarName], 0 ) )</f>
        <v>MH Demographic Proportion Adjustment Factor</v>
      </c>
      <c r="D954" s="24" t="s">
        <v>1310</v>
      </c>
      <c r="E954" s="17" t="s">
        <v>12</v>
      </c>
      <c r="F954" s="25">
        <v>2011</v>
      </c>
      <c r="G954" s="26">
        <v>0.99608571239503896</v>
      </c>
    </row>
    <row r="955" spans="1:7" x14ac:dyDescent="0.35">
      <c r="A955" s="9">
        <f xml:space="preserve"> ROW( scalarDataframe[[#This Row],[row_id]] ) - ROW( scalarDataframe[[#Headers],[row_id]] )</f>
        <v>954</v>
      </c>
      <c r="B955" s="16" t="str">
        <f xml:space="preserve"> INDEX( co_scalarInfo[scalarType], MATCH( scalarDataframe[[#This Row],[scalarName]],  co_scalarInfo[scalarName], 0 ) )</f>
        <v>damageAdj</v>
      </c>
      <c r="C955" s="44" t="str">
        <f xml:space="preserve"> INDEX( co_scalarInfo[scalarLabel], MATCH( scalarDataframe[[#This Row],[scalarName]], co_scalarInfo[scalarName], 0 ) )</f>
        <v>MH Demographic Proportion Adjustment Factor</v>
      </c>
      <c r="D955" s="24" t="s">
        <v>1310</v>
      </c>
      <c r="E955" s="17" t="s">
        <v>12</v>
      </c>
      <c r="F955" s="25">
        <v>2013</v>
      </c>
      <c r="G955" s="26">
        <v>0.998093091884803</v>
      </c>
    </row>
    <row r="956" spans="1:7" x14ac:dyDescent="0.35">
      <c r="A956" s="9">
        <f xml:space="preserve"> ROW( scalarDataframe[[#This Row],[row_id]] ) - ROW( scalarDataframe[[#Headers],[row_id]] )</f>
        <v>955</v>
      </c>
      <c r="B956" s="16" t="str">
        <f xml:space="preserve"> INDEX( co_scalarInfo[scalarType], MATCH( scalarDataframe[[#This Row],[scalarName]],  co_scalarInfo[scalarName], 0 ) )</f>
        <v>damageAdj</v>
      </c>
      <c r="C956" s="44" t="str">
        <f xml:space="preserve"> INDEX( co_scalarInfo[scalarLabel], MATCH( scalarDataframe[[#This Row],[scalarName]], co_scalarInfo[scalarName], 0 ) )</f>
        <v>MH Demographic Proportion Adjustment Factor</v>
      </c>
      <c r="D956" s="24" t="s">
        <v>1310</v>
      </c>
      <c r="E956" s="17" t="s">
        <v>12</v>
      </c>
      <c r="F956" s="25">
        <v>2017</v>
      </c>
      <c r="G956" s="26">
        <v>1.00158088489619</v>
      </c>
    </row>
    <row r="957" spans="1:7" x14ac:dyDescent="0.35">
      <c r="A957" s="9">
        <f xml:space="preserve"> ROW( scalarDataframe[[#This Row],[row_id]] ) - ROW( scalarDataframe[[#Headers],[row_id]] )</f>
        <v>956</v>
      </c>
      <c r="B957" s="16" t="str">
        <f xml:space="preserve"> INDEX( co_scalarInfo[scalarType], MATCH( scalarDataframe[[#This Row],[scalarName]],  co_scalarInfo[scalarName], 0 ) )</f>
        <v>damageAdj</v>
      </c>
      <c r="C957" s="44" t="str">
        <f xml:space="preserve"> INDEX( co_scalarInfo[scalarLabel], MATCH( scalarDataframe[[#This Row],[scalarName]], co_scalarInfo[scalarName], 0 ) )</f>
        <v>MH Demographic Proportion Adjustment Factor</v>
      </c>
      <c r="D957" s="24" t="s">
        <v>1310</v>
      </c>
      <c r="E957" s="17" t="s">
        <v>12</v>
      </c>
      <c r="F957" s="25">
        <v>2025</v>
      </c>
      <c r="G957" s="26">
        <v>1.01294094326785</v>
      </c>
    </row>
    <row r="958" spans="1:7" x14ac:dyDescent="0.35">
      <c r="A958" s="9">
        <f xml:space="preserve"> ROW( scalarDataframe[[#This Row],[row_id]] ) - ROW( scalarDataframe[[#Headers],[row_id]] )</f>
        <v>957</v>
      </c>
      <c r="B958" s="16" t="str">
        <f xml:space="preserve"> INDEX( co_scalarInfo[scalarType], MATCH( scalarDataframe[[#This Row],[scalarName]],  co_scalarInfo[scalarName], 0 ) )</f>
        <v>damageAdj</v>
      </c>
      <c r="C958" s="44" t="str">
        <f xml:space="preserve"> INDEX( co_scalarInfo[scalarLabel], MATCH( scalarDataframe[[#This Row],[scalarName]], co_scalarInfo[scalarName], 0 ) )</f>
        <v>MH Demographic Proportion Adjustment Factor</v>
      </c>
      <c r="D958" s="24" t="s">
        <v>1310</v>
      </c>
      <c r="E958" s="17" t="s">
        <v>12</v>
      </c>
      <c r="F958" s="25">
        <v>2029</v>
      </c>
      <c r="G958" s="26">
        <v>1.0195259366946201</v>
      </c>
    </row>
    <row r="959" spans="1:7" x14ac:dyDescent="0.35">
      <c r="A959" s="9">
        <f xml:space="preserve"> ROW( scalarDataframe[[#This Row],[row_id]] ) - ROW( scalarDataframe[[#Headers],[row_id]] )</f>
        <v>958</v>
      </c>
      <c r="B959" s="16" t="str">
        <f xml:space="preserve"> INDEX( co_scalarInfo[scalarType], MATCH( scalarDataframe[[#This Row],[scalarName]],  co_scalarInfo[scalarName], 0 ) )</f>
        <v>damageAdj</v>
      </c>
      <c r="C959" s="44" t="str">
        <f xml:space="preserve"> INDEX( co_scalarInfo[scalarLabel], MATCH( scalarDataframe[[#This Row],[scalarName]], co_scalarInfo[scalarName], 0 ) )</f>
        <v>MH Demographic Proportion Adjustment Factor</v>
      </c>
      <c r="D959" s="24" t="s">
        <v>1310</v>
      </c>
      <c r="E959" s="17" t="s">
        <v>12</v>
      </c>
      <c r="F959" s="25">
        <v>2032</v>
      </c>
      <c r="G959" s="26">
        <v>1.0245922778789001</v>
      </c>
    </row>
    <row r="960" spans="1:7" x14ac:dyDescent="0.35">
      <c r="A960" s="9">
        <f xml:space="preserve"> ROW( scalarDataframe[[#This Row],[row_id]] ) - ROW( scalarDataframe[[#Headers],[row_id]] )</f>
        <v>959</v>
      </c>
      <c r="B960" s="16" t="str">
        <f xml:space="preserve"> INDEX( co_scalarInfo[scalarType], MATCH( scalarDataframe[[#This Row],[scalarName]],  co_scalarInfo[scalarName], 0 ) )</f>
        <v>damageAdj</v>
      </c>
      <c r="C960" s="44" t="str">
        <f xml:space="preserve"> INDEX( co_scalarInfo[scalarLabel], MATCH( scalarDataframe[[#This Row],[scalarName]], co_scalarInfo[scalarName], 0 ) )</f>
        <v>MH Demographic Proportion Adjustment Factor</v>
      </c>
      <c r="D960" s="24" t="s">
        <v>1310</v>
      </c>
      <c r="E960" s="17" t="s">
        <v>12</v>
      </c>
      <c r="F960" s="25">
        <v>2033</v>
      </c>
      <c r="G960" s="26">
        <v>1.0263057313645401</v>
      </c>
    </row>
    <row r="961" spans="1:7" x14ac:dyDescent="0.35">
      <c r="A961" s="9">
        <f xml:space="preserve"> ROW( scalarDataframe[[#This Row],[row_id]] ) - ROW( scalarDataframe[[#Headers],[row_id]] )</f>
        <v>960</v>
      </c>
      <c r="B961" s="16" t="str">
        <f xml:space="preserve"> INDEX( co_scalarInfo[scalarType], MATCH( scalarDataframe[[#This Row],[scalarName]],  co_scalarInfo[scalarName], 0 ) )</f>
        <v>damageAdj</v>
      </c>
      <c r="C961" s="44" t="str">
        <f xml:space="preserve"> INDEX( co_scalarInfo[scalarLabel], MATCH( scalarDataframe[[#This Row],[scalarName]], co_scalarInfo[scalarName], 0 ) )</f>
        <v>MH Demographic Proportion Adjustment Factor</v>
      </c>
      <c r="D961" s="24" t="s">
        <v>1310</v>
      </c>
      <c r="E961" s="17" t="s">
        <v>12</v>
      </c>
      <c r="F961" s="25">
        <v>2037</v>
      </c>
      <c r="G961" s="26">
        <v>1.0328384722180299</v>
      </c>
    </row>
    <row r="962" spans="1:7" x14ac:dyDescent="0.35">
      <c r="A962" s="9">
        <f xml:space="preserve"> ROW( scalarDataframe[[#This Row],[row_id]] ) - ROW( scalarDataframe[[#Headers],[row_id]] )</f>
        <v>961</v>
      </c>
      <c r="B962" s="16" t="str">
        <f xml:space="preserve"> INDEX( co_scalarInfo[scalarType], MATCH( scalarDataframe[[#This Row],[scalarName]],  co_scalarInfo[scalarName], 0 ) )</f>
        <v>damageAdj</v>
      </c>
      <c r="C962" s="44" t="str">
        <f xml:space="preserve"> INDEX( co_scalarInfo[scalarLabel], MATCH( scalarDataframe[[#This Row],[scalarName]], co_scalarInfo[scalarName], 0 ) )</f>
        <v>MH Demographic Proportion Adjustment Factor</v>
      </c>
      <c r="D962" s="24" t="s">
        <v>1310</v>
      </c>
      <c r="E962" s="17" t="s">
        <v>12</v>
      </c>
      <c r="F962" s="25">
        <v>2044</v>
      </c>
      <c r="G962" s="26">
        <v>1.0390395996821999</v>
      </c>
    </row>
    <row r="963" spans="1:7" x14ac:dyDescent="0.35">
      <c r="A963" s="9">
        <f xml:space="preserve"> ROW( scalarDataframe[[#This Row],[row_id]] ) - ROW( scalarDataframe[[#Headers],[row_id]] )</f>
        <v>962</v>
      </c>
      <c r="B963" s="16" t="str">
        <f xml:space="preserve"> INDEX( co_scalarInfo[scalarType], MATCH( scalarDataframe[[#This Row],[scalarName]],  co_scalarInfo[scalarName], 0 ) )</f>
        <v>damageAdj</v>
      </c>
      <c r="C963" s="44" t="str">
        <f xml:space="preserve"> INDEX( co_scalarInfo[scalarLabel], MATCH( scalarDataframe[[#This Row],[scalarName]], co_scalarInfo[scalarName], 0 ) )</f>
        <v>MH Demographic Proportion Adjustment Factor</v>
      </c>
      <c r="D963" s="24" t="s">
        <v>1310</v>
      </c>
      <c r="E963" s="17" t="s">
        <v>12</v>
      </c>
      <c r="F963" s="25">
        <v>2048</v>
      </c>
      <c r="G963" s="26">
        <v>1.0409511555854101</v>
      </c>
    </row>
    <row r="964" spans="1:7" x14ac:dyDescent="0.35">
      <c r="A964" s="9">
        <f xml:space="preserve"> ROW( scalarDataframe[[#This Row],[row_id]] ) - ROW( scalarDataframe[[#Headers],[row_id]] )</f>
        <v>963</v>
      </c>
      <c r="B964" s="16" t="str">
        <f xml:space="preserve"> INDEX( co_scalarInfo[scalarType], MATCH( scalarDataframe[[#This Row],[scalarName]],  co_scalarInfo[scalarName], 0 ) )</f>
        <v>damageAdj</v>
      </c>
      <c r="C964" s="44" t="str">
        <f xml:space="preserve"> INDEX( co_scalarInfo[scalarLabel], MATCH( scalarDataframe[[#This Row],[scalarName]], co_scalarInfo[scalarName], 0 ) )</f>
        <v>MH Demographic Proportion Adjustment Factor</v>
      </c>
      <c r="D964" s="24" t="s">
        <v>1310</v>
      </c>
      <c r="E964" s="17" t="s">
        <v>12</v>
      </c>
      <c r="F964" s="25">
        <v>2049</v>
      </c>
      <c r="G964" s="26">
        <v>1.04129346456116</v>
      </c>
    </row>
    <row r="965" spans="1:7" x14ac:dyDescent="0.35">
      <c r="A965" s="9">
        <f xml:space="preserve"> ROW( scalarDataframe[[#This Row],[row_id]] ) - ROW( scalarDataframe[[#Headers],[row_id]] )</f>
        <v>964</v>
      </c>
      <c r="B965" s="16" t="str">
        <f xml:space="preserve"> INDEX( co_scalarInfo[scalarType], MATCH( scalarDataframe[[#This Row],[scalarName]],  co_scalarInfo[scalarName], 0 ) )</f>
        <v>damageAdj</v>
      </c>
      <c r="C965" s="44" t="str">
        <f xml:space="preserve"> INDEX( co_scalarInfo[scalarLabel], MATCH( scalarDataframe[[#This Row],[scalarName]], co_scalarInfo[scalarName], 0 ) )</f>
        <v>MH Demographic Proportion Adjustment Factor</v>
      </c>
      <c r="D965" s="24" t="s">
        <v>1310</v>
      </c>
      <c r="E965" s="17" t="s">
        <v>12</v>
      </c>
      <c r="F965" s="25">
        <v>2050</v>
      </c>
      <c r="G965" s="26">
        <v>1.0416147718245701</v>
      </c>
    </row>
    <row r="966" spans="1:7" x14ac:dyDescent="0.35">
      <c r="A966" s="9">
        <f xml:space="preserve"> ROW( scalarDataframe[[#This Row],[row_id]] ) - ROW( scalarDataframe[[#Headers],[row_id]] )</f>
        <v>965</v>
      </c>
      <c r="B966" s="16" t="str">
        <f xml:space="preserve"> INDEX( co_scalarInfo[scalarType], MATCH( scalarDataframe[[#This Row],[scalarName]],  co_scalarInfo[scalarName], 0 ) )</f>
        <v>damageAdj</v>
      </c>
      <c r="C966" s="44" t="str">
        <f xml:space="preserve"> INDEX( co_scalarInfo[scalarLabel], MATCH( scalarDataframe[[#This Row],[scalarName]], co_scalarInfo[scalarName], 0 ) )</f>
        <v>MH Demographic Proportion Adjustment Factor</v>
      </c>
      <c r="D966" s="24" t="s">
        <v>1310</v>
      </c>
      <c r="E966" s="17" t="s">
        <v>12</v>
      </c>
      <c r="F966" s="25">
        <v>2052</v>
      </c>
      <c r="G966" s="26">
        <v>1.0423598245597201</v>
      </c>
    </row>
    <row r="967" spans="1:7" x14ac:dyDescent="0.35">
      <c r="A967" s="9">
        <f xml:space="preserve"> ROW( scalarDataframe[[#This Row],[row_id]] ) - ROW( scalarDataframe[[#Headers],[row_id]] )</f>
        <v>966</v>
      </c>
      <c r="B967" s="16" t="str">
        <f xml:space="preserve"> INDEX( co_scalarInfo[scalarType], MATCH( scalarDataframe[[#This Row],[scalarName]],  co_scalarInfo[scalarName], 0 ) )</f>
        <v>damageAdj</v>
      </c>
      <c r="C967" s="44" t="str">
        <f xml:space="preserve"> INDEX( co_scalarInfo[scalarLabel], MATCH( scalarDataframe[[#This Row],[scalarName]], co_scalarInfo[scalarName], 0 ) )</f>
        <v>MH Demographic Proportion Adjustment Factor</v>
      </c>
      <c r="D967" s="24" t="s">
        <v>1310</v>
      </c>
      <c r="E967" s="17" t="s">
        <v>12</v>
      </c>
      <c r="F967" s="25">
        <v>2055</v>
      </c>
      <c r="G967" s="26">
        <v>1.0432027213146799</v>
      </c>
    </row>
    <row r="968" spans="1:7" x14ac:dyDescent="0.35">
      <c r="A968" s="9">
        <f xml:space="preserve"> ROW( scalarDataframe[[#This Row],[row_id]] ) - ROW( scalarDataframe[[#Headers],[row_id]] )</f>
        <v>967</v>
      </c>
      <c r="B968" s="16" t="str">
        <f xml:space="preserve"> INDEX( co_scalarInfo[scalarType], MATCH( scalarDataframe[[#This Row],[scalarName]],  co_scalarInfo[scalarName], 0 ) )</f>
        <v>damageAdj</v>
      </c>
      <c r="C968" s="44" t="str">
        <f xml:space="preserve"> INDEX( co_scalarInfo[scalarLabel], MATCH( scalarDataframe[[#This Row],[scalarName]], co_scalarInfo[scalarName], 0 ) )</f>
        <v>MH Demographic Proportion Adjustment Factor</v>
      </c>
      <c r="D968" s="24" t="s">
        <v>1310</v>
      </c>
      <c r="E968" s="17" t="s">
        <v>12</v>
      </c>
      <c r="F968" s="25">
        <v>2059</v>
      </c>
      <c r="G968" s="26">
        <v>1.0444052965658699</v>
      </c>
    </row>
    <row r="969" spans="1:7" x14ac:dyDescent="0.35">
      <c r="A969" s="9">
        <f xml:space="preserve"> ROW( scalarDataframe[[#This Row],[row_id]] ) - ROW( scalarDataframe[[#Headers],[row_id]] )</f>
        <v>968</v>
      </c>
      <c r="B969" s="16" t="str">
        <f xml:space="preserve"> INDEX( co_scalarInfo[scalarType], MATCH( scalarDataframe[[#This Row],[scalarName]],  co_scalarInfo[scalarName], 0 ) )</f>
        <v>damageAdj</v>
      </c>
      <c r="C969" s="44" t="str">
        <f xml:space="preserve"> INDEX( co_scalarInfo[scalarLabel], MATCH( scalarDataframe[[#This Row],[scalarName]], co_scalarInfo[scalarName], 0 ) )</f>
        <v>MH Demographic Proportion Adjustment Factor</v>
      </c>
      <c r="D969" s="24" t="s">
        <v>1310</v>
      </c>
      <c r="E969" s="17" t="s">
        <v>12</v>
      </c>
      <c r="F969" s="25">
        <v>2061</v>
      </c>
      <c r="G969" s="26">
        <v>1.04492359158966</v>
      </c>
    </row>
    <row r="970" spans="1:7" x14ac:dyDescent="0.35">
      <c r="A970" s="9">
        <f xml:space="preserve"> ROW( scalarDataframe[[#This Row],[row_id]] ) - ROW( scalarDataframe[[#Headers],[row_id]] )</f>
        <v>969</v>
      </c>
      <c r="B970" s="16" t="str">
        <f xml:space="preserve"> INDEX( co_scalarInfo[scalarType], MATCH( scalarDataframe[[#This Row],[scalarName]],  co_scalarInfo[scalarName], 0 ) )</f>
        <v>damageAdj</v>
      </c>
      <c r="C970" s="44" t="str">
        <f xml:space="preserve"> INDEX( co_scalarInfo[scalarLabel], MATCH( scalarDataframe[[#This Row],[scalarName]], co_scalarInfo[scalarName], 0 ) )</f>
        <v>MH Demographic Proportion Adjustment Factor</v>
      </c>
      <c r="D970" s="24" t="s">
        <v>1310</v>
      </c>
      <c r="E970" s="17" t="s">
        <v>12</v>
      </c>
      <c r="F970" s="25">
        <v>2062</v>
      </c>
      <c r="G970" s="26">
        <v>1.0452638143802899</v>
      </c>
    </row>
    <row r="971" spans="1:7" x14ac:dyDescent="0.35">
      <c r="A971" s="9">
        <f xml:space="preserve"> ROW( scalarDataframe[[#This Row],[row_id]] ) - ROW( scalarDataframe[[#Headers],[row_id]] )</f>
        <v>970</v>
      </c>
      <c r="B971" s="16" t="str">
        <f xml:space="preserve"> INDEX( co_scalarInfo[scalarType], MATCH( scalarDataframe[[#This Row],[scalarName]],  co_scalarInfo[scalarName], 0 ) )</f>
        <v>damageAdj</v>
      </c>
      <c r="C971" s="44" t="str">
        <f xml:space="preserve"> INDEX( co_scalarInfo[scalarLabel], MATCH( scalarDataframe[[#This Row],[scalarName]], co_scalarInfo[scalarName], 0 ) )</f>
        <v>MH Demographic Proportion Adjustment Factor</v>
      </c>
      <c r="D971" s="24" t="s">
        <v>1310</v>
      </c>
      <c r="E971" s="17" t="s">
        <v>12</v>
      </c>
      <c r="F971" s="25">
        <v>2064</v>
      </c>
      <c r="G971" s="26">
        <v>1.04542771494161</v>
      </c>
    </row>
    <row r="972" spans="1:7" x14ac:dyDescent="0.35">
      <c r="A972" s="9">
        <f xml:space="preserve"> ROW( scalarDataframe[[#This Row],[row_id]] ) - ROW( scalarDataframe[[#Headers],[row_id]] )</f>
        <v>971</v>
      </c>
      <c r="B972" s="16" t="str">
        <f xml:space="preserve"> INDEX( co_scalarInfo[scalarType], MATCH( scalarDataframe[[#This Row],[scalarName]],  co_scalarInfo[scalarName], 0 ) )</f>
        <v>damageAdj</v>
      </c>
      <c r="C972" s="44" t="str">
        <f xml:space="preserve"> INDEX( co_scalarInfo[scalarLabel], MATCH( scalarDataframe[[#This Row],[scalarName]], co_scalarInfo[scalarName], 0 ) )</f>
        <v>MH Demographic Proportion Adjustment Factor</v>
      </c>
      <c r="D972" s="24" t="s">
        <v>1310</v>
      </c>
      <c r="E972" s="17" t="s">
        <v>12</v>
      </c>
      <c r="F972" s="25">
        <v>2067</v>
      </c>
      <c r="G972" s="26">
        <v>1.04588444021676</v>
      </c>
    </row>
    <row r="973" spans="1:7" x14ac:dyDescent="0.35">
      <c r="A973" s="9">
        <f xml:space="preserve"> ROW( scalarDataframe[[#This Row],[row_id]] ) - ROW( scalarDataframe[[#Headers],[row_id]] )</f>
        <v>972</v>
      </c>
      <c r="B973" s="16" t="str">
        <f xml:space="preserve"> INDEX( co_scalarInfo[scalarType], MATCH( scalarDataframe[[#This Row],[scalarName]],  co_scalarInfo[scalarName], 0 ) )</f>
        <v>damageAdj</v>
      </c>
      <c r="C973" s="44" t="str">
        <f xml:space="preserve"> INDEX( co_scalarInfo[scalarLabel], MATCH( scalarDataframe[[#This Row],[scalarName]], co_scalarInfo[scalarName], 0 ) )</f>
        <v>MH Demographic Proportion Adjustment Factor</v>
      </c>
      <c r="D973" s="24" t="s">
        <v>1310</v>
      </c>
      <c r="E973" s="17" t="s">
        <v>12</v>
      </c>
      <c r="F973" s="25">
        <v>2071</v>
      </c>
      <c r="G973" s="26">
        <v>1.0463075900388601</v>
      </c>
    </row>
    <row r="974" spans="1:7" x14ac:dyDescent="0.35">
      <c r="A974" s="9">
        <f xml:space="preserve"> ROW( scalarDataframe[[#This Row],[row_id]] ) - ROW( scalarDataframe[[#Headers],[row_id]] )</f>
        <v>973</v>
      </c>
      <c r="B974" s="16" t="str">
        <f xml:space="preserve"> INDEX( co_scalarInfo[scalarType], MATCH( scalarDataframe[[#This Row],[scalarName]],  co_scalarInfo[scalarName], 0 ) )</f>
        <v>damageAdj</v>
      </c>
      <c r="C974" s="44" t="str">
        <f xml:space="preserve"> INDEX( co_scalarInfo[scalarLabel], MATCH( scalarDataframe[[#This Row],[scalarName]], co_scalarInfo[scalarName], 0 ) )</f>
        <v>MH Demographic Proportion Adjustment Factor</v>
      </c>
      <c r="D974" s="24" t="s">
        <v>1310</v>
      </c>
      <c r="E974" s="17" t="s">
        <v>12</v>
      </c>
      <c r="F974" s="25">
        <v>2076</v>
      </c>
      <c r="G974" s="26">
        <v>1.04554446430666</v>
      </c>
    </row>
    <row r="975" spans="1:7" x14ac:dyDescent="0.35">
      <c r="A975" s="9">
        <f xml:space="preserve"> ROW( scalarDataframe[[#This Row],[row_id]] ) - ROW( scalarDataframe[[#Headers],[row_id]] )</f>
        <v>974</v>
      </c>
      <c r="B975" s="16" t="str">
        <f xml:space="preserve"> INDEX( co_scalarInfo[scalarType], MATCH( scalarDataframe[[#This Row],[scalarName]],  co_scalarInfo[scalarName], 0 ) )</f>
        <v>damageAdj</v>
      </c>
      <c r="C975" s="44" t="str">
        <f xml:space="preserve"> INDEX( co_scalarInfo[scalarLabel], MATCH( scalarDataframe[[#This Row],[scalarName]], co_scalarInfo[scalarName], 0 ) )</f>
        <v>MH Demographic Proportion Adjustment Factor</v>
      </c>
      <c r="D975" s="24" t="s">
        <v>1310</v>
      </c>
      <c r="E975" s="17" t="s">
        <v>12</v>
      </c>
      <c r="F975" s="25">
        <v>2077</v>
      </c>
      <c r="G975" s="26">
        <v>1.0452837059790201</v>
      </c>
    </row>
    <row r="976" spans="1:7" x14ac:dyDescent="0.35">
      <c r="A976" s="9">
        <f xml:space="preserve"> ROW( scalarDataframe[[#This Row],[row_id]] ) - ROW( scalarDataframe[[#Headers],[row_id]] )</f>
        <v>975</v>
      </c>
      <c r="B976" s="16" t="str">
        <f xml:space="preserve"> INDEX( co_scalarInfo[scalarType], MATCH( scalarDataframe[[#This Row],[scalarName]],  co_scalarInfo[scalarName], 0 ) )</f>
        <v>damageAdj</v>
      </c>
      <c r="C976" s="44" t="str">
        <f xml:space="preserve"> INDEX( co_scalarInfo[scalarLabel], MATCH( scalarDataframe[[#This Row],[scalarName]], co_scalarInfo[scalarName], 0 ) )</f>
        <v>MH Demographic Proportion Adjustment Factor</v>
      </c>
      <c r="D976" s="24" t="s">
        <v>1310</v>
      </c>
      <c r="E976" s="17" t="s">
        <v>12</v>
      </c>
      <c r="F976" s="25">
        <v>2081</v>
      </c>
      <c r="G976" s="26">
        <v>1.0454039226754299</v>
      </c>
    </row>
    <row r="977" spans="1:7" x14ac:dyDescent="0.35">
      <c r="A977" s="9">
        <f xml:space="preserve"> ROW( scalarDataframe[[#This Row],[row_id]] ) - ROW( scalarDataframe[[#Headers],[row_id]] )</f>
        <v>976</v>
      </c>
      <c r="B977" s="16" t="str">
        <f xml:space="preserve"> INDEX( co_scalarInfo[scalarType], MATCH( scalarDataframe[[#This Row],[scalarName]],  co_scalarInfo[scalarName], 0 ) )</f>
        <v>damageAdj</v>
      </c>
      <c r="C977" s="44" t="str">
        <f xml:space="preserve"> INDEX( co_scalarInfo[scalarLabel], MATCH( scalarDataframe[[#This Row],[scalarName]], co_scalarInfo[scalarName], 0 ) )</f>
        <v>MH Demographic Proportion Adjustment Factor</v>
      </c>
      <c r="D977" s="24" t="s">
        <v>1310</v>
      </c>
      <c r="E977" s="17" t="s">
        <v>12</v>
      </c>
      <c r="F977" s="25">
        <v>2082</v>
      </c>
      <c r="G977" s="26">
        <v>1.04628887550521</v>
      </c>
    </row>
    <row r="978" spans="1:7" x14ac:dyDescent="0.35">
      <c r="A978" s="9">
        <f xml:space="preserve"> ROW( scalarDataframe[[#This Row],[row_id]] ) - ROW( scalarDataframe[[#Headers],[row_id]] )</f>
        <v>977</v>
      </c>
      <c r="B978" s="16" t="str">
        <f xml:space="preserve"> INDEX( co_scalarInfo[scalarType], MATCH( scalarDataframe[[#This Row],[scalarName]],  co_scalarInfo[scalarName], 0 ) )</f>
        <v>damageAdj</v>
      </c>
      <c r="C978" s="44" t="str">
        <f xml:space="preserve"> INDEX( co_scalarInfo[scalarLabel], MATCH( scalarDataframe[[#This Row],[scalarName]], co_scalarInfo[scalarName], 0 ) )</f>
        <v>MH Demographic Proportion Adjustment Factor</v>
      </c>
      <c r="D978" s="24" t="s">
        <v>1310</v>
      </c>
      <c r="E978" s="17" t="s">
        <v>12</v>
      </c>
      <c r="F978" s="25">
        <v>2087</v>
      </c>
      <c r="G978" s="26">
        <v>1.05006497308035</v>
      </c>
    </row>
    <row r="979" spans="1:7" x14ac:dyDescent="0.35">
      <c r="A979" s="9">
        <f xml:space="preserve"> ROW( scalarDataframe[[#This Row],[row_id]] ) - ROW( scalarDataframe[[#Headers],[row_id]] )</f>
        <v>978</v>
      </c>
      <c r="B979" s="16" t="str">
        <f xml:space="preserve"> INDEX( co_scalarInfo[scalarType], MATCH( scalarDataframe[[#This Row],[scalarName]],  co_scalarInfo[scalarName], 0 ) )</f>
        <v>damageAdj</v>
      </c>
      <c r="C979" s="44" t="str">
        <f xml:space="preserve"> INDEX( co_scalarInfo[scalarLabel], MATCH( scalarDataframe[[#This Row],[scalarName]], co_scalarInfo[scalarName], 0 ) )</f>
        <v>MH Demographic Proportion Adjustment Factor</v>
      </c>
      <c r="D979" s="24" t="s">
        <v>1310</v>
      </c>
      <c r="E979" s="17" t="s">
        <v>12</v>
      </c>
      <c r="F979" s="25">
        <v>2091</v>
      </c>
      <c r="G979" s="26">
        <v>1.0539505563562901</v>
      </c>
    </row>
    <row r="980" spans="1:7" x14ac:dyDescent="0.35">
      <c r="A980" s="9">
        <f xml:space="preserve"> ROW( scalarDataframe[[#This Row],[row_id]] ) - ROW( scalarDataframe[[#Headers],[row_id]] )</f>
        <v>979</v>
      </c>
      <c r="B980" s="16" t="str">
        <f xml:space="preserve"> INDEX( co_scalarInfo[scalarType], MATCH( scalarDataframe[[#This Row],[scalarName]],  co_scalarInfo[scalarName], 0 ) )</f>
        <v>damageAdj</v>
      </c>
      <c r="C980" s="44" t="str">
        <f xml:space="preserve"> INDEX( co_scalarInfo[scalarLabel], MATCH( scalarDataframe[[#This Row],[scalarName]], co_scalarInfo[scalarName], 0 ) )</f>
        <v>MH Demographic Proportion Adjustment Factor</v>
      </c>
      <c r="D980" s="24" t="s">
        <v>1310</v>
      </c>
      <c r="E980" s="17" t="s">
        <v>12</v>
      </c>
      <c r="F980" s="25">
        <v>2300</v>
      </c>
      <c r="G980" s="26">
        <v>1.0539505563562901</v>
      </c>
    </row>
    <row r="981" spans="1:7" x14ac:dyDescent="0.35">
      <c r="A981" s="9">
        <f xml:space="preserve"> ROW( scalarDataframe[[#This Row],[row_id]] ) - ROW( scalarDataframe[[#Headers],[row_id]] )</f>
        <v>980</v>
      </c>
      <c r="B981" s="16" t="str">
        <f xml:space="preserve"> INDEX( co_scalarInfo[scalarType], MATCH( scalarDataframe[[#This Row],[scalarName]],  co_scalarInfo[scalarName], 0 ) )</f>
        <v>physAdj</v>
      </c>
      <c r="C981" s="44" t="str">
        <f xml:space="preserve"> INDEX( co_scalarInfo[scalarLabel], MATCH( scalarDataframe[[#This Row],[scalarName]], co_scalarInfo[scalarName], 0 ) )</f>
        <v>MH 5+ Population Proportion Adjustment Factor</v>
      </c>
      <c r="D981" s="24" t="s">
        <v>1312</v>
      </c>
      <c r="E981" s="17" t="s">
        <v>6</v>
      </c>
      <c r="F981" s="25">
        <v>2010</v>
      </c>
      <c r="G981" s="26">
        <v>0.93418127299999998</v>
      </c>
    </row>
    <row r="982" spans="1:7" x14ac:dyDescent="0.35">
      <c r="A982" s="9">
        <f xml:space="preserve"> ROW( scalarDataframe[[#This Row],[row_id]] ) - ROW( scalarDataframe[[#Headers],[row_id]] )</f>
        <v>981</v>
      </c>
      <c r="B982" s="16" t="str">
        <f xml:space="preserve"> INDEX( co_scalarInfo[scalarType], MATCH( scalarDataframe[[#This Row],[scalarName]],  co_scalarInfo[scalarName], 0 ) )</f>
        <v>physAdj</v>
      </c>
      <c r="C982" s="44" t="str">
        <f xml:space="preserve"> INDEX( co_scalarInfo[scalarLabel], MATCH( scalarDataframe[[#This Row],[scalarName]], co_scalarInfo[scalarName], 0 ) )</f>
        <v>MH 5+ Population Proportion Adjustment Factor</v>
      </c>
      <c r="D982" s="24" t="s">
        <v>1312</v>
      </c>
      <c r="E982" s="17" t="s">
        <v>6</v>
      </c>
      <c r="F982" s="25">
        <v>2011</v>
      </c>
      <c r="G982" s="26">
        <v>0.93419951899999998</v>
      </c>
    </row>
    <row r="983" spans="1:7" x14ac:dyDescent="0.35">
      <c r="A983" s="9">
        <f xml:space="preserve"> ROW( scalarDataframe[[#This Row],[row_id]] ) - ROW( scalarDataframe[[#Headers],[row_id]] )</f>
        <v>982</v>
      </c>
      <c r="B983" s="16" t="str">
        <f xml:space="preserve"> INDEX( co_scalarInfo[scalarType], MATCH( scalarDataframe[[#This Row],[scalarName]],  co_scalarInfo[scalarName], 0 ) )</f>
        <v>physAdj</v>
      </c>
      <c r="C983" s="44" t="str">
        <f xml:space="preserve"> INDEX( co_scalarInfo[scalarLabel], MATCH( scalarDataframe[[#This Row],[scalarName]], co_scalarInfo[scalarName], 0 ) )</f>
        <v>MH 5+ Population Proportion Adjustment Factor</v>
      </c>
      <c r="D983" s="24" t="s">
        <v>1312</v>
      </c>
      <c r="E983" s="17" t="s">
        <v>6</v>
      </c>
      <c r="F983" s="25">
        <v>2013</v>
      </c>
      <c r="G983" s="26">
        <v>0.93423601099999998</v>
      </c>
    </row>
    <row r="984" spans="1:7" x14ac:dyDescent="0.35">
      <c r="A984" s="9">
        <f xml:space="preserve"> ROW( scalarDataframe[[#This Row],[row_id]] ) - ROW( scalarDataframe[[#Headers],[row_id]] )</f>
        <v>983</v>
      </c>
      <c r="B984" s="16" t="str">
        <f xml:space="preserve"> INDEX( co_scalarInfo[scalarType], MATCH( scalarDataframe[[#This Row],[scalarName]],  co_scalarInfo[scalarName], 0 ) )</f>
        <v>physAdj</v>
      </c>
      <c r="C984" s="44" t="str">
        <f xml:space="preserve"> INDEX( co_scalarInfo[scalarLabel], MATCH( scalarDataframe[[#This Row],[scalarName]], co_scalarInfo[scalarName], 0 ) )</f>
        <v>MH 5+ Population Proportion Adjustment Factor</v>
      </c>
      <c r="D984" s="24" t="s">
        <v>1312</v>
      </c>
      <c r="E984" s="17" t="s">
        <v>6</v>
      </c>
      <c r="F984" s="25">
        <v>2017</v>
      </c>
      <c r="G984" s="26">
        <v>0.93429851600000002</v>
      </c>
    </row>
    <row r="985" spans="1:7" x14ac:dyDescent="0.35">
      <c r="A985" s="9">
        <f xml:space="preserve"> ROW( scalarDataframe[[#This Row],[row_id]] ) - ROW( scalarDataframe[[#Headers],[row_id]] )</f>
        <v>984</v>
      </c>
      <c r="B985" s="16" t="str">
        <f xml:space="preserve"> INDEX( co_scalarInfo[scalarType], MATCH( scalarDataframe[[#This Row],[scalarName]],  co_scalarInfo[scalarName], 0 ) )</f>
        <v>physAdj</v>
      </c>
      <c r="C985" s="44" t="str">
        <f xml:space="preserve"> INDEX( co_scalarInfo[scalarLabel], MATCH( scalarDataframe[[#This Row],[scalarName]], co_scalarInfo[scalarName], 0 ) )</f>
        <v>MH 5+ Population Proportion Adjustment Factor</v>
      </c>
      <c r="D985" s="24" t="s">
        <v>1312</v>
      </c>
      <c r="E985" s="17" t="s">
        <v>6</v>
      </c>
      <c r="F985" s="25">
        <v>2025</v>
      </c>
      <c r="G985" s="26">
        <v>0.93555535999999995</v>
      </c>
    </row>
    <row r="986" spans="1:7" x14ac:dyDescent="0.35">
      <c r="A986" s="9">
        <f xml:space="preserve"> ROW( scalarDataframe[[#This Row],[row_id]] ) - ROW( scalarDataframe[[#Headers],[row_id]] )</f>
        <v>985</v>
      </c>
      <c r="B986" s="16" t="str">
        <f xml:space="preserve"> INDEX( co_scalarInfo[scalarType], MATCH( scalarDataframe[[#This Row],[scalarName]],  co_scalarInfo[scalarName], 0 ) )</f>
        <v>physAdj</v>
      </c>
      <c r="C986" s="44" t="str">
        <f xml:space="preserve"> INDEX( co_scalarInfo[scalarLabel], MATCH( scalarDataframe[[#This Row],[scalarName]], co_scalarInfo[scalarName], 0 ) )</f>
        <v>MH 5+ Population Proportion Adjustment Factor</v>
      </c>
      <c r="D986" s="24" t="s">
        <v>1312</v>
      </c>
      <c r="E986" s="17" t="s">
        <v>6</v>
      </c>
      <c r="F986" s="25">
        <v>2029</v>
      </c>
      <c r="G986" s="26">
        <v>0.93653127599999997</v>
      </c>
    </row>
    <row r="987" spans="1:7" x14ac:dyDescent="0.35">
      <c r="A987" s="9">
        <f xml:space="preserve"> ROW( scalarDataframe[[#This Row],[row_id]] ) - ROW( scalarDataframe[[#Headers],[row_id]] )</f>
        <v>986</v>
      </c>
      <c r="B987" s="16" t="str">
        <f xml:space="preserve"> INDEX( co_scalarInfo[scalarType], MATCH( scalarDataframe[[#This Row],[scalarName]],  co_scalarInfo[scalarName], 0 ) )</f>
        <v>physAdj</v>
      </c>
      <c r="C987" s="44" t="str">
        <f xml:space="preserve"> INDEX( co_scalarInfo[scalarLabel], MATCH( scalarDataframe[[#This Row],[scalarName]], co_scalarInfo[scalarName], 0 ) )</f>
        <v>MH 5+ Population Proportion Adjustment Factor</v>
      </c>
      <c r="D987" s="24" t="s">
        <v>1312</v>
      </c>
      <c r="E987" s="17" t="s">
        <v>6</v>
      </c>
      <c r="F987" s="25">
        <v>2032</v>
      </c>
      <c r="G987" s="26">
        <v>0.93667117899999996</v>
      </c>
    </row>
    <row r="988" spans="1:7" x14ac:dyDescent="0.35">
      <c r="A988" s="9">
        <f xml:space="preserve"> ROW( scalarDataframe[[#This Row],[row_id]] ) - ROW( scalarDataframe[[#Headers],[row_id]] )</f>
        <v>987</v>
      </c>
      <c r="B988" s="16" t="str">
        <f xml:space="preserve"> INDEX( co_scalarInfo[scalarType], MATCH( scalarDataframe[[#This Row],[scalarName]],  co_scalarInfo[scalarName], 0 ) )</f>
        <v>physAdj</v>
      </c>
      <c r="C988" s="44" t="str">
        <f xml:space="preserve"> INDEX( co_scalarInfo[scalarLabel], MATCH( scalarDataframe[[#This Row],[scalarName]], co_scalarInfo[scalarName], 0 ) )</f>
        <v>MH 5+ Population Proportion Adjustment Factor</v>
      </c>
      <c r="D988" s="24" t="s">
        <v>1312</v>
      </c>
      <c r="E988" s="17" t="s">
        <v>6</v>
      </c>
      <c r="F988" s="25">
        <v>2033</v>
      </c>
      <c r="G988" s="26">
        <v>0.93662178600000001</v>
      </c>
    </row>
    <row r="989" spans="1:7" x14ac:dyDescent="0.35">
      <c r="A989" s="9">
        <f xml:space="preserve"> ROW( scalarDataframe[[#This Row],[row_id]] ) - ROW( scalarDataframe[[#Headers],[row_id]] )</f>
        <v>988</v>
      </c>
      <c r="B989" s="16" t="str">
        <f xml:space="preserve"> INDEX( co_scalarInfo[scalarType], MATCH( scalarDataframe[[#This Row],[scalarName]],  co_scalarInfo[scalarName], 0 ) )</f>
        <v>physAdj</v>
      </c>
      <c r="C989" s="44" t="str">
        <f xml:space="preserve"> INDEX( co_scalarInfo[scalarLabel], MATCH( scalarDataframe[[#This Row],[scalarName]], co_scalarInfo[scalarName], 0 ) )</f>
        <v>MH 5+ Population Proportion Adjustment Factor</v>
      </c>
      <c r="D989" s="24" t="s">
        <v>1312</v>
      </c>
      <c r="E989" s="17" t="s">
        <v>6</v>
      </c>
      <c r="F989" s="25">
        <v>2037</v>
      </c>
      <c r="G989" s="26">
        <v>0.93641610600000003</v>
      </c>
    </row>
    <row r="990" spans="1:7" x14ac:dyDescent="0.35">
      <c r="A990" s="9">
        <f xml:space="preserve"> ROW( scalarDataframe[[#This Row],[row_id]] ) - ROW( scalarDataframe[[#Headers],[row_id]] )</f>
        <v>989</v>
      </c>
      <c r="B990" s="16" t="str">
        <f xml:space="preserve"> INDEX( co_scalarInfo[scalarType], MATCH( scalarDataframe[[#This Row],[scalarName]],  co_scalarInfo[scalarName], 0 ) )</f>
        <v>physAdj</v>
      </c>
      <c r="C990" s="44" t="str">
        <f xml:space="preserve"> INDEX( co_scalarInfo[scalarLabel], MATCH( scalarDataframe[[#This Row],[scalarName]], co_scalarInfo[scalarName], 0 ) )</f>
        <v>MH 5+ Population Proportion Adjustment Factor</v>
      </c>
      <c r="D990" s="24" t="s">
        <v>1312</v>
      </c>
      <c r="E990" s="17" t="s">
        <v>6</v>
      </c>
      <c r="F990" s="25">
        <v>2044</v>
      </c>
      <c r="G990" s="26">
        <v>0.93602754099999996</v>
      </c>
    </row>
    <row r="991" spans="1:7" x14ac:dyDescent="0.35">
      <c r="A991" s="9">
        <f xml:space="preserve"> ROW( scalarDataframe[[#This Row],[row_id]] ) - ROW( scalarDataframe[[#Headers],[row_id]] )</f>
        <v>990</v>
      </c>
      <c r="B991" s="16" t="str">
        <f xml:space="preserve"> INDEX( co_scalarInfo[scalarType], MATCH( scalarDataframe[[#This Row],[scalarName]],  co_scalarInfo[scalarName], 0 ) )</f>
        <v>physAdj</v>
      </c>
      <c r="C991" s="44" t="str">
        <f xml:space="preserve"> INDEX( co_scalarInfo[scalarLabel], MATCH( scalarDataframe[[#This Row],[scalarName]], co_scalarInfo[scalarName], 0 ) )</f>
        <v>MH 5+ Population Proportion Adjustment Factor</v>
      </c>
      <c r="D991" s="24" t="s">
        <v>1312</v>
      </c>
      <c r="E991" s="17" t="s">
        <v>6</v>
      </c>
      <c r="F991" s="25">
        <v>2048</v>
      </c>
      <c r="G991" s="26">
        <v>0.93578946500000004</v>
      </c>
    </row>
    <row r="992" spans="1:7" x14ac:dyDescent="0.35">
      <c r="A992" s="9">
        <f xml:space="preserve"> ROW( scalarDataframe[[#This Row],[row_id]] ) - ROW( scalarDataframe[[#Headers],[row_id]] )</f>
        <v>991</v>
      </c>
      <c r="B992" s="16" t="str">
        <f xml:space="preserve"> INDEX( co_scalarInfo[scalarType], MATCH( scalarDataframe[[#This Row],[scalarName]],  co_scalarInfo[scalarName], 0 ) )</f>
        <v>physAdj</v>
      </c>
      <c r="C992" s="44" t="str">
        <f xml:space="preserve"> INDEX( co_scalarInfo[scalarLabel], MATCH( scalarDataframe[[#This Row],[scalarName]], co_scalarInfo[scalarName], 0 ) )</f>
        <v>MH 5+ Population Proportion Adjustment Factor</v>
      </c>
      <c r="D992" s="24" t="s">
        <v>1312</v>
      </c>
      <c r="E992" s="17" t="s">
        <v>6</v>
      </c>
      <c r="F992" s="25">
        <v>2049</v>
      </c>
      <c r="G992" s="26">
        <v>0.93572917300000003</v>
      </c>
    </row>
    <row r="993" spans="1:7" x14ac:dyDescent="0.35">
      <c r="A993" s="9">
        <f xml:space="preserve"> ROW( scalarDataframe[[#This Row],[row_id]] ) - ROW( scalarDataframe[[#Headers],[row_id]] )</f>
        <v>992</v>
      </c>
      <c r="B993" s="16" t="str">
        <f xml:space="preserve"> INDEX( co_scalarInfo[scalarType], MATCH( scalarDataframe[[#This Row],[scalarName]],  co_scalarInfo[scalarName], 0 ) )</f>
        <v>physAdj</v>
      </c>
      <c r="C993" s="44" t="str">
        <f xml:space="preserve"> INDEX( co_scalarInfo[scalarLabel], MATCH( scalarDataframe[[#This Row],[scalarName]], co_scalarInfo[scalarName], 0 ) )</f>
        <v>MH 5+ Population Proportion Adjustment Factor</v>
      </c>
      <c r="D993" s="24" t="s">
        <v>1312</v>
      </c>
      <c r="E993" s="17" t="s">
        <v>6</v>
      </c>
      <c r="F993" s="25">
        <v>2050</v>
      </c>
      <c r="G993" s="26">
        <v>0.93566943499999999</v>
      </c>
    </row>
    <row r="994" spans="1:7" x14ac:dyDescent="0.35">
      <c r="A994" s="9">
        <f xml:space="preserve"> ROW( scalarDataframe[[#This Row],[row_id]] ) - ROW( scalarDataframe[[#Headers],[row_id]] )</f>
        <v>993</v>
      </c>
      <c r="B994" s="16" t="str">
        <f xml:space="preserve"> INDEX( co_scalarInfo[scalarType], MATCH( scalarDataframe[[#This Row],[scalarName]],  co_scalarInfo[scalarName], 0 ) )</f>
        <v>physAdj</v>
      </c>
      <c r="C994" s="44" t="str">
        <f xml:space="preserve"> INDEX( co_scalarInfo[scalarLabel], MATCH( scalarDataframe[[#This Row],[scalarName]], co_scalarInfo[scalarName], 0 ) )</f>
        <v>MH 5+ Population Proportion Adjustment Factor</v>
      </c>
      <c r="D994" s="24" t="s">
        <v>1312</v>
      </c>
      <c r="E994" s="17" t="s">
        <v>6</v>
      </c>
      <c r="F994" s="25">
        <v>2052</v>
      </c>
      <c r="G994" s="26">
        <v>0.93576332399999995</v>
      </c>
    </row>
    <row r="995" spans="1:7" x14ac:dyDescent="0.35">
      <c r="A995" s="9">
        <f xml:space="preserve"> ROW( scalarDataframe[[#This Row],[row_id]] ) - ROW( scalarDataframe[[#Headers],[row_id]] )</f>
        <v>994</v>
      </c>
      <c r="B995" s="16" t="str">
        <f xml:space="preserve"> INDEX( co_scalarInfo[scalarType], MATCH( scalarDataframe[[#This Row],[scalarName]],  co_scalarInfo[scalarName], 0 ) )</f>
        <v>physAdj</v>
      </c>
      <c r="C995" s="44" t="str">
        <f xml:space="preserve"> INDEX( co_scalarInfo[scalarLabel], MATCH( scalarDataframe[[#This Row],[scalarName]], co_scalarInfo[scalarName], 0 ) )</f>
        <v>MH 5+ Population Proportion Adjustment Factor</v>
      </c>
      <c r="D995" s="24" t="s">
        <v>1312</v>
      </c>
      <c r="E995" s="17" t="s">
        <v>6</v>
      </c>
      <c r="F995" s="25">
        <v>2055</v>
      </c>
      <c r="G995" s="26">
        <v>0.93590362100000002</v>
      </c>
    </row>
    <row r="996" spans="1:7" x14ac:dyDescent="0.35">
      <c r="A996" s="9">
        <f xml:space="preserve"> ROW( scalarDataframe[[#This Row],[row_id]] ) - ROW( scalarDataframe[[#Headers],[row_id]] )</f>
        <v>995</v>
      </c>
      <c r="B996" s="16" t="str">
        <f xml:space="preserve"> INDEX( co_scalarInfo[scalarType], MATCH( scalarDataframe[[#This Row],[scalarName]],  co_scalarInfo[scalarName], 0 ) )</f>
        <v>physAdj</v>
      </c>
      <c r="C996" s="44" t="str">
        <f xml:space="preserve"> INDEX( co_scalarInfo[scalarLabel], MATCH( scalarDataframe[[#This Row],[scalarName]], co_scalarInfo[scalarName], 0 ) )</f>
        <v>MH 5+ Population Proportion Adjustment Factor</v>
      </c>
      <c r="D996" s="24" t="s">
        <v>1312</v>
      </c>
      <c r="E996" s="17" t="s">
        <v>6</v>
      </c>
      <c r="F996" s="25">
        <v>2059</v>
      </c>
      <c r="G996" s="26">
        <v>0.936100555</v>
      </c>
    </row>
    <row r="997" spans="1:7" x14ac:dyDescent="0.35">
      <c r="A997" s="9">
        <f xml:space="preserve"> ROW( scalarDataframe[[#This Row],[row_id]] ) - ROW( scalarDataframe[[#Headers],[row_id]] )</f>
        <v>996</v>
      </c>
      <c r="B997" s="16" t="str">
        <f xml:space="preserve"> INDEX( co_scalarInfo[scalarType], MATCH( scalarDataframe[[#This Row],[scalarName]],  co_scalarInfo[scalarName], 0 ) )</f>
        <v>physAdj</v>
      </c>
      <c r="C997" s="44" t="str">
        <f xml:space="preserve"> INDEX( co_scalarInfo[scalarLabel], MATCH( scalarDataframe[[#This Row],[scalarName]], co_scalarInfo[scalarName], 0 ) )</f>
        <v>MH 5+ Population Proportion Adjustment Factor</v>
      </c>
      <c r="D997" s="24" t="s">
        <v>1312</v>
      </c>
      <c r="E997" s="17" t="s">
        <v>6</v>
      </c>
      <c r="F997" s="25">
        <v>2061</v>
      </c>
      <c r="G997" s="26">
        <v>0.93613225799999999</v>
      </c>
    </row>
    <row r="998" spans="1:7" x14ac:dyDescent="0.35">
      <c r="A998" s="9">
        <f xml:space="preserve"> ROW( scalarDataframe[[#This Row],[row_id]] ) - ROW( scalarDataframe[[#Headers],[row_id]] )</f>
        <v>997</v>
      </c>
      <c r="B998" s="16" t="str">
        <f xml:space="preserve"> INDEX( co_scalarInfo[scalarType], MATCH( scalarDataframe[[#This Row],[scalarName]],  co_scalarInfo[scalarName], 0 ) )</f>
        <v>physAdj</v>
      </c>
      <c r="C998" s="44" t="str">
        <f xml:space="preserve"> INDEX( co_scalarInfo[scalarLabel], MATCH( scalarDataframe[[#This Row],[scalarName]], co_scalarInfo[scalarName], 0 ) )</f>
        <v>MH 5+ Population Proportion Adjustment Factor</v>
      </c>
      <c r="D998" s="24" t="s">
        <v>1312</v>
      </c>
      <c r="E998" s="17" t="s">
        <v>6</v>
      </c>
      <c r="F998" s="25">
        <v>2062</v>
      </c>
      <c r="G998" s="26">
        <v>0.936114789</v>
      </c>
    </row>
    <row r="999" spans="1:7" x14ac:dyDescent="0.35">
      <c r="A999" s="9">
        <f xml:space="preserve"> ROW( scalarDataframe[[#This Row],[row_id]] ) - ROW( scalarDataframe[[#Headers],[row_id]] )</f>
        <v>998</v>
      </c>
      <c r="B999" s="16" t="str">
        <f xml:space="preserve"> INDEX( co_scalarInfo[scalarType], MATCH( scalarDataframe[[#This Row],[scalarName]],  co_scalarInfo[scalarName], 0 ) )</f>
        <v>physAdj</v>
      </c>
      <c r="C999" s="44" t="str">
        <f xml:space="preserve"> INDEX( co_scalarInfo[scalarLabel], MATCH( scalarDataframe[[#This Row],[scalarName]], co_scalarInfo[scalarName], 0 ) )</f>
        <v>MH 5+ Population Proportion Adjustment Factor</v>
      </c>
      <c r="D999" s="24" t="s">
        <v>1312</v>
      </c>
      <c r="E999" s="17" t="s">
        <v>6</v>
      </c>
      <c r="F999" s="25">
        <v>2064</v>
      </c>
      <c r="G999" s="26">
        <v>0.93608037899999996</v>
      </c>
    </row>
    <row r="1000" spans="1:7" x14ac:dyDescent="0.35">
      <c r="A1000" s="9">
        <f xml:space="preserve"> ROW( scalarDataframe[[#This Row],[row_id]] ) - ROW( scalarDataframe[[#Headers],[row_id]] )</f>
        <v>999</v>
      </c>
      <c r="B1000" s="16" t="str">
        <f xml:space="preserve"> INDEX( co_scalarInfo[scalarType], MATCH( scalarDataframe[[#This Row],[scalarName]],  co_scalarInfo[scalarName], 0 ) )</f>
        <v>physAdj</v>
      </c>
      <c r="C1000" s="44" t="str">
        <f xml:space="preserve"> INDEX( co_scalarInfo[scalarLabel], MATCH( scalarDataframe[[#This Row],[scalarName]], co_scalarInfo[scalarName], 0 ) )</f>
        <v>MH 5+ Population Proportion Adjustment Factor</v>
      </c>
      <c r="D1000" s="24" t="s">
        <v>1312</v>
      </c>
      <c r="E1000" s="17" t="s">
        <v>6</v>
      </c>
      <c r="F1000" s="25">
        <v>2067</v>
      </c>
      <c r="G1000" s="26">
        <v>0.93602506799999996</v>
      </c>
    </row>
    <row r="1001" spans="1:7" x14ac:dyDescent="0.35">
      <c r="A1001" s="9">
        <f xml:space="preserve"> ROW( scalarDataframe[[#This Row],[row_id]] ) - ROW( scalarDataframe[[#Headers],[row_id]] )</f>
        <v>1000</v>
      </c>
      <c r="B1001" s="16" t="str">
        <f xml:space="preserve"> INDEX( co_scalarInfo[scalarType], MATCH( scalarDataframe[[#This Row],[scalarName]],  co_scalarInfo[scalarName], 0 ) )</f>
        <v>physAdj</v>
      </c>
      <c r="C1001" s="44" t="str">
        <f xml:space="preserve"> INDEX( co_scalarInfo[scalarLabel], MATCH( scalarDataframe[[#This Row],[scalarName]], co_scalarInfo[scalarName], 0 ) )</f>
        <v>MH 5+ Population Proportion Adjustment Factor</v>
      </c>
      <c r="D1001" s="24" t="s">
        <v>1312</v>
      </c>
      <c r="E1001" s="17" t="s">
        <v>6</v>
      </c>
      <c r="F1001" s="25">
        <v>2071</v>
      </c>
      <c r="G1001" s="26">
        <v>0.93599686800000004</v>
      </c>
    </row>
    <row r="1002" spans="1:7" x14ac:dyDescent="0.35">
      <c r="A1002" s="9">
        <f xml:space="preserve"> ROW( scalarDataframe[[#This Row],[row_id]] ) - ROW( scalarDataframe[[#Headers],[row_id]] )</f>
        <v>1001</v>
      </c>
      <c r="B1002" s="16" t="str">
        <f xml:space="preserve"> INDEX( co_scalarInfo[scalarType], MATCH( scalarDataframe[[#This Row],[scalarName]],  co_scalarInfo[scalarName], 0 ) )</f>
        <v>physAdj</v>
      </c>
      <c r="C1002" s="44" t="str">
        <f xml:space="preserve"> INDEX( co_scalarInfo[scalarLabel], MATCH( scalarDataframe[[#This Row],[scalarName]], co_scalarInfo[scalarName], 0 ) )</f>
        <v>MH 5+ Population Proportion Adjustment Factor</v>
      </c>
      <c r="D1002" s="24" t="s">
        <v>1312</v>
      </c>
      <c r="E1002" s="17" t="s">
        <v>6</v>
      </c>
      <c r="F1002" s="25">
        <v>2076</v>
      </c>
      <c r="G1002" s="26">
        <v>0.93613701299999996</v>
      </c>
    </row>
    <row r="1003" spans="1:7" x14ac:dyDescent="0.35">
      <c r="A1003" s="9">
        <f xml:space="preserve"> ROW( scalarDataframe[[#This Row],[row_id]] ) - ROW( scalarDataframe[[#Headers],[row_id]] )</f>
        <v>1002</v>
      </c>
      <c r="B1003" s="16" t="str">
        <f xml:space="preserve"> INDEX( co_scalarInfo[scalarType], MATCH( scalarDataframe[[#This Row],[scalarName]],  co_scalarInfo[scalarName], 0 ) )</f>
        <v>physAdj</v>
      </c>
      <c r="C1003" s="44" t="str">
        <f xml:space="preserve"> INDEX( co_scalarInfo[scalarLabel], MATCH( scalarDataframe[[#This Row],[scalarName]], co_scalarInfo[scalarName], 0 ) )</f>
        <v>MH 5+ Population Proportion Adjustment Factor</v>
      </c>
      <c r="D1003" s="24" t="s">
        <v>1312</v>
      </c>
      <c r="E1003" s="17" t="s">
        <v>6</v>
      </c>
      <c r="F1003" s="25">
        <v>2077</v>
      </c>
      <c r="G1003" s="26">
        <v>0.93616478000000003</v>
      </c>
    </row>
    <row r="1004" spans="1:7" x14ac:dyDescent="0.35">
      <c r="A1004" s="9">
        <f xml:space="preserve"> ROW( scalarDataframe[[#This Row],[row_id]] ) - ROW( scalarDataframe[[#Headers],[row_id]] )</f>
        <v>1003</v>
      </c>
      <c r="B1004" s="16" t="str">
        <f xml:space="preserve"> INDEX( co_scalarInfo[scalarType], MATCH( scalarDataframe[[#This Row],[scalarName]],  co_scalarInfo[scalarName], 0 ) )</f>
        <v>physAdj</v>
      </c>
      <c r="C1004" s="44" t="str">
        <f xml:space="preserve"> INDEX( co_scalarInfo[scalarLabel], MATCH( scalarDataframe[[#This Row],[scalarName]], co_scalarInfo[scalarName], 0 ) )</f>
        <v>MH 5+ Population Proportion Adjustment Factor</v>
      </c>
      <c r="D1004" s="24" t="s">
        <v>1312</v>
      </c>
      <c r="E1004" s="17" t="s">
        <v>6</v>
      </c>
      <c r="F1004" s="25">
        <v>2081</v>
      </c>
      <c r="G1004" s="26">
        <v>0.93631381300000005</v>
      </c>
    </row>
    <row r="1005" spans="1:7" x14ac:dyDescent="0.35">
      <c r="A1005" s="9">
        <f xml:space="preserve"> ROW( scalarDataframe[[#This Row],[row_id]] ) - ROW( scalarDataframe[[#Headers],[row_id]] )</f>
        <v>1004</v>
      </c>
      <c r="B1005" s="16" t="str">
        <f xml:space="preserve"> INDEX( co_scalarInfo[scalarType], MATCH( scalarDataframe[[#This Row],[scalarName]],  co_scalarInfo[scalarName], 0 ) )</f>
        <v>physAdj</v>
      </c>
      <c r="C1005" s="44" t="str">
        <f xml:space="preserve"> INDEX( co_scalarInfo[scalarLabel], MATCH( scalarDataframe[[#This Row],[scalarName]], co_scalarInfo[scalarName], 0 ) )</f>
        <v>MH 5+ Population Proportion Adjustment Factor</v>
      </c>
      <c r="D1005" s="24" t="s">
        <v>1312</v>
      </c>
      <c r="E1005" s="17" t="s">
        <v>6</v>
      </c>
      <c r="F1005" s="25">
        <v>2082</v>
      </c>
      <c r="G1005" s="26">
        <v>0.936381095</v>
      </c>
    </row>
    <row r="1006" spans="1:7" x14ac:dyDescent="0.35">
      <c r="A1006" s="9">
        <f xml:space="preserve"> ROW( scalarDataframe[[#This Row],[row_id]] ) - ROW( scalarDataframe[[#Headers],[row_id]] )</f>
        <v>1005</v>
      </c>
      <c r="B1006" s="16" t="str">
        <f xml:space="preserve"> INDEX( co_scalarInfo[scalarType], MATCH( scalarDataframe[[#This Row],[scalarName]],  co_scalarInfo[scalarName], 0 ) )</f>
        <v>physAdj</v>
      </c>
      <c r="C1006" s="44" t="str">
        <f xml:space="preserve"> INDEX( co_scalarInfo[scalarLabel], MATCH( scalarDataframe[[#This Row],[scalarName]], co_scalarInfo[scalarName], 0 ) )</f>
        <v>MH 5+ Population Proportion Adjustment Factor</v>
      </c>
      <c r="D1006" s="24" t="s">
        <v>1312</v>
      </c>
      <c r="E1006" s="17" t="s">
        <v>6</v>
      </c>
      <c r="F1006" s="25">
        <v>2087</v>
      </c>
      <c r="G1006" s="26">
        <v>0.93672018700000004</v>
      </c>
    </row>
    <row r="1007" spans="1:7" x14ac:dyDescent="0.35">
      <c r="A1007" s="9">
        <f xml:space="preserve"> ROW( scalarDataframe[[#This Row],[row_id]] ) - ROW( scalarDataframe[[#Headers],[row_id]] )</f>
        <v>1006</v>
      </c>
      <c r="B1007" s="16" t="str">
        <f xml:space="preserve"> INDEX( co_scalarInfo[scalarType], MATCH( scalarDataframe[[#This Row],[scalarName]],  co_scalarInfo[scalarName], 0 ) )</f>
        <v>physAdj</v>
      </c>
      <c r="C1007" s="44" t="str">
        <f xml:space="preserve"> INDEX( co_scalarInfo[scalarLabel], MATCH( scalarDataframe[[#This Row],[scalarName]], co_scalarInfo[scalarName], 0 ) )</f>
        <v>MH 5+ Population Proportion Adjustment Factor</v>
      </c>
      <c r="D1007" s="24" t="s">
        <v>1312</v>
      </c>
      <c r="E1007" s="17" t="s">
        <v>6</v>
      </c>
      <c r="F1007" s="25">
        <v>2091</v>
      </c>
      <c r="G1007" s="26">
        <v>0.93696934865293702</v>
      </c>
    </row>
    <row r="1008" spans="1:7" x14ac:dyDescent="0.35">
      <c r="A1008" s="9">
        <f xml:space="preserve"> ROW( scalarDataframe[[#This Row],[row_id]] ) - ROW( scalarDataframe[[#Headers],[row_id]] )</f>
        <v>1007</v>
      </c>
      <c r="B1008" s="16" t="str">
        <f xml:space="preserve"> INDEX( co_scalarInfo[scalarType], MATCH( scalarDataframe[[#This Row],[scalarName]],  co_scalarInfo[scalarName], 0 ) )</f>
        <v>physAdj</v>
      </c>
      <c r="C1008" s="44" t="str">
        <f xml:space="preserve"> INDEX( co_scalarInfo[scalarLabel], MATCH( scalarDataframe[[#This Row],[scalarName]], co_scalarInfo[scalarName], 0 ) )</f>
        <v>MH 5+ Population Proportion Adjustment Factor</v>
      </c>
      <c r="D1008" s="24" t="s">
        <v>1312</v>
      </c>
      <c r="E1008" s="17" t="s">
        <v>6</v>
      </c>
      <c r="F1008" s="25">
        <v>2300</v>
      </c>
      <c r="G1008" s="26">
        <v>0.93696934865293702</v>
      </c>
    </row>
    <row r="1009" spans="1:7" x14ac:dyDescent="0.35">
      <c r="A1009" s="9">
        <f xml:space="preserve"> ROW( scalarDataframe[[#This Row],[row_id]] ) - ROW( scalarDataframe[[#Headers],[row_id]] )</f>
        <v>1008</v>
      </c>
      <c r="B1009" s="16" t="str">
        <f xml:space="preserve"> INDEX( co_scalarInfo[scalarType], MATCH( scalarDataframe[[#This Row],[scalarName]],  co_scalarInfo[scalarName], 0 ) )</f>
        <v>physAdj</v>
      </c>
      <c r="C1009" s="44" t="str">
        <f xml:space="preserve"> INDEX( co_scalarInfo[scalarLabel], MATCH( scalarDataframe[[#This Row],[scalarName]], co_scalarInfo[scalarName], 0 ) )</f>
        <v>MH 5+ Population Proportion Adjustment Factor</v>
      </c>
      <c r="D1009" s="24" t="s">
        <v>1312</v>
      </c>
      <c r="E1009" s="17" t="s">
        <v>7</v>
      </c>
      <c r="F1009" s="25">
        <v>2010</v>
      </c>
      <c r="G1009" s="26">
        <v>0.93420725950000005</v>
      </c>
    </row>
    <row r="1010" spans="1:7" x14ac:dyDescent="0.35">
      <c r="A1010" s="9">
        <f xml:space="preserve"> ROW( scalarDataframe[[#This Row],[row_id]] ) - ROW( scalarDataframe[[#Headers],[row_id]] )</f>
        <v>1009</v>
      </c>
      <c r="B1010" s="16" t="str">
        <f xml:space="preserve"> INDEX( co_scalarInfo[scalarType], MATCH( scalarDataframe[[#This Row],[scalarName]],  co_scalarInfo[scalarName], 0 ) )</f>
        <v>physAdj</v>
      </c>
      <c r="C1010" s="44" t="str">
        <f xml:space="preserve"> INDEX( co_scalarInfo[scalarLabel], MATCH( scalarDataframe[[#This Row],[scalarName]], co_scalarInfo[scalarName], 0 ) )</f>
        <v>MH 5+ Population Proportion Adjustment Factor</v>
      </c>
      <c r="D1010" s="24" t="s">
        <v>1312</v>
      </c>
      <c r="E1010" s="17" t="s">
        <v>7</v>
      </c>
      <c r="F1010" s="25">
        <v>2011</v>
      </c>
      <c r="G1010" s="26">
        <v>0.93437725100000002</v>
      </c>
    </row>
    <row r="1011" spans="1:7" x14ac:dyDescent="0.35">
      <c r="A1011" s="9">
        <f xml:space="preserve"> ROW( scalarDataframe[[#This Row],[row_id]] ) - ROW( scalarDataframe[[#Headers],[row_id]] )</f>
        <v>1010</v>
      </c>
      <c r="B1011" s="16" t="str">
        <f xml:space="preserve"> INDEX( co_scalarInfo[scalarType], MATCH( scalarDataframe[[#This Row],[scalarName]],  co_scalarInfo[scalarName], 0 ) )</f>
        <v>physAdj</v>
      </c>
      <c r="C1011" s="44" t="str">
        <f xml:space="preserve"> INDEX( co_scalarInfo[scalarLabel], MATCH( scalarDataframe[[#This Row],[scalarName]], co_scalarInfo[scalarName], 0 ) )</f>
        <v>MH 5+ Population Proportion Adjustment Factor</v>
      </c>
      <c r="D1011" s="24" t="s">
        <v>1312</v>
      </c>
      <c r="E1011" s="17" t="s">
        <v>7</v>
      </c>
      <c r="F1011" s="25">
        <v>2013</v>
      </c>
      <c r="G1011" s="26">
        <v>0.93471723399999995</v>
      </c>
    </row>
    <row r="1012" spans="1:7" x14ac:dyDescent="0.35">
      <c r="A1012" s="9">
        <f xml:space="preserve"> ROW( scalarDataframe[[#This Row],[row_id]] ) - ROW( scalarDataframe[[#Headers],[row_id]] )</f>
        <v>1011</v>
      </c>
      <c r="B1012" s="16" t="str">
        <f xml:space="preserve"> INDEX( co_scalarInfo[scalarType], MATCH( scalarDataframe[[#This Row],[scalarName]],  co_scalarInfo[scalarName], 0 ) )</f>
        <v>physAdj</v>
      </c>
      <c r="C1012" s="44" t="str">
        <f xml:space="preserve"> INDEX( co_scalarInfo[scalarLabel], MATCH( scalarDataframe[[#This Row],[scalarName]], co_scalarInfo[scalarName], 0 ) )</f>
        <v>MH 5+ Population Proportion Adjustment Factor</v>
      </c>
      <c r="D1012" s="24" t="s">
        <v>1312</v>
      </c>
      <c r="E1012" s="17" t="s">
        <v>7</v>
      </c>
      <c r="F1012" s="25">
        <v>2017</v>
      </c>
      <c r="G1012" s="26">
        <v>0.935363273</v>
      </c>
    </row>
    <row r="1013" spans="1:7" x14ac:dyDescent="0.35">
      <c r="A1013" s="9">
        <f xml:space="preserve"> ROW( scalarDataframe[[#This Row],[row_id]] ) - ROW( scalarDataframe[[#Headers],[row_id]] )</f>
        <v>1012</v>
      </c>
      <c r="B1013" s="16" t="str">
        <f xml:space="preserve"> INDEX( co_scalarInfo[scalarType], MATCH( scalarDataframe[[#This Row],[scalarName]],  co_scalarInfo[scalarName], 0 ) )</f>
        <v>physAdj</v>
      </c>
      <c r="C1013" s="44" t="str">
        <f xml:space="preserve"> INDEX( co_scalarInfo[scalarLabel], MATCH( scalarDataframe[[#This Row],[scalarName]], co_scalarInfo[scalarName], 0 ) )</f>
        <v>MH 5+ Population Proportion Adjustment Factor</v>
      </c>
      <c r="D1013" s="24" t="s">
        <v>1312</v>
      </c>
      <c r="E1013" s="17" t="s">
        <v>7</v>
      </c>
      <c r="F1013" s="25">
        <v>2025</v>
      </c>
      <c r="G1013" s="26">
        <v>0.93677855600000004</v>
      </c>
    </row>
    <row r="1014" spans="1:7" x14ac:dyDescent="0.35">
      <c r="A1014" s="9">
        <f xml:space="preserve"> ROW( scalarDataframe[[#This Row],[row_id]] ) - ROW( scalarDataframe[[#Headers],[row_id]] )</f>
        <v>1013</v>
      </c>
      <c r="B1014" s="16" t="str">
        <f xml:space="preserve"> INDEX( co_scalarInfo[scalarType], MATCH( scalarDataframe[[#This Row],[scalarName]],  co_scalarInfo[scalarName], 0 ) )</f>
        <v>physAdj</v>
      </c>
      <c r="C1014" s="44" t="str">
        <f xml:space="preserve"> INDEX( co_scalarInfo[scalarLabel], MATCH( scalarDataframe[[#This Row],[scalarName]], co_scalarInfo[scalarName], 0 ) )</f>
        <v>MH 5+ Population Proportion Adjustment Factor</v>
      </c>
      <c r="D1014" s="24" t="s">
        <v>1312</v>
      </c>
      <c r="E1014" s="17" t="s">
        <v>7</v>
      </c>
      <c r="F1014" s="25">
        <v>2029</v>
      </c>
      <c r="G1014" s="26">
        <v>0.93752073700000005</v>
      </c>
    </row>
    <row r="1015" spans="1:7" x14ac:dyDescent="0.35">
      <c r="A1015" s="9">
        <f xml:space="preserve"> ROW( scalarDataframe[[#This Row],[row_id]] ) - ROW( scalarDataframe[[#Headers],[row_id]] )</f>
        <v>1014</v>
      </c>
      <c r="B1015" s="16" t="str">
        <f xml:space="preserve"> INDEX( co_scalarInfo[scalarType], MATCH( scalarDataframe[[#This Row],[scalarName]],  co_scalarInfo[scalarName], 0 ) )</f>
        <v>physAdj</v>
      </c>
      <c r="C1015" s="44" t="str">
        <f xml:space="preserve"> INDEX( co_scalarInfo[scalarLabel], MATCH( scalarDataframe[[#This Row],[scalarName]], co_scalarInfo[scalarName], 0 ) )</f>
        <v>MH 5+ Population Proportion Adjustment Factor</v>
      </c>
      <c r="D1015" s="24" t="s">
        <v>1312</v>
      </c>
      <c r="E1015" s="17" t="s">
        <v>7</v>
      </c>
      <c r="F1015" s="25">
        <v>2032</v>
      </c>
      <c r="G1015" s="26">
        <v>0.93740489599999999</v>
      </c>
    </row>
    <row r="1016" spans="1:7" x14ac:dyDescent="0.35">
      <c r="A1016" s="9">
        <f xml:space="preserve"> ROW( scalarDataframe[[#This Row],[row_id]] ) - ROW( scalarDataframe[[#Headers],[row_id]] )</f>
        <v>1015</v>
      </c>
      <c r="B1016" s="16" t="str">
        <f xml:space="preserve"> INDEX( co_scalarInfo[scalarType], MATCH( scalarDataframe[[#This Row],[scalarName]],  co_scalarInfo[scalarName], 0 ) )</f>
        <v>physAdj</v>
      </c>
      <c r="C1016" s="44" t="str">
        <f xml:space="preserve"> INDEX( co_scalarInfo[scalarLabel], MATCH( scalarDataframe[[#This Row],[scalarName]], co_scalarInfo[scalarName], 0 ) )</f>
        <v>MH 5+ Population Proportion Adjustment Factor</v>
      </c>
      <c r="D1016" s="24" t="s">
        <v>1312</v>
      </c>
      <c r="E1016" s="17" t="s">
        <v>7</v>
      </c>
      <c r="F1016" s="25">
        <v>2033</v>
      </c>
      <c r="G1016" s="26">
        <v>0.93725782199999996</v>
      </c>
    </row>
    <row r="1017" spans="1:7" x14ac:dyDescent="0.35">
      <c r="A1017" s="9">
        <f xml:space="preserve"> ROW( scalarDataframe[[#This Row],[row_id]] ) - ROW( scalarDataframe[[#Headers],[row_id]] )</f>
        <v>1016</v>
      </c>
      <c r="B1017" s="16" t="str">
        <f xml:space="preserve"> INDEX( co_scalarInfo[scalarType], MATCH( scalarDataframe[[#This Row],[scalarName]],  co_scalarInfo[scalarName], 0 ) )</f>
        <v>physAdj</v>
      </c>
      <c r="C1017" s="44" t="str">
        <f xml:space="preserve"> INDEX( co_scalarInfo[scalarLabel], MATCH( scalarDataframe[[#This Row],[scalarName]], co_scalarInfo[scalarName], 0 ) )</f>
        <v>MH 5+ Population Proportion Adjustment Factor</v>
      </c>
      <c r="D1017" s="24" t="s">
        <v>1312</v>
      </c>
      <c r="E1017" s="17" t="s">
        <v>7</v>
      </c>
      <c r="F1017" s="25">
        <v>2037</v>
      </c>
      <c r="G1017" s="26">
        <v>0.936672489</v>
      </c>
    </row>
    <row r="1018" spans="1:7" x14ac:dyDescent="0.35">
      <c r="A1018" s="9">
        <f xml:space="preserve"> ROW( scalarDataframe[[#This Row],[row_id]] ) - ROW( scalarDataframe[[#Headers],[row_id]] )</f>
        <v>1017</v>
      </c>
      <c r="B1018" s="16" t="str">
        <f xml:space="preserve"> INDEX( co_scalarInfo[scalarType], MATCH( scalarDataframe[[#This Row],[scalarName]],  co_scalarInfo[scalarName], 0 ) )</f>
        <v>physAdj</v>
      </c>
      <c r="C1018" s="44" t="str">
        <f xml:space="preserve"> INDEX( co_scalarInfo[scalarLabel], MATCH( scalarDataframe[[#This Row],[scalarName]], co_scalarInfo[scalarName], 0 ) )</f>
        <v>MH 5+ Population Proportion Adjustment Factor</v>
      </c>
      <c r="D1018" s="24" t="s">
        <v>1312</v>
      </c>
      <c r="E1018" s="17" t="s">
        <v>7</v>
      </c>
      <c r="F1018" s="25">
        <v>2044</v>
      </c>
      <c r="G1018" s="26">
        <v>0.93599335699999997</v>
      </c>
    </row>
    <row r="1019" spans="1:7" x14ac:dyDescent="0.35">
      <c r="A1019" s="9">
        <f xml:space="preserve"> ROW( scalarDataframe[[#This Row],[row_id]] ) - ROW( scalarDataframe[[#Headers],[row_id]] )</f>
        <v>1018</v>
      </c>
      <c r="B1019" s="16" t="str">
        <f xml:space="preserve"> INDEX( co_scalarInfo[scalarType], MATCH( scalarDataframe[[#This Row],[scalarName]],  co_scalarInfo[scalarName], 0 ) )</f>
        <v>physAdj</v>
      </c>
      <c r="C1019" s="44" t="str">
        <f xml:space="preserve"> INDEX( co_scalarInfo[scalarLabel], MATCH( scalarDataframe[[#This Row],[scalarName]], co_scalarInfo[scalarName], 0 ) )</f>
        <v>MH 5+ Population Proportion Adjustment Factor</v>
      </c>
      <c r="D1019" s="24" t="s">
        <v>1312</v>
      </c>
      <c r="E1019" s="17" t="s">
        <v>7</v>
      </c>
      <c r="F1019" s="25">
        <v>2048</v>
      </c>
      <c r="G1019" s="26">
        <v>0.93574807800000004</v>
      </c>
    </row>
    <row r="1020" spans="1:7" x14ac:dyDescent="0.35">
      <c r="A1020" s="9">
        <f xml:space="preserve"> ROW( scalarDataframe[[#This Row],[row_id]] ) - ROW( scalarDataframe[[#Headers],[row_id]] )</f>
        <v>1019</v>
      </c>
      <c r="B1020" s="16" t="str">
        <f xml:space="preserve"> INDEX( co_scalarInfo[scalarType], MATCH( scalarDataframe[[#This Row],[scalarName]],  co_scalarInfo[scalarName], 0 ) )</f>
        <v>physAdj</v>
      </c>
      <c r="C1020" s="44" t="str">
        <f xml:space="preserve"> INDEX( co_scalarInfo[scalarLabel], MATCH( scalarDataframe[[#This Row],[scalarName]], co_scalarInfo[scalarName], 0 ) )</f>
        <v>MH 5+ Population Proportion Adjustment Factor</v>
      </c>
      <c r="D1020" s="24" t="s">
        <v>1312</v>
      </c>
      <c r="E1020" s="17" t="s">
        <v>7</v>
      </c>
      <c r="F1020" s="25">
        <v>2049</v>
      </c>
      <c r="G1020" s="26">
        <v>0.93568696200000001</v>
      </c>
    </row>
    <row r="1021" spans="1:7" x14ac:dyDescent="0.35">
      <c r="A1021" s="9">
        <f xml:space="preserve"> ROW( scalarDataframe[[#This Row],[row_id]] ) - ROW( scalarDataframe[[#Headers],[row_id]] )</f>
        <v>1020</v>
      </c>
      <c r="B1021" s="16" t="str">
        <f xml:space="preserve"> INDEX( co_scalarInfo[scalarType], MATCH( scalarDataframe[[#This Row],[scalarName]],  co_scalarInfo[scalarName], 0 ) )</f>
        <v>physAdj</v>
      </c>
      <c r="C1021" s="44" t="str">
        <f xml:space="preserve"> INDEX( co_scalarInfo[scalarLabel], MATCH( scalarDataframe[[#This Row],[scalarName]], co_scalarInfo[scalarName], 0 ) )</f>
        <v>MH 5+ Population Proportion Adjustment Factor</v>
      </c>
      <c r="D1021" s="24" t="s">
        <v>1312</v>
      </c>
      <c r="E1021" s="17" t="s">
        <v>7</v>
      </c>
      <c r="F1021" s="25">
        <v>2050</v>
      </c>
      <c r="G1021" s="26">
        <v>0.93562630400000002</v>
      </c>
    </row>
    <row r="1022" spans="1:7" x14ac:dyDescent="0.35">
      <c r="A1022" s="9">
        <f xml:space="preserve"> ROW( scalarDataframe[[#This Row],[row_id]] ) - ROW( scalarDataframe[[#Headers],[row_id]] )</f>
        <v>1021</v>
      </c>
      <c r="B1022" s="16" t="str">
        <f xml:space="preserve"> INDEX( co_scalarInfo[scalarType], MATCH( scalarDataframe[[#This Row],[scalarName]],  co_scalarInfo[scalarName], 0 ) )</f>
        <v>physAdj</v>
      </c>
      <c r="C1022" s="44" t="str">
        <f xml:space="preserve"> INDEX( co_scalarInfo[scalarLabel], MATCH( scalarDataframe[[#This Row],[scalarName]], co_scalarInfo[scalarName], 0 ) )</f>
        <v>MH 5+ Population Proportion Adjustment Factor</v>
      </c>
      <c r="D1022" s="24" t="s">
        <v>1312</v>
      </c>
      <c r="E1022" s="17" t="s">
        <v>7</v>
      </c>
      <c r="F1022" s="25">
        <v>2052</v>
      </c>
      <c r="G1022" s="26">
        <v>0.93564524100000002</v>
      </c>
    </row>
    <row r="1023" spans="1:7" x14ac:dyDescent="0.35">
      <c r="A1023" s="9">
        <f xml:space="preserve"> ROW( scalarDataframe[[#This Row],[row_id]] ) - ROW( scalarDataframe[[#Headers],[row_id]] )</f>
        <v>1022</v>
      </c>
      <c r="B1023" s="16" t="str">
        <f xml:space="preserve"> INDEX( co_scalarInfo[scalarType], MATCH( scalarDataframe[[#This Row],[scalarName]],  co_scalarInfo[scalarName], 0 ) )</f>
        <v>physAdj</v>
      </c>
      <c r="C1023" s="44" t="str">
        <f xml:space="preserve"> INDEX( co_scalarInfo[scalarLabel], MATCH( scalarDataframe[[#This Row],[scalarName]], co_scalarInfo[scalarName], 0 ) )</f>
        <v>MH 5+ Population Proportion Adjustment Factor</v>
      </c>
      <c r="D1023" s="24" t="s">
        <v>1312</v>
      </c>
      <c r="E1023" s="17" t="s">
        <v>7</v>
      </c>
      <c r="F1023" s="25">
        <v>2055</v>
      </c>
      <c r="G1023" s="26">
        <v>0.93567302799999996</v>
      </c>
    </row>
    <row r="1024" spans="1:7" x14ac:dyDescent="0.35">
      <c r="A1024" s="9">
        <f xml:space="preserve"> ROW( scalarDataframe[[#This Row],[row_id]] ) - ROW( scalarDataframe[[#Headers],[row_id]] )</f>
        <v>1023</v>
      </c>
      <c r="B1024" s="16" t="str">
        <f xml:space="preserve"> INDEX( co_scalarInfo[scalarType], MATCH( scalarDataframe[[#This Row],[scalarName]],  co_scalarInfo[scalarName], 0 ) )</f>
        <v>physAdj</v>
      </c>
      <c r="C1024" s="44" t="str">
        <f xml:space="preserve"> INDEX( co_scalarInfo[scalarLabel], MATCH( scalarDataframe[[#This Row],[scalarName]], co_scalarInfo[scalarName], 0 ) )</f>
        <v>MH 5+ Population Proportion Adjustment Factor</v>
      </c>
      <c r="D1024" s="24" t="s">
        <v>1312</v>
      </c>
      <c r="E1024" s="17" t="s">
        <v>7</v>
      </c>
      <c r="F1024" s="25">
        <v>2059</v>
      </c>
      <c r="G1024" s="26">
        <v>0.93571236599999996</v>
      </c>
    </row>
    <row r="1025" spans="1:7" x14ac:dyDescent="0.35">
      <c r="A1025" s="9">
        <f xml:space="preserve"> ROW( scalarDataframe[[#This Row],[row_id]] ) - ROW( scalarDataframe[[#Headers],[row_id]] )</f>
        <v>1024</v>
      </c>
      <c r="B1025" s="16" t="str">
        <f xml:space="preserve"> INDEX( co_scalarInfo[scalarType], MATCH( scalarDataframe[[#This Row],[scalarName]],  co_scalarInfo[scalarName], 0 ) )</f>
        <v>physAdj</v>
      </c>
      <c r="C1025" s="44" t="str">
        <f xml:space="preserve"> INDEX( co_scalarInfo[scalarLabel], MATCH( scalarDataframe[[#This Row],[scalarName]], co_scalarInfo[scalarName], 0 ) )</f>
        <v>MH 5+ Population Proportion Adjustment Factor</v>
      </c>
      <c r="D1025" s="24" t="s">
        <v>1312</v>
      </c>
      <c r="E1025" s="17" t="s">
        <v>7</v>
      </c>
      <c r="F1025" s="25">
        <v>2061</v>
      </c>
      <c r="G1025" s="26">
        <v>0.93569438500000002</v>
      </c>
    </row>
    <row r="1026" spans="1:7" x14ac:dyDescent="0.35">
      <c r="A1026" s="9">
        <f xml:space="preserve"> ROW( scalarDataframe[[#This Row],[row_id]] ) - ROW( scalarDataframe[[#Headers],[row_id]] )</f>
        <v>1025</v>
      </c>
      <c r="B1026" s="16" t="str">
        <f xml:space="preserve"> INDEX( co_scalarInfo[scalarType], MATCH( scalarDataframe[[#This Row],[scalarName]],  co_scalarInfo[scalarName], 0 ) )</f>
        <v>physAdj</v>
      </c>
      <c r="C1026" s="44" t="str">
        <f xml:space="preserve"> INDEX( co_scalarInfo[scalarLabel], MATCH( scalarDataframe[[#This Row],[scalarName]], co_scalarInfo[scalarName], 0 ) )</f>
        <v>MH 5+ Population Proportion Adjustment Factor</v>
      </c>
      <c r="D1026" s="24" t="s">
        <v>1312</v>
      </c>
      <c r="E1026" s="17" t="s">
        <v>7</v>
      </c>
      <c r="F1026" s="25">
        <v>2062</v>
      </c>
      <c r="G1026" s="26">
        <v>0.93566713099999999</v>
      </c>
    </row>
    <row r="1027" spans="1:7" x14ac:dyDescent="0.35">
      <c r="A1027" s="9">
        <f xml:space="preserve"> ROW( scalarDataframe[[#This Row],[row_id]] ) - ROW( scalarDataframe[[#Headers],[row_id]] )</f>
        <v>1026</v>
      </c>
      <c r="B1027" s="16" t="str">
        <f xml:space="preserve"> INDEX( co_scalarInfo[scalarType], MATCH( scalarDataframe[[#This Row],[scalarName]],  co_scalarInfo[scalarName], 0 ) )</f>
        <v>physAdj</v>
      </c>
      <c r="C1027" s="44" t="str">
        <f xml:space="preserve"> INDEX( co_scalarInfo[scalarLabel], MATCH( scalarDataframe[[#This Row],[scalarName]], co_scalarInfo[scalarName], 0 ) )</f>
        <v>MH 5+ Population Proportion Adjustment Factor</v>
      </c>
      <c r="D1027" s="24" t="s">
        <v>1312</v>
      </c>
      <c r="E1027" s="17" t="s">
        <v>7</v>
      </c>
      <c r="F1027" s="25">
        <v>2064</v>
      </c>
      <c r="G1027" s="26">
        <v>0.93561269000000002</v>
      </c>
    </row>
    <row r="1028" spans="1:7" x14ac:dyDescent="0.35">
      <c r="A1028" s="9">
        <f xml:space="preserve"> ROW( scalarDataframe[[#This Row],[row_id]] ) - ROW( scalarDataframe[[#Headers],[row_id]] )</f>
        <v>1027</v>
      </c>
      <c r="B1028" s="16" t="str">
        <f xml:space="preserve"> INDEX( co_scalarInfo[scalarType], MATCH( scalarDataframe[[#This Row],[scalarName]],  co_scalarInfo[scalarName], 0 ) )</f>
        <v>physAdj</v>
      </c>
      <c r="C1028" s="44" t="str">
        <f xml:space="preserve"> INDEX( co_scalarInfo[scalarLabel], MATCH( scalarDataframe[[#This Row],[scalarName]], co_scalarInfo[scalarName], 0 ) )</f>
        <v>MH 5+ Population Proportion Adjustment Factor</v>
      </c>
      <c r="D1028" s="24" t="s">
        <v>1312</v>
      </c>
      <c r="E1028" s="17" t="s">
        <v>7</v>
      </c>
      <c r="F1028" s="25">
        <v>2067</v>
      </c>
      <c r="G1028" s="26">
        <v>0.93552850300000001</v>
      </c>
    </row>
    <row r="1029" spans="1:7" x14ac:dyDescent="0.35">
      <c r="A1029" s="9">
        <f xml:space="preserve"> ROW( scalarDataframe[[#This Row],[row_id]] ) - ROW( scalarDataframe[[#Headers],[row_id]] )</f>
        <v>1028</v>
      </c>
      <c r="B1029" s="16" t="str">
        <f xml:space="preserve"> INDEX( co_scalarInfo[scalarType], MATCH( scalarDataframe[[#This Row],[scalarName]],  co_scalarInfo[scalarName], 0 ) )</f>
        <v>physAdj</v>
      </c>
      <c r="C1029" s="44" t="str">
        <f xml:space="preserve"> INDEX( co_scalarInfo[scalarLabel], MATCH( scalarDataframe[[#This Row],[scalarName]], co_scalarInfo[scalarName], 0 ) )</f>
        <v>MH 5+ Population Proportion Adjustment Factor</v>
      </c>
      <c r="D1029" s="24" t="s">
        <v>1312</v>
      </c>
      <c r="E1029" s="17" t="s">
        <v>7</v>
      </c>
      <c r="F1029" s="25">
        <v>2071</v>
      </c>
      <c r="G1029" s="26">
        <v>0.93549215900000005</v>
      </c>
    </row>
    <row r="1030" spans="1:7" x14ac:dyDescent="0.35">
      <c r="A1030" s="9">
        <f xml:space="preserve"> ROW( scalarDataframe[[#This Row],[row_id]] ) - ROW( scalarDataframe[[#Headers],[row_id]] )</f>
        <v>1029</v>
      </c>
      <c r="B1030" s="16" t="str">
        <f xml:space="preserve"> INDEX( co_scalarInfo[scalarType], MATCH( scalarDataframe[[#This Row],[scalarName]],  co_scalarInfo[scalarName], 0 ) )</f>
        <v>physAdj</v>
      </c>
      <c r="C1030" s="44" t="str">
        <f xml:space="preserve"> INDEX( co_scalarInfo[scalarLabel], MATCH( scalarDataframe[[#This Row],[scalarName]], co_scalarInfo[scalarName], 0 ) )</f>
        <v>MH 5+ Population Proportion Adjustment Factor</v>
      </c>
      <c r="D1030" s="24" t="s">
        <v>1312</v>
      </c>
      <c r="E1030" s="17" t="s">
        <v>7</v>
      </c>
      <c r="F1030" s="25">
        <v>2076</v>
      </c>
      <c r="G1030" s="26">
        <v>0.93573010099999998</v>
      </c>
    </row>
    <row r="1031" spans="1:7" x14ac:dyDescent="0.35">
      <c r="A1031" s="9">
        <f xml:space="preserve"> ROW( scalarDataframe[[#This Row],[row_id]] ) - ROW( scalarDataframe[[#Headers],[row_id]] )</f>
        <v>1030</v>
      </c>
      <c r="B1031" s="16" t="str">
        <f xml:space="preserve"> INDEX( co_scalarInfo[scalarType], MATCH( scalarDataframe[[#This Row],[scalarName]],  co_scalarInfo[scalarName], 0 ) )</f>
        <v>physAdj</v>
      </c>
      <c r="C1031" s="44" t="str">
        <f xml:space="preserve"> INDEX( co_scalarInfo[scalarLabel], MATCH( scalarDataframe[[#This Row],[scalarName]], co_scalarInfo[scalarName], 0 ) )</f>
        <v>MH 5+ Population Proportion Adjustment Factor</v>
      </c>
      <c r="D1031" s="24" t="s">
        <v>1312</v>
      </c>
      <c r="E1031" s="17" t="s">
        <v>7</v>
      </c>
      <c r="F1031" s="25">
        <v>2077</v>
      </c>
      <c r="G1031" s="26">
        <v>0.93577663700000002</v>
      </c>
    </row>
    <row r="1032" spans="1:7" x14ac:dyDescent="0.35">
      <c r="A1032" s="9">
        <f xml:space="preserve"> ROW( scalarDataframe[[#This Row],[row_id]] ) - ROW( scalarDataframe[[#Headers],[row_id]] )</f>
        <v>1031</v>
      </c>
      <c r="B1032" s="16" t="str">
        <f xml:space="preserve"> INDEX( co_scalarInfo[scalarType], MATCH( scalarDataframe[[#This Row],[scalarName]],  co_scalarInfo[scalarName], 0 ) )</f>
        <v>physAdj</v>
      </c>
      <c r="C1032" s="44" t="str">
        <f xml:space="preserve"> INDEX( co_scalarInfo[scalarLabel], MATCH( scalarDataframe[[#This Row],[scalarName]], co_scalarInfo[scalarName], 0 ) )</f>
        <v>MH 5+ Population Proportion Adjustment Factor</v>
      </c>
      <c r="D1032" s="24" t="s">
        <v>1312</v>
      </c>
      <c r="E1032" s="17" t="s">
        <v>7</v>
      </c>
      <c r="F1032" s="25">
        <v>2081</v>
      </c>
      <c r="G1032" s="26">
        <v>0.935996473</v>
      </c>
    </row>
    <row r="1033" spans="1:7" x14ac:dyDescent="0.35">
      <c r="A1033" s="9">
        <f xml:space="preserve"> ROW( scalarDataframe[[#This Row],[row_id]] ) - ROW( scalarDataframe[[#Headers],[row_id]] )</f>
        <v>1032</v>
      </c>
      <c r="B1033" s="16" t="str">
        <f xml:space="preserve"> INDEX( co_scalarInfo[scalarType], MATCH( scalarDataframe[[#This Row],[scalarName]],  co_scalarInfo[scalarName], 0 ) )</f>
        <v>physAdj</v>
      </c>
      <c r="C1033" s="44" t="str">
        <f xml:space="preserve"> INDEX( co_scalarInfo[scalarLabel], MATCH( scalarDataframe[[#This Row],[scalarName]], co_scalarInfo[scalarName], 0 ) )</f>
        <v>MH 5+ Population Proportion Adjustment Factor</v>
      </c>
      <c r="D1033" s="24" t="s">
        <v>1312</v>
      </c>
      <c r="E1033" s="17" t="s">
        <v>7</v>
      </c>
      <c r="F1033" s="25">
        <v>2082</v>
      </c>
      <c r="G1033" s="26">
        <v>0.93607741499999997</v>
      </c>
    </row>
    <row r="1034" spans="1:7" x14ac:dyDescent="0.35">
      <c r="A1034" s="9">
        <f xml:space="preserve"> ROW( scalarDataframe[[#This Row],[row_id]] ) - ROW( scalarDataframe[[#Headers],[row_id]] )</f>
        <v>1033</v>
      </c>
      <c r="B1034" s="16" t="str">
        <f xml:space="preserve"> INDEX( co_scalarInfo[scalarType], MATCH( scalarDataframe[[#This Row],[scalarName]],  co_scalarInfo[scalarName], 0 ) )</f>
        <v>physAdj</v>
      </c>
      <c r="C1034" s="44" t="str">
        <f xml:space="preserve"> INDEX( co_scalarInfo[scalarLabel], MATCH( scalarDataframe[[#This Row],[scalarName]], co_scalarInfo[scalarName], 0 ) )</f>
        <v>MH 5+ Population Proportion Adjustment Factor</v>
      </c>
      <c r="D1034" s="24" t="s">
        <v>1312</v>
      </c>
      <c r="E1034" s="17" t="s">
        <v>7</v>
      </c>
      <c r="F1034" s="25">
        <v>2087</v>
      </c>
      <c r="G1034" s="26">
        <v>0.93648129999999996</v>
      </c>
    </row>
    <row r="1035" spans="1:7" x14ac:dyDescent="0.35">
      <c r="A1035" s="9">
        <f xml:space="preserve"> ROW( scalarDataframe[[#This Row],[row_id]] ) - ROW( scalarDataframe[[#Headers],[row_id]] )</f>
        <v>1034</v>
      </c>
      <c r="B1035" s="16" t="str">
        <f xml:space="preserve"> INDEX( co_scalarInfo[scalarType], MATCH( scalarDataframe[[#This Row],[scalarName]],  co_scalarInfo[scalarName], 0 ) )</f>
        <v>physAdj</v>
      </c>
      <c r="C1035" s="44" t="str">
        <f xml:space="preserve"> INDEX( co_scalarInfo[scalarLabel], MATCH( scalarDataframe[[#This Row],[scalarName]], co_scalarInfo[scalarName], 0 ) )</f>
        <v>MH 5+ Population Proportion Adjustment Factor</v>
      </c>
      <c r="D1035" s="24" t="s">
        <v>1312</v>
      </c>
      <c r="E1035" s="17" t="s">
        <v>7</v>
      </c>
      <c r="F1035" s="25">
        <v>2091</v>
      </c>
      <c r="G1035" s="26">
        <v>0.93678564188077096</v>
      </c>
    </row>
    <row r="1036" spans="1:7" x14ac:dyDescent="0.35">
      <c r="A1036" s="9">
        <f xml:space="preserve"> ROW( scalarDataframe[[#This Row],[row_id]] ) - ROW( scalarDataframe[[#Headers],[row_id]] )</f>
        <v>1035</v>
      </c>
      <c r="B1036" s="16" t="str">
        <f xml:space="preserve"> INDEX( co_scalarInfo[scalarType], MATCH( scalarDataframe[[#This Row],[scalarName]],  co_scalarInfo[scalarName], 0 ) )</f>
        <v>physAdj</v>
      </c>
      <c r="C1036" s="44" t="str">
        <f xml:space="preserve"> INDEX( co_scalarInfo[scalarLabel], MATCH( scalarDataframe[[#This Row],[scalarName]], co_scalarInfo[scalarName], 0 ) )</f>
        <v>MH 5+ Population Proportion Adjustment Factor</v>
      </c>
      <c r="D1036" s="24" t="s">
        <v>1312</v>
      </c>
      <c r="E1036" s="17" t="s">
        <v>7</v>
      </c>
      <c r="F1036" s="25">
        <v>2300</v>
      </c>
      <c r="G1036" s="26">
        <v>0.93678564188077096</v>
      </c>
    </row>
    <row r="1037" spans="1:7" x14ac:dyDescent="0.35">
      <c r="A1037" s="9">
        <f xml:space="preserve"> ROW( scalarDataframe[[#This Row],[row_id]] ) - ROW( scalarDataframe[[#Headers],[row_id]] )</f>
        <v>1036</v>
      </c>
      <c r="B1037" s="16" t="str">
        <f xml:space="preserve"> INDEX( co_scalarInfo[scalarType], MATCH( scalarDataframe[[#This Row],[scalarName]],  co_scalarInfo[scalarName], 0 ) )</f>
        <v>physAdj</v>
      </c>
      <c r="C1037" s="44" t="str">
        <f xml:space="preserve"> INDEX( co_scalarInfo[scalarLabel], MATCH( scalarDataframe[[#This Row],[scalarName]], co_scalarInfo[scalarName], 0 ) )</f>
        <v>MH 5+ Population Proportion Adjustment Factor</v>
      </c>
      <c r="D1037" s="24" t="s">
        <v>1312</v>
      </c>
      <c r="E1037" s="17" t="s">
        <v>8</v>
      </c>
      <c r="F1037" s="25">
        <v>2010</v>
      </c>
      <c r="G1037" s="26">
        <v>0.93480331049999987</v>
      </c>
    </row>
    <row r="1038" spans="1:7" x14ac:dyDescent="0.35">
      <c r="A1038" s="9">
        <f xml:space="preserve"> ROW( scalarDataframe[[#This Row],[row_id]] ) - ROW( scalarDataframe[[#Headers],[row_id]] )</f>
        <v>1037</v>
      </c>
      <c r="B1038" s="16" t="str">
        <f xml:space="preserve"> INDEX( co_scalarInfo[scalarType], MATCH( scalarDataframe[[#This Row],[scalarName]],  co_scalarInfo[scalarName], 0 ) )</f>
        <v>physAdj</v>
      </c>
      <c r="C1038" s="44" t="str">
        <f xml:space="preserve"> INDEX( co_scalarInfo[scalarLabel], MATCH( scalarDataframe[[#This Row],[scalarName]], co_scalarInfo[scalarName], 0 ) )</f>
        <v>MH 5+ Population Proportion Adjustment Factor</v>
      </c>
      <c r="D1038" s="24" t="s">
        <v>1312</v>
      </c>
      <c r="E1038" s="17" t="s">
        <v>8</v>
      </c>
      <c r="F1038" s="25">
        <v>2011</v>
      </c>
      <c r="G1038" s="26">
        <v>0.93478245699999996</v>
      </c>
    </row>
    <row r="1039" spans="1:7" x14ac:dyDescent="0.35">
      <c r="A1039" s="9">
        <f xml:space="preserve"> ROW( scalarDataframe[[#This Row],[row_id]] ) - ROW( scalarDataframe[[#Headers],[row_id]] )</f>
        <v>1038</v>
      </c>
      <c r="B1039" s="16" t="str">
        <f xml:space="preserve"> INDEX( co_scalarInfo[scalarType], MATCH( scalarDataframe[[#This Row],[scalarName]],  co_scalarInfo[scalarName], 0 ) )</f>
        <v>physAdj</v>
      </c>
      <c r="C1039" s="44" t="str">
        <f xml:space="preserve"> INDEX( co_scalarInfo[scalarLabel], MATCH( scalarDataframe[[#This Row],[scalarName]], co_scalarInfo[scalarName], 0 ) )</f>
        <v>MH 5+ Population Proportion Adjustment Factor</v>
      </c>
      <c r="D1039" s="24" t="s">
        <v>1312</v>
      </c>
      <c r="E1039" s="17" t="s">
        <v>8</v>
      </c>
      <c r="F1039" s="25">
        <v>2013</v>
      </c>
      <c r="G1039" s="26">
        <v>0.93474075000000001</v>
      </c>
    </row>
    <row r="1040" spans="1:7" x14ac:dyDescent="0.35">
      <c r="A1040" s="9">
        <f xml:space="preserve"> ROW( scalarDataframe[[#This Row],[row_id]] ) - ROW( scalarDataframe[[#Headers],[row_id]] )</f>
        <v>1039</v>
      </c>
      <c r="B1040" s="16" t="str">
        <f xml:space="preserve"> INDEX( co_scalarInfo[scalarType], MATCH( scalarDataframe[[#This Row],[scalarName]],  co_scalarInfo[scalarName], 0 ) )</f>
        <v>physAdj</v>
      </c>
      <c r="C1040" s="44" t="str">
        <f xml:space="preserve"> INDEX( co_scalarInfo[scalarLabel], MATCH( scalarDataframe[[#This Row],[scalarName]], co_scalarInfo[scalarName], 0 ) )</f>
        <v>MH 5+ Population Proportion Adjustment Factor</v>
      </c>
      <c r="D1040" s="24" t="s">
        <v>1312</v>
      </c>
      <c r="E1040" s="17" t="s">
        <v>8</v>
      </c>
      <c r="F1040" s="25">
        <v>2017</v>
      </c>
      <c r="G1040" s="26">
        <v>0.93462808500000005</v>
      </c>
    </row>
    <row r="1041" spans="1:7" x14ac:dyDescent="0.35">
      <c r="A1041" s="9">
        <f xml:space="preserve"> ROW( scalarDataframe[[#This Row],[row_id]] ) - ROW( scalarDataframe[[#Headers],[row_id]] )</f>
        <v>1040</v>
      </c>
      <c r="B1041" s="16" t="str">
        <f xml:space="preserve"> INDEX( co_scalarInfo[scalarType], MATCH( scalarDataframe[[#This Row],[scalarName]],  co_scalarInfo[scalarName], 0 ) )</f>
        <v>physAdj</v>
      </c>
      <c r="C1041" s="44" t="str">
        <f xml:space="preserve"> INDEX( co_scalarInfo[scalarLabel], MATCH( scalarDataframe[[#This Row],[scalarName]], co_scalarInfo[scalarName], 0 ) )</f>
        <v>MH 5+ Population Proportion Adjustment Factor</v>
      </c>
      <c r="D1041" s="24" t="s">
        <v>1312</v>
      </c>
      <c r="E1041" s="17" t="s">
        <v>8</v>
      </c>
      <c r="F1041" s="25">
        <v>2025</v>
      </c>
      <c r="G1041" s="26">
        <v>0.93630601700000005</v>
      </c>
    </row>
    <row r="1042" spans="1:7" x14ac:dyDescent="0.35">
      <c r="A1042" s="9">
        <f xml:space="preserve"> ROW( scalarDataframe[[#This Row],[row_id]] ) - ROW( scalarDataframe[[#Headers],[row_id]] )</f>
        <v>1041</v>
      </c>
      <c r="B1042" s="16" t="str">
        <f xml:space="preserve"> INDEX( co_scalarInfo[scalarType], MATCH( scalarDataframe[[#This Row],[scalarName]],  co_scalarInfo[scalarName], 0 ) )</f>
        <v>physAdj</v>
      </c>
      <c r="C1042" s="44" t="str">
        <f xml:space="preserve"> INDEX( co_scalarInfo[scalarLabel], MATCH( scalarDataframe[[#This Row],[scalarName]], co_scalarInfo[scalarName], 0 ) )</f>
        <v>MH 5+ Population Proportion Adjustment Factor</v>
      </c>
      <c r="D1042" s="24" t="s">
        <v>1312</v>
      </c>
      <c r="E1042" s="17" t="s">
        <v>8</v>
      </c>
      <c r="F1042" s="25">
        <v>2029</v>
      </c>
      <c r="G1042" s="26">
        <v>0.93778172699999995</v>
      </c>
    </row>
    <row r="1043" spans="1:7" x14ac:dyDescent="0.35">
      <c r="A1043" s="9">
        <f xml:space="preserve"> ROW( scalarDataframe[[#This Row],[row_id]] ) - ROW( scalarDataframe[[#Headers],[row_id]] )</f>
        <v>1042</v>
      </c>
      <c r="B1043" s="16" t="str">
        <f xml:space="preserve"> INDEX( co_scalarInfo[scalarType], MATCH( scalarDataframe[[#This Row],[scalarName]],  co_scalarInfo[scalarName], 0 ) )</f>
        <v>physAdj</v>
      </c>
      <c r="C1043" s="44" t="str">
        <f xml:space="preserve"> INDEX( co_scalarInfo[scalarLabel], MATCH( scalarDataframe[[#This Row],[scalarName]], co_scalarInfo[scalarName], 0 ) )</f>
        <v>MH 5+ Population Proportion Adjustment Factor</v>
      </c>
      <c r="D1043" s="24" t="s">
        <v>1312</v>
      </c>
      <c r="E1043" s="17" t="s">
        <v>8</v>
      </c>
      <c r="F1043" s="25">
        <v>2032</v>
      </c>
      <c r="G1043" s="26">
        <v>0.93797709600000001</v>
      </c>
    </row>
    <row r="1044" spans="1:7" x14ac:dyDescent="0.35">
      <c r="A1044" s="9">
        <f xml:space="preserve"> ROW( scalarDataframe[[#This Row],[row_id]] ) - ROW( scalarDataframe[[#Headers],[row_id]] )</f>
        <v>1043</v>
      </c>
      <c r="B1044" s="16" t="str">
        <f xml:space="preserve"> INDEX( co_scalarInfo[scalarType], MATCH( scalarDataframe[[#This Row],[scalarName]],  co_scalarInfo[scalarName], 0 ) )</f>
        <v>physAdj</v>
      </c>
      <c r="C1044" s="44" t="str">
        <f xml:space="preserve"> INDEX( co_scalarInfo[scalarLabel], MATCH( scalarDataframe[[#This Row],[scalarName]], co_scalarInfo[scalarName], 0 ) )</f>
        <v>MH 5+ Population Proportion Adjustment Factor</v>
      </c>
      <c r="D1044" s="24" t="s">
        <v>1312</v>
      </c>
      <c r="E1044" s="17" t="s">
        <v>8</v>
      </c>
      <c r="F1044" s="25">
        <v>2033</v>
      </c>
      <c r="G1044" s="26">
        <v>0.93789931699999995</v>
      </c>
    </row>
    <row r="1045" spans="1:7" x14ac:dyDescent="0.35">
      <c r="A1045" s="9">
        <f xml:space="preserve"> ROW( scalarDataframe[[#This Row],[row_id]] ) - ROW( scalarDataframe[[#Headers],[row_id]] )</f>
        <v>1044</v>
      </c>
      <c r="B1045" s="16" t="str">
        <f xml:space="preserve"> INDEX( co_scalarInfo[scalarType], MATCH( scalarDataframe[[#This Row],[scalarName]],  co_scalarInfo[scalarName], 0 ) )</f>
        <v>physAdj</v>
      </c>
      <c r="C1045" s="44" t="str">
        <f xml:space="preserve"> INDEX( co_scalarInfo[scalarLabel], MATCH( scalarDataframe[[#This Row],[scalarName]], co_scalarInfo[scalarName], 0 ) )</f>
        <v>MH 5+ Population Proportion Adjustment Factor</v>
      </c>
      <c r="D1045" s="24" t="s">
        <v>1312</v>
      </c>
      <c r="E1045" s="17" t="s">
        <v>8</v>
      </c>
      <c r="F1045" s="25">
        <v>2037</v>
      </c>
      <c r="G1045" s="26">
        <v>0.93758358500000005</v>
      </c>
    </row>
    <row r="1046" spans="1:7" x14ac:dyDescent="0.35">
      <c r="A1046" s="9">
        <f xml:space="preserve"> ROW( scalarDataframe[[#This Row],[row_id]] ) - ROW( scalarDataframe[[#Headers],[row_id]] )</f>
        <v>1045</v>
      </c>
      <c r="B1046" s="16" t="str">
        <f xml:space="preserve"> INDEX( co_scalarInfo[scalarType], MATCH( scalarDataframe[[#This Row],[scalarName]],  co_scalarInfo[scalarName], 0 ) )</f>
        <v>physAdj</v>
      </c>
      <c r="C1046" s="44" t="str">
        <f xml:space="preserve"> INDEX( co_scalarInfo[scalarLabel], MATCH( scalarDataframe[[#This Row],[scalarName]], co_scalarInfo[scalarName], 0 ) )</f>
        <v>MH 5+ Population Proportion Adjustment Factor</v>
      </c>
      <c r="D1046" s="24" t="s">
        <v>1312</v>
      </c>
      <c r="E1046" s="17" t="s">
        <v>8</v>
      </c>
      <c r="F1046" s="25">
        <v>2044</v>
      </c>
      <c r="G1046" s="26">
        <v>0.93718270599999998</v>
      </c>
    </row>
    <row r="1047" spans="1:7" x14ac:dyDescent="0.35">
      <c r="A1047" s="9">
        <f xml:space="preserve"> ROW( scalarDataframe[[#This Row],[row_id]] ) - ROW( scalarDataframe[[#Headers],[row_id]] )</f>
        <v>1046</v>
      </c>
      <c r="B1047" s="16" t="str">
        <f xml:space="preserve"> INDEX( co_scalarInfo[scalarType], MATCH( scalarDataframe[[#This Row],[scalarName]],  co_scalarInfo[scalarName], 0 ) )</f>
        <v>physAdj</v>
      </c>
      <c r="C1047" s="44" t="str">
        <f xml:space="preserve"> INDEX( co_scalarInfo[scalarLabel], MATCH( scalarDataframe[[#This Row],[scalarName]], co_scalarInfo[scalarName], 0 ) )</f>
        <v>MH 5+ Population Proportion Adjustment Factor</v>
      </c>
      <c r="D1047" s="24" t="s">
        <v>1312</v>
      </c>
      <c r="E1047" s="17" t="s">
        <v>8</v>
      </c>
      <c r="F1047" s="25">
        <v>2048</v>
      </c>
      <c r="G1047" s="26">
        <v>0.93697875200000003</v>
      </c>
    </row>
    <row r="1048" spans="1:7" x14ac:dyDescent="0.35">
      <c r="A1048" s="9">
        <f xml:space="preserve"> ROW( scalarDataframe[[#This Row],[row_id]] ) - ROW( scalarDataframe[[#Headers],[row_id]] )</f>
        <v>1047</v>
      </c>
      <c r="B1048" s="16" t="str">
        <f xml:space="preserve"> INDEX( co_scalarInfo[scalarType], MATCH( scalarDataframe[[#This Row],[scalarName]],  co_scalarInfo[scalarName], 0 ) )</f>
        <v>physAdj</v>
      </c>
      <c r="C1048" s="44" t="str">
        <f xml:space="preserve"> INDEX( co_scalarInfo[scalarLabel], MATCH( scalarDataframe[[#This Row],[scalarName]], co_scalarInfo[scalarName], 0 ) )</f>
        <v>MH 5+ Population Proportion Adjustment Factor</v>
      </c>
      <c r="D1048" s="24" t="s">
        <v>1312</v>
      </c>
      <c r="E1048" s="17" t="s">
        <v>8</v>
      </c>
      <c r="F1048" s="25">
        <v>2049</v>
      </c>
      <c r="G1048" s="26">
        <v>0.936927277</v>
      </c>
    </row>
    <row r="1049" spans="1:7" x14ac:dyDescent="0.35">
      <c r="A1049" s="9">
        <f xml:space="preserve"> ROW( scalarDataframe[[#This Row],[row_id]] ) - ROW( scalarDataframe[[#Headers],[row_id]] )</f>
        <v>1048</v>
      </c>
      <c r="B1049" s="16" t="str">
        <f xml:space="preserve"> INDEX( co_scalarInfo[scalarType], MATCH( scalarDataframe[[#This Row],[scalarName]],  co_scalarInfo[scalarName], 0 ) )</f>
        <v>physAdj</v>
      </c>
      <c r="C1049" s="44" t="str">
        <f xml:space="preserve"> INDEX( co_scalarInfo[scalarLabel], MATCH( scalarDataframe[[#This Row],[scalarName]], co_scalarInfo[scalarName], 0 ) )</f>
        <v>MH 5+ Population Proportion Adjustment Factor</v>
      </c>
      <c r="D1049" s="24" t="s">
        <v>1312</v>
      </c>
      <c r="E1049" s="17" t="s">
        <v>8</v>
      </c>
      <c r="F1049" s="25">
        <v>2050</v>
      </c>
      <c r="G1049" s="26">
        <v>0.93687367799999999</v>
      </c>
    </row>
    <row r="1050" spans="1:7" x14ac:dyDescent="0.35">
      <c r="A1050" s="9">
        <f xml:space="preserve"> ROW( scalarDataframe[[#This Row],[row_id]] ) - ROW( scalarDataframe[[#Headers],[row_id]] )</f>
        <v>1049</v>
      </c>
      <c r="B1050" s="16" t="str">
        <f xml:space="preserve"> INDEX( co_scalarInfo[scalarType], MATCH( scalarDataframe[[#This Row],[scalarName]],  co_scalarInfo[scalarName], 0 ) )</f>
        <v>physAdj</v>
      </c>
      <c r="C1050" s="44" t="str">
        <f xml:space="preserve"> INDEX( co_scalarInfo[scalarLabel], MATCH( scalarDataframe[[#This Row],[scalarName]], co_scalarInfo[scalarName], 0 ) )</f>
        <v>MH 5+ Population Proportion Adjustment Factor</v>
      </c>
      <c r="D1050" s="24" t="s">
        <v>1312</v>
      </c>
      <c r="E1050" s="17" t="s">
        <v>8</v>
      </c>
      <c r="F1050" s="25">
        <v>2052</v>
      </c>
      <c r="G1050" s="26">
        <v>0.93706963200000004</v>
      </c>
    </row>
    <row r="1051" spans="1:7" x14ac:dyDescent="0.35">
      <c r="A1051" s="9">
        <f xml:space="preserve"> ROW( scalarDataframe[[#This Row],[row_id]] ) - ROW( scalarDataframe[[#Headers],[row_id]] )</f>
        <v>1050</v>
      </c>
      <c r="B1051" s="16" t="str">
        <f xml:space="preserve"> INDEX( co_scalarInfo[scalarType], MATCH( scalarDataframe[[#This Row],[scalarName]],  co_scalarInfo[scalarName], 0 ) )</f>
        <v>physAdj</v>
      </c>
      <c r="C1051" s="44" t="str">
        <f xml:space="preserve"> INDEX( co_scalarInfo[scalarLabel], MATCH( scalarDataframe[[#This Row],[scalarName]], co_scalarInfo[scalarName], 0 ) )</f>
        <v>MH 5+ Population Proportion Adjustment Factor</v>
      </c>
      <c r="D1051" s="24" t="s">
        <v>1312</v>
      </c>
      <c r="E1051" s="17" t="s">
        <v>8</v>
      </c>
      <c r="F1051" s="25">
        <v>2055</v>
      </c>
      <c r="G1051" s="26">
        <v>0.93735864800000002</v>
      </c>
    </row>
    <row r="1052" spans="1:7" x14ac:dyDescent="0.35">
      <c r="A1052" s="9">
        <f xml:space="preserve"> ROW( scalarDataframe[[#This Row],[row_id]] ) - ROW( scalarDataframe[[#Headers],[row_id]] )</f>
        <v>1051</v>
      </c>
      <c r="B1052" s="16" t="str">
        <f xml:space="preserve"> INDEX( co_scalarInfo[scalarType], MATCH( scalarDataframe[[#This Row],[scalarName]],  co_scalarInfo[scalarName], 0 ) )</f>
        <v>physAdj</v>
      </c>
      <c r="C1052" s="44" t="str">
        <f xml:space="preserve"> INDEX( co_scalarInfo[scalarLabel], MATCH( scalarDataframe[[#This Row],[scalarName]], co_scalarInfo[scalarName], 0 ) )</f>
        <v>MH 5+ Population Proportion Adjustment Factor</v>
      </c>
      <c r="D1052" s="24" t="s">
        <v>1312</v>
      </c>
      <c r="E1052" s="17" t="s">
        <v>8</v>
      </c>
      <c r="F1052" s="25">
        <v>2059</v>
      </c>
      <c r="G1052" s="26">
        <v>0.93777972399999998</v>
      </c>
    </row>
    <row r="1053" spans="1:7" x14ac:dyDescent="0.35">
      <c r="A1053" s="9">
        <f xml:space="preserve"> ROW( scalarDataframe[[#This Row],[row_id]] ) - ROW( scalarDataframe[[#Headers],[row_id]] )</f>
        <v>1052</v>
      </c>
      <c r="B1053" s="16" t="str">
        <f xml:space="preserve"> INDEX( co_scalarInfo[scalarType], MATCH( scalarDataframe[[#This Row],[scalarName]],  co_scalarInfo[scalarName], 0 ) )</f>
        <v>physAdj</v>
      </c>
      <c r="C1053" s="44" t="str">
        <f xml:space="preserve"> INDEX( co_scalarInfo[scalarLabel], MATCH( scalarDataframe[[#This Row],[scalarName]], co_scalarInfo[scalarName], 0 ) )</f>
        <v>MH 5+ Population Proportion Adjustment Factor</v>
      </c>
      <c r="D1053" s="24" t="s">
        <v>1312</v>
      </c>
      <c r="E1053" s="17" t="s">
        <v>8</v>
      </c>
      <c r="F1053" s="25">
        <v>2061</v>
      </c>
      <c r="G1053" s="26">
        <v>0.93786589499999995</v>
      </c>
    </row>
    <row r="1054" spans="1:7" x14ac:dyDescent="0.35">
      <c r="A1054" s="9">
        <f xml:space="preserve"> ROW( scalarDataframe[[#This Row],[row_id]] ) - ROW( scalarDataframe[[#Headers],[row_id]] )</f>
        <v>1053</v>
      </c>
      <c r="B1054" s="16" t="str">
        <f xml:space="preserve"> INDEX( co_scalarInfo[scalarType], MATCH( scalarDataframe[[#This Row],[scalarName]],  co_scalarInfo[scalarName], 0 ) )</f>
        <v>physAdj</v>
      </c>
      <c r="C1054" s="44" t="str">
        <f xml:space="preserve"> INDEX( co_scalarInfo[scalarLabel], MATCH( scalarDataframe[[#This Row],[scalarName]], co_scalarInfo[scalarName], 0 ) )</f>
        <v>MH 5+ Population Proportion Adjustment Factor</v>
      </c>
      <c r="D1054" s="24" t="s">
        <v>1312</v>
      </c>
      <c r="E1054" s="17" t="s">
        <v>8</v>
      </c>
      <c r="F1054" s="25">
        <v>2062</v>
      </c>
      <c r="G1054" s="26">
        <v>0.93785041400000002</v>
      </c>
    </row>
    <row r="1055" spans="1:7" x14ac:dyDescent="0.35">
      <c r="A1055" s="9">
        <f xml:space="preserve"> ROW( scalarDataframe[[#This Row],[row_id]] ) - ROW( scalarDataframe[[#Headers],[row_id]] )</f>
        <v>1054</v>
      </c>
      <c r="B1055" s="16" t="str">
        <f xml:space="preserve"> INDEX( co_scalarInfo[scalarType], MATCH( scalarDataframe[[#This Row],[scalarName]],  co_scalarInfo[scalarName], 0 ) )</f>
        <v>physAdj</v>
      </c>
      <c r="C1055" s="44" t="str">
        <f xml:space="preserve"> INDEX( co_scalarInfo[scalarLabel], MATCH( scalarDataframe[[#This Row],[scalarName]], co_scalarInfo[scalarName], 0 ) )</f>
        <v>MH 5+ Population Proportion Adjustment Factor</v>
      </c>
      <c r="D1055" s="24" t="s">
        <v>1312</v>
      </c>
      <c r="E1055" s="17" t="s">
        <v>8</v>
      </c>
      <c r="F1055" s="25">
        <v>2064</v>
      </c>
      <c r="G1055" s="26">
        <v>0.93781914099999997</v>
      </c>
    </row>
    <row r="1056" spans="1:7" x14ac:dyDescent="0.35">
      <c r="A1056" s="9">
        <f xml:space="preserve"> ROW( scalarDataframe[[#This Row],[row_id]] ) - ROW( scalarDataframe[[#Headers],[row_id]] )</f>
        <v>1055</v>
      </c>
      <c r="B1056" s="16" t="str">
        <f xml:space="preserve"> INDEX( co_scalarInfo[scalarType], MATCH( scalarDataframe[[#This Row],[scalarName]],  co_scalarInfo[scalarName], 0 ) )</f>
        <v>physAdj</v>
      </c>
      <c r="C1056" s="44" t="str">
        <f xml:space="preserve"> INDEX( co_scalarInfo[scalarLabel], MATCH( scalarDataframe[[#This Row],[scalarName]], co_scalarInfo[scalarName], 0 ) )</f>
        <v>MH 5+ Population Proportion Adjustment Factor</v>
      </c>
      <c r="D1056" s="24" t="s">
        <v>1312</v>
      </c>
      <c r="E1056" s="17" t="s">
        <v>8</v>
      </c>
      <c r="F1056" s="25">
        <v>2067</v>
      </c>
      <c r="G1056" s="26">
        <v>0.93777200599999999</v>
      </c>
    </row>
    <row r="1057" spans="1:7" x14ac:dyDescent="0.35">
      <c r="A1057" s="9">
        <f xml:space="preserve"> ROW( scalarDataframe[[#This Row],[row_id]] ) - ROW( scalarDataframe[[#Headers],[row_id]] )</f>
        <v>1056</v>
      </c>
      <c r="B1057" s="16" t="str">
        <f xml:space="preserve"> INDEX( co_scalarInfo[scalarType], MATCH( scalarDataframe[[#This Row],[scalarName]],  co_scalarInfo[scalarName], 0 ) )</f>
        <v>physAdj</v>
      </c>
      <c r="C1057" s="44" t="str">
        <f xml:space="preserve"> INDEX( co_scalarInfo[scalarLabel], MATCH( scalarDataframe[[#This Row],[scalarName]], co_scalarInfo[scalarName], 0 ) )</f>
        <v>MH 5+ Population Proportion Adjustment Factor</v>
      </c>
      <c r="D1057" s="24" t="s">
        <v>1312</v>
      </c>
      <c r="E1057" s="17" t="s">
        <v>8</v>
      </c>
      <c r="F1057" s="25">
        <v>2071</v>
      </c>
      <c r="G1057" s="26">
        <v>0.93775534800000004</v>
      </c>
    </row>
    <row r="1058" spans="1:7" x14ac:dyDescent="0.35">
      <c r="A1058" s="9">
        <f xml:space="preserve"> ROW( scalarDataframe[[#This Row],[row_id]] ) - ROW( scalarDataframe[[#Headers],[row_id]] )</f>
        <v>1057</v>
      </c>
      <c r="B1058" s="16" t="str">
        <f xml:space="preserve"> INDEX( co_scalarInfo[scalarType], MATCH( scalarDataframe[[#This Row],[scalarName]],  co_scalarInfo[scalarName], 0 ) )</f>
        <v>physAdj</v>
      </c>
      <c r="C1058" s="44" t="str">
        <f xml:space="preserve"> INDEX( co_scalarInfo[scalarLabel], MATCH( scalarDataframe[[#This Row],[scalarName]], co_scalarInfo[scalarName], 0 ) )</f>
        <v>MH 5+ Population Proportion Adjustment Factor</v>
      </c>
      <c r="D1058" s="24" t="s">
        <v>1312</v>
      </c>
      <c r="E1058" s="17" t="s">
        <v>8</v>
      </c>
      <c r="F1058" s="25">
        <v>2076</v>
      </c>
      <c r="G1058" s="26">
        <v>0.93789983799999999</v>
      </c>
    </row>
    <row r="1059" spans="1:7" x14ac:dyDescent="0.35">
      <c r="A1059" s="9">
        <f xml:space="preserve"> ROW( scalarDataframe[[#This Row],[row_id]] ) - ROW( scalarDataframe[[#Headers],[row_id]] )</f>
        <v>1058</v>
      </c>
      <c r="B1059" s="16" t="str">
        <f xml:space="preserve"> INDEX( co_scalarInfo[scalarType], MATCH( scalarDataframe[[#This Row],[scalarName]],  co_scalarInfo[scalarName], 0 ) )</f>
        <v>physAdj</v>
      </c>
      <c r="C1059" s="44" t="str">
        <f xml:space="preserve"> INDEX( co_scalarInfo[scalarLabel], MATCH( scalarDataframe[[#This Row],[scalarName]], co_scalarInfo[scalarName], 0 ) )</f>
        <v>MH 5+ Population Proportion Adjustment Factor</v>
      </c>
      <c r="D1059" s="24" t="s">
        <v>1312</v>
      </c>
      <c r="E1059" s="17" t="s">
        <v>8</v>
      </c>
      <c r="F1059" s="25">
        <v>2077</v>
      </c>
      <c r="G1059" s="26">
        <v>0.93792998999999999</v>
      </c>
    </row>
    <row r="1060" spans="1:7" x14ac:dyDescent="0.35">
      <c r="A1060" s="9">
        <f xml:space="preserve"> ROW( scalarDataframe[[#This Row],[row_id]] ) - ROW( scalarDataframe[[#Headers],[row_id]] )</f>
        <v>1059</v>
      </c>
      <c r="B1060" s="16" t="str">
        <f xml:space="preserve"> INDEX( co_scalarInfo[scalarType], MATCH( scalarDataframe[[#This Row],[scalarName]],  co_scalarInfo[scalarName], 0 ) )</f>
        <v>physAdj</v>
      </c>
      <c r="C1060" s="44" t="str">
        <f xml:space="preserve"> INDEX( co_scalarInfo[scalarLabel], MATCH( scalarDataframe[[#This Row],[scalarName]], co_scalarInfo[scalarName], 0 ) )</f>
        <v>MH 5+ Population Proportion Adjustment Factor</v>
      </c>
      <c r="D1060" s="24" t="s">
        <v>1312</v>
      </c>
      <c r="E1060" s="17" t="s">
        <v>8</v>
      </c>
      <c r="F1060" s="25">
        <v>2081</v>
      </c>
      <c r="G1060" s="26">
        <v>0.93808667099999998</v>
      </c>
    </row>
    <row r="1061" spans="1:7" x14ac:dyDescent="0.35">
      <c r="A1061" s="9">
        <f xml:space="preserve"> ROW( scalarDataframe[[#This Row],[row_id]] ) - ROW( scalarDataframe[[#Headers],[row_id]] )</f>
        <v>1060</v>
      </c>
      <c r="B1061" s="16" t="str">
        <f xml:space="preserve"> INDEX( co_scalarInfo[scalarType], MATCH( scalarDataframe[[#This Row],[scalarName]],  co_scalarInfo[scalarName], 0 ) )</f>
        <v>physAdj</v>
      </c>
      <c r="C1061" s="44" t="str">
        <f xml:space="preserve"> INDEX( co_scalarInfo[scalarLabel], MATCH( scalarDataframe[[#This Row],[scalarName]], co_scalarInfo[scalarName], 0 ) )</f>
        <v>MH 5+ Population Proportion Adjustment Factor</v>
      </c>
      <c r="D1061" s="24" t="s">
        <v>1312</v>
      </c>
      <c r="E1061" s="17" t="s">
        <v>8</v>
      </c>
      <c r="F1061" s="25">
        <v>2082</v>
      </c>
      <c r="G1061" s="26">
        <v>0.93815620099999997</v>
      </c>
    </row>
    <row r="1062" spans="1:7" x14ac:dyDescent="0.35">
      <c r="A1062" s="9">
        <f xml:space="preserve"> ROW( scalarDataframe[[#This Row],[row_id]] ) - ROW( scalarDataframe[[#Headers],[row_id]] )</f>
        <v>1061</v>
      </c>
      <c r="B1062" s="16" t="str">
        <f xml:space="preserve"> INDEX( co_scalarInfo[scalarType], MATCH( scalarDataframe[[#This Row],[scalarName]],  co_scalarInfo[scalarName], 0 ) )</f>
        <v>physAdj</v>
      </c>
      <c r="C1062" s="44" t="str">
        <f xml:space="preserve"> INDEX( co_scalarInfo[scalarLabel], MATCH( scalarDataframe[[#This Row],[scalarName]], co_scalarInfo[scalarName], 0 ) )</f>
        <v>MH 5+ Population Proportion Adjustment Factor</v>
      </c>
      <c r="D1062" s="24" t="s">
        <v>1312</v>
      </c>
      <c r="E1062" s="17" t="s">
        <v>8</v>
      </c>
      <c r="F1062" s="25">
        <v>2087</v>
      </c>
      <c r="G1062" s="26">
        <v>0.93850641300000004</v>
      </c>
    </row>
    <row r="1063" spans="1:7" x14ac:dyDescent="0.35">
      <c r="A1063" s="9">
        <f xml:space="preserve"> ROW( scalarDataframe[[#This Row],[row_id]] ) - ROW( scalarDataframe[[#Headers],[row_id]] )</f>
        <v>1062</v>
      </c>
      <c r="B1063" s="16" t="str">
        <f xml:space="preserve"> INDEX( co_scalarInfo[scalarType], MATCH( scalarDataframe[[#This Row],[scalarName]],  co_scalarInfo[scalarName], 0 ) )</f>
        <v>physAdj</v>
      </c>
      <c r="C1063" s="44" t="str">
        <f xml:space="preserve"> INDEX( co_scalarInfo[scalarLabel], MATCH( scalarDataframe[[#This Row],[scalarName]], co_scalarInfo[scalarName], 0 ) )</f>
        <v>MH 5+ Population Proportion Adjustment Factor</v>
      </c>
      <c r="D1063" s="24" t="s">
        <v>1312</v>
      </c>
      <c r="E1063" s="17" t="s">
        <v>8</v>
      </c>
      <c r="F1063" s="25">
        <v>2091</v>
      </c>
      <c r="G1063" s="26">
        <v>0.938759261009257</v>
      </c>
    </row>
    <row r="1064" spans="1:7" x14ac:dyDescent="0.35">
      <c r="A1064" s="9">
        <f xml:space="preserve"> ROW( scalarDataframe[[#This Row],[row_id]] ) - ROW( scalarDataframe[[#Headers],[row_id]] )</f>
        <v>1063</v>
      </c>
      <c r="B1064" s="16" t="str">
        <f xml:space="preserve"> INDEX( co_scalarInfo[scalarType], MATCH( scalarDataframe[[#This Row],[scalarName]],  co_scalarInfo[scalarName], 0 ) )</f>
        <v>physAdj</v>
      </c>
      <c r="C1064" s="44" t="str">
        <f xml:space="preserve"> INDEX( co_scalarInfo[scalarLabel], MATCH( scalarDataframe[[#This Row],[scalarName]], co_scalarInfo[scalarName], 0 ) )</f>
        <v>MH 5+ Population Proportion Adjustment Factor</v>
      </c>
      <c r="D1064" s="24" t="s">
        <v>1312</v>
      </c>
      <c r="E1064" s="17" t="s">
        <v>8</v>
      </c>
      <c r="F1064" s="25">
        <v>2300</v>
      </c>
      <c r="G1064" s="26">
        <v>0.938759261009257</v>
      </c>
    </row>
    <row r="1065" spans="1:7" x14ac:dyDescent="0.35">
      <c r="A1065" s="9">
        <f xml:space="preserve"> ROW( scalarDataframe[[#This Row],[row_id]] ) - ROW( scalarDataframe[[#Headers],[row_id]] )</f>
        <v>1064</v>
      </c>
      <c r="B1065" s="16" t="str">
        <f xml:space="preserve"> INDEX( co_scalarInfo[scalarType], MATCH( scalarDataframe[[#This Row],[scalarName]],  co_scalarInfo[scalarName], 0 ) )</f>
        <v>physAdj</v>
      </c>
      <c r="C1065" s="44" t="str">
        <f xml:space="preserve"> INDEX( co_scalarInfo[scalarLabel], MATCH( scalarDataframe[[#This Row],[scalarName]], co_scalarInfo[scalarName], 0 ) )</f>
        <v>MH 5+ Population Proportion Adjustment Factor</v>
      </c>
      <c r="D1065" s="24" t="s">
        <v>1312</v>
      </c>
      <c r="E1065" s="17" t="s">
        <v>9</v>
      </c>
      <c r="F1065" s="25">
        <v>2010</v>
      </c>
      <c r="G1065" s="26">
        <v>0.93330461750000004</v>
      </c>
    </row>
    <row r="1066" spans="1:7" x14ac:dyDescent="0.35">
      <c r="A1066" s="9">
        <f xml:space="preserve"> ROW( scalarDataframe[[#This Row],[row_id]] ) - ROW( scalarDataframe[[#Headers],[row_id]] )</f>
        <v>1065</v>
      </c>
      <c r="B1066" s="16" t="str">
        <f xml:space="preserve"> INDEX( co_scalarInfo[scalarType], MATCH( scalarDataframe[[#This Row],[scalarName]],  co_scalarInfo[scalarName], 0 ) )</f>
        <v>physAdj</v>
      </c>
      <c r="C1066" s="44" t="str">
        <f xml:space="preserve"> INDEX( co_scalarInfo[scalarLabel], MATCH( scalarDataframe[[#This Row],[scalarName]], co_scalarInfo[scalarName], 0 ) )</f>
        <v>MH 5+ Population Proportion Adjustment Factor</v>
      </c>
      <c r="D1066" s="24" t="s">
        <v>1312</v>
      </c>
      <c r="E1066" s="17" t="s">
        <v>9</v>
      </c>
      <c r="F1066" s="25">
        <v>2011</v>
      </c>
      <c r="G1066" s="26">
        <v>0.93353595700000003</v>
      </c>
    </row>
    <row r="1067" spans="1:7" x14ac:dyDescent="0.35">
      <c r="A1067" s="9">
        <f xml:space="preserve"> ROW( scalarDataframe[[#This Row],[row_id]] ) - ROW( scalarDataframe[[#Headers],[row_id]] )</f>
        <v>1066</v>
      </c>
      <c r="B1067" s="16" t="str">
        <f xml:space="preserve"> INDEX( co_scalarInfo[scalarType], MATCH( scalarDataframe[[#This Row],[scalarName]],  co_scalarInfo[scalarName], 0 ) )</f>
        <v>physAdj</v>
      </c>
      <c r="C1067" s="44" t="str">
        <f xml:space="preserve"> INDEX( co_scalarInfo[scalarLabel], MATCH( scalarDataframe[[#This Row],[scalarName]], co_scalarInfo[scalarName], 0 ) )</f>
        <v>MH 5+ Population Proportion Adjustment Factor</v>
      </c>
      <c r="D1067" s="24" t="s">
        <v>1312</v>
      </c>
      <c r="E1067" s="17" t="s">
        <v>9</v>
      </c>
      <c r="F1067" s="25">
        <v>2013</v>
      </c>
      <c r="G1067" s="26">
        <v>0.93399863599999999</v>
      </c>
    </row>
    <row r="1068" spans="1:7" x14ac:dyDescent="0.35">
      <c r="A1068" s="9">
        <f xml:space="preserve"> ROW( scalarDataframe[[#This Row],[row_id]] ) - ROW( scalarDataframe[[#Headers],[row_id]] )</f>
        <v>1067</v>
      </c>
      <c r="B1068" s="16" t="str">
        <f xml:space="preserve"> INDEX( co_scalarInfo[scalarType], MATCH( scalarDataframe[[#This Row],[scalarName]],  co_scalarInfo[scalarName], 0 ) )</f>
        <v>physAdj</v>
      </c>
      <c r="C1068" s="44" t="str">
        <f xml:space="preserve"> INDEX( co_scalarInfo[scalarLabel], MATCH( scalarDataframe[[#This Row],[scalarName]], co_scalarInfo[scalarName], 0 ) )</f>
        <v>MH 5+ Population Proportion Adjustment Factor</v>
      </c>
      <c r="D1068" s="24" t="s">
        <v>1312</v>
      </c>
      <c r="E1068" s="17" t="s">
        <v>9</v>
      </c>
      <c r="F1068" s="25">
        <v>2017</v>
      </c>
      <c r="G1068" s="26">
        <v>0.93488496499999996</v>
      </c>
    </row>
    <row r="1069" spans="1:7" x14ac:dyDescent="0.35">
      <c r="A1069" s="9">
        <f xml:space="preserve"> ROW( scalarDataframe[[#This Row],[row_id]] ) - ROW( scalarDataframe[[#Headers],[row_id]] )</f>
        <v>1068</v>
      </c>
      <c r="B1069" s="16" t="str">
        <f xml:space="preserve"> INDEX( co_scalarInfo[scalarType], MATCH( scalarDataframe[[#This Row],[scalarName]],  co_scalarInfo[scalarName], 0 ) )</f>
        <v>physAdj</v>
      </c>
      <c r="C1069" s="44" t="str">
        <f xml:space="preserve"> INDEX( co_scalarInfo[scalarLabel], MATCH( scalarDataframe[[#This Row],[scalarName]], co_scalarInfo[scalarName], 0 ) )</f>
        <v>MH 5+ Population Proportion Adjustment Factor</v>
      </c>
      <c r="D1069" s="24" t="s">
        <v>1312</v>
      </c>
      <c r="E1069" s="17" t="s">
        <v>9</v>
      </c>
      <c r="F1069" s="25">
        <v>2025</v>
      </c>
      <c r="G1069" s="26">
        <v>0.93644254800000004</v>
      </c>
    </row>
    <row r="1070" spans="1:7" x14ac:dyDescent="0.35">
      <c r="A1070" s="9">
        <f xml:space="preserve"> ROW( scalarDataframe[[#This Row],[row_id]] ) - ROW( scalarDataframe[[#Headers],[row_id]] )</f>
        <v>1069</v>
      </c>
      <c r="B1070" s="16" t="str">
        <f xml:space="preserve"> INDEX( co_scalarInfo[scalarType], MATCH( scalarDataframe[[#This Row],[scalarName]],  co_scalarInfo[scalarName], 0 ) )</f>
        <v>physAdj</v>
      </c>
      <c r="C1070" s="44" t="str">
        <f xml:space="preserve"> INDEX( co_scalarInfo[scalarLabel], MATCH( scalarDataframe[[#This Row],[scalarName]], co_scalarInfo[scalarName], 0 ) )</f>
        <v>MH 5+ Population Proportion Adjustment Factor</v>
      </c>
      <c r="D1070" s="24" t="s">
        <v>1312</v>
      </c>
      <c r="E1070" s="17" t="s">
        <v>9</v>
      </c>
      <c r="F1070" s="25">
        <v>2029</v>
      </c>
      <c r="G1070" s="26">
        <v>0.937189143</v>
      </c>
    </row>
    <row r="1071" spans="1:7" x14ac:dyDescent="0.35">
      <c r="A1071" s="9">
        <f xml:space="preserve"> ROW( scalarDataframe[[#This Row],[row_id]] ) - ROW( scalarDataframe[[#Headers],[row_id]] )</f>
        <v>1070</v>
      </c>
      <c r="B1071" s="16" t="str">
        <f xml:space="preserve"> INDEX( co_scalarInfo[scalarType], MATCH( scalarDataframe[[#This Row],[scalarName]],  co_scalarInfo[scalarName], 0 ) )</f>
        <v>physAdj</v>
      </c>
      <c r="C1071" s="44" t="str">
        <f xml:space="preserve"> INDEX( co_scalarInfo[scalarLabel], MATCH( scalarDataframe[[#This Row],[scalarName]], co_scalarInfo[scalarName], 0 ) )</f>
        <v>MH 5+ Population Proportion Adjustment Factor</v>
      </c>
      <c r="D1071" s="24" t="s">
        <v>1312</v>
      </c>
      <c r="E1071" s="17" t="s">
        <v>9</v>
      </c>
      <c r="F1071" s="25">
        <v>2032</v>
      </c>
      <c r="G1071" s="26">
        <v>0.93717529799999999</v>
      </c>
    </row>
    <row r="1072" spans="1:7" x14ac:dyDescent="0.35">
      <c r="A1072" s="9">
        <f xml:space="preserve"> ROW( scalarDataframe[[#This Row],[row_id]] ) - ROW( scalarDataframe[[#Headers],[row_id]] )</f>
        <v>1071</v>
      </c>
      <c r="B1072" s="16" t="str">
        <f xml:space="preserve"> INDEX( co_scalarInfo[scalarType], MATCH( scalarDataframe[[#This Row],[scalarName]],  co_scalarInfo[scalarName], 0 ) )</f>
        <v>physAdj</v>
      </c>
      <c r="C1072" s="44" t="str">
        <f xml:space="preserve"> INDEX( co_scalarInfo[scalarLabel], MATCH( scalarDataframe[[#This Row],[scalarName]], co_scalarInfo[scalarName], 0 ) )</f>
        <v>MH 5+ Population Proportion Adjustment Factor</v>
      </c>
      <c r="D1072" s="24" t="s">
        <v>1312</v>
      </c>
      <c r="E1072" s="17" t="s">
        <v>9</v>
      </c>
      <c r="F1072" s="25">
        <v>2033</v>
      </c>
      <c r="G1072" s="26">
        <v>0.93707756399999997</v>
      </c>
    </row>
    <row r="1073" spans="1:7" x14ac:dyDescent="0.35">
      <c r="A1073" s="9">
        <f xml:space="preserve"> ROW( scalarDataframe[[#This Row],[row_id]] ) - ROW( scalarDataframe[[#Headers],[row_id]] )</f>
        <v>1072</v>
      </c>
      <c r="B1073" s="16" t="str">
        <f xml:space="preserve"> INDEX( co_scalarInfo[scalarType], MATCH( scalarDataframe[[#This Row],[scalarName]],  co_scalarInfo[scalarName], 0 ) )</f>
        <v>physAdj</v>
      </c>
      <c r="C1073" s="44" t="str">
        <f xml:space="preserve"> INDEX( co_scalarInfo[scalarLabel], MATCH( scalarDataframe[[#This Row],[scalarName]], co_scalarInfo[scalarName], 0 ) )</f>
        <v>MH 5+ Population Proportion Adjustment Factor</v>
      </c>
      <c r="D1073" s="24" t="s">
        <v>1312</v>
      </c>
      <c r="E1073" s="17" t="s">
        <v>9</v>
      </c>
      <c r="F1073" s="25">
        <v>2037</v>
      </c>
      <c r="G1073" s="26">
        <v>0.936686185</v>
      </c>
    </row>
    <row r="1074" spans="1:7" x14ac:dyDescent="0.35">
      <c r="A1074" s="9">
        <f xml:space="preserve"> ROW( scalarDataframe[[#This Row],[row_id]] ) - ROW( scalarDataframe[[#Headers],[row_id]] )</f>
        <v>1073</v>
      </c>
      <c r="B1074" s="16" t="str">
        <f xml:space="preserve"> INDEX( co_scalarInfo[scalarType], MATCH( scalarDataframe[[#This Row],[scalarName]],  co_scalarInfo[scalarName], 0 ) )</f>
        <v>physAdj</v>
      </c>
      <c r="C1074" s="44" t="str">
        <f xml:space="preserve"> INDEX( co_scalarInfo[scalarLabel], MATCH( scalarDataframe[[#This Row],[scalarName]], co_scalarInfo[scalarName], 0 ) )</f>
        <v>MH 5+ Population Proportion Adjustment Factor</v>
      </c>
      <c r="D1074" s="24" t="s">
        <v>1312</v>
      </c>
      <c r="E1074" s="17" t="s">
        <v>9</v>
      </c>
      <c r="F1074" s="25">
        <v>2044</v>
      </c>
      <c r="G1074" s="26">
        <v>0.93625290000000005</v>
      </c>
    </row>
    <row r="1075" spans="1:7" x14ac:dyDescent="0.35">
      <c r="A1075" s="9">
        <f xml:space="preserve"> ROW( scalarDataframe[[#This Row],[row_id]] ) - ROW( scalarDataframe[[#Headers],[row_id]] )</f>
        <v>1074</v>
      </c>
      <c r="B1075" s="16" t="str">
        <f xml:space="preserve"> INDEX( co_scalarInfo[scalarType], MATCH( scalarDataframe[[#This Row],[scalarName]],  co_scalarInfo[scalarName], 0 ) )</f>
        <v>physAdj</v>
      </c>
      <c r="C1075" s="44" t="str">
        <f xml:space="preserve"> INDEX( co_scalarInfo[scalarLabel], MATCH( scalarDataframe[[#This Row],[scalarName]], co_scalarInfo[scalarName], 0 ) )</f>
        <v>MH 5+ Population Proportion Adjustment Factor</v>
      </c>
      <c r="D1075" s="24" t="s">
        <v>1312</v>
      </c>
      <c r="E1075" s="17" t="s">
        <v>9</v>
      </c>
      <c r="F1075" s="25">
        <v>2048</v>
      </c>
      <c r="G1075" s="26">
        <v>0.93611719500000001</v>
      </c>
    </row>
    <row r="1076" spans="1:7" x14ac:dyDescent="0.35">
      <c r="A1076" s="9">
        <f xml:space="preserve"> ROW( scalarDataframe[[#This Row],[row_id]] ) - ROW( scalarDataframe[[#Headers],[row_id]] )</f>
        <v>1075</v>
      </c>
      <c r="B1076" s="16" t="str">
        <f xml:space="preserve"> INDEX( co_scalarInfo[scalarType], MATCH( scalarDataframe[[#This Row],[scalarName]],  co_scalarInfo[scalarName], 0 ) )</f>
        <v>physAdj</v>
      </c>
      <c r="C1076" s="44" t="str">
        <f xml:space="preserve"> INDEX( co_scalarInfo[scalarLabel], MATCH( scalarDataframe[[#This Row],[scalarName]], co_scalarInfo[scalarName], 0 ) )</f>
        <v>MH 5+ Population Proportion Adjustment Factor</v>
      </c>
      <c r="D1076" s="24" t="s">
        <v>1312</v>
      </c>
      <c r="E1076" s="17" t="s">
        <v>9</v>
      </c>
      <c r="F1076" s="25">
        <v>2049</v>
      </c>
      <c r="G1076" s="26">
        <v>0.93608435199999995</v>
      </c>
    </row>
    <row r="1077" spans="1:7" x14ac:dyDescent="0.35">
      <c r="A1077" s="9">
        <f xml:space="preserve"> ROW( scalarDataframe[[#This Row],[row_id]] ) - ROW( scalarDataframe[[#Headers],[row_id]] )</f>
        <v>1076</v>
      </c>
      <c r="B1077" s="16" t="str">
        <f xml:space="preserve"> INDEX( co_scalarInfo[scalarType], MATCH( scalarDataframe[[#This Row],[scalarName]],  co_scalarInfo[scalarName], 0 ) )</f>
        <v>physAdj</v>
      </c>
      <c r="C1077" s="44" t="str">
        <f xml:space="preserve"> INDEX( co_scalarInfo[scalarLabel], MATCH( scalarDataframe[[#This Row],[scalarName]], co_scalarInfo[scalarName], 0 ) )</f>
        <v>MH 5+ Population Proportion Adjustment Factor</v>
      </c>
      <c r="D1077" s="24" t="s">
        <v>1312</v>
      </c>
      <c r="E1077" s="17" t="s">
        <v>9</v>
      </c>
      <c r="F1077" s="25">
        <v>2050</v>
      </c>
      <c r="G1077" s="26">
        <v>0.93605020900000002</v>
      </c>
    </row>
    <row r="1078" spans="1:7" x14ac:dyDescent="0.35">
      <c r="A1078" s="9">
        <f xml:space="preserve"> ROW( scalarDataframe[[#This Row],[row_id]] ) - ROW( scalarDataframe[[#Headers],[row_id]] )</f>
        <v>1077</v>
      </c>
      <c r="B1078" s="16" t="str">
        <f xml:space="preserve"> INDEX( co_scalarInfo[scalarType], MATCH( scalarDataframe[[#This Row],[scalarName]],  co_scalarInfo[scalarName], 0 ) )</f>
        <v>physAdj</v>
      </c>
      <c r="C1078" s="44" t="str">
        <f xml:space="preserve"> INDEX( co_scalarInfo[scalarLabel], MATCH( scalarDataframe[[#This Row],[scalarName]], co_scalarInfo[scalarName], 0 ) )</f>
        <v>MH 5+ Population Proportion Adjustment Factor</v>
      </c>
      <c r="D1078" s="24" t="s">
        <v>1312</v>
      </c>
      <c r="E1078" s="17" t="s">
        <v>9</v>
      </c>
      <c r="F1078" s="25">
        <v>2052</v>
      </c>
      <c r="G1078" s="26">
        <v>0.93611082199999995</v>
      </c>
    </row>
    <row r="1079" spans="1:7" x14ac:dyDescent="0.35">
      <c r="A1079" s="9">
        <f xml:space="preserve"> ROW( scalarDataframe[[#This Row],[row_id]] ) - ROW( scalarDataframe[[#Headers],[row_id]] )</f>
        <v>1078</v>
      </c>
      <c r="B1079" s="16" t="str">
        <f xml:space="preserve"> INDEX( co_scalarInfo[scalarType], MATCH( scalarDataframe[[#This Row],[scalarName]],  co_scalarInfo[scalarName], 0 ) )</f>
        <v>physAdj</v>
      </c>
      <c r="C1079" s="44" t="str">
        <f xml:space="preserve"> INDEX( co_scalarInfo[scalarLabel], MATCH( scalarDataframe[[#This Row],[scalarName]], co_scalarInfo[scalarName], 0 ) )</f>
        <v>MH 5+ Population Proportion Adjustment Factor</v>
      </c>
      <c r="D1079" s="24" t="s">
        <v>1312</v>
      </c>
      <c r="E1079" s="17" t="s">
        <v>9</v>
      </c>
      <c r="F1079" s="25">
        <v>2055</v>
      </c>
      <c r="G1079" s="26">
        <v>0.93620020999999998</v>
      </c>
    </row>
    <row r="1080" spans="1:7" x14ac:dyDescent="0.35">
      <c r="A1080" s="9">
        <f xml:space="preserve"> ROW( scalarDataframe[[#This Row],[row_id]] ) - ROW( scalarDataframe[[#Headers],[row_id]] )</f>
        <v>1079</v>
      </c>
      <c r="B1080" s="16" t="str">
        <f xml:space="preserve"> INDEX( co_scalarInfo[scalarType], MATCH( scalarDataframe[[#This Row],[scalarName]],  co_scalarInfo[scalarName], 0 ) )</f>
        <v>physAdj</v>
      </c>
      <c r="C1080" s="44" t="str">
        <f xml:space="preserve"> INDEX( co_scalarInfo[scalarLabel], MATCH( scalarDataframe[[#This Row],[scalarName]], co_scalarInfo[scalarName], 0 ) )</f>
        <v>MH 5+ Population Proportion Adjustment Factor</v>
      </c>
      <c r="D1080" s="24" t="s">
        <v>1312</v>
      </c>
      <c r="E1080" s="17" t="s">
        <v>9</v>
      </c>
      <c r="F1080" s="25">
        <v>2059</v>
      </c>
      <c r="G1080" s="26">
        <v>0.93633414100000001</v>
      </c>
    </row>
    <row r="1081" spans="1:7" x14ac:dyDescent="0.35">
      <c r="A1081" s="9">
        <f xml:space="preserve"> ROW( scalarDataframe[[#This Row],[row_id]] ) - ROW( scalarDataframe[[#Headers],[row_id]] )</f>
        <v>1080</v>
      </c>
      <c r="B1081" s="16" t="str">
        <f xml:space="preserve"> INDEX( co_scalarInfo[scalarType], MATCH( scalarDataframe[[#This Row],[scalarName]],  co_scalarInfo[scalarName], 0 ) )</f>
        <v>physAdj</v>
      </c>
      <c r="C1081" s="44" t="str">
        <f xml:space="preserve"> INDEX( co_scalarInfo[scalarLabel], MATCH( scalarDataframe[[#This Row],[scalarName]], co_scalarInfo[scalarName], 0 ) )</f>
        <v>MH 5+ Population Proportion Adjustment Factor</v>
      </c>
      <c r="D1081" s="24" t="s">
        <v>1312</v>
      </c>
      <c r="E1081" s="17" t="s">
        <v>9</v>
      </c>
      <c r="F1081" s="25">
        <v>2061</v>
      </c>
      <c r="G1081" s="26">
        <v>0.93633142400000002</v>
      </c>
    </row>
    <row r="1082" spans="1:7" x14ac:dyDescent="0.35">
      <c r="A1082" s="9">
        <f xml:space="preserve"> ROW( scalarDataframe[[#This Row],[row_id]] ) - ROW( scalarDataframe[[#Headers],[row_id]] )</f>
        <v>1081</v>
      </c>
      <c r="B1082" s="16" t="str">
        <f xml:space="preserve"> INDEX( co_scalarInfo[scalarType], MATCH( scalarDataframe[[#This Row],[scalarName]],  co_scalarInfo[scalarName], 0 ) )</f>
        <v>physAdj</v>
      </c>
      <c r="C1082" s="44" t="str">
        <f xml:space="preserve"> INDEX( co_scalarInfo[scalarLabel], MATCH( scalarDataframe[[#This Row],[scalarName]], co_scalarInfo[scalarName], 0 ) )</f>
        <v>MH 5+ Population Proportion Adjustment Factor</v>
      </c>
      <c r="D1082" s="24" t="s">
        <v>1312</v>
      </c>
      <c r="E1082" s="17" t="s">
        <v>9</v>
      </c>
      <c r="F1082" s="25">
        <v>2062</v>
      </c>
      <c r="G1082" s="26">
        <v>0.936295408</v>
      </c>
    </row>
    <row r="1083" spans="1:7" x14ac:dyDescent="0.35">
      <c r="A1083" s="9">
        <f xml:space="preserve"> ROW( scalarDataframe[[#This Row],[row_id]] ) - ROW( scalarDataframe[[#Headers],[row_id]] )</f>
        <v>1082</v>
      </c>
      <c r="B1083" s="16" t="str">
        <f xml:space="preserve"> INDEX( co_scalarInfo[scalarType], MATCH( scalarDataframe[[#This Row],[scalarName]],  co_scalarInfo[scalarName], 0 ) )</f>
        <v>physAdj</v>
      </c>
      <c r="C1083" s="44" t="str">
        <f xml:space="preserve"> INDEX( co_scalarInfo[scalarLabel], MATCH( scalarDataframe[[#This Row],[scalarName]], co_scalarInfo[scalarName], 0 ) )</f>
        <v>MH 5+ Population Proportion Adjustment Factor</v>
      </c>
      <c r="D1083" s="24" t="s">
        <v>1312</v>
      </c>
      <c r="E1083" s="17" t="s">
        <v>9</v>
      </c>
      <c r="F1083" s="25">
        <v>2064</v>
      </c>
      <c r="G1083" s="26">
        <v>0.93622494499999998</v>
      </c>
    </row>
    <row r="1084" spans="1:7" x14ac:dyDescent="0.35">
      <c r="A1084" s="9">
        <f xml:space="preserve"> ROW( scalarDataframe[[#This Row],[row_id]] ) - ROW( scalarDataframe[[#Headers],[row_id]] )</f>
        <v>1083</v>
      </c>
      <c r="B1084" s="16" t="str">
        <f xml:space="preserve"> INDEX( co_scalarInfo[scalarType], MATCH( scalarDataframe[[#This Row],[scalarName]],  co_scalarInfo[scalarName], 0 ) )</f>
        <v>physAdj</v>
      </c>
      <c r="C1084" s="44" t="str">
        <f xml:space="preserve"> INDEX( co_scalarInfo[scalarLabel], MATCH( scalarDataframe[[#This Row],[scalarName]], co_scalarInfo[scalarName], 0 ) )</f>
        <v>MH 5+ Population Proportion Adjustment Factor</v>
      </c>
      <c r="D1084" s="24" t="s">
        <v>1312</v>
      </c>
      <c r="E1084" s="17" t="s">
        <v>9</v>
      </c>
      <c r="F1084" s="25">
        <v>2067</v>
      </c>
      <c r="G1084" s="26">
        <v>0.93611856999999998</v>
      </c>
    </row>
    <row r="1085" spans="1:7" x14ac:dyDescent="0.35">
      <c r="A1085" s="9">
        <f xml:space="preserve"> ROW( scalarDataframe[[#This Row],[row_id]] ) - ROW( scalarDataframe[[#Headers],[row_id]] )</f>
        <v>1084</v>
      </c>
      <c r="B1085" s="16" t="str">
        <f xml:space="preserve"> INDEX( co_scalarInfo[scalarType], MATCH( scalarDataframe[[#This Row],[scalarName]],  co_scalarInfo[scalarName], 0 ) )</f>
        <v>physAdj</v>
      </c>
      <c r="C1085" s="44" t="str">
        <f xml:space="preserve"> INDEX( co_scalarInfo[scalarLabel], MATCH( scalarDataframe[[#This Row],[scalarName]], co_scalarInfo[scalarName], 0 ) )</f>
        <v>MH 5+ Population Proportion Adjustment Factor</v>
      </c>
      <c r="D1085" s="24" t="s">
        <v>1312</v>
      </c>
      <c r="E1085" s="17" t="s">
        <v>9</v>
      </c>
      <c r="F1085" s="25">
        <v>2071</v>
      </c>
      <c r="G1085" s="26">
        <v>0.93605880299999999</v>
      </c>
    </row>
    <row r="1086" spans="1:7" x14ac:dyDescent="0.35">
      <c r="A1086" s="9">
        <f xml:space="preserve"> ROW( scalarDataframe[[#This Row],[row_id]] ) - ROW( scalarDataframe[[#Headers],[row_id]] )</f>
        <v>1085</v>
      </c>
      <c r="B1086" s="16" t="str">
        <f xml:space="preserve"> INDEX( co_scalarInfo[scalarType], MATCH( scalarDataframe[[#This Row],[scalarName]],  co_scalarInfo[scalarName], 0 ) )</f>
        <v>physAdj</v>
      </c>
      <c r="C1086" s="44" t="str">
        <f xml:space="preserve"> INDEX( co_scalarInfo[scalarLabel], MATCH( scalarDataframe[[#This Row],[scalarName]], co_scalarInfo[scalarName], 0 ) )</f>
        <v>MH 5+ Population Proportion Adjustment Factor</v>
      </c>
      <c r="D1086" s="24" t="s">
        <v>1312</v>
      </c>
      <c r="E1086" s="17" t="s">
        <v>9</v>
      </c>
      <c r="F1086" s="25">
        <v>2076</v>
      </c>
      <c r="G1086" s="26">
        <v>0.93628555000000002</v>
      </c>
    </row>
    <row r="1087" spans="1:7" x14ac:dyDescent="0.35">
      <c r="A1087" s="9">
        <f xml:space="preserve"> ROW( scalarDataframe[[#This Row],[row_id]] ) - ROW( scalarDataframe[[#Headers],[row_id]] )</f>
        <v>1086</v>
      </c>
      <c r="B1087" s="16" t="str">
        <f xml:space="preserve"> INDEX( co_scalarInfo[scalarType], MATCH( scalarDataframe[[#This Row],[scalarName]],  co_scalarInfo[scalarName], 0 ) )</f>
        <v>physAdj</v>
      </c>
      <c r="C1087" s="44" t="str">
        <f xml:space="preserve"> INDEX( co_scalarInfo[scalarLabel], MATCH( scalarDataframe[[#This Row],[scalarName]], co_scalarInfo[scalarName], 0 ) )</f>
        <v>MH 5+ Population Proportion Adjustment Factor</v>
      </c>
      <c r="D1087" s="24" t="s">
        <v>1312</v>
      </c>
      <c r="E1087" s="17" t="s">
        <v>9</v>
      </c>
      <c r="F1087" s="25">
        <v>2077</v>
      </c>
      <c r="G1087" s="26">
        <v>0.93633159600000004</v>
      </c>
    </row>
    <row r="1088" spans="1:7" x14ac:dyDescent="0.35">
      <c r="A1088" s="9">
        <f xml:space="preserve"> ROW( scalarDataframe[[#This Row],[row_id]] ) - ROW( scalarDataframe[[#Headers],[row_id]] )</f>
        <v>1087</v>
      </c>
      <c r="B1088" s="16" t="str">
        <f xml:space="preserve"> INDEX( co_scalarInfo[scalarType], MATCH( scalarDataframe[[#This Row],[scalarName]],  co_scalarInfo[scalarName], 0 ) )</f>
        <v>physAdj</v>
      </c>
      <c r="C1088" s="44" t="str">
        <f xml:space="preserve"> INDEX( co_scalarInfo[scalarLabel], MATCH( scalarDataframe[[#This Row],[scalarName]], co_scalarInfo[scalarName], 0 ) )</f>
        <v>MH 5+ Population Proportion Adjustment Factor</v>
      </c>
      <c r="D1088" s="24" t="s">
        <v>1312</v>
      </c>
      <c r="E1088" s="17" t="s">
        <v>9</v>
      </c>
      <c r="F1088" s="25">
        <v>2081</v>
      </c>
      <c r="G1088" s="26">
        <v>0.93654976400000001</v>
      </c>
    </row>
    <row r="1089" spans="1:7" x14ac:dyDescent="0.35">
      <c r="A1089" s="9">
        <f xml:space="preserve"> ROW( scalarDataframe[[#This Row],[row_id]] ) - ROW( scalarDataframe[[#Headers],[row_id]] )</f>
        <v>1088</v>
      </c>
      <c r="B1089" s="16" t="str">
        <f xml:space="preserve"> INDEX( co_scalarInfo[scalarType], MATCH( scalarDataframe[[#This Row],[scalarName]],  co_scalarInfo[scalarName], 0 ) )</f>
        <v>physAdj</v>
      </c>
      <c r="C1089" s="44" t="str">
        <f xml:space="preserve"> INDEX( co_scalarInfo[scalarLabel], MATCH( scalarDataframe[[#This Row],[scalarName]], co_scalarInfo[scalarName], 0 ) )</f>
        <v>MH 5+ Population Proportion Adjustment Factor</v>
      </c>
      <c r="D1089" s="24" t="s">
        <v>1312</v>
      </c>
      <c r="E1089" s="17" t="s">
        <v>9</v>
      </c>
      <c r="F1089" s="25">
        <v>2082</v>
      </c>
      <c r="G1089" s="26">
        <v>0.93663098199999995</v>
      </c>
    </row>
    <row r="1090" spans="1:7" x14ac:dyDescent="0.35">
      <c r="A1090" s="9">
        <f xml:space="preserve"> ROW( scalarDataframe[[#This Row],[row_id]] ) - ROW( scalarDataframe[[#Headers],[row_id]] )</f>
        <v>1089</v>
      </c>
      <c r="B1090" s="16" t="str">
        <f xml:space="preserve"> INDEX( co_scalarInfo[scalarType], MATCH( scalarDataframe[[#This Row],[scalarName]],  co_scalarInfo[scalarName], 0 ) )</f>
        <v>physAdj</v>
      </c>
      <c r="C1090" s="44" t="str">
        <f xml:space="preserve"> INDEX( co_scalarInfo[scalarLabel], MATCH( scalarDataframe[[#This Row],[scalarName]], co_scalarInfo[scalarName], 0 ) )</f>
        <v>MH 5+ Population Proportion Adjustment Factor</v>
      </c>
      <c r="D1090" s="24" t="s">
        <v>1312</v>
      </c>
      <c r="E1090" s="17" t="s">
        <v>9</v>
      </c>
      <c r="F1090" s="25">
        <v>2087</v>
      </c>
      <c r="G1090" s="26">
        <v>0.93703787699999996</v>
      </c>
    </row>
    <row r="1091" spans="1:7" x14ac:dyDescent="0.35">
      <c r="A1091" s="9">
        <f xml:space="preserve"> ROW( scalarDataframe[[#This Row],[row_id]] ) - ROW( scalarDataframe[[#Headers],[row_id]] )</f>
        <v>1090</v>
      </c>
      <c r="B1091" s="16" t="str">
        <f xml:space="preserve"> INDEX( co_scalarInfo[scalarType], MATCH( scalarDataframe[[#This Row],[scalarName]],  co_scalarInfo[scalarName], 0 ) )</f>
        <v>physAdj</v>
      </c>
      <c r="C1091" s="44" t="str">
        <f xml:space="preserve"> INDEX( co_scalarInfo[scalarLabel], MATCH( scalarDataframe[[#This Row],[scalarName]], co_scalarInfo[scalarName], 0 ) )</f>
        <v>MH 5+ Population Proportion Adjustment Factor</v>
      </c>
      <c r="D1091" s="24" t="s">
        <v>1312</v>
      </c>
      <c r="E1091" s="17" t="s">
        <v>9</v>
      </c>
      <c r="F1091" s="25">
        <v>2091</v>
      </c>
      <c r="G1091" s="26">
        <v>0.93733440063401396</v>
      </c>
    </row>
    <row r="1092" spans="1:7" x14ac:dyDescent="0.35">
      <c r="A1092" s="9">
        <f xml:space="preserve"> ROW( scalarDataframe[[#This Row],[row_id]] ) - ROW( scalarDataframe[[#Headers],[row_id]] )</f>
        <v>1091</v>
      </c>
      <c r="B1092" s="16" t="str">
        <f xml:space="preserve"> INDEX( co_scalarInfo[scalarType], MATCH( scalarDataframe[[#This Row],[scalarName]],  co_scalarInfo[scalarName], 0 ) )</f>
        <v>physAdj</v>
      </c>
      <c r="C1092" s="44" t="str">
        <f xml:space="preserve"> INDEX( co_scalarInfo[scalarLabel], MATCH( scalarDataframe[[#This Row],[scalarName]], co_scalarInfo[scalarName], 0 ) )</f>
        <v>MH 5+ Population Proportion Adjustment Factor</v>
      </c>
      <c r="D1092" s="24" t="s">
        <v>1312</v>
      </c>
      <c r="E1092" s="17" t="s">
        <v>9</v>
      </c>
      <c r="F1092" s="25">
        <v>2300</v>
      </c>
      <c r="G1092" s="26">
        <v>0.93733440063401396</v>
      </c>
    </row>
    <row r="1093" spans="1:7" x14ac:dyDescent="0.35">
      <c r="A1093" s="9">
        <f xml:space="preserve"> ROW( scalarDataframe[[#This Row],[row_id]] ) - ROW( scalarDataframe[[#Headers],[row_id]] )</f>
        <v>1092</v>
      </c>
      <c r="B1093" s="16" t="str">
        <f xml:space="preserve"> INDEX( co_scalarInfo[scalarType], MATCH( scalarDataframe[[#This Row],[scalarName]],  co_scalarInfo[scalarName], 0 ) )</f>
        <v>physAdj</v>
      </c>
      <c r="C1093" s="44" t="str">
        <f xml:space="preserve"> INDEX( co_scalarInfo[scalarLabel], MATCH( scalarDataframe[[#This Row],[scalarName]], co_scalarInfo[scalarName], 0 ) )</f>
        <v>MH 5+ Population Proportion Adjustment Factor</v>
      </c>
      <c r="D1093" s="24" t="s">
        <v>1312</v>
      </c>
      <c r="E1093" s="17" t="s">
        <v>10</v>
      </c>
      <c r="F1093" s="25">
        <v>2010</v>
      </c>
      <c r="G1093" s="26">
        <v>0.93398487050000001</v>
      </c>
    </row>
    <row r="1094" spans="1:7" x14ac:dyDescent="0.35">
      <c r="A1094" s="9">
        <f xml:space="preserve"> ROW( scalarDataframe[[#This Row],[row_id]] ) - ROW( scalarDataframe[[#Headers],[row_id]] )</f>
        <v>1093</v>
      </c>
      <c r="B1094" s="16" t="str">
        <f xml:space="preserve"> INDEX( co_scalarInfo[scalarType], MATCH( scalarDataframe[[#This Row],[scalarName]],  co_scalarInfo[scalarName], 0 ) )</f>
        <v>physAdj</v>
      </c>
      <c r="C1094" s="44" t="str">
        <f xml:space="preserve"> INDEX( co_scalarInfo[scalarLabel], MATCH( scalarDataframe[[#This Row],[scalarName]], co_scalarInfo[scalarName], 0 ) )</f>
        <v>MH 5+ Population Proportion Adjustment Factor</v>
      </c>
      <c r="D1094" s="24" t="s">
        <v>1312</v>
      </c>
      <c r="E1094" s="17" t="s">
        <v>10</v>
      </c>
      <c r="F1094" s="25">
        <v>2011</v>
      </c>
      <c r="G1094" s="26">
        <v>0.93430822099999999</v>
      </c>
    </row>
    <row r="1095" spans="1:7" x14ac:dyDescent="0.35">
      <c r="A1095" s="9">
        <f xml:space="preserve"> ROW( scalarDataframe[[#This Row],[row_id]] ) - ROW( scalarDataframe[[#Headers],[row_id]] )</f>
        <v>1094</v>
      </c>
      <c r="B1095" s="16" t="str">
        <f xml:space="preserve"> INDEX( co_scalarInfo[scalarType], MATCH( scalarDataframe[[#This Row],[scalarName]],  co_scalarInfo[scalarName], 0 ) )</f>
        <v>physAdj</v>
      </c>
      <c r="C1095" s="44" t="str">
        <f xml:space="preserve"> INDEX( co_scalarInfo[scalarLabel], MATCH( scalarDataframe[[#This Row],[scalarName]], co_scalarInfo[scalarName], 0 ) )</f>
        <v>MH 5+ Population Proportion Adjustment Factor</v>
      </c>
      <c r="D1095" s="24" t="s">
        <v>1312</v>
      </c>
      <c r="E1095" s="17" t="s">
        <v>10</v>
      </c>
      <c r="F1095" s="25">
        <v>2013</v>
      </c>
      <c r="G1095" s="26">
        <v>0.93495492199999997</v>
      </c>
    </row>
    <row r="1096" spans="1:7" x14ac:dyDescent="0.35">
      <c r="A1096" s="9">
        <f xml:space="preserve"> ROW( scalarDataframe[[#This Row],[row_id]] ) - ROW( scalarDataframe[[#Headers],[row_id]] )</f>
        <v>1095</v>
      </c>
      <c r="B1096" s="16" t="str">
        <f xml:space="preserve"> INDEX( co_scalarInfo[scalarType], MATCH( scalarDataframe[[#This Row],[scalarName]],  co_scalarInfo[scalarName], 0 ) )</f>
        <v>physAdj</v>
      </c>
      <c r="C1096" s="44" t="str">
        <f xml:space="preserve"> INDEX( co_scalarInfo[scalarLabel], MATCH( scalarDataframe[[#This Row],[scalarName]], co_scalarInfo[scalarName], 0 ) )</f>
        <v>MH 5+ Population Proportion Adjustment Factor</v>
      </c>
      <c r="D1096" s="24" t="s">
        <v>1312</v>
      </c>
      <c r="E1096" s="17" t="s">
        <v>10</v>
      </c>
      <c r="F1096" s="25">
        <v>2017</v>
      </c>
      <c r="G1096" s="26">
        <v>0.93618539899999997</v>
      </c>
    </row>
    <row r="1097" spans="1:7" x14ac:dyDescent="0.35">
      <c r="A1097" s="9">
        <f xml:space="preserve"> ROW( scalarDataframe[[#This Row],[row_id]] ) - ROW( scalarDataframe[[#Headers],[row_id]] )</f>
        <v>1096</v>
      </c>
      <c r="B1097" s="16" t="str">
        <f xml:space="preserve"> INDEX( co_scalarInfo[scalarType], MATCH( scalarDataframe[[#This Row],[scalarName]],  co_scalarInfo[scalarName], 0 ) )</f>
        <v>physAdj</v>
      </c>
      <c r="C1097" s="44" t="str">
        <f xml:space="preserve"> INDEX( co_scalarInfo[scalarLabel], MATCH( scalarDataframe[[#This Row],[scalarName]], co_scalarInfo[scalarName], 0 ) )</f>
        <v>MH 5+ Population Proportion Adjustment Factor</v>
      </c>
      <c r="D1097" s="24" t="s">
        <v>1312</v>
      </c>
      <c r="E1097" s="17" t="s">
        <v>10</v>
      </c>
      <c r="F1097" s="25">
        <v>2025</v>
      </c>
      <c r="G1097" s="26">
        <v>0.93747787500000002</v>
      </c>
    </row>
    <row r="1098" spans="1:7" x14ac:dyDescent="0.35">
      <c r="A1098" s="9">
        <f xml:space="preserve"> ROW( scalarDataframe[[#This Row],[row_id]] ) - ROW( scalarDataframe[[#Headers],[row_id]] )</f>
        <v>1097</v>
      </c>
      <c r="B1098" s="16" t="str">
        <f xml:space="preserve"> INDEX( co_scalarInfo[scalarType], MATCH( scalarDataframe[[#This Row],[scalarName]],  co_scalarInfo[scalarName], 0 ) )</f>
        <v>physAdj</v>
      </c>
      <c r="C1098" s="44" t="str">
        <f xml:space="preserve"> INDEX( co_scalarInfo[scalarLabel], MATCH( scalarDataframe[[#This Row],[scalarName]], co_scalarInfo[scalarName], 0 ) )</f>
        <v>MH 5+ Population Proportion Adjustment Factor</v>
      </c>
      <c r="D1098" s="24" t="s">
        <v>1312</v>
      </c>
      <c r="E1098" s="17" t="s">
        <v>10</v>
      </c>
      <c r="F1098" s="25">
        <v>2029</v>
      </c>
      <c r="G1098" s="26">
        <v>0.93781891500000003</v>
      </c>
    </row>
    <row r="1099" spans="1:7" x14ac:dyDescent="0.35">
      <c r="A1099" s="9">
        <f xml:space="preserve"> ROW( scalarDataframe[[#This Row],[row_id]] ) - ROW( scalarDataframe[[#Headers],[row_id]] )</f>
        <v>1098</v>
      </c>
      <c r="B1099" s="16" t="str">
        <f xml:space="preserve"> INDEX( co_scalarInfo[scalarType], MATCH( scalarDataframe[[#This Row],[scalarName]],  co_scalarInfo[scalarName], 0 ) )</f>
        <v>physAdj</v>
      </c>
      <c r="C1099" s="44" t="str">
        <f xml:space="preserve"> INDEX( co_scalarInfo[scalarLabel], MATCH( scalarDataframe[[#This Row],[scalarName]], co_scalarInfo[scalarName], 0 ) )</f>
        <v>MH 5+ Population Proportion Adjustment Factor</v>
      </c>
      <c r="D1099" s="24" t="s">
        <v>1312</v>
      </c>
      <c r="E1099" s="17" t="s">
        <v>10</v>
      </c>
      <c r="F1099" s="25">
        <v>2032</v>
      </c>
      <c r="G1099" s="26">
        <v>0.93791954200000005</v>
      </c>
    </row>
    <row r="1100" spans="1:7" x14ac:dyDescent="0.35">
      <c r="A1100" s="9">
        <f xml:space="preserve"> ROW( scalarDataframe[[#This Row],[row_id]] ) - ROW( scalarDataframe[[#Headers],[row_id]] )</f>
        <v>1099</v>
      </c>
      <c r="B1100" s="16" t="str">
        <f xml:space="preserve"> INDEX( co_scalarInfo[scalarType], MATCH( scalarDataframe[[#This Row],[scalarName]],  co_scalarInfo[scalarName], 0 ) )</f>
        <v>physAdj</v>
      </c>
      <c r="C1100" s="44" t="str">
        <f xml:space="preserve"> INDEX( co_scalarInfo[scalarLabel], MATCH( scalarDataframe[[#This Row],[scalarName]], co_scalarInfo[scalarName], 0 ) )</f>
        <v>MH 5+ Population Proportion Adjustment Factor</v>
      </c>
      <c r="D1100" s="24" t="s">
        <v>1312</v>
      </c>
      <c r="E1100" s="17" t="s">
        <v>10</v>
      </c>
      <c r="F1100" s="25">
        <v>2033</v>
      </c>
      <c r="G1100" s="26">
        <v>0.937928333</v>
      </c>
    </row>
    <row r="1101" spans="1:7" x14ac:dyDescent="0.35">
      <c r="A1101" s="9">
        <f xml:space="preserve"> ROW( scalarDataframe[[#This Row],[row_id]] ) - ROW( scalarDataframe[[#Headers],[row_id]] )</f>
        <v>1100</v>
      </c>
      <c r="B1101" s="16" t="str">
        <f xml:space="preserve"> INDEX( co_scalarInfo[scalarType], MATCH( scalarDataframe[[#This Row],[scalarName]],  co_scalarInfo[scalarName], 0 ) )</f>
        <v>physAdj</v>
      </c>
      <c r="C1101" s="44" t="str">
        <f xml:space="preserve"> INDEX( co_scalarInfo[scalarLabel], MATCH( scalarDataframe[[#This Row],[scalarName]], co_scalarInfo[scalarName], 0 ) )</f>
        <v>MH 5+ Population Proportion Adjustment Factor</v>
      </c>
      <c r="D1101" s="24" t="s">
        <v>1312</v>
      </c>
      <c r="E1101" s="17" t="s">
        <v>10</v>
      </c>
      <c r="F1101" s="25">
        <v>2037</v>
      </c>
      <c r="G1101" s="26">
        <v>0.937953233</v>
      </c>
    </row>
    <row r="1102" spans="1:7" x14ac:dyDescent="0.35">
      <c r="A1102" s="9">
        <f xml:space="preserve"> ROW( scalarDataframe[[#This Row],[row_id]] ) - ROW( scalarDataframe[[#Headers],[row_id]] )</f>
        <v>1101</v>
      </c>
      <c r="B1102" s="16" t="str">
        <f xml:space="preserve"> INDEX( co_scalarInfo[scalarType], MATCH( scalarDataframe[[#This Row],[scalarName]],  co_scalarInfo[scalarName], 0 ) )</f>
        <v>physAdj</v>
      </c>
      <c r="C1102" s="44" t="str">
        <f xml:space="preserve"> INDEX( co_scalarInfo[scalarLabel], MATCH( scalarDataframe[[#This Row],[scalarName]], co_scalarInfo[scalarName], 0 ) )</f>
        <v>MH 5+ Population Proportion Adjustment Factor</v>
      </c>
      <c r="D1102" s="24" t="s">
        <v>1312</v>
      </c>
      <c r="E1102" s="17" t="s">
        <v>10</v>
      </c>
      <c r="F1102" s="25">
        <v>2044</v>
      </c>
      <c r="G1102" s="26">
        <v>0.93793922399999996</v>
      </c>
    </row>
    <row r="1103" spans="1:7" x14ac:dyDescent="0.35">
      <c r="A1103" s="9">
        <f xml:space="preserve"> ROW( scalarDataframe[[#This Row],[row_id]] ) - ROW( scalarDataframe[[#Headers],[row_id]] )</f>
        <v>1102</v>
      </c>
      <c r="B1103" s="16" t="str">
        <f xml:space="preserve"> INDEX( co_scalarInfo[scalarType], MATCH( scalarDataframe[[#This Row],[scalarName]],  co_scalarInfo[scalarName], 0 ) )</f>
        <v>physAdj</v>
      </c>
      <c r="C1103" s="44" t="str">
        <f xml:space="preserve"> INDEX( co_scalarInfo[scalarLabel], MATCH( scalarDataframe[[#This Row],[scalarName]], co_scalarInfo[scalarName], 0 ) )</f>
        <v>MH 5+ Population Proportion Adjustment Factor</v>
      </c>
      <c r="D1103" s="24" t="s">
        <v>1312</v>
      </c>
      <c r="E1103" s="17" t="s">
        <v>10</v>
      </c>
      <c r="F1103" s="25">
        <v>2048</v>
      </c>
      <c r="G1103" s="26">
        <v>0.93791443600000002</v>
      </c>
    </row>
    <row r="1104" spans="1:7" x14ac:dyDescent="0.35">
      <c r="A1104" s="9">
        <f xml:space="preserve"> ROW( scalarDataframe[[#This Row],[row_id]] ) - ROW( scalarDataframe[[#Headers],[row_id]] )</f>
        <v>1103</v>
      </c>
      <c r="B1104" s="16" t="str">
        <f xml:space="preserve"> INDEX( co_scalarInfo[scalarType], MATCH( scalarDataframe[[#This Row],[scalarName]],  co_scalarInfo[scalarName], 0 ) )</f>
        <v>physAdj</v>
      </c>
      <c r="C1104" s="44" t="str">
        <f xml:space="preserve"> INDEX( co_scalarInfo[scalarLabel], MATCH( scalarDataframe[[#This Row],[scalarName]], co_scalarInfo[scalarName], 0 ) )</f>
        <v>MH 5+ Population Proportion Adjustment Factor</v>
      </c>
      <c r="D1104" s="24" t="s">
        <v>1312</v>
      </c>
      <c r="E1104" s="17" t="s">
        <v>10</v>
      </c>
      <c r="F1104" s="25">
        <v>2049</v>
      </c>
      <c r="G1104" s="26">
        <v>0.93790825799999999</v>
      </c>
    </row>
    <row r="1105" spans="1:7" x14ac:dyDescent="0.35">
      <c r="A1105" s="9">
        <f xml:space="preserve"> ROW( scalarDataframe[[#This Row],[row_id]] ) - ROW( scalarDataframe[[#Headers],[row_id]] )</f>
        <v>1104</v>
      </c>
      <c r="B1105" s="16" t="str">
        <f xml:space="preserve"> INDEX( co_scalarInfo[scalarType], MATCH( scalarDataframe[[#This Row],[scalarName]],  co_scalarInfo[scalarName], 0 ) )</f>
        <v>physAdj</v>
      </c>
      <c r="C1105" s="44" t="str">
        <f xml:space="preserve"> INDEX( co_scalarInfo[scalarLabel], MATCH( scalarDataframe[[#This Row],[scalarName]], co_scalarInfo[scalarName], 0 ) )</f>
        <v>MH 5+ Population Proportion Adjustment Factor</v>
      </c>
      <c r="D1105" s="24" t="s">
        <v>1312</v>
      </c>
      <c r="E1105" s="17" t="s">
        <v>10</v>
      </c>
      <c r="F1105" s="25">
        <v>2050</v>
      </c>
      <c r="G1105" s="26">
        <v>0.93790216999999998</v>
      </c>
    </row>
    <row r="1106" spans="1:7" x14ac:dyDescent="0.35">
      <c r="A1106" s="9">
        <f xml:space="preserve"> ROW( scalarDataframe[[#This Row],[row_id]] ) - ROW( scalarDataframe[[#Headers],[row_id]] )</f>
        <v>1105</v>
      </c>
      <c r="B1106" s="16" t="str">
        <f xml:space="preserve"> INDEX( co_scalarInfo[scalarType], MATCH( scalarDataframe[[#This Row],[scalarName]],  co_scalarInfo[scalarName], 0 ) )</f>
        <v>physAdj</v>
      </c>
      <c r="C1106" s="44" t="str">
        <f xml:space="preserve"> INDEX( co_scalarInfo[scalarLabel], MATCH( scalarDataframe[[#This Row],[scalarName]], co_scalarInfo[scalarName], 0 ) )</f>
        <v>MH 5+ Population Proportion Adjustment Factor</v>
      </c>
      <c r="D1106" s="24" t="s">
        <v>1312</v>
      </c>
      <c r="E1106" s="17" t="s">
        <v>10</v>
      </c>
      <c r="F1106" s="25">
        <v>2052</v>
      </c>
      <c r="G1106" s="26">
        <v>0.93785322599999998</v>
      </c>
    </row>
    <row r="1107" spans="1:7" x14ac:dyDescent="0.35">
      <c r="A1107" s="9">
        <f xml:space="preserve"> ROW( scalarDataframe[[#This Row],[row_id]] ) - ROW( scalarDataframe[[#Headers],[row_id]] )</f>
        <v>1106</v>
      </c>
      <c r="B1107" s="16" t="str">
        <f xml:space="preserve"> INDEX( co_scalarInfo[scalarType], MATCH( scalarDataframe[[#This Row],[scalarName]],  co_scalarInfo[scalarName], 0 ) )</f>
        <v>physAdj</v>
      </c>
      <c r="C1107" s="44" t="str">
        <f xml:space="preserve"> INDEX( co_scalarInfo[scalarLabel], MATCH( scalarDataframe[[#This Row],[scalarName]], co_scalarInfo[scalarName], 0 ) )</f>
        <v>MH 5+ Population Proportion Adjustment Factor</v>
      </c>
      <c r="D1107" s="24" t="s">
        <v>1312</v>
      </c>
      <c r="E1107" s="17" t="s">
        <v>10</v>
      </c>
      <c r="F1107" s="25">
        <v>2055</v>
      </c>
      <c r="G1107" s="26">
        <v>0.93778104600000001</v>
      </c>
    </row>
    <row r="1108" spans="1:7" x14ac:dyDescent="0.35">
      <c r="A1108" s="9">
        <f xml:space="preserve"> ROW( scalarDataframe[[#This Row],[row_id]] ) - ROW( scalarDataframe[[#Headers],[row_id]] )</f>
        <v>1107</v>
      </c>
      <c r="B1108" s="16" t="str">
        <f xml:space="preserve"> INDEX( co_scalarInfo[scalarType], MATCH( scalarDataframe[[#This Row],[scalarName]],  co_scalarInfo[scalarName], 0 ) )</f>
        <v>physAdj</v>
      </c>
      <c r="C1108" s="44" t="str">
        <f xml:space="preserve"> INDEX( co_scalarInfo[scalarLabel], MATCH( scalarDataframe[[#This Row],[scalarName]], co_scalarInfo[scalarName], 0 ) )</f>
        <v>MH 5+ Population Proportion Adjustment Factor</v>
      </c>
      <c r="D1108" s="24" t="s">
        <v>1312</v>
      </c>
      <c r="E1108" s="17" t="s">
        <v>10</v>
      </c>
      <c r="F1108" s="25">
        <v>2059</v>
      </c>
      <c r="G1108" s="26">
        <v>0.93769330900000003</v>
      </c>
    </row>
    <row r="1109" spans="1:7" x14ac:dyDescent="0.35">
      <c r="A1109" s="9">
        <f xml:space="preserve"> ROW( scalarDataframe[[#This Row],[row_id]] ) - ROW( scalarDataframe[[#Headers],[row_id]] )</f>
        <v>1108</v>
      </c>
      <c r="B1109" s="16" t="str">
        <f xml:space="preserve"> INDEX( co_scalarInfo[scalarType], MATCH( scalarDataframe[[#This Row],[scalarName]],  co_scalarInfo[scalarName], 0 ) )</f>
        <v>physAdj</v>
      </c>
      <c r="C1109" s="44" t="str">
        <f xml:space="preserve"> INDEX( co_scalarInfo[scalarLabel], MATCH( scalarDataframe[[#This Row],[scalarName]], co_scalarInfo[scalarName], 0 ) )</f>
        <v>MH 5+ Population Proportion Adjustment Factor</v>
      </c>
      <c r="D1109" s="24" t="s">
        <v>1312</v>
      </c>
      <c r="E1109" s="17" t="s">
        <v>10</v>
      </c>
      <c r="F1109" s="25">
        <v>2061</v>
      </c>
      <c r="G1109" s="26">
        <v>0.93767573400000004</v>
      </c>
    </row>
    <row r="1110" spans="1:7" x14ac:dyDescent="0.35">
      <c r="A1110" s="9">
        <f xml:space="preserve"> ROW( scalarDataframe[[#This Row],[row_id]] ) - ROW( scalarDataframe[[#Headers],[row_id]] )</f>
        <v>1109</v>
      </c>
      <c r="B1110" s="16" t="str">
        <f xml:space="preserve"> INDEX( co_scalarInfo[scalarType], MATCH( scalarDataframe[[#This Row],[scalarName]],  co_scalarInfo[scalarName], 0 ) )</f>
        <v>physAdj</v>
      </c>
      <c r="C1110" s="44" t="str">
        <f xml:space="preserve"> INDEX( co_scalarInfo[scalarLabel], MATCH( scalarDataframe[[#This Row],[scalarName]], co_scalarInfo[scalarName], 0 ) )</f>
        <v>MH 5+ Population Proportion Adjustment Factor</v>
      </c>
      <c r="D1110" s="24" t="s">
        <v>1312</v>
      </c>
      <c r="E1110" s="17" t="s">
        <v>10</v>
      </c>
      <c r="F1110" s="25">
        <v>2062</v>
      </c>
      <c r="G1110" s="26">
        <v>0.93767973400000004</v>
      </c>
    </row>
    <row r="1111" spans="1:7" x14ac:dyDescent="0.35">
      <c r="A1111" s="9">
        <f xml:space="preserve"> ROW( scalarDataframe[[#This Row],[row_id]] ) - ROW( scalarDataframe[[#Headers],[row_id]] )</f>
        <v>1110</v>
      </c>
      <c r="B1111" s="16" t="str">
        <f xml:space="preserve"> INDEX( co_scalarInfo[scalarType], MATCH( scalarDataframe[[#This Row],[scalarName]],  co_scalarInfo[scalarName], 0 ) )</f>
        <v>physAdj</v>
      </c>
      <c r="C1111" s="44" t="str">
        <f xml:space="preserve"> INDEX( co_scalarInfo[scalarLabel], MATCH( scalarDataframe[[#This Row],[scalarName]], co_scalarInfo[scalarName], 0 ) )</f>
        <v>MH 5+ Population Proportion Adjustment Factor</v>
      </c>
      <c r="D1111" s="24" t="s">
        <v>1312</v>
      </c>
      <c r="E1111" s="17" t="s">
        <v>10</v>
      </c>
      <c r="F1111" s="25">
        <v>2064</v>
      </c>
      <c r="G1111" s="26">
        <v>0.93768727799999996</v>
      </c>
    </row>
    <row r="1112" spans="1:7" x14ac:dyDescent="0.35">
      <c r="A1112" s="9">
        <f xml:space="preserve"> ROW( scalarDataframe[[#This Row],[row_id]] ) - ROW( scalarDataframe[[#Headers],[row_id]] )</f>
        <v>1111</v>
      </c>
      <c r="B1112" s="16" t="str">
        <f xml:space="preserve"> INDEX( co_scalarInfo[scalarType], MATCH( scalarDataframe[[#This Row],[scalarName]],  co_scalarInfo[scalarName], 0 ) )</f>
        <v>physAdj</v>
      </c>
      <c r="C1112" s="44" t="str">
        <f xml:space="preserve"> INDEX( co_scalarInfo[scalarLabel], MATCH( scalarDataframe[[#This Row],[scalarName]], co_scalarInfo[scalarName], 0 ) )</f>
        <v>MH 5+ Population Proportion Adjustment Factor</v>
      </c>
      <c r="D1112" s="24" t="s">
        <v>1312</v>
      </c>
      <c r="E1112" s="17" t="s">
        <v>10</v>
      </c>
      <c r="F1112" s="25">
        <v>2067</v>
      </c>
      <c r="G1112" s="26">
        <v>0.93769776400000004</v>
      </c>
    </row>
    <row r="1113" spans="1:7" x14ac:dyDescent="0.35">
      <c r="A1113" s="9">
        <f xml:space="preserve"> ROW( scalarDataframe[[#This Row],[row_id]] ) - ROW( scalarDataframe[[#Headers],[row_id]] )</f>
        <v>1112</v>
      </c>
      <c r="B1113" s="16" t="str">
        <f xml:space="preserve"> INDEX( co_scalarInfo[scalarType], MATCH( scalarDataframe[[#This Row],[scalarName]],  co_scalarInfo[scalarName], 0 ) )</f>
        <v>physAdj</v>
      </c>
      <c r="C1113" s="44" t="str">
        <f xml:space="preserve"> INDEX( co_scalarInfo[scalarLabel], MATCH( scalarDataframe[[#This Row],[scalarName]], co_scalarInfo[scalarName], 0 ) )</f>
        <v>MH 5+ Population Proportion Adjustment Factor</v>
      </c>
      <c r="D1113" s="24" t="s">
        <v>1312</v>
      </c>
      <c r="E1113" s="17" t="s">
        <v>10</v>
      </c>
      <c r="F1113" s="25">
        <v>2071</v>
      </c>
      <c r="G1113" s="26">
        <v>0.93774759900000004</v>
      </c>
    </row>
    <row r="1114" spans="1:7" x14ac:dyDescent="0.35">
      <c r="A1114" s="9">
        <f xml:space="preserve"> ROW( scalarDataframe[[#This Row],[row_id]] ) - ROW( scalarDataframe[[#Headers],[row_id]] )</f>
        <v>1113</v>
      </c>
      <c r="B1114" s="16" t="str">
        <f xml:space="preserve"> INDEX( co_scalarInfo[scalarType], MATCH( scalarDataframe[[#This Row],[scalarName]],  co_scalarInfo[scalarName], 0 ) )</f>
        <v>physAdj</v>
      </c>
      <c r="C1114" s="44" t="str">
        <f xml:space="preserve"> INDEX( co_scalarInfo[scalarLabel], MATCH( scalarDataframe[[#This Row],[scalarName]], co_scalarInfo[scalarName], 0 ) )</f>
        <v>MH 5+ Population Proportion Adjustment Factor</v>
      </c>
      <c r="D1114" s="24" t="s">
        <v>1312</v>
      </c>
      <c r="E1114" s="17" t="s">
        <v>10</v>
      </c>
      <c r="F1114" s="25">
        <v>2076</v>
      </c>
      <c r="G1114" s="26">
        <v>0.93794379100000003</v>
      </c>
    </row>
    <row r="1115" spans="1:7" x14ac:dyDescent="0.35">
      <c r="A1115" s="9">
        <f xml:space="preserve"> ROW( scalarDataframe[[#This Row],[row_id]] ) - ROW( scalarDataframe[[#Headers],[row_id]] )</f>
        <v>1114</v>
      </c>
      <c r="B1115" s="16" t="str">
        <f xml:space="preserve"> INDEX( co_scalarInfo[scalarType], MATCH( scalarDataframe[[#This Row],[scalarName]],  co_scalarInfo[scalarName], 0 ) )</f>
        <v>physAdj</v>
      </c>
      <c r="C1115" s="44" t="str">
        <f xml:space="preserve"> INDEX( co_scalarInfo[scalarLabel], MATCH( scalarDataframe[[#This Row],[scalarName]], co_scalarInfo[scalarName], 0 ) )</f>
        <v>MH 5+ Population Proportion Adjustment Factor</v>
      </c>
      <c r="D1115" s="24" t="s">
        <v>1312</v>
      </c>
      <c r="E1115" s="17" t="s">
        <v>10</v>
      </c>
      <c r="F1115" s="25">
        <v>2077</v>
      </c>
      <c r="G1115" s="26">
        <v>0.93798287999999996</v>
      </c>
    </row>
    <row r="1116" spans="1:7" x14ac:dyDescent="0.35">
      <c r="A1116" s="9">
        <f xml:space="preserve"> ROW( scalarDataframe[[#This Row],[row_id]] ) - ROW( scalarDataframe[[#Headers],[row_id]] )</f>
        <v>1115</v>
      </c>
      <c r="B1116" s="16" t="str">
        <f xml:space="preserve"> INDEX( co_scalarInfo[scalarType], MATCH( scalarDataframe[[#This Row],[scalarName]],  co_scalarInfo[scalarName], 0 ) )</f>
        <v>physAdj</v>
      </c>
      <c r="C1116" s="44" t="str">
        <f xml:space="preserve"> INDEX( co_scalarInfo[scalarLabel], MATCH( scalarDataframe[[#This Row],[scalarName]], co_scalarInfo[scalarName], 0 ) )</f>
        <v>MH 5+ Population Proportion Adjustment Factor</v>
      </c>
      <c r="D1116" s="24" t="s">
        <v>1312</v>
      </c>
      <c r="E1116" s="17" t="s">
        <v>10</v>
      </c>
      <c r="F1116" s="25">
        <v>2081</v>
      </c>
      <c r="G1116" s="26">
        <v>0.93816065400000004</v>
      </c>
    </row>
    <row r="1117" spans="1:7" x14ac:dyDescent="0.35">
      <c r="A1117" s="9">
        <f xml:space="preserve"> ROW( scalarDataframe[[#This Row],[row_id]] ) - ROW( scalarDataframe[[#Headers],[row_id]] )</f>
        <v>1116</v>
      </c>
      <c r="B1117" s="16" t="str">
        <f xml:space="preserve"> INDEX( co_scalarInfo[scalarType], MATCH( scalarDataframe[[#This Row],[scalarName]],  co_scalarInfo[scalarName], 0 ) )</f>
        <v>physAdj</v>
      </c>
      <c r="C1117" s="44" t="str">
        <f xml:space="preserve"> INDEX( co_scalarInfo[scalarLabel], MATCH( scalarDataframe[[#This Row],[scalarName]], co_scalarInfo[scalarName], 0 ) )</f>
        <v>MH 5+ Population Proportion Adjustment Factor</v>
      </c>
      <c r="D1117" s="24" t="s">
        <v>1312</v>
      </c>
      <c r="E1117" s="17" t="s">
        <v>10</v>
      </c>
      <c r="F1117" s="25">
        <v>2082</v>
      </c>
      <c r="G1117" s="26">
        <v>0.93822153900000005</v>
      </c>
    </row>
    <row r="1118" spans="1:7" x14ac:dyDescent="0.35">
      <c r="A1118" s="9">
        <f xml:space="preserve"> ROW( scalarDataframe[[#This Row],[row_id]] ) - ROW( scalarDataframe[[#Headers],[row_id]] )</f>
        <v>1117</v>
      </c>
      <c r="B1118" s="16" t="str">
        <f xml:space="preserve"> INDEX( co_scalarInfo[scalarType], MATCH( scalarDataframe[[#This Row],[scalarName]],  co_scalarInfo[scalarName], 0 ) )</f>
        <v>physAdj</v>
      </c>
      <c r="C1118" s="44" t="str">
        <f xml:space="preserve"> INDEX( co_scalarInfo[scalarLabel], MATCH( scalarDataframe[[#This Row],[scalarName]], co_scalarInfo[scalarName], 0 ) )</f>
        <v>MH 5+ Population Proportion Adjustment Factor</v>
      </c>
      <c r="D1118" s="24" t="s">
        <v>1312</v>
      </c>
      <c r="E1118" s="17" t="s">
        <v>10</v>
      </c>
      <c r="F1118" s="25">
        <v>2087</v>
      </c>
      <c r="G1118" s="26">
        <v>0.93852707099999999</v>
      </c>
    </row>
    <row r="1119" spans="1:7" x14ac:dyDescent="0.35">
      <c r="A1119" s="9">
        <f xml:space="preserve"> ROW( scalarDataframe[[#This Row],[row_id]] ) - ROW( scalarDataframe[[#Headers],[row_id]] )</f>
        <v>1118</v>
      </c>
      <c r="B1119" s="16" t="str">
        <f xml:space="preserve"> INDEX( co_scalarInfo[scalarType], MATCH( scalarDataframe[[#This Row],[scalarName]],  co_scalarInfo[scalarName], 0 ) )</f>
        <v>physAdj</v>
      </c>
      <c r="C1119" s="44" t="str">
        <f xml:space="preserve"> INDEX( co_scalarInfo[scalarLabel], MATCH( scalarDataframe[[#This Row],[scalarName]], co_scalarInfo[scalarName], 0 ) )</f>
        <v>MH 5+ Population Proportion Adjustment Factor</v>
      </c>
      <c r="D1119" s="24" t="s">
        <v>1312</v>
      </c>
      <c r="E1119" s="17" t="s">
        <v>10</v>
      </c>
      <c r="F1119" s="25">
        <v>2091</v>
      </c>
      <c r="G1119" s="26">
        <v>0.93877872624510095</v>
      </c>
    </row>
    <row r="1120" spans="1:7" x14ac:dyDescent="0.35">
      <c r="A1120" s="9">
        <f xml:space="preserve"> ROW( scalarDataframe[[#This Row],[row_id]] ) - ROW( scalarDataframe[[#Headers],[row_id]] )</f>
        <v>1119</v>
      </c>
      <c r="B1120" s="16" t="str">
        <f xml:space="preserve"> INDEX( co_scalarInfo[scalarType], MATCH( scalarDataframe[[#This Row],[scalarName]],  co_scalarInfo[scalarName], 0 ) )</f>
        <v>physAdj</v>
      </c>
      <c r="C1120" s="44" t="str">
        <f xml:space="preserve"> INDEX( co_scalarInfo[scalarLabel], MATCH( scalarDataframe[[#This Row],[scalarName]], co_scalarInfo[scalarName], 0 ) )</f>
        <v>MH 5+ Population Proportion Adjustment Factor</v>
      </c>
      <c r="D1120" s="24" t="s">
        <v>1312</v>
      </c>
      <c r="E1120" s="17" t="s">
        <v>10</v>
      </c>
      <c r="F1120" s="25">
        <v>2300</v>
      </c>
      <c r="G1120" s="26">
        <v>0.93877872624510095</v>
      </c>
    </row>
    <row r="1121" spans="1:7" x14ac:dyDescent="0.35">
      <c r="A1121" s="9">
        <f xml:space="preserve"> ROW( scalarDataframe[[#This Row],[row_id]] ) - ROW( scalarDataframe[[#Headers],[row_id]] )</f>
        <v>1120</v>
      </c>
      <c r="B1121" s="16" t="str">
        <f xml:space="preserve"> INDEX( co_scalarInfo[scalarType], MATCH( scalarDataframe[[#This Row],[scalarName]],  co_scalarInfo[scalarName], 0 ) )</f>
        <v>physAdj</v>
      </c>
      <c r="C1121" s="44" t="str">
        <f xml:space="preserve"> INDEX( co_scalarInfo[scalarLabel], MATCH( scalarDataframe[[#This Row],[scalarName]], co_scalarInfo[scalarName], 0 ) )</f>
        <v>MH 5+ Population Proportion Adjustment Factor</v>
      </c>
      <c r="D1121" s="24" t="s">
        <v>1312</v>
      </c>
      <c r="E1121" s="17" t="s">
        <v>11</v>
      </c>
      <c r="F1121" s="25">
        <v>2010</v>
      </c>
      <c r="G1121" s="26">
        <v>0.92457310400000015</v>
      </c>
    </row>
    <row r="1122" spans="1:7" x14ac:dyDescent="0.35">
      <c r="A1122" s="9">
        <f xml:space="preserve"> ROW( scalarDataframe[[#This Row],[row_id]] ) - ROW( scalarDataframe[[#Headers],[row_id]] )</f>
        <v>1121</v>
      </c>
      <c r="B1122" s="16" t="str">
        <f xml:space="preserve"> INDEX( co_scalarInfo[scalarType], MATCH( scalarDataframe[[#This Row],[scalarName]],  co_scalarInfo[scalarName], 0 ) )</f>
        <v>physAdj</v>
      </c>
      <c r="C1122" s="44" t="str">
        <f xml:space="preserve"> INDEX( co_scalarInfo[scalarLabel], MATCH( scalarDataframe[[#This Row],[scalarName]], co_scalarInfo[scalarName], 0 ) )</f>
        <v>MH 5+ Population Proportion Adjustment Factor</v>
      </c>
      <c r="D1122" s="24" t="s">
        <v>1312</v>
      </c>
      <c r="E1122" s="17" t="s">
        <v>11</v>
      </c>
      <c r="F1122" s="25">
        <v>2011</v>
      </c>
      <c r="G1122" s="26">
        <v>0.92506605900000005</v>
      </c>
    </row>
    <row r="1123" spans="1:7" x14ac:dyDescent="0.35">
      <c r="A1123" s="9">
        <f xml:space="preserve"> ROW( scalarDataframe[[#This Row],[row_id]] ) - ROW( scalarDataframe[[#Headers],[row_id]] )</f>
        <v>1122</v>
      </c>
      <c r="B1123" s="16" t="str">
        <f xml:space="preserve"> INDEX( co_scalarInfo[scalarType], MATCH( scalarDataframe[[#This Row],[scalarName]],  co_scalarInfo[scalarName], 0 ) )</f>
        <v>physAdj</v>
      </c>
      <c r="C1123" s="44" t="str">
        <f xml:space="preserve"> INDEX( co_scalarInfo[scalarLabel], MATCH( scalarDataframe[[#This Row],[scalarName]], co_scalarInfo[scalarName], 0 ) )</f>
        <v>MH 5+ Population Proportion Adjustment Factor</v>
      </c>
      <c r="D1123" s="24" t="s">
        <v>1312</v>
      </c>
      <c r="E1123" s="17" t="s">
        <v>11</v>
      </c>
      <c r="F1123" s="25">
        <v>2013</v>
      </c>
      <c r="G1123" s="26">
        <v>0.92605196899999997</v>
      </c>
    </row>
    <row r="1124" spans="1:7" x14ac:dyDescent="0.35">
      <c r="A1124" s="9">
        <f xml:space="preserve"> ROW( scalarDataframe[[#This Row],[row_id]] ) - ROW( scalarDataframe[[#Headers],[row_id]] )</f>
        <v>1123</v>
      </c>
      <c r="B1124" s="16" t="str">
        <f xml:space="preserve"> INDEX( co_scalarInfo[scalarType], MATCH( scalarDataframe[[#This Row],[scalarName]],  co_scalarInfo[scalarName], 0 ) )</f>
        <v>physAdj</v>
      </c>
      <c r="C1124" s="44" t="str">
        <f xml:space="preserve"> INDEX( co_scalarInfo[scalarLabel], MATCH( scalarDataframe[[#This Row],[scalarName]], co_scalarInfo[scalarName], 0 ) )</f>
        <v>MH 5+ Population Proportion Adjustment Factor</v>
      </c>
      <c r="D1124" s="24" t="s">
        <v>1312</v>
      </c>
      <c r="E1124" s="17" t="s">
        <v>11</v>
      </c>
      <c r="F1124" s="25">
        <v>2017</v>
      </c>
      <c r="G1124" s="26">
        <v>0.92785706099999998</v>
      </c>
    </row>
    <row r="1125" spans="1:7" x14ac:dyDescent="0.35">
      <c r="A1125" s="9">
        <f xml:space="preserve"> ROW( scalarDataframe[[#This Row],[row_id]] ) - ROW( scalarDataframe[[#Headers],[row_id]] )</f>
        <v>1124</v>
      </c>
      <c r="B1125" s="16" t="str">
        <f xml:space="preserve"> INDEX( co_scalarInfo[scalarType], MATCH( scalarDataframe[[#This Row],[scalarName]],  co_scalarInfo[scalarName], 0 ) )</f>
        <v>physAdj</v>
      </c>
      <c r="C1125" s="44" t="str">
        <f xml:space="preserve"> INDEX( co_scalarInfo[scalarLabel], MATCH( scalarDataframe[[#This Row],[scalarName]], co_scalarInfo[scalarName], 0 ) )</f>
        <v>MH 5+ Population Proportion Adjustment Factor</v>
      </c>
      <c r="D1125" s="24" t="s">
        <v>1312</v>
      </c>
      <c r="E1125" s="17" t="s">
        <v>11</v>
      </c>
      <c r="F1125" s="25">
        <v>2025</v>
      </c>
      <c r="G1125" s="26">
        <v>0.92977268099999999</v>
      </c>
    </row>
    <row r="1126" spans="1:7" x14ac:dyDescent="0.35">
      <c r="A1126" s="9">
        <f xml:space="preserve"> ROW( scalarDataframe[[#This Row],[row_id]] ) - ROW( scalarDataframe[[#Headers],[row_id]] )</f>
        <v>1125</v>
      </c>
      <c r="B1126" s="16" t="str">
        <f xml:space="preserve"> INDEX( co_scalarInfo[scalarType], MATCH( scalarDataframe[[#This Row],[scalarName]],  co_scalarInfo[scalarName], 0 ) )</f>
        <v>physAdj</v>
      </c>
      <c r="C1126" s="44" t="str">
        <f xml:space="preserve"> INDEX( co_scalarInfo[scalarLabel], MATCH( scalarDataframe[[#This Row],[scalarName]], co_scalarInfo[scalarName], 0 ) )</f>
        <v>MH 5+ Population Proportion Adjustment Factor</v>
      </c>
      <c r="D1126" s="24" t="s">
        <v>1312</v>
      </c>
      <c r="E1126" s="17" t="s">
        <v>11</v>
      </c>
      <c r="F1126" s="25">
        <v>2029</v>
      </c>
      <c r="G1126" s="26">
        <v>0.93030529100000003</v>
      </c>
    </row>
    <row r="1127" spans="1:7" x14ac:dyDescent="0.35">
      <c r="A1127" s="9">
        <f xml:space="preserve"> ROW( scalarDataframe[[#This Row],[row_id]] ) - ROW( scalarDataframe[[#Headers],[row_id]] )</f>
        <v>1126</v>
      </c>
      <c r="B1127" s="16" t="str">
        <f xml:space="preserve"> INDEX( co_scalarInfo[scalarType], MATCH( scalarDataframe[[#This Row],[scalarName]],  co_scalarInfo[scalarName], 0 ) )</f>
        <v>physAdj</v>
      </c>
      <c r="C1127" s="44" t="str">
        <f xml:space="preserve"> INDEX( co_scalarInfo[scalarLabel], MATCH( scalarDataframe[[#This Row],[scalarName]], co_scalarInfo[scalarName], 0 ) )</f>
        <v>MH 5+ Population Proportion Adjustment Factor</v>
      </c>
      <c r="D1127" s="24" t="s">
        <v>1312</v>
      </c>
      <c r="E1127" s="17" t="s">
        <v>11</v>
      </c>
      <c r="F1127" s="25">
        <v>2032</v>
      </c>
      <c r="G1127" s="26">
        <v>0.93064461799999998</v>
      </c>
    </row>
    <row r="1128" spans="1:7" x14ac:dyDescent="0.35">
      <c r="A1128" s="9">
        <f xml:space="preserve"> ROW( scalarDataframe[[#This Row],[row_id]] ) - ROW( scalarDataframe[[#Headers],[row_id]] )</f>
        <v>1127</v>
      </c>
      <c r="B1128" s="16" t="str">
        <f xml:space="preserve"> INDEX( co_scalarInfo[scalarType], MATCH( scalarDataframe[[#This Row],[scalarName]],  co_scalarInfo[scalarName], 0 ) )</f>
        <v>physAdj</v>
      </c>
      <c r="C1128" s="44" t="str">
        <f xml:space="preserve"> INDEX( co_scalarInfo[scalarLabel], MATCH( scalarDataframe[[#This Row],[scalarName]], co_scalarInfo[scalarName], 0 ) )</f>
        <v>MH 5+ Population Proportion Adjustment Factor</v>
      </c>
      <c r="D1128" s="24" t="s">
        <v>1312</v>
      </c>
      <c r="E1128" s="17" t="s">
        <v>11</v>
      </c>
      <c r="F1128" s="25">
        <v>2033</v>
      </c>
      <c r="G1128" s="26">
        <v>0.93074827999999998</v>
      </c>
    </row>
    <row r="1129" spans="1:7" x14ac:dyDescent="0.35">
      <c r="A1129" s="9">
        <f xml:space="preserve"> ROW( scalarDataframe[[#This Row],[row_id]] ) - ROW( scalarDataframe[[#Headers],[row_id]] )</f>
        <v>1128</v>
      </c>
      <c r="B1129" s="16" t="str">
        <f xml:space="preserve"> INDEX( co_scalarInfo[scalarType], MATCH( scalarDataframe[[#This Row],[scalarName]],  co_scalarInfo[scalarName], 0 ) )</f>
        <v>physAdj</v>
      </c>
      <c r="C1129" s="44" t="str">
        <f xml:space="preserve"> INDEX( co_scalarInfo[scalarLabel], MATCH( scalarDataframe[[#This Row],[scalarName]], co_scalarInfo[scalarName], 0 ) )</f>
        <v>MH 5+ Population Proportion Adjustment Factor</v>
      </c>
      <c r="D1129" s="24" t="s">
        <v>1312</v>
      </c>
      <c r="E1129" s="17" t="s">
        <v>11</v>
      </c>
      <c r="F1129" s="25">
        <v>2037</v>
      </c>
      <c r="G1129" s="26">
        <v>0.93114296699999999</v>
      </c>
    </row>
    <row r="1130" spans="1:7" x14ac:dyDescent="0.35">
      <c r="A1130" s="9">
        <f xml:space="preserve"> ROW( scalarDataframe[[#This Row],[row_id]] ) - ROW( scalarDataframe[[#Headers],[row_id]] )</f>
        <v>1129</v>
      </c>
      <c r="B1130" s="16" t="str">
        <f xml:space="preserve"> INDEX( co_scalarInfo[scalarType], MATCH( scalarDataframe[[#This Row],[scalarName]],  co_scalarInfo[scalarName], 0 ) )</f>
        <v>physAdj</v>
      </c>
      <c r="C1130" s="44" t="str">
        <f xml:space="preserve"> INDEX( co_scalarInfo[scalarLabel], MATCH( scalarDataframe[[#This Row],[scalarName]], co_scalarInfo[scalarName], 0 ) )</f>
        <v>MH 5+ Population Proportion Adjustment Factor</v>
      </c>
      <c r="D1130" s="24" t="s">
        <v>1312</v>
      </c>
      <c r="E1130" s="17" t="s">
        <v>11</v>
      </c>
      <c r="F1130" s="25">
        <v>2044</v>
      </c>
      <c r="G1130" s="26">
        <v>0.93166017000000001</v>
      </c>
    </row>
    <row r="1131" spans="1:7" x14ac:dyDescent="0.35">
      <c r="A1131" s="9">
        <f xml:space="preserve"> ROW( scalarDataframe[[#This Row],[row_id]] ) - ROW( scalarDataframe[[#Headers],[row_id]] )</f>
        <v>1130</v>
      </c>
      <c r="B1131" s="16" t="str">
        <f xml:space="preserve"> INDEX( co_scalarInfo[scalarType], MATCH( scalarDataframe[[#This Row],[scalarName]],  co_scalarInfo[scalarName], 0 ) )</f>
        <v>physAdj</v>
      </c>
      <c r="C1131" s="44" t="str">
        <f xml:space="preserve"> INDEX( co_scalarInfo[scalarLabel], MATCH( scalarDataframe[[#This Row],[scalarName]], co_scalarInfo[scalarName], 0 ) )</f>
        <v>MH 5+ Population Proportion Adjustment Factor</v>
      </c>
      <c r="D1131" s="24" t="s">
        <v>1312</v>
      </c>
      <c r="E1131" s="17" t="s">
        <v>11</v>
      </c>
      <c r="F1131" s="25">
        <v>2048</v>
      </c>
      <c r="G1131" s="26">
        <v>0.93188215500000005</v>
      </c>
    </row>
    <row r="1132" spans="1:7" x14ac:dyDescent="0.35">
      <c r="A1132" s="9">
        <f xml:space="preserve"> ROW( scalarDataframe[[#This Row],[row_id]] ) - ROW( scalarDataframe[[#Headers],[row_id]] )</f>
        <v>1131</v>
      </c>
      <c r="B1132" s="16" t="str">
        <f xml:space="preserve"> INDEX( co_scalarInfo[scalarType], MATCH( scalarDataframe[[#This Row],[scalarName]],  co_scalarInfo[scalarName], 0 ) )</f>
        <v>physAdj</v>
      </c>
      <c r="C1132" s="44" t="str">
        <f xml:space="preserve"> INDEX( co_scalarInfo[scalarLabel], MATCH( scalarDataframe[[#This Row],[scalarName]], co_scalarInfo[scalarName], 0 ) )</f>
        <v>MH 5+ Population Proportion Adjustment Factor</v>
      </c>
      <c r="D1132" s="24" t="s">
        <v>1312</v>
      </c>
      <c r="E1132" s="17" t="s">
        <v>11</v>
      </c>
      <c r="F1132" s="25">
        <v>2049</v>
      </c>
      <c r="G1132" s="26">
        <v>0.93193548999999998</v>
      </c>
    </row>
    <row r="1133" spans="1:7" x14ac:dyDescent="0.35">
      <c r="A1133" s="9">
        <f xml:space="preserve"> ROW( scalarDataframe[[#This Row],[row_id]] ) - ROW( scalarDataframe[[#Headers],[row_id]] )</f>
        <v>1132</v>
      </c>
      <c r="B1133" s="16" t="str">
        <f xml:space="preserve"> INDEX( co_scalarInfo[scalarType], MATCH( scalarDataframe[[#This Row],[scalarName]],  co_scalarInfo[scalarName], 0 ) )</f>
        <v>physAdj</v>
      </c>
      <c r="C1133" s="44" t="str">
        <f xml:space="preserve"> INDEX( co_scalarInfo[scalarLabel], MATCH( scalarDataframe[[#This Row],[scalarName]], co_scalarInfo[scalarName], 0 ) )</f>
        <v>MH 5+ Population Proportion Adjustment Factor</v>
      </c>
      <c r="D1133" s="24" t="s">
        <v>1312</v>
      </c>
      <c r="E1133" s="17" t="s">
        <v>11</v>
      </c>
      <c r="F1133" s="25">
        <v>2050</v>
      </c>
      <c r="G1133" s="26">
        <v>0.93198818900000002</v>
      </c>
    </row>
    <row r="1134" spans="1:7" x14ac:dyDescent="0.35">
      <c r="A1134" s="9">
        <f xml:space="preserve"> ROW( scalarDataframe[[#This Row],[row_id]] ) - ROW( scalarDataframe[[#Headers],[row_id]] )</f>
        <v>1133</v>
      </c>
      <c r="B1134" s="16" t="str">
        <f xml:space="preserve"> INDEX( co_scalarInfo[scalarType], MATCH( scalarDataframe[[#This Row],[scalarName]],  co_scalarInfo[scalarName], 0 ) )</f>
        <v>physAdj</v>
      </c>
      <c r="C1134" s="44" t="str">
        <f xml:space="preserve"> INDEX( co_scalarInfo[scalarLabel], MATCH( scalarDataframe[[#This Row],[scalarName]], co_scalarInfo[scalarName], 0 ) )</f>
        <v>MH 5+ Population Proportion Adjustment Factor</v>
      </c>
      <c r="D1134" s="24" t="s">
        <v>1312</v>
      </c>
      <c r="E1134" s="17" t="s">
        <v>11</v>
      </c>
      <c r="F1134" s="25">
        <v>2052</v>
      </c>
      <c r="G1134" s="26">
        <v>0.93205494700000002</v>
      </c>
    </row>
    <row r="1135" spans="1:7" x14ac:dyDescent="0.35">
      <c r="A1135" s="9">
        <f xml:space="preserve"> ROW( scalarDataframe[[#This Row],[row_id]] ) - ROW( scalarDataframe[[#Headers],[row_id]] )</f>
        <v>1134</v>
      </c>
      <c r="B1135" s="16" t="str">
        <f xml:space="preserve"> INDEX( co_scalarInfo[scalarType], MATCH( scalarDataframe[[#This Row],[scalarName]],  co_scalarInfo[scalarName], 0 ) )</f>
        <v>physAdj</v>
      </c>
      <c r="C1135" s="44" t="str">
        <f xml:space="preserve"> INDEX( co_scalarInfo[scalarLabel], MATCH( scalarDataframe[[#This Row],[scalarName]], co_scalarInfo[scalarName], 0 ) )</f>
        <v>MH 5+ Population Proportion Adjustment Factor</v>
      </c>
      <c r="D1135" s="24" t="s">
        <v>1312</v>
      </c>
      <c r="E1135" s="17" t="s">
        <v>11</v>
      </c>
      <c r="F1135" s="25">
        <v>2055</v>
      </c>
      <c r="G1135" s="26">
        <v>0.93215202699999999</v>
      </c>
    </row>
    <row r="1136" spans="1:7" x14ac:dyDescent="0.35">
      <c r="A1136" s="9">
        <f xml:space="preserve"> ROW( scalarDataframe[[#This Row],[row_id]] ) - ROW( scalarDataframe[[#Headers],[row_id]] )</f>
        <v>1135</v>
      </c>
      <c r="B1136" s="16" t="str">
        <f xml:space="preserve"> INDEX( co_scalarInfo[scalarType], MATCH( scalarDataframe[[#This Row],[scalarName]],  co_scalarInfo[scalarName], 0 ) )</f>
        <v>physAdj</v>
      </c>
      <c r="C1136" s="44" t="str">
        <f xml:space="preserve"> INDEX( co_scalarInfo[scalarLabel], MATCH( scalarDataframe[[#This Row],[scalarName]], co_scalarInfo[scalarName], 0 ) )</f>
        <v>MH 5+ Population Proportion Adjustment Factor</v>
      </c>
      <c r="D1136" s="24" t="s">
        <v>1312</v>
      </c>
      <c r="E1136" s="17" t="s">
        <v>11</v>
      </c>
      <c r="F1136" s="25">
        <v>2059</v>
      </c>
      <c r="G1136" s="26">
        <v>0.93228816400000003</v>
      </c>
    </row>
    <row r="1137" spans="1:7" x14ac:dyDescent="0.35">
      <c r="A1137" s="9">
        <f xml:space="preserve"> ROW( scalarDataframe[[#This Row],[row_id]] ) - ROW( scalarDataframe[[#Headers],[row_id]] )</f>
        <v>1136</v>
      </c>
      <c r="B1137" s="16" t="str">
        <f xml:space="preserve"> INDEX( co_scalarInfo[scalarType], MATCH( scalarDataframe[[#This Row],[scalarName]],  co_scalarInfo[scalarName], 0 ) )</f>
        <v>physAdj</v>
      </c>
      <c r="C1137" s="44" t="str">
        <f xml:space="preserve"> INDEX( co_scalarInfo[scalarLabel], MATCH( scalarDataframe[[#This Row],[scalarName]], co_scalarInfo[scalarName], 0 ) )</f>
        <v>MH 5+ Population Proportion Adjustment Factor</v>
      </c>
      <c r="D1137" s="24" t="s">
        <v>1312</v>
      </c>
      <c r="E1137" s="17" t="s">
        <v>11</v>
      </c>
      <c r="F1137" s="25">
        <v>2061</v>
      </c>
      <c r="G1137" s="26">
        <v>0.93238550600000003</v>
      </c>
    </row>
    <row r="1138" spans="1:7" x14ac:dyDescent="0.35">
      <c r="A1138" s="9">
        <f xml:space="preserve"> ROW( scalarDataframe[[#This Row],[row_id]] ) - ROW( scalarDataframe[[#Headers],[row_id]] )</f>
        <v>1137</v>
      </c>
      <c r="B1138" s="16" t="str">
        <f xml:space="preserve"> INDEX( co_scalarInfo[scalarType], MATCH( scalarDataframe[[#This Row],[scalarName]],  co_scalarInfo[scalarName], 0 ) )</f>
        <v>physAdj</v>
      </c>
      <c r="C1138" s="44" t="str">
        <f xml:space="preserve"> INDEX( co_scalarInfo[scalarLabel], MATCH( scalarDataframe[[#This Row],[scalarName]], co_scalarInfo[scalarName], 0 ) )</f>
        <v>MH 5+ Population Proportion Adjustment Factor</v>
      </c>
      <c r="D1138" s="24" t="s">
        <v>1312</v>
      </c>
      <c r="E1138" s="17" t="s">
        <v>11</v>
      </c>
      <c r="F1138" s="25">
        <v>2062</v>
      </c>
      <c r="G1138" s="26">
        <v>0.93244899800000003</v>
      </c>
    </row>
    <row r="1139" spans="1:7" x14ac:dyDescent="0.35">
      <c r="A1139" s="9">
        <f xml:space="preserve"> ROW( scalarDataframe[[#This Row],[row_id]] ) - ROW( scalarDataframe[[#Headers],[row_id]] )</f>
        <v>1138</v>
      </c>
      <c r="B1139" s="16" t="str">
        <f xml:space="preserve"> INDEX( co_scalarInfo[scalarType], MATCH( scalarDataframe[[#This Row],[scalarName]],  co_scalarInfo[scalarName], 0 ) )</f>
        <v>physAdj</v>
      </c>
      <c r="C1139" s="44" t="str">
        <f xml:space="preserve"> INDEX( co_scalarInfo[scalarLabel], MATCH( scalarDataframe[[#This Row],[scalarName]], co_scalarInfo[scalarName], 0 ) )</f>
        <v>MH 5+ Population Proportion Adjustment Factor</v>
      </c>
      <c r="D1139" s="24" t="s">
        <v>1312</v>
      </c>
      <c r="E1139" s="17" t="s">
        <v>11</v>
      </c>
      <c r="F1139" s="25">
        <v>2064</v>
      </c>
      <c r="G1139" s="26">
        <v>0.93257463500000004</v>
      </c>
    </row>
    <row r="1140" spans="1:7" x14ac:dyDescent="0.35">
      <c r="A1140" s="9">
        <f xml:space="preserve"> ROW( scalarDataframe[[#This Row],[row_id]] ) - ROW( scalarDataframe[[#Headers],[row_id]] )</f>
        <v>1139</v>
      </c>
      <c r="B1140" s="16" t="str">
        <f xml:space="preserve"> INDEX( co_scalarInfo[scalarType], MATCH( scalarDataframe[[#This Row],[scalarName]],  co_scalarInfo[scalarName], 0 ) )</f>
        <v>physAdj</v>
      </c>
      <c r="C1140" s="44" t="str">
        <f xml:space="preserve"> INDEX( co_scalarInfo[scalarLabel], MATCH( scalarDataframe[[#This Row],[scalarName]], co_scalarInfo[scalarName], 0 ) )</f>
        <v>MH 5+ Population Proportion Adjustment Factor</v>
      </c>
      <c r="D1140" s="24" t="s">
        <v>1312</v>
      </c>
      <c r="E1140" s="17" t="s">
        <v>11</v>
      </c>
      <c r="F1140" s="25">
        <v>2067</v>
      </c>
      <c r="G1140" s="26">
        <v>0.93275857600000001</v>
      </c>
    </row>
    <row r="1141" spans="1:7" x14ac:dyDescent="0.35">
      <c r="A1141" s="9">
        <f xml:space="preserve"> ROW( scalarDataframe[[#This Row],[row_id]] ) - ROW( scalarDataframe[[#Headers],[row_id]] )</f>
        <v>1140</v>
      </c>
      <c r="B1141" s="16" t="str">
        <f xml:space="preserve"> INDEX( co_scalarInfo[scalarType], MATCH( scalarDataframe[[#This Row],[scalarName]],  co_scalarInfo[scalarName], 0 ) )</f>
        <v>physAdj</v>
      </c>
      <c r="C1141" s="44" t="str">
        <f xml:space="preserve"> INDEX( co_scalarInfo[scalarLabel], MATCH( scalarDataframe[[#This Row],[scalarName]], co_scalarInfo[scalarName], 0 ) )</f>
        <v>MH 5+ Population Proportion Adjustment Factor</v>
      </c>
      <c r="D1141" s="24" t="s">
        <v>1312</v>
      </c>
      <c r="E1141" s="17" t="s">
        <v>11</v>
      </c>
      <c r="F1141" s="25">
        <v>2071</v>
      </c>
      <c r="G1141" s="26">
        <v>0.93302732799999999</v>
      </c>
    </row>
    <row r="1142" spans="1:7" x14ac:dyDescent="0.35">
      <c r="A1142" s="9">
        <f xml:space="preserve"> ROW( scalarDataframe[[#This Row],[row_id]] ) - ROW( scalarDataframe[[#Headers],[row_id]] )</f>
        <v>1141</v>
      </c>
      <c r="B1142" s="16" t="str">
        <f xml:space="preserve"> INDEX( co_scalarInfo[scalarType], MATCH( scalarDataframe[[#This Row],[scalarName]],  co_scalarInfo[scalarName], 0 ) )</f>
        <v>physAdj</v>
      </c>
      <c r="C1142" s="44" t="str">
        <f xml:space="preserve"> INDEX( co_scalarInfo[scalarLabel], MATCH( scalarDataframe[[#This Row],[scalarName]], co_scalarInfo[scalarName], 0 ) )</f>
        <v>MH 5+ Population Proportion Adjustment Factor</v>
      </c>
      <c r="D1142" s="24" t="s">
        <v>1312</v>
      </c>
      <c r="E1142" s="17" t="s">
        <v>11</v>
      </c>
      <c r="F1142" s="25">
        <v>2076</v>
      </c>
      <c r="G1142" s="26">
        <v>0.93346119299999997</v>
      </c>
    </row>
    <row r="1143" spans="1:7" x14ac:dyDescent="0.35">
      <c r="A1143" s="9">
        <f xml:space="preserve"> ROW( scalarDataframe[[#This Row],[row_id]] ) - ROW( scalarDataframe[[#Headers],[row_id]] )</f>
        <v>1142</v>
      </c>
      <c r="B1143" s="16" t="str">
        <f xml:space="preserve"> INDEX( co_scalarInfo[scalarType], MATCH( scalarDataframe[[#This Row],[scalarName]],  co_scalarInfo[scalarName], 0 ) )</f>
        <v>physAdj</v>
      </c>
      <c r="C1143" s="44" t="str">
        <f xml:space="preserve"> INDEX( co_scalarInfo[scalarLabel], MATCH( scalarDataframe[[#This Row],[scalarName]], co_scalarInfo[scalarName], 0 ) )</f>
        <v>MH 5+ Population Proportion Adjustment Factor</v>
      </c>
      <c r="D1143" s="24" t="s">
        <v>1312</v>
      </c>
      <c r="E1143" s="17" t="s">
        <v>11</v>
      </c>
      <c r="F1143" s="25">
        <v>2077</v>
      </c>
      <c r="G1143" s="26">
        <v>0.93354591600000003</v>
      </c>
    </row>
    <row r="1144" spans="1:7" x14ac:dyDescent="0.35">
      <c r="A1144" s="9">
        <f xml:space="preserve"> ROW( scalarDataframe[[#This Row],[row_id]] ) - ROW( scalarDataframe[[#Headers],[row_id]] )</f>
        <v>1143</v>
      </c>
      <c r="B1144" s="16" t="str">
        <f xml:space="preserve"> INDEX( co_scalarInfo[scalarType], MATCH( scalarDataframe[[#This Row],[scalarName]],  co_scalarInfo[scalarName], 0 ) )</f>
        <v>physAdj</v>
      </c>
      <c r="C1144" s="44" t="str">
        <f xml:space="preserve"> INDEX( co_scalarInfo[scalarLabel], MATCH( scalarDataframe[[#This Row],[scalarName]], co_scalarInfo[scalarName], 0 ) )</f>
        <v>MH 5+ Population Proportion Adjustment Factor</v>
      </c>
      <c r="D1144" s="24" t="s">
        <v>1312</v>
      </c>
      <c r="E1144" s="17" t="s">
        <v>11</v>
      </c>
      <c r="F1144" s="25">
        <v>2081</v>
      </c>
      <c r="G1144" s="26">
        <v>0.93391423100000004</v>
      </c>
    </row>
    <row r="1145" spans="1:7" x14ac:dyDescent="0.35">
      <c r="A1145" s="9">
        <f xml:space="preserve"> ROW( scalarDataframe[[#This Row],[row_id]] ) - ROW( scalarDataframe[[#Headers],[row_id]] )</f>
        <v>1144</v>
      </c>
      <c r="B1145" s="16" t="str">
        <f xml:space="preserve"> INDEX( co_scalarInfo[scalarType], MATCH( scalarDataframe[[#This Row],[scalarName]],  co_scalarInfo[scalarName], 0 ) )</f>
        <v>physAdj</v>
      </c>
      <c r="C1145" s="44" t="str">
        <f xml:space="preserve"> INDEX( co_scalarInfo[scalarLabel], MATCH( scalarDataframe[[#This Row],[scalarName]], co_scalarInfo[scalarName], 0 ) )</f>
        <v>MH 5+ Population Proportion Adjustment Factor</v>
      </c>
      <c r="D1145" s="24" t="s">
        <v>1312</v>
      </c>
      <c r="E1145" s="17" t="s">
        <v>11</v>
      </c>
      <c r="F1145" s="25">
        <v>2082</v>
      </c>
      <c r="G1145" s="26">
        <v>0.93403106899999999</v>
      </c>
    </row>
    <row r="1146" spans="1:7" x14ac:dyDescent="0.35">
      <c r="A1146" s="9">
        <f xml:space="preserve"> ROW( scalarDataframe[[#This Row],[row_id]] ) - ROW( scalarDataframe[[#Headers],[row_id]] )</f>
        <v>1145</v>
      </c>
      <c r="B1146" s="16" t="str">
        <f xml:space="preserve"> INDEX( co_scalarInfo[scalarType], MATCH( scalarDataframe[[#This Row],[scalarName]],  co_scalarInfo[scalarName], 0 ) )</f>
        <v>physAdj</v>
      </c>
      <c r="C1146" s="44" t="str">
        <f xml:space="preserve"> INDEX( co_scalarInfo[scalarLabel], MATCH( scalarDataframe[[#This Row],[scalarName]], co_scalarInfo[scalarName], 0 ) )</f>
        <v>MH 5+ Population Proportion Adjustment Factor</v>
      </c>
      <c r="D1146" s="24" t="s">
        <v>1312</v>
      </c>
      <c r="E1146" s="17" t="s">
        <v>11</v>
      </c>
      <c r="F1146" s="25">
        <v>2087</v>
      </c>
      <c r="G1146" s="26">
        <v>0.93460578400000005</v>
      </c>
    </row>
    <row r="1147" spans="1:7" x14ac:dyDescent="0.35">
      <c r="A1147" s="9">
        <f xml:space="preserve"> ROW( scalarDataframe[[#This Row],[row_id]] ) - ROW( scalarDataframe[[#Headers],[row_id]] )</f>
        <v>1146</v>
      </c>
      <c r="B1147" s="16" t="str">
        <f xml:space="preserve"> INDEX( co_scalarInfo[scalarType], MATCH( scalarDataframe[[#This Row],[scalarName]],  co_scalarInfo[scalarName], 0 ) )</f>
        <v>physAdj</v>
      </c>
      <c r="C1147" s="44" t="str">
        <f xml:space="preserve"> INDEX( co_scalarInfo[scalarLabel], MATCH( scalarDataframe[[#This Row],[scalarName]], co_scalarInfo[scalarName], 0 ) )</f>
        <v>MH 5+ Population Proportion Adjustment Factor</v>
      </c>
      <c r="D1147" s="24" t="s">
        <v>1312</v>
      </c>
      <c r="E1147" s="17" t="s">
        <v>11</v>
      </c>
      <c r="F1147" s="25">
        <v>2091</v>
      </c>
      <c r="G1147" s="26">
        <v>0.93506487741661104</v>
      </c>
    </row>
    <row r="1148" spans="1:7" x14ac:dyDescent="0.35">
      <c r="A1148" s="9">
        <f xml:space="preserve"> ROW( scalarDataframe[[#This Row],[row_id]] ) - ROW( scalarDataframe[[#Headers],[row_id]] )</f>
        <v>1147</v>
      </c>
      <c r="B1148" s="16" t="str">
        <f xml:space="preserve"> INDEX( co_scalarInfo[scalarType], MATCH( scalarDataframe[[#This Row],[scalarName]],  co_scalarInfo[scalarName], 0 ) )</f>
        <v>physAdj</v>
      </c>
      <c r="C1148" s="44" t="str">
        <f xml:space="preserve"> INDEX( co_scalarInfo[scalarLabel], MATCH( scalarDataframe[[#This Row],[scalarName]], co_scalarInfo[scalarName], 0 ) )</f>
        <v>MH 5+ Population Proportion Adjustment Factor</v>
      </c>
      <c r="D1148" s="24" t="s">
        <v>1312</v>
      </c>
      <c r="E1148" s="17" t="s">
        <v>11</v>
      </c>
      <c r="F1148" s="25">
        <v>2300</v>
      </c>
      <c r="G1148" s="26">
        <v>0.93506487741661104</v>
      </c>
    </row>
    <row r="1149" spans="1:7" x14ac:dyDescent="0.35">
      <c r="A1149" s="9">
        <f xml:space="preserve"> ROW( scalarDataframe[[#This Row],[row_id]] ) - ROW( scalarDataframe[[#Headers],[row_id]] )</f>
        <v>1148</v>
      </c>
      <c r="B1149" s="16" t="str">
        <f xml:space="preserve"> INDEX( co_scalarInfo[scalarType], MATCH( scalarDataframe[[#This Row],[scalarName]],  co_scalarInfo[scalarName], 0 ) )</f>
        <v>physAdj</v>
      </c>
      <c r="C1149" s="44" t="str">
        <f xml:space="preserve"> INDEX( co_scalarInfo[scalarLabel], MATCH( scalarDataframe[[#This Row],[scalarName]], co_scalarInfo[scalarName], 0 ) )</f>
        <v>MH 5+ Population Proportion Adjustment Factor</v>
      </c>
      <c r="D1149" s="24" t="s">
        <v>1312</v>
      </c>
      <c r="E1149" s="17" t="s">
        <v>12</v>
      </c>
      <c r="F1149" s="25">
        <v>2010</v>
      </c>
      <c r="G1149" s="26">
        <v>0.92364952550000012</v>
      </c>
    </row>
    <row r="1150" spans="1:7" x14ac:dyDescent="0.35">
      <c r="A1150" s="9">
        <f xml:space="preserve"> ROW( scalarDataframe[[#This Row],[row_id]] ) - ROW( scalarDataframe[[#Headers],[row_id]] )</f>
        <v>1149</v>
      </c>
      <c r="B1150" s="16" t="str">
        <f xml:space="preserve"> INDEX( co_scalarInfo[scalarType], MATCH( scalarDataframe[[#This Row],[scalarName]],  co_scalarInfo[scalarName], 0 ) )</f>
        <v>physAdj</v>
      </c>
      <c r="C1150" s="44" t="str">
        <f xml:space="preserve"> INDEX( co_scalarInfo[scalarLabel], MATCH( scalarDataframe[[#This Row],[scalarName]], co_scalarInfo[scalarName], 0 ) )</f>
        <v>MH 5+ Population Proportion Adjustment Factor</v>
      </c>
      <c r="D1150" s="24" t="s">
        <v>1312</v>
      </c>
      <c r="E1150" s="17" t="s">
        <v>12</v>
      </c>
      <c r="F1150" s="25">
        <v>2011</v>
      </c>
      <c r="G1150" s="26">
        <v>0.92421947599999998</v>
      </c>
    </row>
    <row r="1151" spans="1:7" x14ac:dyDescent="0.35">
      <c r="A1151" s="9">
        <f xml:space="preserve"> ROW( scalarDataframe[[#This Row],[row_id]] ) - ROW( scalarDataframe[[#Headers],[row_id]] )</f>
        <v>1150</v>
      </c>
      <c r="B1151" s="16" t="str">
        <f xml:space="preserve"> INDEX( co_scalarInfo[scalarType], MATCH( scalarDataframe[[#This Row],[scalarName]],  co_scalarInfo[scalarName], 0 ) )</f>
        <v>physAdj</v>
      </c>
      <c r="C1151" s="44" t="str">
        <f xml:space="preserve"> INDEX( co_scalarInfo[scalarLabel], MATCH( scalarDataframe[[#This Row],[scalarName]], co_scalarInfo[scalarName], 0 ) )</f>
        <v>MH 5+ Population Proportion Adjustment Factor</v>
      </c>
      <c r="D1151" s="24" t="s">
        <v>1312</v>
      </c>
      <c r="E1151" s="17" t="s">
        <v>12</v>
      </c>
      <c r="F1151" s="25">
        <v>2013</v>
      </c>
      <c r="G1151" s="26">
        <v>0.92535937700000004</v>
      </c>
    </row>
    <row r="1152" spans="1:7" x14ac:dyDescent="0.35">
      <c r="A1152" s="9">
        <f xml:space="preserve"> ROW( scalarDataframe[[#This Row],[row_id]] ) - ROW( scalarDataframe[[#Headers],[row_id]] )</f>
        <v>1151</v>
      </c>
      <c r="B1152" s="16" t="str">
        <f xml:space="preserve"> INDEX( co_scalarInfo[scalarType], MATCH( scalarDataframe[[#This Row],[scalarName]],  co_scalarInfo[scalarName], 0 ) )</f>
        <v>physAdj</v>
      </c>
      <c r="C1152" s="44" t="str">
        <f xml:space="preserve"> INDEX( co_scalarInfo[scalarLabel], MATCH( scalarDataframe[[#This Row],[scalarName]], co_scalarInfo[scalarName], 0 ) )</f>
        <v>MH 5+ Population Proportion Adjustment Factor</v>
      </c>
      <c r="D1152" s="24" t="s">
        <v>1312</v>
      </c>
      <c r="E1152" s="17" t="s">
        <v>12</v>
      </c>
      <c r="F1152" s="25">
        <v>2017</v>
      </c>
      <c r="G1152" s="26">
        <v>0.92749802699999995</v>
      </c>
    </row>
    <row r="1153" spans="1:7" x14ac:dyDescent="0.35">
      <c r="A1153" s="9">
        <f xml:space="preserve"> ROW( scalarDataframe[[#This Row],[row_id]] ) - ROW( scalarDataframe[[#Headers],[row_id]] )</f>
        <v>1152</v>
      </c>
      <c r="B1153" s="16" t="str">
        <f xml:space="preserve"> INDEX( co_scalarInfo[scalarType], MATCH( scalarDataframe[[#This Row],[scalarName]],  co_scalarInfo[scalarName], 0 ) )</f>
        <v>physAdj</v>
      </c>
      <c r="C1153" s="44" t="str">
        <f xml:space="preserve"> INDEX( co_scalarInfo[scalarLabel], MATCH( scalarDataframe[[#This Row],[scalarName]], co_scalarInfo[scalarName], 0 ) )</f>
        <v>MH 5+ Population Proportion Adjustment Factor</v>
      </c>
      <c r="D1153" s="24" t="s">
        <v>1312</v>
      </c>
      <c r="E1153" s="17" t="s">
        <v>12</v>
      </c>
      <c r="F1153" s="25">
        <v>2025</v>
      </c>
      <c r="G1153" s="26">
        <v>0.93005248200000001</v>
      </c>
    </row>
    <row r="1154" spans="1:7" x14ac:dyDescent="0.35">
      <c r="A1154" s="9">
        <f xml:space="preserve"> ROW( scalarDataframe[[#This Row],[row_id]] ) - ROW( scalarDataframe[[#Headers],[row_id]] )</f>
        <v>1153</v>
      </c>
      <c r="B1154" s="16" t="str">
        <f xml:space="preserve"> INDEX( co_scalarInfo[scalarType], MATCH( scalarDataframe[[#This Row],[scalarName]],  co_scalarInfo[scalarName], 0 ) )</f>
        <v>physAdj</v>
      </c>
      <c r="C1154" s="44" t="str">
        <f xml:space="preserve"> INDEX( co_scalarInfo[scalarLabel], MATCH( scalarDataframe[[#This Row],[scalarName]], co_scalarInfo[scalarName], 0 ) )</f>
        <v>MH 5+ Population Proportion Adjustment Factor</v>
      </c>
      <c r="D1154" s="24" t="s">
        <v>1312</v>
      </c>
      <c r="E1154" s="17" t="s">
        <v>12</v>
      </c>
      <c r="F1154" s="25">
        <v>2029</v>
      </c>
      <c r="G1154" s="26">
        <v>0.93084014999999998</v>
      </c>
    </row>
    <row r="1155" spans="1:7" x14ac:dyDescent="0.35">
      <c r="A1155" s="9">
        <f xml:space="preserve"> ROW( scalarDataframe[[#This Row],[row_id]] ) - ROW( scalarDataframe[[#Headers],[row_id]] )</f>
        <v>1154</v>
      </c>
      <c r="B1155" s="16" t="str">
        <f xml:space="preserve"> INDEX( co_scalarInfo[scalarType], MATCH( scalarDataframe[[#This Row],[scalarName]],  co_scalarInfo[scalarName], 0 ) )</f>
        <v>physAdj</v>
      </c>
      <c r="C1155" s="44" t="str">
        <f xml:space="preserve"> INDEX( co_scalarInfo[scalarLabel], MATCH( scalarDataframe[[#This Row],[scalarName]], co_scalarInfo[scalarName], 0 ) )</f>
        <v>MH 5+ Population Proportion Adjustment Factor</v>
      </c>
      <c r="D1155" s="24" t="s">
        <v>1312</v>
      </c>
      <c r="E1155" s="17" t="s">
        <v>12</v>
      </c>
      <c r="F1155" s="25">
        <v>2032</v>
      </c>
      <c r="G1155" s="26">
        <v>0.93094176799999995</v>
      </c>
    </row>
    <row r="1156" spans="1:7" x14ac:dyDescent="0.35">
      <c r="A1156" s="9">
        <f xml:space="preserve"> ROW( scalarDataframe[[#This Row],[row_id]] ) - ROW( scalarDataframe[[#Headers],[row_id]] )</f>
        <v>1155</v>
      </c>
      <c r="B1156" s="16" t="str">
        <f xml:space="preserve"> INDEX( co_scalarInfo[scalarType], MATCH( scalarDataframe[[#This Row],[scalarName]],  co_scalarInfo[scalarName], 0 ) )</f>
        <v>physAdj</v>
      </c>
      <c r="C1156" s="44" t="str">
        <f xml:space="preserve"> INDEX( co_scalarInfo[scalarLabel], MATCH( scalarDataframe[[#This Row],[scalarName]], co_scalarInfo[scalarName], 0 ) )</f>
        <v>MH 5+ Population Proportion Adjustment Factor</v>
      </c>
      <c r="D1156" s="24" t="s">
        <v>1312</v>
      </c>
      <c r="E1156" s="17" t="s">
        <v>12</v>
      </c>
      <c r="F1156" s="25">
        <v>2033</v>
      </c>
      <c r="G1156" s="26">
        <v>0.93089935599999996</v>
      </c>
    </row>
    <row r="1157" spans="1:7" x14ac:dyDescent="0.35">
      <c r="A1157" s="9">
        <f xml:space="preserve"> ROW( scalarDataframe[[#This Row],[row_id]] ) - ROW( scalarDataframe[[#Headers],[row_id]] )</f>
        <v>1156</v>
      </c>
      <c r="B1157" s="16" t="str">
        <f xml:space="preserve"> INDEX( co_scalarInfo[scalarType], MATCH( scalarDataframe[[#This Row],[scalarName]],  co_scalarInfo[scalarName], 0 ) )</f>
        <v>physAdj</v>
      </c>
      <c r="C1157" s="44" t="str">
        <f xml:space="preserve"> INDEX( co_scalarInfo[scalarLabel], MATCH( scalarDataframe[[#This Row],[scalarName]], co_scalarInfo[scalarName], 0 ) )</f>
        <v>MH 5+ Population Proportion Adjustment Factor</v>
      </c>
      <c r="D1157" s="24" t="s">
        <v>1312</v>
      </c>
      <c r="E1157" s="17" t="s">
        <v>12</v>
      </c>
      <c r="F1157" s="25">
        <v>2037</v>
      </c>
      <c r="G1157" s="26">
        <v>0.93073139100000002</v>
      </c>
    </row>
    <row r="1158" spans="1:7" x14ac:dyDescent="0.35">
      <c r="A1158" s="9">
        <f xml:space="preserve"> ROW( scalarDataframe[[#This Row],[row_id]] ) - ROW( scalarDataframe[[#Headers],[row_id]] )</f>
        <v>1157</v>
      </c>
      <c r="B1158" s="16" t="str">
        <f xml:space="preserve"> INDEX( co_scalarInfo[scalarType], MATCH( scalarDataframe[[#This Row],[scalarName]],  co_scalarInfo[scalarName], 0 ) )</f>
        <v>physAdj</v>
      </c>
      <c r="C1158" s="44" t="str">
        <f xml:space="preserve"> INDEX( co_scalarInfo[scalarLabel], MATCH( scalarDataframe[[#This Row],[scalarName]], co_scalarInfo[scalarName], 0 ) )</f>
        <v>MH 5+ Population Proportion Adjustment Factor</v>
      </c>
      <c r="D1158" s="24" t="s">
        <v>1312</v>
      </c>
      <c r="E1158" s="17" t="s">
        <v>12</v>
      </c>
      <c r="F1158" s="25">
        <v>2044</v>
      </c>
      <c r="G1158" s="26">
        <v>0.93095013900000001</v>
      </c>
    </row>
    <row r="1159" spans="1:7" x14ac:dyDescent="0.35">
      <c r="A1159" s="9">
        <f xml:space="preserve"> ROW( scalarDataframe[[#This Row],[row_id]] ) - ROW( scalarDataframe[[#Headers],[row_id]] )</f>
        <v>1158</v>
      </c>
      <c r="B1159" s="16" t="str">
        <f xml:space="preserve"> INDEX( co_scalarInfo[scalarType], MATCH( scalarDataframe[[#This Row],[scalarName]],  co_scalarInfo[scalarName], 0 ) )</f>
        <v>physAdj</v>
      </c>
      <c r="C1159" s="44" t="str">
        <f xml:space="preserve"> INDEX( co_scalarInfo[scalarLabel], MATCH( scalarDataframe[[#This Row],[scalarName]], co_scalarInfo[scalarName], 0 ) )</f>
        <v>MH 5+ Population Proportion Adjustment Factor</v>
      </c>
      <c r="D1159" s="24" t="s">
        <v>1312</v>
      </c>
      <c r="E1159" s="17" t="s">
        <v>12</v>
      </c>
      <c r="F1159" s="25">
        <v>2048</v>
      </c>
      <c r="G1159" s="26">
        <v>0.93127688399999997</v>
      </c>
    </row>
    <row r="1160" spans="1:7" x14ac:dyDescent="0.35">
      <c r="A1160" s="9">
        <f xml:space="preserve"> ROW( scalarDataframe[[#This Row],[row_id]] ) - ROW( scalarDataframe[[#Headers],[row_id]] )</f>
        <v>1159</v>
      </c>
      <c r="B1160" s="16" t="str">
        <f xml:space="preserve"> INDEX( co_scalarInfo[scalarType], MATCH( scalarDataframe[[#This Row],[scalarName]],  co_scalarInfo[scalarName], 0 ) )</f>
        <v>physAdj</v>
      </c>
      <c r="C1160" s="44" t="str">
        <f xml:space="preserve"> INDEX( co_scalarInfo[scalarLabel], MATCH( scalarDataframe[[#This Row],[scalarName]], co_scalarInfo[scalarName], 0 ) )</f>
        <v>MH 5+ Population Proportion Adjustment Factor</v>
      </c>
      <c r="D1160" s="24" t="s">
        <v>1312</v>
      </c>
      <c r="E1160" s="17" t="s">
        <v>12</v>
      </c>
      <c r="F1160" s="25">
        <v>2049</v>
      </c>
      <c r="G1160" s="26">
        <v>0.93135625799999999</v>
      </c>
    </row>
    <row r="1161" spans="1:7" x14ac:dyDescent="0.35">
      <c r="A1161" s="9">
        <f xml:space="preserve"> ROW( scalarDataframe[[#This Row],[row_id]] ) - ROW( scalarDataframe[[#Headers],[row_id]] )</f>
        <v>1160</v>
      </c>
      <c r="B1161" s="16" t="str">
        <f xml:space="preserve"> INDEX( co_scalarInfo[scalarType], MATCH( scalarDataframe[[#This Row],[scalarName]],  co_scalarInfo[scalarName], 0 ) )</f>
        <v>physAdj</v>
      </c>
      <c r="C1161" s="44" t="str">
        <f xml:space="preserve"> INDEX( co_scalarInfo[scalarLabel], MATCH( scalarDataframe[[#This Row],[scalarName]], co_scalarInfo[scalarName], 0 ) )</f>
        <v>MH 5+ Population Proportion Adjustment Factor</v>
      </c>
      <c r="D1161" s="24" t="s">
        <v>1312</v>
      </c>
      <c r="E1161" s="17" t="s">
        <v>12</v>
      </c>
      <c r="F1161" s="25">
        <v>2050</v>
      </c>
      <c r="G1161" s="26">
        <v>0.93143453700000001</v>
      </c>
    </row>
    <row r="1162" spans="1:7" x14ac:dyDescent="0.35">
      <c r="A1162" s="9">
        <f xml:space="preserve"> ROW( scalarDataframe[[#This Row],[row_id]] ) - ROW( scalarDataframe[[#Headers],[row_id]] )</f>
        <v>1161</v>
      </c>
      <c r="B1162" s="16" t="str">
        <f xml:space="preserve"> INDEX( co_scalarInfo[scalarType], MATCH( scalarDataframe[[#This Row],[scalarName]],  co_scalarInfo[scalarName], 0 ) )</f>
        <v>physAdj</v>
      </c>
      <c r="C1162" s="44" t="str">
        <f xml:space="preserve"> INDEX( co_scalarInfo[scalarLabel], MATCH( scalarDataframe[[#This Row],[scalarName]], co_scalarInfo[scalarName], 0 ) )</f>
        <v>MH 5+ Population Proportion Adjustment Factor</v>
      </c>
      <c r="D1162" s="24" t="s">
        <v>1312</v>
      </c>
      <c r="E1162" s="17" t="s">
        <v>12</v>
      </c>
      <c r="F1162" s="25">
        <v>2052</v>
      </c>
      <c r="G1162" s="26">
        <v>0.93147559700000004</v>
      </c>
    </row>
    <row r="1163" spans="1:7" x14ac:dyDescent="0.35">
      <c r="A1163" s="9">
        <f xml:space="preserve"> ROW( scalarDataframe[[#This Row],[row_id]] ) - ROW( scalarDataframe[[#Headers],[row_id]] )</f>
        <v>1162</v>
      </c>
      <c r="B1163" s="16" t="str">
        <f xml:space="preserve"> INDEX( co_scalarInfo[scalarType], MATCH( scalarDataframe[[#This Row],[scalarName]],  co_scalarInfo[scalarName], 0 ) )</f>
        <v>physAdj</v>
      </c>
      <c r="C1163" s="44" t="str">
        <f xml:space="preserve"> INDEX( co_scalarInfo[scalarLabel], MATCH( scalarDataframe[[#This Row],[scalarName]], co_scalarInfo[scalarName], 0 ) )</f>
        <v>MH 5+ Population Proportion Adjustment Factor</v>
      </c>
      <c r="D1163" s="24" t="s">
        <v>1312</v>
      </c>
      <c r="E1163" s="17" t="s">
        <v>12</v>
      </c>
      <c r="F1163" s="25">
        <v>2055</v>
      </c>
      <c r="G1163" s="26">
        <v>0.93153523999999999</v>
      </c>
    </row>
    <row r="1164" spans="1:7" x14ac:dyDescent="0.35">
      <c r="A1164" s="9">
        <f xml:space="preserve"> ROW( scalarDataframe[[#This Row],[row_id]] ) - ROW( scalarDataframe[[#Headers],[row_id]] )</f>
        <v>1163</v>
      </c>
      <c r="B1164" s="16" t="str">
        <f xml:space="preserve"> INDEX( co_scalarInfo[scalarType], MATCH( scalarDataframe[[#This Row],[scalarName]],  co_scalarInfo[scalarName], 0 ) )</f>
        <v>physAdj</v>
      </c>
      <c r="C1164" s="44" t="str">
        <f xml:space="preserve"> INDEX( co_scalarInfo[scalarLabel], MATCH( scalarDataframe[[#This Row],[scalarName]], co_scalarInfo[scalarName], 0 ) )</f>
        <v>MH 5+ Population Proportion Adjustment Factor</v>
      </c>
      <c r="D1164" s="24" t="s">
        <v>1312</v>
      </c>
      <c r="E1164" s="17" t="s">
        <v>12</v>
      </c>
      <c r="F1164" s="25">
        <v>2059</v>
      </c>
      <c r="G1164" s="26">
        <v>0.93161003200000003</v>
      </c>
    </row>
    <row r="1165" spans="1:7" x14ac:dyDescent="0.35">
      <c r="A1165" s="9">
        <f xml:space="preserve"> ROW( scalarDataframe[[#This Row],[row_id]] ) - ROW( scalarDataframe[[#Headers],[row_id]] )</f>
        <v>1164</v>
      </c>
      <c r="B1165" s="16" t="str">
        <f xml:space="preserve"> INDEX( co_scalarInfo[scalarType], MATCH( scalarDataframe[[#This Row],[scalarName]],  co_scalarInfo[scalarName], 0 ) )</f>
        <v>physAdj</v>
      </c>
      <c r="C1165" s="44" t="str">
        <f xml:space="preserve"> INDEX( co_scalarInfo[scalarLabel], MATCH( scalarDataframe[[#This Row],[scalarName]], co_scalarInfo[scalarName], 0 ) )</f>
        <v>MH 5+ Population Proportion Adjustment Factor</v>
      </c>
      <c r="D1165" s="24" t="s">
        <v>1312</v>
      </c>
      <c r="E1165" s="17" t="s">
        <v>12</v>
      </c>
      <c r="F1165" s="25">
        <v>2061</v>
      </c>
      <c r="G1165" s="26">
        <v>0.93163435699999997</v>
      </c>
    </row>
    <row r="1166" spans="1:7" x14ac:dyDescent="0.35">
      <c r="A1166" s="9">
        <f xml:space="preserve"> ROW( scalarDataframe[[#This Row],[row_id]] ) - ROW( scalarDataframe[[#Headers],[row_id]] )</f>
        <v>1165</v>
      </c>
      <c r="B1166" s="16" t="str">
        <f xml:space="preserve"> INDEX( co_scalarInfo[scalarType], MATCH( scalarDataframe[[#This Row],[scalarName]],  co_scalarInfo[scalarName], 0 ) )</f>
        <v>physAdj</v>
      </c>
      <c r="C1166" s="44" t="str">
        <f xml:space="preserve"> INDEX( co_scalarInfo[scalarLabel], MATCH( scalarDataframe[[#This Row],[scalarName]], co_scalarInfo[scalarName], 0 ) )</f>
        <v>MH 5+ Population Proportion Adjustment Factor</v>
      </c>
      <c r="D1166" s="24" t="s">
        <v>1312</v>
      </c>
      <c r="E1166" s="17" t="s">
        <v>12</v>
      </c>
      <c r="F1166" s="25">
        <v>2062</v>
      </c>
      <c r="G1166" s="26">
        <v>0.93164050700000001</v>
      </c>
    </row>
    <row r="1167" spans="1:7" x14ac:dyDescent="0.35">
      <c r="A1167" s="9">
        <f xml:space="preserve"> ROW( scalarDataframe[[#This Row],[row_id]] ) - ROW( scalarDataframe[[#Headers],[row_id]] )</f>
        <v>1166</v>
      </c>
      <c r="B1167" s="16" t="str">
        <f xml:space="preserve"> INDEX( co_scalarInfo[scalarType], MATCH( scalarDataframe[[#This Row],[scalarName]],  co_scalarInfo[scalarName], 0 ) )</f>
        <v>physAdj</v>
      </c>
      <c r="C1167" s="44" t="str">
        <f xml:space="preserve"> INDEX( co_scalarInfo[scalarLabel], MATCH( scalarDataframe[[#This Row],[scalarName]], co_scalarInfo[scalarName], 0 ) )</f>
        <v>MH 5+ Population Proportion Adjustment Factor</v>
      </c>
      <c r="D1167" s="24" t="s">
        <v>1312</v>
      </c>
      <c r="E1167" s="17" t="s">
        <v>12</v>
      </c>
      <c r="F1167" s="25">
        <v>2064</v>
      </c>
      <c r="G1167" s="26">
        <v>0.93165251100000002</v>
      </c>
    </row>
    <row r="1168" spans="1:7" x14ac:dyDescent="0.35">
      <c r="A1168" s="9">
        <f xml:space="preserve"> ROW( scalarDataframe[[#This Row],[row_id]] ) - ROW( scalarDataframe[[#Headers],[row_id]] )</f>
        <v>1167</v>
      </c>
      <c r="B1168" s="16" t="str">
        <f xml:space="preserve"> INDEX( co_scalarInfo[scalarType], MATCH( scalarDataframe[[#This Row],[scalarName]],  co_scalarInfo[scalarName], 0 ) )</f>
        <v>physAdj</v>
      </c>
      <c r="C1168" s="44" t="str">
        <f xml:space="preserve"> INDEX( co_scalarInfo[scalarLabel], MATCH( scalarDataframe[[#This Row],[scalarName]], co_scalarInfo[scalarName], 0 ) )</f>
        <v>MH 5+ Population Proportion Adjustment Factor</v>
      </c>
      <c r="D1168" s="24" t="s">
        <v>1312</v>
      </c>
      <c r="E1168" s="17" t="s">
        <v>12</v>
      </c>
      <c r="F1168" s="25">
        <v>2067</v>
      </c>
      <c r="G1168" s="26">
        <v>0.93166899299999995</v>
      </c>
    </row>
    <row r="1169" spans="1:7" x14ac:dyDescent="0.35">
      <c r="A1169" s="9">
        <f xml:space="preserve"> ROW( scalarDataframe[[#This Row],[row_id]] ) - ROW( scalarDataframe[[#Headers],[row_id]] )</f>
        <v>1168</v>
      </c>
      <c r="B1169" s="16" t="str">
        <f xml:space="preserve"> INDEX( co_scalarInfo[scalarType], MATCH( scalarDataframe[[#This Row],[scalarName]],  co_scalarInfo[scalarName], 0 ) )</f>
        <v>physAdj</v>
      </c>
      <c r="C1169" s="44" t="str">
        <f xml:space="preserve"> INDEX( co_scalarInfo[scalarLabel], MATCH( scalarDataframe[[#This Row],[scalarName]], co_scalarInfo[scalarName], 0 ) )</f>
        <v>MH 5+ Population Proportion Adjustment Factor</v>
      </c>
      <c r="D1169" s="24" t="s">
        <v>1312</v>
      </c>
      <c r="E1169" s="17" t="s">
        <v>12</v>
      </c>
      <c r="F1169" s="25">
        <v>2071</v>
      </c>
      <c r="G1169" s="26">
        <v>0.93179395600000003</v>
      </c>
    </row>
    <row r="1170" spans="1:7" x14ac:dyDescent="0.35">
      <c r="A1170" s="9">
        <f xml:space="preserve"> ROW( scalarDataframe[[#This Row],[row_id]] ) - ROW( scalarDataframe[[#Headers],[row_id]] )</f>
        <v>1169</v>
      </c>
      <c r="B1170" s="16" t="str">
        <f xml:space="preserve"> INDEX( co_scalarInfo[scalarType], MATCH( scalarDataframe[[#This Row],[scalarName]],  co_scalarInfo[scalarName], 0 ) )</f>
        <v>physAdj</v>
      </c>
      <c r="C1170" s="44" t="str">
        <f xml:space="preserve"> INDEX( co_scalarInfo[scalarLabel], MATCH( scalarDataframe[[#This Row],[scalarName]], co_scalarInfo[scalarName], 0 ) )</f>
        <v>MH 5+ Population Proportion Adjustment Factor</v>
      </c>
      <c r="D1170" s="24" t="s">
        <v>1312</v>
      </c>
      <c r="E1170" s="17" t="s">
        <v>12</v>
      </c>
      <c r="F1170" s="25">
        <v>2076</v>
      </c>
      <c r="G1170" s="26">
        <v>0.93232603700000005</v>
      </c>
    </row>
    <row r="1171" spans="1:7" x14ac:dyDescent="0.35">
      <c r="A1171" s="9">
        <f xml:space="preserve"> ROW( scalarDataframe[[#This Row],[row_id]] ) - ROW( scalarDataframe[[#Headers],[row_id]] )</f>
        <v>1170</v>
      </c>
      <c r="B1171" s="16" t="str">
        <f xml:space="preserve"> INDEX( co_scalarInfo[scalarType], MATCH( scalarDataframe[[#This Row],[scalarName]],  co_scalarInfo[scalarName], 0 ) )</f>
        <v>physAdj</v>
      </c>
      <c r="C1171" s="44" t="str">
        <f xml:space="preserve"> INDEX( co_scalarInfo[scalarLabel], MATCH( scalarDataframe[[#This Row],[scalarName]], co_scalarInfo[scalarName], 0 ) )</f>
        <v>MH 5+ Population Proportion Adjustment Factor</v>
      </c>
      <c r="D1171" s="24" t="s">
        <v>1312</v>
      </c>
      <c r="E1171" s="17" t="s">
        <v>12</v>
      </c>
      <c r="F1171" s="25">
        <v>2077</v>
      </c>
      <c r="G1171" s="26">
        <v>0.932429748</v>
      </c>
    </row>
    <row r="1172" spans="1:7" x14ac:dyDescent="0.35">
      <c r="A1172" s="9">
        <f xml:space="preserve"> ROW( scalarDataframe[[#This Row],[row_id]] ) - ROW( scalarDataframe[[#Headers],[row_id]] )</f>
        <v>1171</v>
      </c>
      <c r="B1172" s="16" t="str">
        <f xml:space="preserve"> INDEX( co_scalarInfo[scalarType], MATCH( scalarDataframe[[#This Row],[scalarName]],  co_scalarInfo[scalarName], 0 ) )</f>
        <v>physAdj</v>
      </c>
      <c r="C1172" s="44" t="str">
        <f xml:space="preserve"> INDEX( co_scalarInfo[scalarLabel], MATCH( scalarDataframe[[#This Row],[scalarName]], co_scalarInfo[scalarName], 0 ) )</f>
        <v>MH 5+ Population Proportion Adjustment Factor</v>
      </c>
      <c r="D1172" s="24" t="s">
        <v>1312</v>
      </c>
      <c r="E1172" s="17" t="s">
        <v>12</v>
      </c>
      <c r="F1172" s="25">
        <v>2081</v>
      </c>
      <c r="G1172" s="26">
        <v>0.93286594199999995</v>
      </c>
    </row>
    <row r="1173" spans="1:7" x14ac:dyDescent="0.35">
      <c r="A1173" s="9">
        <f xml:space="preserve"> ROW( scalarDataframe[[#This Row],[row_id]] ) - ROW( scalarDataframe[[#Headers],[row_id]] )</f>
        <v>1172</v>
      </c>
      <c r="B1173" s="16" t="str">
        <f xml:space="preserve"> INDEX( co_scalarInfo[scalarType], MATCH( scalarDataframe[[#This Row],[scalarName]],  co_scalarInfo[scalarName], 0 ) )</f>
        <v>physAdj</v>
      </c>
      <c r="C1173" s="44" t="str">
        <f xml:space="preserve"> INDEX( co_scalarInfo[scalarLabel], MATCH( scalarDataframe[[#This Row],[scalarName]], co_scalarInfo[scalarName], 0 ) )</f>
        <v>MH 5+ Population Proportion Adjustment Factor</v>
      </c>
      <c r="D1173" s="24" t="s">
        <v>1312</v>
      </c>
      <c r="E1173" s="17" t="s">
        <v>12</v>
      </c>
      <c r="F1173" s="25">
        <v>2082</v>
      </c>
      <c r="G1173" s="26">
        <v>0.93299521299999999</v>
      </c>
    </row>
    <row r="1174" spans="1:7" x14ac:dyDescent="0.35">
      <c r="A1174" s="9">
        <f xml:space="preserve"> ROW( scalarDataframe[[#This Row],[row_id]] ) - ROW( scalarDataframe[[#Headers],[row_id]] )</f>
        <v>1173</v>
      </c>
      <c r="B1174" s="16" t="str">
        <f xml:space="preserve"> INDEX( co_scalarInfo[scalarType], MATCH( scalarDataframe[[#This Row],[scalarName]],  co_scalarInfo[scalarName], 0 ) )</f>
        <v>physAdj</v>
      </c>
      <c r="C1174" s="44" t="str">
        <f xml:space="preserve"> INDEX( co_scalarInfo[scalarLabel], MATCH( scalarDataframe[[#This Row],[scalarName]], co_scalarInfo[scalarName], 0 ) )</f>
        <v>MH 5+ Population Proportion Adjustment Factor</v>
      </c>
      <c r="D1174" s="24" t="s">
        <v>1312</v>
      </c>
      <c r="E1174" s="17" t="s">
        <v>12</v>
      </c>
      <c r="F1174" s="25">
        <v>2087</v>
      </c>
      <c r="G1174" s="26">
        <v>0.93362943700000001</v>
      </c>
    </row>
    <row r="1175" spans="1:7" x14ac:dyDescent="0.35">
      <c r="A1175" s="9">
        <f xml:space="preserve"> ROW( scalarDataframe[[#This Row],[row_id]] ) - ROW( scalarDataframe[[#Headers],[row_id]] )</f>
        <v>1174</v>
      </c>
      <c r="B1175" s="16" t="str">
        <f xml:space="preserve"> INDEX( co_scalarInfo[scalarType], MATCH( scalarDataframe[[#This Row],[scalarName]],  co_scalarInfo[scalarName], 0 ) )</f>
        <v>physAdj</v>
      </c>
      <c r="C1175" s="44" t="str">
        <f xml:space="preserve"> INDEX( co_scalarInfo[scalarLabel], MATCH( scalarDataframe[[#This Row],[scalarName]], co_scalarInfo[scalarName], 0 ) )</f>
        <v>MH 5+ Population Proportion Adjustment Factor</v>
      </c>
      <c r="D1175" s="24" t="s">
        <v>1312</v>
      </c>
      <c r="E1175" s="17" t="s">
        <v>12</v>
      </c>
      <c r="F1175" s="25">
        <v>2091</v>
      </c>
      <c r="G1175" s="26">
        <v>0.93412493335368196</v>
      </c>
    </row>
    <row r="1176" spans="1:7" x14ac:dyDescent="0.35">
      <c r="A1176" s="9">
        <f xml:space="preserve"> ROW( scalarDataframe[[#This Row],[row_id]] ) - ROW( scalarDataframe[[#Headers],[row_id]] )</f>
        <v>1175</v>
      </c>
      <c r="B1176" s="16" t="str">
        <f xml:space="preserve"> INDEX( co_scalarInfo[scalarType], MATCH( scalarDataframe[[#This Row],[scalarName]],  co_scalarInfo[scalarName], 0 ) )</f>
        <v>physAdj</v>
      </c>
      <c r="C1176" s="44" t="str">
        <f xml:space="preserve"> INDEX( co_scalarInfo[scalarLabel], MATCH( scalarDataframe[[#This Row],[scalarName]], co_scalarInfo[scalarName], 0 ) )</f>
        <v>MH 5+ Population Proportion Adjustment Factor</v>
      </c>
      <c r="D1176" s="24" t="s">
        <v>1312</v>
      </c>
      <c r="E1176" s="17" t="s">
        <v>12</v>
      </c>
      <c r="F1176" s="25">
        <v>2300</v>
      </c>
      <c r="G1176" s="26">
        <v>0.93412493335368196</v>
      </c>
    </row>
    <row r="1177" spans="1:7" x14ac:dyDescent="0.35">
      <c r="A1177" s="9">
        <f xml:space="preserve"> ROW( scalarDataframe[[#This Row],[row_id]] ) - ROW( scalarDataframe[[#Headers],[row_id]] )</f>
        <v>1176</v>
      </c>
      <c r="B1177" s="16" t="str">
        <f xml:space="preserve"> INDEX( co_scalarInfo[scalarType], MATCH( scalarDataframe[[#This Row],[scalarName]],  co_scalarInfo[scalarName], 0 ) )</f>
        <v>damageAdj</v>
      </c>
      <c r="C1177" s="44" t="str">
        <f xml:space="preserve"> INDEX( co_scalarInfo[scalarLabel], MATCH( scalarDataframe[[#This Row],[scalarName]], co_scalarInfo[scalarName], 0 ) )</f>
        <v>Road Miles and Population Adjustment Factor (No Adaptation and Reactive Adaptation)</v>
      </c>
      <c r="D1177" s="24" t="s">
        <v>1431</v>
      </c>
      <c r="E1177" s="17" t="s">
        <v>6</v>
      </c>
      <c r="F1177" s="25">
        <v>2010</v>
      </c>
      <c r="G1177" s="26">
        <v>0.99454040333758598</v>
      </c>
    </row>
    <row r="1178" spans="1:7" x14ac:dyDescent="0.35">
      <c r="A1178" s="9">
        <f xml:space="preserve"> ROW( scalarDataframe[[#This Row],[row_id]] ) - ROW( scalarDataframe[[#Headers],[row_id]] )</f>
        <v>1177</v>
      </c>
      <c r="B1178" s="16" t="str">
        <f xml:space="preserve"> INDEX( co_scalarInfo[scalarType], MATCH( scalarDataframe[[#This Row],[scalarName]],  co_scalarInfo[scalarName], 0 ) )</f>
        <v>damageAdj</v>
      </c>
      <c r="C1178" s="44" t="str">
        <f xml:space="preserve"> INDEX( co_scalarInfo[scalarLabel], MATCH( scalarDataframe[[#This Row],[scalarName]], co_scalarInfo[scalarName], 0 ) )</f>
        <v>Road Miles and Population Adjustment Factor (No Adaptation and Reactive Adaptation)</v>
      </c>
      <c r="D1178" s="24" t="s">
        <v>1431</v>
      </c>
      <c r="E1178" s="17" t="s">
        <v>6</v>
      </c>
      <c r="F1178" s="25">
        <v>2015</v>
      </c>
      <c r="G1178" s="26">
        <v>0.99676299424612524</v>
      </c>
    </row>
    <row r="1179" spans="1:7" x14ac:dyDescent="0.35">
      <c r="A1179" s="9">
        <f xml:space="preserve"> ROW( scalarDataframe[[#This Row],[row_id]] ) - ROW( scalarDataframe[[#Headers],[row_id]] )</f>
        <v>1178</v>
      </c>
      <c r="B1179" s="16" t="str">
        <f xml:space="preserve"> INDEX( co_scalarInfo[scalarType], MATCH( scalarDataframe[[#This Row],[scalarName]],  co_scalarInfo[scalarName], 0 ) )</f>
        <v>damageAdj</v>
      </c>
      <c r="C1179" s="44" t="str">
        <f xml:space="preserve"> INDEX( co_scalarInfo[scalarLabel], MATCH( scalarDataframe[[#This Row],[scalarName]], co_scalarInfo[scalarName], 0 ) )</f>
        <v>Road Miles and Population Adjustment Factor (No Adaptation and Reactive Adaptation)</v>
      </c>
      <c r="D1179" s="24" t="s">
        <v>1431</v>
      </c>
      <c r="E1179" s="17" t="s">
        <v>6</v>
      </c>
      <c r="F1179" s="25">
        <v>2020</v>
      </c>
      <c r="G1179" s="26">
        <v>1.0013412578359087</v>
      </c>
    </row>
    <row r="1180" spans="1:7" x14ac:dyDescent="0.35">
      <c r="A1180" s="9">
        <f xml:space="preserve"> ROW( scalarDataframe[[#This Row],[row_id]] ) - ROW( scalarDataframe[[#Headers],[row_id]] )</f>
        <v>1179</v>
      </c>
      <c r="B1180" s="16" t="str">
        <f xml:space="preserve"> INDEX( co_scalarInfo[scalarType], MATCH( scalarDataframe[[#This Row],[scalarName]],  co_scalarInfo[scalarName], 0 ) )</f>
        <v>damageAdj</v>
      </c>
      <c r="C1180" s="44" t="str">
        <f xml:space="preserve"> INDEX( co_scalarInfo[scalarLabel], MATCH( scalarDataframe[[#This Row],[scalarName]], co_scalarInfo[scalarName], 0 ) )</f>
        <v>Road Miles and Population Adjustment Factor (No Adaptation and Reactive Adaptation)</v>
      </c>
      <c r="D1180" s="24" t="s">
        <v>1431</v>
      </c>
      <c r="E1180" s="17" t="s">
        <v>6</v>
      </c>
      <c r="F1180" s="25">
        <v>2025</v>
      </c>
      <c r="G1180" s="26">
        <v>1.002632970476488</v>
      </c>
    </row>
    <row r="1181" spans="1:7" x14ac:dyDescent="0.35">
      <c r="A1181" s="9">
        <f xml:space="preserve"> ROW( scalarDataframe[[#This Row],[row_id]] ) - ROW( scalarDataframe[[#Headers],[row_id]] )</f>
        <v>1180</v>
      </c>
      <c r="B1181" s="16" t="str">
        <f xml:space="preserve"> INDEX( co_scalarInfo[scalarType], MATCH( scalarDataframe[[#This Row],[scalarName]],  co_scalarInfo[scalarName], 0 ) )</f>
        <v>damageAdj</v>
      </c>
      <c r="C1181" s="44" t="str">
        <f xml:space="preserve"> INDEX( co_scalarInfo[scalarLabel], MATCH( scalarDataframe[[#This Row],[scalarName]], co_scalarInfo[scalarName], 0 ) )</f>
        <v>Road Miles and Population Adjustment Factor (No Adaptation and Reactive Adaptation)</v>
      </c>
      <c r="D1181" s="24" t="s">
        <v>1431</v>
      </c>
      <c r="E1181" s="17" t="s">
        <v>6</v>
      </c>
      <c r="F1181" s="25">
        <v>2030</v>
      </c>
      <c r="G1181" s="26">
        <v>1.0079761234762086</v>
      </c>
    </row>
    <row r="1182" spans="1:7" x14ac:dyDescent="0.35">
      <c r="A1182" s="9">
        <f xml:space="preserve"> ROW( scalarDataframe[[#This Row],[row_id]] ) - ROW( scalarDataframe[[#Headers],[row_id]] )</f>
        <v>1181</v>
      </c>
      <c r="B1182" s="16" t="str">
        <f xml:space="preserve"> INDEX( co_scalarInfo[scalarType], MATCH( scalarDataframe[[#This Row],[scalarName]],  co_scalarInfo[scalarName], 0 ) )</f>
        <v>damageAdj</v>
      </c>
      <c r="C1182" s="44" t="str">
        <f xml:space="preserve"> INDEX( co_scalarInfo[scalarLabel], MATCH( scalarDataframe[[#This Row],[scalarName]], co_scalarInfo[scalarName], 0 ) )</f>
        <v>Road Miles and Population Adjustment Factor (No Adaptation and Reactive Adaptation)</v>
      </c>
      <c r="D1182" s="24" t="s">
        <v>1431</v>
      </c>
      <c r="E1182" s="17" t="s">
        <v>6</v>
      </c>
      <c r="F1182" s="25">
        <v>2035</v>
      </c>
      <c r="G1182" s="26">
        <v>1.0190666089559575</v>
      </c>
    </row>
    <row r="1183" spans="1:7" x14ac:dyDescent="0.35">
      <c r="A1183" s="9">
        <f xml:space="preserve"> ROW( scalarDataframe[[#This Row],[row_id]] ) - ROW( scalarDataframe[[#Headers],[row_id]] )</f>
        <v>1182</v>
      </c>
      <c r="B1183" s="16" t="str">
        <f xml:space="preserve"> INDEX( co_scalarInfo[scalarType], MATCH( scalarDataframe[[#This Row],[scalarName]],  co_scalarInfo[scalarName], 0 ) )</f>
        <v>damageAdj</v>
      </c>
      <c r="C1183" s="44" t="str">
        <f xml:space="preserve"> INDEX( co_scalarInfo[scalarLabel], MATCH( scalarDataframe[[#This Row],[scalarName]], co_scalarInfo[scalarName], 0 ) )</f>
        <v>Road Miles and Population Adjustment Factor (No Adaptation and Reactive Adaptation)</v>
      </c>
      <c r="D1183" s="24" t="s">
        <v>1431</v>
      </c>
      <c r="E1183" s="17" t="s">
        <v>6</v>
      </c>
      <c r="F1183" s="25">
        <v>2040</v>
      </c>
      <c r="G1183" s="26">
        <v>1.0195787950882123</v>
      </c>
    </row>
    <row r="1184" spans="1:7" x14ac:dyDescent="0.35">
      <c r="A1184" s="9">
        <f xml:space="preserve"> ROW( scalarDataframe[[#This Row],[row_id]] ) - ROW( scalarDataframe[[#Headers],[row_id]] )</f>
        <v>1183</v>
      </c>
      <c r="B1184" s="16" t="str">
        <f xml:space="preserve"> INDEX( co_scalarInfo[scalarType], MATCH( scalarDataframe[[#This Row],[scalarName]],  co_scalarInfo[scalarName], 0 ) )</f>
        <v>damageAdj</v>
      </c>
      <c r="C1184" s="44" t="str">
        <f xml:space="preserve"> INDEX( co_scalarInfo[scalarLabel], MATCH( scalarDataframe[[#This Row],[scalarName]], co_scalarInfo[scalarName], 0 ) )</f>
        <v>Road Miles and Population Adjustment Factor (No Adaptation and Reactive Adaptation)</v>
      </c>
      <c r="D1184" s="24" t="s">
        <v>1431</v>
      </c>
      <c r="E1184" s="17" t="s">
        <v>6</v>
      </c>
      <c r="F1184" s="25">
        <v>2045</v>
      </c>
      <c r="G1184" s="26">
        <v>1.0086650871210374</v>
      </c>
    </row>
    <row r="1185" spans="1:7" x14ac:dyDescent="0.35">
      <c r="A1185" s="9">
        <f xml:space="preserve"> ROW( scalarDataframe[[#This Row],[row_id]] ) - ROW( scalarDataframe[[#Headers],[row_id]] )</f>
        <v>1184</v>
      </c>
      <c r="B1185" s="16" t="str">
        <f xml:space="preserve"> INDEX( co_scalarInfo[scalarType], MATCH( scalarDataframe[[#This Row],[scalarName]],  co_scalarInfo[scalarName], 0 ) )</f>
        <v>damageAdj</v>
      </c>
      <c r="C1185" s="44" t="str">
        <f xml:space="preserve"> INDEX( co_scalarInfo[scalarLabel], MATCH( scalarDataframe[[#This Row],[scalarName]], co_scalarInfo[scalarName], 0 ) )</f>
        <v>Road Miles and Population Adjustment Factor (No Adaptation and Reactive Adaptation)</v>
      </c>
      <c r="D1185" s="24" t="s">
        <v>1431</v>
      </c>
      <c r="E1185" s="17" t="s">
        <v>6</v>
      </c>
      <c r="F1185" s="25">
        <v>2050</v>
      </c>
      <c r="G1185" s="26">
        <v>1.0151148024652346</v>
      </c>
    </row>
    <row r="1186" spans="1:7" x14ac:dyDescent="0.35">
      <c r="A1186" s="9">
        <f xml:space="preserve"> ROW( scalarDataframe[[#This Row],[row_id]] ) - ROW( scalarDataframe[[#Headers],[row_id]] )</f>
        <v>1185</v>
      </c>
      <c r="B1186" s="16" t="str">
        <f xml:space="preserve"> INDEX( co_scalarInfo[scalarType], MATCH( scalarDataframe[[#This Row],[scalarName]],  co_scalarInfo[scalarName], 0 ) )</f>
        <v>damageAdj</v>
      </c>
      <c r="C1186" s="44" t="str">
        <f xml:space="preserve"> INDEX( co_scalarInfo[scalarLabel], MATCH( scalarDataframe[[#This Row],[scalarName]], co_scalarInfo[scalarName], 0 ) )</f>
        <v>Road Miles and Population Adjustment Factor (No Adaptation and Reactive Adaptation)</v>
      </c>
      <c r="D1186" s="24" t="s">
        <v>1431</v>
      </c>
      <c r="E1186" s="17" t="s">
        <v>6</v>
      </c>
      <c r="F1186" s="25">
        <v>2055</v>
      </c>
      <c r="G1186" s="26">
        <v>1.0312840287688099</v>
      </c>
    </row>
    <row r="1187" spans="1:7" x14ac:dyDescent="0.35">
      <c r="A1187" s="9">
        <f xml:space="preserve"> ROW( scalarDataframe[[#This Row],[row_id]] ) - ROW( scalarDataframe[[#Headers],[row_id]] )</f>
        <v>1186</v>
      </c>
      <c r="B1187" s="16" t="str">
        <f xml:space="preserve"> INDEX( co_scalarInfo[scalarType], MATCH( scalarDataframe[[#This Row],[scalarName]],  co_scalarInfo[scalarName], 0 ) )</f>
        <v>damageAdj</v>
      </c>
      <c r="C1187" s="44" t="str">
        <f xml:space="preserve"> INDEX( co_scalarInfo[scalarLabel], MATCH( scalarDataframe[[#This Row],[scalarName]], co_scalarInfo[scalarName], 0 ) )</f>
        <v>Road Miles and Population Adjustment Factor (No Adaptation and Reactive Adaptation)</v>
      </c>
      <c r="D1187" s="24" t="s">
        <v>1431</v>
      </c>
      <c r="E1187" s="17" t="s">
        <v>6</v>
      </c>
      <c r="F1187" s="25">
        <v>2060</v>
      </c>
      <c r="G1187" s="26">
        <v>1.0303021323045445</v>
      </c>
    </row>
    <row r="1188" spans="1:7" x14ac:dyDescent="0.35">
      <c r="A1188" s="9">
        <f xml:space="preserve"> ROW( scalarDataframe[[#This Row],[row_id]] ) - ROW( scalarDataframe[[#Headers],[row_id]] )</f>
        <v>1187</v>
      </c>
      <c r="B1188" s="16" t="str">
        <f xml:space="preserve"> INDEX( co_scalarInfo[scalarType], MATCH( scalarDataframe[[#This Row],[scalarName]],  co_scalarInfo[scalarName], 0 ) )</f>
        <v>damageAdj</v>
      </c>
      <c r="C1188" s="44" t="str">
        <f xml:space="preserve"> INDEX( co_scalarInfo[scalarLabel], MATCH( scalarDataframe[[#This Row],[scalarName]], co_scalarInfo[scalarName], 0 ) )</f>
        <v>Road Miles and Population Adjustment Factor (No Adaptation and Reactive Adaptation)</v>
      </c>
      <c r="D1188" s="24" t="s">
        <v>1431</v>
      </c>
      <c r="E1188" s="17" t="s">
        <v>6</v>
      </c>
      <c r="F1188" s="25">
        <v>2065</v>
      </c>
      <c r="G1188" s="26">
        <v>1.0129466906129727</v>
      </c>
    </row>
    <row r="1189" spans="1:7" x14ac:dyDescent="0.35">
      <c r="A1189" s="9">
        <f xml:space="preserve"> ROW( scalarDataframe[[#This Row],[row_id]] ) - ROW( scalarDataframe[[#Headers],[row_id]] )</f>
        <v>1188</v>
      </c>
      <c r="B1189" s="16" t="str">
        <f xml:space="preserve"> INDEX( co_scalarInfo[scalarType], MATCH( scalarDataframe[[#This Row],[scalarName]],  co_scalarInfo[scalarName], 0 ) )</f>
        <v>damageAdj</v>
      </c>
      <c r="C1189" s="44" t="str">
        <f xml:space="preserve"> INDEX( co_scalarInfo[scalarLabel], MATCH( scalarDataframe[[#This Row],[scalarName]], co_scalarInfo[scalarName], 0 ) )</f>
        <v>Road Miles and Population Adjustment Factor (No Adaptation and Reactive Adaptation)</v>
      </c>
      <c r="D1189" s="24" t="s">
        <v>1431</v>
      </c>
      <c r="E1189" s="17" t="s">
        <v>6</v>
      </c>
      <c r="F1189" s="25">
        <v>2070</v>
      </c>
      <c r="G1189" s="26">
        <v>1.0212302962395869</v>
      </c>
    </row>
    <row r="1190" spans="1:7" x14ac:dyDescent="0.35">
      <c r="A1190" s="9">
        <f xml:space="preserve"> ROW( scalarDataframe[[#This Row],[row_id]] ) - ROW( scalarDataframe[[#Headers],[row_id]] )</f>
        <v>1189</v>
      </c>
      <c r="B1190" s="16" t="str">
        <f xml:space="preserve"> INDEX( co_scalarInfo[scalarType], MATCH( scalarDataframe[[#This Row],[scalarName]],  co_scalarInfo[scalarName], 0 ) )</f>
        <v>damageAdj</v>
      </c>
      <c r="C1190" s="44" t="str">
        <f xml:space="preserve"> INDEX( co_scalarInfo[scalarLabel], MATCH( scalarDataframe[[#This Row],[scalarName]], co_scalarInfo[scalarName], 0 ) )</f>
        <v>Road Miles and Population Adjustment Factor (No Adaptation and Reactive Adaptation)</v>
      </c>
      <c r="D1190" s="24" t="s">
        <v>1431</v>
      </c>
      <c r="E1190" s="17" t="s">
        <v>6</v>
      </c>
      <c r="F1190" s="25">
        <v>2075</v>
      </c>
      <c r="G1190" s="26">
        <v>1.0428491807193325</v>
      </c>
    </row>
    <row r="1191" spans="1:7" x14ac:dyDescent="0.35">
      <c r="A1191" s="9">
        <f xml:space="preserve"> ROW( scalarDataframe[[#This Row],[row_id]] ) - ROW( scalarDataframe[[#Headers],[row_id]] )</f>
        <v>1190</v>
      </c>
      <c r="B1191" s="16" t="str">
        <f xml:space="preserve"> INDEX( co_scalarInfo[scalarType], MATCH( scalarDataframe[[#This Row],[scalarName]],  co_scalarInfo[scalarName], 0 ) )</f>
        <v>damageAdj</v>
      </c>
      <c r="C1191" s="44" t="str">
        <f xml:space="preserve"> INDEX( co_scalarInfo[scalarLabel], MATCH( scalarDataframe[[#This Row],[scalarName]], co_scalarInfo[scalarName], 0 ) )</f>
        <v>Road Miles and Population Adjustment Factor (No Adaptation and Reactive Adaptation)</v>
      </c>
      <c r="D1191" s="24" t="s">
        <v>1431</v>
      </c>
      <c r="E1191" s="17" t="s">
        <v>6</v>
      </c>
      <c r="F1191" s="25">
        <v>2080</v>
      </c>
      <c r="G1191" s="26">
        <v>1.0408977680645259</v>
      </c>
    </row>
    <row r="1192" spans="1:7" x14ac:dyDescent="0.35">
      <c r="A1192" s="9">
        <f xml:space="preserve"> ROW( scalarDataframe[[#This Row],[row_id]] ) - ROW( scalarDataframe[[#Headers],[row_id]] )</f>
        <v>1191</v>
      </c>
      <c r="B1192" s="16" t="str">
        <f xml:space="preserve"> INDEX( co_scalarInfo[scalarType], MATCH( scalarDataframe[[#This Row],[scalarName]],  co_scalarInfo[scalarName], 0 ) )</f>
        <v>damageAdj</v>
      </c>
      <c r="C1192" s="44" t="str">
        <f xml:space="preserve"> INDEX( co_scalarInfo[scalarLabel], MATCH( scalarDataframe[[#This Row],[scalarName]], co_scalarInfo[scalarName], 0 ) )</f>
        <v>Road Miles and Population Adjustment Factor (No Adaptation and Reactive Adaptation)</v>
      </c>
      <c r="D1192" s="24" t="s">
        <v>1431</v>
      </c>
      <c r="E1192" s="17" t="s">
        <v>6</v>
      </c>
      <c r="F1192" s="25">
        <v>2085</v>
      </c>
      <c r="G1192" s="26">
        <v>1.0170293472732914</v>
      </c>
    </row>
    <row r="1193" spans="1:7" x14ac:dyDescent="0.35">
      <c r="A1193" s="9">
        <f xml:space="preserve"> ROW( scalarDataframe[[#This Row],[row_id]] ) - ROW( scalarDataframe[[#Headers],[row_id]] )</f>
        <v>1192</v>
      </c>
      <c r="B1193" s="16" t="str">
        <f xml:space="preserve"> INDEX( co_scalarInfo[scalarType], MATCH( scalarDataframe[[#This Row],[scalarName]],  co_scalarInfo[scalarName], 0 ) )</f>
        <v>damageAdj</v>
      </c>
      <c r="C1193" s="44" t="str">
        <f xml:space="preserve"> INDEX( co_scalarInfo[scalarLabel], MATCH( scalarDataframe[[#This Row],[scalarName]], co_scalarInfo[scalarName], 0 ) )</f>
        <v>Road Miles and Population Adjustment Factor (No Adaptation and Reactive Adaptation)</v>
      </c>
      <c r="D1193" s="24" t="s">
        <v>1431</v>
      </c>
      <c r="E1193" s="17" t="s">
        <v>6</v>
      </c>
      <c r="F1193" s="25">
        <v>2090</v>
      </c>
      <c r="G1193" s="26">
        <v>1.0268635341863712</v>
      </c>
    </row>
    <row r="1194" spans="1:7" x14ac:dyDescent="0.35">
      <c r="A1194" s="9">
        <f xml:space="preserve"> ROW( scalarDataframe[[#This Row],[row_id]] ) - ROW( scalarDataframe[[#Headers],[row_id]] )</f>
        <v>1193</v>
      </c>
      <c r="B1194" s="16" t="str">
        <f xml:space="preserve"> INDEX( co_scalarInfo[scalarType], MATCH( scalarDataframe[[#This Row],[scalarName]],  co_scalarInfo[scalarName], 0 ) )</f>
        <v>damageAdj</v>
      </c>
      <c r="C1194" s="44" t="str">
        <f xml:space="preserve"> INDEX( co_scalarInfo[scalarLabel], MATCH( scalarDataframe[[#This Row],[scalarName]], co_scalarInfo[scalarName], 0 ) )</f>
        <v>Road Miles and Population Adjustment Factor (No Adaptation and Reactive Adaptation)</v>
      </c>
      <c r="D1194" s="24" t="s">
        <v>1431</v>
      </c>
      <c r="E1194" s="17" t="s">
        <v>13</v>
      </c>
      <c r="F1194" s="25">
        <v>2010</v>
      </c>
      <c r="G1194" s="26">
        <v>0.97800238371372372</v>
      </c>
    </row>
    <row r="1195" spans="1:7" x14ac:dyDescent="0.35">
      <c r="A1195" s="9">
        <f xml:space="preserve"> ROW( scalarDataframe[[#This Row],[row_id]] ) - ROW( scalarDataframe[[#Headers],[row_id]] )</f>
        <v>1194</v>
      </c>
      <c r="B1195" s="16" t="str">
        <f xml:space="preserve"> INDEX( co_scalarInfo[scalarType], MATCH( scalarDataframe[[#This Row],[scalarName]],  co_scalarInfo[scalarName], 0 ) )</f>
        <v>damageAdj</v>
      </c>
      <c r="C1195" s="44" t="str">
        <f xml:space="preserve"> INDEX( co_scalarInfo[scalarLabel], MATCH( scalarDataframe[[#This Row],[scalarName]], co_scalarInfo[scalarName], 0 ) )</f>
        <v>Road Miles and Population Adjustment Factor (No Adaptation and Reactive Adaptation)</v>
      </c>
      <c r="D1195" s="24" t="s">
        <v>1431</v>
      </c>
      <c r="E1195" s="17" t="s">
        <v>13</v>
      </c>
      <c r="F1195" s="25">
        <v>2015</v>
      </c>
      <c r="G1195" s="26">
        <v>0.98983155206195428</v>
      </c>
    </row>
    <row r="1196" spans="1:7" x14ac:dyDescent="0.35">
      <c r="A1196" s="9">
        <f xml:space="preserve"> ROW( scalarDataframe[[#This Row],[row_id]] ) - ROW( scalarDataframe[[#Headers],[row_id]] )</f>
        <v>1195</v>
      </c>
      <c r="B1196" s="16" t="str">
        <f xml:space="preserve"> INDEX( co_scalarInfo[scalarType], MATCH( scalarDataframe[[#This Row],[scalarName]],  co_scalarInfo[scalarName], 0 ) )</f>
        <v>damageAdj</v>
      </c>
      <c r="C1196" s="44" t="str">
        <f xml:space="preserve"> INDEX( co_scalarInfo[scalarLabel], MATCH( scalarDataframe[[#This Row],[scalarName]], co_scalarInfo[scalarName], 0 ) )</f>
        <v>Road Miles and Population Adjustment Factor (No Adaptation and Reactive Adaptation)</v>
      </c>
      <c r="D1196" s="24" t="s">
        <v>1431</v>
      </c>
      <c r="E1196" s="17" t="s">
        <v>13</v>
      </c>
      <c r="F1196" s="25">
        <v>2020</v>
      </c>
      <c r="G1196" s="26">
        <v>1.0056275770387353</v>
      </c>
    </row>
    <row r="1197" spans="1:7" x14ac:dyDescent="0.35">
      <c r="A1197" s="9">
        <f xml:space="preserve"> ROW( scalarDataframe[[#This Row],[row_id]] ) - ROW( scalarDataframe[[#Headers],[row_id]] )</f>
        <v>1196</v>
      </c>
      <c r="B1197" s="16" t="str">
        <f xml:space="preserve"> INDEX( co_scalarInfo[scalarType], MATCH( scalarDataframe[[#This Row],[scalarName]],  co_scalarInfo[scalarName], 0 ) )</f>
        <v>damageAdj</v>
      </c>
      <c r="C1197" s="44" t="str">
        <f xml:space="preserve"> INDEX( co_scalarInfo[scalarLabel], MATCH( scalarDataframe[[#This Row],[scalarName]], co_scalarInfo[scalarName], 0 ) )</f>
        <v>Road Miles and Population Adjustment Factor (No Adaptation and Reactive Adaptation)</v>
      </c>
      <c r="D1197" s="24" t="s">
        <v>1431</v>
      </c>
      <c r="E1197" s="17" t="s">
        <v>13</v>
      </c>
      <c r="F1197" s="25">
        <v>2025</v>
      </c>
      <c r="G1197" s="26">
        <v>1.0197675500853718</v>
      </c>
    </row>
    <row r="1198" spans="1:7" x14ac:dyDescent="0.35">
      <c r="A1198" s="9">
        <f xml:space="preserve"> ROW( scalarDataframe[[#This Row],[row_id]] ) - ROW( scalarDataframe[[#Headers],[row_id]] )</f>
        <v>1197</v>
      </c>
      <c r="B1198" s="16" t="str">
        <f xml:space="preserve"> INDEX( co_scalarInfo[scalarType], MATCH( scalarDataframe[[#This Row],[scalarName]],  co_scalarInfo[scalarName], 0 ) )</f>
        <v>damageAdj</v>
      </c>
      <c r="C1198" s="44" t="str">
        <f xml:space="preserve"> INDEX( co_scalarInfo[scalarLabel], MATCH( scalarDataframe[[#This Row],[scalarName]], co_scalarInfo[scalarName], 0 ) )</f>
        <v>Road Miles and Population Adjustment Factor (No Adaptation and Reactive Adaptation)</v>
      </c>
      <c r="D1198" s="24" t="s">
        <v>1431</v>
      </c>
      <c r="E1198" s="17" t="s">
        <v>13</v>
      </c>
      <c r="F1198" s="25">
        <v>2030</v>
      </c>
      <c r="G1198" s="26">
        <v>1.0315485372432658</v>
      </c>
    </row>
    <row r="1199" spans="1:7" x14ac:dyDescent="0.35">
      <c r="A1199" s="9">
        <f xml:space="preserve"> ROW( scalarDataframe[[#This Row],[row_id]] ) - ROW( scalarDataframe[[#Headers],[row_id]] )</f>
        <v>1198</v>
      </c>
      <c r="B1199" s="16" t="str">
        <f xml:space="preserve"> INDEX( co_scalarInfo[scalarType], MATCH( scalarDataframe[[#This Row],[scalarName]],  co_scalarInfo[scalarName], 0 ) )</f>
        <v>damageAdj</v>
      </c>
      <c r="C1199" s="44" t="str">
        <f xml:space="preserve"> INDEX( co_scalarInfo[scalarLabel], MATCH( scalarDataframe[[#This Row],[scalarName]], co_scalarInfo[scalarName], 0 ) )</f>
        <v>Road Miles and Population Adjustment Factor (No Adaptation and Reactive Adaptation)</v>
      </c>
      <c r="D1199" s="24" t="s">
        <v>1431</v>
      </c>
      <c r="E1199" s="17" t="s">
        <v>13</v>
      </c>
      <c r="F1199" s="25">
        <v>2035</v>
      </c>
      <c r="G1199" s="26">
        <v>1.0559177172347918</v>
      </c>
    </row>
    <row r="1200" spans="1:7" x14ac:dyDescent="0.35">
      <c r="A1200" s="9">
        <f xml:space="preserve"> ROW( scalarDataframe[[#This Row],[row_id]] ) - ROW( scalarDataframe[[#Headers],[row_id]] )</f>
        <v>1199</v>
      </c>
      <c r="B1200" s="16" t="str">
        <f xml:space="preserve"> INDEX( co_scalarInfo[scalarType], MATCH( scalarDataframe[[#This Row],[scalarName]],  co_scalarInfo[scalarName], 0 ) )</f>
        <v>damageAdj</v>
      </c>
      <c r="C1200" s="44" t="str">
        <f xml:space="preserve"> INDEX( co_scalarInfo[scalarLabel], MATCH( scalarDataframe[[#This Row],[scalarName]], co_scalarInfo[scalarName], 0 ) )</f>
        <v>Road Miles and Population Adjustment Factor (No Adaptation and Reactive Adaptation)</v>
      </c>
      <c r="D1200" s="24" t="s">
        <v>1431</v>
      </c>
      <c r="E1200" s="17" t="s">
        <v>13</v>
      </c>
      <c r="F1200" s="25">
        <v>2040</v>
      </c>
      <c r="G1200" s="26">
        <v>1.0590821459064093</v>
      </c>
    </row>
    <row r="1201" spans="1:7" x14ac:dyDescent="0.35">
      <c r="A1201" s="9">
        <f xml:space="preserve"> ROW( scalarDataframe[[#This Row],[row_id]] ) - ROW( scalarDataframe[[#Headers],[row_id]] )</f>
        <v>1200</v>
      </c>
      <c r="B1201" s="16" t="str">
        <f xml:space="preserve"> INDEX( co_scalarInfo[scalarType], MATCH( scalarDataframe[[#This Row],[scalarName]],  co_scalarInfo[scalarName], 0 ) )</f>
        <v>damageAdj</v>
      </c>
      <c r="C1201" s="44" t="str">
        <f xml:space="preserve"> INDEX( co_scalarInfo[scalarLabel], MATCH( scalarDataframe[[#This Row],[scalarName]], co_scalarInfo[scalarName], 0 ) )</f>
        <v>Road Miles and Population Adjustment Factor (No Adaptation and Reactive Adaptation)</v>
      </c>
      <c r="D1201" s="24" t="s">
        <v>1431</v>
      </c>
      <c r="E1201" s="17" t="s">
        <v>13</v>
      </c>
      <c r="F1201" s="25">
        <v>2045</v>
      </c>
      <c r="G1201" s="26">
        <v>1.0652986497195616</v>
      </c>
    </row>
    <row r="1202" spans="1:7" x14ac:dyDescent="0.35">
      <c r="A1202" s="9">
        <f xml:space="preserve"> ROW( scalarDataframe[[#This Row],[row_id]] ) - ROW( scalarDataframe[[#Headers],[row_id]] )</f>
        <v>1201</v>
      </c>
      <c r="B1202" s="16" t="str">
        <f xml:space="preserve"> INDEX( co_scalarInfo[scalarType], MATCH( scalarDataframe[[#This Row],[scalarName]],  co_scalarInfo[scalarName], 0 ) )</f>
        <v>damageAdj</v>
      </c>
      <c r="C1202" s="44" t="str">
        <f xml:space="preserve"> INDEX( co_scalarInfo[scalarLabel], MATCH( scalarDataframe[[#This Row],[scalarName]], co_scalarInfo[scalarName], 0 ) )</f>
        <v>Road Miles and Population Adjustment Factor (No Adaptation and Reactive Adaptation)</v>
      </c>
      <c r="D1202" s="24" t="s">
        <v>1431</v>
      </c>
      <c r="E1202" s="17" t="s">
        <v>13</v>
      </c>
      <c r="F1202" s="25">
        <v>2050</v>
      </c>
      <c r="G1202" s="26">
        <v>1.0721793570589024</v>
      </c>
    </row>
    <row r="1203" spans="1:7" x14ac:dyDescent="0.35">
      <c r="A1203" s="9">
        <f xml:space="preserve"> ROW( scalarDataframe[[#This Row],[row_id]] ) - ROW( scalarDataframe[[#Headers],[row_id]] )</f>
        <v>1202</v>
      </c>
      <c r="B1203" s="16" t="str">
        <f xml:space="preserve"> INDEX( co_scalarInfo[scalarType], MATCH( scalarDataframe[[#This Row],[scalarName]],  co_scalarInfo[scalarName], 0 ) )</f>
        <v>damageAdj</v>
      </c>
      <c r="C1203" s="44" t="str">
        <f xml:space="preserve"> INDEX( co_scalarInfo[scalarLabel], MATCH( scalarDataframe[[#This Row],[scalarName]], co_scalarInfo[scalarName], 0 ) )</f>
        <v>Road Miles and Population Adjustment Factor (No Adaptation and Reactive Adaptation)</v>
      </c>
      <c r="D1203" s="24" t="s">
        <v>1431</v>
      </c>
      <c r="E1203" s="17" t="s">
        <v>13</v>
      </c>
      <c r="F1203" s="25">
        <v>2055</v>
      </c>
      <c r="G1203" s="26">
        <v>1.1079975842483651</v>
      </c>
    </row>
    <row r="1204" spans="1:7" x14ac:dyDescent="0.35">
      <c r="A1204" s="9">
        <f xml:space="preserve"> ROW( scalarDataframe[[#This Row],[row_id]] ) - ROW( scalarDataframe[[#Headers],[row_id]] )</f>
        <v>1203</v>
      </c>
      <c r="B1204" s="16" t="str">
        <f xml:space="preserve"> INDEX( co_scalarInfo[scalarType], MATCH( scalarDataframe[[#This Row],[scalarName]],  co_scalarInfo[scalarName], 0 ) )</f>
        <v>damageAdj</v>
      </c>
      <c r="C1204" s="44" t="str">
        <f xml:space="preserve"> INDEX( co_scalarInfo[scalarLabel], MATCH( scalarDataframe[[#This Row],[scalarName]], co_scalarInfo[scalarName], 0 ) )</f>
        <v>Road Miles and Population Adjustment Factor (No Adaptation and Reactive Adaptation)</v>
      </c>
      <c r="D1204" s="24" t="s">
        <v>1431</v>
      </c>
      <c r="E1204" s="17" t="s">
        <v>13</v>
      </c>
      <c r="F1204" s="25">
        <v>2060</v>
      </c>
      <c r="G1204" s="26">
        <v>1.0995518791251637</v>
      </c>
    </row>
    <row r="1205" spans="1:7" x14ac:dyDescent="0.35">
      <c r="A1205" s="9">
        <f xml:space="preserve"> ROW( scalarDataframe[[#This Row],[row_id]] ) - ROW( scalarDataframe[[#Headers],[row_id]] )</f>
        <v>1204</v>
      </c>
      <c r="B1205" s="16" t="str">
        <f xml:space="preserve"> INDEX( co_scalarInfo[scalarType], MATCH( scalarDataframe[[#This Row],[scalarName]],  co_scalarInfo[scalarName], 0 ) )</f>
        <v>damageAdj</v>
      </c>
      <c r="C1205" s="44" t="str">
        <f xml:space="preserve"> INDEX( co_scalarInfo[scalarLabel], MATCH( scalarDataframe[[#This Row],[scalarName]], co_scalarInfo[scalarName], 0 ) )</f>
        <v>Road Miles and Population Adjustment Factor (No Adaptation and Reactive Adaptation)</v>
      </c>
      <c r="D1205" s="24" t="s">
        <v>1431</v>
      </c>
      <c r="E1205" s="17" t="s">
        <v>13</v>
      </c>
      <c r="F1205" s="25">
        <v>2065</v>
      </c>
      <c r="G1205" s="26">
        <v>1.1022084524470082</v>
      </c>
    </row>
    <row r="1206" spans="1:7" x14ac:dyDescent="0.35">
      <c r="A1206" s="9">
        <f xml:space="preserve"> ROW( scalarDataframe[[#This Row],[row_id]] ) - ROW( scalarDataframe[[#Headers],[row_id]] )</f>
        <v>1205</v>
      </c>
      <c r="B1206" s="16" t="str">
        <f xml:space="preserve"> INDEX( co_scalarInfo[scalarType], MATCH( scalarDataframe[[#This Row],[scalarName]],  co_scalarInfo[scalarName], 0 ) )</f>
        <v>damageAdj</v>
      </c>
      <c r="C1206" s="44" t="str">
        <f xml:space="preserve"> INDEX( co_scalarInfo[scalarLabel], MATCH( scalarDataframe[[#This Row],[scalarName]], co_scalarInfo[scalarName], 0 ) )</f>
        <v>Road Miles and Population Adjustment Factor (No Adaptation and Reactive Adaptation)</v>
      </c>
      <c r="D1206" s="24" t="s">
        <v>1431</v>
      </c>
      <c r="E1206" s="17" t="s">
        <v>13</v>
      </c>
      <c r="F1206" s="25">
        <v>2070</v>
      </c>
      <c r="G1206" s="26">
        <v>1.1072976975408788</v>
      </c>
    </row>
    <row r="1207" spans="1:7" x14ac:dyDescent="0.35">
      <c r="A1207" s="9">
        <f xml:space="preserve"> ROW( scalarDataframe[[#This Row],[row_id]] ) - ROW( scalarDataframe[[#Headers],[row_id]] )</f>
        <v>1206</v>
      </c>
      <c r="B1207" s="16" t="str">
        <f xml:space="preserve"> INDEX( co_scalarInfo[scalarType], MATCH( scalarDataframe[[#This Row],[scalarName]],  co_scalarInfo[scalarName], 0 ) )</f>
        <v>damageAdj</v>
      </c>
      <c r="C1207" s="44" t="str">
        <f xml:space="preserve"> INDEX( co_scalarInfo[scalarLabel], MATCH( scalarDataframe[[#This Row],[scalarName]], co_scalarInfo[scalarName], 0 ) )</f>
        <v>Road Miles and Population Adjustment Factor (No Adaptation and Reactive Adaptation)</v>
      </c>
      <c r="D1207" s="24" t="s">
        <v>1431</v>
      </c>
      <c r="E1207" s="17" t="s">
        <v>13</v>
      </c>
      <c r="F1207" s="25">
        <v>2075</v>
      </c>
      <c r="G1207" s="26">
        <v>1.1546973768678432</v>
      </c>
    </row>
    <row r="1208" spans="1:7" x14ac:dyDescent="0.35">
      <c r="A1208" s="9">
        <f xml:space="preserve"> ROW( scalarDataframe[[#This Row],[row_id]] ) - ROW( scalarDataframe[[#Headers],[row_id]] )</f>
        <v>1207</v>
      </c>
      <c r="B1208" s="16" t="str">
        <f xml:space="preserve"> INDEX( co_scalarInfo[scalarType], MATCH( scalarDataframe[[#This Row],[scalarName]],  co_scalarInfo[scalarName], 0 ) )</f>
        <v>damageAdj</v>
      </c>
      <c r="C1208" s="44" t="str">
        <f xml:space="preserve"> INDEX( co_scalarInfo[scalarLabel], MATCH( scalarDataframe[[#This Row],[scalarName]], co_scalarInfo[scalarName], 0 ) )</f>
        <v>Road Miles and Population Adjustment Factor (No Adaptation and Reactive Adaptation)</v>
      </c>
      <c r="D1208" s="24" t="s">
        <v>1431</v>
      </c>
      <c r="E1208" s="17" t="s">
        <v>13</v>
      </c>
      <c r="F1208" s="25">
        <v>2080</v>
      </c>
      <c r="G1208" s="26">
        <v>1.1357863068508682</v>
      </c>
    </row>
    <row r="1209" spans="1:7" x14ac:dyDescent="0.35">
      <c r="A1209" s="9">
        <f xml:space="preserve"> ROW( scalarDataframe[[#This Row],[row_id]] ) - ROW( scalarDataframe[[#Headers],[row_id]] )</f>
        <v>1208</v>
      </c>
      <c r="B1209" s="16" t="str">
        <f xml:space="preserve"> INDEX( co_scalarInfo[scalarType], MATCH( scalarDataframe[[#This Row],[scalarName]],  co_scalarInfo[scalarName], 0 ) )</f>
        <v>damageAdj</v>
      </c>
      <c r="C1209" s="44" t="str">
        <f xml:space="preserve"> INDEX( co_scalarInfo[scalarLabel], MATCH( scalarDataframe[[#This Row],[scalarName]], co_scalarInfo[scalarName], 0 ) )</f>
        <v>Road Miles and Population Adjustment Factor (No Adaptation and Reactive Adaptation)</v>
      </c>
      <c r="D1209" s="24" t="s">
        <v>1431</v>
      </c>
      <c r="E1209" s="17" t="s">
        <v>13</v>
      </c>
      <c r="F1209" s="25">
        <v>2085</v>
      </c>
      <c r="G1209" s="26">
        <v>1.1338851727648136</v>
      </c>
    </row>
    <row r="1210" spans="1:7" x14ac:dyDescent="0.35">
      <c r="A1210" s="9">
        <f xml:space="preserve"> ROW( scalarDataframe[[#This Row],[row_id]] ) - ROW( scalarDataframe[[#Headers],[row_id]] )</f>
        <v>1209</v>
      </c>
      <c r="B1210" s="16" t="str">
        <f xml:space="preserve"> INDEX( co_scalarInfo[scalarType], MATCH( scalarDataframe[[#This Row],[scalarName]],  co_scalarInfo[scalarName], 0 ) )</f>
        <v>damageAdj</v>
      </c>
      <c r="C1210" s="44" t="str">
        <f xml:space="preserve"> INDEX( co_scalarInfo[scalarLabel], MATCH( scalarDataframe[[#This Row],[scalarName]], co_scalarInfo[scalarName], 0 ) )</f>
        <v>Road Miles and Population Adjustment Factor (No Adaptation and Reactive Adaptation)</v>
      </c>
      <c r="D1210" s="24" t="s">
        <v>1431</v>
      </c>
      <c r="E1210" s="17" t="s">
        <v>13</v>
      </c>
      <c r="F1210" s="25">
        <v>2090</v>
      </c>
      <c r="G1210" s="26">
        <v>1.1348221300780281</v>
      </c>
    </row>
    <row r="1211" spans="1:7" x14ac:dyDescent="0.35">
      <c r="A1211" s="9">
        <f xml:space="preserve"> ROW( scalarDataframe[[#This Row],[row_id]] ) - ROW( scalarDataframe[[#Headers],[row_id]] )</f>
        <v>1210</v>
      </c>
      <c r="B1211" s="16" t="str">
        <f xml:space="preserve"> INDEX( co_scalarInfo[scalarType], MATCH( scalarDataframe[[#This Row],[scalarName]],  co_scalarInfo[scalarName], 0 ) )</f>
        <v>damageAdj</v>
      </c>
      <c r="C1211" s="44" t="str">
        <f xml:space="preserve"> INDEX( co_scalarInfo[scalarLabel], MATCH( scalarDataframe[[#This Row],[scalarName]], co_scalarInfo[scalarName], 0 ) )</f>
        <v>Road Miles and Population Adjustment Factor (No Adaptation and Reactive Adaptation)</v>
      </c>
      <c r="D1211" s="24" t="s">
        <v>1431</v>
      </c>
      <c r="E1211" s="17" t="s">
        <v>7</v>
      </c>
      <c r="F1211" s="25">
        <v>2010</v>
      </c>
      <c r="G1211" s="26">
        <v>0.99023383966653411</v>
      </c>
    </row>
    <row r="1212" spans="1:7" x14ac:dyDescent="0.35">
      <c r="A1212" s="9">
        <f xml:space="preserve"> ROW( scalarDataframe[[#This Row],[row_id]] ) - ROW( scalarDataframe[[#Headers],[row_id]] )</f>
        <v>1211</v>
      </c>
      <c r="B1212" s="16" t="str">
        <f xml:space="preserve"> INDEX( co_scalarInfo[scalarType], MATCH( scalarDataframe[[#This Row],[scalarName]],  co_scalarInfo[scalarName], 0 ) )</f>
        <v>damageAdj</v>
      </c>
      <c r="C1212" s="44" t="str">
        <f xml:space="preserve"> INDEX( co_scalarInfo[scalarLabel], MATCH( scalarDataframe[[#This Row],[scalarName]], co_scalarInfo[scalarName], 0 ) )</f>
        <v>Road Miles and Population Adjustment Factor (No Adaptation and Reactive Adaptation)</v>
      </c>
      <c r="D1212" s="24" t="s">
        <v>1431</v>
      </c>
      <c r="E1212" s="17" t="s">
        <v>7</v>
      </c>
      <c r="F1212" s="25">
        <v>2015</v>
      </c>
      <c r="G1212" s="26">
        <v>0.99716303579511667</v>
      </c>
    </row>
    <row r="1213" spans="1:7" x14ac:dyDescent="0.35">
      <c r="A1213" s="9">
        <f xml:space="preserve"> ROW( scalarDataframe[[#This Row],[row_id]] ) - ROW( scalarDataframe[[#Headers],[row_id]] )</f>
        <v>1212</v>
      </c>
      <c r="B1213" s="16" t="str">
        <f xml:space="preserve"> INDEX( co_scalarInfo[scalarType], MATCH( scalarDataframe[[#This Row],[scalarName]],  co_scalarInfo[scalarName], 0 ) )</f>
        <v>damageAdj</v>
      </c>
      <c r="C1213" s="44" t="str">
        <f xml:space="preserve"> INDEX( co_scalarInfo[scalarLabel], MATCH( scalarDataframe[[#This Row],[scalarName]], co_scalarInfo[scalarName], 0 ) )</f>
        <v>Road Miles and Population Adjustment Factor (No Adaptation and Reactive Adaptation)</v>
      </c>
      <c r="D1213" s="24" t="s">
        <v>1431</v>
      </c>
      <c r="E1213" s="17" t="s">
        <v>7</v>
      </c>
      <c r="F1213" s="25">
        <v>2020</v>
      </c>
      <c r="G1213" s="26">
        <v>1.0003865995961321</v>
      </c>
    </row>
    <row r="1214" spans="1:7" x14ac:dyDescent="0.35">
      <c r="A1214" s="9">
        <f xml:space="preserve"> ROW( scalarDataframe[[#This Row],[row_id]] ) - ROW( scalarDataframe[[#Headers],[row_id]] )</f>
        <v>1213</v>
      </c>
      <c r="B1214" s="16" t="str">
        <f xml:space="preserve"> INDEX( co_scalarInfo[scalarType], MATCH( scalarDataframe[[#This Row],[scalarName]],  co_scalarInfo[scalarName], 0 ) )</f>
        <v>damageAdj</v>
      </c>
      <c r="C1214" s="44" t="str">
        <f xml:space="preserve"> INDEX( co_scalarInfo[scalarLabel], MATCH( scalarDataframe[[#This Row],[scalarName]], co_scalarInfo[scalarName], 0 ) )</f>
        <v>Road Miles and Population Adjustment Factor (No Adaptation and Reactive Adaptation)</v>
      </c>
      <c r="D1214" s="24" t="s">
        <v>1431</v>
      </c>
      <c r="E1214" s="17" t="s">
        <v>7</v>
      </c>
      <c r="F1214" s="25">
        <v>2025</v>
      </c>
      <c r="G1214" s="26">
        <v>1.0033561442912082</v>
      </c>
    </row>
    <row r="1215" spans="1:7" x14ac:dyDescent="0.35">
      <c r="A1215" s="9">
        <f xml:space="preserve"> ROW( scalarDataframe[[#This Row],[row_id]] ) - ROW( scalarDataframe[[#Headers],[row_id]] )</f>
        <v>1214</v>
      </c>
      <c r="B1215" s="16" t="str">
        <f xml:space="preserve"> INDEX( co_scalarInfo[scalarType], MATCH( scalarDataframe[[#This Row],[scalarName]],  co_scalarInfo[scalarName], 0 ) )</f>
        <v>damageAdj</v>
      </c>
      <c r="C1215" s="44" t="str">
        <f xml:space="preserve"> INDEX( co_scalarInfo[scalarLabel], MATCH( scalarDataframe[[#This Row],[scalarName]], co_scalarInfo[scalarName], 0 ) )</f>
        <v>Road Miles and Population Adjustment Factor (No Adaptation and Reactive Adaptation)</v>
      </c>
      <c r="D1215" s="24" t="s">
        <v>1431</v>
      </c>
      <c r="E1215" s="17" t="s">
        <v>7</v>
      </c>
      <c r="F1215" s="25">
        <v>2030</v>
      </c>
      <c r="G1215" s="26">
        <v>1.0111776722111161</v>
      </c>
    </row>
    <row r="1216" spans="1:7" x14ac:dyDescent="0.35">
      <c r="A1216" s="9">
        <f xml:space="preserve"> ROW( scalarDataframe[[#This Row],[row_id]] ) - ROW( scalarDataframe[[#Headers],[row_id]] )</f>
        <v>1215</v>
      </c>
      <c r="B1216" s="16" t="str">
        <f xml:space="preserve"> INDEX( co_scalarInfo[scalarType], MATCH( scalarDataframe[[#This Row],[scalarName]],  co_scalarInfo[scalarName], 0 ) )</f>
        <v>damageAdj</v>
      </c>
      <c r="C1216" s="44" t="str">
        <f xml:space="preserve"> INDEX( co_scalarInfo[scalarLabel], MATCH( scalarDataframe[[#This Row],[scalarName]], co_scalarInfo[scalarName], 0 ) )</f>
        <v>Road Miles and Population Adjustment Factor (No Adaptation and Reactive Adaptation)</v>
      </c>
      <c r="D1216" s="24" t="s">
        <v>1431</v>
      </c>
      <c r="E1216" s="17" t="s">
        <v>7</v>
      </c>
      <c r="F1216" s="25">
        <v>2035</v>
      </c>
      <c r="G1216" s="26">
        <v>1.0111174157488945</v>
      </c>
    </row>
    <row r="1217" spans="1:7" x14ac:dyDescent="0.35">
      <c r="A1217" s="9">
        <f xml:space="preserve"> ROW( scalarDataframe[[#This Row],[row_id]] ) - ROW( scalarDataframe[[#Headers],[row_id]] )</f>
        <v>1216</v>
      </c>
      <c r="B1217" s="16" t="str">
        <f xml:space="preserve"> INDEX( co_scalarInfo[scalarType], MATCH( scalarDataframe[[#This Row],[scalarName]],  co_scalarInfo[scalarName], 0 ) )</f>
        <v>damageAdj</v>
      </c>
      <c r="C1217" s="44" t="str">
        <f xml:space="preserve"> INDEX( co_scalarInfo[scalarLabel], MATCH( scalarDataframe[[#This Row],[scalarName]], co_scalarInfo[scalarName], 0 ) )</f>
        <v>Road Miles and Population Adjustment Factor (No Adaptation and Reactive Adaptation)</v>
      </c>
      <c r="D1217" s="24" t="s">
        <v>1431</v>
      </c>
      <c r="E1217" s="17" t="s">
        <v>7</v>
      </c>
      <c r="F1217" s="25">
        <v>2040</v>
      </c>
      <c r="G1217" s="26">
        <v>1.0118118562367719</v>
      </c>
    </row>
    <row r="1218" spans="1:7" x14ac:dyDescent="0.35">
      <c r="A1218" s="9">
        <f xml:space="preserve"> ROW( scalarDataframe[[#This Row],[row_id]] ) - ROW( scalarDataframe[[#Headers],[row_id]] )</f>
        <v>1217</v>
      </c>
      <c r="B1218" s="16" t="str">
        <f xml:space="preserve"> INDEX( co_scalarInfo[scalarType], MATCH( scalarDataframe[[#This Row],[scalarName]],  co_scalarInfo[scalarName], 0 ) )</f>
        <v>damageAdj</v>
      </c>
      <c r="C1218" s="44" t="str">
        <f xml:space="preserve"> INDEX( co_scalarInfo[scalarLabel], MATCH( scalarDataframe[[#This Row],[scalarName]], co_scalarInfo[scalarName], 0 ) )</f>
        <v>Road Miles and Population Adjustment Factor (No Adaptation and Reactive Adaptation)</v>
      </c>
      <c r="D1218" s="24" t="s">
        <v>1431</v>
      </c>
      <c r="E1218" s="17" t="s">
        <v>7</v>
      </c>
      <c r="F1218" s="25">
        <v>2045</v>
      </c>
      <c r="G1218" s="26">
        <v>1.0052039663284758</v>
      </c>
    </row>
    <row r="1219" spans="1:7" x14ac:dyDescent="0.35">
      <c r="A1219" s="9">
        <f xml:space="preserve"> ROW( scalarDataframe[[#This Row],[row_id]] ) - ROW( scalarDataframe[[#Headers],[row_id]] )</f>
        <v>1218</v>
      </c>
      <c r="B1219" s="16" t="str">
        <f xml:space="preserve"> INDEX( co_scalarInfo[scalarType], MATCH( scalarDataframe[[#This Row],[scalarName]],  co_scalarInfo[scalarName], 0 ) )</f>
        <v>damageAdj</v>
      </c>
      <c r="C1219" s="44" t="str">
        <f xml:space="preserve"> INDEX( co_scalarInfo[scalarLabel], MATCH( scalarDataframe[[#This Row],[scalarName]], co_scalarInfo[scalarName], 0 ) )</f>
        <v>Road Miles and Population Adjustment Factor (No Adaptation and Reactive Adaptation)</v>
      </c>
      <c r="D1219" s="24" t="s">
        <v>1431</v>
      </c>
      <c r="E1219" s="17" t="s">
        <v>7</v>
      </c>
      <c r="F1219" s="25">
        <v>2050</v>
      </c>
      <c r="G1219" s="26">
        <v>1.0198417631328545</v>
      </c>
    </row>
    <row r="1220" spans="1:7" x14ac:dyDescent="0.35">
      <c r="A1220" s="9">
        <f xml:space="preserve"> ROW( scalarDataframe[[#This Row],[row_id]] ) - ROW( scalarDataframe[[#Headers],[row_id]] )</f>
        <v>1219</v>
      </c>
      <c r="B1220" s="16" t="str">
        <f xml:space="preserve"> INDEX( co_scalarInfo[scalarType], MATCH( scalarDataframe[[#This Row],[scalarName]],  co_scalarInfo[scalarName], 0 ) )</f>
        <v>damageAdj</v>
      </c>
      <c r="C1220" s="44" t="str">
        <f xml:space="preserve"> INDEX( co_scalarInfo[scalarLabel], MATCH( scalarDataframe[[#This Row],[scalarName]], co_scalarInfo[scalarName], 0 ) )</f>
        <v>Road Miles and Population Adjustment Factor (No Adaptation and Reactive Adaptation)</v>
      </c>
      <c r="D1220" s="24" t="s">
        <v>1431</v>
      </c>
      <c r="E1220" s="17" t="s">
        <v>7</v>
      </c>
      <c r="F1220" s="25">
        <v>2055</v>
      </c>
      <c r="G1220" s="26">
        <v>1.0161679459814084</v>
      </c>
    </row>
    <row r="1221" spans="1:7" x14ac:dyDescent="0.35">
      <c r="A1221" s="9">
        <f xml:space="preserve"> ROW( scalarDataframe[[#This Row],[row_id]] ) - ROW( scalarDataframe[[#Headers],[row_id]] )</f>
        <v>1220</v>
      </c>
      <c r="B1221" s="16" t="str">
        <f xml:space="preserve"> INDEX( co_scalarInfo[scalarType], MATCH( scalarDataframe[[#This Row],[scalarName]],  co_scalarInfo[scalarName], 0 ) )</f>
        <v>damageAdj</v>
      </c>
      <c r="C1221" s="44" t="str">
        <f xml:space="preserve"> INDEX( co_scalarInfo[scalarLabel], MATCH( scalarDataframe[[#This Row],[scalarName]], co_scalarInfo[scalarName], 0 ) )</f>
        <v>Road Miles and Population Adjustment Factor (No Adaptation and Reactive Adaptation)</v>
      </c>
      <c r="D1221" s="24" t="s">
        <v>1431</v>
      </c>
      <c r="E1221" s="17" t="s">
        <v>7</v>
      </c>
      <c r="F1221" s="25">
        <v>2060</v>
      </c>
      <c r="G1221" s="26">
        <v>1.0170248993836557</v>
      </c>
    </row>
    <row r="1222" spans="1:7" x14ac:dyDescent="0.35">
      <c r="A1222" s="9">
        <f xml:space="preserve"> ROW( scalarDataframe[[#This Row],[row_id]] ) - ROW( scalarDataframe[[#Headers],[row_id]] )</f>
        <v>1221</v>
      </c>
      <c r="B1222" s="16" t="str">
        <f xml:space="preserve"> INDEX( co_scalarInfo[scalarType], MATCH( scalarDataframe[[#This Row],[scalarName]],  co_scalarInfo[scalarName], 0 ) )</f>
        <v>damageAdj</v>
      </c>
      <c r="C1222" s="44" t="str">
        <f xml:space="preserve"> INDEX( co_scalarInfo[scalarLabel], MATCH( scalarDataframe[[#This Row],[scalarName]], co_scalarInfo[scalarName], 0 ) )</f>
        <v>Road Miles and Population Adjustment Factor (No Adaptation and Reactive Adaptation)</v>
      </c>
      <c r="D1222" s="24" t="s">
        <v>1431</v>
      </c>
      <c r="E1222" s="17" t="s">
        <v>7</v>
      </c>
      <c r="F1222" s="25">
        <v>2065</v>
      </c>
      <c r="G1222" s="26">
        <v>1.0062854108138162</v>
      </c>
    </row>
    <row r="1223" spans="1:7" x14ac:dyDescent="0.35">
      <c r="A1223" s="9">
        <f xml:space="preserve"> ROW( scalarDataframe[[#This Row],[row_id]] ) - ROW( scalarDataframe[[#Headers],[row_id]] )</f>
        <v>1222</v>
      </c>
      <c r="B1223" s="16" t="str">
        <f xml:space="preserve"> INDEX( co_scalarInfo[scalarType], MATCH( scalarDataframe[[#This Row],[scalarName]],  co_scalarInfo[scalarName], 0 ) )</f>
        <v>damageAdj</v>
      </c>
      <c r="C1223" s="44" t="str">
        <f xml:space="preserve"> INDEX( co_scalarInfo[scalarLabel], MATCH( scalarDataframe[[#This Row],[scalarName]], co_scalarInfo[scalarName], 0 ) )</f>
        <v>Road Miles and Population Adjustment Factor (No Adaptation and Reactive Adaptation)</v>
      </c>
      <c r="D1223" s="24" t="s">
        <v>1431</v>
      </c>
      <c r="E1223" s="17" t="s">
        <v>7</v>
      </c>
      <c r="F1223" s="25">
        <v>2070</v>
      </c>
      <c r="G1223" s="26">
        <v>1.0261687255672129</v>
      </c>
    </row>
    <row r="1224" spans="1:7" x14ac:dyDescent="0.35">
      <c r="A1224" s="9">
        <f xml:space="preserve"> ROW( scalarDataframe[[#This Row],[row_id]] ) - ROW( scalarDataframe[[#Headers],[row_id]] )</f>
        <v>1223</v>
      </c>
      <c r="B1224" s="16" t="str">
        <f xml:space="preserve"> INDEX( co_scalarInfo[scalarType], MATCH( scalarDataframe[[#This Row],[scalarName]],  co_scalarInfo[scalarName], 0 ) )</f>
        <v>damageAdj</v>
      </c>
      <c r="C1224" s="44" t="str">
        <f xml:space="preserve"> INDEX( co_scalarInfo[scalarLabel], MATCH( scalarDataframe[[#This Row],[scalarName]], co_scalarInfo[scalarName], 0 ) )</f>
        <v>Road Miles and Population Adjustment Factor (No Adaptation and Reactive Adaptation)</v>
      </c>
      <c r="D1224" s="24" t="s">
        <v>1431</v>
      </c>
      <c r="E1224" s="17" t="s">
        <v>7</v>
      </c>
      <c r="F1224" s="25">
        <v>2075</v>
      </c>
      <c r="G1224" s="26">
        <v>1.0220443942725634</v>
      </c>
    </row>
    <row r="1225" spans="1:7" x14ac:dyDescent="0.35">
      <c r="A1225" s="9">
        <f xml:space="preserve"> ROW( scalarDataframe[[#This Row],[row_id]] ) - ROW( scalarDataframe[[#Headers],[row_id]] )</f>
        <v>1224</v>
      </c>
      <c r="B1225" s="16" t="str">
        <f xml:space="preserve"> INDEX( co_scalarInfo[scalarType], MATCH( scalarDataframe[[#This Row],[scalarName]],  co_scalarInfo[scalarName], 0 ) )</f>
        <v>damageAdj</v>
      </c>
      <c r="C1225" s="44" t="str">
        <f xml:space="preserve"> INDEX( co_scalarInfo[scalarLabel], MATCH( scalarDataframe[[#This Row],[scalarName]], co_scalarInfo[scalarName], 0 ) )</f>
        <v>Road Miles and Population Adjustment Factor (No Adaptation and Reactive Adaptation)</v>
      </c>
      <c r="D1225" s="24" t="s">
        <v>1431</v>
      </c>
      <c r="E1225" s="17" t="s">
        <v>7</v>
      </c>
      <c r="F1225" s="25">
        <v>2080</v>
      </c>
      <c r="G1225" s="26">
        <v>1.0241027273706445</v>
      </c>
    </row>
    <row r="1226" spans="1:7" x14ac:dyDescent="0.35">
      <c r="A1226" s="9">
        <f xml:space="preserve"> ROW( scalarDataframe[[#This Row],[row_id]] ) - ROW( scalarDataframe[[#Headers],[row_id]] )</f>
        <v>1225</v>
      </c>
      <c r="B1226" s="16" t="str">
        <f xml:space="preserve"> INDEX( co_scalarInfo[scalarType], MATCH( scalarDataframe[[#This Row],[scalarName]],  co_scalarInfo[scalarName], 0 ) )</f>
        <v>damageAdj</v>
      </c>
      <c r="C1226" s="44" t="str">
        <f xml:space="preserve"> INDEX( co_scalarInfo[scalarLabel], MATCH( scalarDataframe[[#This Row],[scalarName]], co_scalarInfo[scalarName], 0 ) )</f>
        <v>Road Miles and Population Adjustment Factor (No Adaptation and Reactive Adaptation)</v>
      </c>
      <c r="D1226" s="24" t="s">
        <v>1431</v>
      </c>
      <c r="E1226" s="17" t="s">
        <v>7</v>
      </c>
      <c r="F1226" s="25">
        <v>2085</v>
      </c>
      <c r="G1226" s="26">
        <v>1.0086767857843446</v>
      </c>
    </row>
    <row r="1227" spans="1:7" x14ac:dyDescent="0.35">
      <c r="A1227" s="9">
        <f xml:space="preserve"> ROW( scalarDataframe[[#This Row],[row_id]] ) - ROW( scalarDataframe[[#Headers],[row_id]] )</f>
        <v>1226</v>
      </c>
      <c r="B1227" s="16" t="str">
        <f xml:space="preserve"> INDEX( co_scalarInfo[scalarType], MATCH( scalarDataframe[[#This Row],[scalarName]],  co_scalarInfo[scalarName], 0 ) )</f>
        <v>damageAdj</v>
      </c>
      <c r="C1227" s="44" t="str">
        <f xml:space="preserve"> INDEX( co_scalarInfo[scalarLabel], MATCH( scalarDataframe[[#This Row],[scalarName]], co_scalarInfo[scalarName], 0 ) )</f>
        <v>Road Miles and Population Adjustment Factor (No Adaptation and Reactive Adaptation)</v>
      </c>
      <c r="D1227" s="24" t="s">
        <v>1431</v>
      </c>
      <c r="E1227" s="17" t="s">
        <v>7</v>
      </c>
      <c r="F1227" s="25">
        <v>2090</v>
      </c>
      <c r="G1227" s="26">
        <v>1.0321195456068475</v>
      </c>
    </row>
    <row r="1228" spans="1:7" x14ac:dyDescent="0.35">
      <c r="A1228" s="9">
        <f xml:space="preserve"> ROW( scalarDataframe[[#This Row],[row_id]] ) - ROW( scalarDataframe[[#Headers],[row_id]] )</f>
        <v>1227</v>
      </c>
      <c r="B1228" s="16" t="str">
        <f xml:space="preserve"> INDEX( co_scalarInfo[scalarType], MATCH( scalarDataframe[[#This Row],[scalarName]],  co_scalarInfo[scalarName], 0 ) )</f>
        <v>damageAdj</v>
      </c>
      <c r="C1228" s="44" t="str">
        <f xml:space="preserve"> INDEX( co_scalarInfo[scalarLabel], MATCH( scalarDataframe[[#This Row],[scalarName]], co_scalarInfo[scalarName], 0 ) )</f>
        <v>Road Miles and Population Adjustment Factor (No Adaptation and Reactive Adaptation)</v>
      </c>
      <c r="D1228" s="24" t="s">
        <v>1431</v>
      </c>
      <c r="E1228" s="17" t="s">
        <v>8</v>
      </c>
      <c r="F1228" s="25">
        <v>2010</v>
      </c>
      <c r="G1228" s="26">
        <v>0.9898689169579169</v>
      </c>
    </row>
    <row r="1229" spans="1:7" x14ac:dyDescent="0.35">
      <c r="A1229" s="9">
        <f xml:space="preserve"> ROW( scalarDataframe[[#This Row],[row_id]] ) - ROW( scalarDataframe[[#Headers],[row_id]] )</f>
        <v>1228</v>
      </c>
      <c r="B1229" s="16" t="str">
        <f xml:space="preserve"> INDEX( co_scalarInfo[scalarType], MATCH( scalarDataframe[[#This Row],[scalarName]],  co_scalarInfo[scalarName], 0 ) )</f>
        <v>damageAdj</v>
      </c>
      <c r="C1229" s="44" t="str">
        <f xml:space="preserve"> INDEX( co_scalarInfo[scalarLabel], MATCH( scalarDataframe[[#This Row],[scalarName]], co_scalarInfo[scalarName], 0 ) )</f>
        <v>Road Miles and Population Adjustment Factor (No Adaptation and Reactive Adaptation)</v>
      </c>
      <c r="D1229" s="24" t="s">
        <v>1431</v>
      </c>
      <c r="E1229" s="17" t="s">
        <v>8</v>
      </c>
      <c r="F1229" s="25">
        <v>2015</v>
      </c>
      <c r="G1229" s="26">
        <v>0.99679240794480761</v>
      </c>
    </row>
    <row r="1230" spans="1:7" x14ac:dyDescent="0.35">
      <c r="A1230" s="9">
        <f xml:space="preserve"> ROW( scalarDataframe[[#This Row],[row_id]] ) - ROW( scalarDataframe[[#Headers],[row_id]] )</f>
        <v>1229</v>
      </c>
      <c r="B1230" s="16" t="str">
        <f xml:space="preserve"> INDEX( co_scalarInfo[scalarType], MATCH( scalarDataframe[[#This Row],[scalarName]],  co_scalarInfo[scalarName], 0 ) )</f>
        <v>damageAdj</v>
      </c>
      <c r="C1230" s="44" t="str">
        <f xml:space="preserve"> INDEX( co_scalarInfo[scalarLabel], MATCH( scalarDataframe[[#This Row],[scalarName]], co_scalarInfo[scalarName], 0 ) )</f>
        <v>Road Miles and Population Adjustment Factor (No Adaptation and Reactive Adaptation)</v>
      </c>
      <c r="D1230" s="24" t="s">
        <v>1431</v>
      </c>
      <c r="E1230" s="17" t="s">
        <v>8</v>
      </c>
      <c r="F1230" s="25">
        <v>2020</v>
      </c>
      <c r="G1230" s="26">
        <v>1.0030349291791438</v>
      </c>
    </row>
    <row r="1231" spans="1:7" x14ac:dyDescent="0.35">
      <c r="A1231" s="9">
        <f xml:space="preserve"> ROW( scalarDataframe[[#This Row],[row_id]] ) - ROW( scalarDataframe[[#Headers],[row_id]] )</f>
        <v>1230</v>
      </c>
      <c r="B1231" s="16" t="str">
        <f xml:space="preserve"> INDEX( co_scalarInfo[scalarType], MATCH( scalarDataframe[[#This Row],[scalarName]],  co_scalarInfo[scalarName], 0 ) )</f>
        <v>damageAdj</v>
      </c>
      <c r="C1231" s="44" t="str">
        <f xml:space="preserve"> INDEX( co_scalarInfo[scalarLabel], MATCH( scalarDataframe[[#This Row],[scalarName]], co_scalarInfo[scalarName], 0 ) )</f>
        <v>Road Miles and Population Adjustment Factor (No Adaptation and Reactive Adaptation)</v>
      </c>
      <c r="D1231" s="24" t="s">
        <v>1431</v>
      </c>
      <c r="E1231" s="17" t="s">
        <v>8</v>
      </c>
      <c r="F1231" s="25">
        <v>2025</v>
      </c>
      <c r="G1231" s="26">
        <v>1.0102314669151875</v>
      </c>
    </row>
    <row r="1232" spans="1:7" x14ac:dyDescent="0.35">
      <c r="A1232" s="9">
        <f xml:space="preserve"> ROW( scalarDataframe[[#This Row],[row_id]] ) - ROW( scalarDataframe[[#Headers],[row_id]] )</f>
        <v>1231</v>
      </c>
      <c r="B1232" s="16" t="str">
        <f xml:space="preserve"> INDEX( co_scalarInfo[scalarType], MATCH( scalarDataframe[[#This Row],[scalarName]],  co_scalarInfo[scalarName], 0 ) )</f>
        <v>damageAdj</v>
      </c>
      <c r="C1232" s="44" t="str">
        <f xml:space="preserve"> INDEX( co_scalarInfo[scalarLabel], MATCH( scalarDataframe[[#This Row],[scalarName]], co_scalarInfo[scalarName], 0 ) )</f>
        <v>Road Miles and Population Adjustment Factor (No Adaptation and Reactive Adaptation)</v>
      </c>
      <c r="D1232" s="24" t="s">
        <v>1431</v>
      </c>
      <c r="E1232" s="17" t="s">
        <v>8</v>
      </c>
      <c r="F1232" s="25">
        <v>2030</v>
      </c>
      <c r="G1232" s="26">
        <v>1.0138668089280458</v>
      </c>
    </row>
    <row r="1233" spans="1:7" x14ac:dyDescent="0.35">
      <c r="A1233" s="9">
        <f xml:space="preserve"> ROW( scalarDataframe[[#This Row],[row_id]] ) - ROW( scalarDataframe[[#Headers],[row_id]] )</f>
        <v>1232</v>
      </c>
      <c r="B1233" s="16" t="str">
        <f xml:space="preserve"> INDEX( co_scalarInfo[scalarType], MATCH( scalarDataframe[[#This Row],[scalarName]],  co_scalarInfo[scalarName], 0 ) )</f>
        <v>damageAdj</v>
      </c>
      <c r="C1233" s="44" t="str">
        <f xml:space="preserve"> INDEX( co_scalarInfo[scalarLabel], MATCH( scalarDataframe[[#This Row],[scalarName]], co_scalarInfo[scalarName], 0 ) )</f>
        <v>Road Miles and Population Adjustment Factor (No Adaptation and Reactive Adaptation)</v>
      </c>
      <c r="D1233" s="24" t="s">
        <v>1431</v>
      </c>
      <c r="E1233" s="17" t="s">
        <v>8</v>
      </c>
      <c r="F1233" s="25">
        <v>2035</v>
      </c>
      <c r="G1233" s="26">
        <v>1.0176808542235198</v>
      </c>
    </row>
    <row r="1234" spans="1:7" x14ac:dyDescent="0.35">
      <c r="A1234" s="9">
        <f xml:space="preserve"> ROW( scalarDataframe[[#This Row],[row_id]] ) - ROW( scalarDataframe[[#Headers],[row_id]] )</f>
        <v>1233</v>
      </c>
      <c r="B1234" s="16" t="str">
        <f xml:space="preserve"> INDEX( co_scalarInfo[scalarType], MATCH( scalarDataframe[[#This Row],[scalarName]],  co_scalarInfo[scalarName], 0 ) )</f>
        <v>damageAdj</v>
      </c>
      <c r="C1234" s="44" t="str">
        <f xml:space="preserve"> INDEX( co_scalarInfo[scalarLabel], MATCH( scalarDataframe[[#This Row],[scalarName]], co_scalarInfo[scalarName], 0 ) )</f>
        <v>Road Miles and Population Adjustment Factor (No Adaptation and Reactive Adaptation)</v>
      </c>
      <c r="D1234" s="24" t="s">
        <v>1431</v>
      </c>
      <c r="E1234" s="17" t="s">
        <v>8</v>
      </c>
      <c r="F1234" s="25">
        <v>2040</v>
      </c>
      <c r="G1234" s="26">
        <v>1.0245172706743115</v>
      </c>
    </row>
    <row r="1235" spans="1:7" x14ac:dyDescent="0.35">
      <c r="A1235" s="9">
        <f xml:space="preserve"> ROW( scalarDataframe[[#This Row],[row_id]] ) - ROW( scalarDataframe[[#Headers],[row_id]] )</f>
        <v>1234</v>
      </c>
      <c r="B1235" s="16" t="str">
        <f xml:space="preserve"> INDEX( co_scalarInfo[scalarType], MATCH( scalarDataframe[[#This Row],[scalarName]],  co_scalarInfo[scalarName], 0 ) )</f>
        <v>damageAdj</v>
      </c>
      <c r="C1235" s="44" t="str">
        <f xml:space="preserve"> INDEX( co_scalarInfo[scalarLabel], MATCH( scalarDataframe[[#This Row],[scalarName]], co_scalarInfo[scalarName], 0 ) )</f>
        <v>Road Miles and Population Adjustment Factor (No Adaptation and Reactive Adaptation)</v>
      </c>
      <c r="D1235" s="24" t="s">
        <v>1431</v>
      </c>
      <c r="E1235" s="17" t="s">
        <v>8</v>
      </c>
      <c r="F1235" s="25">
        <v>2045</v>
      </c>
      <c r="G1235" s="26">
        <v>1.0287689844014944</v>
      </c>
    </row>
    <row r="1236" spans="1:7" x14ac:dyDescent="0.35">
      <c r="A1236" s="9">
        <f xml:space="preserve"> ROW( scalarDataframe[[#This Row],[row_id]] ) - ROW( scalarDataframe[[#Headers],[row_id]] )</f>
        <v>1235</v>
      </c>
      <c r="B1236" s="16" t="str">
        <f xml:space="preserve"> INDEX( co_scalarInfo[scalarType], MATCH( scalarDataframe[[#This Row],[scalarName]],  co_scalarInfo[scalarName], 0 ) )</f>
        <v>damageAdj</v>
      </c>
      <c r="C1236" s="44" t="str">
        <f xml:space="preserve"> INDEX( co_scalarInfo[scalarLabel], MATCH( scalarDataframe[[#This Row],[scalarName]], co_scalarInfo[scalarName], 0 ) )</f>
        <v>Road Miles and Population Adjustment Factor (No Adaptation and Reactive Adaptation)</v>
      </c>
      <c r="D1236" s="24" t="s">
        <v>1431</v>
      </c>
      <c r="E1236" s="17" t="s">
        <v>8</v>
      </c>
      <c r="F1236" s="25">
        <v>2050</v>
      </c>
      <c r="G1236" s="26">
        <v>1.0277447034337934</v>
      </c>
    </row>
    <row r="1237" spans="1:7" x14ac:dyDescent="0.35">
      <c r="A1237" s="9">
        <f xml:space="preserve"> ROW( scalarDataframe[[#This Row],[row_id]] ) - ROW( scalarDataframe[[#Headers],[row_id]] )</f>
        <v>1236</v>
      </c>
      <c r="B1237" s="16" t="str">
        <f xml:space="preserve"> INDEX( co_scalarInfo[scalarType], MATCH( scalarDataframe[[#This Row],[scalarName]],  co_scalarInfo[scalarName], 0 ) )</f>
        <v>damageAdj</v>
      </c>
      <c r="C1237" s="44" t="str">
        <f xml:space="preserve"> INDEX( co_scalarInfo[scalarLabel], MATCH( scalarDataframe[[#This Row],[scalarName]], co_scalarInfo[scalarName], 0 ) )</f>
        <v>Road Miles and Population Adjustment Factor (No Adaptation and Reactive Adaptation)</v>
      </c>
      <c r="D1237" s="24" t="s">
        <v>1431</v>
      </c>
      <c r="E1237" s="17" t="s">
        <v>8</v>
      </c>
      <c r="F1237" s="25">
        <v>2055</v>
      </c>
      <c r="G1237" s="26">
        <v>1.0250860869122387</v>
      </c>
    </row>
    <row r="1238" spans="1:7" x14ac:dyDescent="0.35">
      <c r="A1238" s="9">
        <f xml:space="preserve"> ROW( scalarDataframe[[#This Row],[row_id]] ) - ROW( scalarDataframe[[#Headers],[row_id]] )</f>
        <v>1237</v>
      </c>
      <c r="B1238" s="16" t="str">
        <f xml:space="preserve"> INDEX( co_scalarInfo[scalarType], MATCH( scalarDataframe[[#This Row],[scalarName]],  co_scalarInfo[scalarName], 0 ) )</f>
        <v>damageAdj</v>
      </c>
      <c r="C1238" s="44" t="str">
        <f xml:space="preserve"> INDEX( co_scalarInfo[scalarLabel], MATCH( scalarDataframe[[#This Row],[scalarName]], co_scalarInfo[scalarName], 0 ) )</f>
        <v>Road Miles and Population Adjustment Factor (No Adaptation and Reactive Adaptation)</v>
      </c>
      <c r="D1238" s="24" t="s">
        <v>1431</v>
      </c>
      <c r="E1238" s="17" t="s">
        <v>8</v>
      </c>
      <c r="F1238" s="25">
        <v>2060</v>
      </c>
      <c r="G1238" s="26">
        <v>1.032647711461929</v>
      </c>
    </row>
    <row r="1239" spans="1:7" x14ac:dyDescent="0.35">
      <c r="A1239" s="9">
        <f xml:space="preserve"> ROW( scalarDataframe[[#This Row],[row_id]] ) - ROW( scalarDataframe[[#Headers],[row_id]] )</f>
        <v>1238</v>
      </c>
      <c r="B1239" s="16" t="str">
        <f xml:space="preserve"> INDEX( co_scalarInfo[scalarType], MATCH( scalarDataframe[[#This Row],[scalarName]],  co_scalarInfo[scalarName], 0 ) )</f>
        <v>damageAdj</v>
      </c>
      <c r="C1239" s="44" t="str">
        <f xml:space="preserve"> INDEX( co_scalarInfo[scalarLabel], MATCH( scalarDataframe[[#This Row],[scalarName]], co_scalarInfo[scalarName], 0 ) )</f>
        <v>Road Miles and Population Adjustment Factor (No Adaptation and Reactive Adaptation)</v>
      </c>
      <c r="D1239" s="24" t="s">
        <v>1431</v>
      </c>
      <c r="E1239" s="17" t="s">
        <v>8</v>
      </c>
      <c r="F1239" s="25">
        <v>2065</v>
      </c>
      <c r="G1239" s="26">
        <v>1.0412033271121681</v>
      </c>
    </row>
    <row r="1240" spans="1:7" x14ac:dyDescent="0.35">
      <c r="A1240" s="9">
        <f xml:space="preserve"> ROW( scalarDataframe[[#This Row],[row_id]] ) - ROW( scalarDataframe[[#Headers],[row_id]] )</f>
        <v>1239</v>
      </c>
      <c r="B1240" s="16" t="str">
        <f xml:space="preserve"> INDEX( co_scalarInfo[scalarType], MATCH( scalarDataframe[[#This Row],[scalarName]],  co_scalarInfo[scalarName], 0 ) )</f>
        <v>damageAdj</v>
      </c>
      <c r="C1240" s="44" t="str">
        <f xml:space="preserve"> INDEX( co_scalarInfo[scalarLabel], MATCH( scalarDataframe[[#This Row],[scalarName]], co_scalarInfo[scalarName], 0 ) )</f>
        <v>Road Miles and Population Adjustment Factor (No Adaptation and Reactive Adaptation)</v>
      </c>
      <c r="D1240" s="24" t="s">
        <v>1431</v>
      </c>
      <c r="E1240" s="17" t="s">
        <v>8</v>
      </c>
      <c r="F1240" s="25">
        <v>2070</v>
      </c>
      <c r="G1240" s="26">
        <v>1.0403063149393112</v>
      </c>
    </row>
    <row r="1241" spans="1:7" x14ac:dyDescent="0.35">
      <c r="A1241" s="9">
        <f xml:space="preserve"> ROW( scalarDataframe[[#This Row],[row_id]] ) - ROW( scalarDataframe[[#Headers],[row_id]] )</f>
        <v>1240</v>
      </c>
      <c r="B1241" s="16" t="str">
        <f xml:space="preserve"> INDEX( co_scalarInfo[scalarType], MATCH( scalarDataframe[[#This Row],[scalarName]],  co_scalarInfo[scalarName], 0 ) )</f>
        <v>damageAdj</v>
      </c>
      <c r="C1241" s="44" t="str">
        <f xml:space="preserve"> INDEX( co_scalarInfo[scalarLabel], MATCH( scalarDataframe[[#This Row],[scalarName]], co_scalarInfo[scalarName], 0 ) )</f>
        <v>Road Miles and Population Adjustment Factor (No Adaptation and Reactive Adaptation)</v>
      </c>
      <c r="D1241" s="24" t="s">
        <v>1431</v>
      </c>
      <c r="E1241" s="17" t="s">
        <v>8</v>
      </c>
      <c r="F1241" s="25">
        <v>2075</v>
      </c>
      <c r="G1241" s="26">
        <v>1.0331882817864475</v>
      </c>
    </row>
    <row r="1242" spans="1:7" x14ac:dyDescent="0.35">
      <c r="A1242" s="9">
        <f xml:space="preserve"> ROW( scalarDataframe[[#This Row],[row_id]] ) - ROW( scalarDataframe[[#Headers],[row_id]] )</f>
        <v>1241</v>
      </c>
      <c r="B1242" s="16" t="str">
        <f xml:space="preserve"> INDEX( co_scalarInfo[scalarType], MATCH( scalarDataframe[[#This Row],[scalarName]],  co_scalarInfo[scalarName], 0 ) )</f>
        <v>damageAdj</v>
      </c>
      <c r="C1242" s="44" t="str">
        <f xml:space="preserve"> INDEX( co_scalarInfo[scalarLabel], MATCH( scalarDataframe[[#This Row],[scalarName]], co_scalarInfo[scalarName], 0 ) )</f>
        <v>Road Miles and Population Adjustment Factor (No Adaptation and Reactive Adaptation)</v>
      </c>
      <c r="D1242" s="24" t="s">
        <v>1431</v>
      </c>
      <c r="E1242" s="17" t="s">
        <v>8</v>
      </c>
      <c r="F1242" s="25">
        <v>2080</v>
      </c>
      <c r="G1242" s="26">
        <v>1.0407548217756586</v>
      </c>
    </row>
    <row r="1243" spans="1:7" x14ac:dyDescent="0.35">
      <c r="A1243" s="9">
        <f xml:space="preserve"> ROW( scalarDataframe[[#This Row],[row_id]] ) - ROW( scalarDataframe[[#Headers],[row_id]] )</f>
        <v>1242</v>
      </c>
      <c r="B1243" s="16" t="str">
        <f xml:space="preserve"> INDEX( co_scalarInfo[scalarType], MATCH( scalarDataframe[[#This Row],[scalarName]],  co_scalarInfo[scalarName], 0 ) )</f>
        <v>damageAdj</v>
      </c>
      <c r="C1243" s="44" t="str">
        <f xml:space="preserve"> INDEX( co_scalarInfo[scalarLabel], MATCH( scalarDataframe[[#This Row],[scalarName]], co_scalarInfo[scalarName], 0 ) )</f>
        <v>Road Miles and Population Adjustment Factor (No Adaptation and Reactive Adaptation)</v>
      </c>
      <c r="D1243" s="24" t="s">
        <v>1431</v>
      </c>
      <c r="E1243" s="17" t="s">
        <v>8</v>
      </c>
      <c r="F1243" s="25">
        <v>2085</v>
      </c>
      <c r="G1243" s="26">
        <v>1.0519929834833939</v>
      </c>
    </row>
    <row r="1244" spans="1:7" x14ac:dyDescent="0.35">
      <c r="A1244" s="9">
        <f xml:space="preserve"> ROW( scalarDataframe[[#This Row],[row_id]] ) - ROW( scalarDataframe[[#Headers],[row_id]] )</f>
        <v>1243</v>
      </c>
      <c r="B1244" s="16" t="str">
        <f xml:space="preserve"> INDEX( co_scalarInfo[scalarType], MATCH( scalarDataframe[[#This Row],[scalarName]],  co_scalarInfo[scalarName], 0 ) )</f>
        <v>damageAdj</v>
      </c>
      <c r="C1244" s="44" t="str">
        <f xml:space="preserve"> INDEX( co_scalarInfo[scalarLabel], MATCH( scalarDataframe[[#This Row],[scalarName]], co_scalarInfo[scalarName], 0 ) )</f>
        <v>Road Miles and Population Adjustment Factor (No Adaptation and Reactive Adaptation)</v>
      </c>
      <c r="D1244" s="24" t="s">
        <v>1431</v>
      </c>
      <c r="E1244" s="17" t="s">
        <v>8</v>
      </c>
      <c r="F1244" s="25">
        <v>2090</v>
      </c>
      <c r="G1244" s="26">
        <v>1.0518428748252653</v>
      </c>
    </row>
    <row r="1245" spans="1:7" x14ac:dyDescent="0.35">
      <c r="A1245" s="9">
        <f xml:space="preserve"> ROW( scalarDataframe[[#This Row],[row_id]] ) - ROW( scalarDataframe[[#Headers],[row_id]] )</f>
        <v>1244</v>
      </c>
      <c r="B1245" s="16" t="str">
        <f xml:space="preserve"> INDEX( co_scalarInfo[scalarType], MATCH( scalarDataframe[[#This Row],[scalarName]],  co_scalarInfo[scalarName], 0 ) )</f>
        <v>damageAdj</v>
      </c>
      <c r="C1245" s="44" t="str">
        <f xml:space="preserve"> INDEX( co_scalarInfo[scalarLabel], MATCH( scalarDataframe[[#This Row],[scalarName]], co_scalarInfo[scalarName], 0 ) )</f>
        <v>Road Miles and Population Adjustment Factor (No Adaptation and Reactive Adaptation)</v>
      </c>
      <c r="D1245" s="24" t="s">
        <v>1431</v>
      </c>
      <c r="E1245" s="17" t="s">
        <v>9</v>
      </c>
      <c r="F1245" s="25">
        <v>2010</v>
      </c>
      <c r="G1245" s="26">
        <v>0.99438317012394328</v>
      </c>
    </row>
    <row r="1246" spans="1:7" x14ac:dyDescent="0.35">
      <c r="A1246" s="9">
        <f xml:space="preserve"> ROW( scalarDataframe[[#This Row],[row_id]] ) - ROW( scalarDataframe[[#Headers],[row_id]] )</f>
        <v>1245</v>
      </c>
      <c r="B1246" s="16" t="str">
        <f xml:space="preserve"> INDEX( co_scalarInfo[scalarType], MATCH( scalarDataframe[[#This Row],[scalarName]],  co_scalarInfo[scalarName], 0 ) )</f>
        <v>damageAdj</v>
      </c>
      <c r="C1246" s="44" t="str">
        <f xml:space="preserve"> INDEX( co_scalarInfo[scalarLabel], MATCH( scalarDataframe[[#This Row],[scalarName]], co_scalarInfo[scalarName], 0 ) )</f>
        <v>Road Miles and Population Adjustment Factor (No Adaptation and Reactive Adaptation)</v>
      </c>
      <c r="D1246" s="24" t="s">
        <v>1431</v>
      </c>
      <c r="E1246" s="17" t="s">
        <v>9</v>
      </c>
      <c r="F1246" s="25">
        <v>2015</v>
      </c>
      <c r="G1246" s="26">
        <v>0.99808440818584954</v>
      </c>
    </row>
    <row r="1247" spans="1:7" x14ac:dyDescent="0.35">
      <c r="A1247" s="9">
        <f xml:space="preserve"> ROW( scalarDataframe[[#This Row],[row_id]] ) - ROW( scalarDataframe[[#Headers],[row_id]] )</f>
        <v>1246</v>
      </c>
      <c r="B1247" s="16" t="str">
        <f xml:space="preserve"> INDEX( co_scalarInfo[scalarType], MATCH( scalarDataframe[[#This Row],[scalarName]],  co_scalarInfo[scalarName], 0 ) )</f>
        <v>damageAdj</v>
      </c>
      <c r="C1247" s="44" t="str">
        <f xml:space="preserve"> INDEX( co_scalarInfo[scalarLabel], MATCH( scalarDataframe[[#This Row],[scalarName]], co_scalarInfo[scalarName], 0 ) )</f>
        <v>Road Miles and Population Adjustment Factor (No Adaptation and Reactive Adaptation)</v>
      </c>
      <c r="D1247" s="24" t="s">
        <v>1431</v>
      </c>
      <c r="E1247" s="17" t="s">
        <v>9</v>
      </c>
      <c r="F1247" s="25">
        <v>2020</v>
      </c>
      <c r="G1247" s="26">
        <v>1.0019567460587548</v>
      </c>
    </row>
    <row r="1248" spans="1:7" x14ac:dyDescent="0.35">
      <c r="A1248" s="9">
        <f xml:space="preserve"> ROW( scalarDataframe[[#This Row],[row_id]] ) - ROW( scalarDataframe[[#Headers],[row_id]] )</f>
        <v>1247</v>
      </c>
      <c r="B1248" s="16" t="str">
        <f xml:space="preserve"> INDEX( co_scalarInfo[scalarType], MATCH( scalarDataframe[[#This Row],[scalarName]],  co_scalarInfo[scalarName], 0 ) )</f>
        <v>damageAdj</v>
      </c>
      <c r="C1248" s="44" t="str">
        <f xml:space="preserve"> INDEX( co_scalarInfo[scalarLabel], MATCH( scalarDataframe[[#This Row],[scalarName]], co_scalarInfo[scalarName], 0 ) )</f>
        <v>Road Miles and Population Adjustment Factor (No Adaptation and Reactive Adaptation)</v>
      </c>
      <c r="D1248" s="24" t="s">
        <v>1431</v>
      </c>
      <c r="E1248" s="17" t="s">
        <v>9</v>
      </c>
      <c r="F1248" s="25">
        <v>2025</v>
      </c>
      <c r="G1248" s="26">
        <v>1.0087815619012046</v>
      </c>
    </row>
    <row r="1249" spans="1:7" x14ac:dyDescent="0.35">
      <c r="A1249" s="9">
        <f xml:space="preserve"> ROW( scalarDataframe[[#This Row],[row_id]] ) - ROW( scalarDataframe[[#Headers],[row_id]] )</f>
        <v>1248</v>
      </c>
      <c r="B1249" s="16" t="str">
        <f xml:space="preserve"> INDEX( co_scalarInfo[scalarType], MATCH( scalarDataframe[[#This Row],[scalarName]],  co_scalarInfo[scalarName], 0 ) )</f>
        <v>damageAdj</v>
      </c>
      <c r="C1249" s="44" t="str">
        <f xml:space="preserve"> INDEX( co_scalarInfo[scalarLabel], MATCH( scalarDataframe[[#This Row],[scalarName]], co_scalarInfo[scalarName], 0 ) )</f>
        <v>Road Miles and Population Adjustment Factor (No Adaptation and Reactive Adaptation)</v>
      </c>
      <c r="D1249" s="24" t="s">
        <v>1431</v>
      </c>
      <c r="E1249" s="17" t="s">
        <v>9</v>
      </c>
      <c r="F1249" s="25">
        <v>2030</v>
      </c>
      <c r="G1249" s="26">
        <v>1.005873368943712</v>
      </c>
    </row>
    <row r="1250" spans="1:7" x14ac:dyDescent="0.35">
      <c r="A1250" s="9">
        <f xml:space="preserve"> ROW( scalarDataframe[[#This Row],[row_id]] ) - ROW( scalarDataframe[[#Headers],[row_id]] )</f>
        <v>1249</v>
      </c>
      <c r="B1250" s="16" t="str">
        <f xml:space="preserve"> INDEX( co_scalarInfo[scalarType], MATCH( scalarDataframe[[#This Row],[scalarName]],  co_scalarInfo[scalarName], 0 ) )</f>
        <v>damageAdj</v>
      </c>
      <c r="C1250" s="44" t="str">
        <f xml:space="preserve"> INDEX( co_scalarInfo[scalarLabel], MATCH( scalarDataframe[[#This Row],[scalarName]], co_scalarInfo[scalarName], 0 ) )</f>
        <v>Road Miles and Population Adjustment Factor (No Adaptation and Reactive Adaptation)</v>
      </c>
      <c r="D1250" s="24" t="s">
        <v>1431</v>
      </c>
      <c r="E1250" s="17" t="s">
        <v>9</v>
      </c>
      <c r="F1250" s="25">
        <v>2035</v>
      </c>
      <c r="G1250" s="26">
        <v>1.0285272877240228</v>
      </c>
    </row>
    <row r="1251" spans="1:7" x14ac:dyDescent="0.35">
      <c r="A1251" s="9">
        <f xml:space="preserve"> ROW( scalarDataframe[[#This Row],[row_id]] ) - ROW( scalarDataframe[[#Headers],[row_id]] )</f>
        <v>1250</v>
      </c>
      <c r="B1251" s="16" t="str">
        <f xml:space="preserve"> INDEX( co_scalarInfo[scalarType], MATCH( scalarDataframe[[#This Row],[scalarName]],  co_scalarInfo[scalarName], 0 ) )</f>
        <v>damageAdj</v>
      </c>
      <c r="C1251" s="44" t="str">
        <f xml:space="preserve"> INDEX( co_scalarInfo[scalarLabel], MATCH( scalarDataframe[[#This Row],[scalarName]], co_scalarInfo[scalarName], 0 ) )</f>
        <v>Road Miles and Population Adjustment Factor (No Adaptation and Reactive Adaptation)</v>
      </c>
      <c r="D1251" s="24" t="s">
        <v>1431</v>
      </c>
      <c r="E1251" s="17" t="s">
        <v>9</v>
      </c>
      <c r="F1251" s="25">
        <v>2040</v>
      </c>
      <c r="G1251" s="26">
        <v>1.0323022299700617</v>
      </c>
    </row>
    <row r="1252" spans="1:7" x14ac:dyDescent="0.35">
      <c r="A1252" s="9">
        <f xml:space="preserve"> ROW( scalarDataframe[[#This Row],[row_id]] ) - ROW( scalarDataframe[[#Headers],[row_id]] )</f>
        <v>1251</v>
      </c>
      <c r="B1252" s="16" t="str">
        <f xml:space="preserve"> INDEX( co_scalarInfo[scalarType], MATCH( scalarDataframe[[#This Row],[scalarName]],  co_scalarInfo[scalarName], 0 ) )</f>
        <v>damageAdj</v>
      </c>
      <c r="C1252" s="44" t="str">
        <f xml:space="preserve"> INDEX( co_scalarInfo[scalarLabel], MATCH( scalarDataframe[[#This Row],[scalarName]], co_scalarInfo[scalarName], 0 ) )</f>
        <v>Road Miles and Population Adjustment Factor (No Adaptation and Reactive Adaptation)</v>
      </c>
      <c r="D1252" s="24" t="s">
        <v>1431</v>
      </c>
      <c r="E1252" s="17" t="s">
        <v>9</v>
      </c>
      <c r="F1252" s="25">
        <v>2045</v>
      </c>
      <c r="G1252" s="26">
        <v>1.0281397443665665</v>
      </c>
    </row>
    <row r="1253" spans="1:7" x14ac:dyDescent="0.35">
      <c r="A1253" s="9">
        <f xml:space="preserve"> ROW( scalarDataframe[[#This Row],[row_id]] ) - ROW( scalarDataframe[[#Headers],[row_id]] )</f>
        <v>1252</v>
      </c>
      <c r="B1253" s="16" t="str">
        <f xml:space="preserve"> INDEX( co_scalarInfo[scalarType], MATCH( scalarDataframe[[#This Row],[scalarName]],  co_scalarInfo[scalarName], 0 ) )</f>
        <v>damageAdj</v>
      </c>
      <c r="C1253" s="44" t="str">
        <f xml:space="preserve"> INDEX( co_scalarInfo[scalarLabel], MATCH( scalarDataframe[[#This Row],[scalarName]], co_scalarInfo[scalarName], 0 ) )</f>
        <v>Road Miles and Population Adjustment Factor (No Adaptation and Reactive Adaptation)</v>
      </c>
      <c r="D1253" s="24" t="s">
        <v>1431</v>
      </c>
      <c r="E1253" s="17" t="s">
        <v>9</v>
      </c>
      <c r="F1253" s="25">
        <v>2050</v>
      </c>
      <c r="G1253" s="26">
        <v>1.0078694741009382</v>
      </c>
    </row>
    <row r="1254" spans="1:7" x14ac:dyDescent="0.35">
      <c r="A1254" s="9">
        <f xml:space="preserve"> ROW( scalarDataframe[[#This Row],[row_id]] ) - ROW( scalarDataframe[[#Headers],[row_id]] )</f>
        <v>1253</v>
      </c>
      <c r="B1254" s="16" t="str">
        <f xml:space="preserve"> INDEX( co_scalarInfo[scalarType], MATCH( scalarDataframe[[#This Row],[scalarName]],  co_scalarInfo[scalarName], 0 ) )</f>
        <v>damageAdj</v>
      </c>
      <c r="C1254" s="44" t="str">
        <f xml:space="preserve"> INDEX( co_scalarInfo[scalarLabel], MATCH( scalarDataframe[[#This Row],[scalarName]], co_scalarInfo[scalarName], 0 ) )</f>
        <v>Road Miles and Population Adjustment Factor (No Adaptation and Reactive Adaptation)</v>
      </c>
      <c r="D1254" s="24" t="s">
        <v>1431</v>
      </c>
      <c r="E1254" s="17" t="s">
        <v>9</v>
      </c>
      <c r="F1254" s="25">
        <v>2055</v>
      </c>
      <c r="G1254" s="26">
        <v>1.0459238642735686</v>
      </c>
    </row>
    <row r="1255" spans="1:7" x14ac:dyDescent="0.35">
      <c r="A1255" s="9">
        <f xml:space="preserve"> ROW( scalarDataframe[[#This Row],[row_id]] ) - ROW( scalarDataframe[[#Headers],[row_id]] )</f>
        <v>1254</v>
      </c>
      <c r="B1255" s="16" t="str">
        <f xml:space="preserve"> INDEX( co_scalarInfo[scalarType], MATCH( scalarDataframe[[#This Row],[scalarName]],  co_scalarInfo[scalarName], 0 ) )</f>
        <v>damageAdj</v>
      </c>
      <c r="C1255" s="44" t="str">
        <f xml:space="preserve"> INDEX( co_scalarInfo[scalarLabel], MATCH( scalarDataframe[[#This Row],[scalarName]], co_scalarInfo[scalarName], 0 ) )</f>
        <v>Road Miles and Population Adjustment Factor (No Adaptation and Reactive Adaptation)</v>
      </c>
      <c r="D1255" s="24" t="s">
        <v>1431</v>
      </c>
      <c r="E1255" s="17" t="s">
        <v>9</v>
      </c>
      <c r="F1255" s="25">
        <v>2060</v>
      </c>
      <c r="G1255" s="26">
        <v>1.0521939269426688</v>
      </c>
    </row>
    <row r="1256" spans="1:7" x14ac:dyDescent="0.35">
      <c r="A1256" s="9">
        <f xml:space="preserve"> ROW( scalarDataframe[[#This Row],[row_id]] ) - ROW( scalarDataframe[[#Headers],[row_id]] )</f>
        <v>1255</v>
      </c>
      <c r="B1256" s="16" t="str">
        <f xml:space="preserve"> INDEX( co_scalarInfo[scalarType], MATCH( scalarDataframe[[#This Row],[scalarName]],  co_scalarInfo[scalarName], 0 ) )</f>
        <v>damageAdj</v>
      </c>
      <c r="C1256" s="44" t="str">
        <f xml:space="preserve"> INDEX( co_scalarInfo[scalarLabel], MATCH( scalarDataframe[[#This Row],[scalarName]], co_scalarInfo[scalarName], 0 ) )</f>
        <v>Road Miles and Population Adjustment Factor (No Adaptation and Reactive Adaptation)</v>
      </c>
      <c r="D1256" s="24" t="s">
        <v>1431</v>
      </c>
      <c r="E1256" s="17" t="s">
        <v>9</v>
      </c>
      <c r="F1256" s="25">
        <v>2065</v>
      </c>
      <c r="G1256" s="26">
        <v>1.0452330137454748</v>
      </c>
    </row>
    <row r="1257" spans="1:7" x14ac:dyDescent="0.35">
      <c r="A1257" s="9">
        <f xml:space="preserve"> ROW( scalarDataframe[[#This Row],[row_id]] ) - ROW( scalarDataframe[[#Headers],[row_id]] )</f>
        <v>1256</v>
      </c>
      <c r="B1257" s="16" t="str">
        <f xml:space="preserve"> INDEX( co_scalarInfo[scalarType], MATCH( scalarDataframe[[#This Row],[scalarName]],  co_scalarInfo[scalarName], 0 ) )</f>
        <v>damageAdj</v>
      </c>
      <c r="C1257" s="44" t="str">
        <f xml:space="preserve"> INDEX( co_scalarInfo[scalarLabel], MATCH( scalarDataframe[[#This Row],[scalarName]], co_scalarInfo[scalarName], 0 ) )</f>
        <v>Road Miles and Population Adjustment Factor (No Adaptation and Reactive Adaptation)</v>
      </c>
      <c r="D1257" s="24" t="s">
        <v>1431</v>
      </c>
      <c r="E1257" s="17" t="s">
        <v>9</v>
      </c>
      <c r="F1257" s="25">
        <v>2070</v>
      </c>
      <c r="G1257" s="26">
        <v>1.0114022692441811</v>
      </c>
    </row>
    <row r="1258" spans="1:7" x14ac:dyDescent="0.35">
      <c r="A1258" s="9">
        <f xml:space="preserve"> ROW( scalarDataframe[[#This Row],[row_id]] ) - ROW( scalarDataframe[[#Headers],[row_id]] )</f>
        <v>1257</v>
      </c>
      <c r="B1258" s="16" t="str">
        <f xml:space="preserve"> INDEX( co_scalarInfo[scalarType], MATCH( scalarDataframe[[#This Row],[scalarName]],  co_scalarInfo[scalarName], 0 ) )</f>
        <v>damageAdj</v>
      </c>
      <c r="C1258" s="44" t="str">
        <f xml:space="preserve"> INDEX( co_scalarInfo[scalarLabel], MATCH( scalarDataframe[[#This Row],[scalarName]], co_scalarInfo[scalarName], 0 ) )</f>
        <v>Road Miles and Population Adjustment Factor (No Adaptation and Reactive Adaptation)</v>
      </c>
      <c r="D1258" s="24" t="s">
        <v>1431</v>
      </c>
      <c r="E1258" s="17" t="s">
        <v>9</v>
      </c>
      <c r="F1258" s="25">
        <v>2075</v>
      </c>
      <c r="G1258" s="26">
        <v>1.0613516131958538</v>
      </c>
    </row>
    <row r="1259" spans="1:7" x14ac:dyDescent="0.35">
      <c r="A1259" s="9">
        <f xml:space="preserve"> ROW( scalarDataframe[[#This Row],[row_id]] ) - ROW( scalarDataframe[[#Headers],[row_id]] )</f>
        <v>1258</v>
      </c>
      <c r="B1259" s="16" t="str">
        <f xml:space="preserve"> INDEX( co_scalarInfo[scalarType], MATCH( scalarDataframe[[#This Row],[scalarName]],  co_scalarInfo[scalarName], 0 ) )</f>
        <v>damageAdj</v>
      </c>
      <c r="C1259" s="44" t="str">
        <f xml:space="preserve"> INDEX( co_scalarInfo[scalarLabel], MATCH( scalarDataframe[[#This Row],[scalarName]], co_scalarInfo[scalarName], 0 ) )</f>
        <v>Road Miles and Population Adjustment Factor (No Adaptation and Reactive Adaptation)</v>
      </c>
      <c r="D1259" s="24" t="s">
        <v>1431</v>
      </c>
      <c r="E1259" s="17" t="s">
        <v>9</v>
      </c>
      <c r="F1259" s="25">
        <v>2080</v>
      </c>
      <c r="G1259" s="26">
        <v>1.0701318013138865</v>
      </c>
    </row>
    <row r="1260" spans="1:7" x14ac:dyDescent="0.35">
      <c r="A1260" s="9">
        <f xml:space="preserve"> ROW( scalarDataframe[[#This Row],[row_id]] ) - ROW( scalarDataframe[[#Headers],[row_id]] )</f>
        <v>1259</v>
      </c>
      <c r="B1260" s="16" t="str">
        <f xml:space="preserve"> INDEX( co_scalarInfo[scalarType], MATCH( scalarDataframe[[#This Row],[scalarName]],  co_scalarInfo[scalarName], 0 ) )</f>
        <v>damageAdj</v>
      </c>
      <c r="C1260" s="44" t="str">
        <f xml:space="preserve"> INDEX( co_scalarInfo[scalarLabel], MATCH( scalarDataframe[[#This Row],[scalarName]], co_scalarInfo[scalarName], 0 ) )</f>
        <v>Road Miles and Population Adjustment Factor (No Adaptation and Reactive Adaptation)</v>
      </c>
      <c r="D1260" s="24" t="s">
        <v>1431</v>
      </c>
      <c r="E1260" s="17" t="s">
        <v>9</v>
      </c>
      <c r="F1260" s="25">
        <v>2085</v>
      </c>
      <c r="G1260" s="26">
        <v>1.061974472025617</v>
      </c>
    </row>
    <row r="1261" spans="1:7" x14ac:dyDescent="0.35">
      <c r="A1261" s="9">
        <f xml:space="preserve"> ROW( scalarDataframe[[#This Row],[row_id]] ) - ROW( scalarDataframe[[#Headers],[row_id]] )</f>
        <v>1260</v>
      </c>
      <c r="B1261" s="16" t="str">
        <f xml:space="preserve"> INDEX( co_scalarInfo[scalarType], MATCH( scalarDataframe[[#This Row],[scalarName]],  co_scalarInfo[scalarName], 0 ) )</f>
        <v>damageAdj</v>
      </c>
      <c r="C1261" s="44" t="str">
        <f xml:space="preserve"> INDEX( co_scalarInfo[scalarLabel], MATCH( scalarDataframe[[#This Row],[scalarName]], co_scalarInfo[scalarName], 0 ) )</f>
        <v>Road Miles and Population Adjustment Factor (No Adaptation and Reactive Adaptation)</v>
      </c>
      <c r="D1261" s="24" t="s">
        <v>1431</v>
      </c>
      <c r="E1261" s="17" t="s">
        <v>9</v>
      </c>
      <c r="F1261" s="25">
        <v>2090</v>
      </c>
      <c r="G1261" s="26">
        <v>1.016953861942552</v>
      </c>
    </row>
    <row r="1262" spans="1:7" x14ac:dyDescent="0.35">
      <c r="A1262" s="9">
        <f xml:space="preserve"> ROW( scalarDataframe[[#This Row],[row_id]] ) - ROW( scalarDataframe[[#Headers],[row_id]] )</f>
        <v>1261</v>
      </c>
      <c r="B1262" s="16" t="str">
        <f xml:space="preserve"> INDEX( co_scalarInfo[scalarType], MATCH( scalarDataframe[[#This Row],[scalarName]],  co_scalarInfo[scalarName], 0 ) )</f>
        <v>damageAdj</v>
      </c>
      <c r="C1262" s="44" t="str">
        <f xml:space="preserve"> INDEX( co_scalarInfo[scalarLabel], MATCH( scalarDataframe[[#This Row],[scalarName]], co_scalarInfo[scalarName], 0 ) )</f>
        <v>Road Miles and Population Adjustment Factor (No Adaptation and Reactive Adaptation)</v>
      </c>
      <c r="D1262" s="24" t="s">
        <v>1431</v>
      </c>
      <c r="E1262" s="17" t="s">
        <v>10</v>
      </c>
      <c r="F1262" s="25">
        <v>2010</v>
      </c>
      <c r="G1262" s="26">
        <v>0.97649139760687809</v>
      </c>
    </row>
    <row r="1263" spans="1:7" x14ac:dyDescent="0.35">
      <c r="A1263" s="9">
        <f xml:space="preserve"> ROW( scalarDataframe[[#This Row],[row_id]] ) - ROW( scalarDataframe[[#Headers],[row_id]] )</f>
        <v>1262</v>
      </c>
      <c r="B1263" s="16" t="str">
        <f xml:space="preserve"> INDEX( co_scalarInfo[scalarType], MATCH( scalarDataframe[[#This Row],[scalarName]],  co_scalarInfo[scalarName], 0 ) )</f>
        <v>damageAdj</v>
      </c>
      <c r="C1263" s="44" t="str">
        <f xml:space="preserve"> INDEX( co_scalarInfo[scalarLabel], MATCH( scalarDataframe[[#This Row],[scalarName]], co_scalarInfo[scalarName], 0 ) )</f>
        <v>Road Miles and Population Adjustment Factor (No Adaptation and Reactive Adaptation)</v>
      </c>
      <c r="D1263" s="24" t="s">
        <v>1431</v>
      </c>
      <c r="E1263" s="17" t="s">
        <v>10</v>
      </c>
      <c r="F1263" s="25">
        <v>2015</v>
      </c>
      <c r="G1263" s="26">
        <v>0.9897408169866857</v>
      </c>
    </row>
    <row r="1264" spans="1:7" x14ac:dyDescent="0.35">
      <c r="A1264" s="9">
        <f xml:space="preserve"> ROW( scalarDataframe[[#This Row],[row_id]] ) - ROW( scalarDataframe[[#Headers],[row_id]] )</f>
        <v>1263</v>
      </c>
      <c r="B1264" s="16" t="str">
        <f xml:space="preserve"> INDEX( co_scalarInfo[scalarType], MATCH( scalarDataframe[[#This Row],[scalarName]],  co_scalarInfo[scalarName], 0 ) )</f>
        <v>damageAdj</v>
      </c>
      <c r="C1264" s="44" t="str">
        <f xml:space="preserve"> INDEX( co_scalarInfo[scalarLabel], MATCH( scalarDataframe[[#This Row],[scalarName]], co_scalarInfo[scalarName], 0 ) )</f>
        <v>Road Miles and Population Adjustment Factor (No Adaptation and Reactive Adaptation)</v>
      </c>
      <c r="D1264" s="24" t="s">
        <v>1431</v>
      </c>
      <c r="E1264" s="17" t="s">
        <v>10</v>
      </c>
      <c r="F1264" s="25">
        <v>2020</v>
      </c>
      <c r="G1264" s="26">
        <v>1.005909905702014</v>
      </c>
    </row>
    <row r="1265" spans="1:7" x14ac:dyDescent="0.35">
      <c r="A1265" s="9">
        <f xml:space="preserve"> ROW( scalarDataframe[[#This Row],[row_id]] ) - ROW( scalarDataframe[[#Headers],[row_id]] )</f>
        <v>1264</v>
      </c>
      <c r="B1265" s="16" t="str">
        <f xml:space="preserve"> INDEX( co_scalarInfo[scalarType], MATCH( scalarDataframe[[#This Row],[scalarName]],  co_scalarInfo[scalarName], 0 ) )</f>
        <v>damageAdj</v>
      </c>
      <c r="C1265" s="44" t="str">
        <f xml:space="preserve"> INDEX( co_scalarInfo[scalarLabel], MATCH( scalarDataframe[[#This Row],[scalarName]], co_scalarInfo[scalarName], 0 ) )</f>
        <v>Road Miles and Population Adjustment Factor (No Adaptation and Reactive Adaptation)</v>
      </c>
      <c r="D1265" s="24" t="s">
        <v>1431</v>
      </c>
      <c r="E1265" s="17" t="s">
        <v>10</v>
      </c>
      <c r="F1265" s="25">
        <v>2025</v>
      </c>
      <c r="G1265" s="26">
        <v>1.0194032412229879</v>
      </c>
    </row>
    <row r="1266" spans="1:7" x14ac:dyDescent="0.35">
      <c r="A1266" s="9">
        <f xml:space="preserve"> ROW( scalarDataframe[[#This Row],[row_id]] ) - ROW( scalarDataframe[[#Headers],[row_id]] )</f>
        <v>1265</v>
      </c>
      <c r="B1266" s="16" t="str">
        <f xml:space="preserve"> INDEX( co_scalarInfo[scalarType], MATCH( scalarDataframe[[#This Row],[scalarName]],  co_scalarInfo[scalarName], 0 ) )</f>
        <v>damageAdj</v>
      </c>
      <c r="C1266" s="44" t="str">
        <f xml:space="preserve"> INDEX( co_scalarInfo[scalarLabel], MATCH( scalarDataframe[[#This Row],[scalarName]], co_scalarInfo[scalarName], 0 ) )</f>
        <v>Road Miles and Population Adjustment Factor (No Adaptation and Reactive Adaptation)</v>
      </c>
      <c r="D1266" s="24" t="s">
        <v>1431</v>
      </c>
      <c r="E1266" s="17" t="s">
        <v>10</v>
      </c>
      <c r="F1266" s="25">
        <v>2030</v>
      </c>
      <c r="G1266" s="26">
        <v>1.0273945340556616</v>
      </c>
    </row>
    <row r="1267" spans="1:7" x14ac:dyDescent="0.35">
      <c r="A1267" s="9">
        <f xml:space="preserve"> ROW( scalarDataframe[[#This Row],[row_id]] ) - ROW( scalarDataframe[[#Headers],[row_id]] )</f>
        <v>1266</v>
      </c>
      <c r="B1267" s="16" t="str">
        <f xml:space="preserve"> INDEX( co_scalarInfo[scalarType], MATCH( scalarDataframe[[#This Row],[scalarName]],  co_scalarInfo[scalarName], 0 ) )</f>
        <v>damageAdj</v>
      </c>
      <c r="C1267" s="44" t="str">
        <f xml:space="preserve"> INDEX( co_scalarInfo[scalarLabel], MATCH( scalarDataframe[[#This Row],[scalarName]], co_scalarInfo[scalarName], 0 ) )</f>
        <v>Road Miles and Population Adjustment Factor (No Adaptation and Reactive Adaptation)</v>
      </c>
      <c r="D1267" s="24" t="s">
        <v>1431</v>
      </c>
      <c r="E1267" s="17" t="s">
        <v>10</v>
      </c>
      <c r="F1267" s="25">
        <v>2035</v>
      </c>
      <c r="G1267" s="26">
        <v>1.0449334045617042</v>
      </c>
    </row>
    <row r="1268" spans="1:7" x14ac:dyDescent="0.35">
      <c r="A1268" s="9">
        <f xml:space="preserve"> ROW( scalarDataframe[[#This Row],[row_id]] ) - ROW( scalarDataframe[[#Headers],[row_id]] )</f>
        <v>1267</v>
      </c>
      <c r="B1268" s="16" t="str">
        <f xml:space="preserve"> INDEX( co_scalarInfo[scalarType], MATCH( scalarDataframe[[#This Row],[scalarName]],  co_scalarInfo[scalarName], 0 ) )</f>
        <v>damageAdj</v>
      </c>
      <c r="C1268" s="44" t="str">
        <f xml:space="preserve"> INDEX( co_scalarInfo[scalarLabel], MATCH( scalarDataframe[[#This Row],[scalarName]], co_scalarInfo[scalarName], 0 ) )</f>
        <v>Road Miles and Population Adjustment Factor (No Adaptation and Reactive Adaptation)</v>
      </c>
      <c r="D1268" s="24" t="s">
        <v>1431</v>
      </c>
      <c r="E1268" s="17" t="s">
        <v>10</v>
      </c>
      <c r="F1268" s="25">
        <v>2040</v>
      </c>
      <c r="G1268" s="26">
        <v>1.0532272845411119</v>
      </c>
    </row>
    <row r="1269" spans="1:7" x14ac:dyDescent="0.35">
      <c r="A1269" s="9">
        <f xml:space="preserve"> ROW( scalarDataframe[[#This Row],[row_id]] ) - ROW( scalarDataframe[[#Headers],[row_id]] )</f>
        <v>1268</v>
      </c>
      <c r="B1269" s="16" t="str">
        <f xml:space="preserve"> INDEX( co_scalarInfo[scalarType], MATCH( scalarDataframe[[#This Row],[scalarName]],  co_scalarInfo[scalarName], 0 ) )</f>
        <v>damageAdj</v>
      </c>
      <c r="C1269" s="44" t="str">
        <f xml:space="preserve"> INDEX( co_scalarInfo[scalarLabel], MATCH( scalarDataframe[[#This Row],[scalarName]], co_scalarInfo[scalarName], 0 ) )</f>
        <v>Road Miles and Population Adjustment Factor (No Adaptation and Reactive Adaptation)</v>
      </c>
      <c r="D1269" s="24" t="s">
        <v>1431</v>
      </c>
      <c r="E1269" s="17" t="s">
        <v>10</v>
      </c>
      <c r="F1269" s="25">
        <v>2045</v>
      </c>
      <c r="G1269" s="26">
        <v>1.0637021766504471</v>
      </c>
    </row>
    <row r="1270" spans="1:7" x14ac:dyDescent="0.35">
      <c r="A1270" s="9">
        <f xml:space="preserve"> ROW( scalarDataframe[[#This Row],[row_id]] ) - ROW( scalarDataframe[[#Headers],[row_id]] )</f>
        <v>1269</v>
      </c>
      <c r="B1270" s="16" t="str">
        <f xml:space="preserve"> INDEX( co_scalarInfo[scalarType], MATCH( scalarDataframe[[#This Row],[scalarName]],  co_scalarInfo[scalarName], 0 ) )</f>
        <v>damageAdj</v>
      </c>
      <c r="C1270" s="44" t="str">
        <f xml:space="preserve"> INDEX( co_scalarInfo[scalarLabel], MATCH( scalarDataframe[[#This Row],[scalarName]], co_scalarInfo[scalarName], 0 ) )</f>
        <v>Road Miles and Population Adjustment Factor (No Adaptation and Reactive Adaptation)</v>
      </c>
      <c r="D1270" s="24" t="s">
        <v>1431</v>
      </c>
      <c r="E1270" s="17" t="s">
        <v>10</v>
      </c>
      <c r="F1270" s="25">
        <v>2050</v>
      </c>
      <c r="G1270" s="26">
        <v>1.0581341550248464</v>
      </c>
    </row>
    <row r="1271" spans="1:7" x14ac:dyDescent="0.35">
      <c r="A1271" s="9">
        <f xml:space="preserve"> ROW( scalarDataframe[[#This Row],[row_id]] ) - ROW( scalarDataframe[[#Headers],[row_id]] )</f>
        <v>1270</v>
      </c>
      <c r="B1271" s="16" t="str">
        <f xml:space="preserve"> INDEX( co_scalarInfo[scalarType], MATCH( scalarDataframe[[#This Row],[scalarName]],  co_scalarInfo[scalarName], 0 ) )</f>
        <v>damageAdj</v>
      </c>
      <c r="C1271" s="44" t="str">
        <f xml:space="preserve"> INDEX( co_scalarInfo[scalarLabel], MATCH( scalarDataframe[[#This Row],[scalarName]], co_scalarInfo[scalarName], 0 ) )</f>
        <v>Road Miles and Population Adjustment Factor (No Adaptation and Reactive Adaptation)</v>
      </c>
      <c r="D1271" s="24" t="s">
        <v>1431</v>
      </c>
      <c r="E1271" s="17" t="s">
        <v>10</v>
      </c>
      <c r="F1271" s="25">
        <v>2055</v>
      </c>
      <c r="G1271" s="26">
        <v>1.080389536828678</v>
      </c>
    </row>
    <row r="1272" spans="1:7" x14ac:dyDescent="0.35">
      <c r="A1272" s="9">
        <f xml:space="preserve"> ROW( scalarDataframe[[#This Row],[row_id]] ) - ROW( scalarDataframe[[#Headers],[row_id]] )</f>
        <v>1271</v>
      </c>
      <c r="B1272" s="16" t="str">
        <f xml:space="preserve"> INDEX( co_scalarInfo[scalarType], MATCH( scalarDataframe[[#This Row],[scalarName]],  co_scalarInfo[scalarName], 0 ) )</f>
        <v>damageAdj</v>
      </c>
      <c r="C1272" s="44" t="str">
        <f xml:space="preserve"> INDEX( co_scalarInfo[scalarLabel], MATCH( scalarDataframe[[#This Row],[scalarName]], co_scalarInfo[scalarName], 0 ) )</f>
        <v>Road Miles and Population Adjustment Factor (No Adaptation and Reactive Adaptation)</v>
      </c>
      <c r="D1272" s="24" t="s">
        <v>1431</v>
      </c>
      <c r="E1272" s="17" t="s">
        <v>10</v>
      </c>
      <c r="F1272" s="25">
        <v>2060</v>
      </c>
      <c r="G1272" s="26">
        <v>1.0866953731206861</v>
      </c>
    </row>
    <row r="1273" spans="1:7" x14ac:dyDescent="0.35">
      <c r="A1273" s="9">
        <f xml:space="preserve"> ROW( scalarDataframe[[#This Row],[row_id]] ) - ROW( scalarDataframe[[#Headers],[row_id]] )</f>
        <v>1272</v>
      </c>
      <c r="B1273" s="16" t="str">
        <f xml:space="preserve"> INDEX( co_scalarInfo[scalarType], MATCH( scalarDataframe[[#This Row],[scalarName]],  co_scalarInfo[scalarName], 0 ) )</f>
        <v>damageAdj</v>
      </c>
      <c r="C1273" s="44" t="str">
        <f xml:space="preserve"> INDEX( co_scalarInfo[scalarLabel], MATCH( scalarDataframe[[#This Row],[scalarName]], co_scalarInfo[scalarName], 0 ) )</f>
        <v>Road Miles and Population Adjustment Factor (No Adaptation and Reactive Adaptation)</v>
      </c>
      <c r="D1273" s="24" t="s">
        <v>1431</v>
      </c>
      <c r="E1273" s="17" t="s">
        <v>10</v>
      </c>
      <c r="F1273" s="25">
        <v>2065</v>
      </c>
      <c r="G1273" s="26">
        <v>1.099265862875348</v>
      </c>
    </row>
    <row r="1274" spans="1:7" x14ac:dyDescent="0.35">
      <c r="A1274" s="9">
        <f xml:space="preserve"> ROW( scalarDataframe[[#This Row],[row_id]] ) - ROW( scalarDataframe[[#Headers],[row_id]] )</f>
        <v>1273</v>
      </c>
      <c r="B1274" s="16" t="str">
        <f xml:space="preserve"> INDEX( co_scalarInfo[scalarType], MATCH( scalarDataframe[[#This Row],[scalarName]],  co_scalarInfo[scalarName], 0 ) )</f>
        <v>damageAdj</v>
      </c>
      <c r="C1274" s="44" t="str">
        <f xml:space="preserve"> INDEX( co_scalarInfo[scalarLabel], MATCH( scalarDataframe[[#This Row],[scalarName]], co_scalarInfo[scalarName], 0 ) )</f>
        <v>Road Miles and Population Adjustment Factor (No Adaptation and Reactive Adaptation)</v>
      </c>
      <c r="D1274" s="24" t="s">
        <v>1431</v>
      </c>
      <c r="E1274" s="17" t="s">
        <v>10</v>
      </c>
      <c r="F1274" s="25">
        <v>2070</v>
      </c>
      <c r="G1274" s="26">
        <v>1.0823378889066726</v>
      </c>
    </row>
    <row r="1275" spans="1:7" x14ac:dyDescent="0.35">
      <c r="A1275" s="9">
        <f xml:space="preserve"> ROW( scalarDataframe[[#This Row],[row_id]] ) - ROW( scalarDataframe[[#Headers],[row_id]] )</f>
        <v>1274</v>
      </c>
      <c r="B1275" s="16" t="str">
        <f xml:space="preserve"> INDEX( co_scalarInfo[scalarType], MATCH( scalarDataframe[[#This Row],[scalarName]],  co_scalarInfo[scalarName], 0 ) )</f>
        <v>damageAdj</v>
      </c>
      <c r="C1275" s="44" t="str">
        <f xml:space="preserve"> INDEX( co_scalarInfo[scalarLabel], MATCH( scalarDataframe[[#This Row],[scalarName]], co_scalarInfo[scalarName], 0 ) )</f>
        <v>Road Miles and Population Adjustment Factor (No Adaptation and Reactive Adaptation)</v>
      </c>
      <c r="D1275" s="24" t="s">
        <v>1431</v>
      </c>
      <c r="E1275" s="17" t="s">
        <v>10</v>
      </c>
      <c r="F1275" s="25">
        <v>2075</v>
      </c>
      <c r="G1275" s="26">
        <v>1.1106071082192359</v>
      </c>
    </row>
    <row r="1276" spans="1:7" x14ac:dyDescent="0.35">
      <c r="A1276" s="9">
        <f xml:space="preserve"> ROW( scalarDataframe[[#This Row],[row_id]] ) - ROW( scalarDataframe[[#Headers],[row_id]] )</f>
        <v>1275</v>
      </c>
      <c r="B1276" s="16" t="str">
        <f xml:space="preserve"> INDEX( co_scalarInfo[scalarType], MATCH( scalarDataframe[[#This Row],[scalarName]],  co_scalarInfo[scalarName], 0 ) )</f>
        <v>damageAdj</v>
      </c>
      <c r="C1276" s="44" t="str">
        <f xml:space="preserve"> INDEX( co_scalarInfo[scalarLabel], MATCH( scalarDataframe[[#This Row],[scalarName]], co_scalarInfo[scalarName], 0 ) )</f>
        <v>Road Miles and Population Adjustment Factor (No Adaptation and Reactive Adaptation)</v>
      </c>
      <c r="D1276" s="24" t="s">
        <v>1431</v>
      </c>
      <c r="E1276" s="17" t="s">
        <v>10</v>
      </c>
      <c r="F1276" s="25">
        <v>2080</v>
      </c>
      <c r="G1276" s="26">
        <v>1.1164638949141337</v>
      </c>
    </row>
    <row r="1277" spans="1:7" x14ac:dyDescent="0.35">
      <c r="A1277" s="9">
        <f xml:space="preserve"> ROW( scalarDataframe[[#This Row],[row_id]] ) - ROW( scalarDataframe[[#Headers],[row_id]] )</f>
        <v>1276</v>
      </c>
      <c r="B1277" s="16" t="str">
        <f xml:space="preserve"> INDEX( co_scalarInfo[scalarType], MATCH( scalarDataframe[[#This Row],[scalarName]],  co_scalarInfo[scalarName], 0 ) )</f>
        <v>damageAdj</v>
      </c>
      <c r="C1277" s="44" t="str">
        <f xml:space="preserve"> INDEX( co_scalarInfo[scalarLabel], MATCH( scalarDataframe[[#This Row],[scalarName]], co_scalarInfo[scalarName], 0 ) )</f>
        <v>Road Miles and Population Adjustment Factor (No Adaptation and Reactive Adaptation)</v>
      </c>
      <c r="D1277" s="24" t="s">
        <v>1431</v>
      </c>
      <c r="E1277" s="17" t="s">
        <v>10</v>
      </c>
      <c r="F1277" s="25">
        <v>2085</v>
      </c>
      <c r="G1277" s="26">
        <v>1.129773081505244</v>
      </c>
    </row>
    <row r="1278" spans="1:7" x14ac:dyDescent="0.35">
      <c r="A1278" s="9">
        <f xml:space="preserve"> ROW( scalarDataframe[[#This Row],[row_id]] ) - ROW( scalarDataframe[[#Headers],[row_id]] )</f>
        <v>1277</v>
      </c>
      <c r="B1278" s="16" t="str">
        <f xml:space="preserve"> INDEX( co_scalarInfo[scalarType], MATCH( scalarDataframe[[#This Row],[scalarName]],  co_scalarInfo[scalarName], 0 ) )</f>
        <v>damageAdj</v>
      </c>
      <c r="C1278" s="44" t="str">
        <f xml:space="preserve"> INDEX( co_scalarInfo[scalarLabel], MATCH( scalarDataframe[[#This Row],[scalarName]], co_scalarInfo[scalarName], 0 ) )</f>
        <v>Road Miles and Population Adjustment Factor (No Adaptation and Reactive Adaptation)</v>
      </c>
      <c r="D1278" s="24" t="s">
        <v>1431</v>
      </c>
      <c r="E1278" s="17" t="s">
        <v>10</v>
      </c>
      <c r="F1278" s="25">
        <v>2090</v>
      </c>
      <c r="G1278" s="26">
        <v>1.1018711786476452</v>
      </c>
    </row>
    <row r="1279" spans="1:7" x14ac:dyDescent="0.35">
      <c r="A1279" s="9">
        <f xml:space="preserve"> ROW( scalarDataframe[[#This Row],[row_id]] ) - ROW( scalarDataframe[[#Headers],[row_id]] )</f>
        <v>1278</v>
      </c>
      <c r="B1279" s="16" t="str">
        <f xml:space="preserve"> INDEX( co_scalarInfo[scalarType], MATCH( scalarDataframe[[#This Row],[scalarName]],  co_scalarInfo[scalarName], 0 ) )</f>
        <v>damageAdj</v>
      </c>
      <c r="C1279" s="44" t="str">
        <f xml:space="preserve"> INDEX( co_scalarInfo[scalarLabel], MATCH( scalarDataframe[[#This Row],[scalarName]], co_scalarInfo[scalarName], 0 ) )</f>
        <v>Road Miles and Population Adjustment Factor (No Adaptation and Reactive Adaptation)</v>
      </c>
      <c r="D1279" s="24" t="s">
        <v>1431</v>
      </c>
      <c r="E1279" s="17" t="s">
        <v>11</v>
      </c>
      <c r="F1279" s="25">
        <v>2010</v>
      </c>
      <c r="G1279" s="26">
        <v>0.97850433749610433</v>
      </c>
    </row>
    <row r="1280" spans="1:7" x14ac:dyDescent="0.35">
      <c r="A1280" s="9">
        <f xml:space="preserve"> ROW( scalarDataframe[[#This Row],[row_id]] ) - ROW( scalarDataframe[[#Headers],[row_id]] )</f>
        <v>1279</v>
      </c>
      <c r="B1280" s="16" t="str">
        <f xml:space="preserve"> INDEX( co_scalarInfo[scalarType], MATCH( scalarDataframe[[#This Row],[scalarName]],  co_scalarInfo[scalarName], 0 ) )</f>
        <v>damageAdj</v>
      </c>
      <c r="C1280" s="44" t="str">
        <f xml:space="preserve"> INDEX( co_scalarInfo[scalarLabel], MATCH( scalarDataframe[[#This Row],[scalarName]], co_scalarInfo[scalarName], 0 ) )</f>
        <v>Road Miles and Population Adjustment Factor (No Adaptation and Reactive Adaptation)</v>
      </c>
      <c r="D1280" s="24" t="s">
        <v>1431</v>
      </c>
      <c r="E1280" s="17" t="s">
        <v>11</v>
      </c>
      <c r="F1280" s="25">
        <v>2015</v>
      </c>
      <c r="G1280" s="26">
        <v>0.98844076788369506</v>
      </c>
    </row>
    <row r="1281" spans="1:7" x14ac:dyDescent="0.35">
      <c r="A1281" s="9">
        <f xml:space="preserve"> ROW( scalarDataframe[[#This Row],[row_id]] ) - ROW( scalarDataframe[[#Headers],[row_id]] )</f>
        <v>1280</v>
      </c>
      <c r="B1281" s="16" t="str">
        <f xml:space="preserve"> INDEX( co_scalarInfo[scalarType], MATCH( scalarDataframe[[#This Row],[scalarName]],  co_scalarInfo[scalarName], 0 ) )</f>
        <v>damageAdj</v>
      </c>
      <c r="C1281" s="44" t="str">
        <f xml:space="preserve"> INDEX( co_scalarInfo[scalarLabel], MATCH( scalarDataframe[[#This Row],[scalarName]], co_scalarInfo[scalarName], 0 ) )</f>
        <v>Road Miles and Population Adjustment Factor (No Adaptation and Reactive Adaptation)</v>
      </c>
      <c r="D1281" s="24" t="s">
        <v>1431</v>
      </c>
      <c r="E1281" s="17" t="s">
        <v>11</v>
      </c>
      <c r="F1281" s="25">
        <v>2020</v>
      </c>
      <c r="G1281" s="26">
        <v>1.0041797265781853</v>
      </c>
    </row>
    <row r="1282" spans="1:7" x14ac:dyDescent="0.35">
      <c r="A1282" s="9">
        <f xml:space="preserve"> ROW( scalarDataframe[[#This Row],[row_id]] ) - ROW( scalarDataframe[[#Headers],[row_id]] )</f>
        <v>1281</v>
      </c>
      <c r="B1282" s="16" t="str">
        <f xml:space="preserve"> INDEX( co_scalarInfo[scalarType], MATCH( scalarDataframe[[#This Row],[scalarName]],  co_scalarInfo[scalarName], 0 ) )</f>
        <v>damageAdj</v>
      </c>
      <c r="C1282" s="44" t="str">
        <f xml:space="preserve"> INDEX( co_scalarInfo[scalarLabel], MATCH( scalarDataframe[[#This Row],[scalarName]], co_scalarInfo[scalarName], 0 ) )</f>
        <v>Road Miles and Population Adjustment Factor (No Adaptation and Reactive Adaptation)</v>
      </c>
      <c r="D1282" s="24" t="s">
        <v>1431</v>
      </c>
      <c r="E1282" s="17" t="s">
        <v>11</v>
      </c>
      <c r="F1282" s="25">
        <v>2025</v>
      </c>
      <c r="G1282" s="26">
        <v>1.0142771707105749</v>
      </c>
    </row>
    <row r="1283" spans="1:7" x14ac:dyDescent="0.35">
      <c r="A1283" s="9">
        <f xml:space="preserve"> ROW( scalarDataframe[[#This Row],[row_id]] ) - ROW( scalarDataframe[[#Headers],[row_id]] )</f>
        <v>1282</v>
      </c>
      <c r="B1283" s="16" t="str">
        <f xml:space="preserve"> INDEX( co_scalarInfo[scalarType], MATCH( scalarDataframe[[#This Row],[scalarName]],  co_scalarInfo[scalarName], 0 ) )</f>
        <v>damageAdj</v>
      </c>
      <c r="C1283" s="44" t="str">
        <f xml:space="preserve"> INDEX( co_scalarInfo[scalarLabel], MATCH( scalarDataframe[[#This Row],[scalarName]], co_scalarInfo[scalarName], 0 ) )</f>
        <v>Road Miles and Population Adjustment Factor (No Adaptation and Reactive Adaptation)</v>
      </c>
      <c r="D1283" s="24" t="s">
        <v>1431</v>
      </c>
      <c r="E1283" s="17" t="s">
        <v>11</v>
      </c>
      <c r="F1283" s="25">
        <v>2030</v>
      </c>
      <c r="G1283" s="26">
        <v>1.0281213013875936</v>
      </c>
    </row>
    <row r="1284" spans="1:7" x14ac:dyDescent="0.35">
      <c r="A1284" s="9">
        <f xml:space="preserve"> ROW( scalarDataframe[[#This Row],[row_id]] ) - ROW( scalarDataframe[[#Headers],[row_id]] )</f>
        <v>1283</v>
      </c>
      <c r="B1284" s="16" t="str">
        <f xml:space="preserve"> INDEX( co_scalarInfo[scalarType], MATCH( scalarDataframe[[#This Row],[scalarName]],  co_scalarInfo[scalarName], 0 ) )</f>
        <v>damageAdj</v>
      </c>
      <c r="C1284" s="44" t="str">
        <f xml:space="preserve"> INDEX( co_scalarInfo[scalarLabel], MATCH( scalarDataframe[[#This Row],[scalarName]], co_scalarInfo[scalarName], 0 ) )</f>
        <v>Road Miles and Population Adjustment Factor (No Adaptation and Reactive Adaptation)</v>
      </c>
      <c r="D1284" s="24" t="s">
        <v>1431</v>
      </c>
      <c r="E1284" s="17" t="s">
        <v>11</v>
      </c>
      <c r="F1284" s="25">
        <v>2035</v>
      </c>
      <c r="G1284" s="26">
        <v>1.044811616372199</v>
      </c>
    </row>
    <row r="1285" spans="1:7" x14ac:dyDescent="0.35">
      <c r="A1285" s="9">
        <f xml:space="preserve"> ROW( scalarDataframe[[#This Row],[row_id]] ) - ROW( scalarDataframe[[#Headers],[row_id]] )</f>
        <v>1284</v>
      </c>
      <c r="B1285" s="16" t="str">
        <f xml:space="preserve"> INDEX( co_scalarInfo[scalarType], MATCH( scalarDataframe[[#This Row],[scalarName]],  co_scalarInfo[scalarName], 0 ) )</f>
        <v>damageAdj</v>
      </c>
      <c r="C1285" s="44" t="str">
        <f xml:space="preserve"> INDEX( co_scalarInfo[scalarLabel], MATCH( scalarDataframe[[#This Row],[scalarName]], co_scalarInfo[scalarName], 0 ) )</f>
        <v>Road Miles and Population Adjustment Factor (No Adaptation and Reactive Adaptation)</v>
      </c>
      <c r="D1285" s="24" t="s">
        <v>1431</v>
      </c>
      <c r="E1285" s="17" t="s">
        <v>11</v>
      </c>
      <c r="F1285" s="25">
        <v>2040</v>
      </c>
      <c r="G1285" s="26">
        <v>1.0399129092294894</v>
      </c>
    </row>
    <row r="1286" spans="1:7" x14ac:dyDescent="0.35">
      <c r="A1286" s="9">
        <f xml:space="preserve"> ROW( scalarDataframe[[#This Row],[row_id]] ) - ROW( scalarDataframe[[#Headers],[row_id]] )</f>
        <v>1285</v>
      </c>
      <c r="B1286" s="16" t="str">
        <f xml:space="preserve"> INDEX( co_scalarInfo[scalarType], MATCH( scalarDataframe[[#This Row],[scalarName]],  co_scalarInfo[scalarName], 0 ) )</f>
        <v>damageAdj</v>
      </c>
      <c r="C1286" s="44" t="str">
        <f xml:space="preserve"> INDEX( co_scalarInfo[scalarLabel], MATCH( scalarDataframe[[#This Row],[scalarName]], co_scalarInfo[scalarName], 0 ) )</f>
        <v>Road Miles and Population Adjustment Factor (No Adaptation and Reactive Adaptation)</v>
      </c>
      <c r="D1286" s="24" t="s">
        <v>1431</v>
      </c>
      <c r="E1286" s="17" t="s">
        <v>11</v>
      </c>
      <c r="F1286" s="25">
        <v>2045</v>
      </c>
      <c r="G1286" s="26">
        <v>1.0507915340418057</v>
      </c>
    </row>
    <row r="1287" spans="1:7" x14ac:dyDescent="0.35">
      <c r="A1287" s="9">
        <f xml:space="preserve"> ROW( scalarDataframe[[#This Row],[row_id]] ) - ROW( scalarDataframe[[#Headers],[row_id]] )</f>
        <v>1286</v>
      </c>
      <c r="B1287" s="16" t="str">
        <f xml:space="preserve"> INDEX( co_scalarInfo[scalarType], MATCH( scalarDataframe[[#This Row],[scalarName]],  co_scalarInfo[scalarName], 0 ) )</f>
        <v>damageAdj</v>
      </c>
      <c r="C1287" s="44" t="str">
        <f xml:space="preserve"> INDEX( co_scalarInfo[scalarLabel], MATCH( scalarDataframe[[#This Row],[scalarName]], co_scalarInfo[scalarName], 0 ) )</f>
        <v>Road Miles and Population Adjustment Factor (No Adaptation and Reactive Adaptation)</v>
      </c>
      <c r="D1287" s="24" t="s">
        <v>1431</v>
      </c>
      <c r="E1287" s="17" t="s">
        <v>11</v>
      </c>
      <c r="F1287" s="25">
        <v>2050</v>
      </c>
      <c r="G1287" s="26">
        <v>1.0589837469873089</v>
      </c>
    </row>
    <row r="1288" spans="1:7" x14ac:dyDescent="0.35">
      <c r="A1288" s="9">
        <f xml:space="preserve"> ROW( scalarDataframe[[#This Row],[row_id]] ) - ROW( scalarDataframe[[#Headers],[row_id]] )</f>
        <v>1287</v>
      </c>
      <c r="B1288" s="16" t="str">
        <f xml:space="preserve"> INDEX( co_scalarInfo[scalarType], MATCH( scalarDataframe[[#This Row],[scalarName]],  co_scalarInfo[scalarName], 0 ) )</f>
        <v>damageAdj</v>
      </c>
      <c r="C1288" s="44" t="str">
        <f xml:space="preserve"> INDEX( co_scalarInfo[scalarLabel], MATCH( scalarDataframe[[#This Row],[scalarName]], co_scalarInfo[scalarName], 0 ) )</f>
        <v>Road Miles and Population Adjustment Factor (No Adaptation and Reactive Adaptation)</v>
      </c>
      <c r="D1288" s="24" t="s">
        <v>1431</v>
      </c>
      <c r="E1288" s="17" t="s">
        <v>11</v>
      </c>
      <c r="F1288" s="25">
        <v>2055</v>
      </c>
      <c r="G1288" s="26">
        <v>1.0870036166914336</v>
      </c>
    </row>
    <row r="1289" spans="1:7" x14ac:dyDescent="0.35">
      <c r="A1289" s="9">
        <f xml:space="preserve"> ROW( scalarDataframe[[#This Row],[row_id]] ) - ROW( scalarDataframe[[#Headers],[row_id]] )</f>
        <v>1288</v>
      </c>
      <c r="B1289" s="16" t="str">
        <f xml:space="preserve"> INDEX( co_scalarInfo[scalarType], MATCH( scalarDataframe[[#This Row],[scalarName]],  co_scalarInfo[scalarName], 0 ) )</f>
        <v>damageAdj</v>
      </c>
      <c r="C1289" s="44" t="str">
        <f xml:space="preserve"> INDEX( co_scalarInfo[scalarLabel], MATCH( scalarDataframe[[#This Row],[scalarName]], co_scalarInfo[scalarName], 0 ) )</f>
        <v>Road Miles and Population Adjustment Factor (No Adaptation and Reactive Adaptation)</v>
      </c>
      <c r="D1289" s="24" t="s">
        <v>1431</v>
      </c>
      <c r="E1289" s="17" t="s">
        <v>11</v>
      </c>
      <c r="F1289" s="25">
        <v>2060</v>
      </c>
      <c r="G1289" s="26">
        <v>1.0672268824213293</v>
      </c>
    </row>
    <row r="1290" spans="1:7" x14ac:dyDescent="0.35">
      <c r="A1290" s="9">
        <f xml:space="preserve"> ROW( scalarDataframe[[#This Row],[row_id]] ) - ROW( scalarDataframe[[#Headers],[row_id]] )</f>
        <v>1289</v>
      </c>
      <c r="B1290" s="16" t="str">
        <f xml:space="preserve"> INDEX( co_scalarInfo[scalarType], MATCH( scalarDataframe[[#This Row],[scalarName]],  co_scalarInfo[scalarName], 0 ) )</f>
        <v>damageAdj</v>
      </c>
      <c r="C1290" s="44" t="str">
        <f xml:space="preserve"> INDEX( co_scalarInfo[scalarLabel], MATCH( scalarDataframe[[#This Row],[scalarName]], co_scalarInfo[scalarName], 0 ) )</f>
        <v>Road Miles and Population Adjustment Factor (No Adaptation and Reactive Adaptation)</v>
      </c>
      <c r="D1290" s="24" t="s">
        <v>1431</v>
      </c>
      <c r="E1290" s="17" t="s">
        <v>11</v>
      </c>
      <c r="F1290" s="25">
        <v>2065</v>
      </c>
      <c r="G1290" s="26">
        <v>1.0810515124544862</v>
      </c>
    </row>
    <row r="1291" spans="1:7" x14ac:dyDescent="0.35">
      <c r="A1291" s="9">
        <f xml:space="preserve"> ROW( scalarDataframe[[#This Row],[row_id]] ) - ROW( scalarDataframe[[#Headers],[row_id]] )</f>
        <v>1290</v>
      </c>
      <c r="B1291" s="16" t="str">
        <f xml:space="preserve"> INDEX( co_scalarInfo[scalarType], MATCH( scalarDataframe[[#This Row],[scalarName]],  co_scalarInfo[scalarName], 0 ) )</f>
        <v>damageAdj</v>
      </c>
      <c r="C1291" s="44" t="str">
        <f xml:space="preserve"> INDEX( co_scalarInfo[scalarLabel], MATCH( scalarDataframe[[#This Row],[scalarName]], co_scalarInfo[scalarName], 0 ) )</f>
        <v>Road Miles and Population Adjustment Factor (No Adaptation and Reactive Adaptation)</v>
      </c>
      <c r="D1291" s="24" t="s">
        <v>1431</v>
      </c>
      <c r="E1291" s="17" t="s">
        <v>11</v>
      </c>
      <c r="F1291" s="25">
        <v>2070</v>
      </c>
      <c r="G1291" s="26">
        <v>1.0849739153609397</v>
      </c>
    </row>
    <row r="1292" spans="1:7" x14ac:dyDescent="0.35">
      <c r="A1292" s="9">
        <f xml:space="preserve"> ROW( scalarDataframe[[#This Row],[row_id]] ) - ROW( scalarDataframe[[#Headers],[row_id]] )</f>
        <v>1291</v>
      </c>
      <c r="B1292" s="16" t="str">
        <f xml:space="preserve"> INDEX( co_scalarInfo[scalarType], MATCH( scalarDataframe[[#This Row],[scalarName]],  co_scalarInfo[scalarName], 0 ) )</f>
        <v>damageAdj</v>
      </c>
      <c r="C1292" s="44" t="str">
        <f xml:space="preserve"> INDEX( co_scalarInfo[scalarLabel], MATCH( scalarDataframe[[#This Row],[scalarName]], co_scalarInfo[scalarName], 0 ) )</f>
        <v>Road Miles and Population Adjustment Factor (No Adaptation and Reactive Adaptation)</v>
      </c>
      <c r="D1292" s="24" t="s">
        <v>1431</v>
      </c>
      <c r="E1292" s="17" t="s">
        <v>11</v>
      </c>
      <c r="F1292" s="25">
        <v>2075</v>
      </c>
      <c r="G1292" s="26">
        <v>1.1233512474591665</v>
      </c>
    </row>
    <row r="1293" spans="1:7" x14ac:dyDescent="0.35">
      <c r="A1293" s="9">
        <f xml:space="preserve"> ROW( scalarDataframe[[#This Row],[row_id]] ) - ROW( scalarDataframe[[#Headers],[row_id]] )</f>
        <v>1292</v>
      </c>
      <c r="B1293" s="16" t="str">
        <f xml:space="preserve"> INDEX( co_scalarInfo[scalarType], MATCH( scalarDataframe[[#This Row],[scalarName]],  co_scalarInfo[scalarName], 0 ) )</f>
        <v>damageAdj</v>
      </c>
      <c r="C1293" s="44" t="str">
        <f xml:space="preserve"> INDEX( co_scalarInfo[scalarLabel], MATCH( scalarDataframe[[#This Row],[scalarName]], co_scalarInfo[scalarName], 0 ) )</f>
        <v>Road Miles and Population Adjustment Factor (No Adaptation and Reactive Adaptation)</v>
      </c>
      <c r="D1293" s="24" t="s">
        <v>1431</v>
      </c>
      <c r="E1293" s="17" t="s">
        <v>11</v>
      </c>
      <c r="F1293" s="25">
        <v>2080</v>
      </c>
      <c r="G1293" s="26">
        <v>1.0914250167371977</v>
      </c>
    </row>
    <row r="1294" spans="1:7" x14ac:dyDescent="0.35">
      <c r="A1294" s="9">
        <f xml:space="preserve"> ROW( scalarDataframe[[#This Row],[row_id]] ) - ROW( scalarDataframe[[#Headers],[row_id]] )</f>
        <v>1293</v>
      </c>
      <c r="B1294" s="16" t="str">
        <f xml:space="preserve"> INDEX( co_scalarInfo[scalarType], MATCH( scalarDataframe[[#This Row],[scalarName]],  co_scalarInfo[scalarName], 0 ) )</f>
        <v>damageAdj</v>
      </c>
      <c r="C1294" s="44" t="str">
        <f xml:space="preserve"> INDEX( co_scalarInfo[scalarLabel], MATCH( scalarDataframe[[#This Row],[scalarName]], co_scalarInfo[scalarName], 0 ) )</f>
        <v>Road Miles and Population Adjustment Factor (No Adaptation and Reactive Adaptation)</v>
      </c>
      <c r="D1294" s="24" t="s">
        <v>1431</v>
      </c>
      <c r="E1294" s="17" t="s">
        <v>11</v>
      </c>
      <c r="F1294" s="25">
        <v>2085</v>
      </c>
      <c r="G1294" s="26">
        <v>1.1078914291185624</v>
      </c>
    </row>
    <row r="1295" spans="1:7" x14ac:dyDescent="0.35">
      <c r="A1295" s="9">
        <f xml:space="preserve"> ROW( scalarDataframe[[#This Row],[row_id]] ) - ROW( scalarDataframe[[#Headers],[row_id]] )</f>
        <v>1294</v>
      </c>
      <c r="B1295" s="16" t="str">
        <f xml:space="preserve"> INDEX( co_scalarInfo[scalarType], MATCH( scalarDataframe[[#This Row],[scalarName]],  co_scalarInfo[scalarName], 0 ) )</f>
        <v>damageAdj</v>
      </c>
      <c r="C1295" s="44" t="str">
        <f xml:space="preserve"> INDEX( co_scalarInfo[scalarLabel], MATCH( scalarDataframe[[#This Row],[scalarName]], co_scalarInfo[scalarName], 0 ) )</f>
        <v>Road Miles and Population Adjustment Factor (No Adaptation and Reactive Adaptation)</v>
      </c>
      <c r="D1295" s="24" t="s">
        <v>1431</v>
      </c>
      <c r="E1295" s="17" t="s">
        <v>11</v>
      </c>
      <c r="F1295" s="25">
        <v>2090</v>
      </c>
      <c r="G1295" s="26">
        <v>1.1053717036493316</v>
      </c>
    </row>
    <row r="1296" spans="1:7" x14ac:dyDescent="0.35">
      <c r="A1296" s="9">
        <f xml:space="preserve"> ROW( scalarDataframe[[#This Row],[row_id]] ) - ROW( scalarDataframe[[#Headers],[row_id]] )</f>
        <v>1295</v>
      </c>
      <c r="B1296" s="16" t="str">
        <f xml:space="preserve"> INDEX( co_scalarInfo[scalarType], MATCH( scalarDataframe[[#This Row],[scalarName]],  co_scalarInfo[scalarName], 0 ) )</f>
        <v>damageAdj</v>
      </c>
      <c r="C1296" s="44" t="str">
        <f xml:space="preserve"> INDEX( co_scalarInfo[scalarLabel], MATCH( scalarDataframe[[#This Row],[scalarName]], co_scalarInfo[scalarName], 0 ) )</f>
        <v>Road Miles and Population Adjustment Factor (No Adaptation and Reactive Adaptation)</v>
      </c>
      <c r="D1296" s="24" t="s">
        <v>1431</v>
      </c>
      <c r="E1296" s="17" t="s">
        <v>12</v>
      </c>
      <c r="F1296" s="25">
        <v>2010</v>
      </c>
      <c r="G1296" s="26">
        <v>0.96372230106275758</v>
      </c>
    </row>
    <row r="1297" spans="1:7" x14ac:dyDescent="0.35">
      <c r="A1297" s="9">
        <f xml:space="preserve"> ROW( scalarDataframe[[#This Row],[row_id]] ) - ROW( scalarDataframe[[#Headers],[row_id]] )</f>
        <v>1296</v>
      </c>
      <c r="B1297" s="16" t="str">
        <f xml:space="preserve"> INDEX( co_scalarInfo[scalarType], MATCH( scalarDataframe[[#This Row],[scalarName]],  co_scalarInfo[scalarName], 0 ) )</f>
        <v>damageAdj</v>
      </c>
      <c r="C1297" s="44" t="str">
        <f xml:space="preserve"> INDEX( co_scalarInfo[scalarLabel], MATCH( scalarDataframe[[#This Row],[scalarName]], co_scalarInfo[scalarName], 0 ) )</f>
        <v>Road Miles and Population Adjustment Factor (No Adaptation and Reactive Adaptation)</v>
      </c>
      <c r="D1297" s="24" t="s">
        <v>1431</v>
      </c>
      <c r="E1297" s="17" t="s">
        <v>12</v>
      </c>
      <c r="F1297" s="25">
        <v>2015</v>
      </c>
      <c r="G1297" s="26">
        <v>0.98373450803149665</v>
      </c>
    </row>
    <row r="1298" spans="1:7" x14ac:dyDescent="0.35">
      <c r="A1298" s="9">
        <f xml:space="preserve"> ROW( scalarDataframe[[#This Row],[row_id]] ) - ROW( scalarDataframe[[#Headers],[row_id]] )</f>
        <v>1297</v>
      </c>
      <c r="B1298" s="16" t="str">
        <f xml:space="preserve"> INDEX( co_scalarInfo[scalarType], MATCH( scalarDataframe[[#This Row],[scalarName]],  co_scalarInfo[scalarName], 0 ) )</f>
        <v>damageAdj</v>
      </c>
      <c r="C1298" s="44" t="str">
        <f xml:space="preserve"> INDEX( co_scalarInfo[scalarLabel], MATCH( scalarDataframe[[#This Row],[scalarName]], co_scalarInfo[scalarName], 0 ) )</f>
        <v>Road Miles and Population Adjustment Factor (No Adaptation and Reactive Adaptation)</v>
      </c>
      <c r="D1298" s="24" t="s">
        <v>1431</v>
      </c>
      <c r="E1298" s="17" t="s">
        <v>12</v>
      </c>
      <c r="F1298" s="25">
        <v>2020</v>
      </c>
      <c r="G1298" s="26">
        <v>1.0081382363548503</v>
      </c>
    </row>
    <row r="1299" spans="1:7" x14ac:dyDescent="0.35">
      <c r="A1299" s="9">
        <f xml:space="preserve"> ROW( scalarDataframe[[#This Row],[row_id]] ) - ROW( scalarDataframe[[#Headers],[row_id]] )</f>
        <v>1298</v>
      </c>
      <c r="B1299" s="16" t="str">
        <f xml:space="preserve"> INDEX( co_scalarInfo[scalarType], MATCH( scalarDataframe[[#This Row],[scalarName]],  co_scalarInfo[scalarName], 0 ) )</f>
        <v>damageAdj</v>
      </c>
      <c r="C1299" s="44" t="str">
        <f xml:space="preserve"> INDEX( co_scalarInfo[scalarLabel], MATCH( scalarDataframe[[#This Row],[scalarName]], co_scalarInfo[scalarName], 0 ) )</f>
        <v>Road Miles and Population Adjustment Factor (No Adaptation and Reactive Adaptation)</v>
      </c>
      <c r="D1299" s="24" t="s">
        <v>1431</v>
      </c>
      <c r="E1299" s="17" t="s">
        <v>12</v>
      </c>
      <c r="F1299" s="25">
        <v>2025</v>
      </c>
      <c r="G1299" s="26">
        <v>1.0312300575616644</v>
      </c>
    </row>
    <row r="1300" spans="1:7" x14ac:dyDescent="0.35">
      <c r="A1300" s="9">
        <f xml:space="preserve"> ROW( scalarDataframe[[#This Row],[row_id]] ) - ROW( scalarDataframe[[#Headers],[row_id]] )</f>
        <v>1299</v>
      </c>
      <c r="B1300" s="16" t="str">
        <f xml:space="preserve"> INDEX( co_scalarInfo[scalarType], MATCH( scalarDataframe[[#This Row],[scalarName]],  co_scalarInfo[scalarName], 0 ) )</f>
        <v>damageAdj</v>
      </c>
      <c r="C1300" s="44" t="str">
        <f xml:space="preserve"> INDEX( co_scalarInfo[scalarLabel], MATCH( scalarDataframe[[#This Row],[scalarName]], co_scalarInfo[scalarName], 0 ) )</f>
        <v>Road Miles and Population Adjustment Factor (No Adaptation and Reactive Adaptation)</v>
      </c>
      <c r="D1300" s="24" t="s">
        <v>1431</v>
      </c>
      <c r="E1300" s="17" t="s">
        <v>12</v>
      </c>
      <c r="F1300" s="25">
        <v>2030</v>
      </c>
      <c r="G1300" s="26">
        <v>1.052897527115511</v>
      </c>
    </row>
    <row r="1301" spans="1:7" x14ac:dyDescent="0.35">
      <c r="A1301" s="9">
        <f xml:space="preserve"> ROW( scalarDataframe[[#This Row],[row_id]] ) - ROW( scalarDataframe[[#Headers],[row_id]] )</f>
        <v>1300</v>
      </c>
      <c r="B1301" s="16" t="str">
        <f xml:space="preserve"> INDEX( co_scalarInfo[scalarType], MATCH( scalarDataframe[[#This Row],[scalarName]],  co_scalarInfo[scalarName], 0 ) )</f>
        <v>damageAdj</v>
      </c>
      <c r="C1301" s="44" t="str">
        <f xml:space="preserve"> INDEX( co_scalarInfo[scalarLabel], MATCH( scalarDataframe[[#This Row],[scalarName]], co_scalarInfo[scalarName], 0 ) )</f>
        <v>Road Miles and Population Adjustment Factor (No Adaptation and Reactive Adaptation)</v>
      </c>
      <c r="D1301" s="24" t="s">
        <v>1431</v>
      </c>
      <c r="E1301" s="17" t="s">
        <v>12</v>
      </c>
      <c r="F1301" s="25">
        <v>2035</v>
      </c>
      <c r="G1301" s="26">
        <v>1.0949860328622261</v>
      </c>
    </row>
    <row r="1302" spans="1:7" x14ac:dyDescent="0.35">
      <c r="A1302" s="9">
        <f xml:space="preserve"> ROW( scalarDataframe[[#This Row],[row_id]] ) - ROW( scalarDataframe[[#Headers],[row_id]] )</f>
        <v>1301</v>
      </c>
      <c r="B1302" s="16" t="str">
        <f xml:space="preserve"> INDEX( co_scalarInfo[scalarType], MATCH( scalarDataframe[[#This Row],[scalarName]],  co_scalarInfo[scalarName], 0 ) )</f>
        <v>damageAdj</v>
      </c>
      <c r="C1302" s="44" t="str">
        <f xml:space="preserve"> INDEX( co_scalarInfo[scalarLabel], MATCH( scalarDataframe[[#This Row],[scalarName]], co_scalarInfo[scalarName], 0 ) )</f>
        <v>Road Miles and Population Adjustment Factor (No Adaptation and Reactive Adaptation)</v>
      </c>
      <c r="D1302" s="24" t="s">
        <v>1431</v>
      </c>
      <c r="E1302" s="17" t="s">
        <v>12</v>
      </c>
      <c r="F1302" s="25">
        <v>2040</v>
      </c>
      <c r="G1302" s="26">
        <v>1.0931962359327143</v>
      </c>
    </row>
    <row r="1303" spans="1:7" x14ac:dyDescent="0.35">
      <c r="A1303" s="9">
        <f xml:space="preserve"> ROW( scalarDataframe[[#This Row],[row_id]] ) - ROW( scalarDataframe[[#Headers],[row_id]] )</f>
        <v>1302</v>
      </c>
      <c r="B1303" s="16" t="str">
        <f xml:space="preserve"> INDEX( co_scalarInfo[scalarType], MATCH( scalarDataframe[[#This Row],[scalarName]],  co_scalarInfo[scalarName], 0 ) )</f>
        <v>damageAdj</v>
      </c>
      <c r="C1303" s="44" t="str">
        <f xml:space="preserve"> INDEX( co_scalarInfo[scalarLabel], MATCH( scalarDataframe[[#This Row],[scalarName]], co_scalarInfo[scalarName], 0 ) )</f>
        <v>Road Miles and Population Adjustment Factor (No Adaptation and Reactive Adaptation)</v>
      </c>
      <c r="D1303" s="24" t="s">
        <v>1431</v>
      </c>
      <c r="E1303" s="17" t="s">
        <v>12</v>
      </c>
      <c r="F1303" s="25">
        <v>2045</v>
      </c>
      <c r="G1303" s="26">
        <v>1.1059310346293079</v>
      </c>
    </row>
    <row r="1304" spans="1:7" x14ac:dyDescent="0.35">
      <c r="A1304" s="9">
        <f xml:space="preserve"> ROW( scalarDataframe[[#This Row],[row_id]] ) - ROW( scalarDataframe[[#Headers],[row_id]] )</f>
        <v>1303</v>
      </c>
      <c r="B1304" s="16" t="str">
        <f xml:space="preserve"> INDEX( co_scalarInfo[scalarType], MATCH( scalarDataframe[[#This Row],[scalarName]],  co_scalarInfo[scalarName], 0 ) )</f>
        <v>damageAdj</v>
      </c>
      <c r="C1304" s="44" t="str">
        <f xml:space="preserve"> INDEX( co_scalarInfo[scalarLabel], MATCH( scalarDataframe[[#This Row],[scalarName]], co_scalarInfo[scalarName], 0 ) )</f>
        <v>Road Miles and Population Adjustment Factor (No Adaptation and Reactive Adaptation)</v>
      </c>
      <c r="D1304" s="24" t="s">
        <v>1431</v>
      </c>
      <c r="E1304" s="17" t="s">
        <v>12</v>
      </c>
      <c r="F1304" s="25">
        <v>2050</v>
      </c>
      <c r="G1304" s="26">
        <v>1.1309010900475633</v>
      </c>
    </row>
    <row r="1305" spans="1:7" x14ac:dyDescent="0.35">
      <c r="A1305" s="9">
        <f xml:space="preserve"> ROW( scalarDataframe[[#This Row],[row_id]] ) - ROW( scalarDataframe[[#Headers],[row_id]] )</f>
        <v>1304</v>
      </c>
      <c r="B1305" s="16" t="str">
        <f xml:space="preserve"> INDEX( co_scalarInfo[scalarType], MATCH( scalarDataframe[[#This Row],[scalarName]],  co_scalarInfo[scalarName], 0 ) )</f>
        <v>damageAdj</v>
      </c>
      <c r="C1305" s="44" t="str">
        <f xml:space="preserve"> INDEX( co_scalarInfo[scalarLabel], MATCH( scalarDataframe[[#This Row],[scalarName]], co_scalarInfo[scalarName], 0 ) )</f>
        <v>Road Miles and Population Adjustment Factor (No Adaptation and Reactive Adaptation)</v>
      </c>
      <c r="D1305" s="24" t="s">
        <v>1431</v>
      </c>
      <c r="E1305" s="17" t="s">
        <v>12</v>
      </c>
      <c r="F1305" s="25">
        <v>2055</v>
      </c>
      <c r="G1305" s="26">
        <v>1.1956046863866441</v>
      </c>
    </row>
    <row r="1306" spans="1:7" x14ac:dyDescent="0.35">
      <c r="A1306" s="9">
        <f xml:space="preserve"> ROW( scalarDataframe[[#This Row],[row_id]] ) - ROW( scalarDataframe[[#Headers],[row_id]] )</f>
        <v>1305</v>
      </c>
      <c r="B1306" s="16" t="str">
        <f xml:space="preserve"> INDEX( co_scalarInfo[scalarType], MATCH( scalarDataframe[[#This Row],[scalarName]],  co_scalarInfo[scalarName], 0 ) )</f>
        <v>damageAdj</v>
      </c>
      <c r="C1306" s="44" t="str">
        <f xml:space="preserve"> INDEX( co_scalarInfo[scalarLabel], MATCH( scalarDataframe[[#This Row],[scalarName]], co_scalarInfo[scalarName], 0 ) )</f>
        <v>Road Miles and Population Adjustment Factor (No Adaptation and Reactive Adaptation)</v>
      </c>
      <c r="D1306" s="24" t="s">
        <v>1431</v>
      </c>
      <c r="E1306" s="17" t="s">
        <v>12</v>
      </c>
      <c r="F1306" s="25">
        <v>2060</v>
      </c>
      <c r="G1306" s="26">
        <v>1.1633923302049736</v>
      </c>
    </row>
    <row r="1307" spans="1:7" x14ac:dyDescent="0.35">
      <c r="A1307" s="9">
        <f xml:space="preserve"> ROW( scalarDataframe[[#This Row],[row_id]] ) - ROW( scalarDataframe[[#Headers],[row_id]] )</f>
        <v>1306</v>
      </c>
      <c r="B1307" s="16" t="str">
        <f xml:space="preserve"> INDEX( co_scalarInfo[scalarType], MATCH( scalarDataframe[[#This Row],[scalarName]],  co_scalarInfo[scalarName], 0 ) )</f>
        <v>damageAdj</v>
      </c>
      <c r="C1307" s="44" t="str">
        <f xml:space="preserve"> INDEX( co_scalarInfo[scalarLabel], MATCH( scalarDataframe[[#This Row],[scalarName]], co_scalarInfo[scalarName], 0 ) )</f>
        <v>Road Miles and Population Adjustment Factor (No Adaptation and Reactive Adaptation)</v>
      </c>
      <c r="D1307" s="24" t="s">
        <v>1431</v>
      </c>
      <c r="E1307" s="17" t="s">
        <v>12</v>
      </c>
      <c r="F1307" s="25">
        <v>2065</v>
      </c>
      <c r="G1307" s="26">
        <v>1.1680531809971832</v>
      </c>
    </row>
    <row r="1308" spans="1:7" x14ac:dyDescent="0.35">
      <c r="A1308" s="9">
        <f xml:space="preserve"> ROW( scalarDataframe[[#This Row],[row_id]] ) - ROW( scalarDataframe[[#Headers],[row_id]] )</f>
        <v>1307</v>
      </c>
      <c r="B1308" s="16" t="str">
        <f xml:space="preserve"> INDEX( co_scalarInfo[scalarType], MATCH( scalarDataframe[[#This Row],[scalarName]],  co_scalarInfo[scalarName], 0 ) )</f>
        <v>damageAdj</v>
      </c>
      <c r="C1308" s="44" t="str">
        <f xml:space="preserve"> INDEX( co_scalarInfo[scalarLabel], MATCH( scalarDataframe[[#This Row],[scalarName]], co_scalarInfo[scalarName], 0 ) )</f>
        <v>Road Miles and Population Adjustment Factor (No Adaptation and Reactive Adaptation)</v>
      </c>
      <c r="D1308" s="24" t="s">
        <v>1431</v>
      </c>
      <c r="E1308" s="17" t="s">
        <v>12</v>
      </c>
      <c r="F1308" s="25">
        <v>2070</v>
      </c>
      <c r="G1308" s="26">
        <v>1.2014910756136641</v>
      </c>
    </row>
    <row r="1309" spans="1:7" x14ac:dyDescent="0.35">
      <c r="A1309" s="9">
        <f xml:space="preserve"> ROW( scalarDataframe[[#This Row],[row_id]] ) - ROW( scalarDataframe[[#Headers],[row_id]] )</f>
        <v>1308</v>
      </c>
      <c r="B1309" s="16" t="str">
        <f xml:space="preserve"> INDEX( co_scalarInfo[scalarType], MATCH( scalarDataframe[[#This Row],[scalarName]],  co_scalarInfo[scalarName], 0 ) )</f>
        <v>damageAdj</v>
      </c>
      <c r="C1309" s="44" t="str">
        <f xml:space="preserve"> INDEX( co_scalarInfo[scalarLabel], MATCH( scalarDataframe[[#This Row],[scalarName]], co_scalarInfo[scalarName], 0 ) )</f>
        <v>Road Miles and Population Adjustment Factor (No Adaptation and Reactive Adaptation)</v>
      </c>
      <c r="D1309" s="24" t="s">
        <v>1431</v>
      </c>
      <c r="E1309" s="17" t="s">
        <v>12</v>
      </c>
      <c r="F1309" s="25">
        <v>2075</v>
      </c>
      <c r="G1309" s="26">
        <v>1.287486891627224</v>
      </c>
    </row>
    <row r="1310" spans="1:7" x14ac:dyDescent="0.35">
      <c r="A1310" s="9">
        <f xml:space="preserve"> ROW( scalarDataframe[[#This Row],[row_id]] ) - ROW( scalarDataframe[[#Headers],[row_id]] )</f>
        <v>1309</v>
      </c>
      <c r="B1310" s="16" t="str">
        <f xml:space="preserve"> INDEX( co_scalarInfo[scalarType], MATCH( scalarDataframe[[#This Row],[scalarName]],  co_scalarInfo[scalarName], 0 ) )</f>
        <v>damageAdj</v>
      </c>
      <c r="C1310" s="44" t="str">
        <f xml:space="preserve"> INDEX( co_scalarInfo[scalarLabel], MATCH( scalarDataframe[[#This Row],[scalarName]], co_scalarInfo[scalarName], 0 ) )</f>
        <v>Road Miles and Population Adjustment Factor (No Adaptation and Reactive Adaptation)</v>
      </c>
      <c r="D1310" s="24" t="s">
        <v>1431</v>
      </c>
      <c r="E1310" s="17" t="s">
        <v>12</v>
      </c>
      <c r="F1310" s="25">
        <v>2080</v>
      </c>
      <c r="G1310" s="26">
        <v>1.2264762049574025</v>
      </c>
    </row>
    <row r="1311" spans="1:7" x14ac:dyDescent="0.35">
      <c r="A1311" s="9">
        <f xml:space="preserve"> ROW( scalarDataframe[[#This Row],[row_id]] ) - ROW( scalarDataframe[[#Headers],[row_id]] )</f>
        <v>1310</v>
      </c>
      <c r="B1311" s="16" t="str">
        <f xml:space="preserve"> INDEX( co_scalarInfo[scalarType], MATCH( scalarDataframe[[#This Row],[scalarName]],  co_scalarInfo[scalarName], 0 ) )</f>
        <v>damageAdj</v>
      </c>
      <c r="C1311" s="44" t="str">
        <f xml:space="preserve"> INDEX( co_scalarInfo[scalarLabel], MATCH( scalarDataframe[[#This Row],[scalarName]], co_scalarInfo[scalarName], 0 ) )</f>
        <v>Road Miles and Population Adjustment Factor (No Adaptation and Reactive Adaptation)</v>
      </c>
      <c r="D1311" s="24" t="s">
        <v>1431</v>
      </c>
      <c r="E1311" s="17" t="s">
        <v>12</v>
      </c>
      <c r="F1311" s="25">
        <v>2085</v>
      </c>
      <c r="G1311" s="26">
        <v>1.2210431423001067</v>
      </c>
    </row>
    <row r="1312" spans="1:7" x14ac:dyDescent="0.35">
      <c r="A1312" s="9">
        <f xml:space="preserve"> ROW( scalarDataframe[[#This Row],[row_id]] ) - ROW( scalarDataframe[[#Headers],[row_id]] )</f>
        <v>1311</v>
      </c>
      <c r="B1312" s="16" t="str">
        <f xml:space="preserve"> INDEX( co_scalarInfo[scalarType], MATCH( scalarDataframe[[#This Row],[scalarName]],  co_scalarInfo[scalarName], 0 ) )</f>
        <v>damageAdj</v>
      </c>
      <c r="C1312" s="44" t="str">
        <f xml:space="preserve"> INDEX( co_scalarInfo[scalarLabel], MATCH( scalarDataframe[[#This Row],[scalarName]], co_scalarInfo[scalarName], 0 ) )</f>
        <v>Road Miles and Population Adjustment Factor (No Adaptation and Reactive Adaptation)</v>
      </c>
      <c r="D1312" s="24" t="s">
        <v>1431</v>
      </c>
      <c r="E1312" s="17" t="s">
        <v>12</v>
      </c>
      <c r="F1312" s="25">
        <v>2090</v>
      </c>
      <c r="G1312" s="26">
        <v>1.255953138391471</v>
      </c>
    </row>
    <row r="1313" spans="1:7" x14ac:dyDescent="0.35">
      <c r="A1313" s="9">
        <f xml:space="preserve"> ROW( scalarDataframe[[#This Row],[row_id]] ) - ROW( scalarDataframe[[#Headers],[row_id]] )</f>
        <v>1312</v>
      </c>
      <c r="B1313" s="16" t="str">
        <f xml:space="preserve"> INDEX( co_scalarInfo[scalarType], MATCH( scalarDataframe[[#This Row],[scalarName]],  co_scalarInfo[scalarName], 0 ) )</f>
        <v>damageAdj</v>
      </c>
      <c r="C1313" s="44" t="str">
        <f xml:space="preserve"> INDEX( co_scalarInfo[scalarLabel], MATCH( scalarDataframe[[#This Row],[scalarName]], co_scalarInfo[scalarName], 0 ) )</f>
        <v>Road Miles and Population Adjustment Factor (Proactive Adaptation)</v>
      </c>
      <c r="D1313" s="24" t="s">
        <v>1428</v>
      </c>
      <c r="E1313" s="17" t="s">
        <v>6</v>
      </c>
      <c r="F1313" s="25">
        <v>2010</v>
      </c>
      <c r="G1313" s="26">
        <v>0.99729124768218647</v>
      </c>
    </row>
    <row r="1314" spans="1:7" x14ac:dyDescent="0.35">
      <c r="A1314" s="9">
        <f xml:space="preserve"> ROW( scalarDataframe[[#This Row],[row_id]] ) - ROW( scalarDataframe[[#Headers],[row_id]] )</f>
        <v>1313</v>
      </c>
      <c r="B1314" s="16" t="str">
        <f xml:space="preserve"> INDEX( co_scalarInfo[scalarType], MATCH( scalarDataframe[[#This Row],[scalarName]],  co_scalarInfo[scalarName], 0 ) )</f>
        <v>damageAdj</v>
      </c>
      <c r="C1314" s="44" t="str">
        <f xml:space="preserve"> INDEX( co_scalarInfo[scalarLabel], MATCH( scalarDataframe[[#This Row],[scalarName]], co_scalarInfo[scalarName], 0 ) )</f>
        <v>Road Miles and Population Adjustment Factor (Proactive Adaptation)</v>
      </c>
      <c r="D1314" s="24" t="s">
        <v>1428</v>
      </c>
      <c r="E1314" s="17" t="s">
        <v>6</v>
      </c>
      <c r="F1314" s="25">
        <v>2015</v>
      </c>
      <c r="G1314" s="26">
        <v>0.99852022729628509</v>
      </c>
    </row>
    <row r="1315" spans="1:7" x14ac:dyDescent="0.35">
      <c r="A1315" s="9">
        <f xml:space="preserve"> ROW( scalarDataframe[[#This Row],[row_id]] ) - ROW( scalarDataframe[[#Headers],[row_id]] )</f>
        <v>1314</v>
      </c>
      <c r="B1315" s="16" t="str">
        <f xml:space="preserve"> INDEX( co_scalarInfo[scalarType], MATCH( scalarDataframe[[#This Row],[scalarName]],  co_scalarInfo[scalarName], 0 ) )</f>
        <v>damageAdj</v>
      </c>
      <c r="C1315" s="44" t="str">
        <f xml:space="preserve"> INDEX( co_scalarInfo[scalarLabel], MATCH( scalarDataframe[[#This Row],[scalarName]], co_scalarInfo[scalarName], 0 ) )</f>
        <v>Road Miles and Population Adjustment Factor (Proactive Adaptation)</v>
      </c>
      <c r="D1315" s="24" t="s">
        <v>1428</v>
      </c>
      <c r="E1315" s="17" t="s">
        <v>6</v>
      </c>
      <c r="F1315" s="25">
        <v>2020</v>
      </c>
      <c r="G1315" s="26">
        <v>1.0006205353506674</v>
      </c>
    </row>
    <row r="1316" spans="1:7" x14ac:dyDescent="0.35">
      <c r="A1316" s="9">
        <f xml:space="preserve"> ROW( scalarDataframe[[#This Row],[row_id]] ) - ROW( scalarDataframe[[#Headers],[row_id]] )</f>
        <v>1315</v>
      </c>
      <c r="B1316" s="16" t="str">
        <f xml:space="preserve"> INDEX( co_scalarInfo[scalarType], MATCH( scalarDataframe[[#This Row],[scalarName]],  co_scalarInfo[scalarName], 0 ) )</f>
        <v>damageAdj</v>
      </c>
      <c r="C1316" s="44" t="str">
        <f xml:space="preserve"> INDEX( co_scalarInfo[scalarLabel], MATCH( scalarDataframe[[#This Row],[scalarName]], co_scalarInfo[scalarName], 0 ) )</f>
        <v>Road Miles and Population Adjustment Factor (Proactive Adaptation)</v>
      </c>
      <c r="D1316" s="24" t="s">
        <v>1428</v>
      </c>
      <c r="E1316" s="17" t="s">
        <v>6</v>
      </c>
      <c r="F1316" s="25">
        <v>2025</v>
      </c>
      <c r="G1316" s="26">
        <v>1.0016132838371696</v>
      </c>
    </row>
    <row r="1317" spans="1:7" x14ac:dyDescent="0.35">
      <c r="A1317" s="9">
        <f xml:space="preserve"> ROW( scalarDataframe[[#This Row],[row_id]] ) - ROW( scalarDataframe[[#Headers],[row_id]] )</f>
        <v>1316</v>
      </c>
      <c r="B1317" s="16" t="str">
        <f xml:space="preserve"> INDEX( co_scalarInfo[scalarType], MATCH( scalarDataframe[[#This Row],[scalarName]],  co_scalarInfo[scalarName], 0 ) )</f>
        <v>damageAdj</v>
      </c>
      <c r="C1317" s="44" t="str">
        <f xml:space="preserve"> INDEX( co_scalarInfo[scalarLabel], MATCH( scalarDataframe[[#This Row],[scalarName]], co_scalarInfo[scalarName], 0 ) )</f>
        <v>Road Miles and Population Adjustment Factor (Proactive Adaptation)</v>
      </c>
      <c r="D1317" s="24" t="s">
        <v>1428</v>
      </c>
      <c r="E1317" s="17" t="s">
        <v>6</v>
      </c>
      <c r="F1317" s="25">
        <v>2030</v>
      </c>
      <c r="G1317" s="26">
        <v>1.0028113647704511</v>
      </c>
    </row>
    <row r="1318" spans="1:7" x14ac:dyDescent="0.35">
      <c r="A1318" s="9">
        <f xml:space="preserve"> ROW( scalarDataframe[[#This Row],[row_id]] ) - ROW( scalarDataframe[[#Headers],[row_id]] )</f>
        <v>1317</v>
      </c>
      <c r="B1318" s="16" t="str">
        <f xml:space="preserve"> INDEX( co_scalarInfo[scalarType], MATCH( scalarDataframe[[#This Row],[scalarName]],  co_scalarInfo[scalarName], 0 ) )</f>
        <v>damageAdj</v>
      </c>
      <c r="C1318" s="44" t="str">
        <f xml:space="preserve"> INDEX( co_scalarInfo[scalarLabel], MATCH( scalarDataframe[[#This Row],[scalarName]], co_scalarInfo[scalarName], 0 ) )</f>
        <v>Road Miles and Population Adjustment Factor (Proactive Adaptation)</v>
      </c>
      <c r="D1318" s="24" t="s">
        <v>1428</v>
      </c>
      <c r="E1318" s="17" t="s">
        <v>6</v>
      </c>
      <c r="F1318" s="25">
        <v>2035</v>
      </c>
      <c r="G1318" s="26">
        <v>1.0119517149970192</v>
      </c>
    </row>
    <row r="1319" spans="1:7" x14ac:dyDescent="0.35">
      <c r="A1319" s="9">
        <f xml:space="preserve"> ROW( scalarDataframe[[#This Row],[row_id]] ) - ROW( scalarDataframe[[#Headers],[row_id]] )</f>
        <v>1318</v>
      </c>
      <c r="B1319" s="16" t="str">
        <f xml:space="preserve"> INDEX( co_scalarInfo[scalarType], MATCH( scalarDataframe[[#This Row],[scalarName]],  co_scalarInfo[scalarName], 0 ) )</f>
        <v>damageAdj</v>
      </c>
      <c r="C1319" s="44" t="str">
        <f xml:space="preserve"> INDEX( co_scalarInfo[scalarLabel], MATCH( scalarDataframe[[#This Row],[scalarName]], co_scalarInfo[scalarName], 0 ) )</f>
        <v>Road Miles and Population Adjustment Factor (Proactive Adaptation)</v>
      </c>
      <c r="D1319" s="24" t="s">
        <v>1428</v>
      </c>
      <c r="E1319" s="17" t="s">
        <v>6</v>
      </c>
      <c r="F1319" s="25">
        <v>2040</v>
      </c>
      <c r="G1319" s="26">
        <v>1.0118817671150346</v>
      </c>
    </row>
    <row r="1320" spans="1:7" x14ac:dyDescent="0.35">
      <c r="A1320" s="9">
        <f xml:space="preserve"> ROW( scalarDataframe[[#This Row],[row_id]] ) - ROW( scalarDataframe[[#Headers],[row_id]] )</f>
        <v>1319</v>
      </c>
      <c r="B1320" s="16" t="str">
        <f xml:space="preserve"> INDEX( co_scalarInfo[scalarType], MATCH( scalarDataframe[[#This Row],[scalarName]],  co_scalarInfo[scalarName], 0 ) )</f>
        <v>damageAdj</v>
      </c>
      <c r="C1320" s="44" t="str">
        <f xml:space="preserve"> INDEX( co_scalarInfo[scalarLabel], MATCH( scalarDataframe[[#This Row],[scalarName]], co_scalarInfo[scalarName], 0 ) )</f>
        <v>Road Miles and Population Adjustment Factor (Proactive Adaptation)</v>
      </c>
      <c r="D1320" s="24" t="s">
        <v>1428</v>
      </c>
      <c r="E1320" s="17" t="s">
        <v>6</v>
      </c>
      <c r="F1320" s="25">
        <v>2045</v>
      </c>
      <c r="G1320" s="26">
        <v>1.0033066916788267</v>
      </c>
    </row>
    <row r="1321" spans="1:7" x14ac:dyDescent="0.35">
      <c r="A1321" s="9">
        <f xml:space="preserve"> ROW( scalarDataframe[[#This Row],[row_id]] ) - ROW( scalarDataframe[[#Headers],[row_id]] )</f>
        <v>1320</v>
      </c>
      <c r="B1321" s="16" t="str">
        <f xml:space="preserve"> INDEX( co_scalarInfo[scalarType], MATCH( scalarDataframe[[#This Row],[scalarName]],  co_scalarInfo[scalarName], 0 ) )</f>
        <v>damageAdj</v>
      </c>
      <c r="C1321" s="44" t="str">
        <f xml:space="preserve"> INDEX( co_scalarInfo[scalarLabel], MATCH( scalarDataframe[[#This Row],[scalarName]], co_scalarInfo[scalarName], 0 ) )</f>
        <v>Road Miles and Population Adjustment Factor (Proactive Adaptation)</v>
      </c>
      <c r="D1321" s="24" t="s">
        <v>1428</v>
      </c>
      <c r="E1321" s="17" t="s">
        <v>6</v>
      </c>
      <c r="F1321" s="25">
        <v>2050</v>
      </c>
      <c r="G1321" s="26">
        <v>1.0058229151969218</v>
      </c>
    </row>
    <row r="1322" spans="1:7" x14ac:dyDescent="0.35">
      <c r="A1322" s="9">
        <f xml:space="preserve"> ROW( scalarDataframe[[#This Row],[row_id]] ) - ROW( scalarDataframe[[#Headers],[row_id]] )</f>
        <v>1321</v>
      </c>
      <c r="B1322" s="16" t="str">
        <f xml:space="preserve"> INDEX( co_scalarInfo[scalarType], MATCH( scalarDataframe[[#This Row],[scalarName]],  co_scalarInfo[scalarName], 0 ) )</f>
        <v>damageAdj</v>
      </c>
      <c r="C1322" s="44" t="str">
        <f xml:space="preserve"> INDEX( co_scalarInfo[scalarLabel], MATCH( scalarDataframe[[#This Row],[scalarName]], co_scalarInfo[scalarName], 0 ) )</f>
        <v>Road Miles and Population Adjustment Factor (Proactive Adaptation)</v>
      </c>
      <c r="D1322" s="24" t="s">
        <v>1428</v>
      </c>
      <c r="E1322" s="17" t="s">
        <v>6</v>
      </c>
      <c r="F1322" s="25">
        <v>2055</v>
      </c>
      <c r="G1322" s="26">
        <v>1.0194749766324627</v>
      </c>
    </row>
    <row r="1323" spans="1:7" x14ac:dyDescent="0.35">
      <c r="A1323" s="9">
        <f xml:space="preserve"> ROW( scalarDataframe[[#This Row],[row_id]] ) - ROW( scalarDataframe[[#Headers],[row_id]] )</f>
        <v>1322</v>
      </c>
      <c r="B1323" s="16" t="str">
        <f xml:space="preserve"> INDEX( co_scalarInfo[scalarType], MATCH( scalarDataframe[[#This Row],[scalarName]],  co_scalarInfo[scalarName], 0 ) )</f>
        <v>damageAdj</v>
      </c>
      <c r="C1323" s="44" t="str">
        <f xml:space="preserve"> INDEX( co_scalarInfo[scalarLabel], MATCH( scalarDataframe[[#This Row],[scalarName]], co_scalarInfo[scalarName], 0 ) )</f>
        <v>Road Miles and Population Adjustment Factor (Proactive Adaptation)</v>
      </c>
      <c r="D1323" s="24" t="s">
        <v>1428</v>
      </c>
      <c r="E1323" s="17" t="s">
        <v>6</v>
      </c>
      <c r="F1323" s="25">
        <v>2060</v>
      </c>
      <c r="G1323" s="26">
        <v>1.0186893401130714</v>
      </c>
    </row>
    <row r="1324" spans="1:7" x14ac:dyDescent="0.35">
      <c r="A1324" s="9">
        <f xml:space="preserve"> ROW( scalarDataframe[[#This Row],[row_id]] ) - ROW( scalarDataframe[[#Headers],[row_id]] )</f>
        <v>1323</v>
      </c>
      <c r="B1324" s="16" t="str">
        <f xml:space="preserve"> INDEX( co_scalarInfo[scalarType], MATCH( scalarDataframe[[#This Row],[scalarName]],  co_scalarInfo[scalarName], 0 ) )</f>
        <v>damageAdj</v>
      </c>
      <c r="C1324" s="44" t="str">
        <f xml:space="preserve"> INDEX( co_scalarInfo[scalarLabel], MATCH( scalarDataframe[[#This Row],[scalarName]], co_scalarInfo[scalarName], 0 ) )</f>
        <v>Road Miles and Population Adjustment Factor (Proactive Adaptation)</v>
      </c>
      <c r="D1324" s="24" t="s">
        <v>1428</v>
      </c>
      <c r="E1324" s="17" t="s">
        <v>6</v>
      </c>
      <c r="F1324" s="25">
        <v>2065</v>
      </c>
      <c r="G1324" s="26">
        <v>1.0049071002150418</v>
      </c>
    </row>
    <row r="1325" spans="1:7" x14ac:dyDescent="0.35">
      <c r="A1325" s="9">
        <f xml:space="preserve"> ROW( scalarDataframe[[#This Row],[row_id]] ) - ROW( scalarDataframe[[#Headers],[row_id]] )</f>
        <v>1324</v>
      </c>
      <c r="B1325" s="16" t="str">
        <f xml:space="preserve"> INDEX( co_scalarInfo[scalarType], MATCH( scalarDataframe[[#This Row],[scalarName]],  co_scalarInfo[scalarName], 0 ) )</f>
        <v>damageAdj</v>
      </c>
      <c r="C1325" s="44" t="str">
        <f xml:space="preserve"> INDEX( co_scalarInfo[scalarLabel], MATCH( scalarDataframe[[#This Row],[scalarName]], co_scalarInfo[scalarName], 0 ) )</f>
        <v>Road Miles and Population Adjustment Factor (Proactive Adaptation)</v>
      </c>
      <c r="D1325" s="24" t="s">
        <v>1428</v>
      </c>
      <c r="E1325" s="17" t="s">
        <v>6</v>
      </c>
      <c r="F1325" s="25">
        <v>2070</v>
      </c>
      <c r="G1325" s="26">
        <v>1.0082045847032333</v>
      </c>
    </row>
    <row r="1326" spans="1:7" x14ac:dyDescent="0.35">
      <c r="A1326" s="9">
        <f xml:space="preserve"> ROW( scalarDataframe[[#This Row],[row_id]] ) - ROW( scalarDataframe[[#Headers],[row_id]] )</f>
        <v>1325</v>
      </c>
      <c r="B1326" s="16" t="str">
        <f xml:space="preserve"> INDEX( co_scalarInfo[scalarType], MATCH( scalarDataframe[[#This Row],[scalarName]],  co_scalarInfo[scalarName], 0 ) )</f>
        <v>damageAdj</v>
      </c>
      <c r="C1326" s="44" t="str">
        <f xml:space="preserve"> INDEX( co_scalarInfo[scalarLabel], MATCH( scalarDataframe[[#This Row],[scalarName]], co_scalarInfo[scalarName], 0 ) )</f>
        <v>Road Miles and Population Adjustment Factor (Proactive Adaptation)</v>
      </c>
      <c r="D1326" s="24" t="s">
        <v>1428</v>
      </c>
      <c r="E1326" s="17" t="s">
        <v>6</v>
      </c>
      <c r="F1326" s="25">
        <v>2075</v>
      </c>
      <c r="G1326" s="26">
        <v>1.0266615387157101</v>
      </c>
    </row>
    <row r="1327" spans="1:7" x14ac:dyDescent="0.35">
      <c r="A1327" s="9">
        <f xml:space="preserve"> ROW( scalarDataframe[[#This Row],[row_id]] ) - ROW( scalarDataframe[[#Headers],[row_id]] )</f>
        <v>1326</v>
      </c>
      <c r="B1327" s="16" t="str">
        <f xml:space="preserve"> INDEX( co_scalarInfo[scalarType], MATCH( scalarDataframe[[#This Row],[scalarName]],  co_scalarInfo[scalarName], 0 ) )</f>
        <v>damageAdj</v>
      </c>
      <c r="C1327" s="44" t="str">
        <f xml:space="preserve"> INDEX( co_scalarInfo[scalarLabel], MATCH( scalarDataframe[[#This Row],[scalarName]], co_scalarInfo[scalarName], 0 ) )</f>
        <v>Road Miles and Population Adjustment Factor (Proactive Adaptation)</v>
      </c>
      <c r="D1327" s="24" t="s">
        <v>1428</v>
      </c>
      <c r="E1327" s="17" t="s">
        <v>6</v>
      </c>
      <c r="F1327" s="25">
        <v>2080</v>
      </c>
      <c r="G1327" s="26">
        <v>1.0254472353160473</v>
      </c>
    </row>
    <row r="1328" spans="1:7" x14ac:dyDescent="0.35">
      <c r="A1328" s="9">
        <f xml:space="preserve"> ROW( scalarDataframe[[#This Row],[row_id]] ) - ROW( scalarDataframe[[#Headers],[row_id]] )</f>
        <v>1327</v>
      </c>
      <c r="B1328" s="16" t="str">
        <f xml:space="preserve"> INDEX( co_scalarInfo[scalarType], MATCH( scalarDataframe[[#This Row],[scalarName]],  co_scalarInfo[scalarName], 0 ) )</f>
        <v>damageAdj</v>
      </c>
      <c r="C1328" s="44" t="str">
        <f xml:space="preserve"> INDEX( co_scalarInfo[scalarLabel], MATCH( scalarDataframe[[#This Row],[scalarName]], co_scalarInfo[scalarName], 0 ) )</f>
        <v>Road Miles and Population Adjustment Factor (Proactive Adaptation)</v>
      </c>
      <c r="D1328" s="24" t="s">
        <v>1428</v>
      </c>
      <c r="E1328" s="17" t="s">
        <v>6</v>
      </c>
      <c r="F1328" s="25">
        <v>2085</v>
      </c>
      <c r="G1328" s="26">
        <v>1.0064991259563842</v>
      </c>
    </row>
    <row r="1329" spans="1:7" x14ac:dyDescent="0.35">
      <c r="A1329" s="9">
        <f xml:space="preserve"> ROW( scalarDataframe[[#This Row],[row_id]] ) - ROW( scalarDataframe[[#Headers],[row_id]] )</f>
        <v>1328</v>
      </c>
      <c r="B1329" s="16" t="str">
        <f xml:space="preserve"> INDEX( co_scalarInfo[scalarType], MATCH( scalarDataframe[[#This Row],[scalarName]],  co_scalarInfo[scalarName], 0 ) )</f>
        <v>damageAdj</v>
      </c>
      <c r="C1329" s="44" t="str">
        <f xml:space="preserve"> INDEX( co_scalarInfo[scalarLabel], MATCH( scalarDataframe[[#This Row],[scalarName]], co_scalarInfo[scalarName], 0 ) )</f>
        <v>Road Miles and Population Adjustment Factor (Proactive Adaptation)</v>
      </c>
      <c r="D1329" s="24" t="s">
        <v>1428</v>
      </c>
      <c r="E1329" s="17" t="s">
        <v>6</v>
      </c>
      <c r="F1329" s="25">
        <v>2090</v>
      </c>
      <c r="G1329" s="26">
        <v>1.0103497325430746</v>
      </c>
    </row>
    <row r="1330" spans="1:7" x14ac:dyDescent="0.35">
      <c r="A1330" s="9">
        <f xml:space="preserve"> ROW( scalarDataframe[[#This Row],[row_id]] ) - ROW( scalarDataframe[[#Headers],[row_id]] )</f>
        <v>1329</v>
      </c>
      <c r="B1330" s="16" t="str">
        <f xml:space="preserve"> INDEX( co_scalarInfo[scalarType], MATCH( scalarDataframe[[#This Row],[scalarName]],  co_scalarInfo[scalarName], 0 ) )</f>
        <v>damageAdj</v>
      </c>
      <c r="C1330" s="44" t="str">
        <f xml:space="preserve"> INDEX( co_scalarInfo[scalarLabel], MATCH( scalarDataframe[[#This Row],[scalarName]], co_scalarInfo[scalarName], 0 ) )</f>
        <v>Road Miles and Population Adjustment Factor (Proactive Adaptation)</v>
      </c>
      <c r="D1330" s="24" t="s">
        <v>1428</v>
      </c>
      <c r="E1330" s="17" t="s">
        <v>13</v>
      </c>
      <c r="F1330" s="25">
        <v>2010</v>
      </c>
      <c r="G1330" s="26">
        <v>0.98358750479840795</v>
      </c>
    </row>
    <row r="1331" spans="1:7" x14ac:dyDescent="0.35">
      <c r="A1331" s="9">
        <f xml:space="preserve"> ROW( scalarDataframe[[#This Row],[row_id]] ) - ROW( scalarDataframe[[#Headers],[row_id]] )</f>
        <v>1330</v>
      </c>
      <c r="B1331" s="16" t="str">
        <f xml:space="preserve"> INDEX( co_scalarInfo[scalarType], MATCH( scalarDataframe[[#This Row],[scalarName]],  co_scalarInfo[scalarName], 0 ) )</f>
        <v>damageAdj</v>
      </c>
      <c r="C1331" s="44" t="str">
        <f xml:space="preserve"> INDEX( co_scalarInfo[scalarLabel], MATCH( scalarDataframe[[#This Row],[scalarName]], co_scalarInfo[scalarName], 0 ) )</f>
        <v>Road Miles and Population Adjustment Factor (Proactive Adaptation)</v>
      </c>
      <c r="D1331" s="24" t="s">
        <v>1428</v>
      </c>
      <c r="E1331" s="17" t="s">
        <v>13</v>
      </c>
      <c r="F1331" s="25">
        <v>2015</v>
      </c>
      <c r="G1331" s="26">
        <v>0.99124795682179823</v>
      </c>
    </row>
    <row r="1332" spans="1:7" x14ac:dyDescent="0.35">
      <c r="A1332" s="9">
        <f xml:space="preserve"> ROW( scalarDataframe[[#This Row],[row_id]] ) - ROW( scalarDataframe[[#Headers],[row_id]] )</f>
        <v>1331</v>
      </c>
      <c r="B1332" s="16" t="str">
        <f xml:space="preserve"> INDEX( co_scalarInfo[scalarType], MATCH( scalarDataframe[[#This Row],[scalarName]],  co_scalarInfo[scalarName], 0 ) )</f>
        <v>damageAdj</v>
      </c>
      <c r="C1332" s="44" t="str">
        <f xml:space="preserve"> INDEX( co_scalarInfo[scalarLabel], MATCH( scalarDataframe[[#This Row],[scalarName]], co_scalarInfo[scalarName], 0 ) )</f>
        <v>Road Miles and Population Adjustment Factor (Proactive Adaptation)</v>
      </c>
      <c r="D1332" s="24" t="s">
        <v>1428</v>
      </c>
      <c r="E1332" s="17" t="s">
        <v>13</v>
      </c>
      <c r="F1332" s="25">
        <v>2020</v>
      </c>
      <c r="G1332" s="26">
        <v>1.0050514667094006</v>
      </c>
    </row>
    <row r="1333" spans="1:7" x14ac:dyDescent="0.35">
      <c r="A1333" s="9">
        <f xml:space="preserve"> ROW( scalarDataframe[[#This Row],[row_id]] ) - ROW( scalarDataframe[[#Headers],[row_id]] )</f>
        <v>1332</v>
      </c>
      <c r="B1333" s="16" t="str">
        <f xml:space="preserve"> INDEX( co_scalarInfo[scalarType], MATCH( scalarDataframe[[#This Row],[scalarName]],  co_scalarInfo[scalarName], 0 ) )</f>
        <v>damageAdj</v>
      </c>
      <c r="C1333" s="44" t="str">
        <f xml:space="preserve"> INDEX( co_scalarInfo[scalarLabel], MATCH( scalarDataframe[[#This Row],[scalarName]], co_scalarInfo[scalarName], 0 ) )</f>
        <v>Road Miles and Population Adjustment Factor (Proactive Adaptation)</v>
      </c>
      <c r="D1333" s="24" t="s">
        <v>1428</v>
      </c>
      <c r="E1333" s="17" t="s">
        <v>13</v>
      </c>
      <c r="F1333" s="25">
        <v>2025</v>
      </c>
      <c r="G1333" s="26">
        <v>1.0160619729752172</v>
      </c>
    </row>
    <row r="1334" spans="1:7" x14ac:dyDescent="0.35">
      <c r="A1334" s="9">
        <f xml:space="preserve"> ROW( scalarDataframe[[#This Row],[row_id]] ) - ROW( scalarDataframe[[#Headers],[row_id]] )</f>
        <v>1333</v>
      </c>
      <c r="B1334" s="16" t="str">
        <f xml:space="preserve"> INDEX( co_scalarInfo[scalarType], MATCH( scalarDataframe[[#This Row],[scalarName]],  co_scalarInfo[scalarName], 0 ) )</f>
        <v>damageAdj</v>
      </c>
      <c r="C1334" s="44" t="str">
        <f xml:space="preserve"> INDEX( co_scalarInfo[scalarLabel], MATCH( scalarDataframe[[#This Row],[scalarName]], co_scalarInfo[scalarName], 0 ) )</f>
        <v>Road Miles and Population Adjustment Factor (Proactive Adaptation)</v>
      </c>
      <c r="D1334" s="24" t="s">
        <v>1428</v>
      </c>
      <c r="E1334" s="17" t="s">
        <v>13</v>
      </c>
      <c r="F1334" s="25">
        <v>2030</v>
      </c>
      <c r="G1334" s="26">
        <v>1.0206574935257926</v>
      </c>
    </row>
    <row r="1335" spans="1:7" x14ac:dyDescent="0.35">
      <c r="A1335" s="9">
        <f xml:space="preserve"> ROW( scalarDataframe[[#This Row],[row_id]] ) - ROW( scalarDataframe[[#Headers],[row_id]] )</f>
        <v>1334</v>
      </c>
      <c r="B1335" s="16" t="str">
        <f xml:space="preserve"> INDEX( co_scalarInfo[scalarType], MATCH( scalarDataframe[[#This Row],[scalarName]],  co_scalarInfo[scalarName], 0 ) )</f>
        <v>damageAdj</v>
      </c>
      <c r="C1335" s="44" t="str">
        <f xml:space="preserve"> INDEX( co_scalarInfo[scalarLabel], MATCH( scalarDataframe[[#This Row],[scalarName]], co_scalarInfo[scalarName], 0 ) )</f>
        <v>Road Miles and Population Adjustment Factor (Proactive Adaptation)</v>
      </c>
      <c r="D1335" s="24" t="s">
        <v>1428</v>
      </c>
      <c r="E1335" s="17" t="s">
        <v>13</v>
      </c>
      <c r="F1335" s="25">
        <v>2035</v>
      </c>
      <c r="G1335" s="26">
        <v>1.0388483729036293</v>
      </c>
    </row>
    <row r="1336" spans="1:7" x14ac:dyDescent="0.35">
      <c r="A1336" s="9">
        <f xml:space="preserve"> ROW( scalarDataframe[[#This Row],[row_id]] ) - ROW( scalarDataframe[[#Headers],[row_id]] )</f>
        <v>1335</v>
      </c>
      <c r="B1336" s="16" t="str">
        <f xml:space="preserve"> INDEX( co_scalarInfo[scalarType], MATCH( scalarDataframe[[#This Row],[scalarName]],  co_scalarInfo[scalarName], 0 ) )</f>
        <v>damageAdj</v>
      </c>
      <c r="C1336" s="44" t="str">
        <f xml:space="preserve"> INDEX( co_scalarInfo[scalarLabel], MATCH( scalarDataframe[[#This Row],[scalarName]], co_scalarInfo[scalarName], 0 ) )</f>
        <v>Road Miles and Population Adjustment Factor (Proactive Adaptation)</v>
      </c>
      <c r="D1336" s="24" t="s">
        <v>1428</v>
      </c>
      <c r="E1336" s="17" t="s">
        <v>13</v>
      </c>
      <c r="F1336" s="25">
        <v>2040</v>
      </c>
      <c r="G1336" s="26">
        <v>1.0436872429560189</v>
      </c>
    </row>
    <row r="1337" spans="1:7" x14ac:dyDescent="0.35">
      <c r="A1337" s="9">
        <f xml:space="preserve"> ROW( scalarDataframe[[#This Row],[row_id]] ) - ROW( scalarDataframe[[#Headers],[row_id]] )</f>
        <v>1336</v>
      </c>
      <c r="B1337" s="16" t="str">
        <f xml:space="preserve"> INDEX( co_scalarInfo[scalarType], MATCH( scalarDataframe[[#This Row],[scalarName]],  co_scalarInfo[scalarName], 0 ) )</f>
        <v>damageAdj</v>
      </c>
      <c r="C1337" s="44" t="str">
        <f xml:space="preserve"> INDEX( co_scalarInfo[scalarLabel], MATCH( scalarDataframe[[#This Row],[scalarName]], co_scalarInfo[scalarName], 0 ) )</f>
        <v>Road Miles and Population Adjustment Factor (Proactive Adaptation)</v>
      </c>
      <c r="D1337" s="24" t="s">
        <v>1428</v>
      </c>
      <c r="E1337" s="17" t="s">
        <v>13</v>
      </c>
      <c r="F1337" s="25">
        <v>2045</v>
      </c>
      <c r="G1337" s="26">
        <v>1.0525715019238424</v>
      </c>
    </row>
    <row r="1338" spans="1:7" x14ac:dyDescent="0.35">
      <c r="A1338" s="9">
        <f xml:space="preserve"> ROW( scalarDataframe[[#This Row],[row_id]] ) - ROW( scalarDataframe[[#Headers],[row_id]] )</f>
        <v>1337</v>
      </c>
      <c r="B1338" s="16" t="str">
        <f xml:space="preserve"> INDEX( co_scalarInfo[scalarType], MATCH( scalarDataframe[[#This Row],[scalarName]],  co_scalarInfo[scalarName], 0 ) )</f>
        <v>damageAdj</v>
      </c>
      <c r="C1338" s="44" t="str">
        <f xml:space="preserve"> INDEX( co_scalarInfo[scalarLabel], MATCH( scalarDataframe[[#This Row],[scalarName]], co_scalarInfo[scalarName], 0 ) )</f>
        <v>Road Miles and Population Adjustment Factor (Proactive Adaptation)</v>
      </c>
      <c r="D1338" s="24" t="s">
        <v>1428</v>
      </c>
      <c r="E1338" s="17" t="s">
        <v>13</v>
      </c>
      <c r="F1338" s="25">
        <v>2050</v>
      </c>
      <c r="G1338" s="26">
        <v>1.050845951009528</v>
      </c>
    </row>
    <row r="1339" spans="1:7" x14ac:dyDescent="0.35">
      <c r="A1339" s="9">
        <f xml:space="preserve"> ROW( scalarDataframe[[#This Row],[row_id]] ) - ROW( scalarDataframe[[#Headers],[row_id]] )</f>
        <v>1338</v>
      </c>
      <c r="B1339" s="16" t="str">
        <f xml:space="preserve"> INDEX( co_scalarInfo[scalarType], MATCH( scalarDataframe[[#This Row],[scalarName]],  co_scalarInfo[scalarName], 0 ) )</f>
        <v>damageAdj</v>
      </c>
      <c r="C1339" s="44" t="str">
        <f xml:space="preserve"> INDEX( co_scalarInfo[scalarLabel], MATCH( scalarDataframe[[#This Row],[scalarName]], co_scalarInfo[scalarName], 0 ) )</f>
        <v>Road Miles and Population Adjustment Factor (Proactive Adaptation)</v>
      </c>
      <c r="D1339" s="24" t="s">
        <v>1428</v>
      </c>
      <c r="E1339" s="17" t="s">
        <v>13</v>
      </c>
      <c r="F1339" s="25">
        <v>2055</v>
      </c>
      <c r="G1339" s="26">
        <v>1.0745595328019095</v>
      </c>
    </row>
    <row r="1340" spans="1:7" x14ac:dyDescent="0.35">
      <c r="A1340" s="9">
        <f xml:space="preserve"> ROW( scalarDataframe[[#This Row],[row_id]] ) - ROW( scalarDataframe[[#Headers],[row_id]] )</f>
        <v>1339</v>
      </c>
      <c r="B1340" s="16" t="str">
        <f xml:space="preserve"> INDEX( co_scalarInfo[scalarType], MATCH( scalarDataframe[[#This Row],[scalarName]],  co_scalarInfo[scalarName], 0 ) )</f>
        <v>damageAdj</v>
      </c>
      <c r="C1340" s="44" t="str">
        <f xml:space="preserve"> INDEX( co_scalarInfo[scalarLabel], MATCH( scalarDataframe[[#This Row],[scalarName]], co_scalarInfo[scalarName], 0 ) )</f>
        <v>Road Miles and Population Adjustment Factor (Proactive Adaptation)</v>
      </c>
      <c r="D1340" s="24" t="s">
        <v>1428</v>
      </c>
      <c r="E1340" s="17" t="s">
        <v>13</v>
      </c>
      <c r="F1340" s="25">
        <v>2060</v>
      </c>
      <c r="G1340" s="26">
        <v>1.0746369955380113</v>
      </c>
    </row>
    <row r="1341" spans="1:7" x14ac:dyDescent="0.35">
      <c r="A1341" s="9">
        <f xml:space="preserve"> ROW( scalarDataframe[[#This Row],[row_id]] ) - ROW( scalarDataframe[[#Headers],[row_id]] )</f>
        <v>1340</v>
      </c>
      <c r="B1341" s="16" t="str">
        <f xml:space="preserve"> INDEX( co_scalarInfo[scalarType], MATCH( scalarDataframe[[#This Row],[scalarName]],  co_scalarInfo[scalarName], 0 ) )</f>
        <v>damageAdj</v>
      </c>
      <c r="C1341" s="44" t="str">
        <f xml:space="preserve"> INDEX( co_scalarInfo[scalarLabel], MATCH( scalarDataframe[[#This Row],[scalarName]], co_scalarInfo[scalarName], 0 ) )</f>
        <v>Road Miles and Population Adjustment Factor (Proactive Adaptation)</v>
      </c>
      <c r="D1341" s="24" t="s">
        <v>1428</v>
      </c>
      <c r="E1341" s="17" t="s">
        <v>13</v>
      </c>
      <c r="F1341" s="25">
        <v>2065</v>
      </c>
      <c r="G1341" s="26">
        <v>1.0830508901943572</v>
      </c>
    </row>
    <row r="1342" spans="1:7" x14ac:dyDescent="0.35">
      <c r="A1342" s="9">
        <f xml:space="preserve"> ROW( scalarDataframe[[#This Row],[row_id]] ) - ROW( scalarDataframe[[#Headers],[row_id]] )</f>
        <v>1341</v>
      </c>
      <c r="B1342" s="16" t="str">
        <f xml:space="preserve"> INDEX( co_scalarInfo[scalarType], MATCH( scalarDataframe[[#This Row],[scalarName]],  co_scalarInfo[scalarName], 0 ) )</f>
        <v>damageAdj</v>
      </c>
      <c r="C1342" s="44" t="str">
        <f xml:space="preserve"> INDEX( co_scalarInfo[scalarLabel], MATCH( scalarDataframe[[#This Row],[scalarName]], co_scalarInfo[scalarName], 0 ) )</f>
        <v>Road Miles and Population Adjustment Factor (Proactive Adaptation)</v>
      </c>
      <c r="D1342" s="24" t="s">
        <v>1428</v>
      </c>
      <c r="E1342" s="17" t="s">
        <v>13</v>
      </c>
      <c r="F1342" s="25">
        <v>2070</v>
      </c>
      <c r="G1342" s="26">
        <v>1.0757475627483419</v>
      </c>
    </row>
    <row r="1343" spans="1:7" x14ac:dyDescent="0.35">
      <c r="A1343" s="9">
        <f xml:space="preserve"> ROW( scalarDataframe[[#This Row],[row_id]] ) - ROW( scalarDataframe[[#Headers],[row_id]] )</f>
        <v>1342</v>
      </c>
      <c r="B1343" s="16" t="str">
        <f xml:space="preserve"> INDEX( co_scalarInfo[scalarType], MATCH( scalarDataframe[[#This Row],[scalarName]],  co_scalarInfo[scalarName], 0 ) )</f>
        <v>damageAdj</v>
      </c>
      <c r="C1343" s="44" t="str">
        <f xml:space="preserve"> INDEX( co_scalarInfo[scalarLabel], MATCH( scalarDataframe[[#This Row],[scalarName]], co_scalarInfo[scalarName], 0 ) )</f>
        <v>Road Miles and Population Adjustment Factor (Proactive Adaptation)</v>
      </c>
      <c r="D1343" s="24" t="s">
        <v>1428</v>
      </c>
      <c r="E1343" s="17" t="s">
        <v>13</v>
      </c>
      <c r="F1343" s="25">
        <v>2075</v>
      </c>
      <c r="G1343" s="26">
        <v>1.10624590109756</v>
      </c>
    </row>
    <row r="1344" spans="1:7" x14ac:dyDescent="0.35">
      <c r="A1344" s="9">
        <f xml:space="preserve"> ROW( scalarDataframe[[#This Row],[row_id]] ) - ROW( scalarDataframe[[#Headers],[row_id]] )</f>
        <v>1343</v>
      </c>
      <c r="B1344" s="16" t="str">
        <f xml:space="preserve"> INDEX( co_scalarInfo[scalarType], MATCH( scalarDataframe[[#This Row],[scalarName]],  co_scalarInfo[scalarName], 0 ) )</f>
        <v>damageAdj</v>
      </c>
      <c r="C1344" s="44" t="str">
        <f xml:space="preserve"> INDEX( co_scalarInfo[scalarLabel], MATCH( scalarDataframe[[#This Row],[scalarName]], co_scalarInfo[scalarName], 0 ) )</f>
        <v>Road Miles and Population Adjustment Factor (Proactive Adaptation)</v>
      </c>
      <c r="D1344" s="24" t="s">
        <v>1428</v>
      </c>
      <c r="E1344" s="17" t="s">
        <v>13</v>
      </c>
      <c r="F1344" s="25">
        <v>2080</v>
      </c>
      <c r="G1344" s="26">
        <v>1.1024977599543297</v>
      </c>
    </row>
    <row r="1345" spans="1:7" x14ac:dyDescent="0.35">
      <c r="A1345" s="9">
        <f xml:space="preserve"> ROW( scalarDataframe[[#This Row],[row_id]] ) - ROW( scalarDataframe[[#Headers],[row_id]] )</f>
        <v>1344</v>
      </c>
      <c r="B1345" s="16" t="str">
        <f xml:space="preserve"> INDEX( co_scalarInfo[scalarType], MATCH( scalarDataframe[[#This Row],[scalarName]],  co_scalarInfo[scalarName], 0 ) )</f>
        <v>damageAdj</v>
      </c>
      <c r="C1345" s="44" t="str">
        <f xml:space="preserve"> INDEX( co_scalarInfo[scalarLabel], MATCH( scalarDataframe[[#This Row],[scalarName]], co_scalarInfo[scalarName], 0 ) )</f>
        <v>Road Miles and Population Adjustment Factor (Proactive Adaptation)</v>
      </c>
      <c r="D1345" s="24" t="s">
        <v>1428</v>
      </c>
      <c r="E1345" s="17" t="s">
        <v>13</v>
      </c>
      <c r="F1345" s="25">
        <v>2085</v>
      </c>
      <c r="G1345" s="26">
        <v>1.1091345581185825</v>
      </c>
    </row>
    <row r="1346" spans="1:7" x14ac:dyDescent="0.35">
      <c r="A1346" s="9">
        <f xml:space="preserve"> ROW( scalarDataframe[[#This Row],[row_id]] ) - ROW( scalarDataframe[[#Headers],[row_id]] )</f>
        <v>1345</v>
      </c>
      <c r="B1346" s="16" t="str">
        <f xml:space="preserve"> INDEX( co_scalarInfo[scalarType], MATCH( scalarDataframe[[#This Row],[scalarName]],  co_scalarInfo[scalarName], 0 ) )</f>
        <v>damageAdj</v>
      </c>
      <c r="C1346" s="44" t="str">
        <f xml:space="preserve"> INDEX( co_scalarInfo[scalarLabel], MATCH( scalarDataframe[[#This Row],[scalarName]], co_scalarInfo[scalarName], 0 ) )</f>
        <v>Road Miles and Population Adjustment Factor (Proactive Adaptation)</v>
      </c>
      <c r="D1346" s="24" t="s">
        <v>1428</v>
      </c>
      <c r="E1346" s="17" t="s">
        <v>13</v>
      </c>
      <c r="F1346" s="25">
        <v>2090</v>
      </c>
      <c r="G1346" s="26">
        <v>1.0954806804616108</v>
      </c>
    </row>
    <row r="1347" spans="1:7" x14ac:dyDescent="0.35">
      <c r="A1347" s="9">
        <f xml:space="preserve"> ROW( scalarDataframe[[#This Row],[row_id]] ) - ROW( scalarDataframe[[#Headers],[row_id]] )</f>
        <v>1346</v>
      </c>
      <c r="B1347" s="16" t="str">
        <f xml:space="preserve"> INDEX( co_scalarInfo[scalarType], MATCH( scalarDataframe[[#This Row],[scalarName]],  co_scalarInfo[scalarName], 0 ) )</f>
        <v>damageAdj</v>
      </c>
      <c r="C1347" s="44" t="str">
        <f xml:space="preserve"> INDEX( co_scalarInfo[scalarLabel], MATCH( scalarDataframe[[#This Row],[scalarName]], co_scalarInfo[scalarName], 0 ) )</f>
        <v>Road Miles and Population Adjustment Factor (Proactive Adaptation)</v>
      </c>
      <c r="D1347" s="24" t="s">
        <v>1428</v>
      </c>
      <c r="E1347" s="17" t="s">
        <v>7</v>
      </c>
      <c r="F1347" s="25">
        <v>2010</v>
      </c>
      <c r="G1347" s="26">
        <v>0.99316624817819354</v>
      </c>
    </row>
    <row r="1348" spans="1:7" x14ac:dyDescent="0.35">
      <c r="A1348" s="9">
        <f xml:space="preserve"> ROW( scalarDataframe[[#This Row],[row_id]] ) - ROW( scalarDataframe[[#Headers],[row_id]] )</f>
        <v>1347</v>
      </c>
      <c r="B1348" s="16" t="str">
        <f xml:space="preserve"> INDEX( co_scalarInfo[scalarType], MATCH( scalarDataframe[[#This Row],[scalarName]],  co_scalarInfo[scalarName], 0 ) )</f>
        <v>damageAdj</v>
      </c>
      <c r="C1348" s="44" t="str">
        <f xml:space="preserve"> INDEX( co_scalarInfo[scalarLabel], MATCH( scalarDataframe[[#This Row],[scalarName]], co_scalarInfo[scalarName], 0 ) )</f>
        <v>Road Miles and Population Adjustment Factor (Proactive Adaptation)</v>
      </c>
      <c r="D1348" s="24" t="s">
        <v>1428</v>
      </c>
      <c r="E1348" s="17" t="s">
        <v>7</v>
      </c>
      <c r="F1348" s="25">
        <v>2015</v>
      </c>
      <c r="G1348" s="26">
        <v>0.99774239064012193</v>
      </c>
    </row>
    <row r="1349" spans="1:7" x14ac:dyDescent="0.35">
      <c r="A1349" s="9">
        <f xml:space="preserve"> ROW( scalarDataframe[[#This Row],[row_id]] ) - ROW( scalarDataframe[[#Headers],[row_id]] )</f>
        <v>1348</v>
      </c>
      <c r="B1349" s="16" t="str">
        <f xml:space="preserve"> INDEX( co_scalarInfo[scalarType], MATCH( scalarDataframe[[#This Row],[scalarName]],  co_scalarInfo[scalarName], 0 ) )</f>
        <v>damageAdj</v>
      </c>
      <c r="C1349" s="44" t="str">
        <f xml:space="preserve"> INDEX( co_scalarInfo[scalarLabel], MATCH( scalarDataframe[[#This Row],[scalarName]], co_scalarInfo[scalarName], 0 ) )</f>
        <v>Road Miles and Population Adjustment Factor (Proactive Adaptation)</v>
      </c>
      <c r="D1349" s="24" t="s">
        <v>1428</v>
      </c>
      <c r="E1349" s="17" t="s">
        <v>7</v>
      </c>
      <c r="F1349" s="25">
        <v>2020</v>
      </c>
      <c r="G1349" s="26">
        <v>1.0000599747899594</v>
      </c>
    </row>
    <row r="1350" spans="1:7" x14ac:dyDescent="0.35">
      <c r="A1350" s="9">
        <f xml:space="preserve"> ROW( scalarDataframe[[#This Row],[row_id]] ) - ROW( scalarDataframe[[#Headers],[row_id]] )</f>
        <v>1349</v>
      </c>
      <c r="B1350" s="16" t="str">
        <f xml:space="preserve"> INDEX( co_scalarInfo[scalarType], MATCH( scalarDataframe[[#This Row],[scalarName]],  co_scalarInfo[scalarName], 0 ) )</f>
        <v>damageAdj</v>
      </c>
      <c r="C1350" s="44" t="str">
        <f xml:space="preserve"> INDEX( co_scalarInfo[scalarLabel], MATCH( scalarDataframe[[#This Row],[scalarName]], co_scalarInfo[scalarName], 0 ) )</f>
        <v>Road Miles and Population Adjustment Factor (Proactive Adaptation)</v>
      </c>
      <c r="D1350" s="24" t="s">
        <v>1428</v>
      </c>
      <c r="E1350" s="17" t="s">
        <v>7</v>
      </c>
      <c r="F1350" s="25">
        <v>2025</v>
      </c>
      <c r="G1350" s="26">
        <v>1.0029434972529123</v>
      </c>
    </row>
    <row r="1351" spans="1:7" x14ac:dyDescent="0.35">
      <c r="A1351" s="9">
        <f xml:space="preserve"> ROW( scalarDataframe[[#This Row],[row_id]] ) - ROW( scalarDataframe[[#Headers],[row_id]] )</f>
        <v>1350</v>
      </c>
      <c r="B1351" s="16" t="str">
        <f xml:space="preserve"> INDEX( co_scalarInfo[scalarType], MATCH( scalarDataframe[[#This Row],[scalarName]],  co_scalarInfo[scalarName], 0 ) )</f>
        <v>damageAdj</v>
      </c>
      <c r="C1351" s="44" t="str">
        <f xml:space="preserve"> INDEX( co_scalarInfo[scalarLabel], MATCH( scalarDataframe[[#This Row],[scalarName]], co_scalarInfo[scalarName], 0 ) )</f>
        <v>Road Miles and Population Adjustment Factor (Proactive Adaptation)</v>
      </c>
      <c r="D1351" s="24" t="s">
        <v>1428</v>
      </c>
      <c r="E1351" s="17" t="s">
        <v>7</v>
      </c>
      <c r="F1351" s="25">
        <v>2030</v>
      </c>
      <c r="G1351" s="26">
        <v>1.0044452486192244</v>
      </c>
    </row>
    <row r="1352" spans="1:7" x14ac:dyDescent="0.35">
      <c r="A1352" s="9">
        <f xml:space="preserve"> ROW( scalarDataframe[[#This Row],[row_id]] ) - ROW( scalarDataframe[[#Headers],[row_id]] )</f>
        <v>1351</v>
      </c>
      <c r="B1352" s="16" t="str">
        <f xml:space="preserve"> INDEX( co_scalarInfo[scalarType], MATCH( scalarDataframe[[#This Row],[scalarName]],  co_scalarInfo[scalarName], 0 ) )</f>
        <v>damageAdj</v>
      </c>
      <c r="C1352" s="44" t="str">
        <f xml:space="preserve"> INDEX( co_scalarInfo[scalarLabel], MATCH( scalarDataframe[[#This Row],[scalarName]], co_scalarInfo[scalarName], 0 ) )</f>
        <v>Road Miles and Population Adjustment Factor (Proactive Adaptation)</v>
      </c>
      <c r="D1352" s="24" t="s">
        <v>1428</v>
      </c>
      <c r="E1352" s="17" t="s">
        <v>7</v>
      </c>
      <c r="F1352" s="25">
        <v>2035</v>
      </c>
      <c r="G1352" s="26">
        <v>1.0101530881365701</v>
      </c>
    </row>
    <row r="1353" spans="1:7" x14ac:dyDescent="0.35">
      <c r="A1353" s="9">
        <f xml:space="preserve"> ROW( scalarDataframe[[#This Row],[row_id]] ) - ROW( scalarDataframe[[#Headers],[row_id]] )</f>
        <v>1352</v>
      </c>
      <c r="B1353" s="16" t="str">
        <f xml:space="preserve"> INDEX( co_scalarInfo[scalarType], MATCH( scalarDataframe[[#This Row],[scalarName]],  co_scalarInfo[scalarName], 0 ) )</f>
        <v>damageAdj</v>
      </c>
      <c r="C1353" s="44" t="str">
        <f xml:space="preserve"> INDEX( co_scalarInfo[scalarLabel], MATCH( scalarDataframe[[#This Row],[scalarName]], co_scalarInfo[scalarName], 0 ) )</f>
        <v>Road Miles and Population Adjustment Factor (Proactive Adaptation)</v>
      </c>
      <c r="D1353" s="24" t="s">
        <v>1428</v>
      </c>
      <c r="E1353" s="17" t="s">
        <v>7</v>
      </c>
      <c r="F1353" s="25">
        <v>2040</v>
      </c>
      <c r="G1353" s="26">
        <v>1.0111397074768396</v>
      </c>
    </row>
    <row r="1354" spans="1:7" x14ac:dyDescent="0.35">
      <c r="A1354" s="9">
        <f xml:space="preserve"> ROW( scalarDataframe[[#This Row],[row_id]] ) - ROW( scalarDataframe[[#Headers],[row_id]] )</f>
        <v>1353</v>
      </c>
      <c r="B1354" s="16" t="str">
        <f xml:space="preserve"> INDEX( co_scalarInfo[scalarType], MATCH( scalarDataframe[[#This Row],[scalarName]],  co_scalarInfo[scalarName], 0 ) )</f>
        <v>damageAdj</v>
      </c>
      <c r="C1354" s="44" t="str">
        <f xml:space="preserve"> INDEX( co_scalarInfo[scalarLabel], MATCH( scalarDataframe[[#This Row],[scalarName]], co_scalarInfo[scalarName], 0 ) )</f>
        <v>Road Miles and Population Adjustment Factor (Proactive Adaptation)</v>
      </c>
      <c r="D1354" s="24" t="s">
        <v>1428</v>
      </c>
      <c r="E1354" s="17" t="s">
        <v>7</v>
      </c>
      <c r="F1354" s="25">
        <v>2045</v>
      </c>
      <c r="G1354" s="26">
        <v>1.007266685107016</v>
      </c>
    </row>
    <row r="1355" spans="1:7" x14ac:dyDescent="0.35">
      <c r="A1355" s="9">
        <f xml:space="preserve"> ROW( scalarDataframe[[#This Row],[row_id]] ) - ROW( scalarDataframe[[#Headers],[row_id]] )</f>
        <v>1354</v>
      </c>
      <c r="B1355" s="16" t="str">
        <f xml:space="preserve"> INDEX( co_scalarInfo[scalarType], MATCH( scalarDataframe[[#This Row],[scalarName]],  co_scalarInfo[scalarName], 0 ) )</f>
        <v>damageAdj</v>
      </c>
      <c r="C1355" s="44" t="str">
        <f xml:space="preserve"> INDEX( co_scalarInfo[scalarLabel], MATCH( scalarDataframe[[#This Row],[scalarName]], co_scalarInfo[scalarName], 0 ) )</f>
        <v>Road Miles and Population Adjustment Factor (Proactive Adaptation)</v>
      </c>
      <c r="D1355" s="24" t="s">
        <v>1428</v>
      </c>
      <c r="E1355" s="17" t="s">
        <v>7</v>
      </c>
      <c r="F1355" s="25">
        <v>2050</v>
      </c>
      <c r="G1355" s="26">
        <v>1.0084155713537843</v>
      </c>
    </row>
    <row r="1356" spans="1:7" x14ac:dyDescent="0.35">
      <c r="A1356" s="9">
        <f xml:space="preserve"> ROW( scalarDataframe[[#This Row],[row_id]] ) - ROW( scalarDataframe[[#Headers],[row_id]] )</f>
        <v>1355</v>
      </c>
      <c r="B1356" s="16" t="str">
        <f xml:space="preserve"> INDEX( co_scalarInfo[scalarType], MATCH( scalarDataframe[[#This Row],[scalarName]],  co_scalarInfo[scalarName], 0 ) )</f>
        <v>damageAdj</v>
      </c>
      <c r="C1356" s="44" t="str">
        <f xml:space="preserve"> INDEX( co_scalarInfo[scalarLabel], MATCH( scalarDataframe[[#This Row],[scalarName]], co_scalarInfo[scalarName], 0 ) )</f>
        <v>Road Miles and Population Adjustment Factor (Proactive Adaptation)</v>
      </c>
      <c r="D1356" s="24" t="s">
        <v>1428</v>
      </c>
      <c r="E1356" s="17" t="s">
        <v>7</v>
      </c>
      <c r="F1356" s="25">
        <v>2055</v>
      </c>
      <c r="G1356" s="26">
        <v>1.0152942350056824</v>
      </c>
    </row>
    <row r="1357" spans="1:7" x14ac:dyDescent="0.35">
      <c r="A1357" s="9">
        <f xml:space="preserve"> ROW( scalarDataframe[[#This Row],[row_id]] ) - ROW( scalarDataframe[[#Headers],[row_id]] )</f>
        <v>1356</v>
      </c>
      <c r="B1357" s="16" t="str">
        <f xml:space="preserve"> INDEX( co_scalarInfo[scalarType], MATCH( scalarDataframe[[#This Row],[scalarName]],  co_scalarInfo[scalarName], 0 ) )</f>
        <v>damageAdj</v>
      </c>
      <c r="C1357" s="44" t="str">
        <f xml:space="preserve"> INDEX( co_scalarInfo[scalarLabel], MATCH( scalarDataframe[[#This Row],[scalarName]], co_scalarInfo[scalarName], 0 ) )</f>
        <v>Road Miles and Population Adjustment Factor (Proactive Adaptation)</v>
      </c>
      <c r="D1357" s="24" t="s">
        <v>1428</v>
      </c>
      <c r="E1357" s="17" t="s">
        <v>7</v>
      </c>
      <c r="F1357" s="25">
        <v>2060</v>
      </c>
      <c r="G1357" s="26">
        <v>1.015971554168188</v>
      </c>
    </row>
    <row r="1358" spans="1:7" x14ac:dyDescent="0.35">
      <c r="A1358" s="9">
        <f xml:space="preserve"> ROW( scalarDataframe[[#This Row],[row_id]] ) - ROW( scalarDataframe[[#Headers],[row_id]] )</f>
        <v>1357</v>
      </c>
      <c r="B1358" s="16" t="str">
        <f xml:space="preserve"> INDEX( co_scalarInfo[scalarType], MATCH( scalarDataframe[[#This Row],[scalarName]],  co_scalarInfo[scalarName], 0 ) )</f>
        <v>damageAdj</v>
      </c>
      <c r="C1358" s="44" t="str">
        <f xml:space="preserve"> INDEX( co_scalarInfo[scalarLabel], MATCH( scalarDataframe[[#This Row],[scalarName]], co_scalarInfo[scalarName], 0 ) )</f>
        <v>Road Miles and Population Adjustment Factor (Proactive Adaptation)</v>
      </c>
      <c r="D1358" s="24" t="s">
        <v>1428</v>
      </c>
      <c r="E1358" s="17" t="s">
        <v>7</v>
      </c>
      <c r="F1358" s="25">
        <v>2065</v>
      </c>
      <c r="G1358" s="26">
        <v>1.0091895081799214</v>
      </c>
    </row>
    <row r="1359" spans="1:7" x14ac:dyDescent="0.35">
      <c r="A1359" s="9">
        <f xml:space="preserve"> ROW( scalarDataframe[[#This Row],[row_id]] ) - ROW( scalarDataframe[[#Headers],[row_id]] )</f>
        <v>1358</v>
      </c>
      <c r="B1359" s="16" t="str">
        <f xml:space="preserve"> INDEX( co_scalarInfo[scalarType], MATCH( scalarDataframe[[#This Row],[scalarName]],  co_scalarInfo[scalarName], 0 ) )</f>
        <v>damageAdj</v>
      </c>
      <c r="C1359" s="44" t="str">
        <f xml:space="preserve"> INDEX( co_scalarInfo[scalarLabel], MATCH( scalarDataframe[[#This Row],[scalarName]], co_scalarInfo[scalarName], 0 ) )</f>
        <v>Road Miles and Population Adjustment Factor (Proactive Adaptation)</v>
      </c>
      <c r="D1359" s="24" t="s">
        <v>1428</v>
      </c>
      <c r="E1359" s="17" t="s">
        <v>7</v>
      </c>
      <c r="F1359" s="25">
        <v>2070</v>
      </c>
      <c r="G1359" s="26">
        <v>1.011045303883108</v>
      </c>
    </row>
    <row r="1360" spans="1:7" x14ac:dyDescent="0.35">
      <c r="A1360" s="9">
        <f xml:space="preserve"> ROW( scalarDataframe[[#This Row],[row_id]] ) - ROW( scalarDataframe[[#Headers],[row_id]] )</f>
        <v>1359</v>
      </c>
      <c r="B1360" s="16" t="str">
        <f xml:space="preserve"> INDEX( co_scalarInfo[scalarType], MATCH( scalarDataframe[[#This Row],[scalarName]],  co_scalarInfo[scalarName], 0 ) )</f>
        <v>damageAdj</v>
      </c>
      <c r="C1360" s="44" t="str">
        <f xml:space="preserve"> INDEX( co_scalarInfo[scalarLabel], MATCH( scalarDataframe[[#This Row],[scalarName]], co_scalarInfo[scalarName], 0 ) )</f>
        <v>Road Miles and Population Adjustment Factor (Proactive Adaptation)</v>
      </c>
      <c r="D1360" s="24" t="s">
        <v>1428</v>
      </c>
      <c r="E1360" s="17" t="s">
        <v>7</v>
      </c>
      <c r="F1360" s="25">
        <v>2075</v>
      </c>
      <c r="G1360" s="26">
        <v>1.0200506046091418</v>
      </c>
    </row>
    <row r="1361" spans="1:7" x14ac:dyDescent="0.35">
      <c r="A1361" s="9">
        <f xml:space="preserve"> ROW( scalarDataframe[[#This Row],[row_id]] ) - ROW( scalarDataframe[[#Headers],[row_id]] )</f>
        <v>1360</v>
      </c>
      <c r="B1361" s="16" t="str">
        <f xml:space="preserve"> INDEX( co_scalarInfo[scalarType], MATCH( scalarDataframe[[#This Row],[scalarName]],  co_scalarInfo[scalarName], 0 ) )</f>
        <v>damageAdj</v>
      </c>
      <c r="C1361" s="44" t="str">
        <f xml:space="preserve"> INDEX( co_scalarInfo[scalarLabel], MATCH( scalarDataframe[[#This Row],[scalarName]], co_scalarInfo[scalarName], 0 ) )</f>
        <v>Road Miles and Population Adjustment Factor (Proactive Adaptation)</v>
      </c>
      <c r="D1361" s="24" t="s">
        <v>1428</v>
      </c>
      <c r="E1361" s="17" t="s">
        <v>7</v>
      </c>
      <c r="F1361" s="25">
        <v>2080</v>
      </c>
      <c r="G1361" s="26">
        <v>1.0205971477048312</v>
      </c>
    </row>
    <row r="1362" spans="1:7" x14ac:dyDescent="0.35">
      <c r="A1362" s="9">
        <f xml:space="preserve"> ROW( scalarDataframe[[#This Row],[row_id]] ) - ROW( scalarDataframe[[#Headers],[row_id]] )</f>
        <v>1361</v>
      </c>
      <c r="B1362" s="16" t="str">
        <f xml:space="preserve"> INDEX( co_scalarInfo[scalarType], MATCH( scalarDataframe[[#This Row],[scalarName]],  co_scalarInfo[scalarName], 0 ) )</f>
        <v>damageAdj</v>
      </c>
      <c r="C1362" s="44" t="str">
        <f xml:space="preserve"> INDEX( co_scalarInfo[scalarLabel], MATCH( scalarDataframe[[#This Row],[scalarName]], co_scalarInfo[scalarName], 0 ) )</f>
        <v>Road Miles and Population Adjustment Factor (Proactive Adaptation)</v>
      </c>
      <c r="D1362" s="24" t="s">
        <v>1428</v>
      </c>
      <c r="E1362" s="17" t="s">
        <v>7</v>
      </c>
      <c r="F1362" s="25">
        <v>2085</v>
      </c>
      <c r="G1362" s="26">
        <v>1.0110655755411129</v>
      </c>
    </row>
    <row r="1363" spans="1:7" x14ac:dyDescent="0.35">
      <c r="A1363" s="9">
        <f xml:space="preserve"> ROW( scalarDataframe[[#This Row],[row_id]] ) - ROW( scalarDataframe[[#Headers],[row_id]] )</f>
        <v>1362</v>
      </c>
      <c r="B1363" s="16" t="str">
        <f xml:space="preserve"> INDEX( co_scalarInfo[scalarType], MATCH( scalarDataframe[[#This Row],[scalarName]],  co_scalarInfo[scalarName], 0 ) )</f>
        <v>damageAdj</v>
      </c>
      <c r="C1363" s="44" t="str">
        <f xml:space="preserve"> INDEX( co_scalarInfo[scalarLabel], MATCH( scalarDataframe[[#This Row],[scalarName]], co_scalarInfo[scalarName], 0 ) )</f>
        <v>Road Miles and Population Adjustment Factor (Proactive Adaptation)</v>
      </c>
      <c r="D1363" s="24" t="s">
        <v>1428</v>
      </c>
      <c r="E1363" s="17" t="s">
        <v>7</v>
      </c>
      <c r="F1363" s="25">
        <v>2090</v>
      </c>
      <c r="G1363" s="26">
        <v>1.0135237197755664</v>
      </c>
    </row>
    <row r="1364" spans="1:7" x14ac:dyDescent="0.35">
      <c r="A1364" s="9">
        <f xml:space="preserve"> ROW( scalarDataframe[[#This Row],[row_id]] ) - ROW( scalarDataframe[[#Headers],[row_id]] )</f>
        <v>1363</v>
      </c>
      <c r="B1364" s="16" t="str">
        <f xml:space="preserve"> INDEX( co_scalarInfo[scalarType], MATCH( scalarDataframe[[#This Row],[scalarName]],  co_scalarInfo[scalarName], 0 ) )</f>
        <v>damageAdj</v>
      </c>
      <c r="C1364" s="44" t="str">
        <f xml:space="preserve"> INDEX( co_scalarInfo[scalarLabel], MATCH( scalarDataframe[[#This Row],[scalarName]], co_scalarInfo[scalarName], 0 ) )</f>
        <v>Road Miles and Population Adjustment Factor (Proactive Adaptation)</v>
      </c>
      <c r="D1364" s="24" t="s">
        <v>1428</v>
      </c>
      <c r="E1364" s="17" t="s">
        <v>8</v>
      </c>
      <c r="F1364" s="25">
        <v>2010</v>
      </c>
      <c r="G1364" s="26">
        <v>0.99168132488861971</v>
      </c>
    </row>
    <row r="1365" spans="1:7" x14ac:dyDescent="0.35">
      <c r="A1365" s="9">
        <f xml:space="preserve"> ROW( scalarDataframe[[#This Row],[row_id]] ) - ROW( scalarDataframe[[#Headers],[row_id]] )</f>
        <v>1364</v>
      </c>
      <c r="B1365" s="16" t="str">
        <f xml:space="preserve"> INDEX( co_scalarInfo[scalarType], MATCH( scalarDataframe[[#This Row],[scalarName]],  co_scalarInfo[scalarName], 0 ) )</f>
        <v>damageAdj</v>
      </c>
      <c r="C1365" s="44" t="str">
        <f xml:space="preserve"> INDEX( co_scalarInfo[scalarLabel], MATCH( scalarDataframe[[#This Row],[scalarName]], co_scalarInfo[scalarName], 0 ) )</f>
        <v>Road Miles and Population Adjustment Factor (Proactive Adaptation)</v>
      </c>
      <c r="D1365" s="24" t="s">
        <v>1428</v>
      </c>
      <c r="E1365" s="17" t="s">
        <v>8</v>
      </c>
      <c r="F1365" s="25">
        <v>2015</v>
      </c>
      <c r="G1365" s="26">
        <v>0.99683932077544535</v>
      </c>
    </row>
    <row r="1366" spans="1:7" x14ac:dyDescent="0.35">
      <c r="A1366" s="9">
        <f xml:space="preserve"> ROW( scalarDataframe[[#This Row],[row_id]] ) - ROW( scalarDataframe[[#Headers],[row_id]] )</f>
        <v>1365</v>
      </c>
      <c r="B1366" s="16" t="str">
        <f xml:space="preserve"> INDEX( co_scalarInfo[scalarType], MATCH( scalarDataframe[[#This Row],[scalarName]],  co_scalarInfo[scalarName], 0 ) )</f>
        <v>damageAdj</v>
      </c>
      <c r="C1366" s="44" t="str">
        <f xml:space="preserve"> INDEX( co_scalarInfo[scalarLabel], MATCH( scalarDataframe[[#This Row],[scalarName]], co_scalarInfo[scalarName], 0 ) )</f>
        <v>Road Miles and Population Adjustment Factor (Proactive Adaptation)</v>
      </c>
      <c r="D1366" s="24" t="s">
        <v>1428</v>
      </c>
      <c r="E1366" s="17" t="s">
        <v>8</v>
      </c>
      <c r="F1366" s="25">
        <v>2020</v>
      </c>
      <c r="G1366" s="26">
        <v>1.0021107823774307</v>
      </c>
    </row>
    <row r="1367" spans="1:7" x14ac:dyDescent="0.35">
      <c r="A1367" s="9">
        <f xml:space="preserve"> ROW( scalarDataframe[[#This Row],[row_id]] ) - ROW( scalarDataframe[[#Headers],[row_id]] )</f>
        <v>1366</v>
      </c>
      <c r="B1367" s="16" t="str">
        <f xml:space="preserve"> INDEX( co_scalarInfo[scalarType], MATCH( scalarDataframe[[#This Row],[scalarName]],  co_scalarInfo[scalarName], 0 ) )</f>
        <v>damageAdj</v>
      </c>
      <c r="C1367" s="44" t="str">
        <f xml:space="preserve"> INDEX( co_scalarInfo[scalarLabel], MATCH( scalarDataframe[[#This Row],[scalarName]], co_scalarInfo[scalarName], 0 ) )</f>
        <v>Road Miles and Population Adjustment Factor (Proactive Adaptation)</v>
      </c>
      <c r="D1367" s="24" t="s">
        <v>1428</v>
      </c>
      <c r="E1367" s="17" t="s">
        <v>8</v>
      </c>
      <c r="F1367" s="25">
        <v>2025</v>
      </c>
      <c r="G1367" s="26">
        <v>1.0086573560287846</v>
      </c>
    </row>
    <row r="1368" spans="1:7" x14ac:dyDescent="0.35">
      <c r="A1368" s="9">
        <f xml:space="preserve"> ROW( scalarDataframe[[#This Row],[row_id]] ) - ROW( scalarDataframe[[#Headers],[row_id]] )</f>
        <v>1367</v>
      </c>
      <c r="B1368" s="16" t="str">
        <f xml:space="preserve"> INDEX( co_scalarInfo[scalarType], MATCH( scalarDataframe[[#This Row],[scalarName]],  co_scalarInfo[scalarName], 0 ) )</f>
        <v>damageAdj</v>
      </c>
      <c r="C1368" s="44" t="str">
        <f xml:space="preserve"> INDEX( co_scalarInfo[scalarLabel], MATCH( scalarDataframe[[#This Row],[scalarName]], co_scalarInfo[scalarName], 0 ) )</f>
        <v>Road Miles and Population Adjustment Factor (Proactive Adaptation)</v>
      </c>
      <c r="D1368" s="24" t="s">
        <v>1428</v>
      </c>
      <c r="E1368" s="17" t="s">
        <v>8</v>
      </c>
      <c r="F1368" s="25">
        <v>2030</v>
      </c>
      <c r="G1368" s="26">
        <v>1.0140272126807266</v>
      </c>
    </row>
    <row r="1369" spans="1:7" x14ac:dyDescent="0.35">
      <c r="A1369" s="9">
        <f xml:space="preserve"> ROW( scalarDataframe[[#This Row],[row_id]] ) - ROW( scalarDataframe[[#Headers],[row_id]] )</f>
        <v>1368</v>
      </c>
      <c r="B1369" s="16" t="str">
        <f xml:space="preserve"> INDEX( co_scalarInfo[scalarType], MATCH( scalarDataframe[[#This Row],[scalarName]],  co_scalarInfo[scalarName], 0 ) )</f>
        <v>damageAdj</v>
      </c>
      <c r="C1369" s="44" t="str">
        <f xml:space="preserve"> INDEX( co_scalarInfo[scalarLabel], MATCH( scalarDataframe[[#This Row],[scalarName]], co_scalarInfo[scalarName], 0 ) )</f>
        <v>Road Miles and Population Adjustment Factor (Proactive Adaptation)</v>
      </c>
      <c r="D1369" s="24" t="s">
        <v>1428</v>
      </c>
      <c r="E1369" s="17" t="s">
        <v>8</v>
      </c>
      <c r="F1369" s="25">
        <v>2035</v>
      </c>
      <c r="G1369" s="26">
        <v>1.0174701751653472</v>
      </c>
    </row>
    <row r="1370" spans="1:7" x14ac:dyDescent="0.35">
      <c r="A1370" s="9">
        <f xml:space="preserve"> ROW( scalarDataframe[[#This Row],[row_id]] ) - ROW( scalarDataframe[[#Headers],[row_id]] )</f>
        <v>1369</v>
      </c>
      <c r="B1370" s="16" t="str">
        <f xml:space="preserve"> INDEX( co_scalarInfo[scalarType], MATCH( scalarDataframe[[#This Row],[scalarName]],  co_scalarInfo[scalarName], 0 ) )</f>
        <v>damageAdj</v>
      </c>
      <c r="C1370" s="44" t="str">
        <f xml:space="preserve"> INDEX( co_scalarInfo[scalarLabel], MATCH( scalarDataframe[[#This Row],[scalarName]], co_scalarInfo[scalarName], 0 ) )</f>
        <v>Road Miles and Population Adjustment Factor (Proactive Adaptation)</v>
      </c>
      <c r="D1370" s="24" t="s">
        <v>1428</v>
      </c>
      <c r="E1370" s="17" t="s">
        <v>8</v>
      </c>
      <c r="F1370" s="25">
        <v>2040</v>
      </c>
      <c r="G1370" s="26">
        <v>1.0188598452900142</v>
      </c>
    </row>
    <row r="1371" spans="1:7" x14ac:dyDescent="0.35">
      <c r="A1371" s="9">
        <f xml:space="preserve"> ROW( scalarDataframe[[#This Row],[row_id]] ) - ROW( scalarDataframe[[#Headers],[row_id]] )</f>
        <v>1370</v>
      </c>
      <c r="B1371" s="16" t="str">
        <f xml:space="preserve"> INDEX( co_scalarInfo[scalarType], MATCH( scalarDataframe[[#This Row],[scalarName]],  co_scalarInfo[scalarName], 0 ) )</f>
        <v>damageAdj</v>
      </c>
      <c r="C1371" s="44" t="str">
        <f xml:space="preserve"> INDEX( co_scalarInfo[scalarLabel], MATCH( scalarDataframe[[#This Row],[scalarName]], co_scalarInfo[scalarName], 0 ) )</f>
        <v>Road Miles and Population Adjustment Factor (Proactive Adaptation)</v>
      </c>
      <c r="D1371" s="24" t="s">
        <v>1428</v>
      </c>
      <c r="E1371" s="17" t="s">
        <v>8</v>
      </c>
      <c r="F1371" s="25">
        <v>2045</v>
      </c>
      <c r="G1371" s="26">
        <v>1.0271928957082805</v>
      </c>
    </row>
    <row r="1372" spans="1:7" x14ac:dyDescent="0.35">
      <c r="A1372" s="9">
        <f xml:space="preserve"> ROW( scalarDataframe[[#This Row],[row_id]] ) - ROW( scalarDataframe[[#Headers],[row_id]] )</f>
        <v>1371</v>
      </c>
      <c r="B1372" s="16" t="str">
        <f xml:space="preserve"> INDEX( co_scalarInfo[scalarType], MATCH( scalarDataframe[[#This Row],[scalarName]],  co_scalarInfo[scalarName], 0 ) )</f>
        <v>damageAdj</v>
      </c>
      <c r="C1372" s="44" t="str">
        <f xml:space="preserve"> INDEX( co_scalarInfo[scalarLabel], MATCH( scalarDataframe[[#This Row],[scalarName]], co_scalarInfo[scalarName], 0 ) )</f>
        <v>Road Miles and Population Adjustment Factor (Proactive Adaptation)</v>
      </c>
      <c r="D1372" s="24" t="s">
        <v>1428</v>
      </c>
      <c r="E1372" s="17" t="s">
        <v>8</v>
      </c>
      <c r="F1372" s="25">
        <v>2050</v>
      </c>
      <c r="G1372" s="26">
        <v>1.0321797371557961</v>
      </c>
    </row>
    <row r="1373" spans="1:7" x14ac:dyDescent="0.35">
      <c r="A1373" s="9">
        <f xml:space="preserve"> ROW( scalarDataframe[[#This Row],[row_id]] ) - ROW( scalarDataframe[[#Headers],[row_id]] )</f>
        <v>1372</v>
      </c>
      <c r="B1373" s="16" t="str">
        <f xml:space="preserve"> INDEX( co_scalarInfo[scalarType], MATCH( scalarDataframe[[#This Row],[scalarName]],  co_scalarInfo[scalarName], 0 ) )</f>
        <v>damageAdj</v>
      </c>
      <c r="C1373" s="44" t="str">
        <f xml:space="preserve"> INDEX( co_scalarInfo[scalarLabel], MATCH( scalarDataframe[[#This Row],[scalarName]], co_scalarInfo[scalarName], 0 ) )</f>
        <v>Road Miles and Population Adjustment Factor (Proactive Adaptation)</v>
      </c>
      <c r="D1373" s="24" t="s">
        <v>1428</v>
      </c>
      <c r="E1373" s="17" t="s">
        <v>8</v>
      </c>
      <c r="F1373" s="25">
        <v>2055</v>
      </c>
      <c r="G1373" s="26">
        <v>1.029512113874856</v>
      </c>
    </row>
    <row r="1374" spans="1:7" x14ac:dyDescent="0.35">
      <c r="A1374" s="9">
        <f xml:space="preserve"> ROW( scalarDataframe[[#This Row],[row_id]] ) - ROW( scalarDataframe[[#Headers],[row_id]] )</f>
        <v>1373</v>
      </c>
      <c r="B1374" s="16" t="str">
        <f xml:space="preserve"> INDEX( co_scalarInfo[scalarType], MATCH( scalarDataframe[[#This Row],[scalarName]],  co_scalarInfo[scalarName], 0 ) )</f>
        <v>damageAdj</v>
      </c>
      <c r="C1374" s="44" t="str">
        <f xml:space="preserve"> INDEX( co_scalarInfo[scalarLabel], MATCH( scalarDataframe[[#This Row],[scalarName]], co_scalarInfo[scalarName], 0 ) )</f>
        <v>Road Miles and Population Adjustment Factor (Proactive Adaptation)</v>
      </c>
      <c r="D1374" s="24" t="s">
        <v>1428</v>
      </c>
      <c r="E1374" s="17" t="s">
        <v>8</v>
      </c>
      <c r="F1374" s="25">
        <v>2060</v>
      </c>
      <c r="G1374" s="26">
        <v>1.0281413792155734</v>
      </c>
    </row>
    <row r="1375" spans="1:7" x14ac:dyDescent="0.35">
      <c r="A1375" s="9">
        <f xml:space="preserve"> ROW( scalarDataframe[[#This Row],[row_id]] ) - ROW( scalarDataframe[[#Headers],[row_id]] )</f>
        <v>1374</v>
      </c>
      <c r="B1375" s="16" t="str">
        <f xml:space="preserve"> INDEX( co_scalarInfo[scalarType], MATCH( scalarDataframe[[#This Row],[scalarName]],  co_scalarInfo[scalarName], 0 ) )</f>
        <v>damageAdj</v>
      </c>
      <c r="C1375" s="44" t="str">
        <f xml:space="preserve"> INDEX( co_scalarInfo[scalarLabel], MATCH( scalarDataframe[[#This Row],[scalarName]], co_scalarInfo[scalarName], 0 ) )</f>
        <v>Road Miles and Population Adjustment Factor (Proactive Adaptation)</v>
      </c>
      <c r="D1375" s="24" t="s">
        <v>1428</v>
      </c>
      <c r="E1375" s="17" t="s">
        <v>8</v>
      </c>
      <c r="F1375" s="25">
        <v>2065</v>
      </c>
      <c r="G1375" s="26">
        <v>1.0399927051844884</v>
      </c>
    </row>
    <row r="1376" spans="1:7" x14ac:dyDescent="0.35">
      <c r="A1376" s="9">
        <f xml:space="preserve"> ROW( scalarDataframe[[#This Row],[row_id]] ) - ROW( scalarDataframe[[#Headers],[row_id]] )</f>
        <v>1375</v>
      </c>
      <c r="B1376" s="16" t="str">
        <f xml:space="preserve"> INDEX( co_scalarInfo[scalarType], MATCH( scalarDataframe[[#This Row],[scalarName]],  co_scalarInfo[scalarName], 0 ) )</f>
        <v>damageAdj</v>
      </c>
      <c r="C1376" s="44" t="str">
        <f xml:space="preserve"> INDEX( co_scalarInfo[scalarLabel], MATCH( scalarDataframe[[#This Row],[scalarName]], co_scalarInfo[scalarName], 0 ) )</f>
        <v>Road Miles and Population Adjustment Factor (Proactive Adaptation)</v>
      </c>
      <c r="D1376" s="24" t="s">
        <v>1428</v>
      </c>
      <c r="E1376" s="17" t="s">
        <v>8</v>
      </c>
      <c r="F1376" s="25">
        <v>2070</v>
      </c>
      <c r="G1376" s="26">
        <v>1.0467617948464771</v>
      </c>
    </row>
    <row r="1377" spans="1:7" x14ac:dyDescent="0.35">
      <c r="A1377" s="9">
        <f xml:space="preserve"> ROW( scalarDataframe[[#This Row],[row_id]] ) - ROW( scalarDataframe[[#Headers],[row_id]] )</f>
        <v>1376</v>
      </c>
      <c r="B1377" s="16" t="str">
        <f xml:space="preserve"> INDEX( co_scalarInfo[scalarType], MATCH( scalarDataframe[[#This Row],[scalarName]],  co_scalarInfo[scalarName], 0 ) )</f>
        <v>damageAdj</v>
      </c>
      <c r="C1377" s="44" t="str">
        <f xml:space="preserve"> INDEX( co_scalarInfo[scalarLabel], MATCH( scalarDataframe[[#This Row],[scalarName]], co_scalarInfo[scalarName], 0 ) )</f>
        <v>Road Miles and Population Adjustment Factor (Proactive Adaptation)</v>
      </c>
      <c r="D1377" s="24" t="s">
        <v>1428</v>
      </c>
      <c r="E1377" s="17" t="s">
        <v>8</v>
      </c>
      <c r="F1377" s="25">
        <v>2075</v>
      </c>
      <c r="G1377" s="26">
        <v>1.0405689482034703</v>
      </c>
    </row>
    <row r="1378" spans="1:7" x14ac:dyDescent="0.35">
      <c r="A1378" s="9">
        <f xml:space="preserve"> ROW( scalarDataframe[[#This Row],[row_id]] ) - ROW( scalarDataframe[[#Headers],[row_id]] )</f>
        <v>1377</v>
      </c>
      <c r="B1378" s="16" t="str">
        <f xml:space="preserve"> INDEX( co_scalarInfo[scalarType], MATCH( scalarDataframe[[#This Row],[scalarName]],  co_scalarInfo[scalarName], 0 ) )</f>
        <v>damageAdj</v>
      </c>
      <c r="C1378" s="44" t="str">
        <f xml:space="preserve"> INDEX( co_scalarInfo[scalarLabel], MATCH( scalarDataframe[[#This Row],[scalarName]], co_scalarInfo[scalarName], 0 ) )</f>
        <v>Road Miles and Population Adjustment Factor (Proactive Adaptation)</v>
      </c>
      <c r="D1378" s="24" t="s">
        <v>1428</v>
      </c>
      <c r="E1378" s="17" t="s">
        <v>8</v>
      </c>
      <c r="F1378" s="25">
        <v>2080</v>
      </c>
      <c r="G1378" s="26">
        <v>1.0370678359256502</v>
      </c>
    </row>
    <row r="1379" spans="1:7" x14ac:dyDescent="0.35">
      <c r="A1379" s="9">
        <f xml:space="preserve"> ROW( scalarDataframe[[#This Row],[row_id]] ) - ROW( scalarDataframe[[#Headers],[row_id]] )</f>
        <v>1378</v>
      </c>
      <c r="B1379" s="16" t="str">
        <f xml:space="preserve"> INDEX( co_scalarInfo[scalarType], MATCH( scalarDataframe[[#This Row],[scalarName]],  co_scalarInfo[scalarName], 0 ) )</f>
        <v>damageAdj</v>
      </c>
      <c r="C1379" s="44" t="str">
        <f xml:space="preserve"> INDEX( co_scalarInfo[scalarLabel], MATCH( scalarDataframe[[#This Row],[scalarName]], co_scalarInfo[scalarName], 0 ) )</f>
        <v>Road Miles and Population Adjustment Factor (Proactive Adaptation)</v>
      </c>
      <c r="D1379" s="24" t="s">
        <v>1428</v>
      </c>
      <c r="E1379" s="17" t="s">
        <v>8</v>
      </c>
      <c r="F1379" s="25">
        <v>2085</v>
      </c>
      <c r="G1379" s="26">
        <v>1.0508150357462342</v>
      </c>
    </row>
    <row r="1380" spans="1:7" x14ac:dyDescent="0.35">
      <c r="A1380" s="9">
        <f xml:space="preserve"> ROW( scalarDataframe[[#This Row],[row_id]] ) - ROW( scalarDataframe[[#Headers],[row_id]] )</f>
        <v>1379</v>
      </c>
      <c r="B1380" s="16" t="str">
        <f xml:space="preserve"> INDEX( co_scalarInfo[scalarType], MATCH( scalarDataframe[[#This Row],[scalarName]],  co_scalarInfo[scalarName], 0 ) )</f>
        <v>damageAdj</v>
      </c>
      <c r="C1380" s="44" t="str">
        <f xml:space="preserve"> INDEX( co_scalarInfo[scalarLabel], MATCH( scalarDataframe[[#This Row],[scalarName]], co_scalarInfo[scalarName], 0 ) )</f>
        <v>Road Miles and Population Adjustment Factor (Proactive Adaptation)</v>
      </c>
      <c r="D1380" s="24" t="s">
        <v>1428</v>
      </c>
      <c r="E1380" s="17" t="s">
        <v>8</v>
      </c>
      <c r="F1380" s="25">
        <v>2090</v>
      </c>
      <c r="G1380" s="26">
        <v>1.0587326264259787</v>
      </c>
    </row>
    <row r="1381" spans="1:7" x14ac:dyDescent="0.35">
      <c r="A1381" s="9">
        <f xml:space="preserve"> ROW( scalarDataframe[[#This Row],[row_id]] ) - ROW( scalarDataframe[[#Headers],[row_id]] )</f>
        <v>1380</v>
      </c>
      <c r="B1381" s="16" t="str">
        <f xml:space="preserve"> INDEX( co_scalarInfo[scalarType], MATCH( scalarDataframe[[#This Row],[scalarName]],  co_scalarInfo[scalarName], 0 ) )</f>
        <v>damageAdj</v>
      </c>
      <c r="C1381" s="44" t="str">
        <f xml:space="preserve"> INDEX( co_scalarInfo[scalarLabel], MATCH( scalarDataframe[[#This Row],[scalarName]], co_scalarInfo[scalarName], 0 ) )</f>
        <v>Road Miles and Population Adjustment Factor (Proactive Adaptation)</v>
      </c>
      <c r="D1381" s="24" t="s">
        <v>1428</v>
      </c>
      <c r="E1381" s="17" t="s">
        <v>9</v>
      </c>
      <c r="F1381" s="25">
        <v>2010</v>
      </c>
      <c r="G1381" s="26">
        <v>0.99695404436621893</v>
      </c>
    </row>
    <row r="1382" spans="1:7" x14ac:dyDescent="0.35">
      <c r="A1382" s="9">
        <f xml:space="preserve"> ROW( scalarDataframe[[#This Row],[row_id]] ) - ROW( scalarDataframe[[#Headers],[row_id]] )</f>
        <v>1381</v>
      </c>
      <c r="B1382" s="16" t="str">
        <f xml:space="preserve"> INDEX( co_scalarInfo[scalarType], MATCH( scalarDataframe[[#This Row],[scalarName]],  co_scalarInfo[scalarName], 0 ) )</f>
        <v>damageAdj</v>
      </c>
      <c r="C1382" s="44" t="str">
        <f xml:space="preserve"> INDEX( co_scalarInfo[scalarLabel], MATCH( scalarDataframe[[#This Row],[scalarName]], co_scalarInfo[scalarName], 0 ) )</f>
        <v>Road Miles and Population Adjustment Factor (Proactive Adaptation)</v>
      </c>
      <c r="D1382" s="24" t="s">
        <v>1428</v>
      </c>
      <c r="E1382" s="17" t="s">
        <v>9</v>
      </c>
      <c r="F1382" s="25">
        <v>2015</v>
      </c>
      <c r="G1382" s="26">
        <v>0.99864208936008025</v>
      </c>
    </row>
    <row r="1383" spans="1:7" x14ac:dyDescent="0.35">
      <c r="A1383" s="9">
        <f xml:space="preserve"> ROW( scalarDataframe[[#This Row],[row_id]] ) - ROW( scalarDataframe[[#Headers],[row_id]] )</f>
        <v>1382</v>
      </c>
      <c r="B1383" s="16" t="str">
        <f xml:space="preserve"> INDEX( co_scalarInfo[scalarType], MATCH( scalarDataframe[[#This Row],[scalarName]],  co_scalarInfo[scalarName], 0 ) )</f>
        <v>damageAdj</v>
      </c>
      <c r="C1383" s="44" t="str">
        <f xml:space="preserve"> INDEX( co_scalarInfo[scalarLabel], MATCH( scalarDataframe[[#This Row],[scalarName]], co_scalarInfo[scalarName], 0 ) )</f>
        <v>Road Miles and Population Adjustment Factor (Proactive Adaptation)</v>
      </c>
      <c r="D1383" s="24" t="s">
        <v>1428</v>
      </c>
      <c r="E1383" s="17" t="s">
        <v>9</v>
      </c>
      <c r="F1383" s="25">
        <v>2020</v>
      </c>
      <c r="G1383" s="26">
        <v>1.0014099306263136</v>
      </c>
    </row>
    <row r="1384" spans="1:7" x14ac:dyDescent="0.35">
      <c r="A1384" s="9">
        <f xml:space="preserve"> ROW( scalarDataframe[[#This Row],[row_id]] ) - ROW( scalarDataframe[[#Headers],[row_id]] )</f>
        <v>1383</v>
      </c>
      <c r="B1384" s="16" t="str">
        <f xml:space="preserve"> INDEX( co_scalarInfo[scalarType], MATCH( scalarDataframe[[#This Row],[scalarName]],  co_scalarInfo[scalarName], 0 ) )</f>
        <v>damageAdj</v>
      </c>
      <c r="C1384" s="44" t="str">
        <f xml:space="preserve"> INDEX( co_scalarInfo[scalarLabel], MATCH( scalarDataframe[[#This Row],[scalarName]], co_scalarInfo[scalarName], 0 ) )</f>
        <v>Road Miles and Population Adjustment Factor (Proactive Adaptation)</v>
      </c>
      <c r="D1384" s="24" t="s">
        <v>1428</v>
      </c>
      <c r="E1384" s="17" t="s">
        <v>9</v>
      </c>
      <c r="F1384" s="25">
        <v>2025</v>
      </c>
      <c r="G1384" s="26">
        <v>1.0075103222082857</v>
      </c>
    </row>
    <row r="1385" spans="1:7" x14ac:dyDescent="0.35">
      <c r="A1385" s="9">
        <f xml:space="preserve"> ROW( scalarDataframe[[#This Row],[row_id]] ) - ROW( scalarDataframe[[#Headers],[row_id]] )</f>
        <v>1384</v>
      </c>
      <c r="B1385" s="16" t="str">
        <f xml:space="preserve"> INDEX( co_scalarInfo[scalarType], MATCH( scalarDataframe[[#This Row],[scalarName]],  co_scalarInfo[scalarName], 0 ) )</f>
        <v>damageAdj</v>
      </c>
      <c r="C1385" s="44" t="str">
        <f xml:space="preserve"> INDEX( co_scalarInfo[scalarLabel], MATCH( scalarDataframe[[#This Row],[scalarName]], co_scalarInfo[scalarName], 0 ) )</f>
        <v>Road Miles and Population Adjustment Factor (Proactive Adaptation)</v>
      </c>
      <c r="D1385" s="24" t="s">
        <v>1428</v>
      </c>
      <c r="E1385" s="17" t="s">
        <v>9</v>
      </c>
      <c r="F1385" s="25">
        <v>2030</v>
      </c>
      <c r="G1385" s="26">
        <v>1.0049892754985268</v>
      </c>
    </row>
    <row r="1386" spans="1:7" x14ac:dyDescent="0.35">
      <c r="A1386" s="9">
        <f xml:space="preserve"> ROW( scalarDataframe[[#This Row],[row_id]] ) - ROW( scalarDataframe[[#Headers],[row_id]] )</f>
        <v>1385</v>
      </c>
      <c r="B1386" s="16" t="str">
        <f xml:space="preserve"> INDEX( co_scalarInfo[scalarType], MATCH( scalarDataframe[[#This Row],[scalarName]],  co_scalarInfo[scalarName], 0 ) )</f>
        <v>damageAdj</v>
      </c>
      <c r="C1386" s="44" t="str">
        <f xml:space="preserve"> INDEX( co_scalarInfo[scalarLabel], MATCH( scalarDataframe[[#This Row],[scalarName]], co_scalarInfo[scalarName], 0 ) )</f>
        <v>Road Miles and Population Adjustment Factor (Proactive Adaptation)</v>
      </c>
      <c r="D1386" s="24" t="s">
        <v>1428</v>
      </c>
      <c r="E1386" s="17" t="s">
        <v>9</v>
      </c>
      <c r="F1386" s="25">
        <v>2035</v>
      </c>
      <c r="G1386" s="26">
        <v>1.0263205610244499</v>
      </c>
    </row>
    <row r="1387" spans="1:7" x14ac:dyDescent="0.35">
      <c r="A1387" s="9">
        <f xml:space="preserve"> ROW( scalarDataframe[[#This Row],[row_id]] ) - ROW( scalarDataframe[[#Headers],[row_id]] )</f>
        <v>1386</v>
      </c>
      <c r="B1387" s="16" t="str">
        <f xml:space="preserve"> INDEX( co_scalarInfo[scalarType], MATCH( scalarDataframe[[#This Row],[scalarName]],  co_scalarInfo[scalarName], 0 ) )</f>
        <v>damageAdj</v>
      </c>
      <c r="C1387" s="44" t="str">
        <f xml:space="preserve"> INDEX( co_scalarInfo[scalarLabel], MATCH( scalarDataframe[[#This Row],[scalarName]], co_scalarInfo[scalarName], 0 ) )</f>
        <v>Road Miles and Population Adjustment Factor (Proactive Adaptation)</v>
      </c>
      <c r="D1387" s="24" t="s">
        <v>1428</v>
      </c>
      <c r="E1387" s="17" t="s">
        <v>9</v>
      </c>
      <c r="F1387" s="25">
        <v>2040</v>
      </c>
      <c r="G1387" s="26">
        <v>1.0244904548490981</v>
      </c>
    </row>
    <row r="1388" spans="1:7" x14ac:dyDescent="0.35">
      <c r="A1388" s="9">
        <f xml:space="preserve"> ROW( scalarDataframe[[#This Row],[row_id]] ) - ROW( scalarDataframe[[#Headers],[row_id]] )</f>
        <v>1387</v>
      </c>
      <c r="B1388" s="16" t="str">
        <f xml:space="preserve"> INDEX( co_scalarInfo[scalarType], MATCH( scalarDataframe[[#This Row],[scalarName]],  co_scalarInfo[scalarName], 0 ) )</f>
        <v>damageAdj</v>
      </c>
      <c r="C1388" s="44" t="str">
        <f xml:space="preserve"> INDEX( co_scalarInfo[scalarLabel], MATCH( scalarDataframe[[#This Row],[scalarName]], co_scalarInfo[scalarName], 0 ) )</f>
        <v>Road Miles and Population Adjustment Factor (Proactive Adaptation)</v>
      </c>
      <c r="D1388" s="24" t="s">
        <v>1428</v>
      </c>
      <c r="E1388" s="17" t="s">
        <v>9</v>
      </c>
      <c r="F1388" s="25">
        <v>2045</v>
      </c>
      <c r="G1388" s="26">
        <v>1.02599851951012</v>
      </c>
    </row>
    <row r="1389" spans="1:7" x14ac:dyDescent="0.35">
      <c r="A1389" s="9">
        <f xml:space="preserve"> ROW( scalarDataframe[[#This Row],[row_id]] ) - ROW( scalarDataframe[[#Headers],[row_id]] )</f>
        <v>1388</v>
      </c>
      <c r="B1389" s="16" t="str">
        <f xml:space="preserve"> INDEX( co_scalarInfo[scalarType], MATCH( scalarDataframe[[#This Row],[scalarName]],  co_scalarInfo[scalarName], 0 ) )</f>
        <v>damageAdj</v>
      </c>
      <c r="C1389" s="44" t="str">
        <f xml:space="preserve"> INDEX( co_scalarInfo[scalarLabel], MATCH( scalarDataframe[[#This Row],[scalarName]], co_scalarInfo[scalarName], 0 ) )</f>
        <v>Road Miles and Population Adjustment Factor (Proactive Adaptation)</v>
      </c>
      <c r="D1389" s="24" t="s">
        <v>1428</v>
      </c>
      <c r="E1389" s="17" t="s">
        <v>9</v>
      </c>
      <c r="F1389" s="25">
        <v>2050</v>
      </c>
      <c r="G1389" s="26">
        <v>1.008461828120935</v>
      </c>
    </row>
    <row r="1390" spans="1:7" x14ac:dyDescent="0.35">
      <c r="A1390" s="9">
        <f xml:space="preserve"> ROW( scalarDataframe[[#This Row],[row_id]] ) - ROW( scalarDataframe[[#Headers],[row_id]] )</f>
        <v>1389</v>
      </c>
      <c r="B1390" s="16" t="str">
        <f xml:space="preserve"> INDEX( co_scalarInfo[scalarType], MATCH( scalarDataframe[[#This Row],[scalarName]],  co_scalarInfo[scalarName], 0 ) )</f>
        <v>damageAdj</v>
      </c>
      <c r="C1390" s="44" t="str">
        <f xml:space="preserve"> INDEX( co_scalarInfo[scalarLabel], MATCH( scalarDataframe[[#This Row],[scalarName]], co_scalarInfo[scalarName], 0 ) )</f>
        <v>Road Miles and Population Adjustment Factor (Proactive Adaptation)</v>
      </c>
      <c r="D1390" s="24" t="s">
        <v>1428</v>
      </c>
      <c r="E1390" s="17" t="s">
        <v>9</v>
      </c>
      <c r="F1390" s="25">
        <v>2055</v>
      </c>
      <c r="G1390" s="26">
        <v>1.0435235620942025</v>
      </c>
    </row>
    <row r="1391" spans="1:7" x14ac:dyDescent="0.35">
      <c r="A1391" s="9">
        <f xml:space="preserve"> ROW( scalarDataframe[[#This Row],[row_id]] ) - ROW( scalarDataframe[[#Headers],[row_id]] )</f>
        <v>1390</v>
      </c>
      <c r="B1391" s="16" t="str">
        <f xml:space="preserve"> INDEX( co_scalarInfo[scalarType], MATCH( scalarDataframe[[#This Row],[scalarName]],  co_scalarInfo[scalarName], 0 ) )</f>
        <v>damageAdj</v>
      </c>
      <c r="C1391" s="44" t="str">
        <f xml:space="preserve"> INDEX( co_scalarInfo[scalarLabel], MATCH( scalarDataframe[[#This Row],[scalarName]], co_scalarInfo[scalarName], 0 ) )</f>
        <v>Road Miles and Population Adjustment Factor (Proactive Adaptation)</v>
      </c>
      <c r="D1391" s="24" t="s">
        <v>1428</v>
      </c>
      <c r="E1391" s="17" t="s">
        <v>9</v>
      </c>
      <c r="F1391" s="25">
        <v>2060</v>
      </c>
      <c r="G1391" s="26">
        <v>1.0400983966322925</v>
      </c>
    </row>
    <row r="1392" spans="1:7" x14ac:dyDescent="0.35">
      <c r="A1392" s="9">
        <f xml:space="preserve"> ROW( scalarDataframe[[#This Row],[row_id]] ) - ROW( scalarDataframe[[#Headers],[row_id]] )</f>
        <v>1391</v>
      </c>
      <c r="B1392" s="16" t="str">
        <f xml:space="preserve"> INDEX( co_scalarInfo[scalarType], MATCH( scalarDataframe[[#This Row],[scalarName]],  co_scalarInfo[scalarName], 0 ) )</f>
        <v>damageAdj</v>
      </c>
      <c r="C1392" s="44" t="str">
        <f xml:space="preserve"> INDEX( co_scalarInfo[scalarLabel], MATCH( scalarDataframe[[#This Row],[scalarName]], co_scalarInfo[scalarName], 0 ) )</f>
        <v>Road Miles and Population Adjustment Factor (Proactive Adaptation)</v>
      </c>
      <c r="D1392" s="24" t="s">
        <v>1428</v>
      </c>
      <c r="E1392" s="17" t="s">
        <v>9</v>
      </c>
      <c r="F1392" s="25">
        <v>2065</v>
      </c>
      <c r="G1392" s="26">
        <v>1.0417904871105337</v>
      </c>
    </row>
    <row r="1393" spans="1:7" x14ac:dyDescent="0.35">
      <c r="A1393" s="9">
        <f xml:space="preserve"> ROW( scalarDataframe[[#This Row],[row_id]] ) - ROW( scalarDataframe[[#Headers],[row_id]] )</f>
        <v>1392</v>
      </c>
      <c r="B1393" s="16" t="str">
        <f xml:space="preserve"> INDEX( co_scalarInfo[scalarType], MATCH( scalarDataframe[[#This Row],[scalarName]],  co_scalarInfo[scalarName], 0 ) )</f>
        <v>damageAdj</v>
      </c>
      <c r="C1393" s="44" t="str">
        <f xml:space="preserve"> INDEX( co_scalarInfo[scalarLabel], MATCH( scalarDataframe[[#This Row],[scalarName]], co_scalarInfo[scalarName], 0 ) )</f>
        <v>Road Miles and Population Adjustment Factor (Proactive Adaptation)</v>
      </c>
      <c r="D1393" s="24" t="s">
        <v>1428</v>
      </c>
      <c r="E1393" s="17" t="s">
        <v>9</v>
      </c>
      <c r="F1393" s="25">
        <v>2070</v>
      </c>
      <c r="G1393" s="26">
        <v>1.0117543251629926</v>
      </c>
    </row>
    <row r="1394" spans="1:7" x14ac:dyDescent="0.35">
      <c r="A1394" s="9">
        <f xml:space="preserve"> ROW( scalarDataframe[[#This Row],[row_id]] ) - ROW( scalarDataframe[[#Headers],[row_id]] )</f>
        <v>1393</v>
      </c>
      <c r="B1394" s="16" t="str">
        <f xml:space="preserve"> INDEX( co_scalarInfo[scalarType], MATCH( scalarDataframe[[#This Row],[scalarName]],  co_scalarInfo[scalarName], 0 ) )</f>
        <v>damageAdj</v>
      </c>
      <c r="C1394" s="44" t="str">
        <f xml:space="preserve"> INDEX( co_scalarInfo[scalarLabel], MATCH( scalarDataframe[[#This Row],[scalarName]], co_scalarInfo[scalarName], 0 ) )</f>
        <v>Road Miles and Population Adjustment Factor (Proactive Adaptation)</v>
      </c>
      <c r="D1394" s="24" t="s">
        <v>1428</v>
      </c>
      <c r="E1394" s="17" t="s">
        <v>9</v>
      </c>
      <c r="F1394" s="25">
        <v>2075</v>
      </c>
      <c r="G1394" s="26">
        <v>1.0584746936141951</v>
      </c>
    </row>
    <row r="1395" spans="1:7" x14ac:dyDescent="0.35">
      <c r="A1395" s="9">
        <f xml:space="preserve"> ROW( scalarDataframe[[#This Row],[row_id]] ) - ROW( scalarDataframe[[#Headers],[row_id]] )</f>
        <v>1394</v>
      </c>
      <c r="B1395" s="16" t="str">
        <f xml:space="preserve"> INDEX( co_scalarInfo[scalarType], MATCH( scalarDataframe[[#This Row],[scalarName]],  co_scalarInfo[scalarName], 0 ) )</f>
        <v>damageAdj</v>
      </c>
      <c r="C1395" s="44" t="str">
        <f xml:space="preserve"> INDEX( co_scalarInfo[scalarLabel], MATCH( scalarDataframe[[#This Row],[scalarName]], co_scalarInfo[scalarName], 0 ) )</f>
        <v>Road Miles and Population Adjustment Factor (Proactive Adaptation)</v>
      </c>
      <c r="D1395" s="24" t="s">
        <v>1428</v>
      </c>
      <c r="E1395" s="17" t="s">
        <v>9</v>
      </c>
      <c r="F1395" s="25">
        <v>2080</v>
      </c>
      <c r="G1395" s="26">
        <v>1.0541904767828851</v>
      </c>
    </row>
    <row r="1396" spans="1:7" x14ac:dyDescent="0.35">
      <c r="A1396" s="9">
        <f xml:space="preserve"> ROW( scalarDataframe[[#This Row],[row_id]] ) - ROW( scalarDataframe[[#Headers],[row_id]] )</f>
        <v>1395</v>
      </c>
      <c r="B1396" s="16" t="str">
        <f xml:space="preserve"> INDEX( co_scalarInfo[scalarType], MATCH( scalarDataframe[[#This Row],[scalarName]],  co_scalarInfo[scalarName], 0 ) )</f>
        <v>damageAdj</v>
      </c>
      <c r="C1396" s="44" t="str">
        <f xml:space="preserve"> INDEX( co_scalarInfo[scalarLabel], MATCH( scalarDataframe[[#This Row],[scalarName]], co_scalarInfo[scalarName], 0 ) )</f>
        <v>Road Miles and Population Adjustment Factor (Proactive Adaptation)</v>
      </c>
      <c r="D1396" s="24" t="s">
        <v>1428</v>
      </c>
      <c r="E1396" s="17" t="s">
        <v>9</v>
      </c>
      <c r="F1396" s="25">
        <v>2085</v>
      </c>
      <c r="G1396" s="26">
        <v>1.0564928605030903</v>
      </c>
    </row>
    <row r="1397" spans="1:7" x14ac:dyDescent="0.35">
      <c r="A1397" s="9">
        <f xml:space="preserve"> ROW( scalarDataframe[[#This Row],[row_id]] ) - ROW( scalarDataframe[[#Headers],[row_id]] )</f>
        <v>1396</v>
      </c>
      <c r="B1397" s="16" t="str">
        <f xml:space="preserve"> INDEX( co_scalarInfo[scalarType], MATCH( scalarDataframe[[#This Row],[scalarName]],  co_scalarInfo[scalarName], 0 ) )</f>
        <v>damageAdj</v>
      </c>
      <c r="C1397" s="44" t="str">
        <f xml:space="preserve"> INDEX( co_scalarInfo[scalarLabel], MATCH( scalarDataframe[[#This Row],[scalarName]], co_scalarInfo[scalarName], 0 ) )</f>
        <v>Road Miles and Population Adjustment Factor (Proactive Adaptation)</v>
      </c>
      <c r="D1397" s="24" t="s">
        <v>1428</v>
      </c>
      <c r="E1397" s="17" t="s">
        <v>9</v>
      </c>
      <c r="F1397" s="25">
        <v>2090</v>
      </c>
      <c r="G1397" s="26">
        <v>1.0156636675966877</v>
      </c>
    </row>
    <row r="1398" spans="1:7" x14ac:dyDescent="0.35">
      <c r="A1398" s="9">
        <f xml:space="preserve"> ROW( scalarDataframe[[#This Row],[row_id]] ) - ROW( scalarDataframe[[#Headers],[row_id]] )</f>
        <v>1397</v>
      </c>
      <c r="B1398" s="16" t="str">
        <f xml:space="preserve"> INDEX( co_scalarInfo[scalarType], MATCH( scalarDataframe[[#This Row],[scalarName]],  co_scalarInfo[scalarName], 0 ) )</f>
        <v>damageAdj</v>
      </c>
      <c r="C1398" s="44" t="str">
        <f xml:space="preserve"> INDEX( co_scalarInfo[scalarLabel], MATCH( scalarDataframe[[#This Row],[scalarName]], co_scalarInfo[scalarName], 0 ) )</f>
        <v>Road Miles and Population Adjustment Factor (Proactive Adaptation)</v>
      </c>
      <c r="D1398" s="24" t="s">
        <v>1428</v>
      </c>
      <c r="E1398" s="17" t="s">
        <v>10</v>
      </c>
      <c r="F1398" s="25">
        <v>2010</v>
      </c>
      <c r="G1398" s="26">
        <v>0.98723048341172714</v>
      </c>
    </row>
    <row r="1399" spans="1:7" x14ac:dyDescent="0.35">
      <c r="A1399" s="9">
        <f xml:space="preserve"> ROW( scalarDataframe[[#This Row],[row_id]] ) - ROW( scalarDataframe[[#Headers],[row_id]] )</f>
        <v>1398</v>
      </c>
      <c r="B1399" s="16" t="str">
        <f xml:space="preserve"> INDEX( co_scalarInfo[scalarType], MATCH( scalarDataframe[[#This Row],[scalarName]],  co_scalarInfo[scalarName], 0 ) )</f>
        <v>damageAdj</v>
      </c>
      <c r="C1399" s="44" t="str">
        <f xml:space="preserve"> INDEX( co_scalarInfo[scalarLabel], MATCH( scalarDataframe[[#This Row],[scalarName]], co_scalarInfo[scalarName], 0 ) )</f>
        <v>Road Miles and Population Adjustment Factor (Proactive Adaptation)</v>
      </c>
      <c r="D1399" s="24" t="s">
        <v>1428</v>
      </c>
      <c r="E1399" s="17" t="s">
        <v>10</v>
      </c>
      <c r="F1399" s="25">
        <v>2015</v>
      </c>
      <c r="G1399" s="26">
        <v>0.99437298199460544</v>
      </c>
    </row>
    <row r="1400" spans="1:7" x14ac:dyDescent="0.35">
      <c r="A1400" s="9">
        <f xml:space="preserve"> ROW( scalarDataframe[[#This Row],[row_id]] ) - ROW( scalarDataframe[[#Headers],[row_id]] )</f>
        <v>1399</v>
      </c>
      <c r="B1400" s="16" t="str">
        <f xml:space="preserve"> INDEX( co_scalarInfo[scalarType], MATCH( scalarDataframe[[#This Row],[scalarName]],  co_scalarInfo[scalarName], 0 ) )</f>
        <v>damageAdj</v>
      </c>
      <c r="C1400" s="44" t="str">
        <f xml:space="preserve"> INDEX( co_scalarInfo[scalarLabel], MATCH( scalarDataframe[[#This Row],[scalarName]], co_scalarInfo[scalarName], 0 ) )</f>
        <v>Road Miles and Population Adjustment Factor (Proactive Adaptation)</v>
      </c>
      <c r="D1400" s="24" t="s">
        <v>1428</v>
      </c>
      <c r="E1400" s="17" t="s">
        <v>10</v>
      </c>
      <c r="F1400" s="25">
        <v>2020</v>
      </c>
      <c r="G1400" s="26">
        <v>1.0043803892341785</v>
      </c>
    </row>
    <row r="1401" spans="1:7" x14ac:dyDescent="0.35">
      <c r="A1401" s="9">
        <f xml:space="preserve"> ROW( scalarDataframe[[#This Row],[row_id]] ) - ROW( scalarDataframe[[#Headers],[row_id]] )</f>
        <v>1400</v>
      </c>
      <c r="B1401" s="16" t="str">
        <f xml:space="preserve"> INDEX( co_scalarInfo[scalarType], MATCH( scalarDataframe[[#This Row],[scalarName]],  co_scalarInfo[scalarName], 0 ) )</f>
        <v>damageAdj</v>
      </c>
      <c r="C1401" s="44" t="str">
        <f xml:space="preserve"> INDEX( co_scalarInfo[scalarLabel], MATCH( scalarDataframe[[#This Row],[scalarName]], co_scalarInfo[scalarName], 0 ) )</f>
        <v>Road Miles and Population Adjustment Factor (Proactive Adaptation)</v>
      </c>
      <c r="D1401" s="24" t="s">
        <v>1428</v>
      </c>
      <c r="E1401" s="17" t="s">
        <v>10</v>
      </c>
      <c r="F1401" s="25">
        <v>2025</v>
      </c>
      <c r="G1401" s="26">
        <v>1.0136218823821546</v>
      </c>
    </row>
    <row r="1402" spans="1:7" x14ac:dyDescent="0.35">
      <c r="A1402" s="9">
        <f xml:space="preserve"> ROW( scalarDataframe[[#This Row],[row_id]] ) - ROW( scalarDataframe[[#Headers],[row_id]] )</f>
        <v>1401</v>
      </c>
      <c r="B1402" s="16" t="str">
        <f xml:space="preserve"> INDEX( co_scalarInfo[scalarType], MATCH( scalarDataframe[[#This Row],[scalarName]],  co_scalarInfo[scalarName], 0 ) )</f>
        <v>damageAdj</v>
      </c>
      <c r="C1402" s="44" t="str">
        <f xml:space="preserve"> INDEX( co_scalarInfo[scalarLabel], MATCH( scalarDataframe[[#This Row],[scalarName]], co_scalarInfo[scalarName], 0 ) )</f>
        <v>Road Miles and Population Adjustment Factor (Proactive Adaptation)</v>
      </c>
      <c r="D1402" s="24" t="s">
        <v>1428</v>
      </c>
      <c r="E1402" s="17" t="s">
        <v>10</v>
      </c>
      <c r="F1402" s="25">
        <v>2030</v>
      </c>
      <c r="G1402" s="26">
        <v>1.0166053782772158</v>
      </c>
    </row>
    <row r="1403" spans="1:7" x14ac:dyDescent="0.35">
      <c r="A1403" s="9">
        <f xml:space="preserve"> ROW( scalarDataframe[[#This Row],[row_id]] ) - ROW( scalarDataframe[[#Headers],[row_id]] )</f>
        <v>1402</v>
      </c>
      <c r="B1403" s="16" t="str">
        <f xml:space="preserve"> INDEX( co_scalarInfo[scalarType], MATCH( scalarDataframe[[#This Row],[scalarName]],  co_scalarInfo[scalarName], 0 ) )</f>
        <v>damageAdj</v>
      </c>
      <c r="C1403" s="44" t="str">
        <f xml:space="preserve"> INDEX( co_scalarInfo[scalarLabel], MATCH( scalarDataframe[[#This Row],[scalarName]], co_scalarInfo[scalarName], 0 ) )</f>
        <v>Road Miles and Population Adjustment Factor (Proactive Adaptation)</v>
      </c>
      <c r="D1403" s="24" t="s">
        <v>1428</v>
      </c>
      <c r="E1403" s="17" t="s">
        <v>10</v>
      </c>
      <c r="F1403" s="25">
        <v>2035</v>
      </c>
      <c r="G1403" s="26">
        <v>1.0352427582862314</v>
      </c>
    </row>
    <row r="1404" spans="1:7" x14ac:dyDescent="0.35">
      <c r="A1404" s="9">
        <f xml:space="preserve"> ROW( scalarDataframe[[#This Row],[row_id]] ) - ROW( scalarDataframe[[#Headers],[row_id]] )</f>
        <v>1403</v>
      </c>
      <c r="B1404" s="16" t="str">
        <f xml:space="preserve"> INDEX( co_scalarInfo[scalarType], MATCH( scalarDataframe[[#This Row],[scalarName]],  co_scalarInfo[scalarName], 0 ) )</f>
        <v>damageAdj</v>
      </c>
      <c r="C1404" s="44" t="str">
        <f xml:space="preserve"> INDEX( co_scalarInfo[scalarLabel], MATCH( scalarDataframe[[#This Row],[scalarName]], co_scalarInfo[scalarName], 0 ) )</f>
        <v>Road Miles and Population Adjustment Factor (Proactive Adaptation)</v>
      </c>
      <c r="D1404" s="24" t="s">
        <v>1428</v>
      </c>
      <c r="E1404" s="17" t="s">
        <v>10</v>
      </c>
      <c r="F1404" s="25">
        <v>2040</v>
      </c>
      <c r="G1404" s="26">
        <v>1.0341875674675216</v>
      </c>
    </row>
    <row r="1405" spans="1:7" x14ac:dyDescent="0.35">
      <c r="A1405" s="9">
        <f xml:space="preserve"> ROW( scalarDataframe[[#This Row],[row_id]] ) - ROW( scalarDataframe[[#Headers],[row_id]] )</f>
        <v>1404</v>
      </c>
      <c r="B1405" s="16" t="str">
        <f xml:space="preserve"> INDEX( co_scalarInfo[scalarType], MATCH( scalarDataframe[[#This Row],[scalarName]],  co_scalarInfo[scalarName], 0 ) )</f>
        <v>damageAdj</v>
      </c>
      <c r="C1405" s="44" t="str">
        <f xml:space="preserve"> INDEX( co_scalarInfo[scalarLabel], MATCH( scalarDataframe[[#This Row],[scalarName]], co_scalarInfo[scalarName], 0 ) )</f>
        <v>Road Miles and Population Adjustment Factor (Proactive Adaptation)</v>
      </c>
      <c r="D1405" s="24" t="s">
        <v>1428</v>
      </c>
      <c r="E1405" s="17" t="s">
        <v>10</v>
      </c>
      <c r="F1405" s="25">
        <v>2045</v>
      </c>
      <c r="G1405" s="26">
        <v>1.0367368790143774</v>
      </c>
    </row>
    <row r="1406" spans="1:7" x14ac:dyDescent="0.35">
      <c r="A1406" s="9">
        <f xml:space="preserve"> ROW( scalarDataframe[[#This Row],[row_id]] ) - ROW( scalarDataframe[[#Headers],[row_id]] )</f>
        <v>1405</v>
      </c>
      <c r="B1406" s="16" t="str">
        <f xml:space="preserve"> INDEX( co_scalarInfo[scalarType], MATCH( scalarDataframe[[#This Row],[scalarName]],  co_scalarInfo[scalarName], 0 ) )</f>
        <v>damageAdj</v>
      </c>
      <c r="C1406" s="44" t="str">
        <f xml:space="preserve"> INDEX( co_scalarInfo[scalarLabel], MATCH( scalarDataframe[[#This Row],[scalarName]], co_scalarInfo[scalarName], 0 ) )</f>
        <v>Road Miles and Population Adjustment Factor (Proactive Adaptation)</v>
      </c>
      <c r="D1406" s="24" t="s">
        <v>1428</v>
      </c>
      <c r="E1406" s="17" t="s">
        <v>10</v>
      </c>
      <c r="F1406" s="25">
        <v>2050</v>
      </c>
      <c r="G1406" s="26">
        <v>1.0366726988716135</v>
      </c>
    </row>
    <row r="1407" spans="1:7" x14ac:dyDescent="0.35">
      <c r="A1407" s="9">
        <f xml:space="preserve"> ROW( scalarDataframe[[#This Row],[row_id]] ) - ROW( scalarDataframe[[#Headers],[row_id]] )</f>
        <v>1406</v>
      </c>
      <c r="B1407" s="16" t="str">
        <f xml:space="preserve"> INDEX( co_scalarInfo[scalarType], MATCH( scalarDataframe[[#This Row],[scalarName]],  co_scalarInfo[scalarName], 0 ) )</f>
        <v>damageAdj</v>
      </c>
      <c r="C1407" s="44" t="str">
        <f xml:space="preserve"> INDEX( co_scalarInfo[scalarLabel], MATCH( scalarDataframe[[#This Row],[scalarName]], co_scalarInfo[scalarName], 0 ) )</f>
        <v>Road Miles and Population Adjustment Factor (Proactive Adaptation)</v>
      </c>
      <c r="D1407" s="24" t="s">
        <v>1428</v>
      </c>
      <c r="E1407" s="17" t="s">
        <v>10</v>
      </c>
      <c r="F1407" s="25">
        <v>2055</v>
      </c>
      <c r="G1407" s="26">
        <v>1.0634843282506652</v>
      </c>
    </row>
    <row r="1408" spans="1:7" x14ac:dyDescent="0.35">
      <c r="A1408" s="9">
        <f xml:space="preserve"> ROW( scalarDataframe[[#This Row],[row_id]] ) - ROW( scalarDataframe[[#Headers],[row_id]] )</f>
        <v>1407</v>
      </c>
      <c r="B1408" s="16" t="str">
        <f xml:space="preserve"> INDEX( co_scalarInfo[scalarType], MATCH( scalarDataframe[[#This Row],[scalarName]],  co_scalarInfo[scalarName], 0 ) )</f>
        <v>damageAdj</v>
      </c>
      <c r="C1408" s="44" t="str">
        <f xml:space="preserve"> INDEX( co_scalarInfo[scalarLabel], MATCH( scalarDataframe[[#This Row],[scalarName]], co_scalarInfo[scalarName], 0 ) )</f>
        <v>Road Miles and Population Adjustment Factor (Proactive Adaptation)</v>
      </c>
      <c r="D1408" s="24" t="s">
        <v>1428</v>
      </c>
      <c r="E1408" s="17" t="s">
        <v>10</v>
      </c>
      <c r="F1408" s="25">
        <v>2060</v>
      </c>
      <c r="G1408" s="26">
        <v>1.0556897079873935</v>
      </c>
    </row>
    <row r="1409" spans="1:7" x14ac:dyDescent="0.35">
      <c r="A1409" s="9">
        <f xml:space="preserve"> ROW( scalarDataframe[[#This Row],[row_id]] ) - ROW( scalarDataframe[[#Headers],[row_id]] )</f>
        <v>1408</v>
      </c>
      <c r="B1409" s="16" t="str">
        <f xml:space="preserve"> INDEX( co_scalarInfo[scalarType], MATCH( scalarDataframe[[#This Row],[scalarName]],  co_scalarInfo[scalarName], 0 ) )</f>
        <v>damageAdj</v>
      </c>
      <c r="C1409" s="44" t="str">
        <f xml:space="preserve"> INDEX( co_scalarInfo[scalarLabel], MATCH( scalarDataframe[[#This Row],[scalarName]], co_scalarInfo[scalarName], 0 ) )</f>
        <v>Road Miles and Population Adjustment Factor (Proactive Adaptation)</v>
      </c>
      <c r="D1409" s="24" t="s">
        <v>1428</v>
      </c>
      <c r="E1409" s="17" t="s">
        <v>10</v>
      </c>
      <c r="F1409" s="25">
        <v>2065</v>
      </c>
      <c r="G1409" s="26">
        <v>1.0559503569015427</v>
      </c>
    </row>
    <row r="1410" spans="1:7" x14ac:dyDescent="0.35">
      <c r="A1410" s="9">
        <f xml:space="preserve"> ROW( scalarDataframe[[#This Row],[row_id]] ) - ROW( scalarDataframe[[#Headers],[row_id]] )</f>
        <v>1409</v>
      </c>
      <c r="B1410" s="16" t="str">
        <f xml:space="preserve"> INDEX( co_scalarInfo[scalarType], MATCH( scalarDataframe[[#This Row],[scalarName]],  co_scalarInfo[scalarName], 0 ) )</f>
        <v>damageAdj</v>
      </c>
      <c r="C1410" s="44" t="str">
        <f xml:space="preserve"> INDEX( co_scalarInfo[scalarLabel], MATCH( scalarDataframe[[#This Row],[scalarName]], co_scalarInfo[scalarName], 0 ) )</f>
        <v>Road Miles and Population Adjustment Factor (Proactive Adaptation)</v>
      </c>
      <c r="D1410" s="24" t="s">
        <v>1428</v>
      </c>
      <c r="E1410" s="17" t="s">
        <v>10</v>
      </c>
      <c r="F1410" s="25">
        <v>2070</v>
      </c>
      <c r="G1410" s="26">
        <v>1.0522747530480363</v>
      </c>
    </row>
    <row r="1411" spans="1:7" x14ac:dyDescent="0.35">
      <c r="A1411" s="9">
        <f xml:space="preserve"> ROW( scalarDataframe[[#This Row],[row_id]] ) - ROW( scalarDataframe[[#Headers],[row_id]] )</f>
        <v>1410</v>
      </c>
      <c r="B1411" s="16" t="str">
        <f xml:space="preserve"> INDEX( co_scalarInfo[scalarType], MATCH( scalarDataframe[[#This Row],[scalarName]],  co_scalarInfo[scalarName], 0 ) )</f>
        <v>damageAdj</v>
      </c>
      <c r="C1411" s="44" t="str">
        <f xml:space="preserve"> INDEX( co_scalarInfo[scalarLabel], MATCH( scalarDataframe[[#This Row],[scalarName]], co_scalarInfo[scalarName], 0 ) )</f>
        <v>Road Miles and Population Adjustment Factor (Proactive Adaptation)</v>
      </c>
      <c r="D1411" s="24" t="s">
        <v>1428</v>
      </c>
      <c r="E1411" s="17" t="s">
        <v>10</v>
      </c>
      <c r="F1411" s="25">
        <v>2075</v>
      </c>
      <c r="G1411" s="26">
        <v>1.0881424290794715</v>
      </c>
    </row>
    <row r="1412" spans="1:7" x14ac:dyDescent="0.35">
      <c r="A1412" s="9">
        <f xml:space="preserve"> ROW( scalarDataframe[[#This Row],[row_id]] ) - ROW( scalarDataframe[[#Headers],[row_id]] )</f>
        <v>1411</v>
      </c>
      <c r="B1412" s="16" t="str">
        <f xml:space="preserve"> INDEX( co_scalarInfo[scalarType], MATCH( scalarDataframe[[#This Row],[scalarName]],  co_scalarInfo[scalarName], 0 ) )</f>
        <v>damageAdj</v>
      </c>
      <c r="C1412" s="44" t="str">
        <f xml:space="preserve"> INDEX( co_scalarInfo[scalarLabel], MATCH( scalarDataframe[[#This Row],[scalarName]], co_scalarInfo[scalarName], 0 ) )</f>
        <v>Road Miles and Population Adjustment Factor (Proactive Adaptation)</v>
      </c>
      <c r="D1412" s="24" t="s">
        <v>1428</v>
      </c>
      <c r="E1412" s="17" t="s">
        <v>10</v>
      </c>
      <c r="F1412" s="25">
        <v>2080</v>
      </c>
      <c r="G1412" s="26">
        <v>1.0749943023541855</v>
      </c>
    </row>
    <row r="1413" spans="1:7" x14ac:dyDescent="0.35">
      <c r="A1413" s="9">
        <f xml:space="preserve"> ROW( scalarDataframe[[#This Row],[row_id]] ) - ROW( scalarDataframe[[#Headers],[row_id]] )</f>
        <v>1412</v>
      </c>
      <c r="B1413" s="16" t="str">
        <f xml:space="preserve"> INDEX( co_scalarInfo[scalarType], MATCH( scalarDataframe[[#This Row],[scalarName]],  co_scalarInfo[scalarName], 0 ) )</f>
        <v>damageAdj</v>
      </c>
      <c r="C1413" s="44" t="str">
        <f xml:space="preserve"> INDEX( co_scalarInfo[scalarLabel], MATCH( scalarDataframe[[#This Row],[scalarName]], co_scalarInfo[scalarName], 0 ) )</f>
        <v>Road Miles and Population Adjustment Factor (Proactive Adaptation)</v>
      </c>
      <c r="D1413" s="24" t="s">
        <v>1428</v>
      </c>
      <c r="E1413" s="17" t="s">
        <v>10</v>
      </c>
      <c r="F1413" s="25">
        <v>2085</v>
      </c>
      <c r="G1413" s="26">
        <v>1.0720947033812971</v>
      </c>
    </row>
    <row r="1414" spans="1:7" x14ac:dyDescent="0.35">
      <c r="A1414" s="9">
        <f xml:space="preserve"> ROW( scalarDataframe[[#This Row],[row_id]] ) - ROW( scalarDataframe[[#Headers],[row_id]] )</f>
        <v>1413</v>
      </c>
      <c r="B1414" s="16" t="str">
        <f xml:space="preserve"> INDEX( co_scalarInfo[scalarType], MATCH( scalarDataframe[[#This Row],[scalarName]],  co_scalarInfo[scalarName], 0 ) )</f>
        <v>damageAdj</v>
      </c>
      <c r="C1414" s="44" t="str">
        <f xml:space="preserve"> INDEX( co_scalarInfo[scalarLabel], MATCH( scalarDataframe[[#This Row],[scalarName]], co_scalarInfo[scalarName], 0 ) )</f>
        <v>Road Miles and Population Adjustment Factor (Proactive Adaptation)</v>
      </c>
      <c r="D1414" s="24" t="s">
        <v>1428</v>
      </c>
      <c r="E1414" s="17" t="s">
        <v>10</v>
      </c>
      <c r="F1414" s="25">
        <v>2090</v>
      </c>
      <c r="G1414" s="26">
        <v>1.0652787016031651</v>
      </c>
    </row>
    <row r="1415" spans="1:7" x14ac:dyDescent="0.35">
      <c r="A1415" s="9">
        <f xml:space="preserve"> ROW( scalarDataframe[[#This Row],[row_id]] ) - ROW( scalarDataframe[[#Headers],[row_id]] )</f>
        <v>1414</v>
      </c>
      <c r="B1415" s="16" t="str">
        <f xml:space="preserve"> INDEX( co_scalarInfo[scalarType], MATCH( scalarDataframe[[#This Row],[scalarName]],  co_scalarInfo[scalarName], 0 ) )</f>
        <v>damageAdj</v>
      </c>
      <c r="C1415" s="44" t="str">
        <f xml:space="preserve"> INDEX( co_scalarInfo[scalarLabel], MATCH( scalarDataframe[[#This Row],[scalarName]], co_scalarInfo[scalarName], 0 ) )</f>
        <v>Road Miles and Population Adjustment Factor (Proactive Adaptation)</v>
      </c>
      <c r="D1415" s="24" t="s">
        <v>1428</v>
      </c>
      <c r="E1415" s="17" t="s">
        <v>11</v>
      </c>
      <c r="F1415" s="25">
        <v>2010</v>
      </c>
      <c r="G1415" s="26">
        <v>0.98526135715293206</v>
      </c>
    </row>
    <row r="1416" spans="1:7" x14ac:dyDescent="0.35">
      <c r="A1416" s="9">
        <f xml:space="preserve"> ROW( scalarDataframe[[#This Row],[row_id]] ) - ROW( scalarDataframe[[#Headers],[row_id]] )</f>
        <v>1415</v>
      </c>
      <c r="B1416" s="16" t="str">
        <f xml:space="preserve"> INDEX( co_scalarInfo[scalarType], MATCH( scalarDataframe[[#This Row],[scalarName]],  co_scalarInfo[scalarName], 0 ) )</f>
        <v>damageAdj</v>
      </c>
      <c r="C1416" s="44" t="str">
        <f xml:space="preserve"> INDEX( co_scalarInfo[scalarLabel], MATCH( scalarDataframe[[#This Row],[scalarName]], co_scalarInfo[scalarName], 0 ) )</f>
        <v>Road Miles and Population Adjustment Factor (Proactive Adaptation)</v>
      </c>
      <c r="D1416" s="24" t="s">
        <v>1428</v>
      </c>
      <c r="E1416" s="17" t="s">
        <v>11</v>
      </c>
      <c r="F1416" s="25">
        <v>2015</v>
      </c>
      <c r="G1416" s="26">
        <v>0.99109401274516251</v>
      </c>
    </row>
    <row r="1417" spans="1:7" x14ac:dyDescent="0.35">
      <c r="A1417" s="9">
        <f xml:space="preserve"> ROW( scalarDataframe[[#This Row],[row_id]] ) - ROW( scalarDataframe[[#Headers],[row_id]] )</f>
        <v>1416</v>
      </c>
      <c r="B1417" s="16" t="str">
        <f xml:space="preserve"> INDEX( co_scalarInfo[scalarType], MATCH( scalarDataframe[[#This Row],[scalarName]],  co_scalarInfo[scalarName], 0 ) )</f>
        <v>damageAdj</v>
      </c>
      <c r="C1417" s="44" t="str">
        <f xml:space="preserve"> INDEX( co_scalarInfo[scalarLabel], MATCH( scalarDataframe[[#This Row],[scalarName]], co_scalarInfo[scalarName], 0 ) )</f>
        <v>Road Miles and Population Adjustment Factor (Proactive Adaptation)</v>
      </c>
      <c r="D1417" s="24" t="s">
        <v>1428</v>
      </c>
      <c r="E1417" s="17" t="s">
        <v>11</v>
      </c>
      <c r="F1417" s="25">
        <v>2020</v>
      </c>
      <c r="G1417" s="26">
        <v>1.0025416043680844</v>
      </c>
    </row>
    <row r="1418" spans="1:7" x14ac:dyDescent="0.35">
      <c r="A1418" s="9">
        <f xml:space="preserve"> ROW( scalarDataframe[[#This Row],[row_id]] ) - ROW( scalarDataframe[[#Headers],[row_id]] )</f>
        <v>1417</v>
      </c>
      <c r="B1418" s="16" t="str">
        <f xml:space="preserve"> INDEX( co_scalarInfo[scalarType], MATCH( scalarDataframe[[#This Row],[scalarName]],  co_scalarInfo[scalarName], 0 ) )</f>
        <v>damageAdj</v>
      </c>
      <c r="C1418" s="44" t="str">
        <f xml:space="preserve"> INDEX( co_scalarInfo[scalarLabel], MATCH( scalarDataframe[[#This Row],[scalarName]], co_scalarInfo[scalarName], 0 ) )</f>
        <v>Road Miles and Population Adjustment Factor (Proactive Adaptation)</v>
      </c>
      <c r="D1418" s="24" t="s">
        <v>1428</v>
      </c>
      <c r="E1418" s="17" t="s">
        <v>11</v>
      </c>
      <c r="F1418" s="25">
        <v>2025</v>
      </c>
      <c r="G1418" s="26">
        <v>1.0097916063692476</v>
      </c>
    </row>
    <row r="1419" spans="1:7" x14ac:dyDescent="0.35">
      <c r="A1419" s="9">
        <f xml:space="preserve"> ROW( scalarDataframe[[#This Row],[row_id]] ) - ROW( scalarDataframe[[#Headers],[row_id]] )</f>
        <v>1418</v>
      </c>
      <c r="B1419" s="16" t="str">
        <f xml:space="preserve"> INDEX( co_scalarInfo[scalarType], MATCH( scalarDataframe[[#This Row],[scalarName]],  co_scalarInfo[scalarName], 0 ) )</f>
        <v>damageAdj</v>
      </c>
      <c r="C1419" s="44" t="str">
        <f xml:space="preserve"> INDEX( co_scalarInfo[scalarLabel], MATCH( scalarDataframe[[#This Row],[scalarName]], co_scalarInfo[scalarName], 0 ) )</f>
        <v>Road Miles and Population Adjustment Factor (Proactive Adaptation)</v>
      </c>
      <c r="D1419" s="24" t="s">
        <v>1428</v>
      </c>
      <c r="E1419" s="17" t="s">
        <v>11</v>
      </c>
      <c r="F1419" s="25">
        <v>2030</v>
      </c>
      <c r="G1419" s="26">
        <v>1.0159399622315675</v>
      </c>
    </row>
    <row r="1420" spans="1:7" x14ac:dyDescent="0.35">
      <c r="A1420" s="9">
        <f xml:space="preserve"> ROW( scalarDataframe[[#This Row],[row_id]] ) - ROW( scalarDataframe[[#Headers],[row_id]] )</f>
        <v>1419</v>
      </c>
      <c r="B1420" s="16" t="str">
        <f xml:space="preserve"> INDEX( co_scalarInfo[scalarType], MATCH( scalarDataframe[[#This Row],[scalarName]],  co_scalarInfo[scalarName], 0 ) )</f>
        <v>damageAdj</v>
      </c>
      <c r="C1420" s="44" t="str">
        <f xml:space="preserve"> INDEX( co_scalarInfo[scalarLabel], MATCH( scalarDataframe[[#This Row],[scalarName]], co_scalarInfo[scalarName], 0 ) )</f>
        <v>Road Miles and Population Adjustment Factor (Proactive Adaptation)</v>
      </c>
      <c r="D1420" s="24" t="s">
        <v>1428</v>
      </c>
      <c r="E1420" s="17" t="s">
        <v>11</v>
      </c>
      <c r="F1420" s="25">
        <v>2035</v>
      </c>
      <c r="G1420" s="26">
        <v>1.0282238164663542</v>
      </c>
    </row>
    <row r="1421" spans="1:7" x14ac:dyDescent="0.35">
      <c r="A1421" s="9">
        <f xml:space="preserve"> ROW( scalarDataframe[[#This Row],[row_id]] ) - ROW( scalarDataframe[[#Headers],[row_id]] )</f>
        <v>1420</v>
      </c>
      <c r="B1421" s="16" t="str">
        <f xml:space="preserve"> INDEX( co_scalarInfo[scalarType], MATCH( scalarDataframe[[#This Row],[scalarName]],  co_scalarInfo[scalarName], 0 ) )</f>
        <v>damageAdj</v>
      </c>
      <c r="C1421" s="44" t="str">
        <f xml:space="preserve"> INDEX( co_scalarInfo[scalarLabel], MATCH( scalarDataframe[[#This Row],[scalarName]], co_scalarInfo[scalarName], 0 ) )</f>
        <v>Road Miles and Population Adjustment Factor (Proactive Adaptation)</v>
      </c>
      <c r="D1421" s="24" t="s">
        <v>1428</v>
      </c>
      <c r="E1421" s="17" t="s">
        <v>11</v>
      </c>
      <c r="F1421" s="25">
        <v>2040</v>
      </c>
      <c r="G1421" s="26">
        <v>1.0250120344632698</v>
      </c>
    </row>
    <row r="1422" spans="1:7" x14ac:dyDescent="0.35">
      <c r="A1422" s="9">
        <f xml:space="preserve"> ROW( scalarDataframe[[#This Row],[row_id]] ) - ROW( scalarDataframe[[#Headers],[row_id]] )</f>
        <v>1421</v>
      </c>
      <c r="B1422" s="16" t="str">
        <f xml:space="preserve"> INDEX( co_scalarInfo[scalarType], MATCH( scalarDataframe[[#This Row],[scalarName]],  co_scalarInfo[scalarName], 0 ) )</f>
        <v>damageAdj</v>
      </c>
      <c r="C1422" s="44" t="str">
        <f xml:space="preserve"> INDEX( co_scalarInfo[scalarLabel], MATCH( scalarDataframe[[#This Row],[scalarName]], co_scalarInfo[scalarName], 0 ) )</f>
        <v>Road Miles and Population Adjustment Factor (Proactive Adaptation)</v>
      </c>
      <c r="D1422" s="24" t="s">
        <v>1428</v>
      </c>
      <c r="E1422" s="17" t="s">
        <v>11</v>
      </c>
      <c r="F1422" s="25">
        <v>2045</v>
      </c>
      <c r="G1422" s="26">
        <v>1.0272792660680254</v>
      </c>
    </row>
    <row r="1423" spans="1:7" x14ac:dyDescent="0.35">
      <c r="A1423" s="9">
        <f xml:space="preserve"> ROW( scalarDataframe[[#This Row],[row_id]] ) - ROW( scalarDataframe[[#Headers],[row_id]] )</f>
        <v>1422</v>
      </c>
      <c r="B1423" s="16" t="str">
        <f xml:space="preserve"> INDEX( co_scalarInfo[scalarType], MATCH( scalarDataframe[[#This Row],[scalarName]],  co_scalarInfo[scalarName], 0 ) )</f>
        <v>damageAdj</v>
      </c>
      <c r="C1423" s="44" t="str">
        <f xml:space="preserve"> INDEX( co_scalarInfo[scalarLabel], MATCH( scalarDataframe[[#This Row],[scalarName]], co_scalarInfo[scalarName], 0 ) )</f>
        <v>Road Miles and Population Adjustment Factor (Proactive Adaptation)</v>
      </c>
      <c r="D1423" s="24" t="s">
        <v>1428</v>
      </c>
      <c r="E1423" s="17" t="s">
        <v>11</v>
      </c>
      <c r="F1423" s="25">
        <v>2050</v>
      </c>
      <c r="G1423" s="26">
        <v>1.0352786545612753</v>
      </c>
    </row>
    <row r="1424" spans="1:7" x14ac:dyDescent="0.35">
      <c r="A1424" s="9">
        <f xml:space="preserve"> ROW( scalarDataframe[[#This Row],[row_id]] ) - ROW( scalarDataframe[[#Headers],[row_id]] )</f>
        <v>1423</v>
      </c>
      <c r="B1424" s="16" t="str">
        <f xml:space="preserve"> INDEX( co_scalarInfo[scalarType], MATCH( scalarDataframe[[#This Row],[scalarName]],  co_scalarInfo[scalarName], 0 ) )</f>
        <v>damageAdj</v>
      </c>
      <c r="C1424" s="44" t="str">
        <f xml:space="preserve"> INDEX( co_scalarInfo[scalarLabel], MATCH( scalarDataframe[[#This Row],[scalarName]], co_scalarInfo[scalarName], 0 ) )</f>
        <v>Road Miles and Population Adjustment Factor (Proactive Adaptation)</v>
      </c>
      <c r="D1424" s="24" t="s">
        <v>1428</v>
      </c>
      <c r="E1424" s="17" t="s">
        <v>11</v>
      </c>
      <c r="F1424" s="25">
        <v>2055</v>
      </c>
      <c r="G1424" s="26">
        <v>1.0536102672277987</v>
      </c>
    </row>
    <row r="1425" spans="1:7" x14ac:dyDescent="0.35">
      <c r="A1425" s="9">
        <f xml:space="preserve"> ROW( scalarDataframe[[#This Row],[row_id]] ) - ROW( scalarDataframe[[#Headers],[row_id]] )</f>
        <v>1424</v>
      </c>
      <c r="B1425" s="16" t="str">
        <f xml:space="preserve"> INDEX( co_scalarInfo[scalarType], MATCH( scalarDataframe[[#This Row],[scalarName]],  co_scalarInfo[scalarName], 0 ) )</f>
        <v>damageAdj</v>
      </c>
      <c r="C1425" s="44" t="str">
        <f xml:space="preserve"> INDEX( co_scalarInfo[scalarLabel], MATCH( scalarDataframe[[#This Row],[scalarName]], co_scalarInfo[scalarName], 0 ) )</f>
        <v>Road Miles and Population Adjustment Factor (Proactive Adaptation)</v>
      </c>
      <c r="D1425" s="24" t="s">
        <v>1428</v>
      </c>
      <c r="E1425" s="17" t="s">
        <v>11</v>
      </c>
      <c r="F1425" s="25">
        <v>2060</v>
      </c>
      <c r="G1425" s="26">
        <v>1.0421143083840305</v>
      </c>
    </row>
    <row r="1426" spans="1:7" x14ac:dyDescent="0.35">
      <c r="A1426" s="9">
        <f xml:space="preserve"> ROW( scalarDataframe[[#This Row],[row_id]] ) - ROW( scalarDataframe[[#Headers],[row_id]] )</f>
        <v>1425</v>
      </c>
      <c r="B1426" s="16" t="str">
        <f xml:space="preserve"> INDEX( co_scalarInfo[scalarType], MATCH( scalarDataframe[[#This Row],[scalarName]],  co_scalarInfo[scalarName], 0 ) )</f>
        <v>damageAdj</v>
      </c>
      <c r="C1426" s="44" t="str">
        <f xml:space="preserve"> INDEX( co_scalarInfo[scalarLabel], MATCH( scalarDataframe[[#This Row],[scalarName]], co_scalarInfo[scalarName], 0 ) )</f>
        <v>Road Miles and Population Adjustment Factor (Proactive Adaptation)</v>
      </c>
      <c r="D1426" s="24" t="s">
        <v>1428</v>
      </c>
      <c r="E1426" s="17" t="s">
        <v>11</v>
      </c>
      <c r="F1426" s="25">
        <v>2065</v>
      </c>
      <c r="G1426" s="26">
        <v>1.0420275437951636</v>
      </c>
    </row>
    <row r="1427" spans="1:7" x14ac:dyDescent="0.35">
      <c r="A1427" s="9">
        <f xml:space="preserve"> ROW( scalarDataframe[[#This Row],[row_id]] ) - ROW( scalarDataframe[[#Headers],[row_id]] )</f>
        <v>1426</v>
      </c>
      <c r="B1427" s="16" t="str">
        <f xml:space="preserve"> INDEX( co_scalarInfo[scalarType], MATCH( scalarDataframe[[#This Row],[scalarName]],  co_scalarInfo[scalarName], 0 ) )</f>
        <v>damageAdj</v>
      </c>
      <c r="C1427" s="44" t="str">
        <f xml:space="preserve"> INDEX( co_scalarInfo[scalarLabel], MATCH( scalarDataframe[[#This Row],[scalarName]], co_scalarInfo[scalarName], 0 ) )</f>
        <v>Road Miles and Population Adjustment Factor (Proactive Adaptation)</v>
      </c>
      <c r="D1427" s="24" t="s">
        <v>1428</v>
      </c>
      <c r="E1427" s="17" t="s">
        <v>11</v>
      </c>
      <c r="F1427" s="25">
        <v>2070</v>
      </c>
      <c r="G1427" s="26">
        <v>1.0506310448253937</v>
      </c>
    </row>
    <row r="1428" spans="1:7" x14ac:dyDescent="0.35">
      <c r="A1428" s="9">
        <f xml:space="preserve"> ROW( scalarDataframe[[#This Row],[row_id]] ) - ROW( scalarDataframe[[#Headers],[row_id]] )</f>
        <v>1427</v>
      </c>
      <c r="B1428" s="16" t="str">
        <f xml:space="preserve"> INDEX( co_scalarInfo[scalarType], MATCH( scalarDataframe[[#This Row],[scalarName]],  co_scalarInfo[scalarName], 0 ) )</f>
        <v>damageAdj</v>
      </c>
      <c r="C1428" s="44" t="str">
        <f xml:space="preserve"> INDEX( co_scalarInfo[scalarLabel], MATCH( scalarDataframe[[#This Row],[scalarName]], co_scalarInfo[scalarName], 0 ) )</f>
        <v>Road Miles and Population Adjustment Factor (Proactive Adaptation)</v>
      </c>
      <c r="D1428" s="24" t="s">
        <v>1428</v>
      </c>
      <c r="E1428" s="17" t="s">
        <v>11</v>
      </c>
      <c r="F1428" s="25">
        <v>2075</v>
      </c>
      <c r="G1428" s="26">
        <v>1.0750007291660089</v>
      </c>
    </row>
    <row r="1429" spans="1:7" x14ac:dyDescent="0.35">
      <c r="A1429" s="9">
        <f xml:space="preserve"> ROW( scalarDataframe[[#This Row],[row_id]] ) - ROW( scalarDataframe[[#Headers],[row_id]] )</f>
        <v>1428</v>
      </c>
      <c r="B1429" s="16" t="str">
        <f xml:space="preserve"> INDEX( co_scalarInfo[scalarType], MATCH( scalarDataframe[[#This Row],[scalarName]],  co_scalarInfo[scalarName], 0 ) )</f>
        <v>damageAdj</v>
      </c>
      <c r="C1429" s="44" t="str">
        <f xml:space="preserve"> INDEX( co_scalarInfo[scalarLabel], MATCH( scalarDataframe[[#This Row],[scalarName]], co_scalarInfo[scalarName], 0 ) )</f>
        <v>Road Miles and Population Adjustment Factor (Proactive Adaptation)</v>
      </c>
      <c r="D1429" s="24" t="s">
        <v>1428</v>
      </c>
      <c r="E1429" s="17" t="s">
        <v>11</v>
      </c>
      <c r="F1429" s="25">
        <v>2080</v>
      </c>
      <c r="G1429" s="26">
        <v>1.0569820128789529</v>
      </c>
    </row>
    <row r="1430" spans="1:7" x14ac:dyDescent="0.35">
      <c r="A1430" s="9">
        <f xml:space="preserve"> ROW( scalarDataframe[[#This Row],[row_id]] ) - ROW( scalarDataframe[[#Headers],[row_id]] )</f>
        <v>1429</v>
      </c>
      <c r="B1430" s="16" t="str">
        <f xml:space="preserve"> INDEX( co_scalarInfo[scalarType], MATCH( scalarDataframe[[#This Row],[scalarName]],  co_scalarInfo[scalarName], 0 ) )</f>
        <v>damageAdj</v>
      </c>
      <c r="C1430" s="44" t="str">
        <f xml:space="preserve"> INDEX( co_scalarInfo[scalarLabel], MATCH( scalarDataframe[[#This Row],[scalarName]], co_scalarInfo[scalarName], 0 ) )</f>
        <v>Road Miles and Population Adjustment Factor (Proactive Adaptation)</v>
      </c>
      <c r="D1430" s="24" t="s">
        <v>1428</v>
      </c>
      <c r="E1430" s="17" t="s">
        <v>11</v>
      </c>
      <c r="F1430" s="25">
        <v>2085</v>
      </c>
      <c r="G1430" s="26">
        <v>1.0545888047461724</v>
      </c>
    </row>
    <row r="1431" spans="1:7" x14ac:dyDescent="0.35">
      <c r="A1431" s="9">
        <f xml:space="preserve"> ROW( scalarDataframe[[#This Row],[row_id]] ) - ROW( scalarDataframe[[#Headers],[row_id]] )</f>
        <v>1430</v>
      </c>
      <c r="B1431" s="16" t="str">
        <f xml:space="preserve"> INDEX( co_scalarInfo[scalarType], MATCH( scalarDataframe[[#This Row],[scalarName]],  co_scalarInfo[scalarName], 0 ) )</f>
        <v>damageAdj</v>
      </c>
      <c r="C1431" s="44" t="str">
        <f xml:space="preserve"> INDEX( co_scalarInfo[scalarLabel], MATCH( scalarDataframe[[#This Row],[scalarName]], co_scalarInfo[scalarName], 0 ) )</f>
        <v>Road Miles and Population Adjustment Factor (Proactive Adaptation)</v>
      </c>
      <c r="D1431" s="24" t="s">
        <v>1428</v>
      </c>
      <c r="E1431" s="17" t="s">
        <v>11</v>
      </c>
      <c r="F1431" s="25">
        <v>2090</v>
      </c>
      <c r="G1431" s="26">
        <v>1.062875391822603</v>
      </c>
    </row>
    <row r="1432" spans="1:7" x14ac:dyDescent="0.35">
      <c r="A1432" s="9">
        <f xml:space="preserve"> ROW( scalarDataframe[[#This Row],[row_id]] ) - ROW( scalarDataframe[[#Headers],[row_id]] )</f>
        <v>1431</v>
      </c>
      <c r="B1432" s="16" t="str">
        <f xml:space="preserve"> INDEX( co_scalarInfo[scalarType], MATCH( scalarDataframe[[#This Row],[scalarName]],  co_scalarInfo[scalarName], 0 ) )</f>
        <v>damageAdj</v>
      </c>
      <c r="C1432" s="44" t="str">
        <f xml:space="preserve"> INDEX( co_scalarInfo[scalarLabel], MATCH( scalarDataframe[[#This Row],[scalarName]], co_scalarInfo[scalarName], 0 ) )</f>
        <v>Road Miles and Population Adjustment Factor (Proactive Adaptation)</v>
      </c>
      <c r="D1432" s="24" t="s">
        <v>1428</v>
      </c>
      <c r="E1432" s="17" t="s">
        <v>12</v>
      </c>
      <c r="F1432" s="25">
        <v>2010</v>
      </c>
      <c r="G1432" s="26">
        <v>0.97124240092138137</v>
      </c>
    </row>
    <row r="1433" spans="1:7" x14ac:dyDescent="0.35">
      <c r="A1433" s="9">
        <f xml:space="preserve"> ROW( scalarDataframe[[#This Row],[row_id]] ) - ROW( scalarDataframe[[#Headers],[row_id]] )</f>
        <v>1432</v>
      </c>
      <c r="B1433" s="16" t="str">
        <f xml:space="preserve"> INDEX( co_scalarInfo[scalarType], MATCH( scalarDataframe[[#This Row],[scalarName]],  co_scalarInfo[scalarName], 0 ) )</f>
        <v>damageAdj</v>
      </c>
      <c r="C1433" s="44" t="str">
        <f xml:space="preserve"> INDEX( co_scalarInfo[scalarLabel], MATCH( scalarDataframe[[#This Row],[scalarName]], co_scalarInfo[scalarName], 0 ) )</f>
        <v>Road Miles and Population Adjustment Factor (Proactive Adaptation)</v>
      </c>
      <c r="D1433" s="24" t="s">
        <v>1428</v>
      </c>
      <c r="E1433" s="17" t="s">
        <v>12</v>
      </c>
      <c r="F1433" s="25">
        <v>2015</v>
      </c>
      <c r="G1433" s="26">
        <v>0.98523472797814593</v>
      </c>
    </row>
    <row r="1434" spans="1:7" x14ac:dyDescent="0.35">
      <c r="A1434" s="9">
        <f xml:space="preserve"> ROW( scalarDataframe[[#This Row],[row_id]] ) - ROW( scalarDataframe[[#Headers],[row_id]] )</f>
        <v>1433</v>
      </c>
      <c r="B1434" s="16" t="str">
        <f xml:space="preserve"> INDEX( co_scalarInfo[scalarType], MATCH( scalarDataframe[[#This Row],[scalarName]],  co_scalarInfo[scalarName], 0 ) )</f>
        <v>damageAdj</v>
      </c>
      <c r="C1434" s="44" t="str">
        <f xml:space="preserve"> INDEX( co_scalarInfo[scalarLabel], MATCH( scalarDataframe[[#This Row],[scalarName]], co_scalarInfo[scalarName], 0 ) )</f>
        <v>Road Miles and Population Adjustment Factor (Proactive Adaptation)</v>
      </c>
      <c r="D1434" s="24" t="s">
        <v>1428</v>
      </c>
      <c r="E1434" s="17" t="s">
        <v>12</v>
      </c>
      <c r="F1434" s="25">
        <v>2020</v>
      </c>
      <c r="G1434" s="26">
        <v>1.0084722327138929</v>
      </c>
    </row>
    <row r="1435" spans="1:7" x14ac:dyDescent="0.35">
      <c r="A1435" s="9">
        <f xml:space="preserve"> ROW( scalarDataframe[[#This Row],[row_id]] ) - ROW( scalarDataframe[[#Headers],[row_id]] )</f>
        <v>1434</v>
      </c>
      <c r="B1435" s="16" t="str">
        <f xml:space="preserve"> INDEX( co_scalarInfo[scalarType], MATCH( scalarDataframe[[#This Row],[scalarName]],  co_scalarInfo[scalarName], 0 ) )</f>
        <v>damageAdj</v>
      </c>
      <c r="C1435" s="44" t="str">
        <f xml:space="preserve"> INDEX( co_scalarInfo[scalarLabel], MATCH( scalarDataframe[[#This Row],[scalarName]], co_scalarInfo[scalarName], 0 ) )</f>
        <v>Road Miles and Population Adjustment Factor (Proactive Adaptation)</v>
      </c>
      <c r="D1435" s="24" t="s">
        <v>1428</v>
      </c>
      <c r="E1435" s="17" t="s">
        <v>12</v>
      </c>
      <c r="F1435" s="25">
        <v>2025</v>
      </c>
      <c r="G1435" s="26">
        <v>1.0273954741722957</v>
      </c>
    </row>
    <row r="1436" spans="1:7" x14ac:dyDescent="0.35">
      <c r="A1436" s="9">
        <f xml:space="preserve"> ROW( scalarDataframe[[#This Row],[row_id]] ) - ROW( scalarDataframe[[#Headers],[row_id]] )</f>
        <v>1435</v>
      </c>
      <c r="B1436" s="16" t="str">
        <f xml:space="preserve"> INDEX( co_scalarInfo[scalarType], MATCH( scalarDataframe[[#This Row],[scalarName]],  co_scalarInfo[scalarName], 0 ) )</f>
        <v>damageAdj</v>
      </c>
      <c r="C1436" s="44" t="str">
        <f xml:space="preserve"> INDEX( co_scalarInfo[scalarLabel], MATCH( scalarDataframe[[#This Row],[scalarName]], co_scalarInfo[scalarName], 0 ) )</f>
        <v>Road Miles and Population Adjustment Factor (Proactive Adaptation)</v>
      </c>
      <c r="D1436" s="24" t="s">
        <v>1428</v>
      </c>
      <c r="E1436" s="17" t="s">
        <v>12</v>
      </c>
      <c r="F1436" s="25">
        <v>2030</v>
      </c>
      <c r="G1436" s="26">
        <v>1.0383199091780975</v>
      </c>
    </row>
    <row r="1437" spans="1:7" x14ac:dyDescent="0.35">
      <c r="A1437" s="9">
        <f xml:space="preserve"> ROW( scalarDataframe[[#This Row],[row_id]] ) - ROW( scalarDataframe[[#Headers],[row_id]] )</f>
        <v>1436</v>
      </c>
      <c r="B1437" s="16" t="str">
        <f xml:space="preserve"> INDEX( co_scalarInfo[scalarType], MATCH( scalarDataframe[[#This Row],[scalarName]],  co_scalarInfo[scalarName], 0 ) )</f>
        <v>damageAdj</v>
      </c>
      <c r="C1437" s="44" t="str">
        <f xml:space="preserve"> INDEX( co_scalarInfo[scalarLabel], MATCH( scalarDataframe[[#This Row],[scalarName]], co_scalarInfo[scalarName], 0 ) )</f>
        <v>Road Miles and Population Adjustment Factor (Proactive Adaptation)</v>
      </c>
      <c r="D1437" s="24" t="s">
        <v>1428</v>
      </c>
      <c r="E1437" s="17" t="s">
        <v>12</v>
      </c>
      <c r="F1437" s="25">
        <v>2035</v>
      </c>
      <c r="G1437" s="26">
        <v>1.071034940348615</v>
      </c>
    </row>
    <row r="1438" spans="1:7" x14ac:dyDescent="0.35">
      <c r="A1438" s="9">
        <f xml:space="preserve"> ROW( scalarDataframe[[#This Row],[row_id]] ) - ROW( scalarDataframe[[#Headers],[row_id]] )</f>
        <v>1437</v>
      </c>
      <c r="B1438" s="16" t="str">
        <f xml:space="preserve"> INDEX( co_scalarInfo[scalarType], MATCH( scalarDataframe[[#This Row],[scalarName]],  co_scalarInfo[scalarName], 0 ) )</f>
        <v>damageAdj</v>
      </c>
      <c r="C1438" s="44" t="str">
        <f xml:space="preserve"> INDEX( co_scalarInfo[scalarLabel], MATCH( scalarDataframe[[#This Row],[scalarName]], co_scalarInfo[scalarName], 0 ) )</f>
        <v>Road Miles and Population Adjustment Factor (Proactive Adaptation)</v>
      </c>
      <c r="D1438" s="24" t="s">
        <v>1428</v>
      </c>
      <c r="E1438" s="17" t="s">
        <v>12</v>
      </c>
      <c r="F1438" s="25">
        <v>2040</v>
      </c>
      <c r="G1438" s="26">
        <v>1.0806242834758679</v>
      </c>
    </row>
    <row r="1439" spans="1:7" x14ac:dyDescent="0.35">
      <c r="A1439" s="9">
        <f xml:space="preserve"> ROW( scalarDataframe[[#This Row],[row_id]] ) - ROW( scalarDataframe[[#Headers],[row_id]] )</f>
        <v>1438</v>
      </c>
      <c r="B1439" s="16" t="str">
        <f xml:space="preserve"> INDEX( co_scalarInfo[scalarType], MATCH( scalarDataframe[[#This Row],[scalarName]],  co_scalarInfo[scalarName], 0 ) )</f>
        <v>damageAdj</v>
      </c>
      <c r="C1439" s="44" t="str">
        <f xml:space="preserve"> INDEX( co_scalarInfo[scalarLabel], MATCH( scalarDataframe[[#This Row],[scalarName]], co_scalarInfo[scalarName], 0 ) )</f>
        <v>Road Miles and Population Adjustment Factor (Proactive Adaptation)</v>
      </c>
      <c r="D1439" s="24" t="s">
        <v>1428</v>
      </c>
      <c r="E1439" s="17" t="s">
        <v>12</v>
      </c>
      <c r="F1439" s="25">
        <v>2045</v>
      </c>
      <c r="G1439" s="26">
        <v>1.096028869063455</v>
      </c>
    </row>
    <row r="1440" spans="1:7" x14ac:dyDescent="0.35">
      <c r="A1440" s="9">
        <f xml:space="preserve"> ROW( scalarDataframe[[#This Row],[row_id]] ) - ROW( scalarDataframe[[#Headers],[row_id]] )</f>
        <v>1439</v>
      </c>
      <c r="B1440" s="16" t="str">
        <f xml:space="preserve"> INDEX( co_scalarInfo[scalarType], MATCH( scalarDataframe[[#This Row],[scalarName]],  co_scalarInfo[scalarName], 0 ) )</f>
        <v>damageAdj</v>
      </c>
      <c r="C1440" s="44" t="str">
        <f xml:space="preserve"> INDEX( co_scalarInfo[scalarLabel], MATCH( scalarDataframe[[#This Row],[scalarName]], co_scalarInfo[scalarName], 0 ) )</f>
        <v>Road Miles and Population Adjustment Factor (Proactive Adaptation)</v>
      </c>
      <c r="D1440" s="24" t="s">
        <v>1428</v>
      </c>
      <c r="E1440" s="17" t="s">
        <v>12</v>
      </c>
      <c r="F1440" s="25">
        <v>2050</v>
      </c>
      <c r="G1440" s="26">
        <v>1.1035738968516009</v>
      </c>
    </row>
    <row r="1441" spans="1:7" x14ac:dyDescent="0.35">
      <c r="A1441" s="9">
        <f xml:space="preserve"> ROW( scalarDataframe[[#This Row],[row_id]] ) - ROW( scalarDataframe[[#Headers],[row_id]] )</f>
        <v>1440</v>
      </c>
      <c r="B1441" s="16" t="str">
        <f xml:space="preserve"> INDEX( co_scalarInfo[scalarType], MATCH( scalarDataframe[[#This Row],[scalarName]],  co_scalarInfo[scalarName], 0 ) )</f>
        <v>damageAdj</v>
      </c>
      <c r="C1441" s="44" t="str">
        <f xml:space="preserve"> INDEX( co_scalarInfo[scalarLabel], MATCH( scalarDataframe[[#This Row],[scalarName]], co_scalarInfo[scalarName], 0 ) )</f>
        <v>Road Miles and Population Adjustment Factor (Proactive Adaptation)</v>
      </c>
      <c r="D1441" s="24" t="s">
        <v>1428</v>
      </c>
      <c r="E1441" s="17" t="s">
        <v>12</v>
      </c>
      <c r="F1441" s="25">
        <v>2055</v>
      </c>
      <c r="G1441" s="26">
        <v>1.1477178396705847</v>
      </c>
    </row>
    <row r="1442" spans="1:7" x14ac:dyDescent="0.35">
      <c r="A1442" s="9">
        <f xml:space="preserve"> ROW( scalarDataframe[[#This Row],[row_id]] ) - ROW( scalarDataframe[[#Headers],[row_id]] )</f>
        <v>1441</v>
      </c>
      <c r="B1442" s="16" t="str">
        <f xml:space="preserve"> INDEX( co_scalarInfo[scalarType], MATCH( scalarDataframe[[#This Row],[scalarName]],  co_scalarInfo[scalarName], 0 ) )</f>
        <v>damageAdj</v>
      </c>
      <c r="C1442" s="44" t="str">
        <f xml:space="preserve"> INDEX( co_scalarInfo[scalarLabel], MATCH( scalarDataframe[[#This Row],[scalarName]], co_scalarInfo[scalarName], 0 ) )</f>
        <v>Road Miles and Population Adjustment Factor (Proactive Adaptation)</v>
      </c>
      <c r="D1442" s="24" t="s">
        <v>1428</v>
      </c>
      <c r="E1442" s="17" t="s">
        <v>12</v>
      </c>
      <c r="F1442" s="25">
        <v>2060</v>
      </c>
      <c r="G1442" s="26">
        <v>1.1443295820061026</v>
      </c>
    </row>
    <row r="1443" spans="1:7" x14ac:dyDescent="0.35">
      <c r="A1443" s="9">
        <f xml:space="preserve"> ROW( scalarDataframe[[#This Row],[row_id]] ) - ROW( scalarDataframe[[#Headers],[row_id]] )</f>
        <v>1442</v>
      </c>
      <c r="B1443" s="16" t="str">
        <f xml:space="preserve"> INDEX( co_scalarInfo[scalarType], MATCH( scalarDataframe[[#This Row],[scalarName]],  co_scalarInfo[scalarName], 0 ) )</f>
        <v>damageAdj</v>
      </c>
      <c r="C1443" s="44" t="str">
        <f xml:space="preserve"> INDEX( co_scalarInfo[scalarLabel], MATCH( scalarDataframe[[#This Row],[scalarName]], co_scalarInfo[scalarName], 0 ) )</f>
        <v>Road Miles and Population Adjustment Factor (Proactive Adaptation)</v>
      </c>
      <c r="D1443" s="24" t="s">
        <v>1428</v>
      </c>
      <c r="E1443" s="17" t="s">
        <v>12</v>
      </c>
      <c r="F1443" s="25">
        <v>2065</v>
      </c>
      <c r="G1443" s="26">
        <v>1.1541982909697466</v>
      </c>
    </row>
    <row r="1444" spans="1:7" x14ac:dyDescent="0.35">
      <c r="A1444" s="9">
        <f xml:space="preserve"> ROW( scalarDataframe[[#This Row],[row_id]] ) - ROW( scalarDataframe[[#Headers],[row_id]] )</f>
        <v>1443</v>
      </c>
      <c r="B1444" s="16" t="str">
        <f xml:space="preserve"> INDEX( co_scalarInfo[scalarType], MATCH( scalarDataframe[[#This Row],[scalarName]],  co_scalarInfo[scalarName], 0 ) )</f>
        <v>damageAdj</v>
      </c>
      <c r="C1444" s="44" t="str">
        <f xml:space="preserve"> INDEX( co_scalarInfo[scalarLabel], MATCH( scalarDataframe[[#This Row],[scalarName]], co_scalarInfo[scalarName], 0 ) )</f>
        <v>Road Miles and Population Adjustment Factor (Proactive Adaptation)</v>
      </c>
      <c r="D1444" s="24" t="s">
        <v>1428</v>
      </c>
      <c r="E1444" s="17" t="s">
        <v>12</v>
      </c>
      <c r="F1444" s="25">
        <v>2070</v>
      </c>
      <c r="G1444" s="26">
        <v>1.1585511076900143</v>
      </c>
    </row>
    <row r="1445" spans="1:7" x14ac:dyDescent="0.35">
      <c r="A1445" s="9">
        <f xml:space="preserve"> ROW( scalarDataframe[[#This Row],[row_id]] ) - ROW( scalarDataframe[[#Headers],[row_id]] )</f>
        <v>1444</v>
      </c>
      <c r="B1445" s="16" t="str">
        <f xml:space="preserve"> INDEX( co_scalarInfo[scalarType], MATCH( scalarDataframe[[#This Row],[scalarName]],  co_scalarInfo[scalarName], 0 ) )</f>
        <v>damageAdj</v>
      </c>
      <c r="C1445" s="44" t="str">
        <f xml:space="preserve"> INDEX( co_scalarInfo[scalarLabel], MATCH( scalarDataframe[[#This Row],[scalarName]], co_scalarInfo[scalarName], 0 ) )</f>
        <v>Road Miles and Population Adjustment Factor (Proactive Adaptation)</v>
      </c>
      <c r="D1445" s="24" t="s">
        <v>1428</v>
      </c>
      <c r="E1445" s="17" t="s">
        <v>12</v>
      </c>
      <c r="F1445" s="25">
        <v>2075</v>
      </c>
      <c r="G1445" s="26">
        <v>1.2164338581475647</v>
      </c>
    </row>
    <row r="1446" spans="1:7" x14ac:dyDescent="0.35">
      <c r="A1446" s="9">
        <f xml:space="preserve"> ROW( scalarDataframe[[#This Row],[row_id]] ) - ROW( scalarDataframe[[#Headers],[row_id]] )</f>
        <v>1445</v>
      </c>
      <c r="B1446" s="16" t="str">
        <f xml:space="preserve"> INDEX( co_scalarInfo[scalarType], MATCH( scalarDataframe[[#This Row],[scalarName]],  co_scalarInfo[scalarName], 0 ) )</f>
        <v>damageAdj</v>
      </c>
      <c r="C1446" s="44" t="str">
        <f xml:space="preserve"> INDEX( co_scalarInfo[scalarLabel], MATCH( scalarDataframe[[#This Row],[scalarName]], co_scalarInfo[scalarName], 0 ) )</f>
        <v>Road Miles and Population Adjustment Factor (Proactive Adaptation)</v>
      </c>
      <c r="D1446" s="24" t="s">
        <v>1428</v>
      </c>
      <c r="E1446" s="17" t="s">
        <v>12</v>
      </c>
      <c r="F1446" s="25">
        <v>2080</v>
      </c>
      <c r="G1446" s="26">
        <v>1.2016470685781482</v>
      </c>
    </row>
    <row r="1447" spans="1:7" x14ac:dyDescent="0.35">
      <c r="A1447" s="9">
        <f xml:space="preserve"> ROW( scalarDataframe[[#This Row],[row_id]] ) - ROW( scalarDataframe[[#Headers],[row_id]] )</f>
        <v>1446</v>
      </c>
      <c r="B1447" s="16" t="str">
        <f xml:space="preserve"> INDEX( co_scalarInfo[scalarType], MATCH( scalarDataframe[[#This Row],[scalarName]],  co_scalarInfo[scalarName], 0 ) )</f>
        <v>damageAdj</v>
      </c>
      <c r="C1447" s="44" t="str">
        <f xml:space="preserve"> INDEX( co_scalarInfo[scalarLabel], MATCH( scalarDataframe[[#This Row],[scalarName]], co_scalarInfo[scalarName], 0 ) )</f>
        <v>Road Miles and Population Adjustment Factor (Proactive Adaptation)</v>
      </c>
      <c r="D1447" s="24" t="s">
        <v>1428</v>
      </c>
      <c r="E1447" s="17" t="s">
        <v>12</v>
      </c>
      <c r="F1447" s="25">
        <v>2085</v>
      </c>
      <c r="G1447" s="26">
        <v>1.2035209148308079</v>
      </c>
    </row>
    <row r="1448" spans="1:7" x14ac:dyDescent="0.35">
      <c r="A1448" s="9">
        <f xml:space="preserve"> ROW( scalarDataframe[[#This Row],[row_id]] ) - ROW( scalarDataframe[[#Headers],[row_id]] )</f>
        <v>1447</v>
      </c>
      <c r="B1448" s="16" t="str">
        <f xml:space="preserve"> INDEX( co_scalarInfo[scalarType], MATCH( scalarDataframe[[#This Row],[scalarName]],  co_scalarInfo[scalarName], 0 ) )</f>
        <v>damageAdj</v>
      </c>
      <c r="C1448" s="44" t="str">
        <f xml:space="preserve"> INDEX( co_scalarInfo[scalarLabel], MATCH( scalarDataframe[[#This Row],[scalarName]], co_scalarInfo[scalarName], 0 ) )</f>
        <v>Road Miles and Population Adjustment Factor (Proactive Adaptation)</v>
      </c>
      <c r="D1448" s="24" t="s">
        <v>1428</v>
      </c>
      <c r="E1448" s="17" t="s">
        <v>12</v>
      </c>
      <c r="F1448" s="25">
        <v>2090</v>
      </c>
      <c r="G1448" s="26">
        <v>1.2009383366693149</v>
      </c>
    </row>
    <row r="1449" spans="1:7" x14ac:dyDescent="0.35">
      <c r="A1449" s="9">
        <f xml:space="preserve"> ROW( scalarDataframe[[#This Row],[row_id]] ) - ROW( scalarDataframe[[#Headers],[row_id]] )</f>
        <v>1448</v>
      </c>
      <c r="B1449" s="16" t="str">
        <f xml:space="preserve"> INDEX( co_scalarInfo[scalarType], MATCH( scalarDataframe[[#This Row],[scalarName]],  co_scalarInfo[scalarName], 0 ) )</f>
        <v>damageAdj</v>
      </c>
      <c r="C1449" s="44" t="str">
        <f xml:space="preserve"> INDEX( co_scalarInfo[scalarLabel], MATCH( scalarDataframe[[#This Row],[scalarName]], co_scalarInfo[scalarName], 0 ) )</f>
        <v>Road Miles and Population Adjustment Factor (No Adaptation and Reactive Adaptation)</v>
      </c>
      <c r="D1449" s="24" t="s">
        <v>1431</v>
      </c>
      <c r="E1449" s="17" t="s">
        <v>6</v>
      </c>
      <c r="F1449" s="25">
        <v>2100</v>
      </c>
      <c r="G1449" s="26">
        <v>1.032034440028506</v>
      </c>
    </row>
    <row r="1450" spans="1:7" x14ac:dyDescent="0.35">
      <c r="A1450" s="9">
        <f xml:space="preserve"> ROW( scalarDataframe[[#This Row],[row_id]] ) - ROW( scalarDataframe[[#Headers],[row_id]] )</f>
        <v>1449</v>
      </c>
      <c r="B1450" s="16" t="str">
        <f xml:space="preserve"> INDEX( co_scalarInfo[scalarType], MATCH( scalarDataframe[[#This Row],[scalarName]],  co_scalarInfo[scalarName], 0 ) )</f>
        <v>damageAdj</v>
      </c>
      <c r="C1450" s="44" t="str">
        <f xml:space="preserve"> INDEX( co_scalarInfo[scalarLabel], MATCH( scalarDataframe[[#This Row],[scalarName]], co_scalarInfo[scalarName], 0 ) )</f>
        <v>Road Miles and Population Adjustment Factor (No Adaptation and Reactive Adaptation)</v>
      </c>
      <c r="D1450" s="24" t="s">
        <v>1431</v>
      </c>
      <c r="E1450" s="17" t="s">
        <v>7</v>
      </c>
      <c r="F1450" s="25">
        <v>2100</v>
      </c>
      <c r="G1450" s="26">
        <v>1.0248143619752337</v>
      </c>
    </row>
    <row r="1451" spans="1:7" x14ac:dyDescent="0.35">
      <c r="A1451" s="9">
        <f xml:space="preserve"> ROW( scalarDataframe[[#This Row],[row_id]] ) - ROW( scalarDataframe[[#Headers],[row_id]] )</f>
        <v>1450</v>
      </c>
      <c r="B1451" s="16" t="str">
        <f xml:space="preserve"> INDEX( co_scalarInfo[scalarType], MATCH( scalarDataframe[[#This Row],[scalarName]],  co_scalarInfo[scalarName], 0 ) )</f>
        <v>damageAdj</v>
      </c>
      <c r="C1451" s="44" t="str">
        <f xml:space="preserve"> INDEX( co_scalarInfo[scalarLabel], MATCH( scalarDataframe[[#This Row],[scalarName]], co_scalarInfo[scalarName], 0 ) )</f>
        <v>Road Miles and Population Adjustment Factor (No Adaptation and Reactive Adaptation)</v>
      </c>
      <c r="D1451" s="24" t="s">
        <v>1431</v>
      </c>
      <c r="E1451" s="17" t="s">
        <v>8</v>
      </c>
      <c r="F1451" s="25">
        <v>2100</v>
      </c>
      <c r="G1451" s="26">
        <v>1.0568387112503543</v>
      </c>
    </row>
    <row r="1452" spans="1:7" x14ac:dyDescent="0.35">
      <c r="A1452" s="9">
        <f xml:space="preserve"> ROW( scalarDataframe[[#This Row],[row_id]] ) - ROW( scalarDataframe[[#Headers],[row_id]] )</f>
        <v>1451</v>
      </c>
      <c r="B1452" s="16" t="str">
        <f xml:space="preserve"> INDEX( co_scalarInfo[scalarType], MATCH( scalarDataframe[[#This Row],[scalarName]],  co_scalarInfo[scalarName], 0 ) )</f>
        <v>damageAdj</v>
      </c>
      <c r="C1452" s="44" t="str">
        <f xml:space="preserve"> INDEX( co_scalarInfo[scalarLabel], MATCH( scalarDataframe[[#This Row],[scalarName]], co_scalarInfo[scalarName], 0 ) )</f>
        <v>Road Miles and Population Adjustment Factor (No Adaptation and Reactive Adaptation)</v>
      </c>
      <c r="D1452" s="24" t="s">
        <v>1431</v>
      </c>
      <c r="E1452" s="17" t="s">
        <v>9</v>
      </c>
      <c r="F1452" s="25">
        <v>2100</v>
      </c>
      <c r="G1452" s="26">
        <v>1.0550966274798459</v>
      </c>
    </row>
    <row r="1453" spans="1:7" x14ac:dyDescent="0.35">
      <c r="A1453" s="9">
        <f xml:space="preserve"> ROW( scalarDataframe[[#This Row],[row_id]] ) - ROW( scalarDataframe[[#Headers],[row_id]] )</f>
        <v>1452</v>
      </c>
      <c r="B1453" s="16" t="str">
        <f xml:space="preserve"> INDEX( co_scalarInfo[scalarType], MATCH( scalarDataframe[[#This Row],[scalarName]],  co_scalarInfo[scalarName], 0 ) )</f>
        <v>damageAdj</v>
      </c>
      <c r="C1453" s="44" t="str">
        <f xml:space="preserve"> INDEX( co_scalarInfo[scalarLabel], MATCH( scalarDataframe[[#This Row],[scalarName]], co_scalarInfo[scalarName], 0 ) )</f>
        <v>Road Miles and Population Adjustment Factor (No Adaptation and Reactive Adaptation)</v>
      </c>
      <c r="D1453" s="24" t="s">
        <v>1431</v>
      </c>
      <c r="E1453" s="17" t="s">
        <v>10</v>
      </c>
      <c r="F1453" s="25">
        <v>2100</v>
      </c>
      <c r="G1453" s="26">
        <v>1.1355685995276663</v>
      </c>
    </row>
    <row r="1454" spans="1:7" x14ac:dyDescent="0.35">
      <c r="A1454" s="9">
        <f xml:space="preserve"> ROW( scalarDataframe[[#This Row],[row_id]] ) - ROW( scalarDataframe[[#Headers],[row_id]] )</f>
        <v>1453</v>
      </c>
      <c r="B1454" s="16" t="str">
        <f xml:space="preserve"> INDEX( co_scalarInfo[scalarType], MATCH( scalarDataframe[[#This Row],[scalarName]],  co_scalarInfo[scalarName], 0 ) )</f>
        <v>damageAdj</v>
      </c>
      <c r="C1454" s="44" t="str">
        <f xml:space="preserve"> INDEX( co_scalarInfo[scalarLabel], MATCH( scalarDataframe[[#This Row],[scalarName]], co_scalarInfo[scalarName], 0 ) )</f>
        <v>Road Miles and Population Adjustment Factor (No Adaptation and Reactive Adaptation)</v>
      </c>
      <c r="D1454" s="24" t="s">
        <v>1431</v>
      </c>
      <c r="E1454" s="17" t="s">
        <v>11</v>
      </c>
      <c r="F1454" s="25">
        <v>2100</v>
      </c>
      <c r="G1454" s="26">
        <v>1.1235888012987842</v>
      </c>
    </row>
    <row r="1455" spans="1:7" x14ac:dyDescent="0.35">
      <c r="A1455" s="9">
        <f xml:space="preserve"> ROW( scalarDataframe[[#This Row],[row_id]] ) - ROW( scalarDataframe[[#Headers],[row_id]] )</f>
        <v>1454</v>
      </c>
      <c r="B1455" s="16" t="str">
        <f xml:space="preserve"> INDEX( co_scalarInfo[scalarType], MATCH( scalarDataframe[[#This Row],[scalarName]],  co_scalarInfo[scalarName], 0 ) )</f>
        <v>damageAdj</v>
      </c>
      <c r="C1455" s="44" t="str">
        <f xml:space="preserve"> INDEX( co_scalarInfo[scalarLabel], MATCH( scalarDataframe[[#This Row],[scalarName]], co_scalarInfo[scalarName], 0 ) )</f>
        <v>Road Miles and Population Adjustment Factor (No Adaptation and Reactive Adaptation)</v>
      </c>
      <c r="D1455" s="24" t="s">
        <v>1431</v>
      </c>
      <c r="E1455" s="17" t="s">
        <v>12</v>
      </c>
      <c r="F1455" s="25">
        <v>2100</v>
      </c>
      <c r="G1455" s="26">
        <v>1.2878126955168945</v>
      </c>
    </row>
    <row r="1456" spans="1:7" x14ac:dyDescent="0.35">
      <c r="A1456" s="9">
        <f xml:space="preserve"> ROW( scalarDataframe[[#This Row],[row_id]] ) - ROW( scalarDataframe[[#Headers],[row_id]] )</f>
        <v>1455</v>
      </c>
      <c r="B1456" s="16" t="str">
        <f xml:space="preserve"> INDEX( co_scalarInfo[scalarType], MATCH( scalarDataframe[[#This Row],[scalarName]],  co_scalarInfo[scalarName], 0 ) )</f>
        <v>damageAdj</v>
      </c>
      <c r="C1456" s="44" t="str">
        <f xml:space="preserve"> INDEX( co_scalarInfo[scalarLabel], MATCH( scalarDataframe[[#This Row],[scalarName]], co_scalarInfo[scalarName], 0 ) )</f>
        <v>Road Miles and Population Adjustment Factor (No Adaptation and Reactive Adaptation)</v>
      </c>
      <c r="D1456" s="24" t="s">
        <v>1431</v>
      </c>
      <c r="E1456" s="17" t="s">
        <v>6</v>
      </c>
      <c r="F1456" s="25">
        <v>2200</v>
      </c>
      <c r="G1456" s="26">
        <v>1.0504759880366106</v>
      </c>
    </row>
    <row r="1457" spans="1:7" x14ac:dyDescent="0.35">
      <c r="A1457" s="9">
        <f xml:space="preserve"> ROW( scalarDataframe[[#This Row],[row_id]] ) - ROW( scalarDataframe[[#Headers],[row_id]] )</f>
        <v>1456</v>
      </c>
      <c r="B1457" s="16" t="str">
        <f xml:space="preserve"> INDEX( co_scalarInfo[scalarType], MATCH( scalarDataframe[[#This Row],[scalarName]],  co_scalarInfo[scalarName], 0 ) )</f>
        <v>damageAdj</v>
      </c>
      <c r="C1457" s="44" t="str">
        <f xml:space="preserve"> INDEX( co_scalarInfo[scalarLabel], MATCH( scalarDataframe[[#This Row],[scalarName]], co_scalarInfo[scalarName], 0 ) )</f>
        <v>Road Miles and Population Adjustment Factor (No Adaptation and Reactive Adaptation)</v>
      </c>
      <c r="D1457" s="24" t="s">
        <v>1431</v>
      </c>
      <c r="E1457" s="17" t="s">
        <v>7</v>
      </c>
      <c r="F1457" s="25">
        <v>2200</v>
      </c>
      <c r="G1457" s="26">
        <v>1.0436651248877356</v>
      </c>
    </row>
    <row r="1458" spans="1:7" x14ac:dyDescent="0.35">
      <c r="A1458" s="9">
        <f xml:space="preserve"> ROW( scalarDataframe[[#This Row],[row_id]] ) - ROW( scalarDataframe[[#Headers],[row_id]] )</f>
        <v>1457</v>
      </c>
      <c r="B1458" s="16" t="str">
        <f xml:space="preserve"> INDEX( co_scalarInfo[scalarType], MATCH( scalarDataframe[[#This Row],[scalarName]],  co_scalarInfo[scalarName], 0 ) )</f>
        <v>damageAdj</v>
      </c>
      <c r="C1458" s="44" t="str">
        <f xml:space="preserve"> INDEX( co_scalarInfo[scalarLabel], MATCH( scalarDataframe[[#This Row],[scalarName]], co_scalarInfo[scalarName], 0 ) )</f>
        <v>Road Miles and Population Adjustment Factor (No Adaptation and Reactive Adaptation)</v>
      </c>
      <c r="D1458" s="24" t="s">
        <v>1431</v>
      </c>
      <c r="E1458" s="17" t="s">
        <v>8</v>
      </c>
      <c r="F1458" s="25">
        <v>2200</v>
      </c>
      <c r="G1458" s="26">
        <v>1.1186095614440514</v>
      </c>
    </row>
    <row r="1459" spans="1:7" x14ac:dyDescent="0.35">
      <c r="A1459" s="9">
        <f xml:space="preserve"> ROW( scalarDataframe[[#This Row],[row_id]] ) - ROW( scalarDataframe[[#Headers],[row_id]] )</f>
        <v>1458</v>
      </c>
      <c r="B1459" s="16" t="str">
        <f xml:space="preserve"> INDEX( co_scalarInfo[scalarType], MATCH( scalarDataframe[[#This Row],[scalarName]],  co_scalarInfo[scalarName], 0 ) )</f>
        <v>damageAdj</v>
      </c>
      <c r="C1459" s="44" t="str">
        <f xml:space="preserve"> INDEX( co_scalarInfo[scalarLabel], MATCH( scalarDataframe[[#This Row],[scalarName]], co_scalarInfo[scalarName], 0 ) )</f>
        <v>Road Miles and Population Adjustment Factor (No Adaptation and Reactive Adaptation)</v>
      </c>
      <c r="D1459" s="24" t="s">
        <v>1431</v>
      </c>
      <c r="E1459" s="17" t="s">
        <v>9</v>
      </c>
      <c r="F1459" s="25">
        <v>2200</v>
      </c>
      <c r="G1459" s="26">
        <v>1.1005912017516508</v>
      </c>
    </row>
    <row r="1460" spans="1:7" x14ac:dyDescent="0.35">
      <c r="A1460" s="9">
        <f xml:space="preserve"> ROW( scalarDataframe[[#This Row],[row_id]] ) - ROW( scalarDataframe[[#Headers],[row_id]] )</f>
        <v>1459</v>
      </c>
      <c r="B1460" s="16" t="str">
        <f xml:space="preserve"> INDEX( co_scalarInfo[scalarType], MATCH( scalarDataframe[[#This Row],[scalarName]],  co_scalarInfo[scalarName], 0 ) )</f>
        <v>damageAdj</v>
      </c>
      <c r="C1460" s="44" t="str">
        <f xml:space="preserve"> INDEX( co_scalarInfo[scalarLabel], MATCH( scalarDataframe[[#This Row],[scalarName]], co_scalarInfo[scalarName], 0 ) )</f>
        <v>Road Miles and Population Adjustment Factor (No Adaptation and Reactive Adaptation)</v>
      </c>
      <c r="D1460" s="24" t="s">
        <v>1431</v>
      </c>
      <c r="E1460" s="17" t="s">
        <v>10</v>
      </c>
      <c r="F1460" s="25">
        <v>2200</v>
      </c>
      <c r="G1460" s="26">
        <v>1.2668942720115584</v>
      </c>
    </row>
    <row r="1461" spans="1:7" x14ac:dyDescent="0.35">
      <c r="A1461" s="9">
        <f xml:space="preserve"> ROW( scalarDataframe[[#This Row],[row_id]] ) - ROW( scalarDataframe[[#Headers],[row_id]] )</f>
        <v>1460</v>
      </c>
      <c r="B1461" s="16" t="str">
        <f xml:space="preserve"> INDEX( co_scalarInfo[scalarType], MATCH( scalarDataframe[[#This Row],[scalarName]],  co_scalarInfo[scalarName], 0 ) )</f>
        <v>damageAdj</v>
      </c>
      <c r="C1461" s="44" t="str">
        <f xml:space="preserve"> INDEX( co_scalarInfo[scalarLabel], MATCH( scalarDataframe[[#This Row],[scalarName]], co_scalarInfo[scalarName], 0 ) )</f>
        <v>Road Miles and Population Adjustment Factor (No Adaptation and Reactive Adaptation)</v>
      </c>
      <c r="D1461" s="24" t="s">
        <v>1431</v>
      </c>
      <c r="E1461" s="17" t="s">
        <v>11</v>
      </c>
      <c r="F1461" s="25">
        <v>2200</v>
      </c>
      <c r="G1461" s="26">
        <v>1.236559223820749</v>
      </c>
    </row>
    <row r="1462" spans="1:7" x14ac:dyDescent="0.35">
      <c r="A1462" s="9">
        <f xml:space="preserve"> ROW( scalarDataframe[[#This Row],[row_id]] ) - ROW( scalarDataframe[[#Headers],[row_id]] )</f>
        <v>1461</v>
      </c>
      <c r="B1462" s="16" t="str">
        <f xml:space="preserve"> INDEX( co_scalarInfo[scalarType], MATCH( scalarDataframe[[#This Row],[scalarName]],  co_scalarInfo[scalarName], 0 ) )</f>
        <v>damageAdj</v>
      </c>
      <c r="C1462" s="44" t="str">
        <f xml:space="preserve"> INDEX( co_scalarInfo[scalarLabel], MATCH( scalarDataframe[[#This Row],[scalarName]], co_scalarInfo[scalarName], 0 ) )</f>
        <v>Road Miles and Population Adjustment Factor (No Adaptation and Reactive Adaptation)</v>
      </c>
      <c r="D1462" s="24" t="s">
        <v>1431</v>
      </c>
      <c r="E1462" s="17" t="s">
        <v>12</v>
      </c>
      <c r="F1462" s="25">
        <v>2200</v>
      </c>
      <c r="G1462" s="26">
        <v>1.5618543692672002</v>
      </c>
    </row>
    <row r="1463" spans="1:7" x14ac:dyDescent="0.35">
      <c r="A1463" s="9">
        <f xml:space="preserve"> ROW( scalarDataframe[[#This Row],[row_id]] ) - ROW( scalarDataframe[[#Headers],[row_id]] )</f>
        <v>1462</v>
      </c>
      <c r="B1463" s="16" t="str">
        <f xml:space="preserve"> INDEX( co_scalarInfo[scalarType], MATCH( scalarDataframe[[#This Row],[scalarName]],  co_scalarInfo[scalarName], 0 ) )</f>
        <v>damageAdj</v>
      </c>
      <c r="C1463" s="44" t="str">
        <f xml:space="preserve"> INDEX( co_scalarInfo[scalarLabel], MATCH( scalarDataframe[[#This Row],[scalarName]], co_scalarInfo[scalarName], 0 ) )</f>
        <v>Road Miles and Population Adjustment Factor (No Adaptation and Reactive Adaptation)</v>
      </c>
      <c r="D1463" s="24" t="s">
        <v>1431</v>
      </c>
      <c r="E1463" s="17" t="s">
        <v>6</v>
      </c>
      <c r="F1463" s="25">
        <v>2300</v>
      </c>
      <c r="G1463" s="26">
        <v>1.0689175360447152</v>
      </c>
    </row>
    <row r="1464" spans="1:7" x14ac:dyDescent="0.35">
      <c r="A1464" s="9">
        <f xml:space="preserve"> ROW( scalarDataframe[[#This Row],[row_id]] ) - ROW( scalarDataframe[[#Headers],[row_id]] )</f>
        <v>1463</v>
      </c>
      <c r="B1464" s="16" t="str">
        <f xml:space="preserve"> INDEX( co_scalarInfo[scalarType], MATCH( scalarDataframe[[#This Row],[scalarName]],  co_scalarInfo[scalarName], 0 ) )</f>
        <v>damageAdj</v>
      </c>
      <c r="C1464" s="44" t="str">
        <f xml:space="preserve"> INDEX( co_scalarInfo[scalarLabel], MATCH( scalarDataframe[[#This Row],[scalarName]], co_scalarInfo[scalarName], 0 ) )</f>
        <v>Road Miles and Population Adjustment Factor (No Adaptation and Reactive Adaptation)</v>
      </c>
      <c r="D1464" s="24" t="s">
        <v>1431</v>
      </c>
      <c r="E1464" s="17" t="s">
        <v>7</v>
      </c>
      <c r="F1464" s="25">
        <v>2300</v>
      </c>
      <c r="G1464" s="26">
        <v>1.0625158878002374</v>
      </c>
    </row>
    <row r="1465" spans="1:7" x14ac:dyDescent="0.35">
      <c r="A1465" s="9">
        <f xml:space="preserve"> ROW( scalarDataframe[[#This Row],[row_id]] ) - ROW( scalarDataframe[[#Headers],[row_id]] )</f>
        <v>1464</v>
      </c>
      <c r="B1465" s="16" t="str">
        <f xml:space="preserve"> INDEX( co_scalarInfo[scalarType], MATCH( scalarDataframe[[#This Row],[scalarName]],  co_scalarInfo[scalarName], 0 ) )</f>
        <v>damageAdj</v>
      </c>
      <c r="C1465" s="44" t="str">
        <f xml:space="preserve"> INDEX( co_scalarInfo[scalarLabel], MATCH( scalarDataframe[[#This Row],[scalarName]], co_scalarInfo[scalarName], 0 ) )</f>
        <v>Road Miles and Population Adjustment Factor (No Adaptation and Reactive Adaptation)</v>
      </c>
      <c r="D1465" s="24" t="s">
        <v>1431</v>
      </c>
      <c r="E1465" s="17" t="s">
        <v>8</v>
      </c>
      <c r="F1465" s="25">
        <v>2300</v>
      </c>
      <c r="G1465" s="26">
        <v>1.1803804116377485</v>
      </c>
    </row>
    <row r="1466" spans="1:7" x14ac:dyDescent="0.35">
      <c r="A1466" s="9">
        <f xml:space="preserve"> ROW( scalarDataframe[[#This Row],[row_id]] ) - ROW( scalarDataframe[[#Headers],[row_id]] )</f>
        <v>1465</v>
      </c>
      <c r="B1466" s="16" t="str">
        <f xml:space="preserve"> INDEX( co_scalarInfo[scalarType], MATCH( scalarDataframe[[#This Row],[scalarName]],  co_scalarInfo[scalarName], 0 ) )</f>
        <v>damageAdj</v>
      </c>
      <c r="C1466" s="44" t="str">
        <f xml:space="preserve"> INDEX( co_scalarInfo[scalarLabel], MATCH( scalarDataframe[[#This Row],[scalarName]], co_scalarInfo[scalarName], 0 ) )</f>
        <v>Road Miles and Population Adjustment Factor (No Adaptation and Reactive Adaptation)</v>
      </c>
      <c r="D1466" s="24" t="s">
        <v>1431</v>
      </c>
      <c r="E1466" s="17" t="s">
        <v>9</v>
      </c>
      <c r="F1466" s="25">
        <v>2300</v>
      </c>
      <c r="G1466" s="26">
        <v>1.1460857760234557</v>
      </c>
    </row>
    <row r="1467" spans="1:7" x14ac:dyDescent="0.35">
      <c r="A1467" s="9">
        <f xml:space="preserve"> ROW( scalarDataframe[[#This Row],[row_id]] ) - ROW( scalarDataframe[[#Headers],[row_id]] )</f>
        <v>1466</v>
      </c>
      <c r="B1467" s="16" t="str">
        <f xml:space="preserve"> INDEX( co_scalarInfo[scalarType], MATCH( scalarDataframe[[#This Row],[scalarName]],  co_scalarInfo[scalarName], 0 ) )</f>
        <v>damageAdj</v>
      </c>
      <c r="C1467" s="44" t="str">
        <f xml:space="preserve"> INDEX( co_scalarInfo[scalarLabel], MATCH( scalarDataframe[[#This Row],[scalarName]], co_scalarInfo[scalarName], 0 ) )</f>
        <v>Road Miles and Population Adjustment Factor (No Adaptation and Reactive Adaptation)</v>
      </c>
      <c r="D1467" s="24" t="s">
        <v>1431</v>
      </c>
      <c r="E1467" s="17" t="s">
        <v>10</v>
      </c>
      <c r="F1467" s="25">
        <v>2300</v>
      </c>
      <c r="G1467" s="26">
        <v>1.3982199444954504</v>
      </c>
    </row>
    <row r="1468" spans="1:7" x14ac:dyDescent="0.35">
      <c r="A1468" s="9">
        <f xml:space="preserve"> ROW( scalarDataframe[[#This Row],[row_id]] ) - ROW( scalarDataframe[[#Headers],[row_id]] )</f>
        <v>1467</v>
      </c>
      <c r="B1468" s="16" t="str">
        <f xml:space="preserve"> INDEX( co_scalarInfo[scalarType], MATCH( scalarDataframe[[#This Row],[scalarName]],  co_scalarInfo[scalarName], 0 ) )</f>
        <v>damageAdj</v>
      </c>
      <c r="C1468" s="44" t="str">
        <f xml:space="preserve"> INDEX( co_scalarInfo[scalarLabel], MATCH( scalarDataframe[[#This Row],[scalarName]], co_scalarInfo[scalarName], 0 ) )</f>
        <v>Road Miles and Population Adjustment Factor (No Adaptation and Reactive Adaptation)</v>
      </c>
      <c r="D1468" s="24" t="s">
        <v>1431</v>
      </c>
      <c r="E1468" s="17" t="s">
        <v>11</v>
      </c>
      <c r="F1468" s="25">
        <v>2300</v>
      </c>
      <c r="G1468" s="26">
        <v>1.3495296463427138</v>
      </c>
    </row>
    <row r="1469" spans="1:7" x14ac:dyDescent="0.35">
      <c r="A1469" s="9">
        <f xml:space="preserve"> ROW( scalarDataframe[[#This Row],[row_id]] ) - ROW( scalarDataframe[[#Headers],[row_id]] )</f>
        <v>1468</v>
      </c>
      <c r="B1469" s="16" t="str">
        <f xml:space="preserve"> INDEX( co_scalarInfo[scalarType], MATCH( scalarDataframe[[#This Row],[scalarName]],  co_scalarInfo[scalarName], 0 ) )</f>
        <v>damageAdj</v>
      </c>
      <c r="C1469" s="44" t="str">
        <f xml:space="preserve"> INDEX( co_scalarInfo[scalarLabel], MATCH( scalarDataframe[[#This Row],[scalarName]], co_scalarInfo[scalarName], 0 ) )</f>
        <v>Road Miles and Population Adjustment Factor (No Adaptation and Reactive Adaptation)</v>
      </c>
      <c r="D1469" s="24" t="s">
        <v>1431</v>
      </c>
      <c r="E1469" s="17" t="s">
        <v>12</v>
      </c>
      <c r="F1469" s="25">
        <v>2300</v>
      </c>
      <c r="G1469" s="26">
        <v>1.835896043017506</v>
      </c>
    </row>
    <row r="1470" spans="1:7" x14ac:dyDescent="0.35">
      <c r="A1470" s="9">
        <f xml:space="preserve"> ROW( scalarDataframe[[#This Row],[row_id]] ) - ROW( scalarDataframe[[#Headers],[row_id]] )</f>
        <v>1469</v>
      </c>
      <c r="B1470" s="16" t="str">
        <f xml:space="preserve"> INDEX( co_scalarInfo[scalarType], MATCH( scalarDataframe[[#This Row],[scalarName]],  co_scalarInfo[scalarName], 0 ) )</f>
        <v>damageAdj</v>
      </c>
      <c r="C1470" s="44" t="str">
        <f xml:space="preserve"> INDEX( co_scalarInfo[scalarLabel], MATCH( scalarDataframe[[#This Row],[scalarName]], co_scalarInfo[scalarName], 0 ) )</f>
        <v>Road Miles and Population Adjustment Factor (Proactive Adaptation)</v>
      </c>
      <c r="D1470" s="24" t="s">
        <v>1428</v>
      </c>
      <c r="E1470" s="17" t="s">
        <v>6</v>
      </c>
      <c r="F1470" s="25">
        <v>2100</v>
      </c>
      <c r="G1470" s="140">
        <v>1.0154512778920715</v>
      </c>
    </row>
    <row r="1471" spans="1:7" x14ac:dyDescent="0.35">
      <c r="A1471" s="9">
        <f xml:space="preserve"> ROW( scalarDataframe[[#This Row],[row_id]] ) - ROW( scalarDataframe[[#Headers],[row_id]] )</f>
        <v>1470</v>
      </c>
      <c r="B1471" s="16" t="str">
        <f xml:space="preserve"> INDEX( co_scalarInfo[scalarType], MATCH( scalarDataframe[[#This Row],[scalarName]],  co_scalarInfo[scalarName], 0 ) )</f>
        <v>damageAdj</v>
      </c>
      <c r="C1471" s="44" t="str">
        <f xml:space="preserve"> INDEX( co_scalarInfo[scalarLabel], MATCH( scalarDataframe[[#This Row],[scalarName]], co_scalarInfo[scalarName], 0 ) )</f>
        <v>Road Miles and Population Adjustment Factor (Proactive Adaptation)</v>
      </c>
      <c r="D1471" s="24" t="s">
        <v>1428</v>
      </c>
      <c r="E1471" s="17" t="s">
        <v>7</v>
      </c>
      <c r="F1471" s="25">
        <v>2100</v>
      </c>
      <c r="G1471" s="140">
        <v>1.016691803237519</v>
      </c>
    </row>
    <row r="1472" spans="1:7" x14ac:dyDescent="0.35">
      <c r="A1472" s="9">
        <f xml:space="preserve"> ROW( scalarDataframe[[#This Row],[row_id]] ) - ROW( scalarDataframe[[#Headers],[row_id]] )</f>
        <v>1471</v>
      </c>
      <c r="B1472" s="16" t="str">
        <f xml:space="preserve"> INDEX( co_scalarInfo[scalarType], MATCH( scalarDataframe[[#This Row],[scalarName]],  co_scalarInfo[scalarName], 0 ) )</f>
        <v>damageAdj</v>
      </c>
      <c r="C1472" s="44" t="str">
        <f xml:space="preserve"> INDEX( co_scalarInfo[scalarLabel], MATCH( scalarDataframe[[#This Row],[scalarName]], co_scalarInfo[scalarName], 0 ) )</f>
        <v>Road Miles and Population Adjustment Factor (Proactive Adaptation)</v>
      </c>
      <c r="D1472" s="24" t="s">
        <v>1428</v>
      </c>
      <c r="E1472" s="17" t="s">
        <v>8</v>
      </c>
      <c r="F1472" s="25">
        <v>2100</v>
      </c>
      <c r="G1472" s="140">
        <v>1.0592740786443469</v>
      </c>
    </row>
    <row r="1473" spans="1:7" x14ac:dyDescent="0.35">
      <c r="A1473" s="9">
        <f xml:space="preserve"> ROW( scalarDataframe[[#This Row],[row_id]] ) - ROW( scalarDataframe[[#Headers],[row_id]] )</f>
        <v>1472</v>
      </c>
      <c r="B1473" s="16" t="str">
        <f xml:space="preserve"> INDEX( co_scalarInfo[scalarType], MATCH( scalarDataframe[[#This Row],[scalarName]],  co_scalarInfo[scalarName], 0 ) )</f>
        <v>damageAdj</v>
      </c>
      <c r="C1473" s="44" t="str">
        <f xml:space="preserve"> INDEX( co_scalarInfo[scalarLabel], MATCH( scalarDataframe[[#This Row],[scalarName]], co_scalarInfo[scalarName], 0 ) )</f>
        <v>Road Miles and Population Adjustment Factor (Proactive Adaptation)</v>
      </c>
      <c r="D1473" s="24" t="s">
        <v>1428</v>
      </c>
      <c r="E1473" s="17" t="s">
        <v>9</v>
      </c>
      <c r="F1473" s="25">
        <v>2100</v>
      </c>
      <c r="G1473" s="140">
        <v>1.0479750617287646</v>
      </c>
    </row>
    <row r="1474" spans="1:7" x14ac:dyDescent="0.35">
      <c r="A1474" s="9">
        <f xml:space="preserve"> ROW( scalarDataframe[[#This Row],[row_id]] ) - ROW( scalarDataframe[[#Headers],[row_id]] )</f>
        <v>1473</v>
      </c>
      <c r="B1474" s="16" t="str">
        <f xml:space="preserve"> INDEX( co_scalarInfo[scalarType], MATCH( scalarDataframe[[#This Row],[scalarName]],  co_scalarInfo[scalarName], 0 ) )</f>
        <v>damageAdj</v>
      </c>
      <c r="C1474" s="44" t="str">
        <f xml:space="preserve"> INDEX( co_scalarInfo[scalarLabel], MATCH( scalarDataframe[[#This Row],[scalarName]], co_scalarInfo[scalarName], 0 ) )</f>
        <v>Road Miles and Population Adjustment Factor (Proactive Adaptation)</v>
      </c>
      <c r="D1474" s="24" t="s">
        <v>1428</v>
      </c>
      <c r="E1474" s="17" t="s">
        <v>10</v>
      </c>
      <c r="F1474" s="25">
        <v>2100</v>
      </c>
      <c r="G1474" s="140">
        <v>1.083836970998225</v>
      </c>
    </row>
    <row r="1475" spans="1:7" x14ac:dyDescent="0.35">
      <c r="A1475" s="9">
        <f xml:space="preserve"> ROW( scalarDataframe[[#This Row],[row_id]] ) - ROW( scalarDataframe[[#Headers],[row_id]] )</f>
        <v>1474</v>
      </c>
      <c r="B1475" s="16" t="str">
        <f xml:space="preserve"> INDEX( co_scalarInfo[scalarType], MATCH( scalarDataframe[[#This Row],[scalarName]],  co_scalarInfo[scalarName], 0 ) )</f>
        <v>damageAdj</v>
      </c>
      <c r="C1475" s="44" t="str">
        <f xml:space="preserve"> INDEX( co_scalarInfo[scalarLabel], MATCH( scalarDataframe[[#This Row],[scalarName]], co_scalarInfo[scalarName], 0 ) )</f>
        <v>Road Miles and Population Adjustment Factor (Proactive Adaptation)</v>
      </c>
      <c r="D1475" s="24" t="s">
        <v>1428</v>
      </c>
      <c r="E1475" s="17" t="s">
        <v>11</v>
      </c>
      <c r="F1475" s="25">
        <v>2100</v>
      </c>
      <c r="G1475" s="140">
        <v>1.0701707553080455</v>
      </c>
    </row>
    <row r="1476" spans="1:7" x14ac:dyDescent="0.35">
      <c r="A1476" s="9">
        <f xml:space="preserve"> ROW( scalarDataframe[[#This Row],[row_id]] ) - ROW( scalarDataframe[[#Headers],[row_id]] )</f>
        <v>1475</v>
      </c>
      <c r="B1476" s="16" t="str">
        <f xml:space="preserve"> INDEX( co_scalarInfo[scalarType], MATCH( scalarDataframe[[#This Row],[scalarName]],  co_scalarInfo[scalarName], 0 ) )</f>
        <v>damageAdj</v>
      </c>
      <c r="C1476" s="44" t="str">
        <f xml:space="preserve"> INDEX( co_scalarInfo[scalarLabel], MATCH( scalarDataframe[[#This Row],[scalarName]], co_scalarInfo[scalarName], 0 ) )</f>
        <v>Road Miles and Population Adjustment Factor (Proactive Adaptation)</v>
      </c>
      <c r="D1476" s="24" t="s">
        <v>1428</v>
      </c>
      <c r="E1476" s="17" t="s">
        <v>12</v>
      </c>
      <c r="F1476" s="25">
        <v>2100</v>
      </c>
      <c r="G1476" s="140">
        <v>1.2434749631088868</v>
      </c>
    </row>
    <row r="1477" spans="1:7" x14ac:dyDescent="0.35">
      <c r="A1477" s="9">
        <f xml:space="preserve"> ROW( scalarDataframe[[#This Row],[row_id]] ) - ROW( scalarDataframe[[#Headers],[row_id]] )</f>
        <v>1476</v>
      </c>
      <c r="B1477" s="16" t="str">
        <f xml:space="preserve"> INDEX( co_scalarInfo[scalarType], MATCH( scalarDataframe[[#This Row],[scalarName]],  co_scalarInfo[scalarName], 0 ) )</f>
        <v>damageAdj</v>
      </c>
      <c r="C1477" s="44" t="str">
        <f xml:space="preserve"> INDEX( co_scalarInfo[scalarLabel], MATCH( scalarDataframe[[#This Row],[scalarName]], co_scalarInfo[scalarName], 0 ) )</f>
        <v>Road Miles and Population Adjustment Factor (Proactive Adaptation)</v>
      </c>
      <c r="D1477" s="24" t="s">
        <v>1428</v>
      </c>
      <c r="E1477" s="17" t="s">
        <v>6</v>
      </c>
      <c r="F1477" s="25">
        <v>2200</v>
      </c>
      <c r="G1477" s="140">
        <v>1.0202679266464034</v>
      </c>
    </row>
    <row r="1478" spans="1:7" x14ac:dyDescent="0.35">
      <c r="A1478" s="9">
        <f xml:space="preserve"> ROW( scalarDataframe[[#This Row],[row_id]] ) - ROW( scalarDataframe[[#Headers],[row_id]] )</f>
        <v>1477</v>
      </c>
      <c r="B1478" s="16" t="str">
        <f xml:space="preserve"> INDEX( co_scalarInfo[scalarType], MATCH( scalarDataframe[[#This Row],[scalarName]],  co_scalarInfo[scalarName], 0 ) )</f>
        <v>damageAdj</v>
      </c>
      <c r="C1478" s="44" t="str">
        <f xml:space="preserve"> INDEX( co_scalarInfo[scalarLabel], MATCH( scalarDataframe[[#This Row],[scalarName]], co_scalarInfo[scalarName], 0 ) )</f>
        <v>Road Miles and Population Adjustment Factor (Proactive Adaptation)</v>
      </c>
      <c r="D1478" s="24" t="s">
        <v>1428</v>
      </c>
      <c r="E1478" s="17" t="s">
        <v>7</v>
      </c>
      <c r="F1478" s="25">
        <v>2200</v>
      </c>
      <c r="G1478" s="26">
        <v>1.0259781028361612</v>
      </c>
    </row>
    <row r="1479" spans="1:7" x14ac:dyDescent="0.35">
      <c r="A1479" s="9">
        <f xml:space="preserve"> ROW( scalarDataframe[[#This Row],[row_id]] ) - ROW( scalarDataframe[[#Headers],[row_id]] )</f>
        <v>1478</v>
      </c>
      <c r="B1479" s="16" t="str">
        <f xml:space="preserve"> INDEX( co_scalarInfo[scalarType], MATCH( scalarDataframe[[#This Row],[scalarName]],  co_scalarInfo[scalarName], 0 ) )</f>
        <v>damageAdj</v>
      </c>
      <c r="C1479" s="44" t="str">
        <f xml:space="preserve"> INDEX( co_scalarInfo[scalarLabel], MATCH( scalarDataframe[[#This Row],[scalarName]], co_scalarInfo[scalarName], 0 ) )</f>
        <v>Road Miles and Population Adjustment Factor (Proactive Adaptation)</v>
      </c>
      <c r="D1479" s="24" t="s">
        <v>1428</v>
      </c>
      <c r="E1479" s="17" t="s">
        <v>8</v>
      </c>
      <c r="F1479" s="25">
        <v>2200</v>
      </c>
      <c r="G1479" s="26">
        <v>1.122123905022347</v>
      </c>
    </row>
    <row r="1480" spans="1:7" x14ac:dyDescent="0.35">
      <c r="A1480" s="9">
        <f xml:space="preserve"> ROW( scalarDataframe[[#This Row],[row_id]] ) - ROW( scalarDataframe[[#Headers],[row_id]] )</f>
        <v>1479</v>
      </c>
      <c r="B1480" s="16" t="str">
        <f xml:space="preserve"> INDEX( co_scalarInfo[scalarType], MATCH( scalarDataframe[[#This Row],[scalarName]],  co_scalarInfo[scalarName], 0 ) )</f>
        <v>damageAdj</v>
      </c>
      <c r="C1480" s="44" t="str">
        <f xml:space="preserve"> INDEX( co_scalarInfo[scalarLabel], MATCH( scalarDataframe[[#This Row],[scalarName]], co_scalarInfo[scalarName], 0 ) )</f>
        <v>Road Miles and Population Adjustment Factor (Proactive Adaptation)</v>
      </c>
      <c r="D1480" s="24" t="s">
        <v>1428</v>
      </c>
      <c r="E1480" s="17" t="s">
        <v>9</v>
      </c>
      <c r="F1480" s="25">
        <v>2200</v>
      </c>
      <c r="G1480" s="26">
        <v>1.0855029350402716</v>
      </c>
    </row>
    <row r="1481" spans="1:7" x14ac:dyDescent="0.35">
      <c r="A1481" s="9">
        <f xml:space="preserve"> ROW( scalarDataframe[[#This Row],[row_id]] ) - ROW( scalarDataframe[[#Headers],[row_id]] )</f>
        <v>1480</v>
      </c>
      <c r="B1481" s="16" t="str">
        <f xml:space="preserve"> INDEX( co_scalarInfo[scalarType], MATCH( scalarDataframe[[#This Row],[scalarName]],  co_scalarInfo[scalarName], 0 ) )</f>
        <v>damageAdj</v>
      </c>
      <c r="C1481" s="44" t="str">
        <f xml:space="preserve"> INDEX( co_scalarInfo[scalarLabel], MATCH( scalarDataframe[[#This Row],[scalarName]], co_scalarInfo[scalarName], 0 ) )</f>
        <v>Road Miles and Population Adjustment Factor (Proactive Adaptation)</v>
      </c>
      <c r="D1481" s="24" t="s">
        <v>1428</v>
      </c>
      <c r="E1481" s="17" t="s">
        <v>10</v>
      </c>
      <c r="F1481" s="25">
        <v>2200</v>
      </c>
      <c r="G1481" s="26">
        <v>1.1541891034080964</v>
      </c>
    </row>
    <row r="1482" spans="1:7" x14ac:dyDescent="0.35">
      <c r="A1482" s="9">
        <f xml:space="preserve"> ROW( scalarDataframe[[#This Row],[row_id]] ) - ROW( scalarDataframe[[#Headers],[row_id]] )</f>
        <v>1481</v>
      </c>
      <c r="B1482" s="16" t="str">
        <f xml:space="preserve"> INDEX( co_scalarInfo[scalarType], MATCH( scalarDataframe[[#This Row],[scalarName]],  co_scalarInfo[scalarName], 0 ) )</f>
        <v>damageAdj</v>
      </c>
      <c r="C1482" s="44" t="str">
        <f xml:space="preserve"> INDEX( co_scalarInfo[scalarLabel], MATCH( scalarDataframe[[#This Row],[scalarName]], co_scalarInfo[scalarName], 0 ) )</f>
        <v>Road Miles and Population Adjustment Factor (Proactive Adaptation)</v>
      </c>
      <c r="D1482" s="24" t="s">
        <v>1428</v>
      </c>
      <c r="E1482" s="17" t="s">
        <v>11</v>
      </c>
      <c r="F1482" s="25">
        <v>2200</v>
      </c>
      <c r="G1482" s="26">
        <v>1.128847807295086</v>
      </c>
    </row>
    <row r="1483" spans="1:7" x14ac:dyDescent="0.35">
      <c r="A1483" s="9">
        <f xml:space="preserve"> ROW( scalarDataframe[[#This Row],[row_id]] ) - ROW( scalarDataframe[[#Headers],[row_id]] )</f>
        <v>1482</v>
      </c>
      <c r="B1483" s="16" t="str">
        <f xml:space="preserve"> INDEX( co_scalarInfo[scalarType], MATCH( scalarDataframe[[#This Row],[scalarName]],  co_scalarInfo[scalarName], 0 ) )</f>
        <v>damageAdj</v>
      </c>
      <c r="C1483" s="44" t="str">
        <f xml:space="preserve"> INDEX( co_scalarInfo[scalarLabel], MATCH( scalarDataframe[[#This Row],[scalarName]], co_scalarInfo[scalarName], 0 ) )</f>
        <v>Road Miles and Population Adjustment Factor (Proactive Adaptation)</v>
      </c>
      <c r="D1483" s="24" t="s">
        <v>1428</v>
      </c>
      <c r="E1483" s="17" t="s">
        <v>12</v>
      </c>
      <c r="F1483" s="25">
        <v>2200</v>
      </c>
      <c r="G1483" s="26">
        <v>1.4880541381333652</v>
      </c>
    </row>
    <row r="1484" spans="1:7" x14ac:dyDescent="0.35">
      <c r="A1484" s="9">
        <f xml:space="preserve"> ROW( scalarDataframe[[#This Row],[row_id]] ) - ROW( scalarDataframe[[#Headers],[row_id]] )</f>
        <v>1483</v>
      </c>
      <c r="B1484" s="16" t="str">
        <f xml:space="preserve"> INDEX( co_scalarInfo[scalarType], MATCH( scalarDataframe[[#This Row],[scalarName]],  co_scalarInfo[scalarName], 0 ) )</f>
        <v>damageAdj</v>
      </c>
      <c r="C1484" s="44" t="str">
        <f xml:space="preserve"> INDEX( co_scalarInfo[scalarLabel], MATCH( scalarDataframe[[#This Row],[scalarName]], co_scalarInfo[scalarName], 0 ) )</f>
        <v>Road Miles and Population Adjustment Factor (Proactive Adaptation)</v>
      </c>
      <c r="D1484" s="24" t="s">
        <v>1428</v>
      </c>
      <c r="E1484" s="17" t="s">
        <v>6</v>
      </c>
      <c r="F1484" s="25">
        <v>2300</v>
      </c>
      <c r="G1484" s="26">
        <v>1.0250845754007354</v>
      </c>
    </row>
    <row r="1485" spans="1:7" x14ac:dyDescent="0.35">
      <c r="A1485" s="9">
        <f xml:space="preserve"> ROW( scalarDataframe[[#This Row],[row_id]] ) - ROW( scalarDataframe[[#Headers],[row_id]] )</f>
        <v>1484</v>
      </c>
      <c r="B1485" s="16" t="str">
        <f xml:space="preserve"> INDEX( co_scalarInfo[scalarType], MATCH( scalarDataframe[[#This Row],[scalarName]],  co_scalarInfo[scalarName], 0 ) )</f>
        <v>damageAdj</v>
      </c>
      <c r="C1485" s="44" t="str">
        <f xml:space="preserve"> INDEX( co_scalarInfo[scalarLabel], MATCH( scalarDataframe[[#This Row],[scalarName]], co_scalarInfo[scalarName], 0 ) )</f>
        <v>Road Miles and Population Adjustment Factor (Proactive Adaptation)</v>
      </c>
      <c r="D1485" s="24" t="s">
        <v>1428</v>
      </c>
      <c r="E1485" s="17" t="s">
        <v>7</v>
      </c>
      <c r="F1485" s="25">
        <v>2300</v>
      </c>
      <c r="G1485" s="26">
        <v>1.0352644024348034</v>
      </c>
    </row>
    <row r="1486" spans="1:7" x14ac:dyDescent="0.35">
      <c r="A1486" s="9">
        <f xml:space="preserve"> ROW( scalarDataframe[[#This Row],[row_id]] ) - ROW( scalarDataframe[[#Headers],[row_id]] )</f>
        <v>1485</v>
      </c>
      <c r="B1486" s="16" t="str">
        <f xml:space="preserve"> INDEX( co_scalarInfo[scalarType], MATCH( scalarDataframe[[#This Row],[scalarName]],  co_scalarInfo[scalarName], 0 ) )</f>
        <v>damageAdj</v>
      </c>
      <c r="C1486" s="44" t="str">
        <f xml:space="preserve"> INDEX( co_scalarInfo[scalarLabel], MATCH( scalarDataframe[[#This Row],[scalarName]], co_scalarInfo[scalarName], 0 ) )</f>
        <v>Road Miles and Population Adjustment Factor (Proactive Adaptation)</v>
      </c>
      <c r="D1486" s="24" t="s">
        <v>1428</v>
      </c>
      <c r="E1486" s="17" t="s">
        <v>8</v>
      </c>
      <c r="F1486" s="25">
        <v>2300</v>
      </c>
      <c r="G1486" s="26">
        <v>1.1849737314003472</v>
      </c>
    </row>
    <row r="1487" spans="1:7" x14ac:dyDescent="0.35">
      <c r="A1487" s="9">
        <f xml:space="preserve"> ROW( scalarDataframe[[#This Row],[row_id]] ) - ROW( scalarDataframe[[#Headers],[row_id]] )</f>
        <v>1486</v>
      </c>
      <c r="B1487" s="16" t="str">
        <f xml:space="preserve"> INDEX( co_scalarInfo[scalarType], MATCH( scalarDataframe[[#This Row],[scalarName]],  co_scalarInfo[scalarName], 0 ) )</f>
        <v>damageAdj</v>
      </c>
      <c r="C1487" s="44" t="str">
        <f xml:space="preserve"> INDEX( co_scalarInfo[scalarLabel], MATCH( scalarDataframe[[#This Row],[scalarName]], co_scalarInfo[scalarName], 0 ) )</f>
        <v>Road Miles and Population Adjustment Factor (Proactive Adaptation)</v>
      </c>
      <c r="D1487" s="24" t="s">
        <v>1428</v>
      </c>
      <c r="E1487" s="17" t="s">
        <v>9</v>
      </c>
      <c r="F1487" s="25">
        <v>2300</v>
      </c>
      <c r="G1487" s="26">
        <v>1.1230308083517786</v>
      </c>
    </row>
    <row r="1488" spans="1:7" x14ac:dyDescent="0.35">
      <c r="A1488" s="9">
        <f xml:space="preserve"> ROW( scalarDataframe[[#This Row],[row_id]] ) - ROW( scalarDataframe[[#Headers],[row_id]] )</f>
        <v>1487</v>
      </c>
      <c r="B1488" s="16" t="str">
        <f xml:space="preserve"> INDEX( co_scalarInfo[scalarType], MATCH( scalarDataframe[[#This Row],[scalarName]],  co_scalarInfo[scalarName], 0 ) )</f>
        <v>damageAdj</v>
      </c>
      <c r="C1488" s="44" t="str">
        <f xml:space="preserve"> INDEX( co_scalarInfo[scalarLabel], MATCH( scalarDataframe[[#This Row],[scalarName]], co_scalarInfo[scalarName], 0 ) )</f>
        <v>Road Miles and Population Adjustment Factor (Proactive Adaptation)</v>
      </c>
      <c r="D1488" s="24" t="s">
        <v>1428</v>
      </c>
      <c r="E1488" s="17" t="s">
        <v>10</v>
      </c>
      <c r="F1488" s="25">
        <v>2300</v>
      </c>
      <c r="G1488" s="26">
        <v>1.2245412358179681</v>
      </c>
    </row>
    <row r="1489" spans="1:7" x14ac:dyDescent="0.35">
      <c r="A1489" s="9">
        <f xml:space="preserve"> ROW( scalarDataframe[[#This Row],[row_id]] ) - ROW( scalarDataframe[[#Headers],[row_id]] )</f>
        <v>1488</v>
      </c>
      <c r="B1489" s="16" t="str">
        <f xml:space="preserve"> INDEX( co_scalarInfo[scalarType], MATCH( scalarDataframe[[#This Row],[scalarName]],  co_scalarInfo[scalarName], 0 ) )</f>
        <v>damageAdj</v>
      </c>
      <c r="C1489" s="44" t="str">
        <f xml:space="preserve"> INDEX( co_scalarInfo[scalarLabel], MATCH( scalarDataframe[[#This Row],[scalarName]], co_scalarInfo[scalarName], 0 ) )</f>
        <v>Road Miles and Population Adjustment Factor (Proactive Adaptation)</v>
      </c>
      <c r="D1489" s="24" t="s">
        <v>1428</v>
      </c>
      <c r="E1489" s="17" t="s">
        <v>11</v>
      </c>
      <c r="F1489" s="25">
        <v>2300</v>
      </c>
      <c r="G1489" s="26">
        <v>1.1875248592821268</v>
      </c>
    </row>
    <row r="1490" spans="1:7" x14ac:dyDescent="0.35">
      <c r="A1490" s="9">
        <f xml:space="preserve"> ROW( scalarDataframe[[#This Row],[row_id]] ) - ROW( scalarDataframe[[#Headers],[row_id]] )</f>
        <v>1489</v>
      </c>
      <c r="B1490" s="16" t="str">
        <f xml:space="preserve"> INDEX( co_scalarInfo[scalarType], MATCH( scalarDataframe[[#This Row],[scalarName]],  co_scalarInfo[scalarName], 0 ) )</f>
        <v>damageAdj</v>
      </c>
      <c r="C1490" s="44" t="str">
        <f xml:space="preserve"> INDEX( co_scalarInfo[scalarLabel], MATCH( scalarDataframe[[#This Row],[scalarName]], co_scalarInfo[scalarName], 0 ) )</f>
        <v>Road Miles and Population Adjustment Factor (Proactive Adaptation)</v>
      </c>
      <c r="D1490" s="24" t="s">
        <v>1428</v>
      </c>
      <c r="E1490" s="17" t="s">
        <v>12</v>
      </c>
      <c r="F1490" s="25">
        <v>2300</v>
      </c>
      <c r="G1490" s="26">
        <v>1.7326333131578435</v>
      </c>
    </row>
  </sheetData>
  <pageMargins left="0.7" right="0.7" top="0.75" bottom="0.75" header="0.3" footer="0.3"/>
  <pageSetup orientation="portrait" r:id="rId1"/>
  <legacyDrawing r:id="rId2"/>
  <tableParts count="1">
    <tablePart r:id="rId3"/>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3">
    <tabColor theme="9" tint="-0.499984740745262"/>
  </sheetPr>
  <dimension ref="A1:P3074"/>
  <sheetViews>
    <sheetView topLeftCell="B1" zoomScale="85" zoomScaleNormal="85" workbookViewId="0">
      <pane ySplit="1" topLeftCell="A1183" activePane="bottomLeft" state="frozen"/>
      <selection activeCell="T393" sqref="T393"/>
      <selection pane="bottomLeft" activeCell="G1332" sqref="G1332:G1379"/>
    </sheetView>
  </sheetViews>
  <sheetFormatPr defaultRowHeight="14.5" x14ac:dyDescent="0.35"/>
  <cols>
    <col min="2" max="2" width="43.26953125" style="2" customWidth="1"/>
    <col min="3" max="3" width="19.453125" style="1" customWidth="1"/>
    <col min="4" max="4" width="19.1796875" style="1" customWidth="1"/>
    <col min="5" max="5" width="19.54296875" style="1" customWidth="1"/>
    <col min="6" max="6" width="15.453125" style="1" customWidth="1"/>
    <col min="7" max="7" width="18.81640625" style="1" customWidth="1"/>
    <col min="8" max="8" width="19.1796875" style="1" customWidth="1"/>
    <col min="9" max="9" width="28.1796875" style="1" customWidth="1"/>
    <col min="10" max="10" width="16" customWidth="1"/>
    <col min="11" max="11" width="19.54296875" customWidth="1"/>
    <col min="12" max="12" width="16" customWidth="1"/>
    <col min="13" max="13" width="17" customWidth="1"/>
    <col min="14" max="14" width="20.7265625" customWidth="1"/>
    <col min="15" max="15" width="18.54296875" customWidth="1"/>
    <col min="16" max="16" width="18.54296875" bestFit="1" customWidth="1"/>
    <col min="17" max="17" width="20.7265625" bestFit="1" customWidth="1"/>
    <col min="18" max="18" width="20.7265625" customWidth="1"/>
    <col min="19" max="19" width="11" customWidth="1"/>
    <col min="20" max="20" width="13.26953125" customWidth="1"/>
    <col min="21" max="21" width="22" customWidth="1"/>
    <col min="22" max="22" width="18.26953125" customWidth="1"/>
    <col min="23" max="23" width="17.453125" customWidth="1"/>
  </cols>
  <sheetData>
    <row r="1" spans="1:16" x14ac:dyDescent="0.35">
      <c r="A1" t="s">
        <v>780</v>
      </c>
      <c r="B1" s="42" t="s">
        <v>235</v>
      </c>
      <c r="C1" s="23" t="s">
        <v>915</v>
      </c>
      <c r="D1" s="23" t="s">
        <v>925</v>
      </c>
      <c r="E1" s="8" t="s">
        <v>967</v>
      </c>
      <c r="F1" s="8" t="s">
        <v>916</v>
      </c>
      <c r="G1" s="8" t="s">
        <v>1242</v>
      </c>
      <c r="H1" s="8" t="s">
        <v>924</v>
      </c>
      <c r="I1" s="23" t="s">
        <v>918</v>
      </c>
      <c r="J1" s="8" t="s">
        <v>6</v>
      </c>
      <c r="K1" s="8" t="s">
        <v>7</v>
      </c>
      <c r="L1" s="8" t="s">
        <v>8</v>
      </c>
      <c r="M1" s="23" t="s">
        <v>9</v>
      </c>
      <c r="N1" s="23" t="s">
        <v>10</v>
      </c>
      <c r="O1" s="23" t="s">
        <v>11</v>
      </c>
      <c r="P1" s="8" t="s">
        <v>12</v>
      </c>
    </row>
    <row r="2" spans="1:16" hidden="1" x14ac:dyDescent="0.35">
      <c r="A2" s="3">
        <f xml:space="preserve"> ROW( data_scaledImpacts[[#This Row],[row_id]] ) - ROW( data_scaledImpacts[[#Headers],[row_id]] )</f>
        <v>1</v>
      </c>
      <c r="B2" s="40" t="str">
        <f xml:space="preserve"> _xlfn.TEXTJOIN( "", , data_scaledImpacts[[#This Row],[sector]:[impactType]] )</f>
        <v>ExtremeTempCanESM212010No Adaptationhot</v>
      </c>
      <c r="C2" s="33" t="s">
        <v>17</v>
      </c>
      <c r="D2" s="33" t="s">
        <v>0</v>
      </c>
      <c r="E2" s="34">
        <v>1</v>
      </c>
      <c r="F2" s="34">
        <v>2010</v>
      </c>
      <c r="G2" s="34" t="s">
        <v>776</v>
      </c>
      <c r="H2" s="35" t="s">
        <v>14</v>
      </c>
      <c r="I2" s="43" t="s">
        <v>19</v>
      </c>
      <c r="J2" s="36">
        <v>6.6863861775468337E-6</v>
      </c>
      <c r="K2" s="36">
        <v>4.5337310647907912E-6</v>
      </c>
      <c r="L2" s="37"/>
      <c r="M2" s="36"/>
      <c r="N2" s="36">
        <v>4.4187355458727999E-6</v>
      </c>
      <c r="O2" s="36">
        <v>5.973895213179427E-6</v>
      </c>
      <c r="P2">
        <v>6.624006141335634E-6</v>
      </c>
    </row>
    <row r="3" spans="1:16" hidden="1" x14ac:dyDescent="0.35">
      <c r="A3" s="3">
        <f xml:space="preserve"> ROW( data_scaledImpacts[[#This Row],[row_id]] ) - ROW( data_scaledImpacts[[#Headers],[row_id]] )</f>
        <v>2</v>
      </c>
      <c r="B3" s="41" t="str">
        <f xml:space="preserve"> _xlfn.TEXTJOIN( "", , data_scaledImpacts[[#This Row],[sector]:[impactType]] )</f>
        <v>ExtremeTempCCSM412010No Adaptationhot</v>
      </c>
      <c r="C3" s="33" t="s">
        <v>17</v>
      </c>
      <c r="D3" s="33" t="s">
        <v>1</v>
      </c>
      <c r="E3" s="34">
        <v>1</v>
      </c>
      <c r="F3" s="34">
        <v>2010</v>
      </c>
      <c r="G3" s="34" t="s">
        <v>776</v>
      </c>
      <c r="H3" s="35" t="s">
        <v>14</v>
      </c>
      <c r="I3" s="43" t="s">
        <v>20</v>
      </c>
      <c r="J3" s="36">
        <v>4.4811931868115465E-6</v>
      </c>
      <c r="K3" s="36">
        <v>2.5564427024425488E-6</v>
      </c>
      <c r="L3" s="37"/>
      <c r="M3" s="36"/>
      <c r="N3" s="36">
        <v>2.640099550682237E-6</v>
      </c>
      <c r="O3" s="36">
        <v>2.180267377926592E-6</v>
      </c>
      <c r="P3">
        <v>3.6478823477728314E-6</v>
      </c>
    </row>
    <row r="4" spans="1:16" hidden="1" x14ac:dyDescent="0.35">
      <c r="A4" s="3">
        <f xml:space="preserve"> ROW( data_scaledImpacts[[#This Row],[row_id]] ) - ROW( data_scaledImpacts[[#Headers],[row_id]] )</f>
        <v>3</v>
      </c>
      <c r="B4" s="41" t="str">
        <f xml:space="preserve"> _xlfn.TEXTJOIN( "", , data_scaledImpacts[[#This Row],[sector]:[impactType]] )</f>
        <v>ExtremeTempGISS-E2-R12010No Adaptationhot</v>
      </c>
      <c r="C4" s="33" t="s">
        <v>17</v>
      </c>
      <c r="D4" s="33" t="s">
        <v>2</v>
      </c>
      <c r="E4" s="34">
        <v>1</v>
      </c>
      <c r="F4" s="34">
        <v>2010</v>
      </c>
      <c r="G4" s="34" t="s">
        <v>776</v>
      </c>
      <c r="H4" s="35" t="s">
        <v>14</v>
      </c>
      <c r="I4" s="43" t="s">
        <v>21</v>
      </c>
      <c r="J4" s="36">
        <v>1.1240074835462531E-5</v>
      </c>
      <c r="K4" s="36">
        <v>8.0194224081374487E-6</v>
      </c>
      <c r="L4" s="37"/>
      <c r="M4" s="36"/>
      <c r="N4" s="36">
        <v>5.713138457776191E-6</v>
      </c>
      <c r="O4" s="36">
        <v>3.4074498445999155E-6</v>
      </c>
      <c r="P4">
        <v>3.1291715852584079E-6</v>
      </c>
    </row>
    <row r="5" spans="1:16" hidden="1" x14ac:dyDescent="0.35">
      <c r="A5" s="3">
        <f xml:space="preserve"> ROW( data_scaledImpacts[[#This Row],[row_id]] ) - ROW( data_scaledImpacts[[#Headers],[row_id]] )</f>
        <v>4</v>
      </c>
      <c r="B5" s="41" t="str">
        <f xml:space="preserve"> _xlfn.TEXTJOIN( "", , data_scaledImpacts[[#This Row],[sector]:[impactType]] )</f>
        <v>ExtremeTempHadGEM2-ES12010No Adaptationhot</v>
      </c>
      <c r="C5" s="33" t="s">
        <v>17</v>
      </c>
      <c r="D5" s="33" t="s">
        <v>3</v>
      </c>
      <c r="E5" s="34">
        <v>1</v>
      </c>
      <c r="F5" s="34">
        <v>2010</v>
      </c>
      <c r="G5" s="34" t="s">
        <v>776</v>
      </c>
      <c r="H5" s="35" t="s">
        <v>14</v>
      </c>
      <c r="I5" s="43" t="s">
        <v>22</v>
      </c>
      <c r="J5" s="36">
        <v>6.7275341762841193E-6</v>
      </c>
      <c r="K5" s="36">
        <v>5.3203714023781504E-6</v>
      </c>
      <c r="L5" s="37"/>
      <c r="M5" s="36"/>
      <c r="N5" s="36">
        <v>1.0840419255781335E-5</v>
      </c>
      <c r="O5" s="36">
        <v>7.1329501870064383E-6</v>
      </c>
      <c r="P5">
        <v>2.9643399127094876E-6</v>
      </c>
    </row>
    <row r="6" spans="1:16" hidden="1" x14ac:dyDescent="0.35">
      <c r="A6" s="3">
        <f xml:space="preserve"> ROW( data_scaledImpacts[[#This Row],[row_id]] ) - ROW( data_scaledImpacts[[#Headers],[row_id]] )</f>
        <v>5</v>
      </c>
      <c r="B6" s="41" t="str">
        <f xml:space="preserve"> _xlfn.TEXTJOIN( "", , data_scaledImpacts[[#This Row],[sector]:[impactType]] )</f>
        <v>ExtremeTempMIROC512010No Adaptationhot</v>
      </c>
      <c r="C6" s="33" t="s">
        <v>17</v>
      </c>
      <c r="D6" s="33" t="s">
        <v>4</v>
      </c>
      <c r="E6" s="34">
        <v>1</v>
      </c>
      <c r="F6" s="34">
        <v>2010</v>
      </c>
      <c r="G6" s="34" t="s">
        <v>776</v>
      </c>
      <c r="H6" s="35" t="s">
        <v>14</v>
      </c>
      <c r="I6" s="43" t="s">
        <v>23</v>
      </c>
      <c r="J6" s="36">
        <v>6.3343430697204201E-6</v>
      </c>
      <c r="K6" s="36">
        <v>1.6425536934503189E-6</v>
      </c>
      <c r="L6" s="37"/>
      <c r="M6" s="36"/>
      <c r="N6" s="36">
        <v>4.445485829702038E-6</v>
      </c>
      <c r="O6" s="36">
        <v>7.773314350122677E-6</v>
      </c>
      <c r="P6">
        <v>3.0991484303349644E-7</v>
      </c>
    </row>
    <row r="7" spans="1:16" hidden="1" x14ac:dyDescent="0.35">
      <c r="A7" s="3">
        <f xml:space="preserve"> ROW( data_scaledImpacts[[#This Row],[row_id]] ) - ROW( data_scaledImpacts[[#Headers],[row_id]] )</f>
        <v>6</v>
      </c>
      <c r="B7" s="41" t="str">
        <f xml:space="preserve"> _xlfn.TEXTJOIN( "", , data_scaledImpacts[[#This Row],[sector]:[impactType]] )</f>
        <v>ExtremeTempGFDL-CM312010No Adaptationhot</v>
      </c>
      <c r="C7" s="33" t="s">
        <v>17</v>
      </c>
      <c r="D7" s="33" t="s">
        <v>5</v>
      </c>
      <c r="E7" s="34">
        <v>1</v>
      </c>
      <c r="F7" s="34">
        <v>2010</v>
      </c>
      <c r="G7" s="34" t="s">
        <v>776</v>
      </c>
      <c r="H7" s="35" t="s">
        <v>14</v>
      </c>
      <c r="I7" s="43" t="s">
        <v>24</v>
      </c>
      <c r="J7" s="36">
        <v>8.7943473845094087E-6</v>
      </c>
      <c r="K7" s="36">
        <v>7.4745256328173283E-6</v>
      </c>
      <c r="L7" s="37"/>
      <c r="M7" s="36"/>
      <c r="N7" s="36">
        <v>5.3323781802903731E-6</v>
      </c>
      <c r="O7" s="36">
        <v>6.9639202726072745E-6</v>
      </c>
      <c r="P7">
        <v>3.8899221079472959E-6</v>
      </c>
    </row>
    <row r="8" spans="1:16" hidden="1" x14ac:dyDescent="0.35">
      <c r="A8" s="3">
        <f xml:space="preserve"> ROW( data_scaledImpacts[[#This Row],[row_id]] ) - ROW( data_scaledImpacts[[#Headers],[row_id]] )</f>
        <v>7</v>
      </c>
      <c r="B8" s="41" t="str">
        <f xml:space="preserve"> _xlfn.TEXTJOIN( "", , data_scaledImpacts[[#This Row],[sector]:[impactType]] )</f>
        <v>ExtremeTempGCM Average12010No Adaptationhot</v>
      </c>
      <c r="C8" s="33" t="s">
        <v>17</v>
      </c>
      <c r="D8" s="33" t="s">
        <v>15</v>
      </c>
      <c r="E8" s="34">
        <v>1</v>
      </c>
      <c r="F8" s="34">
        <v>2010</v>
      </c>
      <c r="G8" s="34" t="s">
        <v>776</v>
      </c>
      <c r="H8" s="35" t="s">
        <v>14</v>
      </c>
      <c r="I8" s="43" t="s">
        <v>25</v>
      </c>
      <c r="J8" s="36">
        <v>7.3773131383891435E-6</v>
      </c>
      <c r="K8" s="36">
        <v>4.9245078173360975E-6</v>
      </c>
      <c r="L8" s="37" t="s">
        <v>26</v>
      </c>
      <c r="M8" s="36" t="s">
        <v>26</v>
      </c>
      <c r="N8" s="36">
        <v>5.5650428033508288E-6</v>
      </c>
      <c r="O8" s="36">
        <v>5.5719662075737209E-6</v>
      </c>
      <c r="P8">
        <v>3.4275394896761921E-6</v>
      </c>
    </row>
    <row r="9" spans="1:16" hidden="1" x14ac:dyDescent="0.35">
      <c r="A9" s="3">
        <f xml:space="preserve"> ROW( data_scaledImpacts[[#This Row],[row_id]] ) - ROW( data_scaledImpacts[[#Headers],[row_id]] )</f>
        <v>8</v>
      </c>
      <c r="B9" s="41" t="str">
        <f xml:space="preserve"> _xlfn.TEXTJOIN( "", , data_scaledImpacts[[#This Row],[sector]:[impactType]] )</f>
        <v>ExtremeTempCanESM222010No Adaptationhot</v>
      </c>
      <c r="C9" s="33" t="s">
        <v>17</v>
      </c>
      <c r="D9" s="33" t="s">
        <v>0</v>
      </c>
      <c r="E9" s="34">
        <v>2</v>
      </c>
      <c r="F9" s="34">
        <v>2010</v>
      </c>
      <c r="G9" s="34" t="s">
        <v>776</v>
      </c>
      <c r="H9" s="35" t="s">
        <v>14</v>
      </c>
      <c r="I9" s="43" t="s">
        <v>19</v>
      </c>
      <c r="J9" s="36">
        <v>1.6864245599296441E-5</v>
      </c>
      <c r="K9" s="36">
        <v>1.5211247997160043E-5</v>
      </c>
      <c r="L9" s="37"/>
      <c r="M9" s="36"/>
      <c r="N9" s="36">
        <v>2.0144766642253216E-5</v>
      </c>
      <c r="O9" s="36">
        <v>2.0681969469344468E-5</v>
      </c>
      <c r="P9">
        <v>1.1544789721301091E-5</v>
      </c>
    </row>
    <row r="10" spans="1:16" hidden="1" x14ac:dyDescent="0.35">
      <c r="A10" s="3">
        <f xml:space="preserve"> ROW( data_scaledImpacts[[#This Row],[row_id]] ) - ROW( data_scaledImpacts[[#Headers],[row_id]] )</f>
        <v>9</v>
      </c>
      <c r="B10" s="41" t="str">
        <f xml:space="preserve"> _xlfn.TEXTJOIN( "", , data_scaledImpacts[[#This Row],[sector]:[impactType]] )</f>
        <v>ExtremeTempCCSM422010No Adaptationhot</v>
      </c>
      <c r="C10" s="33" t="s">
        <v>17</v>
      </c>
      <c r="D10" s="33" t="s">
        <v>1</v>
      </c>
      <c r="E10" s="34">
        <v>2</v>
      </c>
      <c r="F10" s="34">
        <v>2010</v>
      </c>
      <c r="G10" s="34" t="s">
        <v>776</v>
      </c>
      <c r="H10" s="35" t="s">
        <v>14</v>
      </c>
      <c r="I10" s="43" t="s">
        <v>20</v>
      </c>
      <c r="J10" s="36">
        <v>1.4879969183007943E-5</v>
      </c>
      <c r="K10" s="36">
        <v>1.134109997584349E-5</v>
      </c>
      <c r="L10" s="37"/>
      <c r="M10" s="36"/>
      <c r="N10" s="36">
        <v>1.0928815622131761E-5</v>
      </c>
      <c r="O10" s="36">
        <v>1.1130886165260853E-5</v>
      </c>
      <c r="P10">
        <v>5.7085644590332433E-6</v>
      </c>
    </row>
    <row r="11" spans="1:16" hidden="1" x14ac:dyDescent="0.35">
      <c r="A11" s="3">
        <f xml:space="preserve"> ROW( data_scaledImpacts[[#This Row],[row_id]] ) - ROW( data_scaledImpacts[[#Headers],[row_id]] )</f>
        <v>10</v>
      </c>
      <c r="B11" s="41" t="str">
        <f xml:space="preserve"> _xlfn.TEXTJOIN( "", , data_scaledImpacts[[#This Row],[sector]:[impactType]] )</f>
        <v>ExtremeTempGISS-E2-R22010No Adaptationhot</v>
      </c>
      <c r="C11" s="33" t="s">
        <v>17</v>
      </c>
      <c r="D11" s="33" t="s">
        <v>2</v>
      </c>
      <c r="E11" s="34">
        <v>2</v>
      </c>
      <c r="F11" s="34">
        <v>2010</v>
      </c>
      <c r="G11" s="34" t="s">
        <v>776</v>
      </c>
      <c r="H11" s="35" t="s">
        <v>14</v>
      </c>
      <c r="I11" s="43" t="s">
        <v>21</v>
      </c>
      <c r="J11" s="36">
        <v>2.0181284979797388E-5</v>
      </c>
      <c r="K11" s="36">
        <v>1.5942112513440246E-5</v>
      </c>
      <c r="L11" s="37"/>
      <c r="M11" s="36"/>
      <c r="N11" s="36">
        <v>2.1455318495186171E-5</v>
      </c>
      <c r="O11" s="36">
        <v>1.3408474618562353E-5</v>
      </c>
      <c r="P11">
        <v>7.7724442409108855E-6</v>
      </c>
    </row>
    <row r="12" spans="1:16" hidden="1" x14ac:dyDescent="0.35">
      <c r="A12" s="3">
        <f xml:space="preserve"> ROW( data_scaledImpacts[[#This Row],[row_id]] ) - ROW( data_scaledImpacts[[#Headers],[row_id]] )</f>
        <v>11</v>
      </c>
      <c r="B12" s="41" t="str">
        <f xml:space="preserve"> _xlfn.TEXTJOIN( "", , data_scaledImpacts[[#This Row],[sector]:[impactType]] )</f>
        <v>ExtremeTempHadGEM2-ES22010No Adaptationhot</v>
      </c>
      <c r="C12" s="33" t="s">
        <v>17</v>
      </c>
      <c r="D12" s="33" t="s">
        <v>3</v>
      </c>
      <c r="E12" s="34">
        <v>2</v>
      </c>
      <c r="F12" s="34">
        <v>2010</v>
      </c>
      <c r="G12" s="34" t="s">
        <v>776</v>
      </c>
      <c r="H12" s="35" t="s">
        <v>14</v>
      </c>
      <c r="I12" s="43" t="s">
        <v>22</v>
      </c>
      <c r="J12" s="36">
        <v>2.3784470471195589E-5</v>
      </c>
      <c r="K12" s="36">
        <v>1.8730310561894376E-5</v>
      </c>
      <c r="L12" s="37"/>
      <c r="M12" s="36"/>
      <c r="N12" s="36">
        <v>2.3028735975130425E-5</v>
      </c>
      <c r="O12" s="36">
        <v>1.3893139450134078E-5</v>
      </c>
      <c r="P12">
        <v>5.4306394395632758E-6</v>
      </c>
    </row>
    <row r="13" spans="1:16" hidden="1" x14ac:dyDescent="0.35">
      <c r="A13" s="3">
        <f xml:space="preserve"> ROW( data_scaledImpacts[[#This Row],[row_id]] ) - ROW( data_scaledImpacts[[#Headers],[row_id]] )</f>
        <v>12</v>
      </c>
      <c r="B13" s="41" t="str">
        <f xml:space="preserve"> _xlfn.TEXTJOIN( "", , data_scaledImpacts[[#This Row],[sector]:[impactType]] )</f>
        <v>ExtremeTempMIROC522010No Adaptationhot</v>
      </c>
      <c r="C13" s="33" t="s">
        <v>17</v>
      </c>
      <c r="D13" s="33" t="s">
        <v>4</v>
      </c>
      <c r="E13" s="34">
        <v>2</v>
      </c>
      <c r="F13" s="34">
        <v>2010</v>
      </c>
      <c r="G13" s="34" t="s">
        <v>776</v>
      </c>
      <c r="H13" s="35" t="s">
        <v>14</v>
      </c>
      <c r="I13" s="43" t="s">
        <v>23</v>
      </c>
      <c r="J13" s="36">
        <v>1.1154454023849526E-5</v>
      </c>
      <c r="K13" s="36">
        <v>5.2777715832732406E-6</v>
      </c>
      <c r="L13" s="37"/>
      <c r="M13" s="36"/>
      <c r="N13" s="36">
        <v>1.0164522230703729E-5</v>
      </c>
      <c r="O13" s="36">
        <v>1.5652837096580385E-5</v>
      </c>
      <c r="P13">
        <v>2.3031555484101464E-6</v>
      </c>
    </row>
    <row r="14" spans="1:16" hidden="1" x14ac:dyDescent="0.35">
      <c r="A14" s="3">
        <f xml:space="preserve"> ROW( data_scaledImpacts[[#This Row],[row_id]] ) - ROW( data_scaledImpacts[[#Headers],[row_id]] )</f>
        <v>13</v>
      </c>
      <c r="B14" s="41" t="str">
        <f xml:space="preserve"> _xlfn.TEXTJOIN( "", , data_scaledImpacts[[#This Row],[sector]:[impactType]] )</f>
        <v>ExtremeTempGFDL-CM322010No Adaptationhot</v>
      </c>
      <c r="C14" s="33" t="s">
        <v>17</v>
      </c>
      <c r="D14" s="33" t="s">
        <v>5</v>
      </c>
      <c r="E14" s="34">
        <v>2</v>
      </c>
      <c r="F14" s="34">
        <v>2010</v>
      </c>
      <c r="G14" s="34" t="s">
        <v>776</v>
      </c>
      <c r="H14" s="35" t="s">
        <v>14</v>
      </c>
      <c r="I14" s="43" t="s">
        <v>24</v>
      </c>
      <c r="J14" s="36">
        <v>1.8474196752642546E-5</v>
      </c>
      <c r="K14" s="36">
        <v>2.0169256876578513E-5</v>
      </c>
      <c r="L14" s="37"/>
      <c r="M14" s="36"/>
      <c r="N14" s="36">
        <v>1.6580077798008921E-5</v>
      </c>
      <c r="O14" s="36">
        <v>2.3406132418741648E-5</v>
      </c>
      <c r="P14">
        <v>9.5417748175550347E-6</v>
      </c>
    </row>
    <row r="15" spans="1:16" hidden="1" x14ac:dyDescent="0.35">
      <c r="A15" s="3">
        <f xml:space="preserve"> ROW( data_scaledImpacts[[#This Row],[row_id]] ) - ROW( data_scaledImpacts[[#Headers],[row_id]] )</f>
        <v>14</v>
      </c>
      <c r="B15" s="41" t="str">
        <f xml:space="preserve"> _xlfn.TEXTJOIN( "", , data_scaledImpacts[[#This Row],[sector]:[impactType]] )</f>
        <v>ExtremeTempGCM Average22010No Adaptationhot</v>
      </c>
      <c r="C15" s="33" t="s">
        <v>17</v>
      </c>
      <c r="D15" s="33" t="s">
        <v>15</v>
      </c>
      <c r="E15" s="34">
        <v>2</v>
      </c>
      <c r="F15" s="34">
        <v>2010</v>
      </c>
      <c r="G15" s="34" t="s">
        <v>776</v>
      </c>
      <c r="H15" s="35" t="s">
        <v>14</v>
      </c>
      <c r="I15" s="43" t="s">
        <v>25</v>
      </c>
      <c r="J15" s="36">
        <v>1.7556436834964905E-5</v>
      </c>
      <c r="K15" s="36">
        <v>1.444529991803165E-5</v>
      </c>
      <c r="L15" s="37" t="s">
        <v>26</v>
      </c>
      <c r="M15" s="36" t="s">
        <v>26</v>
      </c>
      <c r="N15" s="36">
        <v>1.7050372793902374E-5</v>
      </c>
      <c r="O15" s="36">
        <v>1.6362239869770633E-5</v>
      </c>
      <c r="P15">
        <v>7.0502280377956128E-6</v>
      </c>
    </row>
    <row r="16" spans="1:16" hidden="1" x14ac:dyDescent="0.35">
      <c r="A16" s="3">
        <f xml:space="preserve"> ROW( data_scaledImpacts[[#This Row],[row_id]] ) - ROW( data_scaledImpacts[[#Headers],[row_id]] )</f>
        <v>15</v>
      </c>
      <c r="B16" s="41" t="str">
        <f xml:space="preserve"> _xlfn.TEXTJOIN( "", , data_scaledImpacts[[#This Row],[sector]:[impactType]] )</f>
        <v>ExtremeTempCanESM232010No Adaptationhot</v>
      </c>
      <c r="C16" s="33" t="s">
        <v>17</v>
      </c>
      <c r="D16" s="33" t="s">
        <v>0</v>
      </c>
      <c r="E16" s="34">
        <v>3</v>
      </c>
      <c r="F16" s="34">
        <v>2010</v>
      </c>
      <c r="G16" s="34" t="s">
        <v>776</v>
      </c>
      <c r="H16" s="35" t="s">
        <v>14</v>
      </c>
      <c r="I16" s="43" t="s">
        <v>19</v>
      </c>
      <c r="J16" s="36">
        <v>2.3006394734377007E-5</v>
      </c>
      <c r="K16" s="36">
        <v>2.8969995350362268E-5</v>
      </c>
      <c r="L16" s="37"/>
      <c r="M16" s="36"/>
      <c r="N16" s="36">
        <v>3.1836970483027164E-5</v>
      </c>
      <c r="O16" s="36">
        <v>3.3685703485578107E-5</v>
      </c>
      <c r="P16">
        <v>2.4383405931150503E-5</v>
      </c>
    </row>
    <row r="17" spans="1:16" hidden="1" x14ac:dyDescent="0.35">
      <c r="A17" s="3">
        <f xml:space="preserve"> ROW( data_scaledImpacts[[#This Row],[row_id]] ) - ROW( data_scaledImpacts[[#Headers],[row_id]] )</f>
        <v>16</v>
      </c>
      <c r="B17" s="41" t="str">
        <f xml:space="preserve"> _xlfn.TEXTJOIN( "", , data_scaledImpacts[[#This Row],[sector]:[impactType]] )</f>
        <v>ExtremeTempCCSM432010No Adaptationhot</v>
      </c>
      <c r="C17" s="33" t="s">
        <v>17</v>
      </c>
      <c r="D17" s="33" t="s">
        <v>1</v>
      </c>
      <c r="E17" s="34">
        <v>3</v>
      </c>
      <c r="F17" s="34">
        <v>2010</v>
      </c>
      <c r="G17" s="34" t="s">
        <v>776</v>
      </c>
      <c r="H17" s="35" t="s">
        <v>14</v>
      </c>
      <c r="I17" s="43" t="s">
        <v>20</v>
      </c>
      <c r="J17" s="36">
        <v>2.7530471800820843E-5</v>
      </c>
      <c r="K17" s="36">
        <v>2.9397408273103367E-5</v>
      </c>
      <c r="L17" s="37"/>
      <c r="M17" s="36"/>
      <c r="N17" s="36">
        <v>2.9757416955302086E-5</v>
      </c>
      <c r="O17" s="36">
        <v>2.8106894993547872E-5</v>
      </c>
      <c r="P17">
        <v>1.0805478285414528E-5</v>
      </c>
    </row>
    <row r="18" spans="1:16" hidden="1" x14ac:dyDescent="0.35">
      <c r="A18" s="3">
        <f xml:space="preserve"> ROW( data_scaledImpacts[[#This Row],[row_id]] ) - ROW( data_scaledImpacts[[#Headers],[row_id]] )</f>
        <v>17</v>
      </c>
      <c r="B18" s="41" t="str">
        <f xml:space="preserve"> _xlfn.TEXTJOIN( "", , data_scaledImpacts[[#This Row],[sector]:[impactType]] )</f>
        <v>ExtremeTempGISS-E2-R32010No Adaptationhot</v>
      </c>
      <c r="C18" s="33" t="s">
        <v>17</v>
      </c>
      <c r="D18" s="33" t="s">
        <v>2</v>
      </c>
      <c r="E18" s="34">
        <v>3</v>
      </c>
      <c r="F18" s="34">
        <v>2010</v>
      </c>
      <c r="G18" s="34" t="s">
        <v>776</v>
      </c>
      <c r="H18" s="35" t="s">
        <v>14</v>
      </c>
      <c r="I18" s="43" t="s">
        <v>21</v>
      </c>
      <c r="J18" s="36">
        <v>4.3086140577785233E-5</v>
      </c>
      <c r="K18" s="36">
        <v>3.6685027088771688E-5</v>
      </c>
      <c r="L18" s="37"/>
      <c r="M18" s="36"/>
      <c r="N18" s="36">
        <v>4.1834285325638895E-5</v>
      </c>
      <c r="O18" s="36">
        <v>3.4122121809122037E-5</v>
      </c>
      <c r="P18">
        <v>1.5903399823136909E-5</v>
      </c>
    </row>
    <row r="19" spans="1:16" hidden="1" x14ac:dyDescent="0.35">
      <c r="A19" s="3">
        <f xml:space="preserve"> ROW( data_scaledImpacts[[#This Row],[row_id]] ) - ROW( data_scaledImpacts[[#Headers],[row_id]] )</f>
        <v>18</v>
      </c>
      <c r="B19" s="41" t="str">
        <f xml:space="preserve"> _xlfn.TEXTJOIN( "", , data_scaledImpacts[[#This Row],[sector]:[impactType]] )</f>
        <v>ExtremeTempHadGEM2-ES32010No Adaptationhot</v>
      </c>
      <c r="C19" s="33" t="s">
        <v>17</v>
      </c>
      <c r="D19" s="33" t="s">
        <v>3</v>
      </c>
      <c r="E19" s="34">
        <v>3</v>
      </c>
      <c r="F19" s="34">
        <v>2010</v>
      </c>
      <c r="G19" s="34" t="s">
        <v>776</v>
      </c>
      <c r="H19" s="35" t="s">
        <v>14</v>
      </c>
      <c r="I19" s="43" t="s">
        <v>22</v>
      </c>
      <c r="J19" s="36">
        <v>3.8062994353429202E-5</v>
      </c>
      <c r="K19" s="36">
        <v>3.0079204705481428E-5</v>
      </c>
      <c r="L19" s="37"/>
      <c r="M19" s="36"/>
      <c r="N19" s="36">
        <v>4.6245752800416502E-5</v>
      </c>
      <c r="O19" s="36">
        <v>3.0794981765417549E-5</v>
      </c>
      <c r="P19">
        <v>1.050033001883965E-5</v>
      </c>
    </row>
    <row r="20" spans="1:16" hidden="1" x14ac:dyDescent="0.35">
      <c r="A20" s="3">
        <f xml:space="preserve"> ROW( data_scaledImpacts[[#This Row],[row_id]] ) - ROW( data_scaledImpacts[[#Headers],[row_id]] )</f>
        <v>19</v>
      </c>
      <c r="B20" s="41" t="str">
        <f xml:space="preserve"> _xlfn.TEXTJOIN( "", , data_scaledImpacts[[#This Row],[sector]:[impactType]] )</f>
        <v>ExtremeTempMIROC532010No Adaptationhot</v>
      </c>
      <c r="C20" s="33" t="s">
        <v>17</v>
      </c>
      <c r="D20" s="33" t="s">
        <v>4</v>
      </c>
      <c r="E20" s="34">
        <v>3</v>
      </c>
      <c r="F20" s="34">
        <v>2010</v>
      </c>
      <c r="G20" s="34" t="s">
        <v>776</v>
      </c>
      <c r="H20" s="35" t="s">
        <v>14</v>
      </c>
      <c r="I20" s="43" t="s">
        <v>23</v>
      </c>
      <c r="J20" s="36">
        <v>1.6644363331605377E-5</v>
      </c>
      <c r="K20" s="36">
        <v>1.6362616818780158E-5</v>
      </c>
      <c r="L20" s="37"/>
      <c r="M20" s="36"/>
      <c r="N20" s="36">
        <v>1.9937298631262943E-5</v>
      </c>
      <c r="O20" s="36">
        <v>2.4656987732293745E-5</v>
      </c>
      <c r="P20">
        <v>6.3682967758256669E-6</v>
      </c>
    </row>
    <row r="21" spans="1:16" hidden="1" x14ac:dyDescent="0.35">
      <c r="A21" s="3">
        <f xml:space="preserve"> ROW( data_scaledImpacts[[#This Row],[row_id]] ) - ROW( data_scaledImpacts[[#Headers],[row_id]] )</f>
        <v>20</v>
      </c>
      <c r="B21" s="41" t="str">
        <f xml:space="preserve"> _xlfn.TEXTJOIN( "", , data_scaledImpacts[[#This Row],[sector]:[impactType]] )</f>
        <v>ExtremeTempGFDL-CM332010No Adaptationhot</v>
      </c>
      <c r="C21" s="33" t="s">
        <v>17</v>
      </c>
      <c r="D21" s="33" t="s">
        <v>5</v>
      </c>
      <c r="E21" s="34">
        <v>3</v>
      </c>
      <c r="F21" s="34">
        <v>2010</v>
      </c>
      <c r="G21" s="34" t="s">
        <v>776</v>
      </c>
      <c r="H21" s="35" t="s">
        <v>14</v>
      </c>
      <c r="I21" s="43" t="s">
        <v>24</v>
      </c>
      <c r="J21" s="36">
        <v>3.486403595185324E-5</v>
      </c>
      <c r="K21" s="36">
        <v>4.8467642490508138E-5</v>
      </c>
      <c r="L21" s="37"/>
      <c r="M21" s="36"/>
      <c r="N21" s="36">
        <v>3.6490012423867576E-5</v>
      </c>
      <c r="O21" s="36">
        <v>4.2783827139265785E-5</v>
      </c>
      <c r="P21">
        <v>2.1941639068422431E-5</v>
      </c>
    </row>
    <row r="22" spans="1:16" hidden="1" x14ac:dyDescent="0.35">
      <c r="A22" s="3">
        <f xml:space="preserve"> ROW( data_scaledImpacts[[#This Row],[row_id]] ) - ROW( data_scaledImpacts[[#Headers],[row_id]] )</f>
        <v>21</v>
      </c>
      <c r="B22" s="41" t="str">
        <f xml:space="preserve"> _xlfn.TEXTJOIN( "", , data_scaledImpacts[[#This Row],[sector]:[impactType]] )</f>
        <v>ExtremeTempGCM Average32010No Adaptationhot</v>
      </c>
      <c r="C22" s="33" t="s">
        <v>17</v>
      </c>
      <c r="D22" s="33" t="s">
        <v>15</v>
      </c>
      <c r="E22" s="34">
        <v>3</v>
      </c>
      <c r="F22" s="34">
        <v>2010</v>
      </c>
      <c r="G22" s="34" t="s">
        <v>776</v>
      </c>
      <c r="H22" s="35" t="s">
        <v>14</v>
      </c>
      <c r="I22" s="43" t="s">
        <v>25</v>
      </c>
      <c r="J22" s="36">
        <v>3.0532400124978484E-5</v>
      </c>
      <c r="K22" s="36">
        <v>3.1660315787834506E-5</v>
      </c>
      <c r="L22" s="37" t="s">
        <v>26</v>
      </c>
      <c r="M22" s="36" t="s">
        <v>26</v>
      </c>
      <c r="N22" s="36">
        <v>3.4350289436585859E-5</v>
      </c>
      <c r="O22" s="36">
        <v>3.2358419487537518E-5</v>
      </c>
      <c r="P22">
        <v>1.4983758317131613E-5</v>
      </c>
    </row>
    <row r="23" spans="1:16" hidden="1" x14ac:dyDescent="0.35">
      <c r="A23" s="3">
        <f xml:space="preserve"> ROW( data_scaledImpacts[[#This Row],[row_id]] ) - ROW( data_scaledImpacts[[#Headers],[row_id]] )</f>
        <v>22</v>
      </c>
      <c r="B23" s="41" t="str">
        <f xml:space="preserve"> _xlfn.TEXTJOIN( "", , data_scaledImpacts[[#This Row],[sector]:[impactType]] )</f>
        <v>ExtremeTempCanESM242010No Adaptationhot</v>
      </c>
      <c r="C23" s="33" t="s">
        <v>17</v>
      </c>
      <c r="D23" s="33" t="s">
        <v>0</v>
      </c>
      <c r="E23" s="34">
        <v>4</v>
      </c>
      <c r="F23" s="34">
        <v>2010</v>
      </c>
      <c r="G23" s="34" t="s">
        <v>776</v>
      </c>
      <c r="H23" s="35" t="s">
        <v>14</v>
      </c>
      <c r="I23" s="43" t="s">
        <v>19</v>
      </c>
      <c r="J23" s="36">
        <v>3.959042491621796E-5</v>
      </c>
      <c r="K23" s="36">
        <v>5.663633454462882E-5</v>
      </c>
      <c r="L23" s="37"/>
      <c r="M23" s="36"/>
      <c r="N23" s="36">
        <v>5.4236711221004786E-5</v>
      </c>
      <c r="O23" s="36">
        <v>5.4294898373156023E-5</v>
      </c>
      <c r="P23">
        <v>3.5571209157119523E-5</v>
      </c>
    </row>
    <row r="24" spans="1:16" hidden="1" x14ac:dyDescent="0.35">
      <c r="A24" s="3">
        <f xml:space="preserve"> ROW( data_scaledImpacts[[#This Row],[row_id]] ) - ROW( data_scaledImpacts[[#Headers],[row_id]] )</f>
        <v>23</v>
      </c>
      <c r="B24" s="41" t="str">
        <f xml:space="preserve"> _xlfn.TEXTJOIN( "", , data_scaledImpacts[[#This Row],[sector]:[impactType]] )</f>
        <v>ExtremeTempCCSM442010No Adaptationhot</v>
      </c>
      <c r="C24" s="33" t="s">
        <v>17</v>
      </c>
      <c r="D24" s="33" t="s">
        <v>1</v>
      </c>
      <c r="E24" s="34">
        <v>4</v>
      </c>
      <c r="F24" s="34">
        <v>2010</v>
      </c>
      <c r="G24" s="34" t="s">
        <v>776</v>
      </c>
      <c r="H24" s="35" t="s">
        <v>14</v>
      </c>
      <c r="I24" s="43" t="s">
        <v>20</v>
      </c>
      <c r="J24" s="36">
        <v>3.5853505063698516E-5</v>
      </c>
      <c r="K24" s="36">
        <v>4.5020957729197637E-5</v>
      </c>
      <c r="L24" s="37"/>
      <c r="M24" s="36"/>
      <c r="N24" s="36">
        <v>4.4437883790997832E-5</v>
      </c>
      <c r="O24" s="36">
        <v>3.9889217854187378E-5</v>
      </c>
      <c r="P24">
        <v>1.7350302060417035E-5</v>
      </c>
    </row>
    <row r="25" spans="1:16" hidden="1" x14ac:dyDescent="0.35">
      <c r="A25" s="3">
        <f xml:space="preserve"> ROW( data_scaledImpacts[[#This Row],[row_id]] ) - ROW( data_scaledImpacts[[#Headers],[row_id]] )</f>
        <v>24</v>
      </c>
      <c r="B25" s="41" t="str">
        <f xml:space="preserve"> _xlfn.TEXTJOIN( "", , data_scaledImpacts[[#This Row],[sector]:[impactType]] )</f>
        <v>ExtremeTempGISS-E2-R42010No Adaptationhot</v>
      </c>
      <c r="C25" s="33" t="s">
        <v>17</v>
      </c>
      <c r="D25" s="33" t="s">
        <v>2</v>
      </c>
      <c r="E25" s="34">
        <v>4</v>
      </c>
      <c r="F25" s="34">
        <v>2010</v>
      </c>
      <c r="G25" s="34" t="s">
        <v>776</v>
      </c>
      <c r="H25" s="35" t="s">
        <v>14</v>
      </c>
      <c r="I25" s="43" t="s">
        <v>21</v>
      </c>
      <c r="J25" s="36"/>
      <c r="K25" s="36"/>
      <c r="L25" s="37"/>
      <c r="M25" s="36"/>
      <c r="N25" s="36"/>
      <c r="O25" s="36"/>
    </row>
    <row r="26" spans="1:16" hidden="1" x14ac:dyDescent="0.35">
      <c r="A26" s="3">
        <f xml:space="preserve"> ROW( data_scaledImpacts[[#This Row],[row_id]] ) - ROW( data_scaledImpacts[[#Headers],[row_id]] )</f>
        <v>25</v>
      </c>
      <c r="B26" s="41" t="str">
        <f xml:space="preserve"> _xlfn.TEXTJOIN( "", , data_scaledImpacts[[#This Row],[sector]:[impactType]] )</f>
        <v>ExtremeTempHadGEM2-ES42010No Adaptationhot</v>
      </c>
      <c r="C26" s="33" t="s">
        <v>17</v>
      </c>
      <c r="D26" s="33" t="s">
        <v>3</v>
      </c>
      <c r="E26" s="34">
        <v>4</v>
      </c>
      <c r="F26" s="34">
        <v>2010</v>
      </c>
      <c r="G26" s="34" t="s">
        <v>776</v>
      </c>
      <c r="H26" s="35" t="s">
        <v>14</v>
      </c>
      <c r="I26" s="43" t="s">
        <v>22</v>
      </c>
      <c r="J26" s="36">
        <v>4.9746232363762747E-5</v>
      </c>
      <c r="K26" s="36">
        <v>5.0055408016673339E-5</v>
      </c>
      <c r="L26" s="37"/>
      <c r="M26" s="36"/>
      <c r="N26" s="36">
        <v>6.3306652143246746E-5</v>
      </c>
      <c r="O26" s="36">
        <v>4.6616453246617513E-5</v>
      </c>
      <c r="P26">
        <v>1.9338039875515308E-5</v>
      </c>
    </row>
    <row r="27" spans="1:16" hidden="1" x14ac:dyDescent="0.35">
      <c r="A27" s="3">
        <f xml:space="preserve"> ROW( data_scaledImpacts[[#This Row],[row_id]] ) - ROW( data_scaledImpacts[[#Headers],[row_id]] )</f>
        <v>26</v>
      </c>
      <c r="B27" s="41" t="str">
        <f xml:space="preserve"> _xlfn.TEXTJOIN( "", , data_scaledImpacts[[#This Row],[sector]:[impactType]] )</f>
        <v>ExtremeTempMIROC542010No Adaptationhot</v>
      </c>
      <c r="C27" s="33" t="s">
        <v>17</v>
      </c>
      <c r="D27" s="33" t="s">
        <v>4</v>
      </c>
      <c r="E27" s="34">
        <v>4</v>
      </c>
      <c r="F27" s="34">
        <v>2010</v>
      </c>
      <c r="G27" s="34" t="s">
        <v>776</v>
      </c>
      <c r="H27" s="35" t="s">
        <v>14</v>
      </c>
      <c r="I27" s="43" t="s">
        <v>23</v>
      </c>
      <c r="J27" s="36">
        <v>3.5612087361646851E-5</v>
      </c>
      <c r="K27" s="36">
        <v>3.6364874756165032E-5</v>
      </c>
      <c r="L27" s="37"/>
      <c r="M27" s="36"/>
      <c r="N27" s="36">
        <v>3.8812731920824825E-5</v>
      </c>
      <c r="O27" s="36">
        <v>4.7648283372524022E-5</v>
      </c>
      <c r="P27">
        <v>1.1028260239964971E-5</v>
      </c>
    </row>
    <row r="28" spans="1:16" hidden="1" x14ac:dyDescent="0.35">
      <c r="A28" s="3">
        <f xml:space="preserve"> ROW( data_scaledImpacts[[#This Row],[row_id]] ) - ROW( data_scaledImpacts[[#Headers],[row_id]] )</f>
        <v>27</v>
      </c>
      <c r="B28" s="41" t="str">
        <f xml:space="preserve"> _xlfn.TEXTJOIN( "", , data_scaledImpacts[[#This Row],[sector]:[impactType]] )</f>
        <v>ExtremeTempGFDL-CM342010No Adaptationhot</v>
      </c>
      <c r="C28" s="33" t="s">
        <v>17</v>
      </c>
      <c r="D28" s="33" t="s">
        <v>5</v>
      </c>
      <c r="E28" s="34">
        <v>4</v>
      </c>
      <c r="F28" s="34">
        <v>2010</v>
      </c>
      <c r="G28" s="34" t="s">
        <v>776</v>
      </c>
      <c r="H28" s="35" t="s">
        <v>14</v>
      </c>
      <c r="I28" s="43" t="s">
        <v>24</v>
      </c>
      <c r="J28" s="36">
        <v>5.2258612076412442E-5</v>
      </c>
      <c r="K28" s="36">
        <v>7.4290464506129899E-5</v>
      </c>
      <c r="L28" s="37"/>
      <c r="M28" s="36"/>
      <c r="N28" s="36">
        <v>6.0390981217254559E-5</v>
      </c>
      <c r="O28" s="36">
        <v>6.2731431760900517E-5</v>
      </c>
      <c r="P28">
        <v>3.2954711897611448E-5</v>
      </c>
    </row>
    <row r="29" spans="1:16" hidden="1" x14ac:dyDescent="0.35">
      <c r="A29" s="3">
        <f xml:space="preserve"> ROW( data_scaledImpacts[[#This Row],[row_id]] ) - ROW( data_scaledImpacts[[#Headers],[row_id]] )</f>
        <v>28</v>
      </c>
      <c r="B29" s="41" t="str">
        <f xml:space="preserve"> _xlfn.TEXTJOIN( "", , data_scaledImpacts[[#This Row],[sector]:[impactType]] )</f>
        <v>ExtremeTempGCM Average42010No Adaptationhot</v>
      </c>
      <c r="C29" s="33" t="s">
        <v>17</v>
      </c>
      <c r="D29" s="33" t="s">
        <v>15</v>
      </c>
      <c r="E29" s="34">
        <v>4</v>
      </c>
      <c r="F29" s="34">
        <v>2010</v>
      </c>
      <c r="G29" s="34" t="s">
        <v>776</v>
      </c>
      <c r="H29" s="35" t="s">
        <v>14</v>
      </c>
      <c r="I29" s="43" t="s">
        <v>25</v>
      </c>
      <c r="J29" s="36">
        <v>4.2612172356347698E-5</v>
      </c>
      <c r="K29" s="36">
        <v>5.2473607910558952E-5</v>
      </c>
      <c r="L29" s="37" t="s">
        <v>26</v>
      </c>
      <c r="M29" s="36" t="s">
        <v>26</v>
      </c>
      <c r="N29" s="36">
        <v>5.2236992058665752E-5</v>
      </c>
      <c r="O29" s="36">
        <v>5.0236056921477092E-5</v>
      </c>
      <c r="P29">
        <v>2.3248504646125653E-5</v>
      </c>
    </row>
    <row r="30" spans="1:16" hidden="1" x14ac:dyDescent="0.35">
      <c r="A30" s="3">
        <f xml:space="preserve"> ROW( data_scaledImpacts[[#This Row],[row_id]] ) - ROW( data_scaledImpacts[[#Headers],[row_id]] )</f>
        <v>29</v>
      </c>
      <c r="B30" s="41" t="str">
        <f xml:space="preserve"> _xlfn.TEXTJOIN( "", , data_scaledImpacts[[#This Row],[sector]:[impactType]] )</f>
        <v>ExtremeTempCanESM252010No Adaptationhot</v>
      </c>
      <c r="C30" s="33" t="s">
        <v>17</v>
      </c>
      <c r="D30" s="33" t="s">
        <v>0</v>
      </c>
      <c r="E30" s="34">
        <v>5</v>
      </c>
      <c r="F30" s="34">
        <v>2010</v>
      </c>
      <c r="G30" s="34" t="s">
        <v>776</v>
      </c>
      <c r="H30" s="35" t="s">
        <v>14</v>
      </c>
      <c r="I30" s="43" t="s">
        <v>19</v>
      </c>
      <c r="J30" s="36">
        <v>5.9726446781927268E-5</v>
      </c>
      <c r="K30" s="36">
        <v>8.1855877621137528E-5</v>
      </c>
      <c r="L30" s="37"/>
      <c r="M30" s="36"/>
      <c r="N30" s="36">
        <v>7.9163179656742825E-5</v>
      </c>
      <c r="O30" s="36">
        <v>6.1223224877336499E-5</v>
      </c>
      <c r="P30">
        <v>5.1815720129109106E-5</v>
      </c>
    </row>
    <row r="31" spans="1:16" hidden="1" x14ac:dyDescent="0.35">
      <c r="A31" s="3">
        <f xml:space="preserve"> ROW( data_scaledImpacts[[#This Row],[row_id]] ) - ROW( data_scaledImpacts[[#Headers],[row_id]] )</f>
        <v>30</v>
      </c>
      <c r="B31" s="41" t="str">
        <f xml:space="preserve"> _xlfn.TEXTJOIN( "", , data_scaledImpacts[[#This Row],[sector]:[impactType]] )</f>
        <v>ExtremeTempCCSM452010No Adaptationhot</v>
      </c>
      <c r="C31" s="33" t="s">
        <v>17</v>
      </c>
      <c r="D31" s="33" t="s">
        <v>1</v>
      </c>
      <c r="E31" s="34">
        <v>5</v>
      </c>
      <c r="F31" s="34">
        <v>2010</v>
      </c>
      <c r="G31" s="34" t="s">
        <v>776</v>
      </c>
      <c r="H31" s="35" t="s">
        <v>14</v>
      </c>
      <c r="I31" s="43" t="s">
        <v>20</v>
      </c>
      <c r="J31" s="36">
        <v>4.8050187281816319E-5</v>
      </c>
      <c r="K31" s="36">
        <v>5.9354726390870767E-5</v>
      </c>
      <c r="L31" s="37"/>
      <c r="M31" s="36"/>
      <c r="N31" s="36">
        <v>6.5698938892052043E-5</v>
      </c>
      <c r="O31" s="36">
        <v>5.6010571157890156E-5</v>
      </c>
      <c r="P31">
        <v>2.3048768574159899E-5</v>
      </c>
    </row>
    <row r="32" spans="1:16" hidden="1" x14ac:dyDescent="0.35">
      <c r="A32" s="3">
        <f xml:space="preserve"> ROW( data_scaledImpacts[[#This Row],[row_id]] ) - ROW( data_scaledImpacts[[#Headers],[row_id]] )</f>
        <v>31</v>
      </c>
      <c r="B32" s="41" t="str">
        <f xml:space="preserve"> _xlfn.TEXTJOIN( "", , data_scaledImpacts[[#This Row],[sector]:[impactType]] )</f>
        <v>ExtremeTempGISS-E2-R52010No Adaptationhot</v>
      </c>
      <c r="C32" s="33" t="s">
        <v>17</v>
      </c>
      <c r="D32" s="33" t="s">
        <v>2</v>
      </c>
      <c r="E32" s="34">
        <v>5</v>
      </c>
      <c r="F32" s="34">
        <v>2010</v>
      </c>
      <c r="G32" s="34" t="s">
        <v>776</v>
      </c>
      <c r="H32" s="35" t="s">
        <v>14</v>
      </c>
      <c r="I32" s="43" t="s">
        <v>21</v>
      </c>
      <c r="J32" s="36"/>
      <c r="K32" s="36"/>
      <c r="L32" s="37"/>
      <c r="M32" s="36"/>
      <c r="N32" s="36"/>
      <c r="O32" s="36"/>
    </row>
    <row r="33" spans="1:16" hidden="1" x14ac:dyDescent="0.35">
      <c r="A33" s="3">
        <f xml:space="preserve"> ROW( data_scaledImpacts[[#This Row],[row_id]] ) - ROW( data_scaledImpacts[[#Headers],[row_id]] )</f>
        <v>32</v>
      </c>
      <c r="B33" s="41" t="str">
        <f xml:space="preserve"> _xlfn.TEXTJOIN( "", , data_scaledImpacts[[#This Row],[sector]:[impactType]] )</f>
        <v>ExtremeTempHadGEM2-ES52010No Adaptationhot</v>
      </c>
      <c r="C33" s="33" t="s">
        <v>17</v>
      </c>
      <c r="D33" s="33" t="s">
        <v>3</v>
      </c>
      <c r="E33" s="34">
        <v>5</v>
      </c>
      <c r="F33" s="34">
        <v>2010</v>
      </c>
      <c r="G33" s="34" t="s">
        <v>776</v>
      </c>
      <c r="H33" s="35" t="s">
        <v>14</v>
      </c>
      <c r="I33" s="43" t="s">
        <v>22</v>
      </c>
      <c r="J33" s="36">
        <v>7.321044720751524E-5</v>
      </c>
      <c r="K33" s="36">
        <v>7.2348562519792864E-5</v>
      </c>
      <c r="L33" s="37"/>
      <c r="M33" s="36"/>
      <c r="N33" s="36">
        <v>7.9503666402957543E-5</v>
      </c>
      <c r="O33" s="36">
        <v>5.8570729958995996E-5</v>
      </c>
      <c r="P33">
        <v>2.6591511707933584E-5</v>
      </c>
    </row>
    <row r="34" spans="1:16" hidden="1" x14ac:dyDescent="0.35">
      <c r="A34" s="3">
        <f xml:space="preserve"> ROW( data_scaledImpacts[[#This Row],[row_id]] ) - ROW( data_scaledImpacts[[#Headers],[row_id]] )</f>
        <v>33</v>
      </c>
      <c r="B34" s="41" t="str">
        <f xml:space="preserve"> _xlfn.TEXTJOIN( "", , data_scaledImpacts[[#This Row],[sector]:[impactType]] )</f>
        <v>ExtremeTempMIROC552010No Adaptationhot</v>
      </c>
      <c r="C34" s="33" t="s">
        <v>17</v>
      </c>
      <c r="D34" s="33" t="s">
        <v>4</v>
      </c>
      <c r="E34" s="34">
        <v>5</v>
      </c>
      <c r="F34" s="34">
        <v>2010</v>
      </c>
      <c r="G34" s="34" t="s">
        <v>776</v>
      </c>
      <c r="H34" s="35" t="s">
        <v>14</v>
      </c>
      <c r="I34" s="43" t="s">
        <v>23</v>
      </c>
      <c r="J34" s="36">
        <v>5.082322353211999E-5</v>
      </c>
      <c r="K34" s="36">
        <v>4.9554905210533525E-5</v>
      </c>
      <c r="L34" s="37"/>
      <c r="M34" s="36"/>
      <c r="N34" s="36">
        <v>5.8887826852812368E-5</v>
      </c>
      <c r="O34" s="36">
        <v>6.9860312488580082E-5</v>
      </c>
      <c r="P34">
        <v>1.8703378354202129E-5</v>
      </c>
    </row>
    <row r="35" spans="1:16" hidden="1" x14ac:dyDescent="0.35">
      <c r="A35" s="3">
        <f xml:space="preserve"> ROW( data_scaledImpacts[[#This Row],[row_id]] ) - ROW( data_scaledImpacts[[#Headers],[row_id]] )</f>
        <v>34</v>
      </c>
      <c r="B35" s="41" t="str">
        <f xml:space="preserve"> _xlfn.TEXTJOIN( "", , data_scaledImpacts[[#This Row],[sector]:[impactType]] )</f>
        <v>ExtremeTempGFDL-CM352010No Adaptationhot</v>
      </c>
      <c r="C35" s="33" t="s">
        <v>17</v>
      </c>
      <c r="D35" s="33" t="s">
        <v>5</v>
      </c>
      <c r="E35" s="34">
        <v>5</v>
      </c>
      <c r="F35" s="34">
        <v>2010</v>
      </c>
      <c r="G35" s="34" t="s">
        <v>776</v>
      </c>
      <c r="H35" s="35" t="s">
        <v>14</v>
      </c>
      <c r="I35" s="43" t="s">
        <v>24</v>
      </c>
      <c r="J35" s="36">
        <v>7.7859094224997407E-5</v>
      </c>
      <c r="K35" s="36">
        <v>9.0931367685334776E-5</v>
      </c>
      <c r="L35" s="37"/>
      <c r="M35" s="36"/>
      <c r="N35" s="36">
        <v>7.6528730410601749E-5</v>
      </c>
      <c r="O35" s="36">
        <v>7.41042225661496E-5</v>
      </c>
      <c r="P35">
        <v>4.1287832846061647E-5</v>
      </c>
    </row>
    <row r="36" spans="1:16" hidden="1" x14ac:dyDescent="0.35">
      <c r="A36" s="3">
        <f xml:space="preserve"> ROW( data_scaledImpacts[[#This Row],[row_id]] ) - ROW( data_scaledImpacts[[#Headers],[row_id]] )</f>
        <v>35</v>
      </c>
      <c r="B36" s="41" t="str">
        <f xml:space="preserve"> _xlfn.TEXTJOIN( "", , data_scaledImpacts[[#This Row],[sector]:[impactType]] )</f>
        <v>ExtremeTempGCM Average52010No Adaptationhot</v>
      </c>
      <c r="C36" s="33" t="s">
        <v>17</v>
      </c>
      <c r="D36" s="33" t="s">
        <v>15</v>
      </c>
      <c r="E36" s="34">
        <v>5</v>
      </c>
      <c r="F36" s="34">
        <v>2010</v>
      </c>
      <c r="G36" s="34" t="s">
        <v>776</v>
      </c>
      <c r="H36" s="35" t="s">
        <v>14</v>
      </c>
      <c r="I36" s="43" t="s">
        <v>25</v>
      </c>
      <c r="J36" s="36">
        <v>6.1933879805675245E-5</v>
      </c>
      <c r="K36" s="36">
        <v>7.0809087885533899E-5</v>
      </c>
      <c r="L36" s="37" t="s">
        <v>26</v>
      </c>
      <c r="M36" s="36" t="s">
        <v>26</v>
      </c>
      <c r="N36" s="36">
        <v>7.1956468443033306E-5</v>
      </c>
      <c r="O36" s="36">
        <v>6.3953812209790475E-5</v>
      </c>
      <c r="P36">
        <v>3.2289442322293269E-5</v>
      </c>
    </row>
    <row r="37" spans="1:16" hidden="1" x14ac:dyDescent="0.35">
      <c r="A37" s="3">
        <f xml:space="preserve"> ROW( data_scaledImpacts[[#This Row],[row_id]] ) - ROW( data_scaledImpacts[[#Headers],[row_id]] )</f>
        <v>36</v>
      </c>
      <c r="B37" s="41" t="str">
        <f xml:space="preserve"> _xlfn.TEXTJOIN( "", , data_scaledImpacts[[#This Row],[sector]:[impactType]] )</f>
        <v>ExtremeTempCanESM262010No Adaptationhot</v>
      </c>
      <c r="C37" s="33" t="s">
        <v>17</v>
      </c>
      <c r="D37" s="33" t="s">
        <v>0</v>
      </c>
      <c r="E37" s="34">
        <v>6</v>
      </c>
      <c r="F37" s="34">
        <v>2010</v>
      </c>
      <c r="G37" s="34" t="s">
        <v>776</v>
      </c>
      <c r="H37" s="35" t="s">
        <v>14</v>
      </c>
      <c r="I37" s="43" t="s">
        <v>19</v>
      </c>
      <c r="J37" s="36">
        <v>8.6971304691989011E-5</v>
      </c>
      <c r="K37" s="36">
        <v>1.1107136253211658E-4</v>
      </c>
      <c r="L37" s="37"/>
      <c r="M37" s="36"/>
      <c r="N37" s="36">
        <v>9.8117940733636439E-5</v>
      </c>
      <c r="O37" s="36">
        <v>7.546104641599346E-5</v>
      </c>
      <c r="P37">
        <v>6.5898641659758325E-5</v>
      </c>
    </row>
    <row r="38" spans="1:16" hidden="1" x14ac:dyDescent="0.35">
      <c r="A38" s="3">
        <f xml:space="preserve"> ROW( data_scaledImpacts[[#This Row],[row_id]] ) - ROW( data_scaledImpacts[[#Headers],[row_id]] )</f>
        <v>37</v>
      </c>
      <c r="B38" s="41" t="str">
        <f xml:space="preserve"> _xlfn.TEXTJOIN( "", , data_scaledImpacts[[#This Row],[sector]:[impactType]] )</f>
        <v>ExtremeTempCCSM462010No Adaptationhot</v>
      </c>
      <c r="C38" s="33" t="s">
        <v>17</v>
      </c>
      <c r="D38" s="33" t="s">
        <v>1</v>
      </c>
      <c r="E38" s="34">
        <v>6</v>
      </c>
      <c r="F38" s="34">
        <v>2010</v>
      </c>
      <c r="G38" s="34" t="s">
        <v>776</v>
      </c>
      <c r="H38" s="35" t="s">
        <v>14</v>
      </c>
      <c r="I38" s="43" t="s">
        <v>20</v>
      </c>
      <c r="J38" s="36"/>
      <c r="K38" s="36"/>
      <c r="L38" s="37"/>
      <c r="M38" s="36"/>
      <c r="N38" s="36"/>
      <c r="O38" s="36"/>
    </row>
    <row r="39" spans="1:16" hidden="1" x14ac:dyDescent="0.35">
      <c r="A39" s="3">
        <f xml:space="preserve"> ROW( data_scaledImpacts[[#This Row],[row_id]] ) - ROW( data_scaledImpacts[[#Headers],[row_id]] )</f>
        <v>38</v>
      </c>
      <c r="B39" s="41" t="str">
        <f xml:space="preserve"> _xlfn.TEXTJOIN( "", , data_scaledImpacts[[#This Row],[sector]:[impactType]] )</f>
        <v>ExtremeTempGISS-E2-R62010No Adaptationhot</v>
      </c>
      <c r="C39" s="33" t="s">
        <v>17</v>
      </c>
      <c r="D39" s="33" t="s">
        <v>2</v>
      </c>
      <c r="E39" s="34">
        <v>6</v>
      </c>
      <c r="F39" s="34">
        <v>2010</v>
      </c>
      <c r="G39" s="34" t="s">
        <v>776</v>
      </c>
      <c r="H39" s="35" t="s">
        <v>14</v>
      </c>
      <c r="I39" s="43" t="s">
        <v>21</v>
      </c>
      <c r="J39" s="36"/>
      <c r="K39" s="36"/>
      <c r="L39" s="37"/>
      <c r="M39" s="36"/>
      <c r="N39" s="36"/>
      <c r="O39" s="36"/>
    </row>
    <row r="40" spans="1:16" hidden="1" x14ac:dyDescent="0.35">
      <c r="A40" s="3">
        <f xml:space="preserve"> ROW( data_scaledImpacts[[#This Row],[row_id]] ) - ROW( data_scaledImpacts[[#Headers],[row_id]] )</f>
        <v>39</v>
      </c>
      <c r="B40" s="41" t="str">
        <f xml:space="preserve"> _xlfn.TEXTJOIN( "", , data_scaledImpacts[[#This Row],[sector]:[impactType]] )</f>
        <v>ExtremeTempHadGEM2-ES62010No Adaptationhot</v>
      </c>
      <c r="C40" s="33" t="s">
        <v>17</v>
      </c>
      <c r="D40" s="33" t="s">
        <v>3</v>
      </c>
      <c r="E40" s="34">
        <v>6</v>
      </c>
      <c r="F40" s="34">
        <v>2010</v>
      </c>
      <c r="G40" s="34" t="s">
        <v>776</v>
      </c>
      <c r="H40" s="35" t="s">
        <v>14</v>
      </c>
      <c r="I40" s="43" t="s">
        <v>22</v>
      </c>
      <c r="J40" s="36">
        <v>9.7671818680850848E-5</v>
      </c>
      <c r="K40" s="36">
        <v>9.7158052604211427E-5</v>
      </c>
      <c r="L40" s="37"/>
      <c r="M40" s="36"/>
      <c r="N40" s="36">
        <v>9.6826836942412399E-5</v>
      </c>
      <c r="O40" s="36">
        <v>7.0945794956794083E-5</v>
      </c>
      <c r="P40">
        <v>3.8365308387815368E-5</v>
      </c>
    </row>
    <row r="41" spans="1:16" hidden="1" x14ac:dyDescent="0.35">
      <c r="A41" s="3">
        <f xml:space="preserve"> ROW( data_scaledImpacts[[#This Row],[row_id]] ) - ROW( data_scaledImpacts[[#Headers],[row_id]] )</f>
        <v>40</v>
      </c>
      <c r="B41" s="41" t="str">
        <f xml:space="preserve"> _xlfn.TEXTJOIN( "", , data_scaledImpacts[[#This Row],[sector]:[impactType]] )</f>
        <v>ExtremeTempMIROC562010No Adaptationhot</v>
      </c>
      <c r="C41" s="33" t="s">
        <v>17</v>
      </c>
      <c r="D41" s="33" t="s">
        <v>4</v>
      </c>
      <c r="E41" s="34">
        <v>6</v>
      </c>
      <c r="F41" s="34">
        <v>2010</v>
      </c>
      <c r="G41" s="34" t="s">
        <v>776</v>
      </c>
      <c r="H41" s="35" t="s">
        <v>14</v>
      </c>
      <c r="I41" s="43" t="s">
        <v>23</v>
      </c>
      <c r="J41" s="36"/>
      <c r="K41" s="36"/>
      <c r="L41" s="37"/>
      <c r="M41" s="36"/>
      <c r="N41" s="36"/>
      <c r="O41" s="36"/>
    </row>
    <row r="42" spans="1:16" hidden="1" x14ac:dyDescent="0.35">
      <c r="A42" s="3">
        <f xml:space="preserve"> ROW( data_scaledImpacts[[#This Row],[row_id]] ) - ROW( data_scaledImpacts[[#Headers],[row_id]] )</f>
        <v>41</v>
      </c>
      <c r="B42" s="41" t="str">
        <f xml:space="preserve"> _xlfn.TEXTJOIN( "", , data_scaledImpacts[[#This Row],[sector]:[impactType]] )</f>
        <v>ExtremeTempGFDL-CM362010No Adaptationhot</v>
      </c>
      <c r="C42" s="33" t="s">
        <v>17</v>
      </c>
      <c r="D42" s="33" t="s">
        <v>5</v>
      </c>
      <c r="E42" s="34">
        <v>6</v>
      </c>
      <c r="F42" s="34">
        <v>2010</v>
      </c>
      <c r="G42" s="34" t="s">
        <v>776</v>
      </c>
      <c r="H42" s="35" t="s">
        <v>14</v>
      </c>
      <c r="I42" s="43" t="s">
        <v>24</v>
      </c>
      <c r="J42" s="36">
        <v>1.0198005968575351E-4</v>
      </c>
      <c r="K42" s="36">
        <v>1.1024697531084259E-4</v>
      </c>
      <c r="L42" s="37"/>
      <c r="M42" s="36"/>
      <c r="N42" s="36">
        <v>9.7391257784023419E-5</v>
      </c>
      <c r="O42" s="36">
        <v>8.1767596864636334E-5</v>
      </c>
      <c r="P42">
        <v>5.9332799540677549E-5</v>
      </c>
    </row>
    <row r="43" spans="1:16" hidden="1" x14ac:dyDescent="0.35">
      <c r="A43" s="3">
        <f xml:space="preserve"> ROW( data_scaledImpacts[[#This Row],[row_id]] ) - ROW( data_scaledImpacts[[#Headers],[row_id]] )</f>
        <v>42</v>
      </c>
      <c r="B43" s="41" t="str">
        <f xml:space="preserve"> _xlfn.TEXTJOIN( "", , data_scaledImpacts[[#This Row],[sector]:[impactType]] )</f>
        <v>ExtremeTempGCM Average62010No Adaptationhot</v>
      </c>
      <c r="C43" s="33" t="s">
        <v>17</v>
      </c>
      <c r="D43" s="33" t="s">
        <v>15</v>
      </c>
      <c r="E43" s="34">
        <v>6</v>
      </c>
      <c r="F43" s="34">
        <v>2010</v>
      </c>
      <c r="G43" s="34" t="s">
        <v>776</v>
      </c>
      <c r="H43" s="35" t="s">
        <v>14</v>
      </c>
      <c r="I43" s="43" t="s">
        <v>25</v>
      </c>
      <c r="J43" s="36">
        <v>9.5541061019531115E-5</v>
      </c>
      <c r="K43" s="36">
        <v>1.0615879681572355E-4</v>
      </c>
      <c r="L43" s="37" t="s">
        <v>26</v>
      </c>
      <c r="M43" s="36" t="s">
        <v>26</v>
      </c>
      <c r="N43" s="36">
        <v>9.7445345153357419E-5</v>
      </c>
      <c r="O43" s="36">
        <v>7.6058146079141292E-5</v>
      </c>
      <c r="P43">
        <v>5.4532249862750409E-5</v>
      </c>
    </row>
    <row r="44" spans="1:16" hidden="1" x14ac:dyDescent="0.35">
      <c r="A44" s="3">
        <f xml:space="preserve"> ROW( data_scaledImpacts[[#This Row],[row_id]] ) - ROW( data_scaledImpacts[[#Headers],[row_id]] )</f>
        <v>43</v>
      </c>
      <c r="B44" s="41" t="str">
        <f xml:space="preserve"> _xlfn.TEXTJOIN( "", , data_scaledImpacts[[#This Row],[sector]:[impactType]] )</f>
        <v>ExtremeTempCanESM272010No Adaptationhot</v>
      </c>
      <c r="C44" s="33" t="s">
        <v>17</v>
      </c>
      <c r="D44" s="33" t="s">
        <v>0</v>
      </c>
      <c r="E44" s="34">
        <v>7</v>
      </c>
      <c r="F44" s="34">
        <v>2010</v>
      </c>
      <c r="G44" s="34" t="s">
        <v>776</v>
      </c>
      <c r="H44" s="35" t="s">
        <v>14</v>
      </c>
      <c r="I44" s="43" t="s">
        <v>19</v>
      </c>
      <c r="J44" s="36"/>
      <c r="K44" s="36"/>
      <c r="L44" s="37"/>
      <c r="M44" s="36"/>
      <c r="N44" s="36"/>
      <c r="O44" s="36"/>
    </row>
    <row r="45" spans="1:16" hidden="1" x14ac:dyDescent="0.35">
      <c r="A45" s="3">
        <f xml:space="preserve"> ROW( data_scaledImpacts[[#This Row],[row_id]] ) - ROW( data_scaledImpacts[[#Headers],[row_id]] )</f>
        <v>44</v>
      </c>
      <c r="B45" s="41" t="str">
        <f xml:space="preserve"> _xlfn.TEXTJOIN( "", , data_scaledImpacts[[#This Row],[sector]:[impactType]] )</f>
        <v>ExtremeTempCCSM472010No Adaptationhot</v>
      </c>
      <c r="C45" s="33" t="s">
        <v>17</v>
      </c>
      <c r="D45" s="33" t="s">
        <v>1</v>
      </c>
      <c r="E45" s="34">
        <v>7</v>
      </c>
      <c r="F45" s="34">
        <v>2010</v>
      </c>
      <c r="G45" s="34" t="s">
        <v>776</v>
      </c>
      <c r="H45" s="35" t="s">
        <v>14</v>
      </c>
      <c r="I45" s="43" t="s">
        <v>20</v>
      </c>
      <c r="J45" s="36"/>
      <c r="K45" s="36"/>
      <c r="L45" s="37"/>
      <c r="M45" s="36"/>
      <c r="N45" s="36"/>
      <c r="O45" s="36"/>
    </row>
    <row r="46" spans="1:16" hidden="1" x14ac:dyDescent="0.35">
      <c r="A46" s="3">
        <f xml:space="preserve"> ROW( data_scaledImpacts[[#This Row],[row_id]] ) - ROW( data_scaledImpacts[[#Headers],[row_id]] )</f>
        <v>45</v>
      </c>
      <c r="B46" s="41" t="str">
        <f xml:space="preserve"> _xlfn.TEXTJOIN( "", , data_scaledImpacts[[#This Row],[sector]:[impactType]] )</f>
        <v>ExtremeTempGISS-E2-R72010No Adaptationhot</v>
      </c>
      <c r="C46" s="33" t="s">
        <v>17</v>
      </c>
      <c r="D46" s="33" t="s">
        <v>2</v>
      </c>
      <c r="E46" s="34">
        <v>7</v>
      </c>
      <c r="F46" s="34">
        <v>2010</v>
      </c>
      <c r="G46" s="34" t="s">
        <v>776</v>
      </c>
      <c r="H46" s="35" t="s">
        <v>14</v>
      </c>
      <c r="I46" s="43" t="s">
        <v>21</v>
      </c>
      <c r="J46" s="36"/>
      <c r="K46" s="36"/>
      <c r="L46" s="37"/>
      <c r="M46" s="36"/>
      <c r="N46" s="36"/>
      <c r="O46" s="36"/>
    </row>
    <row r="47" spans="1:16" hidden="1" x14ac:dyDescent="0.35">
      <c r="A47" s="3">
        <f xml:space="preserve"> ROW( data_scaledImpacts[[#This Row],[row_id]] ) - ROW( data_scaledImpacts[[#Headers],[row_id]] )</f>
        <v>46</v>
      </c>
      <c r="B47" s="41" t="str">
        <f xml:space="preserve"> _xlfn.TEXTJOIN( "", , data_scaledImpacts[[#This Row],[sector]:[impactType]] )</f>
        <v>ExtremeTempHadGEM2-ES72010No Adaptationhot</v>
      </c>
      <c r="C47" s="33" t="s">
        <v>17</v>
      </c>
      <c r="D47" s="33" t="s">
        <v>3</v>
      </c>
      <c r="E47" s="34">
        <v>7</v>
      </c>
      <c r="F47" s="34">
        <v>2010</v>
      </c>
      <c r="G47" s="34" t="s">
        <v>776</v>
      </c>
      <c r="H47" s="35" t="s">
        <v>14</v>
      </c>
      <c r="I47" s="43" t="s">
        <v>22</v>
      </c>
      <c r="J47" s="36"/>
      <c r="K47" s="36"/>
      <c r="L47" s="37"/>
      <c r="M47" s="36"/>
      <c r="N47" s="36"/>
      <c r="O47" s="36"/>
    </row>
    <row r="48" spans="1:16" hidden="1" x14ac:dyDescent="0.35">
      <c r="A48" s="3">
        <f xml:space="preserve"> ROW( data_scaledImpacts[[#This Row],[row_id]] ) - ROW( data_scaledImpacts[[#Headers],[row_id]] )</f>
        <v>47</v>
      </c>
      <c r="B48" s="41" t="str">
        <f xml:space="preserve"> _xlfn.TEXTJOIN( "", , data_scaledImpacts[[#This Row],[sector]:[impactType]] )</f>
        <v>ExtremeTempMIROC572010No Adaptationhot</v>
      </c>
      <c r="C48" s="33" t="s">
        <v>17</v>
      </c>
      <c r="D48" s="33" t="s">
        <v>4</v>
      </c>
      <c r="E48" s="34">
        <v>7</v>
      </c>
      <c r="F48" s="34">
        <v>2010</v>
      </c>
      <c r="G48" s="34" t="s">
        <v>776</v>
      </c>
      <c r="H48" s="35" t="s">
        <v>14</v>
      </c>
      <c r="I48" s="43" t="s">
        <v>23</v>
      </c>
      <c r="J48" s="36"/>
      <c r="K48" s="36"/>
      <c r="L48" s="37"/>
      <c r="M48" s="36"/>
      <c r="N48" s="36"/>
      <c r="O48" s="36"/>
    </row>
    <row r="49" spans="1:16" hidden="1" x14ac:dyDescent="0.35">
      <c r="A49" s="3">
        <f xml:space="preserve"> ROW( data_scaledImpacts[[#This Row],[row_id]] ) - ROW( data_scaledImpacts[[#Headers],[row_id]] )</f>
        <v>48</v>
      </c>
      <c r="B49" s="41" t="str">
        <f xml:space="preserve"> _xlfn.TEXTJOIN( "", , data_scaledImpacts[[#This Row],[sector]:[impactType]] )</f>
        <v>ExtremeTempGFDL-CM372010No Adaptationhot</v>
      </c>
      <c r="C49" s="33" t="s">
        <v>17</v>
      </c>
      <c r="D49" s="33" t="s">
        <v>5</v>
      </c>
      <c r="E49" s="34">
        <v>7</v>
      </c>
      <c r="F49" s="34">
        <v>2010</v>
      </c>
      <c r="G49" s="34" t="s">
        <v>776</v>
      </c>
      <c r="H49" s="35" t="s">
        <v>14</v>
      </c>
      <c r="I49" s="43" t="s">
        <v>24</v>
      </c>
      <c r="J49" s="36"/>
      <c r="K49" s="36"/>
      <c r="L49" s="37"/>
      <c r="M49" s="36"/>
      <c r="N49" s="36"/>
      <c r="O49" s="36"/>
    </row>
    <row r="50" spans="1:16" hidden="1" x14ac:dyDescent="0.35">
      <c r="A50" s="3">
        <f xml:space="preserve"> ROW( data_scaledImpacts[[#This Row],[row_id]] ) - ROW( data_scaledImpacts[[#Headers],[row_id]] )</f>
        <v>49</v>
      </c>
      <c r="B50" s="41" t="str">
        <f xml:space="preserve"> _xlfn.TEXTJOIN( "", , data_scaledImpacts[[#This Row],[sector]:[impactType]] )</f>
        <v>ExtremeTempGCM Average72010No Adaptationhot</v>
      </c>
      <c r="C50" s="33" t="s">
        <v>17</v>
      </c>
      <c r="D50" s="33" t="s">
        <v>15</v>
      </c>
      <c r="E50" s="34">
        <v>7</v>
      </c>
      <c r="F50" s="34">
        <v>2010</v>
      </c>
      <c r="G50" s="34" t="s">
        <v>776</v>
      </c>
      <c r="H50" s="35" t="s">
        <v>14</v>
      </c>
      <c r="I50" s="43" t="s">
        <v>25</v>
      </c>
      <c r="J50" s="36" t="s">
        <v>26</v>
      </c>
      <c r="K50" s="36" t="s">
        <v>26</v>
      </c>
      <c r="L50" s="37" t="s">
        <v>26</v>
      </c>
      <c r="M50" s="36" t="s">
        <v>26</v>
      </c>
      <c r="N50" s="36" t="s">
        <v>26</v>
      </c>
      <c r="O50" s="36" t="s">
        <v>26</v>
      </c>
      <c r="P50" t="s">
        <v>26</v>
      </c>
    </row>
    <row r="51" spans="1:16" hidden="1" x14ac:dyDescent="0.35">
      <c r="A51" s="3">
        <f xml:space="preserve"> ROW( data_scaledImpacts[[#This Row],[row_id]] ) - ROW( data_scaledImpacts[[#Headers],[row_id]] )</f>
        <v>50</v>
      </c>
      <c r="B51" s="41" t="str">
        <f xml:space="preserve"> _xlfn.TEXTJOIN( "", , data_scaledImpacts[[#This Row],[sector]:[impactType]] )</f>
        <v>ExtremeTempCanESM212010No Adaptationcold</v>
      </c>
      <c r="C51" s="33" t="s">
        <v>17</v>
      </c>
      <c r="D51" s="33" t="s">
        <v>0</v>
      </c>
      <c r="E51" s="34">
        <v>1</v>
      </c>
      <c r="F51" s="34">
        <v>2010</v>
      </c>
      <c r="G51" s="34" t="s">
        <v>776</v>
      </c>
      <c r="H51" s="35" t="s">
        <v>16</v>
      </c>
      <c r="I51" s="43" t="s">
        <v>19</v>
      </c>
      <c r="J51" s="36">
        <v>-1.7756247278241088E-7</v>
      </c>
      <c r="K51" s="36">
        <v>-6.2103684577759551E-7</v>
      </c>
      <c r="L51" s="37"/>
      <c r="M51" s="36">
        <v>-4.8583046107989695E-7</v>
      </c>
      <c r="N51" s="36">
        <v>-9.4368122717038213E-8</v>
      </c>
      <c r="O51" s="36">
        <v>-1.3201785851652E-7</v>
      </c>
      <c r="P51">
        <v>-4.094589969054615E-8</v>
      </c>
    </row>
    <row r="52" spans="1:16" hidden="1" x14ac:dyDescent="0.35">
      <c r="A52" s="3">
        <f xml:space="preserve"> ROW( data_scaledImpacts[[#This Row],[row_id]] ) - ROW( data_scaledImpacts[[#Headers],[row_id]] )</f>
        <v>51</v>
      </c>
      <c r="B52" s="41" t="str">
        <f xml:space="preserve"> _xlfn.TEXTJOIN( "", , data_scaledImpacts[[#This Row],[sector]:[impactType]] )</f>
        <v>ExtremeTempCCSM412010No Adaptationcold</v>
      </c>
      <c r="C52" s="33" t="s">
        <v>17</v>
      </c>
      <c r="D52" s="33" t="s">
        <v>1</v>
      </c>
      <c r="E52" s="34">
        <v>1</v>
      </c>
      <c r="F52" s="34">
        <v>2010</v>
      </c>
      <c r="G52" s="34" t="s">
        <v>776</v>
      </c>
      <c r="H52" s="35" t="s">
        <v>16</v>
      </c>
      <c r="I52" s="43" t="s">
        <v>20</v>
      </c>
      <c r="J52" s="36">
        <v>-4.4545629281773775E-7</v>
      </c>
      <c r="K52" s="36">
        <v>-2.9648173768269598E-7</v>
      </c>
      <c r="L52" s="37"/>
      <c r="M52" s="36">
        <v>2.6812810403310148E-7</v>
      </c>
      <c r="N52" s="36">
        <v>-1.5448953467364719E-7</v>
      </c>
      <c r="O52" s="36">
        <v>-2.4046734788183927E-7</v>
      </c>
      <c r="P52">
        <v>-3.2344902527443695E-8</v>
      </c>
    </row>
    <row r="53" spans="1:16" hidden="1" x14ac:dyDescent="0.35">
      <c r="A53" s="3">
        <f xml:space="preserve"> ROW( data_scaledImpacts[[#This Row],[row_id]] ) - ROW( data_scaledImpacts[[#Headers],[row_id]] )</f>
        <v>52</v>
      </c>
      <c r="B53" s="41" t="str">
        <f xml:space="preserve"> _xlfn.TEXTJOIN( "", , data_scaledImpacts[[#This Row],[sector]:[impactType]] )</f>
        <v>ExtremeTempGISS-E2-R12010No Adaptationcold</v>
      </c>
      <c r="C53" s="33" t="s">
        <v>17</v>
      </c>
      <c r="D53" s="33" t="s">
        <v>2</v>
      </c>
      <c r="E53" s="34">
        <v>1</v>
      </c>
      <c r="F53" s="34">
        <v>2010</v>
      </c>
      <c r="G53" s="34" t="s">
        <v>776</v>
      </c>
      <c r="H53" s="35" t="s">
        <v>16</v>
      </c>
      <c r="I53" s="43" t="s">
        <v>21</v>
      </c>
      <c r="J53" s="36">
        <v>-7.9778894321475285E-7</v>
      </c>
      <c r="K53" s="36">
        <v>-8.9487901420750793E-7</v>
      </c>
      <c r="L53" s="37"/>
      <c r="M53" s="36">
        <v>-5.0961763980770149E-7</v>
      </c>
      <c r="N53" s="36">
        <v>-2.5495211864323258E-7</v>
      </c>
      <c r="O53" s="36">
        <v>-3.1290589725382031E-7</v>
      </c>
      <c r="P53">
        <v>-7.8885108695701435E-8</v>
      </c>
    </row>
    <row r="54" spans="1:16" hidden="1" x14ac:dyDescent="0.35">
      <c r="A54" s="3">
        <f xml:space="preserve"> ROW( data_scaledImpacts[[#This Row],[row_id]] ) - ROW( data_scaledImpacts[[#Headers],[row_id]] )</f>
        <v>53</v>
      </c>
      <c r="B54" s="41" t="str">
        <f xml:space="preserve"> _xlfn.TEXTJOIN( "", , data_scaledImpacts[[#This Row],[sector]:[impactType]] )</f>
        <v>ExtremeTempHadGEM2-ES12010No Adaptationcold</v>
      </c>
      <c r="C54" s="33" t="s">
        <v>17</v>
      </c>
      <c r="D54" s="33" t="s">
        <v>3</v>
      </c>
      <c r="E54" s="34">
        <v>1</v>
      </c>
      <c r="F54" s="34">
        <v>2010</v>
      </c>
      <c r="G54" s="34" t="s">
        <v>776</v>
      </c>
      <c r="H54" s="35" t="s">
        <v>16</v>
      </c>
      <c r="I54" s="43" t="s">
        <v>22</v>
      </c>
      <c r="J54" s="36">
        <v>-4.3902084685727878E-7</v>
      </c>
      <c r="K54" s="36">
        <v>-8.2995294283012847E-7</v>
      </c>
      <c r="L54" s="37"/>
      <c r="M54" s="36">
        <v>1.6092091610866896E-7</v>
      </c>
      <c r="N54" s="36">
        <v>-1.1909652123265283E-7</v>
      </c>
      <c r="O54" s="36">
        <v>1.3177784247725874E-7</v>
      </c>
      <c r="P54">
        <v>3.6465768433445707E-8</v>
      </c>
    </row>
    <row r="55" spans="1:16" hidden="1" x14ac:dyDescent="0.35">
      <c r="A55" s="3">
        <f xml:space="preserve"> ROW( data_scaledImpacts[[#This Row],[row_id]] ) - ROW( data_scaledImpacts[[#Headers],[row_id]] )</f>
        <v>54</v>
      </c>
      <c r="B55" s="41" t="str">
        <f xml:space="preserve"> _xlfn.TEXTJOIN( "", , data_scaledImpacts[[#This Row],[sector]:[impactType]] )</f>
        <v>ExtremeTempMIROC512010No Adaptationcold</v>
      </c>
      <c r="C55" s="33" t="s">
        <v>17</v>
      </c>
      <c r="D55" s="33" t="s">
        <v>4</v>
      </c>
      <c r="E55" s="34">
        <v>1</v>
      </c>
      <c r="F55" s="34">
        <v>2010</v>
      </c>
      <c r="G55" s="34" t="s">
        <v>776</v>
      </c>
      <c r="H55" s="35" t="s">
        <v>16</v>
      </c>
      <c r="I55" s="43" t="s">
        <v>23</v>
      </c>
      <c r="J55" s="36">
        <v>-9.999927582698279E-8</v>
      </c>
      <c r="K55" s="36">
        <v>-3.3969644570655208E-7</v>
      </c>
      <c r="L55" s="37"/>
      <c r="M55" s="36">
        <v>4.089479348275727E-8</v>
      </c>
      <c r="N55" s="36">
        <v>-1.1125934633083503E-7</v>
      </c>
      <c r="O55" s="36">
        <v>-2.2539717878078094E-7</v>
      </c>
      <c r="P55">
        <v>-5.4030385176291917E-8</v>
      </c>
    </row>
    <row r="56" spans="1:16" hidden="1" x14ac:dyDescent="0.35">
      <c r="A56" s="3">
        <f xml:space="preserve"> ROW( data_scaledImpacts[[#This Row],[row_id]] ) - ROW( data_scaledImpacts[[#Headers],[row_id]] )</f>
        <v>55</v>
      </c>
      <c r="B56" s="41" t="str">
        <f xml:space="preserve"> _xlfn.TEXTJOIN( "", , data_scaledImpacts[[#This Row],[sector]:[impactType]] )</f>
        <v>ExtremeTempGFDL-CM312010No Adaptationcold</v>
      </c>
      <c r="C56" s="33" t="s">
        <v>17</v>
      </c>
      <c r="D56" s="33" t="s">
        <v>5</v>
      </c>
      <c r="E56" s="34">
        <v>1</v>
      </c>
      <c r="F56" s="34">
        <v>2010</v>
      </c>
      <c r="G56" s="34" t="s">
        <v>776</v>
      </c>
      <c r="H56" s="35" t="s">
        <v>16</v>
      </c>
      <c r="I56" s="43" t="s">
        <v>24</v>
      </c>
      <c r="J56" s="36">
        <v>-5.0600830024600202E-7</v>
      </c>
      <c r="K56" s="36">
        <v>-7.4228627402310478E-7</v>
      </c>
      <c r="L56" s="37"/>
      <c r="M56" s="36">
        <v>4.9021448448583934E-8</v>
      </c>
      <c r="N56" s="36">
        <v>-1.6577213207360064E-7</v>
      </c>
      <c r="O56" s="36">
        <v>-4.5070180773440148E-8</v>
      </c>
      <c r="P56">
        <v>-1.3762165406451938E-8</v>
      </c>
    </row>
    <row r="57" spans="1:16" hidden="1" x14ac:dyDescent="0.35">
      <c r="A57" s="3">
        <f xml:space="preserve"> ROW( data_scaledImpacts[[#This Row],[row_id]] ) - ROW( data_scaledImpacts[[#Headers],[row_id]] )</f>
        <v>56</v>
      </c>
      <c r="B57" s="41" t="str">
        <f xml:space="preserve"> _xlfn.TEXTJOIN( "", , data_scaledImpacts[[#This Row],[sector]:[impactType]] )</f>
        <v>ExtremeTempGCM Average12010No Adaptationcold</v>
      </c>
      <c r="C57" s="33" t="s">
        <v>17</v>
      </c>
      <c r="D57" s="33" t="s">
        <v>15</v>
      </c>
      <c r="E57" s="34">
        <v>1</v>
      </c>
      <c r="F57" s="34">
        <v>2010</v>
      </c>
      <c r="G57" s="34" t="s">
        <v>776</v>
      </c>
      <c r="H57" s="35" t="s">
        <v>16</v>
      </c>
      <c r="I57" s="43" t="s">
        <v>25</v>
      </c>
      <c r="J57" s="36">
        <v>-4.1097268862419424E-7</v>
      </c>
      <c r="K57" s="36">
        <v>-6.2072221003793081E-7</v>
      </c>
      <c r="L57" s="37" t="s">
        <v>26</v>
      </c>
      <c r="M57" s="36">
        <v>-7.9413806469081125E-8</v>
      </c>
      <c r="N57" s="36">
        <v>-1.4998962927850108E-7</v>
      </c>
      <c r="O57" s="36">
        <v>-1.3734677012152366E-7</v>
      </c>
      <c r="P57">
        <v>-3.0583782177164909E-8</v>
      </c>
    </row>
    <row r="58" spans="1:16" hidden="1" x14ac:dyDescent="0.35">
      <c r="A58" s="3">
        <f xml:space="preserve"> ROW( data_scaledImpacts[[#This Row],[row_id]] ) - ROW( data_scaledImpacts[[#Headers],[row_id]] )</f>
        <v>57</v>
      </c>
      <c r="B58" s="41" t="str">
        <f xml:space="preserve"> _xlfn.TEXTJOIN( "", , data_scaledImpacts[[#This Row],[sector]:[impactType]] )</f>
        <v>ExtremeTempCanESM222010No Adaptationcold</v>
      </c>
      <c r="C58" s="33" t="s">
        <v>17</v>
      </c>
      <c r="D58" s="33" t="s">
        <v>0</v>
      </c>
      <c r="E58" s="34">
        <v>2</v>
      </c>
      <c r="F58" s="34">
        <v>2010</v>
      </c>
      <c r="G58" s="34" t="s">
        <v>776</v>
      </c>
      <c r="H58" s="35" t="s">
        <v>16</v>
      </c>
      <c r="I58" s="43" t="s">
        <v>19</v>
      </c>
      <c r="J58" s="36">
        <v>-6.421911412174104E-7</v>
      </c>
      <c r="K58" s="36">
        <v>-8.0461666851562686E-7</v>
      </c>
      <c r="L58" s="37"/>
      <c r="M58" s="36">
        <v>-5.7795604075143448E-7</v>
      </c>
      <c r="N58" s="36">
        <v>-1.3871984968528493E-7</v>
      </c>
      <c r="O58" s="36">
        <v>-1.6098129645531797E-7</v>
      </c>
      <c r="P58">
        <v>-1.1507874976445071E-7</v>
      </c>
    </row>
    <row r="59" spans="1:16" hidden="1" x14ac:dyDescent="0.35">
      <c r="A59" s="3">
        <f xml:space="preserve"> ROW( data_scaledImpacts[[#This Row],[row_id]] ) - ROW( data_scaledImpacts[[#Headers],[row_id]] )</f>
        <v>58</v>
      </c>
      <c r="B59" s="41" t="str">
        <f xml:space="preserve"> _xlfn.TEXTJOIN( "", , data_scaledImpacts[[#This Row],[sector]:[impactType]] )</f>
        <v>ExtremeTempCCSM422010No Adaptationcold</v>
      </c>
      <c r="C59" s="33" t="s">
        <v>17</v>
      </c>
      <c r="D59" s="33" t="s">
        <v>1</v>
      </c>
      <c r="E59" s="34">
        <v>2</v>
      </c>
      <c r="F59" s="34">
        <v>2010</v>
      </c>
      <c r="G59" s="34" t="s">
        <v>776</v>
      </c>
      <c r="H59" s="35" t="s">
        <v>16</v>
      </c>
      <c r="I59" s="43" t="s">
        <v>20</v>
      </c>
      <c r="J59" s="36">
        <v>-5.2643347254217333E-7</v>
      </c>
      <c r="K59" s="36">
        <v>-8.2431593384435217E-7</v>
      </c>
      <c r="L59" s="37"/>
      <c r="M59" s="36">
        <v>-1.5011728468129887E-7</v>
      </c>
      <c r="N59" s="36">
        <v>-1.9982925292930536E-7</v>
      </c>
      <c r="O59" s="36">
        <v>-2.7616272273863447E-7</v>
      </c>
      <c r="P59">
        <v>-1.2009516957225966E-7</v>
      </c>
    </row>
    <row r="60" spans="1:16" hidden="1" x14ac:dyDescent="0.35">
      <c r="A60" s="3">
        <f xml:space="preserve"> ROW( data_scaledImpacts[[#This Row],[row_id]] ) - ROW( data_scaledImpacts[[#Headers],[row_id]] )</f>
        <v>59</v>
      </c>
      <c r="B60" s="41" t="str">
        <f xml:space="preserve"> _xlfn.TEXTJOIN( "", , data_scaledImpacts[[#This Row],[sector]:[impactType]] )</f>
        <v>ExtremeTempGISS-E2-R22010No Adaptationcold</v>
      </c>
      <c r="C60" s="33" t="s">
        <v>17</v>
      </c>
      <c r="D60" s="33" t="s">
        <v>2</v>
      </c>
      <c r="E60" s="34">
        <v>2</v>
      </c>
      <c r="F60" s="34">
        <v>2010</v>
      </c>
      <c r="G60" s="34" t="s">
        <v>776</v>
      </c>
      <c r="H60" s="35" t="s">
        <v>16</v>
      </c>
      <c r="I60" s="43" t="s">
        <v>21</v>
      </c>
      <c r="J60" s="36">
        <v>-8.148794085211714E-7</v>
      </c>
      <c r="K60" s="36">
        <v>-1.0044205410345629E-6</v>
      </c>
      <c r="L60" s="37"/>
      <c r="M60" s="36">
        <v>5.2395221231941777E-7</v>
      </c>
      <c r="N60" s="36">
        <v>-2.846861168307132E-7</v>
      </c>
      <c r="O60" s="36">
        <v>-3.3347546063860041E-7</v>
      </c>
      <c r="P60">
        <v>-4.022306072036027E-8</v>
      </c>
    </row>
    <row r="61" spans="1:16" hidden="1" x14ac:dyDescent="0.35">
      <c r="A61" s="3">
        <f xml:space="preserve"> ROW( data_scaledImpacts[[#This Row],[row_id]] ) - ROW( data_scaledImpacts[[#Headers],[row_id]] )</f>
        <v>60</v>
      </c>
      <c r="B61" s="41" t="str">
        <f xml:space="preserve"> _xlfn.TEXTJOIN( "", , data_scaledImpacts[[#This Row],[sector]:[impactType]] )</f>
        <v>ExtremeTempHadGEM2-ES22010No Adaptationcold</v>
      </c>
      <c r="C61" s="33" t="s">
        <v>17</v>
      </c>
      <c r="D61" s="33" t="s">
        <v>3</v>
      </c>
      <c r="E61" s="34">
        <v>2</v>
      </c>
      <c r="F61" s="34">
        <v>2010</v>
      </c>
      <c r="G61" s="34" t="s">
        <v>776</v>
      </c>
      <c r="H61" s="35" t="s">
        <v>16</v>
      </c>
      <c r="I61" s="43" t="s">
        <v>22</v>
      </c>
      <c r="J61" s="36">
        <v>-6.2075591519322813E-7</v>
      </c>
      <c r="K61" s="36">
        <v>-8.1857204353623909E-7</v>
      </c>
      <c r="L61" s="37"/>
      <c r="M61" s="36">
        <v>-2.9707085331178687E-7</v>
      </c>
      <c r="N61" s="36">
        <v>-1.8106741240323078E-7</v>
      </c>
      <c r="O61" s="36">
        <v>-1.7432370505624792E-7</v>
      </c>
      <c r="P61">
        <v>-9.3153583086913241E-8</v>
      </c>
    </row>
    <row r="62" spans="1:16" hidden="1" x14ac:dyDescent="0.35">
      <c r="A62" s="3">
        <f xml:space="preserve"> ROW( data_scaledImpacts[[#This Row],[row_id]] ) - ROW( data_scaledImpacts[[#Headers],[row_id]] )</f>
        <v>61</v>
      </c>
      <c r="B62" s="41" t="str">
        <f xml:space="preserve"> _xlfn.TEXTJOIN( "", , data_scaledImpacts[[#This Row],[sector]:[impactType]] )</f>
        <v>ExtremeTempMIROC522010No Adaptationcold</v>
      </c>
      <c r="C62" s="33" t="s">
        <v>17</v>
      </c>
      <c r="D62" s="33" t="s">
        <v>4</v>
      </c>
      <c r="E62" s="34">
        <v>2</v>
      </c>
      <c r="F62" s="34">
        <v>2010</v>
      </c>
      <c r="G62" s="34" t="s">
        <v>776</v>
      </c>
      <c r="H62" s="35" t="s">
        <v>16</v>
      </c>
      <c r="I62" s="43" t="s">
        <v>23</v>
      </c>
      <c r="J62" s="36">
        <v>-5.2185151978263931E-7</v>
      </c>
      <c r="K62" s="36">
        <v>-9.6145928908638047E-7</v>
      </c>
      <c r="L62" s="37"/>
      <c r="M62" s="36">
        <v>9.4839555823752996E-8</v>
      </c>
      <c r="N62" s="36">
        <v>-1.8727977891558161E-7</v>
      </c>
      <c r="O62" s="36">
        <v>-1.5338293416396802E-7</v>
      </c>
      <c r="P62">
        <v>-7.4843384185931759E-8</v>
      </c>
    </row>
    <row r="63" spans="1:16" hidden="1" x14ac:dyDescent="0.35">
      <c r="A63" s="3">
        <f xml:space="preserve"> ROW( data_scaledImpacts[[#This Row],[row_id]] ) - ROW( data_scaledImpacts[[#Headers],[row_id]] )</f>
        <v>62</v>
      </c>
      <c r="B63" s="41" t="str">
        <f xml:space="preserve"> _xlfn.TEXTJOIN( "", , data_scaledImpacts[[#This Row],[sector]:[impactType]] )</f>
        <v>ExtremeTempGFDL-CM322010No Adaptationcold</v>
      </c>
      <c r="C63" s="33" t="s">
        <v>17</v>
      </c>
      <c r="D63" s="33" t="s">
        <v>5</v>
      </c>
      <c r="E63" s="34">
        <v>2</v>
      </c>
      <c r="F63" s="34">
        <v>2010</v>
      </c>
      <c r="G63" s="34" t="s">
        <v>776</v>
      </c>
      <c r="H63" s="35" t="s">
        <v>16</v>
      </c>
      <c r="I63" s="43" t="s">
        <v>24</v>
      </c>
      <c r="J63" s="36">
        <v>-7.5159527430054194E-7</v>
      </c>
      <c r="K63" s="36">
        <v>-8.8852035686578127E-7</v>
      </c>
      <c r="L63" s="37"/>
      <c r="M63" s="36">
        <v>7.6627883449555949E-8</v>
      </c>
      <c r="N63" s="36">
        <v>-2.1579839679190896E-7</v>
      </c>
      <c r="O63" s="36">
        <v>-2.9336886278770394E-7</v>
      </c>
      <c r="P63">
        <v>-4.6377708843970526E-8</v>
      </c>
    </row>
    <row r="64" spans="1:16" hidden="1" x14ac:dyDescent="0.35">
      <c r="A64" s="3">
        <f xml:space="preserve"> ROW( data_scaledImpacts[[#This Row],[row_id]] ) - ROW( data_scaledImpacts[[#Headers],[row_id]] )</f>
        <v>63</v>
      </c>
      <c r="B64" s="41" t="str">
        <f xml:space="preserve"> _xlfn.TEXTJOIN( "", , data_scaledImpacts[[#This Row],[sector]:[impactType]] )</f>
        <v>ExtremeTempGCM Average22010No Adaptationcold</v>
      </c>
      <c r="C64" s="33" t="s">
        <v>17</v>
      </c>
      <c r="D64" s="33" t="s">
        <v>15</v>
      </c>
      <c r="E64" s="34">
        <v>2</v>
      </c>
      <c r="F64" s="34">
        <v>2010</v>
      </c>
      <c r="G64" s="34" t="s">
        <v>776</v>
      </c>
      <c r="H64" s="35" t="s">
        <v>16</v>
      </c>
      <c r="I64" s="43" t="s">
        <v>25</v>
      </c>
      <c r="J64" s="36">
        <v>-6.4628445525952751E-7</v>
      </c>
      <c r="K64" s="36">
        <v>-8.8365080548049041E-7</v>
      </c>
      <c r="L64" s="37" t="s">
        <v>26</v>
      </c>
      <c r="M64" s="36">
        <v>-5.4954087858632238E-8</v>
      </c>
      <c r="N64" s="36">
        <v>-2.012301345926708E-7</v>
      </c>
      <c r="O64" s="36">
        <v>-2.3194916364007878E-7</v>
      </c>
      <c r="P64">
        <v>-8.1628609362314366E-8</v>
      </c>
    </row>
    <row r="65" spans="1:16" hidden="1" x14ac:dyDescent="0.35">
      <c r="A65" s="3">
        <f xml:space="preserve"> ROW( data_scaledImpacts[[#This Row],[row_id]] ) - ROW( data_scaledImpacts[[#Headers],[row_id]] )</f>
        <v>64</v>
      </c>
      <c r="B65" s="41" t="str">
        <f xml:space="preserve"> _xlfn.TEXTJOIN( "", , data_scaledImpacts[[#This Row],[sector]:[impactType]] )</f>
        <v>ExtremeTempCanESM232010No Adaptationcold</v>
      </c>
      <c r="C65" s="33" t="s">
        <v>17</v>
      </c>
      <c r="D65" s="33" t="s">
        <v>0</v>
      </c>
      <c r="E65" s="34">
        <v>3</v>
      </c>
      <c r="F65" s="34">
        <v>2010</v>
      </c>
      <c r="G65" s="34" t="s">
        <v>776</v>
      </c>
      <c r="H65" s="35" t="s">
        <v>16</v>
      </c>
      <c r="I65" s="43" t="s">
        <v>19</v>
      </c>
      <c r="J65" s="36">
        <v>-8.028078440466039E-7</v>
      </c>
      <c r="K65" s="36">
        <v>-8.8591013697069625E-7</v>
      </c>
      <c r="L65" s="37"/>
      <c r="M65" s="36">
        <v>-7.9882702431240636E-7</v>
      </c>
      <c r="N65" s="36">
        <v>-2.5654084209526593E-7</v>
      </c>
      <c r="O65" s="36">
        <v>-3.32806503857573E-7</v>
      </c>
      <c r="P65">
        <v>-1.2656071220439639E-7</v>
      </c>
    </row>
    <row r="66" spans="1:16" hidden="1" x14ac:dyDescent="0.35">
      <c r="A66" s="3">
        <f xml:space="preserve"> ROW( data_scaledImpacts[[#This Row],[row_id]] ) - ROW( data_scaledImpacts[[#Headers],[row_id]] )</f>
        <v>65</v>
      </c>
      <c r="B66" s="41" t="str">
        <f xml:space="preserve"> _xlfn.TEXTJOIN( "", , data_scaledImpacts[[#This Row],[sector]:[impactType]] )</f>
        <v>ExtremeTempCCSM432010No Adaptationcold</v>
      </c>
      <c r="C66" s="33" t="s">
        <v>17</v>
      </c>
      <c r="D66" s="33" t="s">
        <v>1</v>
      </c>
      <c r="E66" s="34">
        <v>3</v>
      </c>
      <c r="F66" s="34">
        <v>2010</v>
      </c>
      <c r="G66" s="34" t="s">
        <v>776</v>
      </c>
      <c r="H66" s="35" t="s">
        <v>16</v>
      </c>
      <c r="I66" s="43" t="s">
        <v>20</v>
      </c>
      <c r="J66" s="36">
        <v>-7.7690978660003724E-7</v>
      </c>
      <c r="K66" s="36">
        <v>-8.8557120982759481E-7</v>
      </c>
      <c r="L66" s="37"/>
      <c r="M66" s="36">
        <v>-5.3948005283776253E-7</v>
      </c>
      <c r="N66" s="36">
        <v>-2.2764149840987236E-7</v>
      </c>
      <c r="O66" s="36">
        <v>-3.0807036950454983E-7</v>
      </c>
      <c r="P66">
        <v>-1.3046302901983047E-7</v>
      </c>
    </row>
    <row r="67" spans="1:16" hidden="1" x14ac:dyDescent="0.35">
      <c r="A67" s="3">
        <f xml:space="preserve"> ROW( data_scaledImpacts[[#This Row],[row_id]] ) - ROW( data_scaledImpacts[[#Headers],[row_id]] )</f>
        <v>66</v>
      </c>
      <c r="B67" s="41" t="str">
        <f xml:space="preserve"> _xlfn.TEXTJOIN( "", , data_scaledImpacts[[#This Row],[sector]:[impactType]] )</f>
        <v>ExtremeTempGISS-E2-R32010No Adaptationcold</v>
      </c>
      <c r="C67" s="33" t="s">
        <v>17</v>
      </c>
      <c r="D67" s="33" t="s">
        <v>2</v>
      </c>
      <c r="E67" s="34">
        <v>3</v>
      </c>
      <c r="F67" s="34">
        <v>2010</v>
      </c>
      <c r="G67" s="34" t="s">
        <v>776</v>
      </c>
      <c r="H67" s="35" t="s">
        <v>16</v>
      </c>
      <c r="I67" s="43" t="s">
        <v>21</v>
      </c>
      <c r="J67" s="36">
        <v>-7.8044358359083057E-7</v>
      </c>
      <c r="K67" s="36">
        <v>-1.0350143862966266E-6</v>
      </c>
      <c r="L67" s="37"/>
      <c r="M67" s="36">
        <v>-3.3897329843159867E-7</v>
      </c>
      <c r="N67" s="36">
        <v>-2.6437366978394567E-7</v>
      </c>
      <c r="O67" s="36">
        <v>-2.6636002151187814E-7</v>
      </c>
      <c r="P67">
        <v>-1.1341897761650856E-7</v>
      </c>
    </row>
    <row r="68" spans="1:16" hidden="1" x14ac:dyDescent="0.35">
      <c r="A68" s="3">
        <f xml:space="preserve"> ROW( data_scaledImpacts[[#This Row],[row_id]] ) - ROW( data_scaledImpacts[[#Headers],[row_id]] )</f>
        <v>67</v>
      </c>
      <c r="B68" s="41" t="str">
        <f xml:space="preserve"> _xlfn.TEXTJOIN( "", , data_scaledImpacts[[#This Row],[sector]:[impactType]] )</f>
        <v>ExtremeTempHadGEM2-ES32010No Adaptationcold</v>
      </c>
      <c r="C68" s="33" t="s">
        <v>17</v>
      </c>
      <c r="D68" s="33" t="s">
        <v>3</v>
      </c>
      <c r="E68" s="34">
        <v>3</v>
      </c>
      <c r="F68" s="34">
        <v>2010</v>
      </c>
      <c r="G68" s="34" t="s">
        <v>776</v>
      </c>
      <c r="H68" s="35" t="s">
        <v>16</v>
      </c>
      <c r="I68" s="43" t="s">
        <v>22</v>
      </c>
      <c r="J68" s="36">
        <v>-7.6173175380946496E-7</v>
      </c>
      <c r="K68" s="36">
        <v>-9.5441401105477616E-7</v>
      </c>
      <c r="L68" s="37"/>
      <c r="M68" s="36">
        <v>-1.8800627918987387E-7</v>
      </c>
      <c r="N68" s="36">
        <v>-2.7103584323189664E-7</v>
      </c>
      <c r="O68" s="36">
        <v>-3.0873678116228979E-7</v>
      </c>
      <c r="P68">
        <v>-4.4738650878882612E-8</v>
      </c>
    </row>
    <row r="69" spans="1:16" hidden="1" x14ac:dyDescent="0.35">
      <c r="A69" s="3">
        <f xml:space="preserve"> ROW( data_scaledImpacts[[#This Row],[row_id]] ) - ROW( data_scaledImpacts[[#Headers],[row_id]] )</f>
        <v>68</v>
      </c>
      <c r="B69" s="41" t="str">
        <f xml:space="preserve"> _xlfn.TEXTJOIN( "", , data_scaledImpacts[[#This Row],[sector]:[impactType]] )</f>
        <v>ExtremeTempMIROC532010No Adaptationcold</v>
      </c>
      <c r="C69" s="33" t="s">
        <v>17</v>
      </c>
      <c r="D69" s="33" t="s">
        <v>4</v>
      </c>
      <c r="E69" s="34">
        <v>3</v>
      </c>
      <c r="F69" s="34">
        <v>2010</v>
      </c>
      <c r="G69" s="34" t="s">
        <v>776</v>
      </c>
      <c r="H69" s="35" t="s">
        <v>16</v>
      </c>
      <c r="I69" s="43" t="s">
        <v>23</v>
      </c>
      <c r="J69" s="36">
        <v>-7.1071318327120777E-7</v>
      </c>
      <c r="K69" s="36">
        <v>-1.003350144311415E-6</v>
      </c>
      <c r="L69" s="37"/>
      <c r="M69" s="36">
        <v>-2.9432795536491604E-7</v>
      </c>
      <c r="N69" s="36">
        <v>-2.6926646898140771E-7</v>
      </c>
      <c r="O69" s="36">
        <v>-2.6182987840599988E-7</v>
      </c>
      <c r="P69">
        <v>-1.1808920342431021E-7</v>
      </c>
    </row>
    <row r="70" spans="1:16" hidden="1" x14ac:dyDescent="0.35">
      <c r="A70" s="3">
        <f xml:space="preserve"> ROW( data_scaledImpacts[[#This Row],[row_id]] ) - ROW( data_scaledImpacts[[#Headers],[row_id]] )</f>
        <v>69</v>
      </c>
      <c r="B70" s="41" t="str">
        <f xml:space="preserve"> _xlfn.TEXTJOIN( "", , data_scaledImpacts[[#This Row],[sector]:[impactType]] )</f>
        <v>ExtremeTempGFDL-CM332010No Adaptationcold</v>
      </c>
      <c r="C70" s="33" t="s">
        <v>17</v>
      </c>
      <c r="D70" s="33" t="s">
        <v>5</v>
      </c>
      <c r="E70" s="34">
        <v>3</v>
      </c>
      <c r="F70" s="34">
        <v>2010</v>
      </c>
      <c r="G70" s="34" t="s">
        <v>776</v>
      </c>
      <c r="H70" s="35" t="s">
        <v>16</v>
      </c>
      <c r="I70" s="43" t="s">
        <v>24</v>
      </c>
      <c r="J70" s="36">
        <v>-6.0697297971082041E-7</v>
      </c>
      <c r="K70" s="36">
        <v>-8.8976430751909668E-7</v>
      </c>
      <c r="L70" s="37"/>
      <c r="M70" s="36">
        <v>-4.2454129414596638E-7</v>
      </c>
      <c r="N70" s="36">
        <v>-2.0666172041028848E-7</v>
      </c>
      <c r="O70" s="36">
        <v>-1.4591621760083455E-7</v>
      </c>
      <c r="P70">
        <v>-1.1637936034227224E-7</v>
      </c>
    </row>
    <row r="71" spans="1:16" hidden="1" x14ac:dyDescent="0.35">
      <c r="A71" s="3">
        <f xml:space="preserve"> ROW( data_scaledImpacts[[#This Row],[row_id]] ) - ROW( data_scaledImpacts[[#Headers],[row_id]] )</f>
        <v>70</v>
      </c>
      <c r="B71" s="41" t="str">
        <f xml:space="preserve"> _xlfn.TEXTJOIN( "", , data_scaledImpacts[[#This Row],[sector]:[impactType]] )</f>
        <v>ExtremeTempGCM Average32010No Adaptationcold</v>
      </c>
      <c r="C71" s="33" t="s">
        <v>17</v>
      </c>
      <c r="D71" s="33" t="s">
        <v>15</v>
      </c>
      <c r="E71" s="34">
        <v>3</v>
      </c>
      <c r="F71" s="34">
        <v>2010</v>
      </c>
      <c r="G71" s="34" t="s">
        <v>776</v>
      </c>
      <c r="H71" s="35" t="s">
        <v>16</v>
      </c>
      <c r="I71" s="43" t="s">
        <v>25</v>
      </c>
      <c r="J71" s="36">
        <v>-7.3992985517149409E-7</v>
      </c>
      <c r="K71" s="36">
        <v>-9.42337365996701E-7</v>
      </c>
      <c r="L71" s="37" t="s">
        <v>26</v>
      </c>
      <c r="M71" s="36">
        <v>-4.3069265071375393E-7</v>
      </c>
      <c r="N71" s="36">
        <v>-2.4925334048544615E-7</v>
      </c>
      <c r="O71" s="36">
        <v>-2.7061996200718754E-7</v>
      </c>
      <c r="P71">
        <v>-1.0827498891436672E-7</v>
      </c>
    </row>
    <row r="72" spans="1:16" hidden="1" x14ac:dyDescent="0.35">
      <c r="A72" s="3">
        <f xml:space="preserve"> ROW( data_scaledImpacts[[#This Row],[row_id]] ) - ROW( data_scaledImpacts[[#Headers],[row_id]] )</f>
        <v>71</v>
      </c>
      <c r="B72" s="41" t="str">
        <f xml:space="preserve"> _xlfn.TEXTJOIN( "", , data_scaledImpacts[[#This Row],[sector]:[impactType]] )</f>
        <v>ExtremeTempCanESM242010No Adaptationcold</v>
      </c>
      <c r="C72" s="33" t="s">
        <v>17</v>
      </c>
      <c r="D72" s="33" t="s">
        <v>0</v>
      </c>
      <c r="E72" s="34">
        <v>4</v>
      </c>
      <c r="F72" s="34">
        <v>2010</v>
      </c>
      <c r="G72" s="34" t="s">
        <v>776</v>
      </c>
      <c r="H72" s="35" t="s">
        <v>16</v>
      </c>
      <c r="I72" s="43" t="s">
        <v>19</v>
      </c>
      <c r="J72" s="36">
        <v>-6.4495904534317418E-7</v>
      </c>
      <c r="K72" s="36">
        <v>-8.4172485606513597E-7</v>
      </c>
      <c r="L72" s="37"/>
      <c r="M72" s="36">
        <v>-7.5437922334495538E-7</v>
      </c>
      <c r="N72" s="36">
        <v>-2.1082684866935229E-7</v>
      </c>
      <c r="O72" s="36">
        <v>-2.9380080291273549E-7</v>
      </c>
      <c r="P72">
        <v>-1.5009286236212336E-7</v>
      </c>
    </row>
    <row r="73" spans="1:16" hidden="1" x14ac:dyDescent="0.35">
      <c r="A73" s="3">
        <f xml:space="preserve"> ROW( data_scaledImpacts[[#This Row],[row_id]] ) - ROW( data_scaledImpacts[[#Headers],[row_id]] )</f>
        <v>72</v>
      </c>
      <c r="B73" s="41" t="str">
        <f xml:space="preserve"> _xlfn.TEXTJOIN( "", , data_scaledImpacts[[#This Row],[sector]:[impactType]] )</f>
        <v>ExtremeTempCCSM442010No Adaptationcold</v>
      </c>
      <c r="C73" s="33" t="s">
        <v>17</v>
      </c>
      <c r="D73" s="33" t="s">
        <v>1</v>
      </c>
      <c r="E73" s="34">
        <v>4</v>
      </c>
      <c r="F73" s="34">
        <v>2010</v>
      </c>
      <c r="G73" s="34" t="s">
        <v>776</v>
      </c>
      <c r="H73" s="35" t="s">
        <v>16</v>
      </c>
      <c r="I73" s="43" t="s">
        <v>20</v>
      </c>
      <c r="J73" s="36">
        <v>-9.1988478261844727E-7</v>
      </c>
      <c r="K73" s="36">
        <v>-1.0525549621931989E-6</v>
      </c>
      <c r="L73" s="37"/>
      <c r="M73" s="36">
        <v>-6.7752365349980218E-7</v>
      </c>
      <c r="N73" s="36">
        <v>-3.1004738690243001E-7</v>
      </c>
      <c r="O73" s="36">
        <v>-4.1761312040606556E-7</v>
      </c>
      <c r="P73">
        <v>-1.675909830731859E-7</v>
      </c>
    </row>
    <row r="74" spans="1:16" hidden="1" x14ac:dyDescent="0.35">
      <c r="A74" s="3">
        <f xml:space="preserve"> ROW( data_scaledImpacts[[#This Row],[row_id]] ) - ROW( data_scaledImpacts[[#Headers],[row_id]] )</f>
        <v>73</v>
      </c>
      <c r="B74" s="41" t="str">
        <f xml:space="preserve"> _xlfn.TEXTJOIN( "", , data_scaledImpacts[[#This Row],[sector]:[impactType]] )</f>
        <v>ExtremeTempGISS-E2-R42010No Adaptationcold</v>
      </c>
      <c r="C74" s="33" t="s">
        <v>17</v>
      </c>
      <c r="D74" s="33" t="s">
        <v>2</v>
      </c>
      <c r="E74" s="34">
        <v>4</v>
      </c>
      <c r="F74" s="34">
        <v>2010</v>
      </c>
      <c r="G74" s="34" t="s">
        <v>776</v>
      </c>
      <c r="H74" s="35" t="s">
        <v>16</v>
      </c>
      <c r="I74" s="43" t="s">
        <v>21</v>
      </c>
      <c r="J74" s="36"/>
      <c r="K74" s="36"/>
      <c r="L74" s="37"/>
      <c r="M74" s="36"/>
      <c r="N74" s="36"/>
      <c r="O74" s="36"/>
    </row>
    <row r="75" spans="1:16" hidden="1" x14ac:dyDescent="0.35">
      <c r="A75" s="3">
        <f xml:space="preserve"> ROW( data_scaledImpacts[[#This Row],[row_id]] ) - ROW( data_scaledImpacts[[#Headers],[row_id]] )</f>
        <v>74</v>
      </c>
      <c r="B75" s="41" t="str">
        <f xml:space="preserve"> _xlfn.TEXTJOIN( "", , data_scaledImpacts[[#This Row],[sector]:[impactType]] )</f>
        <v>ExtremeTempHadGEM2-ES42010No Adaptationcold</v>
      </c>
      <c r="C75" s="33" t="s">
        <v>17</v>
      </c>
      <c r="D75" s="33" t="s">
        <v>3</v>
      </c>
      <c r="E75" s="34">
        <v>4</v>
      </c>
      <c r="F75" s="34">
        <v>2010</v>
      </c>
      <c r="G75" s="34" t="s">
        <v>776</v>
      </c>
      <c r="H75" s="35" t="s">
        <v>16</v>
      </c>
      <c r="I75" s="43" t="s">
        <v>22</v>
      </c>
      <c r="J75" s="36">
        <v>-7.9984182036041954E-7</v>
      </c>
      <c r="K75" s="36">
        <v>-9.4846408424508036E-7</v>
      </c>
      <c r="L75" s="37"/>
      <c r="M75" s="36">
        <v>-6.7967849541184981E-7</v>
      </c>
      <c r="N75" s="36">
        <v>-2.6041037131799847E-7</v>
      </c>
      <c r="O75" s="36">
        <v>-3.0126751947586893E-7</v>
      </c>
      <c r="P75">
        <v>-1.3545238842785515E-7</v>
      </c>
    </row>
    <row r="76" spans="1:16" hidden="1" x14ac:dyDescent="0.35">
      <c r="A76" s="3">
        <f xml:space="preserve"> ROW( data_scaledImpacts[[#This Row],[row_id]] ) - ROW( data_scaledImpacts[[#Headers],[row_id]] )</f>
        <v>75</v>
      </c>
      <c r="B76" s="41" t="str">
        <f xml:space="preserve"> _xlfn.TEXTJOIN( "", , data_scaledImpacts[[#This Row],[sector]:[impactType]] )</f>
        <v>ExtremeTempMIROC542010No Adaptationcold</v>
      </c>
      <c r="C76" s="33" t="s">
        <v>17</v>
      </c>
      <c r="D76" s="33" t="s">
        <v>4</v>
      </c>
      <c r="E76" s="34">
        <v>4</v>
      </c>
      <c r="F76" s="34">
        <v>2010</v>
      </c>
      <c r="G76" s="34" t="s">
        <v>776</v>
      </c>
      <c r="H76" s="35" t="s">
        <v>16</v>
      </c>
      <c r="I76" s="43" t="s">
        <v>23</v>
      </c>
      <c r="J76" s="36">
        <v>-8.6457696813976895E-7</v>
      </c>
      <c r="K76" s="36">
        <v>-1.073397157164106E-6</v>
      </c>
      <c r="L76" s="37"/>
      <c r="M76" s="36">
        <v>-5.6953421520247776E-7</v>
      </c>
      <c r="N76" s="36">
        <v>-2.9837373575841825E-7</v>
      </c>
      <c r="O76" s="36">
        <v>-3.3690470683841992E-7</v>
      </c>
      <c r="P76">
        <v>-1.5372247792841538E-7</v>
      </c>
    </row>
    <row r="77" spans="1:16" hidden="1" x14ac:dyDescent="0.35">
      <c r="A77" s="3">
        <f xml:space="preserve"> ROW( data_scaledImpacts[[#This Row],[row_id]] ) - ROW( data_scaledImpacts[[#Headers],[row_id]] )</f>
        <v>76</v>
      </c>
      <c r="B77" s="41" t="str">
        <f xml:space="preserve"> _xlfn.TEXTJOIN( "", , data_scaledImpacts[[#This Row],[sector]:[impactType]] )</f>
        <v>ExtremeTempGFDL-CM342010No Adaptationcold</v>
      </c>
      <c r="C77" s="33" t="s">
        <v>17</v>
      </c>
      <c r="D77" s="33" t="s">
        <v>5</v>
      </c>
      <c r="E77" s="34">
        <v>4</v>
      </c>
      <c r="F77" s="34">
        <v>2010</v>
      </c>
      <c r="G77" s="34" t="s">
        <v>776</v>
      </c>
      <c r="H77" s="35" t="s">
        <v>16</v>
      </c>
      <c r="I77" s="43" t="s">
        <v>24</v>
      </c>
      <c r="J77" s="36">
        <v>-7.9933225140604495E-7</v>
      </c>
      <c r="K77" s="36">
        <v>-1.0551244596793064E-6</v>
      </c>
      <c r="L77" s="37"/>
      <c r="M77" s="36">
        <v>-5.375227530249467E-7</v>
      </c>
      <c r="N77" s="36">
        <v>-2.7217987962796786E-7</v>
      </c>
      <c r="O77" s="36">
        <v>-2.3672762679205283E-7</v>
      </c>
      <c r="P77">
        <v>-1.4058904653410491E-7</v>
      </c>
    </row>
    <row r="78" spans="1:16" hidden="1" x14ac:dyDescent="0.35">
      <c r="A78" s="3">
        <f xml:space="preserve"> ROW( data_scaledImpacts[[#This Row],[row_id]] ) - ROW( data_scaledImpacts[[#Headers],[row_id]] )</f>
        <v>77</v>
      </c>
      <c r="B78" s="41" t="str">
        <f xml:space="preserve"> _xlfn.TEXTJOIN( "", , data_scaledImpacts[[#This Row],[sector]:[impactType]] )</f>
        <v>ExtremeTempGCM Average42010No Adaptationcold</v>
      </c>
      <c r="C78" s="33" t="s">
        <v>17</v>
      </c>
      <c r="D78" s="33" t="s">
        <v>15</v>
      </c>
      <c r="E78" s="34">
        <v>4</v>
      </c>
      <c r="F78" s="34">
        <v>2010</v>
      </c>
      <c r="G78" s="34" t="s">
        <v>776</v>
      </c>
      <c r="H78" s="35" t="s">
        <v>16</v>
      </c>
      <c r="I78" s="43" t="s">
        <v>25</v>
      </c>
      <c r="J78" s="36">
        <v>-8.0571897357357098E-7</v>
      </c>
      <c r="K78" s="36">
        <v>-9.9425310386936559E-7</v>
      </c>
      <c r="L78" s="37" t="s">
        <v>26</v>
      </c>
      <c r="M78" s="36">
        <v>-6.437276680968063E-7</v>
      </c>
      <c r="N78" s="36">
        <v>-2.7036764445523339E-7</v>
      </c>
      <c r="O78" s="36">
        <v>-3.1726275528502856E-7</v>
      </c>
      <c r="P78">
        <v>-1.4948955166513695E-7</v>
      </c>
    </row>
    <row r="79" spans="1:16" hidden="1" x14ac:dyDescent="0.35">
      <c r="A79" s="3">
        <f xml:space="preserve"> ROW( data_scaledImpacts[[#This Row],[row_id]] ) - ROW( data_scaledImpacts[[#Headers],[row_id]] )</f>
        <v>78</v>
      </c>
      <c r="B79" s="41" t="str">
        <f xml:space="preserve"> _xlfn.TEXTJOIN( "", , data_scaledImpacts[[#This Row],[sector]:[impactType]] )</f>
        <v>ExtremeTempCanESM252010No Adaptationcold</v>
      </c>
      <c r="C79" s="33" t="s">
        <v>17</v>
      </c>
      <c r="D79" s="33" t="s">
        <v>0</v>
      </c>
      <c r="E79" s="34">
        <v>5</v>
      </c>
      <c r="F79" s="34">
        <v>2010</v>
      </c>
      <c r="G79" s="34" t="s">
        <v>776</v>
      </c>
      <c r="H79" s="35" t="s">
        <v>16</v>
      </c>
      <c r="I79" s="43" t="s">
        <v>19</v>
      </c>
      <c r="J79" s="36">
        <v>-9.4264312563559979E-7</v>
      </c>
      <c r="K79" s="36">
        <v>-1.0655388130698574E-6</v>
      </c>
      <c r="L79" s="37"/>
      <c r="M79" s="36">
        <v>-8.7176570940049293E-7</v>
      </c>
      <c r="N79" s="36">
        <v>-3.200691163030713E-7</v>
      </c>
      <c r="O79" s="36">
        <v>-4.2134775124927602E-7</v>
      </c>
      <c r="P79">
        <v>-1.7018472427337056E-7</v>
      </c>
    </row>
    <row r="80" spans="1:16" hidden="1" x14ac:dyDescent="0.35">
      <c r="A80" s="3">
        <f xml:space="preserve"> ROW( data_scaledImpacts[[#This Row],[row_id]] ) - ROW( data_scaledImpacts[[#Headers],[row_id]] )</f>
        <v>79</v>
      </c>
      <c r="B80" s="41" t="str">
        <f xml:space="preserve"> _xlfn.TEXTJOIN( "", , data_scaledImpacts[[#This Row],[sector]:[impactType]] )</f>
        <v>ExtremeTempCCSM452010No Adaptationcold</v>
      </c>
      <c r="C80" s="33" t="s">
        <v>17</v>
      </c>
      <c r="D80" s="33" t="s">
        <v>1</v>
      </c>
      <c r="E80" s="34">
        <v>5</v>
      </c>
      <c r="F80" s="34">
        <v>2010</v>
      </c>
      <c r="G80" s="34" t="s">
        <v>776</v>
      </c>
      <c r="H80" s="35" t="s">
        <v>16</v>
      </c>
      <c r="I80" s="43" t="s">
        <v>20</v>
      </c>
      <c r="J80" s="36">
        <v>-9.330289751457213E-7</v>
      </c>
      <c r="K80" s="36">
        <v>-1.0670840860636333E-6</v>
      </c>
      <c r="L80" s="37"/>
      <c r="M80" s="36">
        <v>-7.6602874149911186E-7</v>
      </c>
      <c r="N80" s="36">
        <v>-2.8886579448362215E-7</v>
      </c>
      <c r="O80" s="36">
        <v>-3.7634234790828887E-7</v>
      </c>
      <c r="P80">
        <v>-1.2937417083422529E-7</v>
      </c>
    </row>
    <row r="81" spans="1:16" hidden="1" x14ac:dyDescent="0.35">
      <c r="A81" s="3">
        <f xml:space="preserve"> ROW( data_scaledImpacts[[#This Row],[row_id]] ) - ROW( data_scaledImpacts[[#Headers],[row_id]] )</f>
        <v>80</v>
      </c>
      <c r="B81" s="41" t="str">
        <f xml:space="preserve"> _xlfn.TEXTJOIN( "", , data_scaledImpacts[[#This Row],[sector]:[impactType]] )</f>
        <v>ExtremeTempGISS-E2-R52010No Adaptationcold</v>
      </c>
      <c r="C81" s="33" t="s">
        <v>17</v>
      </c>
      <c r="D81" s="33" t="s">
        <v>2</v>
      </c>
      <c r="E81" s="34">
        <v>5</v>
      </c>
      <c r="F81" s="34">
        <v>2010</v>
      </c>
      <c r="G81" s="34" t="s">
        <v>776</v>
      </c>
      <c r="H81" s="35" t="s">
        <v>16</v>
      </c>
      <c r="I81" s="43" t="s">
        <v>21</v>
      </c>
      <c r="J81" s="36"/>
      <c r="K81" s="36"/>
      <c r="L81" s="37"/>
      <c r="M81" s="36"/>
      <c r="N81" s="36"/>
      <c r="O81" s="36"/>
    </row>
    <row r="82" spans="1:16" hidden="1" x14ac:dyDescent="0.35">
      <c r="A82" s="3">
        <f xml:space="preserve"> ROW( data_scaledImpacts[[#This Row],[row_id]] ) - ROW( data_scaledImpacts[[#Headers],[row_id]] )</f>
        <v>81</v>
      </c>
      <c r="B82" s="41" t="str">
        <f xml:space="preserve"> _xlfn.TEXTJOIN( "", , data_scaledImpacts[[#This Row],[sector]:[impactType]] )</f>
        <v>ExtremeTempHadGEM2-ES52010No Adaptationcold</v>
      </c>
      <c r="C82" s="33" t="s">
        <v>17</v>
      </c>
      <c r="D82" s="33" t="s">
        <v>3</v>
      </c>
      <c r="E82" s="34">
        <v>5</v>
      </c>
      <c r="F82" s="34">
        <v>2010</v>
      </c>
      <c r="G82" s="34" t="s">
        <v>776</v>
      </c>
      <c r="H82" s="35" t="s">
        <v>16</v>
      </c>
      <c r="I82" s="43" t="s">
        <v>22</v>
      </c>
      <c r="J82" s="36">
        <v>-9.4130894995668883E-7</v>
      </c>
      <c r="K82" s="36">
        <v>-1.0655501670344988E-6</v>
      </c>
      <c r="L82" s="37"/>
      <c r="M82" s="36">
        <v>-7.1325902859803749E-7</v>
      </c>
      <c r="N82" s="36">
        <v>-3.1870043415300941E-7</v>
      </c>
      <c r="O82" s="36">
        <v>-3.9844474832416055E-7</v>
      </c>
      <c r="P82">
        <v>-1.2178151379647446E-7</v>
      </c>
    </row>
    <row r="83" spans="1:16" hidden="1" x14ac:dyDescent="0.35">
      <c r="A83" s="3">
        <f xml:space="preserve"> ROW( data_scaledImpacts[[#This Row],[row_id]] ) - ROW( data_scaledImpacts[[#Headers],[row_id]] )</f>
        <v>82</v>
      </c>
      <c r="B83" s="41" t="str">
        <f xml:space="preserve"> _xlfn.TEXTJOIN( "", , data_scaledImpacts[[#This Row],[sector]:[impactType]] )</f>
        <v>ExtremeTempMIROC552010No Adaptationcold</v>
      </c>
      <c r="C83" s="33" t="s">
        <v>17</v>
      </c>
      <c r="D83" s="33" t="s">
        <v>4</v>
      </c>
      <c r="E83" s="34">
        <v>5</v>
      </c>
      <c r="F83" s="34">
        <v>2010</v>
      </c>
      <c r="G83" s="34" t="s">
        <v>776</v>
      </c>
      <c r="H83" s="35" t="s">
        <v>16</v>
      </c>
      <c r="I83" s="43" t="s">
        <v>23</v>
      </c>
      <c r="J83" s="36">
        <v>-9.2155627583931774E-7</v>
      </c>
      <c r="K83" s="36">
        <v>-1.0702519755785111E-6</v>
      </c>
      <c r="L83" s="37"/>
      <c r="M83" s="36">
        <v>-4.6037201259666492E-7</v>
      </c>
      <c r="N83" s="36">
        <v>-3.50965873108902E-7</v>
      </c>
      <c r="O83" s="36">
        <v>-3.9991430761443176E-7</v>
      </c>
      <c r="P83">
        <v>-1.1890857797037047E-7</v>
      </c>
    </row>
    <row r="84" spans="1:16" hidden="1" x14ac:dyDescent="0.35">
      <c r="A84" s="3">
        <f xml:space="preserve"> ROW( data_scaledImpacts[[#This Row],[row_id]] ) - ROW( data_scaledImpacts[[#Headers],[row_id]] )</f>
        <v>83</v>
      </c>
      <c r="B84" s="41" t="str">
        <f xml:space="preserve"> _xlfn.TEXTJOIN( "", , data_scaledImpacts[[#This Row],[sector]:[impactType]] )</f>
        <v>ExtremeTempGFDL-CM352010No Adaptationcold</v>
      </c>
      <c r="C84" s="33" t="s">
        <v>17</v>
      </c>
      <c r="D84" s="33" t="s">
        <v>5</v>
      </c>
      <c r="E84" s="34">
        <v>5</v>
      </c>
      <c r="F84" s="34">
        <v>2010</v>
      </c>
      <c r="G84" s="34" t="s">
        <v>776</v>
      </c>
      <c r="H84" s="35" t="s">
        <v>16</v>
      </c>
      <c r="I84" s="43" t="s">
        <v>24</v>
      </c>
      <c r="J84" s="36">
        <v>-9.3924614524416343E-7</v>
      </c>
      <c r="K84" s="36">
        <v>-1.0765423387497009E-6</v>
      </c>
      <c r="L84" s="37"/>
      <c r="M84" s="36">
        <v>-4.4157563194880633E-7</v>
      </c>
      <c r="N84" s="36">
        <v>-3.0723087253489042E-7</v>
      </c>
      <c r="O84" s="36">
        <v>-3.2827381562840732E-7</v>
      </c>
      <c r="P84">
        <v>-1.4353656639322047E-7</v>
      </c>
    </row>
    <row r="85" spans="1:16" hidden="1" x14ac:dyDescent="0.35">
      <c r="A85" s="3">
        <f xml:space="preserve"> ROW( data_scaledImpacts[[#This Row],[row_id]] ) - ROW( data_scaledImpacts[[#Headers],[row_id]] )</f>
        <v>84</v>
      </c>
      <c r="B85" s="41" t="str">
        <f xml:space="preserve"> _xlfn.TEXTJOIN( "", , data_scaledImpacts[[#This Row],[sector]:[impactType]] )</f>
        <v>ExtremeTempGCM Average52010No Adaptationcold</v>
      </c>
      <c r="C85" s="33" t="s">
        <v>17</v>
      </c>
      <c r="D85" s="33" t="s">
        <v>15</v>
      </c>
      <c r="E85" s="34">
        <v>5</v>
      </c>
      <c r="F85" s="34">
        <v>2010</v>
      </c>
      <c r="G85" s="34" t="s">
        <v>776</v>
      </c>
      <c r="H85" s="35" t="s">
        <v>16</v>
      </c>
      <c r="I85" s="43" t="s">
        <v>25</v>
      </c>
      <c r="J85" s="36">
        <v>-9.355566943642983E-7</v>
      </c>
      <c r="K85" s="36">
        <v>-1.0689934760992404E-6</v>
      </c>
      <c r="L85" s="37" t="s">
        <v>26</v>
      </c>
      <c r="M85" s="36">
        <v>-6.5060022480862268E-7</v>
      </c>
      <c r="N85" s="36">
        <v>-3.1716641811669907E-7</v>
      </c>
      <c r="O85" s="36">
        <v>-3.8486459414491284E-7</v>
      </c>
      <c r="P85">
        <v>-1.3675711065353225E-7</v>
      </c>
    </row>
    <row r="86" spans="1:16" hidden="1" x14ac:dyDescent="0.35">
      <c r="A86" s="3">
        <f xml:space="preserve"> ROW( data_scaledImpacts[[#This Row],[row_id]] ) - ROW( data_scaledImpacts[[#Headers],[row_id]] )</f>
        <v>85</v>
      </c>
      <c r="B86" s="41" t="str">
        <f xml:space="preserve"> _xlfn.TEXTJOIN( "", , data_scaledImpacts[[#This Row],[sector]:[impactType]] )</f>
        <v>ExtremeTempCanESM262010No Adaptationcold</v>
      </c>
      <c r="C86" s="33" t="s">
        <v>17</v>
      </c>
      <c r="D86" s="33" t="s">
        <v>0</v>
      </c>
      <c r="E86" s="34">
        <v>6</v>
      </c>
      <c r="F86" s="34">
        <v>2010</v>
      </c>
      <c r="G86" s="34" t="s">
        <v>776</v>
      </c>
      <c r="H86" s="35" t="s">
        <v>16</v>
      </c>
      <c r="I86" s="43" t="s">
        <v>19</v>
      </c>
      <c r="J86" s="36">
        <v>-9.1758945685077354E-7</v>
      </c>
      <c r="K86" s="36">
        <v>-1.0702406216138696E-6</v>
      </c>
      <c r="L86" s="37"/>
      <c r="M86" s="36">
        <v>-8.6755593919173216E-7</v>
      </c>
      <c r="N86" s="36">
        <v>-2.8620399139103502E-7</v>
      </c>
      <c r="O86" s="36">
        <v>-3.5080561104602233E-7</v>
      </c>
      <c r="P86">
        <v>-1.6499724187300121E-7</v>
      </c>
    </row>
    <row r="87" spans="1:16" hidden="1" x14ac:dyDescent="0.35">
      <c r="A87" s="3">
        <f xml:space="preserve"> ROW( data_scaledImpacts[[#This Row],[row_id]] ) - ROW( data_scaledImpacts[[#Headers],[row_id]] )</f>
        <v>86</v>
      </c>
      <c r="B87" s="41" t="str">
        <f xml:space="preserve"> _xlfn.TEXTJOIN( "", , data_scaledImpacts[[#This Row],[sector]:[impactType]] )</f>
        <v>ExtremeTempCCSM462010No Adaptationcold</v>
      </c>
      <c r="C87" s="33" t="s">
        <v>17</v>
      </c>
      <c r="D87" s="33" t="s">
        <v>1</v>
      </c>
      <c r="E87" s="34">
        <v>6</v>
      </c>
      <c r="F87" s="34">
        <v>2010</v>
      </c>
      <c r="G87" s="34" t="s">
        <v>776</v>
      </c>
      <c r="H87" s="35" t="s">
        <v>16</v>
      </c>
      <c r="I87" s="43" t="s">
        <v>20</v>
      </c>
      <c r="J87" s="36"/>
      <c r="K87" s="36"/>
      <c r="L87" s="37"/>
      <c r="M87" s="36"/>
      <c r="N87" s="36"/>
      <c r="O87" s="36"/>
    </row>
    <row r="88" spans="1:16" hidden="1" x14ac:dyDescent="0.35">
      <c r="A88" s="3">
        <f xml:space="preserve"> ROW( data_scaledImpacts[[#This Row],[row_id]] ) - ROW( data_scaledImpacts[[#Headers],[row_id]] )</f>
        <v>87</v>
      </c>
      <c r="B88" s="41" t="str">
        <f xml:space="preserve"> _xlfn.TEXTJOIN( "", , data_scaledImpacts[[#This Row],[sector]:[impactType]] )</f>
        <v>ExtremeTempGISS-E2-R62010No Adaptationcold</v>
      </c>
      <c r="C88" s="33" t="s">
        <v>17</v>
      </c>
      <c r="D88" s="33" t="s">
        <v>2</v>
      </c>
      <c r="E88" s="34">
        <v>6</v>
      </c>
      <c r="F88" s="34">
        <v>2010</v>
      </c>
      <c r="G88" s="34" t="s">
        <v>776</v>
      </c>
      <c r="H88" s="35" t="s">
        <v>16</v>
      </c>
      <c r="I88" s="43" t="s">
        <v>21</v>
      </c>
      <c r="J88" s="36"/>
      <c r="K88" s="36"/>
      <c r="L88" s="37"/>
      <c r="M88" s="36"/>
      <c r="N88" s="36"/>
      <c r="O88" s="36"/>
    </row>
    <row r="89" spans="1:16" hidden="1" x14ac:dyDescent="0.35">
      <c r="A89" s="3">
        <f xml:space="preserve"> ROW( data_scaledImpacts[[#This Row],[row_id]] ) - ROW( data_scaledImpacts[[#Headers],[row_id]] )</f>
        <v>88</v>
      </c>
      <c r="B89" s="41" t="str">
        <f xml:space="preserve"> _xlfn.TEXTJOIN( "", , data_scaledImpacts[[#This Row],[sector]:[impactType]] )</f>
        <v>ExtremeTempHadGEM2-ES62010No Adaptationcold</v>
      </c>
      <c r="C89" s="33" t="s">
        <v>17</v>
      </c>
      <c r="D89" s="33" t="s">
        <v>3</v>
      </c>
      <c r="E89" s="34">
        <v>6</v>
      </c>
      <c r="F89" s="34">
        <v>2010</v>
      </c>
      <c r="G89" s="34" t="s">
        <v>776</v>
      </c>
      <c r="H89" s="35" t="s">
        <v>16</v>
      </c>
      <c r="I89" s="43" t="s">
        <v>22</v>
      </c>
      <c r="J89" s="36">
        <v>-9.5114854324165215E-7</v>
      </c>
      <c r="K89" s="36">
        <v>-1.073397157164106E-6</v>
      </c>
      <c r="L89" s="37"/>
      <c r="M89" s="36">
        <v>-6.5481161059658642E-7</v>
      </c>
      <c r="N89" s="36">
        <v>-3.2843112325132932E-7</v>
      </c>
      <c r="O89" s="36">
        <v>-4.2698133638450204E-7</v>
      </c>
      <c r="P89">
        <v>-1.675909830731859E-7</v>
      </c>
    </row>
    <row r="90" spans="1:16" hidden="1" x14ac:dyDescent="0.35">
      <c r="A90" s="3">
        <f xml:space="preserve"> ROW( data_scaledImpacts[[#This Row],[row_id]] ) - ROW( data_scaledImpacts[[#Headers],[row_id]] )</f>
        <v>89</v>
      </c>
      <c r="B90" s="41" t="str">
        <f xml:space="preserve"> _xlfn.TEXTJOIN( "", , data_scaledImpacts[[#This Row],[sector]:[impactType]] )</f>
        <v>ExtremeTempMIROC562010No Adaptationcold</v>
      </c>
      <c r="C90" s="33" t="s">
        <v>17</v>
      </c>
      <c r="D90" s="33" t="s">
        <v>4</v>
      </c>
      <c r="E90" s="34">
        <v>6</v>
      </c>
      <c r="F90" s="34">
        <v>2010</v>
      </c>
      <c r="G90" s="34" t="s">
        <v>776</v>
      </c>
      <c r="H90" s="35" t="s">
        <v>16</v>
      </c>
      <c r="I90" s="43" t="s">
        <v>23</v>
      </c>
      <c r="J90" s="36"/>
      <c r="K90" s="36"/>
      <c r="L90" s="37"/>
      <c r="M90" s="36"/>
      <c r="N90" s="36"/>
      <c r="O90" s="36"/>
    </row>
    <row r="91" spans="1:16" hidden="1" x14ac:dyDescent="0.35">
      <c r="A91" s="3">
        <f xml:space="preserve"> ROW( data_scaledImpacts[[#This Row],[row_id]] ) - ROW( data_scaledImpacts[[#Headers],[row_id]] )</f>
        <v>90</v>
      </c>
      <c r="B91" s="41" t="str">
        <f xml:space="preserve"> _xlfn.TEXTJOIN( "", , data_scaledImpacts[[#This Row],[sector]:[impactType]] )</f>
        <v>ExtremeTempGFDL-CM362010No Adaptationcold</v>
      </c>
      <c r="C91" s="33" t="s">
        <v>17</v>
      </c>
      <c r="D91" s="33" t="s">
        <v>5</v>
      </c>
      <c r="E91" s="34">
        <v>6</v>
      </c>
      <c r="F91" s="34">
        <v>2010</v>
      </c>
      <c r="G91" s="34" t="s">
        <v>776</v>
      </c>
      <c r="H91" s="35" t="s">
        <v>16</v>
      </c>
      <c r="I91" s="43" t="s">
        <v>24</v>
      </c>
      <c r="J91" s="36">
        <v>-9.4313534560653373E-7</v>
      </c>
      <c r="K91" s="36">
        <v>-1.0765423387497009E-6</v>
      </c>
      <c r="L91" s="37"/>
      <c r="M91" s="36">
        <v>-5.1461194552079063E-7</v>
      </c>
      <c r="N91" s="36">
        <v>-3.4035294460745268E-7</v>
      </c>
      <c r="O91" s="36">
        <v>-3.245391847851957E-7</v>
      </c>
      <c r="P91">
        <v>-1.3737508119449682E-7</v>
      </c>
    </row>
    <row r="92" spans="1:16" hidden="1" x14ac:dyDescent="0.35">
      <c r="A92" s="3">
        <f xml:space="preserve"> ROW( data_scaledImpacts[[#This Row],[row_id]] ) - ROW( data_scaledImpacts[[#Headers],[row_id]] )</f>
        <v>91</v>
      </c>
      <c r="B92" s="41" t="str">
        <f xml:space="preserve"> _xlfn.TEXTJOIN( "", , data_scaledImpacts[[#This Row],[sector]:[impactType]] )</f>
        <v>ExtremeTempGCM Average62010No Adaptationcold</v>
      </c>
      <c r="C92" s="33" t="s">
        <v>17</v>
      </c>
      <c r="D92" s="33" t="s">
        <v>15</v>
      </c>
      <c r="E92" s="34">
        <v>6</v>
      </c>
      <c r="F92" s="34">
        <v>2010</v>
      </c>
      <c r="G92" s="34" t="s">
        <v>776</v>
      </c>
      <c r="H92" s="35" t="s">
        <v>16</v>
      </c>
      <c r="I92" s="43" t="s">
        <v>25</v>
      </c>
      <c r="J92" s="36">
        <v>-9.3729111523298644E-7</v>
      </c>
      <c r="K92" s="36">
        <v>-1.0733933725092257E-6</v>
      </c>
      <c r="L92" s="37" t="s">
        <v>26</v>
      </c>
      <c r="M92" s="36">
        <v>-6.7899316510303644E-7</v>
      </c>
      <c r="N92" s="36">
        <v>-3.1832935308327229E-7</v>
      </c>
      <c r="O92" s="36">
        <v>-3.6744204407190671E-7</v>
      </c>
      <c r="P92">
        <v>-1.5665443538022799E-7</v>
      </c>
    </row>
    <row r="93" spans="1:16" hidden="1" x14ac:dyDescent="0.35">
      <c r="A93" s="3">
        <f xml:space="preserve"> ROW( data_scaledImpacts[[#This Row],[row_id]] ) - ROW( data_scaledImpacts[[#Headers],[row_id]] )</f>
        <v>92</v>
      </c>
      <c r="B93" s="41" t="str">
        <f xml:space="preserve"> _xlfn.TEXTJOIN( "", , data_scaledImpacts[[#This Row],[sector]:[impactType]] )</f>
        <v>ExtremeTempCanESM272010No Adaptationcold</v>
      </c>
      <c r="C93" s="33" t="s">
        <v>17</v>
      </c>
      <c r="D93" s="33" t="s">
        <v>0</v>
      </c>
      <c r="E93" s="34">
        <v>7</v>
      </c>
      <c r="F93" s="34">
        <v>2010</v>
      </c>
      <c r="G93" s="34" t="s">
        <v>776</v>
      </c>
      <c r="H93" s="35" t="s">
        <v>16</v>
      </c>
      <c r="I93" s="43" t="s">
        <v>19</v>
      </c>
      <c r="J93" s="36"/>
      <c r="K93" s="36"/>
      <c r="L93" s="37"/>
      <c r="M93" s="36"/>
      <c r="N93" s="36"/>
      <c r="O93" s="36"/>
    </row>
    <row r="94" spans="1:16" hidden="1" x14ac:dyDescent="0.35">
      <c r="A94" s="3">
        <f xml:space="preserve"> ROW( data_scaledImpacts[[#This Row],[row_id]] ) - ROW( data_scaledImpacts[[#Headers],[row_id]] )</f>
        <v>93</v>
      </c>
      <c r="B94" s="41" t="str">
        <f xml:space="preserve"> _xlfn.TEXTJOIN( "", , data_scaledImpacts[[#This Row],[sector]:[impactType]] )</f>
        <v>ExtremeTempCCSM472010No Adaptationcold</v>
      </c>
      <c r="C94" s="33" t="s">
        <v>17</v>
      </c>
      <c r="D94" s="33" t="s">
        <v>1</v>
      </c>
      <c r="E94" s="34">
        <v>7</v>
      </c>
      <c r="F94" s="34">
        <v>2010</v>
      </c>
      <c r="G94" s="34" t="s">
        <v>776</v>
      </c>
      <c r="H94" s="35" t="s">
        <v>16</v>
      </c>
      <c r="I94" s="43" t="s">
        <v>20</v>
      </c>
      <c r="J94" s="36"/>
      <c r="K94" s="36"/>
      <c r="L94" s="37"/>
      <c r="M94" s="36"/>
      <c r="N94" s="36"/>
      <c r="O94" s="36"/>
    </row>
    <row r="95" spans="1:16" hidden="1" x14ac:dyDescent="0.35">
      <c r="A95" s="3">
        <f xml:space="preserve"> ROW( data_scaledImpacts[[#This Row],[row_id]] ) - ROW( data_scaledImpacts[[#Headers],[row_id]] )</f>
        <v>94</v>
      </c>
      <c r="B95" s="41" t="str">
        <f xml:space="preserve"> _xlfn.TEXTJOIN( "", , data_scaledImpacts[[#This Row],[sector]:[impactType]] )</f>
        <v>ExtremeTempGISS-E2-R72010No Adaptationcold</v>
      </c>
      <c r="C95" s="33" t="s">
        <v>17</v>
      </c>
      <c r="D95" s="33" t="s">
        <v>2</v>
      </c>
      <c r="E95" s="34">
        <v>7</v>
      </c>
      <c r="F95" s="34">
        <v>2010</v>
      </c>
      <c r="G95" s="34" t="s">
        <v>776</v>
      </c>
      <c r="H95" s="35" t="s">
        <v>16</v>
      </c>
      <c r="I95" s="43" t="s">
        <v>21</v>
      </c>
      <c r="J95" s="36"/>
      <c r="K95" s="36"/>
      <c r="L95" s="37"/>
      <c r="M95" s="36"/>
      <c r="N95" s="36"/>
      <c r="O95" s="36"/>
    </row>
    <row r="96" spans="1:16" hidden="1" x14ac:dyDescent="0.35">
      <c r="A96" s="3">
        <f xml:space="preserve"> ROW( data_scaledImpacts[[#This Row],[row_id]] ) - ROW( data_scaledImpacts[[#Headers],[row_id]] )</f>
        <v>95</v>
      </c>
      <c r="B96" s="41" t="str">
        <f xml:space="preserve"> _xlfn.TEXTJOIN( "", , data_scaledImpacts[[#This Row],[sector]:[impactType]] )</f>
        <v>ExtremeTempHadGEM2-ES72010No Adaptationcold</v>
      </c>
      <c r="C96" s="33" t="s">
        <v>17</v>
      </c>
      <c r="D96" s="33" t="s">
        <v>3</v>
      </c>
      <c r="E96" s="34">
        <v>7</v>
      </c>
      <c r="F96" s="34">
        <v>2010</v>
      </c>
      <c r="G96" s="34" t="s">
        <v>776</v>
      </c>
      <c r="H96" s="35" t="s">
        <v>16</v>
      </c>
      <c r="I96" s="43" t="s">
        <v>22</v>
      </c>
      <c r="J96" s="36"/>
      <c r="K96" s="36"/>
      <c r="L96" s="37"/>
      <c r="M96" s="36"/>
      <c r="N96" s="36"/>
      <c r="O96" s="36"/>
    </row>
    <row r="97" spans="1:16" hidden="1" x14ac:dyDescent="0.35">
      <c r="A97" s="3">
        <f xml:space="preserve"> ROW( data_scaledImpacts[[#This Row],[row_id]] ) - ROW( data_scaledImpacts[[#Headers],[row_id]] )</f>
        <v>96</v>
      </c>
      <c r="B97" s="41" t="str">
        <f xml:space="preserve"> _xlfn.TEXTJOIN( "", , data_scaledImpacts[[#This Row],[sector]:[impactType]] )</f>
        <v>ExtremeTempMIROC572010No Adaptationcold</v>
      </c>
      <c r="C97" s="33" t="s">
        <v>17</v>
      </c>
      <c r="D97" s="33" t="s">
        <v>4</v>
      </c>
      <c r="E97" s="34">
        <v>7</v>
      </c>
      <c r="F97" s="34">
        <v>2010</v>
      </c>
      <c r="G97" s="34" t="s">
        <v>776</v>
      </c>
      <c r="H97" s="35" t="s">
        <v>16</v>
      </c>
      <c r="I97" s="43" t="s">
        <v>23</v>
      </c>
      <c r="J97" s="36"/>
      <c r="K97" s="36"/>
      <c r="L97" s="37"/>
      <c r="M97" s="36"/>
      <c r="N97" s="36"/>
      <c r="O97" s="36"/>
    </row>
    <row r="98" spans="1:16" hidden="1" x14ac:dyDescent="0.35">
      <c r="A98" s="3">
        <f xml:space="preserve"> ROW( data_scaledImpacts[[#This Row],[row_id]] ) - ROW( data_scaledImpacts[[#Headers],[row_id]] )</f>
        <v>97</v>
      </c>
      <c r="B98" s="41" t="str">
        <f xml:space="preserve"> _xlfn.TEXTJOIN( "", , data_scaledImpacts[[#This Row],[sector]:[impactType]] )</f>
        <v>ExtremeTempGFDL-CM372010No Adaptationcold</v>
      </c>
      <c r="C98" s="33" t="s">
        <v>17</v>
      </c>
      <c r="D98" s="33" t="s">
        <v>5</v>
      </c>
      <c r="E98" s="34">
        <v>7</v>
      </c>
      <c r="F98" s="34">
        <v>2010</v>
      </c>
      <c r="G98" s="34" t="s">
        <v>776</v>
      </c>
      <c r="H98" s="35" t="s">
        <v>16</v>
      </c>
      <c r="I98" s="43" t="s">
        <v>24</v>
      </c>
      <c r="J98" s="36"/>
      <c r="K98" s="36"/>
      <c r="L98" s="37"/>
      <c r="M98" s="36"/>
      <c r="N98" s="36"/>
      <c r="O98" s="36"/>
    </row>
    <row r="99" spans="1:16" hidden="1" x14ac:dyDescent="0.35">
      <c r="A99" s="3">
        <f xml:space="preserve"> ROW( data_scaledImpacts[[#This Row],[row_id]] ) - ROW( data_scaledImpacts[[#Headers],[row_id]] )</f>
        <v>98</v>
      </c>
      <c r="B99" s="41" t="str">
        <f xml:space="preserve"> _xlfn.TEXTJOIN( "", , data_scaledImpacts[[#This Row],[sector]:[impactType]] )</f>
        <v>ExtremeTempGCM Average72010No Adaptationcold</v>
      </c>
      <c r="C99" s="33" t="s">
        <v>17</v>
      </c>
      <c r="D99" s="33" t="s">
        <v>15</v>
      </c>
      <c r="E99" s="34">
        <v>7</v>
      </c>
      <c r="F99" s="34">
        <v>2010</v>
      </c>
      <c r="G99" s="34" t="s">
        <v>776</v>
      </c>
      <c r="H99" s="35" t="s">
        <v>16</v>
      </c>
      <c r="I99" s="43" t="s">
        <v>25</v>
      </c>
      <c r="J99" s="36" t="s">
        <v>26</v>
      </c>
      <c r="K99" s="36" t="s">
        <v>26</v>
      </c>
      <c r="L99" s="37" t="s">
        <v>26</v>
      </c>
      <c r="M99" s="36" t="s">
        <v>26</v>
      </c>
      <c r="N99" s="36" t="s">
        <v>26</v>
      </c>
      <c r="O99" s="36" t="s">
        <v>26</v>
      </c>
      <c r="P99" t="s">
        <v>26</v>
      </c>
    </row>
    <row r="100" spans="1:16" hidden="1" x14ac:dyDescent="0.35">
      <c r="A100" s="3">
        <f xml:space="preserve"> ROW( data_scaledImpacts[[#This Row],[row_id]] ) - ROW( data_scaledImpacts[[#Headers],[row_id]] )</f>
        <v>99</v>
      </c>
      <c r="B100" s="41" t="str">
        <f xml:space="preserve"> _xlfn.TEXTJOIN( "", , data_scaledImpacts[[#This Row],[sector]:[impactType]] )</f>
        <v>ExtremeTempCanESM212090No Adaptationhot</v>
      </c>
      <c r="C100" s="33" t="s">
        <v>17</v>
      </c>
      <c r="D100" s="33" t="s">
        <v>0</v>
      </c>
      <c r="E100" s="34">
        <v>1</v>
      </c>
      <c r="F100" s="34">
        <v>2090</v>
      </c>
      <c r="G100" s="34" t="s">
        <v>776</v>
      </c>
      <c r="H100" s="35" t="s">
        <v>14</v>
      </c>
      <c r="I100" s="43" t="s">
        <v>27</v>
      </c>
      <c r="J100" s="36">
        <v>6.8533123359483487E-6</v>
      </c>
      <c r="K100" s="36">
        <v>4.1550552984397123E-6</v>
      </c>
      <c r="L100" s="37"/>
      <c r="M100" s="36"/>
      <c r="N100" s="36">
        <v>4.1798494460230675E-6</v>
      </c>
      <c r="O100" s="36">
        <v>6.0258582844428687E-6</v>
      </c>
      <c r="P100">
        <v>6.8798186550280243E-6</v>
      </c>
    </row>
    <row r="101" spans="1:16" hidden="1" x14ac:dyDescent="0.35">
      <c r="A101" s="3">
        <f xml:space="preserve"> ROW( data_scaledImpacts[[#This Row],[row_id]] ) - ROW( data_scaledImpacts[[#Headers],[row_id]] )</f>
        <v>100</v>
      </c>
      <c r="B101" s="41" t="str">
        <f xml:space="preserve"> _xlfn.TEXTJOIN( "", , data_scaledImpacts[[#This Row],[sector]:[impactType]] )</f>
        <v>ExtremeTempCCSM412090No Adaptationhot</v>
      </c>
      <c r="C101" s="33" t="s">
        <v>17</v>
      </c>
      <c r="D101" s="33" t="s">
        <v>1</v>
      </c>
      <c r="E101" s="34">
        <v>1</v>
      </c>
      <c r="F101" s="34">
        <v>2090</v>
      </c>
      <c r="G101" s="34" t="s">
        <v>776</v>
      </c>
      <c r="H101" s="35" t="s">
        <v>14</v>
      </c>
      <c r="I101" s="43" t="s">
        <v>28</v>
      </c>
      <c r="J101" s="36">
        <v>4.5936702569373007E-6</v>
      </c>
      <c r="K101" s="36">
        <v>2.6160339090296077E-6</v>
      </c>
      <c r="L101" s="37"/>
      <c r="M101" s="36"/>
      <c r="N101" s="36">
        <v>2.3769625992103342E-6</v>
      </c>
      <c r="O101" s="36">
        <v>2.0724045666144293E-6</v>
      </c>
      <c r="P101">
        <v>4.0012721414230783E-6</v>
      </c>
    </row>
    <row r="102" spans="1:16" hidden="1" x14ac:dyDescent="0.35">
      <c r="A102" s="3">
        <f xml:space="preserve"> ROW( data_scaledImpacts[[#This Row],[row_id]] ) - ROW( data_scaledImpacts[[#Headers],[row_id]] )</f>
        <v>101</v>
      </c>
      <c r="B102" s="41" t="str">
        <f xml:space="preserve"> _xlfn.TEXTJOIN( "", , data_scaledImpacts[[#This Row],[sector]:[impactType]] )</f>
        <v>ExtremeTempGISS-E2-R12090No Adaptationhot</v>
      </c>
      <c r="C102" s="33" t="s">
        <v>17</v>
      </c>
      <c r="D102" s="33" t="s">
        <v>2</v>
      </c>
      <c r="E102" s="34">
        <v>1</v>
      </c>
      <c r="F102" s="34">
        <v>2090</v>
      </c>
      <c r="G102" s="34" t="s">
        <v>776</v>
      </c>
      <c r="H102" s="35" t="s">
        <v>14</v>
      </c>
      <c r="I102" s="43" t="s">
        <v>29</v>
      </c>
      <c r="J102" s="36">
        <v>1.1783931788977296E-5</v>
      </c>
      <c r="K102" s="36">
        <v>7.6652958467821753E-6</v>
      </c>
      <c r="L102" s="37"/>
      <c r="M102" s="36"/>
      <c r="N102" s="36">
        <v>5.14145382421903E-6</v>
      </c>
      <c r="O102" s="36">
        <v>3.4767353337805691E-6</v>
      </c>
      <c r="P102">
        <v>3.2181796806624856E-6</v>
      </c>
    </row>
    <row r="103" spans="1:16" hidden="1" x14ac:dyDescent="0.35">
      <c r="A103" s="3">
        <f xml:space="preserve"> ROW( data_scaledImpacts[[#This Row],[row_id]] ) - ROW( data_scaledImpacts[[#Headers],[row_id]] )</f>
        <v>102</v>
      </c>
      <c r="B103" s="41" t="str">
        <f xml:space="preserve"> _xlfn.TEXTJOIN( "", , data_scaledImpacts[[#This Row],[sector]:[impactType]] )</f>
        <v>ExtremeTempHadGEM2-ES12090No Adaptationhot</v>
      </c>
      <c r="C103" s="33" t="s">
        <v>17</v>
      </c>
      <c r="D103" s="33" t="s">
        <v>3</v>
      </c>
      <c r="E103" s="34">
        <v>1</v>
      </c>
      <c r="F103" s="34">
        <v>2090</v>
      </c>
      <c r="G103" s="34" t="s">
        <v>776</v>
      </c>
      <c r="H103" s="35" t="s">
        <v>14</v>
      </c>
      <c r="I103" s="43" t="s">
        <v>30</v>
      </c>
      <c r="J103" s="36">
        <v>6.9999681404013479E-6</v>
      </c>
      <c r="K103" s="36">
        <v>5.0809358521395842E-6</v>
      </c>
      <c r="L103" s="37"/>
      <c r="M103" s="36"/>
      <c r="N103" s="36">
        <v>1.0076922033285459E-5</v>
      </c>
      <c r="O103" s="36">
        <v>7.3210974246935218E-6</v>
      </c>
      <c r="P103">
        <v>3.1631239753389708E-6</v>
      </c>
    </row>
    <row r="104" spans="1:16" hidden="1" x14ac:dyDescent="0.35">
      <c r="A104" s="3">
        <f xml:space="preserve"> ROW( data_scaledImpacts[[#This Row],[row_id]] ) - ROW( data_scaledImpacts[[#Headers],[row_id]] )</f>
        <v>103</v>
      </c>
      <c r="B104" s="41" t="str">
        <f xml:space="preserve"> _xlfn.TEXTJOIN( "", , data_scaledImpacts[[#This Row],[sector]:[impactType]] )</f>
        <v>ExtremeTempMIROC512090No Adaptationhot</v>
      </c>
      <c r="C104" s="33" t="s">
        <v>17</v>
      </c>
      <c r="D104" s="33" t="s">
        <v>4</v>
      </c>
      <c r="E104" s="34">
        <v>1</v>
      </c>
      <c r="F104" s="34">
        <v>2090</v>
      </c>
      <c r="G104" s="34" t="s">
        <v>776</v>
      </c>
      <c r="H104" s="35" t="s">
        <v>14</v>
      </c>
      <c r="I104" s="43" t="s">
        <v>31</v>
      </c>
      <c r="J104" s="36">
        <v>6.6731422745522032E-6</v>
      </c>
      <c r="K104" s="36">
        <v>1.6404989648510177E-6</v>
      </c>
      <c r="L104" s="37"/>
      <c r="M104" s="36"/>
      <c r="N104" s="36">
        <v>4.3660605665577753E-6</v>
      </c>
      <c r="O104" s="36">
        <v>7.893586436251526E-6</v>
      </c>
      <c r="P104">
        <v>3.4076293154300559E-7</v>
      </c>
    </row>
    <row r="105" spans="1:16" hidden="1" x14ac:dyDescent="0.35">
      <c r="A105" s="3">
        <f xml:space="preserve"> ROW( data_scaledImpacts[[#This Row],[row_id]] ) - ROW( data_scaledImpacts[[#Headers],[row_id]] )</f>
        <v>104</v>
      </c>
      <c r="B105" s="41" t="str">
        <f xml:space="preserve"> _xlfn.TEXTJOIN( "", , data_scaledImpacts[[#This Row],[sector]:[impactType]] )</f>
        <v>ExtremeTempGFDL-CM312090No Adaptationhot</v>
      </c>
      <c r="C105" s="33" t="s">
        <v>17</v>
      </c>
      <c r="D105" s="33" t="s">
        <v>5</v>
      </c>
      <c r="E105" s="34">
        <v>1</v>
      </c>
      <c r="F105" s="34">
        <v>2090</v>
      </c>
      <c r="G105" s="34" t="s">
        <v>776</v>
      </c>
      <c r="H105" s="35" t="s">
        <v>14</v>
      </c>
      <c r="I105" s="43" t="s">
        <v>32</v>
      </c>
      <c r="J105" s="36">
        <v>9.5839749845393821E-6</v>
      </c>
      <c r="K105" s="36">
        <v>7.3784831932779124E-6</v>
      </c>
      <c r="L105" s="37"/>
      <c r="M105" s="36"/>
      <c r="N105" s="36">
        <v>4.9762109855032395E-6</v>
      </c>
      <c r="O105" s="36">
        <v>6.7523855596832716E-6</v>
      </c>
      <c r="P105">
        <v>3.9648216227689336E-6</v>
      </c>
    </row>
    <row r="106" spans="1:16" hidden="1" x14ac:dyDescent="0.35">
      <c r="A106" s="3">
        <f xml:space="preserve"> ROW( data_scaledImpacts[[#This Row],[row_id]] ) - ROW( data_scaledImpacts[[#Headers],[row_id]] )</f>
        <v>105</v>
      </c>
      <c r="B106" s="41" t="str">
        <f xml:space="preserve"> _xlfn.TEXTJOIN( "", , data_scaledImpacts[[#This Row],[sector]:[impactType]] )</f>
        <v>ExtremeTempGCM Average12090No Adaptationhot</v>
      </c>
      <c r="C106" s="33" t="s">
        <v>17</v>
      </c>
      <c r="D106" s="33" t="s">
        <v>15</v>
      </c>
      <c r="E106" s="34">
        <v>1</v>
      </c>
      <c r="F106" s="34">
        <v>2090</v>
      </c>
      <c r="G106" s="34" t="s">
        <v>776</v>
      </c>
      <c r="H106" s="35" t="s">
        <v>14</v>
      </c>
      <c r="I106" s="43" t="s">
        <v>33</v>
      </c>
      <c r="J106" s="36">
        <v>7.7479999635593138E-6</v>
      </c>
      <c r="K106" s="36">
        <v>4.7560505107533354E-6</v>
      </c>
      <c r="L106" s="37" t="s">
        <v>26</v>
      </c>
      <c r="M106" s="36" t="s">
        <v>26</v>
      </c>
      <c r="N106" s="36">
        <v>5.1862432424664843E-6</v>
      </c>
      <c r="O106" s="36">
        <v>5.590344600911031E-6</v>
      </c>
      <c r="P106">
        <v>3.5946631677940828E-6</v>
      </c>
    </row>
    <row r="107" spans="1:16" hidden="1" x14ac:dyDescent="0.35">
      <c r="A107" s="3">
        <f xml:space="preserve"> ROW( data_scaledImpacts[[#This Row],[row_id]] ) - ROW( data_scaledImpacts[[#Headers],[row_id]] )</f>
        <v>106</v>
      </c>
      <c r="B107" s="41" t="str">
        <f xml:space="preserve"> _xlfn.TEXTJOIN( "", , data_scaledImpacts[[#This Row],[sector]:[impactType]] )</f>
        <v>ExtremeTempCanESM222090No Adaptationhot</v>
      </c>
      <c r="C107" s="33" t="s">
        <v>17</v>
      </c>
      <c r="D107" s="33" t="s">
        <v>0</v>
      </c>
      <c r="E107" s="34">
        <v>2</v>
      </c>
      <c r="F107" s="34">
        <v>2090</v>
      </c>
      <c r="G107" s="34" t="s">
        <v>776</v>
      </c>
      <c r="H107" s="35" t="s">
        <v>14</v>
      </c>
      <c r="I107" s="43" t="s">
        <v>27</v>
      </c>
      <c r="J107" s="36">
        <v>1.7192959189576616E-5</v>
      </c>
      <c r="K107" s="36">
        <v>1.3958820471173823E-5</v>
      </c>
      <c r="L107" s="37"/>
      <c r="M107" s="36"/>
      <c r="N107" s="36">
        <v>1.9389194640372911E-5</v>
      </c>
      <c r="O107" s="36">
        <v>2.1232866028764942E-5</v>
      </c>
      <c r="P107">
        <v>1.183758454162029E-5</v>
      </c>
    </row>
    <row r="108" spans="1:16" hidden="1" x14ac:dyDescent="0.35">
      <c r="A108" s="3">
        <f xml:space="preserve"> ROW( data_scaledImpacts[[#This Row],[row_id]] ) - ROW( data_scaledImpacts[[#Headers],[row_id]] )</f>
        <v>107</v>
      </c>
      <c r="B108" s="41" t="str">
        <f xml:space="preserve"> _xlfn.TEXTJOIN( "", , data_scaledImpacts[[#This Row],[sector]:[impactType]] )</f>
        <v>ExtremeTempCCSM422090No Adaptationhot</v>
      </c>
      <c r="C108" s="33" t="s">
        <v>17</v>
      </c>
      <c r="D108" s="33" t="s">
        <v>1</v>
      </c>
      <c r="E108" s="34">
        <v>2</v>
      </c>
      <c r="F108" s="34">
        <v>2090</v>
      </c>
      <c r="G108" s="34" t="s">
        <v>776</v>
      </c>
      <c r="H108" s="35" t="s">
        <v>14</v>
      </c>
      <c r="I108" s="43" t="s">
        <v>28</v>
      </c>
      <c r="J108" s="36">
        <v>1.5380012266056591E-5</v>
      </c>
      <c r="K108" s="36">
        <v>1.0955941190145434E-5</v>
      </c>
      <c r="L108" s="37"/>
      <c r="M108" s="36"/>
      <c r="N108" s="36">
        <v>1.0286162121990401E-5</v>
      </c>
      <c r="O108" s="36">
        <v>1.1030983700410047E-5</v>
      </c>
      <c r="P108">
        <v>6.1460217692009854E-6</v>
      </c>
    </row>
    <row r="109" spans="1:16" hidden="1" x14ac:dyDescent="0.35">
      <c r="A109" s="3">
        <f xml:space="preserve"> ROW( data_scaledImpacts[[#This Row],[row_id]] ) - ROW( data_scaledImpacts[[#Headers],[row_id]] )</f>
        <v>108</v>
      </c>
      <c r="B109" s="41" t="str">
        <f xml:space="preserve"> _xlfn.TEXTJOIN( "", , data_scaledImpacts[[#This Row],[sector]:[impactType]] )</f>
        <v>ExtremeTempGISS-E2-R22090No Adaptationhot</v>
      </c>
      <c r="C109" s="33" t="s">
        <v>17</v>
      </c>
      <c r="D109" s="33" t="s">
        <v>2</v>
      </c>
      <c r="E109" s="34">
        <v>2</v>
      </c>
      <c r="F109" s="34">
        <v>2090</v>
      </c>
      <c r="G109" s="34" t="s">
        <v>776</v>
      </c>
      <c r="H109" s="35" t="s">
        <v>14</v>
      </c>
      <c r="I109" s="43" t="s">
        <v>29</v>
      </c>
      <c r="J109" s="36">
        <v>2.1208644287100424E-5</v>
      </c>
      <c r="K109" s="36">
        <v>1.4911100143857318E-5</v>
      </c>
      <c r="L109" s="37"/>
      <c r="M109" s="36"/>
      <c r="N109" s="36">
        <v>2.1516590367609188E-5</v>
      </c>
      <c r="O109" s="36">
        <v>1.3722061035253469E-5</v>
      </c>
      <c r="P109">
        <v>7.8647516646542166E-6</v>
      </c>
    </row>
    <row r="110" spans="1:16" hidden="1" x14ac:dyDescent="0.35">
      <c r="A110" s="3">
        <f xml:space="preserve"> ROW( data_scaledImpacts[[#This Row],[row_id]] ) - ROW( data_scaledImpacts[[#Headers],[row_id]] )</f>
        <v>109</v>
      </c>
      <c r="B110" s="41" t="str">
        <f xml:space="preserve"> _xlfn.TEXTJOIN( "", , data_scaledImpacts[[#This Row],[sector]:[impactType]] )</f>
        <v>ExtremeTempHadGEM2-ES22090No Adaptationhot</v>
      </c>
      <c r="C110" s="33" t="s">
        <v>17</v>
      </c>
      <c r="D110" s="33" t="s">
        <v>3</v>
      </c>
      <c r="E110" s="34">
        <v>2</v>
      </c>
      <c r="F110" s="34">
        <v>2090</v>
      </c>
      <c r="G110" s="34" t="s">
        <v>776</v>
      </c>
      <c r="H110" s="35" t="s">
        <v>14</v>
      </c>
      <c r="I110" s="43" t="s">
        <v>30</v>
      </c>
      <c r="J110" s="36">
        <v>2.458313760374667E-5</v>
      </c>
      <c r="K110" s="36">
        <v>1.7579998817614235E-5</v>
      </c>
      <c r="L110" s="37"/>
      <c r="M110" s="36"/>
      <c r="N110" s="36">
        <v>2.0796400123802403E-5</v>
      </c>
      <c r="O110" s="36">
        <v>1.4127557683149762E-5</v>
      </c>
      <c r="P110">
        <v>5.5664294629517797E-6</v>
      </c>
    </row>
    <row r="111" spans="1:16" hidden="1" x14ac:dyDescent="0.35">
      <c r="A111" s="3">
        <f xml:space="preserve"> ROW( data_scaledImpacts[[#This Row],[row_id]] ) - ROW( data_scaledImpacts[[#Headers],[row_id]] )</f>
        <v>110</v>
      </c>
      <c r="B111" s="41" t="str">
        <f xml:space="preserve"> _xlfn.TEXTJOIN( "", , data_scaledImpacts[[#This Row],[sector]:[impactType]] )</f>
        <v>ExtremeTempMIROC522090No Adaptationhot</v>
      </c>
      <c r="C111" s="33" t="s">
        <v>17</v>
      </c>
      <c r="D111" s="33" t="s">
        <v>4</v>
      </c>
      <c r="E111" s="34">
        <v>2</v>
      </c>
      <c r="F111" s="34">
        <v>2090</v>
      </c>
      <c r="G111" s="34" t="s">
        <v>776</v>
      </c>
      <c r="H111" s="35" t="s">
        <v>14</v>
      </c>
      <c r="I111" s="43" t="s">
        <v>31</v>
      </c>
      <c r="J111" s="36">
        <v>1.2103374316373855E-5</v>
      </c>
      <c r="K111" s="36">
        <v>5.2614639342846744E-6</v>
      </c>
      <c r="L111" s="37"/>
      <c r="M111" s="36"/>
      <c r="N111" s="36">
        <v>1.0369170116502911E-5</v>
      </c>
      <c r="O111" s="36">
        <v>1.592479690920359E-5</v>
      </c>
      <c r="P111">
        <v>2.321119062299842E-6</v>
      </c>
    </row>
    <row r="112" spans="1:16" hidden="1" x14ac:dyDescent="0.35">
      <c r="A112" s="3">
        <f xml:space="preserve"> ROW( data_scaledImpacts[[#This Row],[row_id]] ) - ROW( data_scaledImpacts[[#Headers],[row_id]] )</f>
        <v>111</v>
      </c>
      <c r="B112" s="41" t="str">
        <f xml:space="preserve"> _xlfn.TEXTJOIN( "", , data_scaledImpacts[[#This Row],[sector]:[impactType]] )</f>
        <v>ExtremeTempGFDL-CM322090No Adaptationhot</v>
      </c>
      <c r="C112" s="33" t="s">
        <v>17</v>
      </c>
      <c r="D112" s="33" t="s">
        <v>5</v>
      </c>
      <c r="E112" s="34">
        <v>2</v>
      </c>
      <c r="F112" s="34">
        <v>2090</v>
      </c>
      <c r="G112" s="34" t="s">
        <v>776</v>
      </c>
      <c r="H112" s="35" t="s">
        <v>14</v>
      </c>
      <c r="I112" s="43" t="s">
        <v>32</v>
      </c>
      <c r="J112" s="36">
        <v>1.949552773395283E-5</v>
      </c>
      <c r="K112" s="36">
        <v>1.9641715760539282E-5</v>
      </c>
      <c r="L112" s="37"/>
      <c r="M112" s="36"/>
      <c r="N112" s="36">
        <v>1.6725716724711986E-5</v>
      </c>
      <c r="O112" s="36">
        <v>2.4018102714043769E-5</v>
      </c>
      <c r="P112">
        <v>9.5907922191470436E-6</v>
      </c>
    </row>
    <row r="113" spans="1:16" hidden="1" x14ac:dyDescent="0.35">
      <c r="A113" s="3">
        <f xml:space="preserve"> ROW( data_scaledImpacts[[#This Row],[row_id]] ) - ROW( data_scaledImpacts[[#Headers],[row_id]] )</f>
        <v>112</v>
      </c>
      <c r="B113" s="41" t="str">
        <f xml:space="preserve"> _xlfn.TEXTJOIN( "", , data_scaledImpacts[[#This Row],[sector]:[impactType]] )</f>
        <v>ExtremeTempGCM Average22090No Adaptationhot</v>
      </c>
      <c r="C113" s="33" t="s">
        <v>17</v>
      </c>
      <c r="D113" s="33" t="s">
        <v>15</v>
      </c>
      <c r="E113" s="34">
        <v>2</v>
      </c>
      <c r="F113" s="34">
        <v>2090</v>
      </c>
      <c r="G113" s="34" t="s">
        <v>776</v>
      </c>
      <c r="H113" s="35" t="s">
        <v>14</v>
      </c>
      <c r="I113" s="43" t="s">
        <v>33</v>
      </c>
      <c r="J113" s="36">
        <v>1.8327275899467829E-5</v>
      </c>
      <c r="K113" s="36">
        <v>1.3718173386269126E-5</v>
      </c>
      <c r="L113" s="37" t="s">
        <v>26</v>
      </c>
      <c r="M113" s="36" t="s">
        <v>26</v>
      </c>
      <c r="N113" s="36">
        <v>1.6513872349164966E-5</v>
      </c>
      <c r="O113" s="36">
        <v>1.6676061345137599E-5</v>
      </c>
      <c r="P113">
        <v>7.2211164533123591E-6</v>
      </c>
    </row>
    <row r="114" spans="1:16" hidden="1" x14ac:dyDescent="0.35">
      <c r="A114" s="3">
        <f xml:space="preserve"> ROW( data_scaledImpacts[[#This Row],[row_id]] ) - ROW( data_scaledImpacts[[#Headers],[row_id]] )</f>
        <v>113</v>
      </c>
      <c r="B114" s="41" t="str">
        <f xml:space="preserve"> _xlfn.TEXTJOIN( "", , data_scaledImpacts[[#This Row],[sector]:[impactType]] )</f>
        <v>ExtremeTempCanESM232090No Adaptationhot</v>
      </c>
      <c r="C114" s="33" t="s">
        <v>17</v>
      </c>
      <c r="D114" s="33" t="s">
        <v>0</v>
      </c>
      <c r="E114" s="34">
        <v>3</v>
      </c>
      <c r="F114" s="34">
        <v>2090</v>
      </c>
      <c r="G114" s="34" t="s">
        <v>776</v>
      </c>
      <c r="H114" s="35" t="s">
        <v>14</v>
      </c>
      <c r="I114" s="43" t="s">
        <v>27</v>
      </c>
      <c r="J114" s="36">
        <v>2.3528673100604509E-5</v>
      </c>
      <c r="K114" s="36">
        <v>2.7733835922453423E-5</v>
      </c>
      <c r="L114" s="37"/>
      <c r="M114" s="36"/>
      <c r="N114" s="36">
        <v>3.1133145042312757E-5</v>
      </c>
      <c r="O114" s="36">
        <v>3.4574667030566637E-5</v>
      </c>
      <c r="P114">
        <v>2.5201916828530367E-5</v>
      </c>
    </row>
    <row r="115" spans="1:16" hidden="1" x14ac:dyDescent="0.35">
      <c r="A115" s="3">
        <f xml:space="preserve"> ROW( data_scaledImpacts[[#This Row],[row_id]] ) - ROW( data_scaledImpacts[[#Headers],[row_id]] )</f>
        <v>114</v>
      </c>
      <c r="B115" s="41" t="str">
        <f xml:space="preserve"> _xlfn.TEXTJOIN( "", , data_scaledImpacts[[#This Row],[sector]:[impactType]] )</f>
        <v>ExtremeTempCCSM432090No Adaptationhot</v>
      </c>
      <c r="C115" s="33" t="s">
        <v>17</v>
      </c>
      <c r="D115" s="33" t="s">
        <v>1</v>
      </c>
      <c r="E115" s="34">
        <v>3</v>
      </c>
      <c r="F115" s="34">
        <v>2090</v>
      </c>
      <c r="G115" s="34" t="s">
        <v>776</v>
      </c>
      <c r="H115" s="35" t="s">
        <v>14</v>
      </c>
      <c r="I115" s="43" t="s">
        <v>28</v>
      </c>
      <c r="J115" s="36">
        <v>2.8943936559625752E-5</v>
      </c>
      <c r="K115" s="36">
        <v>2.9741460290456326E-5</v>
      </c>
      <c r="L115" s="37"/>
      <c r="M115" s="36"/>
      <c r="N115" s="36">
        <v>2.944158152550804E-5</v>
      </c>
      <c r="O115" s="36">
        <v>2.8339491830038675E-5</v>
      </c>
      <c r="P115">
        <v>1.12847683926092E-5</v>
      </c>
    </row>
    <row r="116" spans="1:16" hidden="1" x14ac:dyDescent="0.35">
      <c r="A116" s="3">
        <f xml:space="preserve"> ROW( data_scaledImpacts[[#This Row],[row_id]] ) - ROW( data_scaledImpacts[[#Headers],[row_id]] )</f>
        <v>115</v>
      </c>
      <c r="B116" s="41" t="str">
        <f xml:space="preserve"> _xlfn.TEXTJOIN( "", , data_scaledImpacts[[#This Row],[sector]:[impactType]] )</f>
        <v>ExtremeTempGISS-E2-R32090No Adaptationhot</v>
      </c>
      <c r="C116" s="33" t="s">
        <v>17</v>
      </c>
      <c r="D116" s="33" t="s">
        <v>2</v>
      </c>
      <c r="E116" s="34">
        <v>3</v>
      </c>
      <c r="F116" s="34">
        <v>2090</v>
      </c>
      <c r="G116" s="34" t="s">
        <v>776</v>
      </c>
      <c r="H116" s="35" t="s">
        <v>14</v>
      </c>
      <c r="I116" s="43" t="s">
        <v>29</v>
      </c>
      <c r="J116" s="36">
        <v>4.5281327622895172E-5</v>
      </c>
      <c r="K116" s="36">
        <v>3.5642773496397177E-5</v>
      </c>
      <c r="L116" s="37"/>
      <c r="M116" s="36"/>
      <c r="N116" s="36">
        <v>4.2157998536445244E-5</v>
      </c>
      <c r="O116" s="36">
        <v>3.4772287157311423E-5</v>
      </c>
      <c r="P116">
        <v>1.6005469201039373E-5</v>
      </c>
    </row>
    <row r="117" spans="1:16" hidden="1" x14ac:dyDescent="0.35">
      <c r="A117" s="3">
        <f xml:space="preserve"> ROW( data_scaledImpacts[[#This Row],[row_id]] ) - ROW( data_scaledImpacts[[#Headers],[row_id]] )</f>
        <v>116</v>
      </c>
      <c r="B117" s="41" t="str">
        <f xml:space="preserve"> _xlfn.TEXTJOIN( "", , data_scaledImpacts[[#This Row],[sector]:[impactType]] )</f>
        <v>ExtremeTempHadGEM2-ES32090No Adaptationhot</v>
      </c>
      <c r="C117" s="33" t="s">
        <v>17</v>
      </c>
      <c r="D117" s="33" t="s">
        <v>3</v>
      </c>
      <c r="E117" s="34">
        <v>3</v>
      </c>
      <c r="F117" s="34">
        <v>2090</v>
      </c>
      <c r="G117" s="34" t="s">
        <v>776</v>
      </c>
      <c r="H117" s="35" t="s">
        <v>14</v>
      </c>
      <c r="I117" s="43" t="s">
        <v>30</v>
      </c>
      <c r="J117" s="36">
        <v>3.9464127792816023E-5</v>
      </c>
      <c r="K117" s="36">
        <v>2.8887422541843491E-5</v>
      </c>
      <c r="L117" s="37"/>
      <c r="M117" s="36"/>
      <c r="N117" s="36">
        <v>4.2282591337347212E-5</v>
      </c>
      <c r="O117" s="36">
        <v>3.1188203795175668E-5</v>
      </c>
      <c r="P117">
        <v>1.053406755530213E-5</v>
      </c>
    </row>
    <row r="118" spans="1:16" hidden="1" x14ac:dyDescent="0.35">
      <c r="A118" s="3">
        <f xml:space="preserve"> ROW( data_scaledImpacts[[#This Row],[row_id]] ) - ROW( data_scaledImpacts[[#Headers],[row_id]] )</f>
        <v>117</v>
      </c>
      <c r="B118" s="41" t="str">
        <f xml:space="preserve"> _xlfn.TEXTJOIN( "", , data_scaledImpacts[[#This Row],[sector]:[impactType]] )</f>
        <v>ExtremeTempMIROC532090No Adaptationhot</v>
      </c>
      <c r="C118" s="33" t="s">
        <v>17</v>
      </c>
      <c r="D118" s="33" t="s">
        <v>4</v>
      </c>
      <c r="E118" s="34">
        <v>3</v>
      </c>
      <c r="F118" s="34">
        <v>2090</v>
      </c>
      <c r="G118" s="34" t="s">
        <v>776</v>
      </c>
      <c r="H118" s="35" t="s">
        <v>14</v>
      </c>
      <c r="I118" s="43" t="s">
        <v>31</v>
      </c>
      <c r="J118" s="36">
        <v>1.6856411212487129E-5</v>
      </c>
      <c r="K118" s="36">
        <v>1.6520609826073131E-5</v>
      </c>
      <c r="L118" s="37"/>
      <c r="M118" s="36"/>
      <c r="N118" s="36">
        <v>2.0146162864035151E-5</v>
      </c>
      <c r="O118" s="36">
        <v>2.514206036074741E-5</v>
      </c>
      <c r="P118">
        <v>6.3143305637837416E-6</v>
      </c>
    </row>
    <row r="119" spans="1:16" hidden="1" x14ac:dyDescent="0.35">
      <c r="A119" s="3">
        <f xml:space="preserve"> ROW( data_scaledImpacts[[#This Row],[row_id]] ) - ROW( data_scaledImpacts[[#Headers],[row_id]] )</f>
        <v>118</v>
      </c>
      <c r="B119" s="41" t="str">
        <f xml:space="preserve"> _xlfn.TEXTJOIN( "", , data_scaledImpacts[[#This Row],[sector]:[impactType]] )</f>
        <v>ExtremeTempGFDL-CM332090No Adaptationhot</v>
      </c>
      <c r="C119" s="33" t="s">
        <v>17</v>
      </c>
      <c r="D119" s="33" t="s">
        <v>5</v>
      </c>
      <c r="E119" s="34">
        <v>3</v>
      </c>
      <c r="F119" s="34">
        <v>2090</v>
      </c>
      <c r="G119" s="34" t="s">
        <v>776</v>
      </c>
      <c r="H119" s="35" t="s">
        <v>14</v>
      </c>
      <c r="I119" s="43" t="s">
        <v>32</v>
      </c>
      <c r="J119" s="36">
        <v>3.6160524448065839E-5</v>
      </c>
      <c r="K119" s="36">
        <v>4.8110203196123764E-5</v>
      </c>
      <c r="L119" s="37"/>
      <c r="M119" s="36"/>
      <c r="N119" s="36">
        <v>3.6318038142211422E-5</v>
      </c>
      <c r="O119" s="36">
        <v>4.4008167251278646E-5</v>
      </c>
      <c r="P119">
        <v>2.2219047578545018E-5</v>
      </c>
    </row>
    <row r="120" spans="1:16" hidden="1" x14ac:dyDescent="0.35">
      <c r="A120" s="3">
        <f xml:space="preserve"> ROW( data_scaledImpacts[[#This Row],[row_id]] ) - ROW( data_scaledImpacts[[#Headers],[row_id]] )</f>
        <v>119</v>
      </c>
      <c r="B120" s="41" t="str">
        <f xml:space="preserve"> _xlfn.TEXTJOIN( "", , data_scaledImpacts[[#This Row],[sector]:[impactType]] )</f>
        <v>ExtremeTempGCM Average32090No Adaptationhot</v>
      </c>
      <c r="C120" s="33" t="s">
        <v>17</v>
      </c>
      <c r="D120" s="33" t="s">
        <v>15</v>
      </c>
      <c r="E120" s="34">
        <v>3</v>
      </c>
      <c r="F120" s="34">
        <v>2090</v>
      </c>
      <c r="G120" s="34" t="s">
        <v>776</v>
      </c>
      <c r="H120" s="35" t="s">
        <v>14</v>
      </c>
      <c r="I120" s="43" t="s">
        <v>33</v>
      </c>
      <c r="J120" s="36">
        <v>3.1705833456082404E-5</v>
      </c>
      <c r="K120" s="36">
        <v>3.1106050878891219E-5</v>
      </c>
      <c r="L120" s="37" t="s">
        <v>26</v>
      </c>
      <c r="M120" s="36" t="s">
        <v>26</v>
      </c>
      <c r="N120" s="36">
        <v>3.3579919574643305E-5</v>
      </c>
      <c r="O120" s="36">
        <v>3.3004146237519738E-5</v>
      </c>
      <c r="P120">
        <v>1.5259933353301636E-5</v>
      </c>
    </row>
    <row r="121" spans="1:16" hidden="1" x14ac:dyDescent="0.35">
      <c r="A121" s="3">
        <f xml:space="preserve"> ROW( data_scaledImpacts[[#This Row],[row_id]] ) - ROW( data_scaledImpacts[[#Headers],[row_id]] )</f>
        <v>120</v>
      </c>
      <c r="B121" s="41" t="str">
        <f xml:space="preserve"> _xlfn.TEXTJOIN( "", , data_scaledImpacts[[#This Row],[sector]:[impactType]] )</f>
        <v>ExtremeTempCanESM242090No Adaptationhot</v>
      </c>
      <c r="C121" s="33" t="s">
        <v>17</v>
      </c>
      <c r="D121" s="33" t="s">
        <v>0</v>
      </c>
      <c r="E121" s="34">
        <v>4</v>
      </c>
      <c r="F121" s="34">
        <v>2090</v>
      </c>
      <c r="G121" s="34" t="s">
        <v>776</v>
      </c>
      <c r="H121" s="35" t="s">
        <v>14</v>
      </c>
      <c r="I121" s="43" t="s">
        <v>27</v>
      </c>
      <c r="J121" s="36">
        <v>4.0245499171878154E-5</v>
      </c>
      <c r="K121" s="36">
        <v>5.4881725562481317E-5</v>
      </c>
      <c r="L121" s="37"/>
      <c r="M121" s="36"/>
      <c r="N121" s="36">
        <v>5.4376957674198436E-5</v>
      </c>
      <c r="O121" s="36">
        <v>5.5724411149719607E-5</v>
      </c>
      <c r="P121">
        <v>3.6848013473772706E-5</v>
      </c>
    </row>
    <row r="122" spans="1:16" hidden="1" x14ac:dyDescent="0.35">
      <c r="A122" s="3">
        <f xml:space="preserve"> ROW( data_scaledImpacts[[#This Row],[row_id]] ) - ROW( data_scaledImpacts[[#Headers],[row_id]] )</f>
        <v>121</v>
      </c>
      <c r="B122" s="41" t="str">
        <f xml:space="preserve"> _xlfn.TEXTJOIN( "", , data_scaledImpacts[[#This Row],[sector]:[impactType]] )</f>
        <v>ExtremeTempCCSM442090No Adaptationhot</v>
      </c>
      <c r="C122" s="33" t="s">
        <v>17</v>
      </c>
      <c r="D122" s="33" t="s">
        <v>1</v>
      </c>
      <c r="E122" s="34">
        <v>4</v>
      </c>
      <c r="F122" s="34">
        <v>2090</v>
      </c>
      <c r="G122" s="34" t="s">
        <v>776</v>
      </c>
      <c r="H122" s="35" t="s">
        <v>14</v>
      </c>
      <c r="I122" s="43" t="s">
        <v>28</v>
      </c>
      <c r="J122" s="36">
        <v>3.7010523324016798E-5</v>
      </c>
      <c r="K122" s="36">
        <v>4.5037268074374232E-5</v>
      </c>
      <c r="L122" s="37"/>
      <c r="M122" s="36"/>
      <c r="N122" s="36">
        <v>4.4045814490975373E-5</v>
      </c>
      <c r="O122" s="36">
        <v>4.0680532700254747E-5</v>
      </c>
      <c r="P122">
        <v>1.8049406170894809E-5</v>
      </c>
    </row>
    <row r="123" spans="1:16" hidden="1" x14ac:dyDescent="0.35">
      <c r="A123" s="3">
        <f xml:space="preserve"> ROW( data_scaledImpacts[[#This Row],[row_id]] ) - ROW( data_scaledImpacts[[#Headers],[row_id]] )</f>
        <v>122</v>
      </c>
      <c r="B123" s="41" t="str">
        <f xml:space="preserve"> _xlfn.TEXTJOIN( "", , data_scaledImpacts[[#This Row],[sector]:[impactType]] )</f>
        <v>ExtremeTempGISS-E2-R42090No Adaptationhot</v>
      </c>
      <c r="C123" s="33" t="s">
        <v>17</v>
      </c>
      <c r="D123" s="33" t="s">
        <v>2</v>
      </c>
      <c r="E123" s="34">
        <v>4</v>
      </c>
      <c r="F123" s="34">
        <v>2090</v>
      </c>
      <c r="G123" s="34" t="s">
        <v>776</v>
      </c>
      <c r="H123" s="35" t="s">
        <v>14</v>
      </c>
      <c r="I123" s="43" t="s">
        <v>29</v>
      </c>
      <c r="J123" s="36"/>
      <c r="K123" s="36"/>
      <c r="L123" s="37"/>
      <c r="M123" s="36"/>
      <c r="N123" s="36"/>
      <c r="O123" s="36"/>
    </row>
    <row r="124" spans="1:16" hidden="1" x14ac:dyDescent="0.35">
      <c r="A124" s="3">
        <f xml:space="preserve"> ROW( data_scaledImpacts[[#This Row],[row_id]] ) - ROW( data_scaledImpacts[[#Headers],[row_id]] )</f>
        <v>123</v>
      </c>
      <c r="B124" s="41" t="str">
        <f xml:space="preserve"> _xlfn.TEXTJOIN( "", , data_scaledImpacts[[#This Row],[sector]:[impactType]] )</f>
        <v>ExtremeTempHadGEM2-ES42090No Adaptationhot</v>
      </c>
      <c r="C124" s="33" t="s">
        <v>17</v>
      </c>
      <c r="D124" s="33" t="s">
        <v>3</v>
      </c>
      <c r="E124" s="34">
        <v>4</v>
      </c>
      <c r="F124" s="34">
        <v>2090</v>
      </c>
      <c r="G124" s="34" t="s">
        <v>776</v>
      </c>
      <c r="H124" s="35" t="s">
        <v>14</v>
      </c>
      <c r="I124" s="43" t="s">
        <v>30</v>
      </c>
      <c r="J124" s="36">
        <v>5.1111729055070782E-5</v>
      </c>
      <c r="K124" s="36">
        <v>4.817580759166673E-5</v>
      </c>
      <c r="L124" s="37"/>
      <c r="M124" s="36"/>
      <c r="N124" s="36">
        <v>5.9502392304321455E-5</v>
      </c>
      <c r="O124" s="36">
        <v>4.7424077664900293E-5</v>
      </c>
      <c r="P124">
        <v>1.9606035162365141E-5</v>
      </c>
    </row>
    <row r="125" spans="1:16" hidden="1" x14ac:dyDescent="0.35">
      <c r="A125" s="3">
        <f xml:space="preserve"> ROW( data_scaledImpacts[[#This Row],[row_id]] ) - ROW( data_scaledImpacts[[#Headers],[row_id]] )</f>
        <v>124</v>
      </c>
      <c r="B125" s="41" t="str">
        <f xml:space="preserve"> _xlfn.TEXTJOIN( "", , data_scaledImpacts[[#This Row],[sector]:[impactType]] )</f>
        <v>ExtremeTempMIROC542090No Adaptationhot</v>
      </c>
      <c r="C125" s="33" t="s">
        <v>17</v>
      </c>
      <c r="D125" s="33" t="s">
        <v>4</v>
      </c>
      <c r="E125" s="34">
        <v>4</v>
      </c>
      <c r="F125" s="34">
        <v>2090</v>
      </c>
      <c r="G125" s="34" t="s">
        <v>776</v>
      </c>
      <c r="H125" s="35" t="s">
        <v>14</v>
      </c>
      <c r="I125" s="43" t="s">
        <v>31</v>
      </c>
      <c r="J125" s="36">
        <v>3.7062638164899999E-5</v>
      </c>
      <c r="K125" s="36">
        <v>3.6358097004125923E-5</v>
      </c>
      <c r="L125" s="37"/>
      <c r="M125" s="36"/>
      <c r="N125" s="36">
        <v>3.9123961593937321E-5</v>
      </c>
      <c r="O125" s="36">
        <v>4.8838933809936531E-5</v>
      </c>
      <c r="P125">
        <v>1.095313781981994E-5</v>
      </c>
    </row>
    <row r="126" spans="1:16" hidden="1" x14ac:dyDescent="0.35">
      <c r="A126" s="3">
        <f xml:space="preserve"> ROW( data_scaledImpacts[[#This Row],[row_id]] ) - ROW( data_scaledImpacts[[#Headers],[row_id]] )</f>
        <v>125</v>
      </c>
      <c r="B126" s="41" t="str">
        <f xml:space="preserve"> _xlfn.TEXTJOIN( "", , data_scaledImpacts[[#This Row],[sector]:[impactType]] )</f>
        <v>ExtremeTempGFDL-CM342090No Adaptationhot</v>
      </c>
      <c r="C126" s="33" t="s">
        <v>17</v>
      </c>
      <c r="D126" s="33" t="s">
        <v>5</v>
      </c>
      <c r="E126" s="34">
        <v>4</v>
      </c>
      <c r="F126" s="34">
        <v>2090</v>
      </c>
      <c r="G126" s="34" t="s">
        <v>776</v>
      </c>
      <c r="H126" s="35" t="s">
        <v>14</v>
      </c>
      <c r="I126" s="43" t="s">
        <v>32</v>
      </c>
      <c r="J126" s="36">
        <v>5.3808781115168244E-5</v>
      </c>
      <c r="K126" s="36">
        <v>7.3612672879991295E-5</v>
      </c>
      <c r="L126" s="37"/>
      <c r="M126" s="36"/>
      <c r="N126" s="36">
        <v>6.1555284268918805E-5</v>
      </c>
      <c r="O126" s="36">
        <v>6.4271580243424701E-5</v>
      </c>
      <c r="P126">
        <v>3.3311955575315958E-5</v>
      </c>
    </row>
    <row r="127" spans="1:16" hidden="1" x14ac:dyDescent="0.35">
      <c r="A127" s="3">
        <f xml:space="preserve"> ROW( data_scaledImpacts[[#This Row],[row_id]] ) - ROW( data_scaledImpacts[[#Headers],[row_id]] )</f>
        <v>126</v>
      </c>
      <c r="B127" s="41" t="str">
        <f xml:space="preserve"> _xlfn.TEXTJOIN( "", , data_scaledImpacts[[#This Row],[sector]:[impactType]] )</f>
        <v>ExtremeTempGCM Average42090No Adaptationhot</v>
      </c>
      <c r="C127" s="33" t="s">
        <v>17</v>
      </c>
      <c r="D127" s="33" t="s">
        <v>15</v>
      </c>
      <c r="E127" s="34">
        <v>4</v>
      </c>
      <c r="F127" s="34">
        <v>2090</v>
      </c>
      <c r="G127" s="34" t="s">
        <v>776</v>
      </c>
      <c r="H127" s="35" t="s">
        <v>14</v>
      </c>
      <c r="I127" s="43" t="s">
        <v>33</v>
      </c>
      <c r="J127" s="36">
        <v>4.3847834166206794E-5</v>
      </c>
      <c r="K127" s="36">
        <v>5.1613114222527902E-5</v>
      </c>
      <c r="L127" s="37" t="s">
        <v>26</v>
      </c>
      <c r="M127" s="36" t="s">
        <v>26</v>
      </c>
      <c r="N127" s="36">
        <v>5.1720882066470279E-5</v>
      </c>
      <c r="O127" s="36">
        <v>5.1387907113647179E-5</v>
      </c>
      <c r="P127">
        <v>2.3753709640433711E-5</v>
      </c>
    </row>
    <row r="128" spans="1:16" hidden="1" x14ac:dyDescent="0.35">
      <c r="A128" s="3">
        <f xml:space="preserve"> ROW( data_scaledImpacts[[#This Row],[row_id]] ) - ROW( data_scaledImpacts[[#Headers],[row_id]] )</f>
        <v>127</v>
      </c>
      <c r="B128" s="41" t="str">
        <f xml:space="preserve"> _xlfn.TEXTJOIN( "", , data_scaledImpacts[[#This Row],[sector]:[impactType]] )</f>
        <v>ExtremeTempCanESM252090No Adaptationhot</v>
      </c>
      <c r="C128" s="33" t="s">
        <v>17</v>
      </c>
      <c r="D128" s="33" t="s">
        <v>0</v>
      </c>
      <c r="E128" s="34">
        <v>5</v>
      </c>
      <c r="F128" s="34">
        <v>2090</v>
      </c>
      <c r="G128" s="34" t="s">
        <v>776</v>
      </c>
      <c r="H128" s="35" t="s">
        <v>14</v>
      </c>
      <c r="I128" s="43" t="s">
        <v>27</v>
      </c>
      <c r="J128" s="36">
        <v>6.0410760982708162E-5</v>
      </c>
      <c r="K128" s="36">
        <v>7.9318955047679736E-5</v>
      </c>
      <c r="L128" s="37"/>
      <c r="M128" s="36"/>
      <c r="N128" s="36">
        <v>8.0853281813975591E-5</v>
      </c>
      <c r="O128" s="36">
        <v>6.2702063247719206E-5</v>
      </c>
      <c r="P128">
        <v>5.4338951168645299E-5</v>
      </c>
    </row>
    <row r="129" spans="1:16" hidden="1" x14ac:dyDescent="0.35">
      <c r="A129" s="3">
        <f xml:space="preserve"> ROW( data_scaledImpacts[[#This Row],[row_id]] ) - ROW( data_scaledImpacts[[#Headers],[row_id]] )</f>
        <v>128</v>
      </c>
      <c r="B129" s="41" t="str">
        <f xml:space="preserve"> _xlfn.TEXTJOIN( "", , data_scaledImpacts[[#This Row],[sector]:[impactType]] )</f>
        <v>ExtremeTempCCSM452090No Adaptationhot</v>
      </c>
      <c r="C129" s="33" t="s">
        <v>17</v>
      </c>
      <c r="D129" s="33" t="s">
        <v>1</v>
      </c>
      <c r="E129" s="34">
        <v>5</v>
      </c>
      <c r="F129" s="34">
        <v>2090</v>
      </c>
      <c r="G129" s="34" t="s">
        <v>776</v>
      </c>
      <c r="H129" s="35" t="s">
        <v>14</v>
      </c>
      <c r="I129" s="43" t="s">
        <v>28</v>
      </c>
      <c r="J129" s="36">
        <v>4.9031895695479129E-5</v>
      </c>
      <c r="K129" s="36">
        <v>5.9209510688876382E-5</v>
      </c>
      <c r="L129" s="37"/>
      <c r="M129" s="36"/>
      <c r="N129" s="36">
        <v>6.6653609034986723E-5</v>
      </c>
      <c r="O129" s="36">
        <v>5.7113247059877033E-5</v>
      </c>
      <c r="P129">
        <v>2.3748167257208595E-5</v>
      </c>
    </row>
    <row r="130" spans="1:16" hidden="1" x14ac:dyDescent="0.35">
      <c r="A130" s="3">
        <f xml:space="preserve"> ROW( data_scaledImpacts[[#This Row],[row_id]] ) - ROW( data_scaledImpacts[[#Headers],[row_id]] )</f>
        <v>129</v>
      </c>
      <c r="B130" s="41" t="str">
        <f xml:space="preserve"> _xlfn.TEXTJOIN( "", , data_scaledImpacts[[#This Row],[sector]:[impactType]] )</f>
        <v>ExtremeTempGISS-E2-R52090No Adaptationhot</v>
      </c>
      <c r="C130" s="33" t="s">
        <v>17</v>
      </c>
      <c r="D130" s="33" t="s">
        <v>2</v>
      </c>
      <c r="E130" s="34">
        <v>5</v>
      </c>
      <c r="F130" s="34">
        <v>2090</v>
      </c>
      <c r="G130" s="34" t="s">
        <v>776</v>
      </c>
      <c r="H130" s="35" t="s">
        <v>14</v>
      </c>
      <c r="I130" s="43" t="s">
        <v>29</v>
      </c>
      <c r="J130" s="36"/>
      <c r="K130" s="36"/>
      <c r="L130" s="37"/>
      <c r="M130" s="36"/>
      <c r="N130" s="36"/>
      <c r="O130" s="36"/>
    </row>
    <row r="131" spans="1:16" hidden="1" x14ac:dyDescent="0.35">
      <c r="A131" s="3">
        <f xml:space="preserve"> ROW( data_scaledImpacts[[#This Row],[row_id]] ) - ROW( data_scaledImpacts[[#Headers],[row_id]] )</f>
        <v>130</v>
      </c>
      <c r="B131" s="41" t="str">
        <f xml:space="preserve"> _xlfn.TEXTJOIN( "", , data_scaledImpacts[[#This Row],[sector]:[impactType]] )</f>
        <v>ExtremeTempHadGEM2-ES52090No Adaptationhot</v>
      </c>
      <c r="C131" s="33" t="s">
        <v>17</v>
      </c>
      <c r="D131" s="33" t="s">
        <v>3</v>
      </c>
      <c r="E131" s="34">
        <v>5</v>
      </c>
      <c r="F131" s="34">
        <v>2090</v>
      </c>
      <c r="G131" s="34" t="s">
        <v>776</v>
      </c>
      <c r="H131" s="35" t="s">
        <v>14</v>
      </c>
      <c r="I131" s="43" t="s">
        <v>30</v>
      </c>
      <c r="J131" s="36">
        <v>7.5893674608806656E-5</v>
      </c>
      <c r="K131" s="36">
        <v>7.0371301186566716E-5</v>
      </c>
      <c r="L131" s="37"/>
      <c r="M131" s="36"/>
      <c r="N131" s="36">
        <v>7.6179089406537367E-5</v>
      </c>
      <c r="O131" s="36">
        <v>5.9947295008902405E-5</v>
      </c>
      <c r="P131">
        <v>2.6911792217640949E-5</v>
      </c>
    </row>
    <row r="132" spans="1:16" hidden="1" x14ac:dyDescent="0.35">
      <c r="A132" s="3">
        <f xml:space="preserve"> ROW( data_scaledImpacts[[#This Row],[row_id]] ) - ROW( data_scaledImpacts[[#Headers],[row_id]] )</f>
        <v>131</v>
      </c>
      <c r="B132" s="41" t="str">
        <f xml:space="preserve"> _xlfn.TEXTJOIN( "", , data_scaledImpacts[[#This Row],[sector]:[impactType]] )</f>
        <v>ExtremeTempMIROC552090No Adaptationhot</v>
      </c>
      <c r="C132" s="33" t="s">
        <v>17</v>
      </c>
      <c r="D132" s="33" t="s">
        <v>4</v>
      </c>
      <c r="E132" s="34">
        <v>5</v>
      </c>
      <c r="F132" s="34">
        <v>2090</v>
      </c>
      <c r="G132" s="34" t="s">
        <v>776</v>
      </c>
      <c r="H132" s="35" t="s">
        <v>14</v>
      </c>
      <c r="I132" s="43" t="s">
        <v>31</v>
      </c>
      <c r="J132" s="36">
        <v>5.3048856197717113E-5</v>
      </c>
      <c r="K132" s="36">
        <v>4.952999185597665E-5</v>
      </c>
      <c r="L132" s="37"/>
      <c r="M132" s="36"/>
      <c r="N132" s="36">
        <v>6.0413003238312192E-5</v>
      </c>
      <c r="O132" s="36">
        <v>7.1029951479430632E-5</v>
      </c>
      <c r="P132">
        <v>1.878727536805854E-5</v>
      </c>
    </row>
    <row r="133" spans="1:16" hidden="1" x14ac:dyDescent="0.35">
      <c r="A133" s="3">
        <f xml:space="preserve"> ROW( data_scaledImpacts[[#This Row],[row_id]] ) - ROW( data_scaledImpacts[[#Headers],[row_id]] )</f>
        <v>132</v>
      </c>
      <c r="B133" s="41" t="str">
        <f xml:space="preserve"> _xlfn.TEXTJOIN( "", , data_scaledImpacts[[#This Row],[sector]:[impactType]] )</f>
        <v>ExtremeTempGFDL-CM352090No Adaptationhot</v>
      </c>
      <c r="C133" s="33" t="s">
        <v>17</v>
      </c>
      <c r="D133" s="33" t="s">
        <v>5</v>
      </c>
      <c r="E133" s="34">
        <v>5</v>
      </c>
      <c r="F133" s="34">
        <v>2090</v>
      </c>
      <c r="G133" s="34" t="s">
        <v>776</v>
      </c>
      <c r="H133" s="35" t="s">
        <v>14</v>
      </c>
      <c r="I133" s="43" t="s">
        <v>32</v>
      </c>
      <c r="J133" s="36">
        <v>8.0979817555073972E-5</v>
      </c>
      <c r="K133" s="36">
        <v>8.990810754287915E-5</v>
      </c>
      <c r="L133" s="37"/>
      <c r="M133" s="36"/>
      <c r="N133" s="36">
        <v>7.8318257101058655E-5</v>
      </c>
      <c r="O133" s="36">
        <v>7.54808594753436E-5</v>
      </c>
      <c r="P133">
        <v>4.2191842054501447E-5</v>
      </c>
    </row>
    <row r="134" spans="1:16" hidden="1" x14ac:dyDescent="0.35">
      <c r="A134" s="3">
        <f xml:space="preserve"> ROW( data_scaledImpacts[[#This Row],[row_id]] ) - ROW( data_scaledImpacts[[#Headers],[row_id]] )</f>
        <v>133</v>
      </c>
      <c r="B134" s="41" t="str">
        <f xml:space="preserve"> _xlfn.TEXTJOIN( "", , data_scaledImpacts[[#This Row],[sector]:[impactType]] )</f>
        <v>ExtremeTempGCM Average52090No Adaptationhot</v>
      </c>
      <c r="C134" s="33" t="s">
        <v>17</v>
      </c>
      <c r="D134" s="33" t="s">
        <v>15</v>
      </c>
      <c r="E134" s="34">
        <v>5</v>
      </c>
      <c r="F134" s="34">
        <v>2090</v>
      </c>
      <c r="G134" s="34" t="s">
        <v>776</v>
      </c>
      <c r="H134" s="35" t="s">
        <v>14</v>
      </c>
      <c r="I134" s="43" t="s">
        <v>33</v>
      </c>
      <c r="J134" s="36">
        <v>6.3873001007957013E-5</v>
      </c>
      <c r="K134" s="36">
        <v>6.966757326439572E-5</v>
      </c>
      <c r="L134" s="37" t="s">
        <v>26</v>
      </c>
      <c r="M134" s="36" t="s">
        <v>26</v>
      </c>
      <c r="N134" s="36">
        <v>7.2483448118974101E-5</v>
      </c>
      <c r="O134" s="36">
        <v>6.5254683254254575E-5</v>
      </c>
      <c r="P134">
        <v>3.3195605613210964E-5</v>
      </c>
    </row>
    <row r="135" spans="1:16" hidden="1" x14ac:dyDescent="0.35">
      <c r="A135" s="3">
        <f xml:space="preserve"> ROW( data_scaledImpacts[[#This Row],[row_id]] ) - ROW( data_scaledImpacts[[#Headers],[row_id]] )</f>
        <v>134</v>
      </c>
      <c r="B135" s="41" t="str">
        <f xml:space="preserve"> _xlfn.TEXTJOIN( "", , data_scaledImpacts[[#This Row],[sector]:[impactType]] )</f>
        <v>ExtremeTempCanESM262090No Adaptationhot</v>
      </c>
      <c r="C135" s="33" t="s">
        <v>17</v>
      </c>
      <c r="D135" s="33" t="s">
        <v>0</v>
      </c>
      <c r="E135" s="34">
        <v>6</v>
      </c>
      <c r="F135" s="34">
        <v>2090</v>
      </c>
      <c r="G135" s="34" t="s">
        <v>776</v>
      </c>
      <c r="H135" s="35" t="s">
        <v>14</v>
      </c>
      <c r="I135" s="43" t="s">
        <v>27</v>
      </c>
      <c r="J135" s="36">
        <v>8.9044457738036463E-5</v>
      </c>
      <c r="K135" s="36">
        <v>1.0881508062037226E-4</v>
      </c>
      <c r="L135" s="37"/>
      <c r="M135" s="36"/>
      <c r="N135" s="36">
        <v>1.0115981604807175E-4</v>
      </c>
      <c r="O135" s="36">
        <v>7.699145761140013E-5</v>
      </c>
      <c r="P135">
        <v>6.8920373752647562E-5</v>
      </c>
    </row>
    <row r="136" spans="1:16" hidden="1" x14ac:dyDescent="0.35">
      <c r="A136" s="3">
        <f xml:space="preserve"> ROW( data_scaledImpacts[[#This Row],[row_id]] ) - ROW( data_scaledImpacts[[#Headers],[row_id]] )</f>
        <v>135</v>
      </c>
      <c r="B136" s="41" t="str">
        <f xml:space="preserve"> _xlfn.TEXTJOIN( "", , data_scaledImpacts[[#This Row],[sector]:[impactType]] )</f>
        <v>ExtremeTempCCSM462090No Adaptationhot</v>
      </c>
      <c r="C136" s="33" t="s">
        <v>17</v>
      </c>
      <c r="D136" s="33" t="s">
        <v>1</v>
      </c>
      <c r="E136" s="34">
        <v>6</v>
      </c>
      <c r="F136" s="34">
        <v>2090</v>
      </c>
      <c r="G136" s="34" t="s">
        <v>776</v>
      </c>
      <c r="H136" s="35" t="s">
        <v>14</v>
      </c>
      <c r="I136" s="43" t="s">
        <v>28</v>
      </c>
      <c r="J136" s="36"/>
      <c r="K136" s="36"/>
      <c r="L136" s="37"/>
      <c r="M136" s="36"/>
      <c r="N136" s="36"/>
      <c r="O136" s="36"/>
    </row>
    <row r="137" spans="1:16" hidden="1" x14ac:dyDescent="0.35">
      <c r="A137" s="3">
        <f xml:space="preserve"> ROW( data_scaledImpacts[[#This Row],[row_id]] ) - ROW( data_scaledImpacts[[#Headers],[row_id]] )</f>
        <v>136</v>
      </c>
      <c r="B137" s="41" t="str">
        <f xml:space="preserve"> _xlfn.TEXTJOIN( "", , data_scaledImpacts[[#This Row],[sector]:[impactType]] )</f>
        <v>ExtremeTempGISS-E2-R62090No Adaptationhot</v>
      </c>
      <c r="C137" s="33" t="s">
        <v>17</v>
      </c>
      <c r="D137" s="33" t="s">
        <v>2</v>
      </c>
      <c r="E137" s="34">
        <v>6</v>
      </c>
      <c r="F137" s="34">
        <v>2090</v>
      </c>
      <c r="G137" s="34" t="s">
        <v>776</v>
      </c>
      <c r="H137" s="35" t="s">
        <v>14</v>
      </c>
      <c r="I137" s="43" t="s">
        <v>29</v>
      </c>
      <c r="J137" s="36"/>
      <c r="K137" s="36"/>
      <c r="L137" s="37"/>
      <c r="M137" s="36"/>
      <c r="N137" s="36"/>
      <c r="O137" s="36"/>
    </row>
    <row r="138" spans="1:16" hidden="1" x14ac:dyDescent="0.35">
      <c r="A138" s="3">
        <f xml:space="preserve"> ROW( data_scaledImpacts[[#This Row],[row_id]] ) - ROW( data_scaledImpacts[[#Headers],[row_id]] )</f>
        <v>137</v>
      </c>
      <c r="B138" s="41" t="str">
        <f xml:space="preserve"> _xlfn.TEXTJOIN( "", , data_scaledImpacts[[#This Row],[sector]:[impactType]] )</f>
        <v>ExtremeTempHadGEM2-ES62090No Adaptationhot</v>
      </c>
      <c r="C138" s="33" t="s">
        <v>17</v>
      </c>
      <c r="D138" s="33" t="s">
        <v>3</v>
      </c>
      <c r="E138" s="34">
        <v>6</v>
      </c>
      <c r="F138" s="34">
        <v>2090</v>
      </c>
      <c r="G138" s="34" t="s">
        <v>776</v>
      </c>
      <c r="H138" s="35" t="s">
        <v>14</v>
      </c>
      <c r="I138" s="43" t="s">
        <v>30</v>
      </c>
      <c r="J138" s="36">
        <v>1.017575051250147E-4</v>
      </c>
      <c r="K138" s="36">
        <v>9.5245706660001579E-5</v>
      </c>
      <c r="L138" s="37"/>
      <c r="M138" s="36"/>
      <c r="N138" s="36">
        <v>9.5909542225268868E-5</v>
      </c>
      <c r="O138" s="36">
        <v>7.2603096415773026E-5</v>
      </c>
      <c r="P138">
        <v>3.8713929009939106E-5</v>
      </c>
    </row>
    <row r="139" spans="1:16" hidden="1" x14ac:dyDescent="0.35">
      <c r="A139" s="3">
        <f xml:space="preserve"> ROW( data_scaledImpacts[[#This Row],[row_id]] ) - ROW( data_scaledImpacts[[#Headers],[row_id]] )</f>
        <v>138</v>
      </c>
      <c r="B139" s="41" t="str">
        <f xml:space="preserve"> _xlfn.TEXTJOIN( "", , data_scaledImpacts[[#This Row],[sector]:[impactType]] )</f>
        <v>ExtremeTempMIROC562090No Adaptationhot</v>
      </c>
      <c r="C139" s="33" t="s">
        <v>17</v>
      </c>
      <c r="D139" s="33" t="s">
        <v>4</v>
      </c>
      <c r="E139" s="34">
        <v>6</v>
      </c>
      <c r="F139" s="34">
        <v>2090</v>
      </c>
      <c r="G139" s="34" t="s">
        <v>776</v>
      </c>
      <c r="H139" s="35" t="s">
        <v>14</v>
      </c>
      <c r="I139" s="43" t="s">
        <v>31</v>
      </c>
      <c r="J139" s="36"/>
      <c r="K139" s="36"/>
      <c r="L139" s="37"/>
      <c r="M139" s="36"/>
      <c r="N139" s="36"/>
      <c r="O139" s="36"/>
    </row>
    <row r="140" spans="1:16" hidden="1" x14ac:dyDescent="0.35">
      <c r="A140" s="3">
        <f xml:space="preserve"> ROW( data_scaledImpacts[[#This Row],[row_id]] ) - ROW( data_scaledImpacts[[#Headers],[row_id]] )</f>
        <v>139</v>
      </c>
      <c r="B140" s="41" t="str">
        <f xml:space="preserve"> _xlfn.TEXTJOIN( "", , data_scaledImpacts[[#This Row],[sector]:[impactType]] )</f>
        <v>ExtremeTempGFDL-CM362090No Adaptationhot</v>
      </c>
      <c r="C140" s="33" t="s">
        <v>17</v>
      </c>
      <c r="D140" s="33" t="s">
        <v>5</v>
      </c>
      <c r="E140" s="34">
        <v>6</v>
      </c>
      <c r="F140" s="34">
        <v>2090</v>
      </c>
      <c r="G140" s="34" t="s">
        <v>776</v>
      </c>
      <c r="H140" s="35" t="s">
        <v>14</v>
      </c>
      <c r="I140" s="43" t="s">
        <v>32</v>
      </c>
      <c r="J140" s="36">
        <v>1.0600549208485318E-4</v>
      </c>
      <c r="K140" s="36">
        <v>1.0849900623784E-4</v>
      </c>
      <c r="L140" s="37"/>
      <c r="M140" s="36"/>
      <c r="N140" s="36">
        <v>1.0027017579730206E-4</v>
      </c>
      <c r="O140" s="36">
        <v>8.343091385473019E-5</v>
      </c>
      <c r="P140">
        <v>6.1467859420836308E-5</v>
      </c>
    </row>
    <row r="141" spans="1:16" hidden="1" x14ac:dyDescent="0.35">
      <c r="A141" s="3">
        <f xml:space="preserve"> ROW( data_scaledImpacts[[#This Row],[row_id]] ) - ROW( data_scaledImpacts[[#Headers],[row_id]] )</f>
        <v>140</v>
      </c>
      <c r="B141" s="41" t="str">
        <f xml:space="preserve"> _xlfn.TEXTJOIN( "", , data_scaledImpacts[[#This Row],[sector]:[impactType]] )</f>
        <v>ExtremeTempGCM Average62090No Adaptationhot</v>
      </c>
      <c r="C141" s="33" t="s">
        <v>17</v>
      </c>
      <c r="D141" s="33" t="s">
        <v>15</v>
      </c>
      <c r="E141" s="34">
        <v>6</v>
      </c>
      <c r="F141" s="34">
        <v>2090</v>
      </c>
      <c r="G141" s="34" t="s">
        <v>776</v>
      </c>
      <c r="H141" s="35" t="s">
        <v>14</v>
      </c>
      <c r="I141" s="43" t="s">
        <v>33</v>
      </c>
      <c r="J141" s="36">
        <v>9.8935818315968116E-5</v>
      </c>
      <c r="K141" s="36">
        <v>1.041865978394046E-4</v>
      </c>
      <c r="L141" s="37" t="s">
        <v>26</v>
      </c>
      <c r="M141" s="36" t="s">
        <v>26</v>
      </c>
      <c r="N141" s="36">
        <v>9.9113178023547561E-5</v>
      </c>
      <c r="O141" s="36">
        <v>7.7675155960634453E-5</v>
      </c>
      <c r="P141">
        <v>5.6367387394474319E-5</v>
      </c>
    </row>
    <row r="142" spans="1:16" hidden="1" x14ac:dyDescent="0.35">
      <c r="A142" s="3">
        <f xml:space="preserve"> ROW( data_scaledImpacts[[#This Row],[row_id]] ) - ROW( data_scaledImpacts[[#Headers],[row_id]] )</f>
        <v>141</v>
      </c>
      <c r="B142" s="41" t="str">
        <f xml:space="preserve"> _xlfn.TEXTJOIN( "", , data_scaledImpacts[[#This Row],[sector]:[impactType]] )</f>
        <v>ExtremeTempCanESM272090No Adaptationhot</v>
      </c>
      <c r="C142" s="33" t="s">
        <v>17</v>
      </c>
      <c r="D142" s="33" t="s">
        <v>0</v>
      </c>
      <c r="E142" s="34">
        <v>7</v>
      </c>
      <c r="F142" s="34">
        <v>2090</v>
      </c>
      <c r="G142" s="34" t="s">
        <v>776</v>
      </c>
      <c r="H142" s="35" t="s">
        <v>14</v>
      </c>
      <c r="I142" s="43" t="s">
        <v>27</v>
      </c>
      <c r="J142" s="36"/>
      <c r="K142" s="36"/>
      <c r="L142" s="37"/>
      <c r="M142" s="36"/>
      <c r="N142" s="36"/>
      <c r="O142" s="36"/>
    </row>
    <row r="143" spans="1:16" hidden="1" x14ac:dyDescent="0.35">
      <c r="A143" s="3">
        <f xml:space="preserve"> ROW( data_scaledImpacts[[#This Row],[row_id]] ) - ROW( data_scaledImpacts[[#Headers],[row_id]] )</f>
        <v>142</v>
      </c>
      <c r="B143" s="41" t="str">
        <f xml:space="preserve"> _xlfn.TEXTJOIN( "", , data_scaledImpacts[[#This Row],[sector]:[impactType]] )</f>
        <v>ExtremeTempCCSM472090No Adaptationhot</v>
      </c>
      <c r="C143" s="33" t="s">
        <v>17</v>
      </c>
      <c r="D143" s="33" t="s">
        <v>1</v>
      </c>
      <c r="E143" s="34">
        <v>7</v>
      </c>
      <c r="F143" s="34">
        <v>2090</v>
      </c>
      <c r="G143" s="34" t="s">
        <v>776</v>
      </c>
      <c r="H143" s="35" t="s">
        <v>14</v>
      </c>
      <c r="I143" s="43" t="s">
        <v>28</v>
      </c>
      <c r="J143" s="36"/>
      <c r="K143" s="36"/>
      <c r="L143" s="37"/>
      <c r="M143" s="36"/>
      <c r="N143" s="36"/>
      <c r="O143" s="36"/>
    </row>
    <row r="144" spans="1:16" hidden="1" x14ac:dyDescent="0.35">
      <c r="A144" s="3">
        <f xml:space="preserve"> ROW( data_scaledImpacts[[#This Row],[row_id]] ) - ROW( data_scaledImpacts[[#Headers],[row_id]] )</f>
        <v>143</v>
      </c>
      <c r="B144" s="41" t="str">
        <f xml:space="preserve"> _xlfn.TEXTJOIN( "", , data_scaledImpacts[[#This Row],[sector]:[impactType]] )</f>
        <v>ExtremeTempGISS-E2-R72090No Adaptationhot</v>
      </c>
      <c r="C144" s="33" t="s">
        <v>17</v>
      </c>
      <c r="D144" s="33" t="s">
        <v>2</v>
      </c>
      <c r="E144" s="34">
        <v>7</v>
      </c>
      <c r="F144" s="34">
        <v>2090</v>
      </c>
      <c r="G144" s="34" t="s">
        <v>776</v>
      </c>
      <c r="H144" s="35" t="s">
        <v>14</v>
      </c>
      <c r="I144" s="43" t="s">
        <v>29</v>
      </c>
      <c r="J144" s="36"/>
      <c r="K144" s="36"/>
      <c r="L144" s="37"/>
      <c r="M144" s="36"/>
      <c r="N144" s="36"/>
      <c r="O144" s="36"/>
    </row>
    <row r="145" spans="1:16" hidden="1" x14ac:dyDescent="0.35">
      <c r="A145" s="3">
        <f xml:space="preserve"> ROW( data_scaledImpacts[[#This Row],[row_id]] ) - ROW( data_scaledImpacts[[#Headers],[row_id]] )</f>
        <v>144</v>
      </c>
      <c r="B145" s="41" t="str">
        <f xml:space="preserve"> _xlfn.TEXTJOIN( "", , data_scaledImpacts[[#This Row],[sector]:[impactType]] )</f>
        <v>ExtremeTempHadGEM2-ES72090No Adaptationhot</v>
      </c>
      <c r="C145" s="33" t="s">
        <v>17</v>
      </c>
      <c r="D145" s="33" t="s">
        <v>3</v>
      </c>
      <c r="E145" s="34">
        <v>7</v>
      </c>
      <c r="F145" s="34">
        <v>2090</v>
      </c>
      <c r="G145" s="34" t="s">
        <v>776</v>
      </c>
      <c r="H145" s="35" t="s">
        <v>14</v>
      </c>
      <c r="I145" s="43" t="s">
        <v>30</v>
      </c>
      <c r="J145" s="36"/>
      <c r="K145" s="36"/>
      <c r="L145" s="37"/>
      <c r="M145" s="36"/>
      <c r="N145" s="36"/>
      <c r="O145" s="36"/>
    </row>
    <row r="146" spans="1:16" hidden="1" x14ac:dyDescent="0.35">
      <c r="A146" s="3">
        <f xml:space="preserve"> ROW( data_scaledImpacts[[#This Row],[row_id]] ) - ROW( data_scaledImpacts[[#Headers],[row_id]] )</f>
        <v>145</v>
      </c>
      <c r="B146" s="41" t="str">
        <f xml:space="preserve"> _xlfn.TEXTJOIN( "", , data_scaledImpacts[[#This Row],[sector]:[impactType]] )</f>
        <v>ExtremeTempMIROC572090No Adaptationhot</v>
      </c>
      <c r="C146" s="33" t="s">
        <v>17</v>
      </c>
      <c r="D146" s="33" t="s">
        <v>4</v>
      </c>
      <c r="E146" s="34">
        <v>7</v>
      </c>
      <c r="F146" s="34">
        <v>2090</v>
      </c>
      <c r="G146" s="34" t="s">
        <v>776</v>
      </c>
      <c r="H146" s="35" t="s">
        <v>14</v>
      </c>
      <c r="I146" s="43" t="s">
        <v>31</v>
      </c>
      <c r="J146" s="36"/>
      <c r="K146" s="36"/>
      <c r="L146" s="37"/>
      <c r="M146" s="36"/>
      <c r="N146" s="36"/>
      <c r="O146" s="36"/>
    </row>
    <row r="147" spans="1:16" hidden="1" x14ac:dyDescent="0.35">
      <c r="A147" s="3">
        <f xml:space="preserve"> ROW( data_scaledImpacts[[#This Row],[row_id]] ) - ROW( data_scaledImpacts[[#Headers],[row_id]] )</f>
        <v>146</v>
      </c>
      <c r="B147" s="41" t="str">
        <f xml:space="preserve"> _xlfn.TEXTJOIN( "", , data_scaledImpacts[[#This Row],[sector]:[impactType]] )</f>
        <v>ExtremeTempGFDL-CM372090No Adaptationhot</v>
      </c>
      <c r="C147" s="33" t="s">
        <v>17</v>
      </c>
      <c r="D147" s="33" t="s">
        <v>5</v>
      </c>
      <c r="E147" s="34">
        <v>7</v>
      </c>
      <c r="F147" s="34">
        <v>2090</v>
      </c>
      <c r="G147" s="34" t="s">
        <v>776</v>
      </c>
      <c r="H147" s="35" t="s">
        <v>14</v>
      </c>
      <c r="I147" s="43" t="s">
        <v>32</v>
      </c>
      <c r="J147" s="36"/>
      <c r="K147" s="36"/>
      <c r="L147" s="37"/>
      <c r="M147" s="36"/>
      <c r="N147" s="36"/>
      <c r="O147" s="36"/>
    </row>
    <row r="148" spans="1:16" hidden="1" x14ac:dyDescent="0.35">
      <c r="A148" s="3">
        <f xml:space="preserve"> ROW( data_scaledImpacts[[#This Row],[row_id]] ) - ROW( data_scaledImpacts[[#Headers],[row_id]] )</f>
        <v>147</v>
      </c>
      <c r="B148" s="41" t="str">
        <f xml:space="preserve"> _xlfn.TEXTJOIN( "", , data_scaledImpacts[[#This Row],[sector]:[impactType]] )</f>
        <v>ExtremeTempGCM Average72090No Adaptationhot</v>
      </c>
      <c r="C148" s="33" t="s">
        <v>17</v>
      </c>
      <c r="D148" s="33" t="s">
        <v>15</v>
      </c>
      <c r="E148" s="34">
        <v>7</v>
      </c>
      <c r="F148" s="34">
        <v>2090</v>
      </c>
      <c r="G148" s="34" t="s">
        <v>776</v>
      </c>
      <c r="H148" s="35" t="s">
        <v>14</v>
      </c>
      <c r="I148" s="43" t="s">
        <v>33</v>
      </c>
      <c r="J148" s="36" t="s">
        <v>26</v>
      </c>
      <c r="K148" s="36" t="s">
        <v>26</v>
      </c>
      <c r="L148" s="37" t="s">
        <v>26</v>
      </c>
      <c r="M148" s="36" t="s">
        <v>26</v>
      </c>
      <c r="N148" s="36" t="s">
        <v>26</v>
      </c>
      <c r="O148" s="36" t="s">
        <v>26</v>
      </c>
      <c r="P148" t="s">
        <v>26</v>
      </c>
    </row>
    <row r="149" spans="1:16" hidden="1" x14ac:dyDescent="0.35">
      <c r="A149" s="3">
        <f xml:space="preserve"> ROW( data_scaledImpacts[[#This Row],[row_id]] ) - ROW( data_scaledImpacts[[#Headers],[row_id]] )</f>
        <v>148</v>
      </c>
      <c r="B149" s="41" t="str">
        <f xml:space="preserve"> _xlfn.TEXTJOIN( "", , data_scaledImpacts[[#This Row],[sector]:[impactType]] )</f>
        <v>ExtremeTempCanESM212090No Adaptationcold</v>
      </c>
      <c r="C149" s="33" t="s">
        <v>17</v>
      </c>
      <c r="D149" s="33" t="s">
        <v>0</v>
      </c>
      <c r="E149" s="34">
        <v>1</v>
      </c>
      <c r="F149" s="34">
        <v>2090</v>
      </c>
      <c r="G149" s="34" t="s">
        <v>776</v>
      </c>
      <c r="H149" s="35" t="s">
        <v>16</v>
      </c>
      <c r="I149" s="43" t="s">
        <v>27</v>
      </c>
      <c r="J149" s="36">
        <v>-1.6018889541684394E-7</v>
      </c>
      <c r="K149" s="36">
        <v>-6.1215167611577308E-7</v>
      </c>
      <c r="L149" s="37"/>
      <c r="M149" s="36">
        <v>-4.9392960419667255E-7</v>
      </c>
      <c r="N149" s="36">
        <v>-7.4972753939316574E-8</v>
      </c>
      <c r="O149" s="36">
        <v>-1.3194466276737731E-7</v>
      </c>
      <c r="P149">
        <v>-3.7539688784136625E-8</v>
      </c>
    </row>
    <row r="150" spans="1:16" hidden="1" x14ac:dyDescent="0.35">
      <c r="A150" s="3">
        <f xml:space="preserve"> ROW( data_scaledImpacts[[#This Row],[row_id]] ) - ROW( data_scaledImpacts[[#Headers],[row_id]] )</f>
        <v>149</v>
      </c>
      <c r="B150" s="41" t="str">
        <f xml:space="preserve"> _xlfn.TEXTJOIN( "", , data_scaledImpacts[[#This Row],[sector]:[impactType]] )</f>
        <v>ExtremeTempCCSM412090No Adaptationcold</v>
      </c>
      <c r="C150" s="33" t="s">
        <v>17</v>
      </c>
      <c r="D150" s="33" t="s">
        <v>1</v>
      </c>
      <c r="E150" s="34">
        <v>1</v>
      </c>
      <c r="F150" s="34">
        <v>2090</v>
      </c>
      <c r="G150" s="34" t="s">
        <v>776</v>
      </c>
      <c r="H150" s="35" t="s">
        <v>16</v>
      </c>
      <c r="I150" s="43" t="s">
        <v>28</v>
      </c>
      <c r="J150" s="36">
        <v>-4.4347160313850384E-7</v>
      </c>
      <c r="K150" s="36">
        <v>-2.7108081089269966E-7</v>
      </c>
      <c r="L150" s="37"/>
      <c r="M150" s="36">
        <v>2.62784954162204E-7</v>
      </c>
      <c r="N150" s="36">
        <v>-1.1757160410598229E-7</v>
      </c>
      <c r="O150" s="36">
        <v>-2.3948393586322018E-7</v>
      </c>
      <c r="P150">
        <v>-2.5745100391865088E-8</v>
      </c>
    </row>
    <row r="151" spans="1:16" hidden="1" x14ac:dyDescent="0.35">
      <c r="A151" s="3">
        <f xml:space="preserve"> ROW( data_scaledImpacts[[#This Row],[row_id]] ) - ROW( data_scaledImpacts[[#Headers],[row_id]] )</f>
        <v>150</v>
      </c>
      <c r="B151" s="41" t="str">
        <f xml:space="preserve"> _xlfn.TEXTJOIN( "", , data_scaledImpacts[[#This Row],[sector]:[impactType]] )</f>
        <v>ExtremeTempGISS-E2-R12090No Adaptationcold</v>
      </c>
      <c r="C151" s="33" t="s">
        <v>17</v>
      </c>
      <c r="D151" s="33" t="s">
        <v>2</v>
      </c>
      <c r="E151" s="34">
        <v>1</v>
      </c>
      <c r="F151" s="34">
        <v>2090</v>
      </c>
      <c r="G151" s="34" t="s">
        <v>776</v>
      </c>
      <c r="H151" s="35" t="s">
        <v>16</v>
      </c>
      <c r="I151" s="43" t="s">
        <v>29</v>
      </c>
      <c r="J151" s="36">
        <v>-8.0318577667509633E-7</v>
      </c>
      <c r="K151" s="36">
        <v>-8.6155873034416118E-7</v>
      </c>
      <c r="L151" s="37"/>
      <c r="M151" s="36">
        <v>-5.0070546674283059E-7</v>
      </c>
      <c r="N151" s="36">
        <v>-1.9793652020106464E-7</v>
      </c>
      <c r="O151" s="36">
        <v>-2.9939147096461459E-7</v>
      </c>
      <c r="P151">
        <v>-6.5775893278107838E-8</v>
      </c>
    </row>
    <row r="152" spans="1:16" hidden="1" x14ac:dyDescent="0.35">
      <c r="A152" s="3">
        <f xml:space="preserve"> ROW( data_scaledImpacts[[#This Row],[row_id]] ) - ROW( data_scaledImpacts[[#Headers],[row_id]] )</f>
        <v>151</v>
      </c>
      <c r="B152" s="41" t="str">
        <f xml:space="preserve"> _xlfn.TEXTJOIN( "", , data_scaledImpacts[[#This Row],[sector]:[impactType]] )</f>
        <v>ExtremeTempHadGEM2-ES12090No Adaptationcold</v>
      </c>
      <c r="C152" s="33" t="s">
        <v>17</v>
      </c>
      <c r="D152" s="33" t="s">
        <v>3</v>
      </c>
      <c r="E152" s="34">
        <v>1</v>
      </c>
      <c r="F152" s="34">
        <v>2090</v>
      </c>
      <c r="G152" s="34" t="s">
        <v>776</v>
      </c>
      <c r="H152" s="35" t="s">
        <v>16</v>
      </c>
      <c r="I152" s="43" t="s">
        <v>30</v>
      </c>
      <c r="J152" s="36">
        <v>-4.2260677000658211E-7</v>
      </c>
      <c r="K152" s="36">
        <v>-8.2145561015488538E-7</v>
      </c>
      <c r="L152" s="37"/>
      <c r="M152" s="36">
        <v>1.2499539807856699E-7</v>
      </c>
      <c r="N152" s="36">
        <v>-9.6746418631022584E-8</v>
      </c>
      <c r="O152" s="36">
        <v>1.1210782594341081E-7</v>
      </c>
      <c r="P152">
        <v>2.8544663782051058E-8</v>
      </c>
    </row>
    <row r="153" spans="1:16" hidden="1" x14ac:dyDescent="0.35">
      <c r="A153" s="3">
        <f xml:space="preserve"> ROW( data_scaledImpacts[[#This Row],[row_id]] ) - ROW( data_scaledImpacts[[#Headers],[row_id]] )</f>
        <v>152</v>
      </c>
      <c r="B153" s="41" t="str">
        <f xml:space="preserve"> _xlfn.TEXTJOIN( "", , data_scaledImpacts[[#This Row],[sector]:[impactType]] )</f>
        <v>ExtremeTempMIROC512090No Adaptationcold</v>
      </c>
      <c r="C153" s="33" t="s">
        <v>17</v>
      </c>
      <c r="D153" s="33" t="s">
        <v>4</v>
      </c>
      <c r="E153" s="34">
        <v>1</v>
      </c>
      <c r="F153" s="34">
        <v>2090</v>
      </c>
      <c r="G153" s="34" t="s">
        <v>776</v>
      </c>
      <c r="H153" s="35" t="s">
        <v>16</v>
      </c>
      <c r="I153" s="43" t="s">
        <v>31</v>
      </c>
      <c r="J153" s="36">
        <v>-7.9074681798000148E-8</v>
      </c>
      <c r="K153" s="36">
        <v>-3.1526762810084691E-7</v>
      </c>
      <c r="L153" s="37"/>
      <c r="M153" s="36">
        <v>5.3462740281171075E-8</v>
      </c>
      <c r="N153" s="36">
        <v>-8.647003271938261E-8</v>
      </c>
      <c r="O153" s="36">
        <v>-2.2960401478646053E-7</v>
      </c>
      <c r="P153">
        <v>-4.2491678271171693E-8</v>
      </c>
    </row>
    <row r="154" spans="1:16" hidden="1" x14ac:dyDescent="0.35">
      <c r="A154" s="3">
        <f xml:space="preserve"> ROW( data_scaledImpacts[[#This Row],[row_id]] ) - ROW( data_scaledImpacts[[#Headers],[row_id]] )</f>
        <v>153</v>
      </c>
      <c r="B154" s="41" t="str">
        <f xml:space="preserve"> _xlfn.TEXTJOIN( "", , data_scaledImpacts[[#This Row],[sector]:[impactType]] )</f>
        <v>ExtremeTempGFDL-CM312090No Adaptationcold</v>
      </c>
      <c r="C154" s="33" t="s">
        <v>17</v>
      </c>
      <c r="D154" s="33" t="s">
        <v>5</v>
      </c>
      <c r="E154" s="34">
        <v>1</v>
      </c>
      <c r="F154" s="34">
        <v>2090</v>
      </c>
      <c r="G154" s="34" t="s">
        <v>776</v>
      </c>
      <c r="H154" s="35" t="s">
        <v>16</v>
      </c>
      <c r="I154" s="43" t="s">
        <v>32</v>
      </c>
      <c r="J154" s="36">
        <v>-4.9139121819544203E-7</v>
      </c>
      <c r="K154" s="36">
        <v>-7.3367840548783071E-7</v>
      </c>
      <c r="L154" s="37"/>
      <c r="M154" s="36">
        <v>5.8722967092996815E-8</v>
      </c>
      <c r="N154" s="36">
        <v>-1.2946789644814446E-7</v>
      </c>
      <c r="O154" s="36">
        <v>-2.9371544342291523E-8</v>
      </c>
      <c r="P154">
        <v>-1.5225201973460645E-8</v>
      </c>
    </row>
    <row r="155" spans="1:16" hidden="1" x14ac:dyDescent="0.35">
      <c r="A155" s="3">
        <f xml:space="preserve"> ROW( data_scaledImpacts[[#This Row],[row_id]] ) - ROW( data_scaledImpacts[[#Headers],[row_id]] )</f>
        <v>154</v>
      </c>
      <c r="B155" s="41" t="str">
        <f xml:space="preserve"> _xlfn.TEXTJOIN( "", , data_scaledImpacts[[#This Row],[sector]:[impactType]] )</f>
        <v>ExtremeTempGCM Average12090No Adaptationcold</v>
      </c>
      <c r="C155" s="33" t="s">
        <v>17</v>
      </c>
      <c r="D155" s="33" t="s">
        <v>15</v>
      </c>
      <c r="E155" s="34">
        <v>1</v>
      </c>
      <c r="F155" s="34">
        <v>2090</v>
      </c>
      <c r="G155" s="34" t="s">
        <v>776</v>
      </c>
      <c r="H155" s="35" t="s">
        <v>16</v>
      </c>
      <c r="I155" s="43" t="s">
        <v>33</v>
      </c>
      <c r="J155" s="36">
        <v>-3.9998649087174476E-7</v>
      </c>
      <c r="K155" s="36">
        <v>-6.0253214351603277E-7</v>
      </c>
      <c r="L155" s="37" t="s">
        <v>26</v>
      </c>
      <c r="M155" s="36">
        <v>-8.2444835220760707E-8</v>
      </c>
      <c r="N155" s="36">
        <v>-1.1719420434081887E-7</v>
      </c>
      <c r="O155" s="36">
        <v>-1.3628130046342555E-7</v>
      </c>
      <c r="P155">
        <v>-2.6372149819448476E-8</v>
      </c>
    </row>
    <row r="156" spans="1:16" hidden="1" x14ac:dyDescent="0.35">
      <c r="A156" s="3">
        <f xml:space="preserve"> ROW( data_scaledImpacts[[#This Row],[row_id]] ) - ROW( data_scaledImpacts[[#Headers],[row_id]] )</f>
        <v>155</v>
      </c>
      <c r="B156" s="41" t="str">
        <f xml:space="preserve"> _xlfn.TEXTJOIN( "", , data_scaledImpacts[[#This Row],[sector]:[impactType]] )</f>
        <v>ExtremeTempCanESM222090No Adaptationcold</v>
      </c>
      <c r="C156" s="33" t="s">
        <v>17</v>
      </c>
      <c r="D156" s="33" t="s">
        <v>0</v>
      </c>
      <c r="E156" s="34">
        <v>2</v>
      </c>
      <c r="F156" s="34">
        <v>2090</v>
      </c>
      <c r="G156" s="34" t="s">
        <v>776</v>
      </c>
      <c r="H156" s="35" t="s">
        <v>16</v>
      </c>
      <c r="I156" s="43" t="s">
        <v>27</v>
      </c>
      <c r="J156" s="36">
        <v>-6.2789373840061598E-7</v>
      </c>
      <c r="K156" s="36">
        <v>-7.7465629329473806E-7</v>
      </c>
      <c r="L156" s="37"/>
      <c r="M156" s="36">
        <v>-5.717212584626189E-7</v>
      </c>
      <c r="N156" s="36">
        <v>-1.1121528656146851E-7</v>
      </c>
      <c r="O156" s="36">
        <v>-1.3838787560954175E-7</v>
      </c>
      <c r="P156">
        <v>-9.6810953845251419E-8</v>
      </c>
    </row>
    <row r="157" spans="1:16" hidden="1" x14ac:dyDescent="0.35">
      <c r="A157" s="3">
        <f xml:space="preserve"> ROW( data_scaledImpacts[[#This Row],[row_id]] ) - ROW( data_scaledImpacts[[#Headers],[row_id]] )</f>
        <v>156</v>
      </c>
      <c r="B157" s="41" t="str">
        <f xml:space="preserve"> _xlfn.TEXTJOIN( "", , data_scaledImpacts[[#This Row],[sector]:[impactType]] )</f>
        <v>ExtremeTempCCSM422090No Adaptationcold</v>
      </c>
      <c r="C157" s="33" t="s">
        <v>17</v>
      </c>
      <c r="D157" s="33" t="s">
        <v>1</v>
      </c>
      <c r="E157" s="34">
        <v>2</v>
      </c>
      <c r="F157" s="34">
        <v>2090</v>
      </c>
      <c r="G157" s="34" t="s">
        <v>776</v>
      </c>
      <c r="H157" s="35" t="s">
        <v>16</v>
      </c>
      <c r="I157" s="43" t="s">
        <v>28</v>
      </c>
      <c r="J157" s="36">
        <v>-5.1326612620991538E-7</v>
      </c>
      <c r="K157" s="36">
        <v>-8.1064455623448293E-7</v>
      </c>
      <c r="L157" s="37"/>
      <c r="M157" s="36">
        <v>-1.4081921935217034E-7</v>
      </c>
      <c r="N157" s="36">
        <v>-1.5567982427852585E-7</v>
      </c>
      <c r="O157" s="36">
        <v>-2.5099794979840694E-7</v>
      </c>
      <c r="P157">
        <v>-1.0022378012215861E-7</v>
      </c>
    </row>
    <row r="158" spans="1:16" hidden="1" x14ac:dyDescent="0.35">
      <c r="A158" s="3">
        <f xml:space="preserve"> ROW( data_scaledImpacts[[#This Row],[row_id]] ) - ROW( data_scaledImpacts[[#Headers],[row_id]] )</f>
        <v>157</v>
      </c>
      <c r="B158" s="41" t="str">
        <f xml:space="preserve"> _xlfn.TEXTJOIN( "", , data_scaledImpacts[[#This Row],[sector]:[impactType]] )</f>
        <v>ExtremeTempGISS-E2-R22090No Adaptationcold</v>
      </c>
      <c r="C158" s="33" t="s">
        <v>17</v>
      </c>
      <c r="D158" s="33" t="s">
        <v>2</v>
      </c>
      <c r="E158" s="34">
        <v>2</v>
      </c>
      <c r="F158" s="34">
        <v>2090</v>
      </c>
      <c r="G158" s="34" t="s">
        <v>776</v>
      </c>
      <c r="H158" s="35" t="s">
        <v>16</v>
      </c>
      <c r="I158" s="43" t="s">
        <v>29</v>
      </c>
      <c r="J158" s="36">
        <v>-7.9955926460623733E-7</v>
      </c>
      <c r="K158" s="36">
        <v>-9.8161699894642812E-7</v>
      </c>
      <c r="L158" s="37"/>
      <c r="M158" s="36">
        <v>5.2627550537376591E-7</v>
      </c>
      <c r="N158" s="36">
        <v>-2.193467559417911E-7</v>
      </c>
      <c r="O158" s="36">
        <v>-3.2805134410967878E-7</v>
      </c>
      <c r="P158">
        <v>-3.1711691810062894E-8</v>
      </c>
    </row>
    <row r="159" spans="1:16" hidden="1" x14ac:dyDescent="0.35">
      <c r="A159" s="3">
        <f xml:space="preserve"> ROW( data_scaledImpacts[[#This Row],[row_id]] ) - ROW( data_scaledImpacts[[#Headers],[row_id]] )</f>
        <v>158</v>
      </c>
      <c r="B159" s="41" t="str">
        <f xml:space="preserve"> _xlfn.TEXTJOIN( "", , data_scaledImpacts[[#This Row],[sector]:[impactType]] )</f>
        <v>ExtremeTempHadGEM2-ES22090No Adaptationcold</v>
      </c>
      <c r="C159" s="33" t="s">
        <v>17</v>
      </c>
      <c r="D159" s="33" t="s">
        <v>3</v>
      </c>
      <c r="E159" s="34">
        <v>2</v>
      </c>
      <c r="F159" s="34">
        <v>2090</v>
      </c>
      <c r="G159" s="34" t="s">
        <v>776</v>
      </c>
      <c r="H159" s="35" t="s">
        <v>16</v>
      </c>
      <c r="I159" s="43" t="s">
        <v>30</v>
      </c>
      <c r="J159" s="36">
        <v>-6.1253039302524538E-7</v>
      </c>
      <c r="K159" s="36">
        <v>-7.631165928836687E-7</v>
      </c>
      <c r="L159" s="37"/>
      <c r="M159" s="36">
        <v>-3.1119601254244564E-7</v>
      </c>
      <c r="N159" s="36">
        <v>-1.4595838015185889E-7</v>
      </c>
      <c r="O159" s="36">
        <v>-1.8515893399536977E-7</v>
      </c>
      <c r="P159">
        <v>-7.8744357707114399E-8</v>
      </c>
    </row>
    <row r="160" spans="1:16" hidden="1" x14ac:dyDescent="0.35">
      <c r="A160" s="3">
        <f xml:space="preserve"> ROW( data_scaledImpacts[[#This Row],[row_id]] ) - ROW( data_scaledImpacts[[#Headers],[row_id]] )</f>
        <v>159</v>
      </c>
      <c r="B160" s="41" t="str">
        <f xml:space="preserve"> _xlfn.TEXTJOIN( "", , data_scaledImpacts[[#This Row],[sector]:[impactType]] )</f>
        <v>ExtremeTempMIROC522090No Adaptationcold</v>
      </c>
      <c r="C160" s="33" t="s">
        <v>17</v>
      </c>
      <c r="D160" s="33" t="s">
        <v>4</v>
      </c>
      <c r="E160" s="34">
        <v>2</v>
      </c>
      <c r="F160" s="34">
        <v>2090</v>
      </c>
      <c r="G160" s="34" t="s">
        <v>776</v>
      </c>
      <c r="H160" s="35" t="s">
        <v>16</v>
      </c>
      <c r="I160" s="43" t="s">
        <v>31</v>
      </c>
      <c r="J160" s="36">
        <v>-4.8936544298020784E-7</v>
      </c>
      <c r="K160" s="36">
        <v>-9.4867609295780178E-7</v>
      </c>
      <c r="L160" s="37"/>
      <c r="M160" s="36">
        <v>1.0511463410086597E-7</v>
      </c>
      <c r="N160" s="36">
        <v>-1.4821031684188599E-7</v>
      </c>
      <c r="O160" s="36">
        <v>-1.4740711707768093E-7</v>
      </c>
      <c r="P160">
        <v>-6.1089194825422941E-8</v>
      </c>
    </row>
    <row r="161" spans="1:16" hidden="1" x14ac:dyDescent="0.35">
      <c r="A161" s="3">
        <f xml:space="preserve"> ROW( data_scaledImpacts[[#This Row],[row_id]] ) - ROW( data_scaledImpacts[[#Headers],[row_id]] )</f>
        <v>160</v>
      </c>
      <c r="B161" s="41" t="str">
        <f xml:space="preserve"> _xlfn.TEXTJOIN( "", , data_scaledImpacts[[#This Row],[sector]:[impactType]] )</f>
        <v>ExtremeTempGFDL-CM322090No Adaptationcold</v>
      </c>
      <c r="C161" s="33" t="s">
        <v>17</v>
      </c>
      <c r="D161" s="33" t="s">
        <v>5</v>
      </c>
      <c r="E161" s="34">
        <v>2</v>
      </c>
      <c r="F161" s="34">
        <v>2090</v>
      </c>
      <c r="G161" s="34" t="s">
        <v>776</v>
      </c>
      <c r="H161" s="35" t="s">
        <v>16</v>
      </c>
      <c r="I161" s="43" t="s">
        <v>32</v>
      </c>
      <c r="J161" s="36">
        <v>-7.4546306588616011E-7</v>
      </c>
      <c r="K161" s="36">
        <v>-8.5255159555387808E-7</v>
      </c>
      <c r="L161" s="37"/>
      <c r="M161" s="36">
        <v>6.7754891561273149E-8</v>
      </c>
      <c r="N161" s="36">
        <v>-1.7078483081994324E-7</v>
      </c>
      <c r="O161" s="36">
        <v>-2.8147794849033305E-7</v>
      </c>
      <c r="P161">
        <v>-3.860700571294668E-8</v>
      </c>
    </row>
    <row r="162" spans="1:16" hidden="1" x14ac:dyDescent="0.35">
      <c r="A162" s="3">
        <f xml:space="preserve"> ROW( data_scaledImpacts[[#This Row],[row_id]] ) - ROW( data_scaledImpacts[[#Headers],[row_id]] )</f>
        <v>161</v>
      </c>
      <c r="B162" s="41" t="str">
        <f xml:space="preserve"> _xlfn.TEXTJOIN( "", , data_scaledImpacts[[#This Row],[sector]:[impactType]] )</f>
        <v>ExtremeTempGCM Average22090No Adaptationcold</v>
      </c>
      <c r="C162" s="33" t="s">
        <v>17</v>
      </c>
      <c r="D162" s="33" t="s">
        <v>15</v>
      </c>
      <c r="E162" s="34">
        <v>2</v>
      </c>
      <c r="F162" s="34">
        <v>2090</v>
      </c>
      <c r="G162" s="34" t="s">
        <v>776</v>
      </c>
      <c r="H162" s="35" t="s">
        <v>16</v>
      </c>
      <c r="I162" s="43" t="s">
        <v>33</v>
      </c>
      <c r="J162" s="36">
        <v>-6.3134633851806362E-7</v>
      </c>
      <c r="K162" s="36">
        <v>-8.5521035497849961E-7</v>
      </c>
      <c r="L162" s="37" t="s">
        <v>26</v>
      </c>
      <c r="M162" s="36">
        <v>-5.4098576553554987E-8</v>
      </c>
      <c r="N162" s="36">
        <v>-1.5853256576591228E-7</v>
      </c>
      <c r="O162" s="36">
        <v>-2.2191352818016853E-7</v>
      </c>
      <c r="P162">
        <v>-6.7864497337159487E-8</v>
      </c>
    </row>
    <row r="163" spans="1:16" hidden="1" x14ac:dyDescent="0.35">
      <c r="A163" s="3">
        <f xml:space="preserve"> ROW( data_scaledImpacts[[#This Row],[row_id]] ) - ROW( data_scaledImpacts[[#Headers],[row_id]] )</f>
        <v>162</v>
      </c>
      <c r="B163" s="41" t="str">
        <f xml:space="preserve"> _xlfn.TEXTJOIN( "", , data_scaledImpacts[[#This Row],[sector]:[impactType]] )</f>
        <v>ExtremeTempCanESM232090No Adaptationcold</v>
      </c>
      <c r="C163" s="33" t="s">
        <v>17</v>
      </c>
      <c r="D163" s="33" t="s">
        <v>0</v>
      </c>
      <c r="E163" s="34">
        <v>3</v>
      </c>
      <c r="F163" s="34">
        <v>2090</v>
      </c>
      <c r="G163" s="34" t="s">
        <v>776</v>
      </c>
      <c r="H163" s="35" t="s">
        <v>16</v>
      </c>
      <c r="I163" s="43" t="s">
        <v>27</v>
      </c>
      <c r="J163" s="36">
        <v>-7.9990620528258842E-7</v>
      </c>
      <c r="K163" s="36">
        <v>-8.6304182545774818E-7</v>
      </c>
      <c r="L163" s="37"/>
      <c r="M163" s="36">
        <v>-7.8658351054335133E-7</v>
      </c>
      <c r="N163" s="36">
        <v>-1.9960379251432262E-7</v>
      </c>
      <c r="O163" s="36">
        <v>-3.1333035893140134E-7</v>
      </c>
      <c r="P163">
        <v>-1.0552219200242724E-7</v>
      </c>
    </row>
    <row r="164" spans="1:16" hidden="1" x14ac:dyDescent="0.35">
      <c r="A164" s="3">
        <f xml:space="preserve"> ROW( data_scaledImpacts[[#This Row],[row_id]] ) - ROW( data_scaledImpacts[[#Headers],[row_id]] )</f>
        <v>163</v>
      </c>
      <c r="B164" s="41" t="str">
        <f xml:space="preserve"> _xlfn.TEXTJOIN( "", , data_scaledImpacts[[#This Row],[sector]:[impactType]] )</f>
        <v>ExtremeTempCCSM432090No Adaptationcold</v>
      </c>
      <c r="C164" s="33" t="s">
        <v>17</v>
      </c>
      <c r="D164" s="33" t="s">
        <v>1</v>
      </c>
      <c r="E164" s="34">
        <v>3</v>
      </c>
      <c r="F164" s="34">
        <v>2090</v>
      </c>
      <c r="G164" s="34" t="s">
        <v>776</v>
      </c>
      <c r="H164" s="35" t="s">
        <v>16</v>
      </c>
      <c r="I164" s="43" t="s">
        <v>28</v>
      </c>
      <c r="J164" s="36">
        <v>-7.6438576510588449E-7</v>
      </c>
      <c r="K164" s="36">
        <v>-8.7527967741258645E-7</v>
      </c>
      <c r="L164" s="37"/>
      <c r="M164" s="36">
        <v>-5.2533930635432663E-7</v>
      </c>
      <c r="N164" s="36">
        <v>-1.7881725419551612E-7</v>
      </c>
      <c r="O164" s="36">
        <v>-2.8662145188784144E-7</v>
      </c>
      <c r="P164">
        <v>-1.1050976320780751E-7</v>
      </c>
    </row>
    <row r="165" spans="1:16" hidden="1" x14ac:dyDescent="0.35">
      <c r="A165" s="3">
        <f xml:space="preserve"> ROW( data_scaledImpacts[[#This Row],[row_id]] ) - ROW( data_scaledImpacts[[#Headers],[row_id]] )</f>
        <v>164</v>
      </c>
      <c r="B165" s="41" t="str">
        <f xml:space="preserve"> _xlfn.TEXTJOIN( "", , data_scaledImpacts[[#This Row],[sector]:[impactType]] )</f>
        <v>ExtremeTempGISS-E2-R32090No Adaptationcold</v>
      </c>
      <c r="C165" s="33" t="s">
        <v>17</v>
      </c>
      <c r="D165" s="33" t="s">
        <v>2</v>
      </c>
      <c r="E165" s="34">
        <v>3</v>
      </c>
      <c r="F165" s="34">
        <v>2090</v>
      </c>
      <c r="G165" s="34" t="s">
        <v>776</v>
      </c>
      <c r="H165" s="35" t="s">
        <v>16</v>
      </c>
      <c r="I165" s="43" t="s">
        <v>29</v>
      </c>
      <c r="J165" s="36">
        <v>-7.752157482200769E-7</v>
      </c>
      <c r="K165" s="36">
        <v>-1.0257728613298314E-6</v>
      </c>
      <c r="L165" s="37"/>
      <c r="M165" s="36">
        <v>-3.3944221431729792E-7</v>
      </c>
      <c r="N165" s="36">
        <v>-2.0524276172333894E-7</v>
      </c>
      <c r="O165" s="36">
        <v>-2.4466526347115334E-7</v>
      </c>
      <c r="P165">
        <v>-9.3188751509373505E-8</v>
      </c>
    </row>
    <row r="166" spans="1:16" hidden="1" x14ac:dyDescent="0.35">
      <c r="A166" s="3">
        <f xml:space="preserve"> ROW( data_scaledImpacts[[#This Row],[row_id]] ) - ROW( data_scaledImpacts[[#Headers],[row_id]] )</f>
        <v>165</v>
      </c>
      <c r="B166" s="41" t="str">
        <f xml:space="preserve"> _xlfn.TEXTJOIN( "", , data_scaledImpacts[[#This Row],[sector]:[impactType]] )</f>
        <v>ExtremeTempHadGEM2-ES32090No Adaptationcold</v>
      </c>
      <c r="C166" s="33" t="s">
        <v>17</v>
      </c>
      <c r="D166" s="33" t="s">
        <v>3</v>
      </c>
      <c r="E166" s="34">
        <v>3</v>
      </c>
      <c r="F166" s="34">
        <v>2090</v>
      </c>
      <c r="G166" s="34" t="s">
        <v>776</v>
      </c>
      <c r="H166" s="35" t="s">
        <v>16</v>
      </c>
      <c r="I166" s="43" t="s">
        <v>30</v>
      </c>
      <c r="J166" s="36">
        <v>-7.5117209386087134E-7</v>
      </c>
      <c r="K166" s="36">
        <v>-9.3596277307129262E-7</v>
      </c>
      <c r="L166" s="37"/>
      <c r="M166" s="36">
        <v>-2.020432306167389E-7</v>
      </c>
      <c r="N166" s="36">
        <v>-2.1072123559238639E-7</v>
      </c>
      <c r="O166" s="36">
        <v>-2.9698691097274558E-7</v>
      </c>
      <c r="P166">
        <v>-3.7952067762216646E-8</v>
      </c>
    </row>
    <row r="167" spans="1:16" hidden="1" x14ac:dyDescent="0.35">
      <c r="A167" s="3">
        <f xml:space="preserve"> ROW( data_scaledImpacts[[#This Row],[row_id]] ) - ROW( data_scaledImpacts[[#Headers],[row_id]] )</f>
        <v>166</v>
      </c>
      <c r="B167" s="41" t="str">
        <f xml:space="preserve"> _xlfn.TEXTJOIN( "", , data_scaledImpacts[[#This Row],[sector]:[impactType]] )</f>
        <v>ExtremeTempMIROC532090No Adaptationcold</v>
      </c>
      <c r="C167" s="33" t="s">
        <v>17</v>
      </c>
      <c r="D167" s="33" t="s">
        <v>4</v>
      </c>
      <c r="E167" s="34">
        <v>3</v>
      </c>
      <c r="F167" s="34">
        <v>2090</v>
      </c>
      <c r="G167" s="34" t="s">
        <v>776</v>
      </c>
      <c r="H167" s="35" t="s">
        <v>16</v>
      </c>
      <c r="I167" s="43" t="s">
        <v>31</v>
      </c>
      <c r="J167" s="36">
        <v>-6.9672867328429356E-7</v>
      </c>
      <c r="K167" s="36">
        <v>-9.8293163553851203E-7</v>
      </c>
      <c r="L167" s="37"/>
      <c r="M167" s="36">
        <v>-2.7910621171425538E-7</v>
      </c>
      <c r="N167" s="36">
        <v>-2.0908931557599633E-7</v>
      </c>
      <c r="O167" s="36">
        <v>-2.5059086408015111E-7</v>
      </c>
      <c r="P167">
        <v>-9.8735353551352711E-8</v>
      </c>
    </row>
    <row r="168" spans="1:16" hidden="1" x14ac:dyDescent="0.35">
      <c r="A168" s="3">
        <f xml:space="preserve"> ROW( data_scaledImpacts[[#This Row],[row_id]] ) - ROW( data_scaledImpacts[[#Headers],[row_id]] )</f>
        <v>167</v>
      </c>
      <c r="B168" s="41" t="str">
        <f xml:space="preserve"> _xlfn.TEXTJOIN( "", , data_scaledImpacts[[#This Row],[sector]:[impactType]] )</f>
        <v>ExtremeTempGFDL-CM332090No Adaptationcold</v>
      </c>
      <c r="C168" s="33" t="s">
        <v>17</v>
      </c>
      <c r="D168" s="33" t="s">
        <v>5</v>
      </c>
      <c r="E168" s="34">
        <v>3</v>
      </c>
      <c r="F168" s="34">
        <v>2090</v>
      </c>
      <c r="G168" s="34" t="s">
        <v>776</v>
      </c>
      <c r="H168" s="35" t="s">
        <v>16</v>
      </c>
      <c r="I168" s="43" t="s">
        <v>32</v>
      </c>
      <c r="J168" s="36">
        <v>-5.9549578428878954E-7</v>
      </c>
      <c r="K168" s="36">
        <v>-8.6758407593109155E-7</v>
      </c>
      <c r="L168" s="37"/>
      <c r="M168" s="36">
        <v>-4.2247466559591063E-7</v>
      </c>
      <c r="N168" s="36">
        <v>-1.6220667414832968E-7</v>
      </c>
      <c r="O168" s="36">
        <v>-1.3721900671952752E-7</v>
      </c>
      <c r="P168">
        <v>-9.7326356834147407E-8</v>
      </c>
    </row>
    <row r="169" spans="1:16" hidden="1" x14ac:dyDescent="0.35">
      <c r="A169" s="3">
        <f xml:space="preserve"> ROW( data_scaledImpacts[[#This Row],[row_id]] ) - ROW( data_scaledImpacts[[#Headers],[row_id]] )</f>
        <v>168</v>
      </c>
      <c r="B169" s="41" t="str">
        <f xml:space="preserve"> _xlfn.TEXTJOIN( "", , data_scaledImpacts[[#This Row],[sector]:[impactType]] )</f>
        <v>ExtremeTempGCM Average32090No Adaptationcold</v>
      </c>
      <c r="C169" s="33" t="s">
        <v>17</v>
      </c>
      <c r="D169" s="33" t="s">
        <v>15</v>
      </c>
      <c r="E169" s="34">
        <v>3</v>
      </c>
      <c r="F169" s="34">
        <v>2090</v>
      </c>
      <c r="G169" s="34" t="s">
        <v>776</v>
      </c>
      <c r="H169" s="35" t="s">
        <v>16</v>
      </c>
      <c r="I169" s="43" t="s">
        <v>33</v>
      </c>
      <c r="J169" s="36">
        <v>-7.3048404500708392E-7</v>
      </c>
      <c r="K169" s="36">
        <v>-9.2509547479017696E-7</v>
      </c>
      <c r="L169" s="37" t="s">
        <v>26</v>
      </c>
      <c r="M169" s="36">
        <v>-4.2583152319031344E-7</v>
      </c>
      <c r="N169" s="36">
        <v>-1.9428017229164835E-7</v>
      </c>
      <c r="O169" s="36">
        <v>-2.5490230934380331E-7</v>
      </c>
      <c r="P169">
        <v>-9.0539080811220831E-8</v>
      </c>
    </row>
    <row r="170" spans="1:16" hidden="1" x14ac:dyDescent="0.35">
      <c r="A170" s="3">
        <f xml:space="preserve"> ROW( data_scaledImpacts[[#This Row],[row_id]] ) - ROW( data_scaledImpacts[[#Headers],[row_id]] )</f>
        <v>169</v>
      </c>
      <c r="B170" s="41" t="str">
        <f xml:space="preserve"> _xlfn.TEXTJOIN( "", , data_scaledImpacts[[#This Row],[sector]:[impactType]] )</f>
        <v>ExtremeTempCanESM242090No Adaptationcold</v>
      </c>
      <c r="C170" s="33" t="s">
        <v>17</v>
      </c>
      <c r="D170" s="33" t="s">
        <v>0</v>
      </c>
      <c r="E170" s="34">
        <v>4</v>
      </c>
      <c r="F170" s="34">
        <v>2090</v>
      </c>
      <c r="G170" s="34" t="s">
        <v>776</v>
      </c>
      <c r="H170" s="35" t="s">
        <v>16</v>
      </c>
      <c r="I170" s="43" t="s">
        <v>27</v>
      </c>
      <c r="J170" s="36">
        <v>-6.147188172419595E-7</v>
      </c>
      <c r="K170" s="36">
        <v>-8.1878876473040022E-7</v>
      </c>
      <c r="L170" s="37"/>
      <c r="M170" s="36">
        <v>-7.4634007900883177E-7</v>
      </c>
      <c r="N170" s="36">
        <v>-1.6348213000270527E-7</v>
      </c>
      <c r="O170" s="36">
        <v>-2.7225516416306598E-7</v>
      </c>
      <c r="P170">
        <v>-1.2504276175166344E-7</v>
      </c>
    </row>
    <row r="171" spans="1:16" hidden="1" x14ac:dyDescent="0.35">
      <c r="A171" s="3">
        <f xml:space="preserve"> ROW( data_scaledImpacts[[#This Row],[row_id]] ) - ROW( data_scaledImpacts[[#Headers],[row_id]] )</f>
        <v>170</v>
      </c>
      <c r="B171" s="41" t="str">
        <f xml:space="preserve"> _xlfn.TEXTJOIN( "", , data_scaledImpacts[[#This Row],[sector]:[impactType]] )</f>
        <v>ExtremeTempCCSM442090No Adaptationcold</v>
      </c>
      <c r="C171" s="33" t="s">
        <v>17</v>
      </c>
      <c r="D171" s="33" t="s">
        <v>1</v>
      </c>
      <c r="E171" s="34">
        <v>4</v>
      </c>
      <c r="F171" s="34">
        <v>2090</v>
      </c>
      <c r="G171" s="34" t="s">
        <v>776</v>
      </c>
      <c r="H171" s="35" t="s">
        <v>16</v>
      </c>
      <c r="I171" s="43" t="s">
        <v>28</v>
      </c>
      <c r="J171" s="36">
        <v>-9.3115287245961523E-7</v>
      </c>
      <c r="K171" s="36">
        <v>-1.0352093701287077E-6</v>
      </c>
      <c r="L171" s="37"/>
      <c r="M171" s="36">
        <v>-6.694655781031491E-7</v>
      </c>
      <c r="N171" s="36">
        <v>-2.3919709752858321E-7</v>
      </c>
      <c r="O171" s="36">
        <v>-3.8659234755457509E-7</v>
      </c>
      <c r="P171">
        <v>-1.3820035820044623E-7</v>
      </c>
    </row>
    <row r="172" spans="1:16" hidden="1" x14ac:dyDescent="0.35">
      <c r="A172" s="3">
        <f xml:space="preserve"> ROW( data_scaledImpacts[[#This Row],[row_id]] ) - ROW( data_scaledImpacts[[#Headers],[row_id]] )</f>
        <v>171</v>
      </c>
      <c r="B172" s="41" t="str">
        <f xml:space="preserve"> _xlfn.TEXTJOIN( "", , data_scaledImpacts[[#This Row],[sector]:[impactType]] )</f>
        <v>ExtremeTempGISS-E2-R42090No Adaptationcold</v>
      </c>
      <c r="C172" s="33" t="s">
        <v>17</v>
      </c>
      <c r="D172" s="33" t="s">
        <v>2</v>
      </c>
      <c r="E172" s="34">
        <v>4</v>
      </c>
      <c r="F172" s="34">
        <v>2090</v>
      </c>
      <c r="G172" s="34" t="s">
        <v>776</v>
      </c>
      <c r="H172" s="35" t="s">
        <v>16</v>
      </c>
      <c r="I172" s="43" t="s">
        <v>29</v>
      </c>
      <c r="J172" s="36"/>
      <c r="K172" s="36"/>
      <c r="L172" s="37"/>
      <c r="M172" s="36"/>
      <c r="N172" s="36"/>
      <c r="O172" s="36"/>
    </row>
    <row r="173" spans="1:16" hidden="1" x14ac:dyDescent="0.35">
      <c r="A173" s="3">
        <f xml:space="preserve"> ROW( data_scaledImpacts[[#This Row],[row_id]] ) - ROW( data_scaledImpacts[[#Headers],[row_id]] )</f>
        <v>172</v>
      </c>
      <c r="B173" s="41" t="str">
        <f xml:space="preserve"> _xlfn.TEXTJOIN( "", , data_scaledImpacts[[#This Row],[sector]:[impactType]] )</f>
        <v>ExtremeTempHadGEM2-ES42090No Adaptationcold</v>
      </c>
      <c r="C173" s="33" t="s">
        <v>17</v>
      </c>
      <c r="D173" s="33" t="s">
        <v>3</v>
      </c>
      <c r="E173" s="34">
        <v>4</v>
      </c>
      <c r="F173" s="34">
        <v>2090</v>
      </c>
      <c r="G173" s="34" t="s">
        <v>776</v>
      </c>
      <c r="H173" s="35" t="s">
        <v>16</v>
      </c>
      <c r="I173" s="43" t="s">
        <v>30</v>
      </c>
      <c r="J173" s="36">
        <v>-8.1766130318070722E-7</v>
      </c>
      <c r="K173" s="36">
        <v>-9.3729336633482194E-7</v>
      </c>
      <c r="L173" s="37"/>
      <c r="M173" s="36">
        <v>-6.8086432548874573E-7</v>
      </c>
      <c r="N173" s="36">
        <v>-2.0497178567103375E-7</v>
      </c>
      <c r="O173" s="36">
        <v>-2.8244327452121939E-7</v>
      </c>
      <c r="P173">
        <v>-1.1310730318421415E-7</v>
      </c>
    </row>
    <row r="174" spans="1:16" hidden="1" x14ac:dyDescent="0.35">
      <c r="A174" s="3">
        <f xml:space="preserve"> ROW( data_scaledImpacts[[#This Row],[row_id]] ) - ROW( data_scaledImpacts[[#Headers],[row_id]] )</f>
        <v>173</v>
      </c>
      <c r="B174" s="41" t="str">
        <f xml:space="preserve"> _xlfn.TEXTJOIN( "", , data_scaledImpacts[[#This Row],[sector]:[impactType]] )</f>
        <v>ExtremeTempMIROC542090No Adaptationcold</v>
      </c>
      <c r="C174" s="33" t="s">
        <v>17</v>
      </c>
      <c r="D174" s="33" t="s">
        <v>4</v>
      </c>
      <c r="E174" s="34">
        <v>4</v>
      </c>
      <c r="F174" s="34">
        <v>2090</v>
      </c>
      <c r="G174" s="34" t="s">
        <v>776</v>
      </c>
      <c r="H174" s="35" t="s">
        <v>16</v>
      </c>
      <c r="I174" s="43" t="s">
        <v>31</v>
      </c>
      <c r="J174" s="36">
        <v>-8.6006380337580588E-7</v>
      </c>
      <c r="K174" s="36">
        <v>-1.0526819079231365E-6</v>
      </c>
      <c r="L174" s="37"/>
      <c r="M174" s="36">
        <v>-5.4621883998875437E-7</v>
      </c>
      <c r="N174" s="36">
        <v>-2.3075464710368416E-7</v>
      </c>
      <c r="O174" s="36">
        <v>-3.1662754264967059E-7</v>
      </c>
      <c r="P174">
        <v>-1.2673830746922781E-7</v>
      </c>
    </row>
    <row r="175" spans="1:16" hidden="1" x14ac:dyDescent="0.35">
      <c r="A175" s="3">
        <f xml:space="preserve"> ROW( data_scaledImpacts[[#This Row],[row_id]] ) - ROW( data_scaledImpacts[[#Headers],[row_id]] )</f>
        <v>174</v>
      </c>
      <c r="B175" s="41" t="str">
        <f xml:space="preserve"> _xlfn.TEXTJOIN( "", , data_scaledImpacts[[#This Row],[sector]:[impactType]] )</f>
        <v>ExtremeTempGFDL-CM342090No Adaptationcold</v>
      </c>
      <c r="C175" s="33" t="s">
        <v>17</v>
      </c>
      <c r="D175" s="33" t="s">
        <v>5</v>
      </c>
      <c r="E175" s="34">
        <v>4</v>
      </c>
      <c r="F175" s="34">
        <v>2090</v>
      </c>
      <c r="G175" s="34" t="s">
        <v>776</v>
      </c>
      <c r="H175" s="35" t="s">
        <v>16</v>
      </c>
      <c r="I175" s="43" t="s">
        <v>32</v>
      </c>
      <c r="J175" s="36">
        <v>-8.0388933384605293E-7</v>
      </c>
      <c r="K175" s="36">
        <v>-1.0402223101384084E-6</v>
      </c>
      <c r="L175" s="37"/>
      <c r="M175" s="36">
        <v>-5.3403313003725293E-7</v>
      </c>
      <c r="N175" s="36">
        <v>-2.112691048388623E-7</v>
      </c>
      <c r="O175" s="36">
        <v>-2.235010654507114E-7</v>
      </c>
      <c r="P175">
        <v>-1.1747061689212528E-7</v>
      </c>
    </row>
    <row r="176" spans="1:16" hidden="1" x14ac:dyDescent="0.35">
      <c r="A176" s="3">
        <f xml:space="preserve"> ROW( data_scaledImpacts[[#This Row],[row_id]] ) - ROW( data_scaledImpacts[[#Headers],[row_id]] )</f>
        <v>175</v>
      </c>
      <c r="B176" s="41" t="str">
        <f xml:space="preserve"> _xlfn.TEXTJOIN( "", , data_scaledImpacts[[#This Row],[sector]:[impactType]] )</f>
        <v>ExtremeTempGCM Average42090No Adaptationcold</v>
      </c>
      <c r="C176" s="33" t="s">
        <v>17</v>
      </c>
      <c r="D176" s="33" t="s">
        <v>15</v>
      </c>
      <c r="E176" s="34">
        <v>4</v>
      </c>
      <c r="F176" s="34">
        <v>2090</v>
      </c>
      <c r="G176" s="34" t="s">
        <v>776</v>
      </c>
      <c r="H176" s="35" t="s">
        <v>16</v>
      </c>
      <c r="I176" s="43" t="s">
        <v>33</v>
      </c>
      <c r="J176" s="36">
        <v>-8.0549722602082807E-7</v>
      </c>
      <c r="K176" s="36">
        <v>-9.7683914385109481E-7</v>
      </c>
      <c r="L176" s="37" t="s">
        <v>26</v>
      </c>
      <c r="M176" s="36">
        <v>-6.3538439052534678E-7</v>
      </c>
      <c r="N176" s="36">
        <v>-2.0993495302897371E-7</v>
      </c>
      <c r="O176" s="36">
        <v>-2.9628387886784845E-7</v>
      </c>
      <c r="P176">
        <v>-1.2411186949953537E-7</v>
      </c>
    </row>
    <row r="177" spans="1:16" hidden="1" x14ac:dyDescent="0.35">
      <c r="A177" s="3">
        <f xml:space="preserve"> ROW( data_scaledImpacts[[#This Row],[row_id]] ) - ROW( data_scaledImpacts[[#Headers],[row_id]] )</f>
        <v>176</v>
      </c>
      <c r="B177" s="41" t="str">
        <f xml:space="preserve"> _xlfn.TEXTJOIN( "", , data_scaledImpacts[[#This Row],[sector]:[impactType]] )</f>
        <v>ExtremeTempCanESM252090No Adaptationcold</v>
      </c>
      <c r="C177" s="33" t="s">
        <v>17</v>
      </c>
      <c r="D177" s="33" t="s">
        <v>0</v>
      </c>
      <c r="E177" s="34">
        <v>5</v>
      </c>
      <c r="F177" s="34">
        <v>2090</v>
      </c>
      <c r="G177" s="34" t="s">
        <v>776</v>
      </c>
      <c r="H177" s="35" t="s">
        <v>16</v>
      </c>
      <c r="I177" s="43" t="s">
        <v>27</v>
      </c>
      <c r="J177" s="36">
        <v>-9.5002447354092472E-7</v>
      </c>
      <c r="K177" s="36">
        <v>-1.0460389329222281E-6</v>
      </c>
      <c r="L177" s="37"/>
      <c r="M177" s="36">
        <v>-8.610523289333983E-7</v>
      </c>
      <c r="N177" s="36">
        <v>-2.4803339364258683E-7</v>
      </c>
      <c r="O177" s="36">
        <v>-3.9386416578033818E-7</v>
      </c>
      <c r="P177">
        <v>-1.4011737119386351E-7</v>
      </c>
    </row>
    <row r="178" spans="1:16" hidden="1" x14ac:dyDescent="0.35">
      <c r="A178" s="3">
        <f xml:space="preserve"> ROW( data_scaledImpacts[[#This Row],[row_id]] ) - ROW( data_scaledImpacts[[#Headers],[row_id]] )</f>
        <v>177</v>
      </c>
      <c r="B178" s="41" t="str">
        <f xml:space="preserve"> _xlfn.TEXTJOIN( "", , data_scaledImpacts[[#This Row],[sector]:[impactType]] )</f>
        <v>ExtremeTempCCSM452090No Adaptationcold</v>
      </c>
      <c r="C178" s="33" t="s">
        <v>17</v>
      </c>
      <c r="D178" s="33" t="s">
        <v>1</v>
      </c>
      <c r="E178" s="34">
        <v>5</v>
      </c>
      <c r="F178" s="34">
        <v>2090</v>
      </c>
      <c r="G178" s="34" t="s">
        <v>776</v>
      </c>
      <c r="H178" s="35" t="s">
        <v>16</v>
      </c>
      <c r="I178" s="43" t="s">
        <v>28</v>
      </c>
      <c r="J178" s="36">
        <v>-9.366347940317602E-7</v>
      </c>
      <c r="K178" s="36">
        <v>-1.0481543860906383E-6</v>
      </c>
      <c r="L178" s="37"/>
      <c r="M178" s="36">
        <v>-7.4935395879811736E-7</v>
      </c>
      <c r="N178" s="36">
        <v>-2.254152063895303E-7</v>
      </c>
      <c r="O178" s="36">
        <v>-3.4847995309073888E-7</v>
      </c>
      <c r="P178">
        <v>-1.0962574769205132E-7</v>
      </c>
    </row>
    <row r="179" spans="1:16" hidden="1" x14ac:dyDescent="0.35">
      <c r="A179" s="3">
        <f xml:space="preserve"> ROW( data_scaledImpacts[[#This Row],[row_id]] ) - ROW( data_scaledImpacts[[#Headers],[row_id]] )</f>
        <v>178</v>
      </c>
      <c r="B179" s="41" t="str">
        <f xml:space="preserve"> _xlfn.TEXTJOIN( "", , data_scaledImpacts[[#This Row],[sector]:[impactType]] )</f>
        <v>ExtremeTempGISS-E2-R52090No Adaptationcold</v>
      </c>
      <c r="C179" s="33" t="s">
        <v>17</v>
      </c>
      <c r="D179" s="33" t="s">
        <v>2</v>
      </c>
      <c r="E179" s="34">
        <v>5</v>
      </c>
      <c r="F179" s="34">
        <v>2090</v>
      </c>
      <c r="G179" s="34" t="s">
        <v>776</v>
      </c>
      <c r="H179" s="35" t="s">
        <v>16</v>
      </c>
      <c r="I179" s="43" t="s">
        <v>29</v>
      </c>
      <c r="J179" s="36"/>
      <c r="K179" s="36"/>
      <c r="L179" s="37"/>
      <c r="M179" s="36"/>
      <c r="N179" s="36"/>
      <c r="O179" s="36"/>
    </row>
    <row r="180" spans="1:16" hidden="1" x14ac:dyDescent="0.35">
      <c r="A180" s="3">
        <f xml:space="preserve"> ROW( data_scaledImpacts[[#This Row],[row_id]] ) - ROW( data_scaledImpacts[[#Headers],[row_id]] )</f>
        <v>179</v>
      </c>
      <c r="B180" s="41" t="str">
        <f xml:space="preserve"> _xlfn.TEXTJOIN( "", , data_scaledImpacts[[#This Row],[sector]:[impactType]] )</f>
        <v>ExtremeTempHadGEM2-ES52090No Adaptationcold</v>
      </c>
      <c r="C180" s="33" t="s">
        <v>17</v>
      </c>
      <c r="D180" s="33" t="s">
        <v>3</v>
      </c>
      <c r="E180" s="34">
        <v>5</v>
      </c>
      <c r="F180" s="34">
        <v>2090</v>
      </c>
      <c r="G180" s="34" t="s">
        <v>776</v>
      </c>
      <c r="H180" s="35" t="s">
        <v>16</v>
      </c>
      <c r="I180" s="43" t="s">
        <v>30</v>
      </c>
      <c r="J180" s="36">
        <v>-9.4849081154463945E-7</v>
      </c>
      <c r="K180" s="36">
        <v>-1.0465920967516877E-6</v>
      </c>
      <c r="L180" s="37"/>
      <c r="M180" s="36">
        <v>-7.0355105926473798E-7</v>
      </c>
      <c r="N180" s="36">
        <v>-2.4690874896467523E-7</v>
      </c>
      <c r="O180" s="36">
        <v>-3.7341524275954595E-7</v>
      </c>
      <c r="P180">
        <v>-1.0196058777947521E-7</v>
      </c>
    </row>
    <row r="181" spans="1:16" hidden="1" x14ac:dyDescent="0.35">
      <c r="A181" s="3">
        <f xml:space="preserve"> ROW( data_scaledImpacts[[#This Row],[row_id]] ) - ROW( data_scaledImpacts[[#Headers],[row_id]] )</f>
        <v>180</v>
      </c>
      <c r="B181" s="41" t="str">
        <f xml:space="preserve"> _xlfn.TEXTJOIN( "", , data_scaledImpacts[[#This Row],[sector]:[impactType]] )</f>
        <v>ExtremeTempMIROC552090No Adaptationcold</v>
      </c>
      <c r="C181" s="33" t="s">
        <v>17</v>
      </c>
      <c r="D181" s="33" t="s">
        <v>4</v>
      </c>
      <c r="E181" s="34">
        <v>5</v>
      </c>
      <c r="F181" s="34">
        <v>2090</v>
      </c>
      <c r="G181" s="34" t="s">
        <v>776</v>
      </c>
      <c r="H181" s="35" t="s">
        <v>16</v>
      </c>
      <c r="I181" s="43" t="s">
        <v>31</v>
      </c>
      <c r="J181" s="36">
        <v>-9.3195365734465999E-7</v>
      </c>
      <c r="K181" s="36">
        <v>-1.0509713108363473E-6</v>
      </c>
      <c r="L181" s="37"/>
      <c r="M181" s="36">
        <v>-4.3691643746953013E-7</v>
      </c>
      <c r="N181" s="36">
        <v>-2.7039689005115749E-7</v>
      </c>
      <c r="O181" s="36">
        <v>-3.8364986128980793E-7</v>
      </c>
      <c r="P181">
        <v>-9.9109717051948793E-8</v>
      </c>
    </row>
    <row r="182" spans="1:16" hidden="1" x14ac:dyDescent="0.35">
      <c r="A182" s="3">
        <f xml:space="preserve"> ROW( data_scaledImpacts[[#This Row],[row_id]] ) - ROW( data_scaledImpacts[[#Headers],[row_id]] )</f>
        <v>181</v>
      </c>
      <c r="B182" s="41" t="str">
        <f xml:space="preserve"> _xlfn.TEXTJOIN( "", , data_scaledImpacts[[#This Row],[sector]:[impactType]] )</f>
        <v>ExtremeTempGFDL-CM352090No Adaptationcold</v>
      </c>
      <c r="C182" s="33" t="s">
        <v>17</v>
      </c>
      <c r="D182" s="33" t="s">
        <v>5</v>
      </c>
      <c r="E182" s="34">
        <v>5</v>
      </c>
      <c r="F182" s="34">
        <v>2090</v>
      </c>
      <c r="G182" s="34" t="s">
        <v>776</v>
      </c>
      <c r="H182" s="35" t="s">
        <v>16</v>
      </c>
      <c r="I182" s="43" t="s">
        <v>32</v>
      </c>
      <c r="J182" s="36">
        <v>-9.4650153140941328E-7</v>
      </c>
      <c r="K182" s="36">
        <v>-1.054392505009926E-6</v>
      </c>
      <c r="L182" s="37"/>
      <c r="M182" s="36">
        <v>-4.3419208396770003E-7</v>
      </c>
      <c r="N182" s="36">
        <v>-2.3925876093685591E-7</v>
      </c>
      <c r="O182" s="36">
        <v>-3.1490043344702643E-7</v>
      </c>
      <c r="P182">
        <v>-1.2022715617211118E-7</v>
      </c>
    </row>
    <row r="183" spans="1:16" hidden="1" x14ac:dyDescent="0.35">
      <c r="A183" s="3">
        <f xml:space="preserve"> ROW( data_scaledImpacts[[#This Row],[row_id]] ) - ROW( data_scaledImpacts[[#Headers],[row_id]] )</f>
        <v>182</v>
      </c>
      <c r="B183" s="41" t="str">
        <f xml:space="preserve"> _xlfn.TEXTJOIN( "", , data_scaledImpacts[[#This Row],[sector]:[impactType]] )</f>
        <v>ExtremeTempGCM Average52090No Adaptationcold</v>
      </c>
      <c r="C183" s="33" t="s">
        <v>17</v>
      </c>
      <c r="D183" s="33" t="s">
        <v>15</v>
      </c>
      <c r="E183" s="34">
        <v>5</v>
      </c>
      <c r="F183" s="34">
        <v>2090</v>
      </c>
      <c r="G183" s="34" t="s">
        <v>776</v>
      </c>
      <c r="H183" s="35" t="s">
        <v>16</v>
      </c>
      <c r="I183" s="43" t="s">
        <v>33</v>
      </c>
      <c r="J183" s="36">
        <v>-9.4272105357427957E-7</v>
      </c>
      <c r="K183" s="36">
        <v>-1.0492298463221657E-6</v>
      </c>
      <c r="L183" s="37" t="s">
        <v>26</v>
      </c>
      <c r="M183" s="36">
        <v>-6.3701317368669684E-7</v>
      </c>
      <c r="N183" s="36">
        <v>-2.4600259999696112E-7</v>
      </c>
      <c r="O183" s="36">
        <v>-3.628619312734915E-7</v>
      </c>
      <c r="P183">
        <v>-1.1420811597789001E-7</v>
      </c>
    </row>
    <row r="184" spans="1:16" hidden="1" x14ac:dyDescent="0.35">
      <c r="A184" s="3">
        <f xml:space="preserve"> ROW( data_scaledImpacts[[#This Row],[row_id]] ) - ROW( data_scaledImpacts[[#Headers],[row_id]] )</f>
        <v>183</v>
      </c>
      <c r="B184" s="41" t="str">
        <f xml:space="preserve"> _xlfn.TEXTJOIN( "", , data_scaledImpacts[[#This Row],[sector]:[impactType]] )</f>
        <v>ExtremeTempCanESM262090No Adaptationcold</v>
      </c>
      <c r="C184" s="33" t="s">
        <v>17</v>
      </c>
      <c r="D184" s="33" t="s">
        <v>0</v>
      </c>
      <c r="E184" s="34">
        <v>6</v>
      </c>
      <c r="F184" s="34">
        <v>2090</v>
      </c>
      <c r="G184" s="34" t="s">
        <v>776</v>
      </c>
      <c r="H184" s="35" t="s">
        <v>16</v>
      </c>
      <c r="I184" s="43" t="s">
        <v>27</v>
      </c>
      <c r="J184" s="36">
        <v>-9.2470356889199233E-7</v>
      </c>
      <c r="K184" s="36">
        <v>-1.0504181470068874E-6</v>
      </c>
      <c r="L184" s="37"/>
      <c r="M184" s="36">
        <v>-8.5819778463720944E-7</v>
      </c>
      <c r="N184" s="36">
        <v>-2.2285952874422166E-7</v>
      </c>
      <c r="O184" s="36">
        <v>-3.262574126951935E-7</v>
      </c>
      <c r="P184">
        <v>-1.3628334520702895E-7</v>
      </c>
    </row>
    <row r="185" spans="1:16" hidden="1" x14ac:dyDescent="0.35">
      <c r="A185" s="3">
        <f xml:space="preserve"> ROW( data_scaledImpacts[[#This Row],[row_id]] ) - ROW( data_scaledImpacts[[#Headers],[row_id]] )</f>
        <v>184</v>
      </c>
      <c r="B185" s="41" t="str">
        <f xml:space="preserve"> _xlfn.TEXTJOIN( "", , data_scaledImpacts[[#This Row],[sector]:[impactType]] )</f>
        <v>ExtremeTempCCSM462090No Adaptationcold</v>
      </c>
      <c r="C185" s="33" t="s">
        <v>17</v>
      </c>
      <c r="D185" s="33" t="s">
        <v>1</v>
      </c>
      <c r="E185" s="34">
        <v>6</v>
      </c>
      <c r="F185" s="34">
        <v>2090</v>
      </c>
      <c r="G185" s="34" t="s">
        <v>776</v>
      </c>
      <c r="H185" s="35" t="s">
        <v>16</v>
      </c>
      <c r="I185" s="43" t="s">
        <v>28</v>
      </c>
      <c r="J185" s="36"/>
      <c r="K185" s="36"/>
      <c r="L185" s="37"/>
      <c r="M185" s="36"/>
      <c r="N185" s="36"/>
      <c r="O185" s="36"/>
    </row>
    <row r="186" spans="1:16" hidden="1" x14ac:dyDescent="0.35">
      <c r="A186" s="3">
        <f xml:space="preserve"> ROW( data_scaledImpacts[[#This Row],[row_id]] ) - ROW( data_scaledImpacts[[#Headers],[row_id]] )</f>
        <v>185</v>
      </c>
      <c r="B186" s="41" t="str">
        <f xml:space="preserve"> _xlfn.TEXTJOIN( "", , data_scaledImpacts[[#This Row],[sector]:[impactType]] )</f>
        <v>ExtremeTempGISS-E2-R62090No Adaptationcold</v>
      </c>
      <c r="C186" s="33" t="s">
        <v>17</v>
      </c>
      <c r="D186" s="33" t="s">
        <v>2</v>
      </c>
      <c r="E186" s="34">
        <v>6</v>
      </c>
      <c r="F186" s="34">
        <v>2090</v>
      </c>
      <c r="G186" s="34" t="s">
        <v>776</v>
      </c>
      <c r="H186" s="35" t="s">
        <v>16</v>
      </c>
      <c r="I186" s="43" t="s">
        <v>29</v>
      </c>
      <c r="J186" s="36"/>
      <c r="K186" s="36"/>
      <c r="L186" s="37"/>
      <c r="M186" s="36"/>
      <c r="N186" s="36"/>
      <c r="O186" s="36"/>
    </row>
    <row r="187" spans="1:16" hidden="1" x14ac:dyDescent="0.35">
      <c r="A187" s="3">
        <f xml:space="preserve"> ROW( data_scaledImpacts[[#This Row],[row_id]] ) - ROW( data_scaledImpacts[[#Headers],[row_id]] )</f>
        <v>186</v>
      </c>
      <c r="B187" s="41" t="str">
        <f xml:space="preserve"> _xlfn.TEXTJOIN( "", , data_scaledImpacts[[#This Row],[sector]:[impactType]] )</f>
        <v>ExtremeTempHadGEM2-ES62090No Adaptationcold</v>
      </c>
      <c r="C187" s="33" t="s">
        <v>17</v>
      </c>
      <c r="D187" s="33" t="s">
        <v>3</v>
      </c>
      <c r="E187" s="34">
        <v>6</v>
      </c>
      <c r="F187" s="34">
        <v>2090</v>
      </c>
      <c r="G187" s="34" t="s">
        <v>776</v>
      </c>
      <c r="H187" s="35" t="s">
        <v>16</v>
      </c>
      <c r="I187" s="43" t="s">
        <v>30</v>
      </c>
      <c r="J187" s="36">
        <v>-9.5669135803127529E-7</v>
      </c>
      <c r="K187" s="36">
        <v>-1.0526819079231365E-6</v>
      </c>
      <c r="L187" s="37"/>
      <c r="M187" s="36">
        <v>-6.4859575936830104E-7</v>
      </c>
      <c r="N187" s="36">
        <v>-2.5541200980483177E-7</v>
      </c>
      <c r="O187" s="36">
        <v>-3.9779229211572325E-7</v>
      </c>
      <c r="P187">
        <v>-1.3820035820044623E-7</v>
      </c>
    </row>
    <row r="188" spans="1:16" hidden="1" x14ac:dyDescent="0.35">
      <c r="A188" s="3">
        <f xml:space="preserve"> ROW( data_scaledImpacts[[#This Row],[row_id]] ) - ROW( data_scaledImpacts[[#Headers],[row_id]] )</f>
        <v>187</v>
      </c>
      <c r="B188" s="41" t="str">
        <f xml:space="preserve"> _xlfn.TEXTJOIN( "", , data_scaledImpacts[[#This Row],[sector]:[impactType]] )</f>
        <v>ExtremeTempMIROC562090No Adaptationcold</v>
      </c>
      <c r="C188" s="33" t="s">
        <v>17</v>
      </c>
      <c r="D188" s="33" t="s">
        <v>4</v>
      </c>
      <c r="E188" s="34">
        <v>6</v>
      </c>
      <c r="F188" s="34">
        <v>2090</v>
      </c>
      <c r="G188" s="34" t="s">
        <v>776</v>
      </c>
      <c r="H188" s="35" t="s">
        <v>16</v>
      </c>
      <c r="I188" s="43" t="s">
        <v>31</v>
      </c>
      <c r="J188" s="36"/>
      <c r="K188" s="36"/>
      <c r="L188" s="37"/>
      <c r="M188" s="36"/>
      <c r="N188" s="36"/>
      <c r="O188" s="36"/>
    </row>
    <row r="189" spans="1:16" hidden="1" x14ac:dyDescent="0.35">
      <c r="A189" s="3">
        <f xml:space="preserve"> ROW( data_scaledImpacts[[#This Row],[row_id]] ) - ROW( data_scaledImpacts[[#Headers],[row_id]] )</f>
        <v>188</v>
      </c>
      <c r="B189" s="41" t="str">
        <f xml:space="preserve"> _xlfn.TEXTJOIN( "", , data_scaledImpacts[[#This Row],[sector]:[impactType]] )</f>
        <v>ExtremeTempGFDL-CM362090No Adaptationcold</v>
      </c>
      <c r="C189" s="33" t="s">
        <v>17</v>
      </c>
      <c r="D189" s="33" t="s">
        <v>5</v>
      </c>
      <c r="E189" s="34">
        <v>6</v>
      </c>
      <c r="F189" s="34">
        <v>2090</v>
      </c>
      <c r="G189" s="34" t="s">
        <v>776</v>
      </c>
      <c r="H189" s="35" t="s">
        <v>16</v>
      </c>
      <c r="I189" s="43" t="s">
        <v>32</v>
      </c>
      <c r="J189" s="36">
        <v>-9.50170291912598E-7</v>
      </c>
      <c r="K189" s="36">
        <v>-1.054392505009926E-6</v>
      </c>
      <c r="L189" s="37"/>
      <c r="M189" s="36">
        <v>-5.0881052295126591E-7</v>
      </c>
      <c r="N189" s="36">
        <v>-2.6239790388312665E-7</v>
      </c>
      <c r="O189" s="36">
        <v>-3.0762861522126371E-7</v>
      </c>
      <c r="P189">
        <v>-1.1419232904011157E-7</v>
      </c>
    </row>
    <row r="190" spans="1:16" hidden="1" x14ac:dyDescent="0.35">
      <c r="A190" s="3">
        <f xml:space="preserve"> ROW( data_scaledImpacts[[#This Row],[row_id]] ) - ROW( data_scaledImpacts[[#Headers],[row_id]] )</f>
        <v>189</v>
      </c>
      <c r="B190" s="41" t="str">
        <f xml:space="preserve"> _xlfn.TEXTJOIN( "", , data_scaledImpacts[[#This Row],[sector]:[impactType]] )</f>
        <v>ExtremeTempGCM Average62090No Adaptationcold</v>
      </c>
      <c r="C190" s="33" t="s">
        <v>17</v>
      </c>
      <c r="D190" s="33" t="s">
        <v>15</v>
      </c>
      <c r="E190" s="34">
        <v>6</v>
      </c>
      <c r="F190" s="34">
        <v>2090</v>
      </c>
      <c r="G190" s="34" t="s">
        <v>776</v>
      </c>
      <c r="H190" s="35" t="s">
        <v>16</v>
      </c>
      <c r="I190" s="43" t="s">
        <v>33</v>
      </c>
      <c r="J190" s="36">
        <v>-9.438550729452885E-7</v>
      </c>
      <c r="K190" s="36">
        <v>-1.0524975199799835E-6</v>
      </c>
      <c r="L190" s="37" t="s">
        <v>26</v>
      </c>
      <c r="M190" s="36">
        <v>-6.7186802231892539E-7</v>
      </c>
      <c r="N190" s="36">
        <v>-2.4688981414406005E-7</v>
      </c>
      <c r="O190" s="36">
        <v>-3.4389277334406012E-7</v>
      </c>
      <c r="P190">
        <v>-1.2955867748252894E-7</v>
      </c>
    </row>
    <row r="191" spans="1:16" hidden="1" x14ac:dyDescent="0.35">
      <c r="A191" s="3">
        <f xml:space="preserve"> ROW( data_scaledImpacts[[#This Row],[row_id]] ) - ROW( data_scaledImpacts[[#Headers],[row_id]] )</f>
        <v>190</v>
      </c>
      <c r="B191" s="41" t="str">
        <f xml:space="preserve"> _xlfn.TEXTJOIN( "", , data_scaledImpacts[[#This Row],[sector]:[impactType]] )</f>
        <v>ExtremeTempCanESM272090No Adaptationcold</v>
      </c>
      <c r="C191" s="33" t="s">
        <v>17</v>
      </c>
      <c r="D191" s="33" t="s">
        <v>0</v>
      </c>
      <c r="E191" s="34">
        <v>7</v>
      </c>
      <c r="F191" s="34">
        <v>2090</v>
      </c>
      <c r="G191" s="34" t="s">
        <v>776</v>
      </c>
      <c r="H191" s="35" t="s">
        <v>16</v>
      </c>
      <c r="I191" s="43" t="s">
        <v>27</v>
      </c>
      <c r="J191" s="36"/>
      <c r="K191" s="36"/>
      <c r="L191" s="37"/>
      <c r="M191" s="36"/>
      <c r="N191" s="36"/>
      <c r="O191" s="36"/>
    </row>
    <row r="192" spans="1:16" hidden="1" x14ac:dyDescent="0.35">
      <c r="A192" s="3">
        <f xml:space="preserve"> ROW( data_scaledImpacts[[#This Row],[row_id]] ) - ROW( data_scaledImpacts[[#Headers],[row_id]] )</f>
        <v>191</v>
      </c>
      <c r="B192" s="41" t="str">
        <f xml:space="preserve"> _xlfn.TEXTJOIN( "", , data_scaledImpacts[[#This Row],[sector]:[impactType]] )</f>
        <v>ExtremeTempCCSM472090No Adaptationcold</v>
      </c>
      <c r="C192" s="33" t="s">
        <v>17</v>
      </c>
      <c r="D192" s="33" t="s">
        <v>1</v>
      </c>
      <c r="E192" s="34">
        <v>7</v>
      </c>
      <c r="F192" s="34">
        <v>2090</v>
      </c>
      <c r="G192" s="34" t="s">
        <v>776</v>
      </c>
      <c r="H192" s="35" t="s">
        <v>16</v>
      </c>
      <c r="I192" s="43" t="s">
        <v>28</v>
      </c>
      <c r="J192" s="36"/>
      <c r="K192" s="36"/>
      <c r="L192" s="37"/>
      <c r="M192" s="36"/>
      <c r="N192" s="36"/>
      <c r="O192" s="36"/>
    </row>
    <row r="193" spans="1:16" hidden="1" x14ac:dyDescent="0.35">
      <c r="A193" s="3">
        <f xml:space="preserve"> ROW( data_scaledImpacts[[#This Row],[row_id]] ) - ROW( data_scaledImpacts[[#Headers],[row_id]] )</f>
        <v>192</v>
      </c>
      <c r="B193" s="41" t="str">
        <f xml:space="preserve"> _xlfn.TEXTJOIN( "", , data_scaledImpacts[[#This Row],[sector]:[impactType]] )</f>
        <v>ExtremeTempGISS-E2-R72090No Adaptationcold</v>
      </c>
      <c r="C193" s="33" t="s">
        <v>17</v>
      </c>
      <c r="D193" s="33" t="s">
        <v>2</v>
      </c>
      <c r="E193" s="34">
        <v>7</v>
      </c>
      <c r="F193" s="34">
        <v>2090</v>
      </c>
      <c r="G193" s="34" t="s">
        <v>776</v>
      </c>
      <c r="H193" s="35" t="s">
        <v>16</v>
      </c>
      <c r="I193" s="43" t="s">
        <v>29</v>
      </c>
      <c r="J193" s="36"/>
      <c r="K193" s="36"/>
      <c r="L193" s="37"/>
      <c r="M193" s="36"/>
      <c r="N193" s="36"/>
      <c r="O193" s="36"/>
    </row>
    <row r="194" spans="1:16" hidden="1" x14ac:dyDescent="0.35">
      <c r="A194" s="3">
        <f xml:space="preserve"> ROW( data_scaledImpacts[[#This Row],[row_id]] ) - ROW( data_scaledImpacts[[#Headers],[row_id]] )</f>
        <v>193</v>
      </c>
      <c r="B194" s="41" t="str">
        <f xml:space="preserve"> _xlfn.TEXTJOIN( "", , data_scaledImpacts[[#This Row],[sector]:[impactType]] )</f>
        <v>ExtremeTempHadGEM2-ES72090No Adaptationcold</v>
      </c>
      <c r="C194" s="33" t="s">
        <v>17</v>
      </c>
      <c r="D194" s="33" t="s">
        <v>3</v>
      </c>
      <c r="E194" s="34">
        <v>7</v>
      </c>
      <c r="F194" s="34">
        <v>2090</v>
      </c>
      <c r="G194" s="34" t="s">
        <v>776</v>
      </c>
      <c r="H194" s="35" t="s">
        <v>16</v>
      </c>
      <c r="I194" s="43" t="s">
        <v>30</v>
      </c>
      <c r="J194" s="36"/>
      <c r="K194" s="36"/>
      <c r="L194" s="37"/>
      <c r="M194" s="36"/>
      <c r="N194" s="36"/>
      <c r="O194" s="36"/>
    </row>
    <row r="195" spans="1:16" hidden="1" x14ac:dyDescent="0.35">
      <c r="A195" s="3">
        <f xml:space="preserve"> ROW( data_scaledImpacts[[#This Row],[row_id]] ) - ROW( data_scaledImpacts[[#Headers],[row_id]] )</f>
        <v>194</v>
      </c>
      <c r="B195" s="41" t="str">
        <f xml:space="preserve"> _xlfn.TEXTJOIN( "", , data_scaledImpacts[[#This Row],[sector]:[impactType]] )</f>
        <v>ExtremeTempMIROC572090No Adaptationcold</v>
      </c>
      <c r="C195" s="33" t="s">
        <v>17</v>
      </c>
      <c r="D195" s="33" t="s">
        <v>4</v>
      </c>
      <c r="E195" s="34">
        <v>7</v>
      </c>
      <c r="F195" s="34">
        <v>2090</v>
      </c>
      <c r="G195" s="34" t="s">
        <v>776</v>
      </c>
      <c r="H195" s="35" t="s">
        <v>16</v>
      </c>
      <c r="I195" s="43" t="s">
        <v>31</v>
      </c>
      <c r="J195" s="36"/>
      <c r="K195" s="36"/>
      <c r="L195" s="37"/>
      <c r="M195" s="36"/>
      <c r="N195" s="36"/>
      <c r="O195" s="36"/>
    </row>
    <row r="196" spans="1:16" hidden="1" x14ac:dyDescent="0.35">
      <c r="A196" s="3">
        <f xml:space="preserve"> ROW( data_scaledImpacts[[#This Row],[row_id]] ) - ROW( data_scaledImpacts[[#Headers],[row_id]] )</f>
        <v>195</v>
      </c>
      <c r="B196" s="41" t="str">
        <f xml:space="preserve"> _xlfn.TEXTJOIN( "", , data_scaledImpacts[[#This Row],[sector]:[impactType]] )</f>
        <v>ExtremeTempGFDL-CM372090No Adaptationcold</v>
      </c>
      <c r="C196" s="33" t="s">
        <v>17</v>
      </c>
      <c r="D196" s="33" t="s">
        <v>5</v>
      </c>
      <c r="E196" s="34">
        <v>7</v>
      </c>
      <c r="F196" s="34">
        <v>2090</v>
      </c>
      <c r="G196" s="34" t="s">
        <v>776</v>
      </c>
      <c r="H196" s="35" t="s">
        <v>16</v>
      </c>
      <c r="I196" s="43" t="s">
        <v>32</v>
      </c>
      <c r="J196" s="36"/>
      <c r="K196" s="36"/>
      <c r="L196" s="37"/>
      <c r="M196" s="36"/>
      <c r="N196" s="36"/>
      <c r="O196" s="36"/>
    </row>
    <row r="197" spans="1:16" hidden="1" x14ac:dyDescent="0.35">
      <c r="A197" s="3">
        <f xml:space="preserve"> ROW( data_scaledImpacts[[#This Row],[row_id]] ) - ROW( data_scaledImpacts[[#Headers],[row_id]] )</f>
        <v>196</v>
      </c>
      <c r="B197" s="41" t="str">
        <f xml:space="preserve"> _xlfn.TEXTJOIN( "", , data_scaledImpacts[[#This Row],[sector]:[impactType]] )</f>
        <v>ExtremeTempGCM Average72090No Adaptationcold</v>
      </c>
      <c r="C197" s="33" t="s">
        <v>17</v>
      </c>
      <c r="D197" s="33" t="s">
        <v>15</v>
      </c>
      <c r="E197" s="34">
        <v>7</v>
      </c>
      <c r="F197" s="34">
        <v>2090</v>
      </c>
      <c r="G197" s="34" t="s">
        <v>776</v>
      </c>
      <c r="H197" s="35" t="s">
        <v>16</v>
      </c>
      <c r="I197" s="43" t="s">
        <v>33</v>
      </c>
      <c r="J197" s="36" t="s">
        <v>26</v>
      </c>
      <c r="K197" s="36" t="s">
        <v>26</v>
      </c>
      <c r="L197" s="37" t="s">
        <v>26</v>
      </c>
      <c r="M197" s="36" t="s">
        <v>26</v>
      </c>
      <c r="N197" s="36" t="s">
        <v>26</v>
      </c>
      <c r="O197" s="36" t="s">
        <v>26</v>
      </c>
      <c r="P197" t="s">
        <v>26</v>
      </c>
    </row>
    <row r="198" spans="1:16" hidden="1" x14ac:dyDescent="0.35">
      <c r="A198" s="3">
        <f xml:space="preserve"> ROW( data_scaledImpacts[[#This Row],[row_id]] ) - ROW( data_scaledImpacts[[#Headers],[row_id]] )</f>
        <v>197</v>
      </c>
      <c r="B198" s="41" t="str">
        <f xml:space="preserve"> _xlfn.TEXTJOIN( "", , data_scaledImpacts[[#This Row],[sector]:[impactType]] )</f>
        <v>ExtremeTempCanESM212010Adaptationhot</v>
      </c>
      <c r="C198" s="33" t="s">
        <v>17</v>
      </c>
      <c r="D198" s="33" t="s">
        <v>0</v>
      </c>
      <c r="E198" s="34">
        <v>1</v>
      </c>
      <c r="F198" s="34">
        <v>2010</v>
      </c>
      <c r="G198" s="34" t="s">
        <v>774</v>
      </c>
      <c r="H198" s="35" t="s">
        <v>14</v>
      </c>
      <c r="I198" s="43" t="s">
        <v>19</v>
      </c>
      <c r="J198" s="36">
        <v>4.2397721688069803E-7</v>
      </c>
      <c r="K198" s="36">
        <v>2.9400132913617941E-7</v>
      </c>
      <c r="L198" s="37"/>
      <c r="M198" s="36"/>
      <c r="N198" s="36">
        <v>1.3441674473694681E-6</v>
      </c>
      <c r="O198" s="36">
        <v>1.6829430517880117E-6</v>
      </c>
      <c r="P198">
        <v>1.2626899511097448E-6</v>
      </c>
    </row>
    <row r="199" spans="1:16" hidden="1" x14ac:dyDescent="0.35">
      <c r="A199" s="3">
        <f xml:space="preserve"> ROW( data_scaledImpacts[[#This Row],[row_id]] ) - ROW( data_scaledImpacts[[#Headers],[row_id]] )</f>
        <v>198</v>
      </c>
      <c r="B199" s="41" t="str">
        <f xml:space="preserve"> _xlfn.TEXTJOIN( "", , data_scaledImpacts[[#This Row],[sector]:[impactType]] )</f>
        <v>ExtremeTempCCSM412010Adaptationhot</v>
      </c>
      <c r="C199" s="33" t="s">
        <v>17</v>
      </c>
      <c r="D199" s="33" t="s">
        <v>1</v>
      </c>
      <c r="E199" s="34">
        <v>1</v>
      </c>
      <c r="F199" s="34">
        <v>2010</v>
      </c>
      <c r="G199" s="34" t="s">
        <v>774</v>
      </c>
      <c r="H199" s="35" t="s">
        <v>14</v>
      </c>
      <c r="I199" s="43" t="s">
        <v>20</v>
      </c>
      <c r="J199" s="36">
        <v>4.1512428662800362E-8</v>
      </c>
      <c r="K199" s="36">
        <v>3.6866525866905283E-7</v>
      </c>
      <c r="L199" s="37"/>
      <c r="M199" s="36"/>
      <c r="N199" s="36">
        <v>3.2751605549623626E-7</v>
      </c>
      <c r="O199" s="36">
        <v>9.8208712184916838E-7</v>
      </c>
      <c r="P199">
        <v>-5.0735229296058854E-8</v>
      </c>
    </row>
    <row r="200" spans="1:16" hidden="1" x14ac:dyDescent="0.35">
      <c r="A200" s="3">
        <f xml:space="preserve"> ROW( data_scaledImpacts[[#This Row],[row_id]] ) - ROW( data_scaledImpacts[[#Headers],[row_id]] )</f>
        <v>199</v>
      </c>
      <c r="B200" s="41" t="str">
        <f xml:space="preserve"> _xlfn.TEXTJOIN( "", , data_scaledImpacts[[#This Row],[sector]:[impactType]] )</f>
        <v>ExtremeTempGISS-E2-R12010Adaptationhot</v>
      </c>
      <c r="C200" s="33" t="s">
        <v>17</v>
      </c>
      <c r="D200" s="33" t="s">
        <v>2</v>
      </c>
      <c r="E200" s="34">
        <v>1</v>
      </c>
      <c r="F200" s="34">
        <v>2010</v>
      </c>
      <c r="G200" s="34" t="s">
        <v>774</v>
      </c>
      <c r="H200" s="35" t="s">
        <v>14</v>
      </c>
      <c r="I200" s="43" t="s">
        <v>21</v>
      </c>
      <c r="J200" s="36">
        <v>8.3854565501203826E-7</v>
      </c>
      <c r="K200" s="36">
        <v>1.0061760618365383E-6</v>
      </c>
      <c r="L200" s="37"/>
      <c r="M200" s="36"/>
      <c r="N200" s="36">
        <v>1.6732143067546923E-6</v>
      </c>
      <c r="O200" s="36">
        <v>9.0972506900694232E-7</v>
      </c>
      <c r="P200">
        <v>8.5991914061153035E-10</v>
      </c>
    </row>
    <row r="201" spans="1:16" hidden="1" x14ac:dyDescent="0.35">
      <c r="A201" s="3">
        <f xml:space="preserve"> ROW( data_scaledImpacts[[#This Row],[row_id]] ) - ROW( data_scaledImpacts[[#Headers],[row_id]] )</f>
        <v>200</v>
      </c>
      <c r="B201" s="41" t="str">
        <f xml:space="preserve"> _xlfn.TEXTJOIN( "", , data_scaledImpacts[[#This Row],[sector]:[impactType]] )</f>
        <v>ExtremeTempHadGEM2-ES12010Adaptationhot</v>
      </c>
      <c r="C201" s="33" t="s">
        <v>17</v>
      </c>
      <c r="D201" s="33" t="s">
        <v>3</v>
      </c>
      <c r="E201" s="34">
        <v>1</v>
      </c>
      <c r="F201" s="34">
        <v>2010</v>
      </c>
      <c r="G201" s="34" t="s">
        <v>774</v>
      </c>
      <c r="H201" s="35" t="s">
        <v>14</v>
      </c>
      <c r="I201" s="43" t="s">
        <v>22</v>
      </c>
      <c r="J201" s="36">
        <v>3.3902852051856238E-7</v>
      </c>
      <c r="K201" s="36">
        <v>7.3764387774717259E-7</v>
      </c>
      <c r="L201" s="37"/>
      <c r="M201" s="36"/>
      <c r="N201" s="36">
        <v>2.6741752893380066E-6</v>
      </c>
      <c r="O201" s="36">
        <v>2.5025554263150987E-6</v>
      </c>
      <c r="P201">
        <v>5.2455067577281561E-8</v>
      </c>
    </row>
    <row r="202" spans="1:16" hidden="1" x14ac:dyDescent="0.35">
      <c r="A202" s="3">
        <f xml:space="preserve"> ROW( data_scaledImpacts[[#This Row],[row_id]] ) - ROW( data_scaledImpacts[[#Headers],[row_id]] )</f>
        <v>201</v>
      </c>
      <c r="B202" s="41" t="str">
        <f xml:space="preserve"> _xlfn.TEXTJOIN( "", , data_scaledImpacts[[#This Row],[sector]:[impactType]] )</f>
        <v>ExtremeTempMIROC512010Adaptationhot</v>
      </c>
      <c r="C202" s="33" t="s">
        <v>17</v>
      </c>
      <c r="D202" s="33" t="s">
        <v>4</v>
      </c>
      <c r="E202" s="34">
        <v>1</v>
      </c>
      <c r="F202" s="34">
        <v>2010</v>
      </c>
      <c r="G202" s="34" t="s">
        <v>774</v>
      </c>
      <c r="H202" s="35" t="s">
        <v>14</v>
      </c>
      <c r="I202" s="43" t="s">
        <v>23</v>
      </c>
      <c r="J202" s="36">
        <v>5.8672732901885692E-7</v>
      </c>
      <c r="K202" s="36">
        <v>1.0853568921000113E-7</v>
      </c>
      <c r="L202" s="37"/>
      <c r="M202" s="36"/>
      <c r="N202" s="36">
        <v>1.4276640550982838E-6</v>
      </c>
      <c r="O202" s="36">
        <v>2.9382816699108359E-6</v>
      </c>
      <c r="P202">
        <v>-8.5131994920505779E-8</v>
      </c>
    </row>
    <row r="203" spans="1:16" hidden="1" x14ac:dyDescent="0.35">
      <c r="A203" s="3">
        <f xml:space="preserve"> ROW( data_scaledImpacts[[#This Row],[row_id]] ) - ROW( data_scaledImpacts[[#Headers],[row_id]] )</f>
        <v>202</v>
      </c>
      <c r="B203" s="41" t="str">
        <f xml:space="preserve"> _xlfn.TEXTJOIN( "", , data_scaledImpacts[[#This Row],[sector]:[impactType]] )</f>
        <v>ExtremeTempGFDL-CM312010Adaptationhot</v>
      </c>
      <c r="C203" s="33" t="s">
        <v>17</v>
      </c>
      <c r="D203" s="33" t="s">
        <v>5</v>
      </c>
      <c r="E203" s="34">
        <v>1</v>
      </c>
      <c r="F203" s="34">
        <v>2010</v>
      </c>
      <c r="G203" s="34" t="s">
        <v>774</v>
      </c>
      <c r="H203" s="35" t="s">
        <v>14</v>
      </c>
      <c r="I203" s="43" t="s">
        <v>24</v>
      </c>
      <c r="J203" s="36">
        <v>7.8741357347626267E-7</v>
      </c>
      <c r="K203" s="36">
        <v>8.3074865147490017E-7</v>
      </c>
      <c r="L203" s="37"/>
      <c r="M203" s="36"/>
      <c r="N203" s="36">
        <v>1.3636803534999622E-6</v>
      </c>
      <c r="O203" s="36">
        <v>2.6091108821658859E-6</v>
      </c>
      <c r="P203">
        <v>8.4899390867734204E-8</v>
      </c>
    </row>
    <row r="204" spans="1:16" hidden="1" x14ac:dyDescent="0.35">
      <c r="A204" s="3">
        <f xml:space="preserve"> ROW( data_scaledImpacts[[#This Row],[row_id]] ) - ROW( data_scaledImpacts[[#Headers],[row_id]] )</f>
        <v>203</v>
      </c>
      <c r="B204" s="41" t="str">
        <f xml:space="preserve"> _xlfn.TEXTJOIN( "", , data_scaledImpacts[[#This Row],[sector]:[impactType]] )</f>
        <v>ExtremeTempGCM Average12010Adaptationhot</v>
      </c>
      <c r="C204" s="33" t="s">
        <v>17</v>
      </c>
      <c r="D204" s="33" t="s">
        <v>15</v>
      </c>
      <c r="E204" s="34">
        <v>1</v>
      </c>
      <c r="F204" s="34">
        <v>2010</v>
      </c>
      <c r="G204" s="34" t="s">
        <v>774</v>
      </c>
      <c r="H204" s="35" t="s">
        <v>14</v>
      </c>
      <c r="I204" s="43" t="s">
        <v>25</v>
      </c>
      <c r="J204" s="36">
        <v>5.0286745392820314E-7</v>
      </c>
      <c r="K204" s="36">
        <v>5.5762847801230742E-7</v>
      </c>
      <c r="L204" s="37" t="s">
        <v>26</v>
      </c>
      <c r="M204" s="36" t="s">
        <v>26</v>
      </c>
      <c r="N204" s="36">
        <v>1.468402917926108E-6</v>
      </c>
      <c r="O204" s="36">
        <v>1.9374505368393239E-6</v>
      </c>
      <c r="P204">
        <v>2.1083951741313462E-7</v>
      </c>
    </row>
    <row r="205" spans="1:16" hidden="1" x14ac:dyDescent="0.35">
      <c r="A205" s="3">
        <f xml:space="preserve"> ROW( data_scaledImpacts[[#This Row],[row_id]] ) - ROW( data_scaledImpacts[[#Headers],[row_id]] )</f>
        <v>204</v>
      </c>
      <c r="B205" s="41" t="str">
        <f xml:space="preserve"> _xlfn.TEXTJOIN( "", , data_scaledImpacts[[#This Row],[sector]:[impactType]] )</f>
        <v>ExtremeTempCanESM222010Adaptationhot</v>
      </c>
      <c r="C205" s="33" t="s">
        <v>17</v>
      </c>
      <c r="D205" s="33" t="s">
        <v>0</v>
      </c>
      <c r="E205" s="34">
        <v>2</v>
      </c>
      <c r="F205" s="34">
        <v>2010</v>
      </c>
      <c r="G205" s="34" t="s">
        <v>774</v>
      </c>
      <c r="H205" s="35" t="s">
        <v>14</v>
      </c>
      <c r="I205" s="43" t="s">
        <v>19</v>
      </c>
      <c r="J205" s="36">
        <v>1.3691097398437986E-6</v>
      </c>
      <c r="K205" s="36">
        <v>1.6962580639116183E-6</v>
      </c>
      <c r="L205" s="37"/>
      <c r="M205" s="36"/>
      <c r="N205" s="36">
        <v>7.2862114422068112E-6</v>
      </c>
      <c r="O205" s="36">
        <v>7.1282489610861422E-6</v>
      </c>
      <c r="P205">
        <v>2.4410571899073729E-6</v>
      </c>
    </row>
    <row r="206" spans="1:16" hidden="1" x14ac:dyDescent="0.35">
      <c r="A206" s="3">
        <f xml:space="preserve"> ROW( data_scaledImpacts[[#This Row],[row_id]] ) - ROW( data_scaledImpacts[[#Headers],[row_id]] )</f>
        <v>205</v>
      </c>
      <c r="B206" s="41" t="str">
        <f xml:space="preserve"> _xlfn.TEXTJOIN( "", , data_scaledImpacts[[#This Row],[sector]:[impactType]] )</f>
        <v>ExtremeTempCCSM422010Adaptationhot</v>
      </c>
      <c r="C206" s="33" t="s">
        <v>17</v>
      </c>
      <c r="D206" s="33" t="s">
        <v>1</v>
      </c>
      <c r="E206" s="34">
        <v>2</v>
      </c>
      <c r="F206" s="34">
        <v>2010</v>
      </c>
      <c r="G206" s="34" t="s">
        <v>774</v>
      </c>
      <c r="H206" s="35" t="s">
        <v>14</v>
      </c>
      <c r="I206" s="43" t="s">
        <v>20</v>
      </c>
      <c r="J206" s="36">
        <v>1.0130111306232663E-6</v>
      </c>
      <c r="K206" s="36">
        <v>2.1606133780500035E-6</v>
      </c>
      <c r="L206" s="37"/>
      <c r="M206" s="36"/>
      <c r="N206" s="36">
        <v>2.5113590430696706E-6</v>
      </c>
      <c r="O206" s="36">
        <v>3.9577867175262053E-6</v>
      </c>
      <c r="P206">
        <v>8.6810540731775263E-8</v>
      </c>
    </row>
    <row r="207" spans="1:16" hidden="1" x14ac:dyDescent="0.35">
      <c r="A207" s="3">
        <f xml:space="preserve"> ROW( data_scaledImpacts[[#This Row],[row_id]] ) - ROW( data_scaledImpacts[[#Headers],[row_id]] )</f>
        <v>206</v>
      </c>
      <c r="B207" s="41" t="str">
        <f xml:space="preserve"> _xlfn.TEXTJOIN( "", , data_scaledImpacts[[#This Row],[sector]:[impactType]] )</f>
        <v>ExtremeTempGISS-E2-R22010Adaptationhot</v>
      </c>
      <c r="C207" s="33" t="s">
        <v>17</v>
      </c>
      <c r="D207" s="33" t="s">
        <v>2</v>
      </c>
      <c r="E207" s="34">
        <v>2</v>
      </c>
      <c r="F207" s="34">
        <v>2010</v>
      </c>
      <c r="G207" s="34" t="s">
        <v>774</v>
      </c>
      <c r="H207" s="35" t="s">
        <v>14</v>
      </c>
      <c r="I207" s="43" t="s">
        <v>21</v>
      </c>
      <c r="J207" s="36">
        <v>1.5068097683946136E-6</v>
      </c>
      <c r="K207" s="36">
        <v>2.6301769824360064E-6</v>
      </c>
      <c r="L207" s="37"/>
      <c r="M207" s="36"/>
      <c r="N207" s="36">
        <v>9.7489001908989586E-6</v>
      </c>
      <c r="O207" s="36">
        <v>4.1866057620235088E-6</v>
      </c>
      <c r="P207">
        <v>8.0916326508013552E-7</v>
      </c>
    </row>
    <row r="208" spans="1:16" hidden="1" x14ac:dyDescent="0.35">
      <c r="A208" s="3">
        <f xml:space="preserve"> ROW( data_scaledImpacts[[#This Row],[row_id]] ) - ROW( data_scaledImpacts[[#Headers],[row_id]] )</f>
        <v>207</v>
      </c>
      <c r="B208" s="41" t="str">
        <f xml:space="preserve"> _xlfn.TEXTJOIN( "", , data_scaledImpacts[[#This Row],[sector]:[impactType]] )</f>
        <v>ExtremeTempHadGEM2-ES22010Adaptationhot</v>
      </c>
      <c r="C208" s="33" t="s">
        <v>17</v>
      </c>
      <c r="D208" s="33" t="s">
        <v>3</v>
      </c>
      <c r="E208" s="34">
        <v>2</v>
      </c>
      <c r="F208" s="34">
        <v>2010</v>
      </c>
      <c r="G208" s="34" t="s">
        <v>774</v>
      </c>
      <c r="H208" s="35" t="s">
        <v>14</v>
      </c>
      <c r="I208" s="43" t="s">
        <v>22</v>
      </c>
      <c r="J208" s="36">
        <v>2.0228747010652387E-6</v>
      </c>
      <c r="K208" s="36">
        <v>3.2529062467678259E-6</v>
      </c>
      <c r="L208" s="37"/>
      <c r="M208" s="36"/>
      <c r="N208" s="36">
        <v>6.5216503746380084E-6</v>
      </c>
      <c r="O208" s="36">
        <v>5.3272824934405111E-6</v>
      </c>
      <c r="P208">
        <v>2.4448137527570455E-7</v>
      </c>
    </row>
    <row r="209" spans="1:16" hidden="1" x14ac:dyDescent="0.35">
      <c r="A209" s="3">
        <f xml:space="preserve"> ROW( data_scaledImpacts[[#This Row],[row_id]] ) - ROW( data_scaledImpacts[[#Headers],[row_id]] )</f>
        <v>208</v>
      </c>
      <c r="B209" s="41" t="str">
        <f xml:space="preserve"> _xlfn.TEXTJOIN( "", , data_scaledImpacts[[#This Row],[sector]:[impactType]] )</f>
        <v>ExtremeTempMIROC522010Adaptationhot</v>
      </c>
      <c r="C209" s="33" t="s">
        <v>17</v>
      </c>
      <c r="D209" s="33" t="s">
        <v>4</v>
      </c>
      <c r="E209" s="34">
        <v>2</v>
      </c>
      <c r="F209" s="34">
        <v>2010</v>
      </c>
      <c r="G209" s="34" t="s">
        <v>774</v>
      </c>
      <c r="H209" s="35" t="s">
        <v>14</v>
      </c>
      <c r="I209" s="43" t="s">
        <v>23</v>
      </c>
      <c r="J209" s="36">
        <v>5.9587013528680701E-7</v>
      </c>
      <c r="K209" s="36">
        <v>7.2407428193585882E-7</v>
      </c>
      <c r="L209" s="37"/>
      <c r="M209" s="36"/>
      <c r="N209" s="36">
        <v>4.1627835760800174E-6</v>
      </c>
      <c r="O209" s="36">
        <v>7.3647978180834392E-6</v>
      </c>
      <c r="P209">
        <v>1.478738279280076E-7</v>
      </c>
    </row>
    <row r="210" spans="1:16" hidden="1" x14ac:dyDescent="0.35">
      <c r="A210" s="3">
        <f xml:space="preserve"> ROW( data_scaledImpacts[[#This Row],[row_id]] ) - ROW( data_scaledImpacts[[#Headers],[row_id]] )</f>
        <v>209</v>
      </c>
      <c r="B210" s="41" t="str">
        <f xml:space="preserve"> _xlfn.TEXTJOIN( "", , data_scaledImpacts[[#This Row],[sector]:[impactType]] )</f>
        <v>ExtremeTempGFDL-CM322010Adaptationhot</v>
      </c>
      <c r="C210" s="33" t="s">
        <v>17</v>
      </c>
      <c r="D210" s="33" t="s">
        <v>5</v>
      </c>
      <c r="E210" s="34">
        <v>2</v>
      </c>
      <c r="F210" s="34">
        <v>2010</v>
      </c>
      <c r="G210" s="34" t="s">
        <v>774</v>
      </c>
      <c r="H210" s="35" t="s">
        <v>14</v>
      </c>
      <c r="I210" s="43" t="s">
        <v>24</v>
      </c>
      <c r="J210" s="36">
        <v>7.860921405402328E-7</v>
      </c>
      <c r="K210" s="36">
        <v>2.5697228903595485E-6</v>
      </c>
      <c r="L210" s="37"/>
      <c r="M210" s="36"/>
      <c r="N210" s="36">
        <v>7.154873126202756E-6</v>
      </c>
      <c r="O210" s="36">
        <v>8.6281080539584804E-6</v>
      </c>
      <c r="P210">
        <v>9.7832083974575948E-7</v>
      </c>
    </row>
    <row r="211" spans="1:16" hidden="1" x14ac:dyDescent="0.35">
      <c r="A211" s="3">
        <f xml:space="preserve"> ROW( data_scaledImpacts[[#This Row],[row_id]] ) - ROW( data_scaledImpacts[[#Headers],[row_id]] )</f>
        <v>210</v>
      </c>
      <c r="B211" s="41" t="str">
        <f xml:space="preserve"> _xlfn.TEXTJOIN( "", , data_scaledImpacts[[#This Row],[sector]:[impactType]] )</f>
        <v>ExtremeTempGCM Average22010Adaptationhot</v>
      </c>
      <c r="C211" s="33" t="s">
        <v>17</v>
      </c>
      <c r="D211" s="33" t="s">
        <v>15</v>
      </c>
      <c r="E211" s="34">
        <v>2</v>
      </c>
      <c r="F211" s="34">
        <v>2010</v>
      </c>
      <c r="G211" s="34" t="s">
        <v>774</v>
      </c>
      <c r="H211" s="35" t="s">
        <v>14</v>
      </c>
      <c r="I211" s="43" t="s">
        <v>25</v>
      </c>
      <c r="J211" s="36">
        <v>1.215627935958993E-6</v>
      </c>
      <c r="K211" s="36">
        <v>2.1722919739101436E-6</v>
      </c>
      <c r="L211" s="37" t="s">
        <v>26</v>
      </c>
      <c r="M211" s="36" t="s">
        <v>26</v>
      </c>
      <c r="N211" s="36">
        <v>6.2309629588493706E-6</v>
      </c>
      <c r="O211" s="36">
        <v>6.0988049676863812E-6</v>
      </c>
      <c r="P211">
        <v>7.8461783977812575E-7</v>
      </c>
    </row>
    <row r="212" spans="1:16" hidden="1" x14ac:dyDescent="0.35">
      <c r="A212" s="3">
        <f xml:space="preserve"> ROW( data_scaledImpacts[[#This Row],[row_id]] ) - ROW( data_scaledImpacts[[#Headers],[row_id]] )</f>
        <v>211</v>
      </c>
      <c r="B212" s="41" t="str">
        <f xml:space="preserve"> _xlfn.TEXTJOIN( "", , data_scaledImpacts[[#This Row],[sector]:[impactType]] )</f>
        <v>ExtremeTempCanESM232010Adaptationhot</v>
      </c>
      <c r="C212" s="33" t="s">
        <v>17</v>
      </c>
      <c r="D212" s="33" t="s">
        <v>0</v>
      </c>
      <c r="E212" s="34">
        <v>3</v>
      </c>
      <c r="F212" s="34">
        <v>2010</v>
      </c>
      <c r="G212" s="34" t="s">
        <v>774</v>
      </c>
      <c r="H212" s="35" t="s">
        <v>14</v>
      </c>
      <c r="I212" s="43" t="s">
        <v>19</v>
      </c>
      <c r="J212" s="36">
        <v>1.5184045167974398E-6</v>
      </c>
      <c r="K212" s="36">
        <v>3.2299388152694874E-6</v>
      </c>
      <c r="L212" s="37"/>
      <c r="M212" s="36"/>
      <c r="N212" s="36">
        <v>1.3404561677086344E-5</v>
      </c>
      <c r="O212" s="36">
        <v>1.6200794703292106E-5</v>
      </c>
      <c r="P212">
        <v>4.2691064066222847E-6</v>
      </c>
    </row>
    <row r="213" spans="1:16" hidden="1" x14ac:dyDescent="0.35">
      <c r="A213" s="3">
        <f xml:space="preserve"> ROW( data_scaledImpacts[[#This Row],[row_id]] ) - ROW( data_scaledImpacts[[#Headers],[row_id]] )</f>
        <v>212</v>
      </c>
      <c r="B213" s="41" t="str">
        <f xml:space="preserve"> _xlfn.TEXTJOIN( "", , data_scaledImpacts[[#This Row],[sector]:[impactType]] )</f>
        <v>ExtremeTempCCSM432010Adaptationhot</v>
      </c>
      <c r="C213" s="33" t="s">
        <v>17</v>
      </c>
      <c r="D213" s="33" t="s">
        <v>1</v>
      </c>
      <c r="E213" s="34">
        <v>3</v>
      </c>
      <c r="F213" s="34">
        <v>2010</v>
      </c>
      <c r="G213" s="34" t="s">
        <v>774</v>
      </c>
      <c r="H213" s="35" t="s">
        <v>14</v>
      </c>
      <c r="I213" s="43" t="s">
        <v>20</v>
      </c>
      <c r="J213" s="36">
        <v>2.0816751664151472E-6</v>
      </c>
      <c r="K213" s="36">
        <v>5.887951750781874E-6</v>
      </c>
      <c r="L213" s="37"/>
      <c r="M213" s="36"/>
      <c r="N213" s="36">
        <v>1.2109514456205967E-5</v>
      </c>
      <c r="O213" s="36">
        <v>1.1461252762879814E-5</v>
      </c>
      <c r="P213">
        <v>1.0355243996980745E-6</v>
      </c>
    </row>
    <row r="214" spans="1:16" hidden="1" x14ac:dyDescent="0.35">
      <c r="A214" s="3">
        <f xml:space="preserve"> ROW( data_scaledImpacts[[#This Row],[row_id]] ) - ROW( data_scaledImpacts[[#Headers],[row_id]] )</f>
        <v>213</v>
      </c>
      <c r="B214" s="41" t="str">
        <f xml:space="preserve"> _xlfn.TEXTJOIN( "", , data_scaledImpacts[[#This Row],[sector]:[impactType]] )</f>
        <v>ExtremeTempGISS-E2-R32010Adaptationhot</v>
      </c>
      <c r="C214" s="33" t="s">
        <v>17</v>
      </c>
      <c r="D214" s="33" t="s">
        <v>2</v>
      </c>
      <c r="E214" s="34">
        <v>3</v>
      </c>
      <c r="F214" s="34">
        <v>2010</v>
      </c>
      <c r="G214" s="34" t="s">
        <v>774</v>
      </c>
      <c r="H214" s="35" t="s">
        <v>14</v>
      </c>
      <c r="I214" s="43" t="s">
        <v>21</v>
      </c>
      <c r="J214" s="36">
        <v>5.6790876480137597E-6</v>
      </c>
      <c r="K214" s="36">
        <v>8.6302156011341939E-6</v>
      </c>
      <c r="L214" s="37"/>
      <c r="M214" s="36"/>
      <c r="N214" s="36">
        <v>2.0860823504418933E-5</v>
      </c>
      <c r="O214" s="36">
        <v>1.6958777291546655E-5</v>
      </c>
      <c r="P214">
        <v>2.4556632449627035E-6</v>
      </c>
    </row>
    <row r="215" spans="1:16" hidden="1" x14ac:dyDescent="0.35">
      <c r="A215" s="3">
        <f xml:space="preserve"> ROW( data_scaledImpacts[[#This Row],[row_id]] ) - ROW( data_scaledImpacts[[#Headers],[row_id]] )</f>
        <v>214</v>
      </c>
      <c r="B215" s="41" t="str">
        <f xml:space="preserve"> _xlfn.TEXTJOIN( "", , data_scaledImpacts[[#This Row],[sector]:[impactType]] )</f>
        <v>ExtremeTempHadGEM2-ES32010Adaptationhot</v>
      </c>
      <c r="C215" s="33" t="s">
        <v>17</v>
      </c>
      <c r="D215" s="33" t="s">
        <v>3</v>
      </c>
      <c r="E215" s="34">
        <v>3</v>
      </c>
      <c r="F215" s="34">
        <v>2010</v>
      </c>
      <c r="G215" s="34" t="s">
        <v>774</v>
      </c>
      <c r="H215" s="35" t="s">
        <v>14</v>
      </c>
      <c r="I215" s="43" t="s">
        <v>22</v>
      </c>
      <c r="J215" s="36">
        <v>6.5412631098088143E-6</v>
      </c>
      <c r="K215" s="36">
        <v>6.7005627742194473E-6</v>
      </c>
      <c r="L215" s="37"/>
      <c r="M215" s="36"/>
      <c r="N215" s="36">
        <v>2.2317581856161031E-5</v>
      </c>
      <c r="O215" s="36">
        <v>1.4164851992037861E-5</v>
      </c>
      <c r="P215">
        <v>7.1851696501140149E-7</v>
      </c>
    </row>
    <row r="216" spans="1:16" hidden="1" x14ac:dyDescent="0.35">
      <c r="A216" s="3">
        <f xml:space="preserve"> ROW( data_scaledImpacts[[#This Row],[row_id]] ) - ROW( data_scaledImpacts[[#Headers],[row_id]] )</f>
        <v>215</v>
      </c>
      <c r="B216" s="41" t="str">
        <f xml:space="preserve"> _xlfn.TEXTJOIN( "", , data_scaledImpacts[[#This Row],[sector]:[impactType]] )</f>
        <v>ExtremeTempMIROC532010Adaptationhot</v>
      </c>
      <c r="C216" s="33" t="s">
        <v>17</v>
      </c>
      <c r="D216" s="33" t="s">
        <v>4</v>
      </c>
      <c r="E216" s="34">
        <v>3</v>
      </c>
      <c r="F216" s="34">
        <v>2010</v>
      </c>
      <c r="G216" s="34" t="s">
        <v>774</v>
      </c>
      <c r="H216" s="35" t="s">
        <v>14</v>
      </c>
      <c r="I216" s="43" t="s">
        <v>23</v>
      </c>
      <c r="J216" s="36">
        <v>8.1190135511262876E-7</v>
      </c>
      <c r="K216" s="36">
        <v>1.8272459662555837E-6</v>
      </c>
      <c r="L216" s="37"/>
      <c r="M216" s="36"/>
      <c r="N216" s="36">
        <v>7.6952459916340551E-6</v>
      </c>
      <c r="O216" s="36">
        <v>1.1628427602158108E-5</v>
      </c>
      <c r="P216">
        <v>4.8222126750399644E-7</v>
      </c>
    </row>
    <row r="217" spans="1:16" hidden="1" x14ac:dyDescent="0.35">
      <c r="A217" s="3">
        <f xml:space="preserve"> ROW( data_scaledImpacts[[#This Row],[row_id]] ) - ROW( data_scaledImpacts[[#Headers],[row_id]] )</f>
        <v>216</v>
      </c>
      <c r="B217" s="41" t="str">
        <f xml:space="preserve"> _xlfn.TEXTJOIN( "", , data_scaledImpacts[[#This Row],[sector]:[impactType]] )</f>
        <v>ExtremeTempGFDL-CM332010Adaptationhot</v>
      </c>
      <c r="C217" s="33" t="s">
        <v>17</v>
      </c>
      <c r="D217" s="33" t="s">
        <v>5</v>
      </c>
      <c r="E217" s="34">
        <v>3</v>
      </c>
      <c r="F217" s="34">
        <v>2010</v>
      </c>
      <c r="G217" s="34" t="s">
        <v>774</v>
      </c>
      <c r="H217" s="35" t="s">
        <v>14</v>
      </c>
      <c r="I217" s="43" t="s">
        <v>24</v>
      </c>
      <c r="J217" s="36">
        <v>2.5007998592662985E-6</v>
      </c>
      <c r="K217" s="36">
        <v>1.1408778468536613E-5</v>
      </c>
      <c r="L217" s="37"/>
      <c r="M217" s="36"/>
      <c r="N217" s="36">
        <v>1.7421529080044043E-5</v>
      </c>
      <c r="O217" s="36">
        <v>2.6621157903573021E-5</v>
      </c>
      <c r="P217">
        <v>3.0720237545260549E-6</v>
      </c>
    </row>
    <row r="218" spans="1:16" hidden="1" x14ac:dyDescent="0.35">
      <c r="A218" s="3">
        <f xml:space="preserve"> ROW( data_scaledImpacts[[#This Row],[row_id]] ) - ROW( data_scaledImpacts[[#Headers],[row_id]] )</f>
        <v>217</v>
      </c>
      <c r="B218" s="41" t="str">
        <f xml:space="preserve"> _xlfn.TEXTJOIN( "", , data_scaledImpacts[[#This Row],[sector]:[impactType]] )</f>
        <v>ExtremeTempGCM Average32010Adaptationhot</v>
      </c>
      <c r="C218" s="33" t="s">
        <v>17</v>
      </c>
      <c r="D218" s="33" t="s">
        <v>15</v>
      </c>
      <c r="E218" s="34">
        <v>3</v>
      </c>
      <c r="F218" s="34">
        <v>2010</v>
      </c>
      <c r="G218" s="34" t="s">
        <v>774</v>
      </c>
      <c r="H218" s="35" t="s">
        <v>14</v>
      </c>
      <c r="I218" s="43" t="s">
        <v>25</v>
      </c>
      <c r="J218" s="36">
        <v>3.1888552759023473E-6</v>
      </c>
      <c r="K218" s="36">
        <v>6.280782229366201E-6</v>
      </c>
      <c r="L218" s="37" t="s">
        <v>26</v>
      </c>
      <c r="M218" s="36" t="s">
        <v>26</v>
      </c>
      <c r="N218" s="36">
        <v>1.5634876094258395E-5</v>
      </c>
      <c r="O218" s="36">
        <v>1.6172543709247926E-5</v>
      </c>
      <c r="P218">
        <v>2.0055093397207524E-6</v>
      </c>
    </row>
    <row r="219" spans="1:16" hidden="1" x14ac:dyDescent="0.35">
      <c r="A219" s="3">
        <f xml:space="preserve"> ROW( data_scaledImpacts[[#This Row],[row_id]] ) - ROW( data_scaledImpacts[[#Headers],[row_id]] )</f>
        <v>218</v>
      </c>
      <c r="B219" s="41" t="str">
        <f xml:space="preserve"> _xlfn.TEXTJOIN( "", , data_scaledImpacts[[#This Row],[sector]:[impactType]] )</f>
        <v>ExtremeTempCanESM242010Adaptationhot</v>
      </c>
      <c r="C219" s="33" t="s">
        <v>17</v>
      </c>
      <c r="D219" s="33" t="s">
        <v>0</v>
      </c>
      <c r="E219" s="34">
        <v>4</v>
      </c>
      <c r="F219" s="34">
        <v>2010</v>
      </c>
      <c r="G219" s="34" t="s">
        <v>774</v>
      </c>
      <c r="H219" s="35" t="s">
        <v>14</v>
      </c>
      <c r="I219" s="43" t="s">
        <v>19</v>
      </c>
      <c r="J219" s="36">
        <v>3.6102588731327773E-6</v>
      </c>
      <c r="K219" s="36">
        <v>8.623645913694533E-6</v>
      </c>
      <c r="L219" s="37"/>
      <c r="M219" s="36"/>
      <c r="N219" s="36">
        <v>2.9510386065632642E-5</v>
      </c>
      <c r="O219" s="36">
        <v>3.6949016101447298E-5</v>
      </c>
      <c r="P219">
        <v>5.9866748990817873E-6</v>
      </c>
    </row>
    <row r="220" spans="1:16" hidden="1" x14ac:dyDescent="0.35">
      <c r="A220" s="3">
        <f xml:space="preserve"> ROW( data_scaledImpacts[[#This Row],[row_id]] ) - ROW( data_scaledImpacts[[#Headers],[row_id]] )</f>
        <v>219</v>
      </c>
      <c r="B220" s="41" t="str">
        <f xml:space="preserve"> _xlfn.TEXTJOIN( "", , data_scaledImpacts[[#This Row],[sector]:[impactType]] )</f>
        <v>ExtremeTempCCSM442010Adaptationhot</v>
      </c>
      <c r="C220" s="33" t="s">
        <v>17</v>
      </c>
      <c r="D220" s="33" t="s">
        <v>1</v>
      </c>
      <c r="E220" s="34">
        <v>4</v>
      </c>
      <c r="F220" s="34">
        <v>2010</v>
      </c>
      <c r="G220" s="34" t="s">
        <v>774</v>
      </c>
      <c r="H220" s="35" t="s">
        <v>14</v>
      </c>
      <c r="I220" s="43" t="s">
        <v>20</v>
      </c>
      <c r="J220" s="36">
        <v>3.4863850869394825E-6</v>
      </c>
      <c r="K220" s="36">
        <v>1.1618615521128715E-5</v>
      </c>
      <c r="L220" s="37"/>
      <c r="M220" s="36"/>
      <c r="N220" s="36">
        <v>2.1061213859037E-5</v>
      </c>
      <c r="O220" s="36">
        <v>1.9102339132843479E-5</v>
      </c>
      <c r="P220">
        <v>2.2299815473364876E-6</v>
      </c>
    </row>
    <row r="221" spans="1:16" hidden="1" x14ac:dyDescent="0.35">
      <c r="A221" s="3">
        <f xml:space="preserve"> ROW( data_scaledImpacts[[#This Row],[row_id]] ) - ROW( data_scaledImpacts[[#Headers],[row_id]] )</f>
        <v>220</v>
      </c>
      <c r="B221" s="41" t="str">
        <f xml:space="preserve"> _xlfn.TEXTJOIN( "", , data_scaledImpacts[[#This Row],[sector]:[impactType]] )</f>
        <v>ExtremeTempGISS-E2-R42010Adaptationhot</v>
      </c>
      <c r="C221" s="33" t="s">
        <v>17</v>
      </c>
      <c r="D221" s="33" t="s">
        <v>2</v>
      </c>
      <c r="E221" s="34">
        <v>4</v>
      </c>
      <c r="F221" s="34">
        <v>2010</v>
      </c>
      <c r="G221" s="34" t="s">
        <v>774</v>
      </c>
      <c r="H221" s="35" t="s">
        <v>14</v>
      </c>
      <c r="I221" s="43" t="s">
        <v>21</v>
      </c>
      <c r="J221" s="36"/>
      <c r="K221" s="36"/>
      <c r="L221" s="37"/>
      <c r="M221" s="36"/>
      <c r="N221" s="36"/>
      <c r="O221" s="36"/>
    </row>
    <row r="222" spans="1:16" hidden="1" x14ac:dyDescent="0.35">
      <c r="A222" s="3">
        <f xml:space="preserve"> ROW( data_scaledImpacts[[#This Row],[row_id]] ) - ROW( data_scaledImpacts[[#Headers],[row_id]] )</f>
        <v>221</v>
      </c>
      <c r="B222" s="41" t="str">
        <f xml:space="preserve"> _xlfn.TEXTJOIN( "", , data_scaledImpacts[[#This Row],[sector]:[impactType]] )</f>
        <v>ExtremeTempHadGEM2-ES42010Adaptationhot</v>
      </c>
      <c r="C222" s="33" t="s">
        <v>17</v>
      </c>
      <c r="D222" s="33" t="s">
        <v>3</v>
      </c>
      <c r="E222" s="34">
        <v>4</v>
      </c>
      <c r="F222" s="34">
        <v>2010</v>
      </c>
      <c r="G222" s="34" t="s">
        <v>774</v>
      </c>
      <c r="H222" s="35" t="s">
        <v>14</v>
      </c>
      <c r="I222" s="43" t="s">
        <v>22</v>
      </c>
      <c r="J222" s="36">
        <v>1.0141899778058352E-5</v>
      </c>
      <c r="K222" s="36">
        <v>1.2624241601787999E-5</v>
      </c>
      <c r="L222" s="37"/>
      <c r="M222" s="36"/>
      <c r="N222" s="36">
        <v>3.6913427736803656E-5</v>
      </c>
      <c r="O222" s="36">
        <v>2.7823692233783425E-5</v>
      </c>
      <c r="P222">
        <v>1.816176421368382E-6</v>
      </c>
    </row>
    <row r="223" spans="1:16" hidden="1" x14ac:dyDescent="0.35">
      <c r="A223" s="3">
        <f xml:space="preserve"> ROW( data_scaledImpacts[[#This Row],[row_id]] ) - ROW( data_scaledImpacts[[#Headers],[row_id]] )</f>
        <v>222</v>
      </c>
      <c r="B223" s="41" t="str">
        <f xml:space="preserve"> _xlfn.TEXTJOIN( "", , data_scaledImpacts[[#This Row],[sector]:[impactType]] )</f>
        <v>ExtremeTempMIROC542010Adaptationhot</v>
      </c>
      <c r="C223" s="33" t="s">
        <v>17</v>
      </c>
      <c r="D223" s="33" t="s">
        <v>4</v>
      </c>
      <c r="E223" s="34">
        <v>4</v>
      </c>
      <c r="F223" s="34">
        <v>2010</v>
      </c>
      <c r="G223" s="34" t="s">
        <v>774</v>
      </c>
      <c r="H223" s="35" t="s">
        <v>14</v>
      </c>
      <c r="I223" s="43" t="s">
        <v>23</v>
      </c>
      <c r="J223" s="36">
        <v>3.1769107600950978E-6</v>
      </c>
      <c r="K223" s="36">
        <v>5.6593789619939667E-6</v>
      </c>
      <c r="L223" s="37"/>
      <c r="M223" s="36"/>
      <c r="N223" s="36">
        <v>1.8416617283787478E-5</v>
      </c>
      <c r="O223" s="36">
        <v>3.2581853445585543E-5</v>
      </c>
      <c r="P223">
        <v>1.6194157194127865E-6</v>
      </c>
    </row>
    <row r="224" spans="1:16" hidden="1" x14ac:dyDescent="0.35">
      <c r="A224" s="3">
        <f xml:space="preserve"> ROW( data_scaledImpacts[[#This Row],[row_id]] ) - ROW( data_scaledImpacts[[#Headers],[row_id]] )</f>
        <v>223</v>
      </c>
      <c r="B224" s="41" t="str">
        <f xml:space="preserve"> _xlfn.TEXTJOIN( "", , data_scaledImpacts[[#This Row],[sector]:[impactType]] )</f>
        <v>ExtremeTempGFDL-CM342010Adaptationhot</v>
      </c>
      <c r="C224" s="33" t="s">
        <v>17</v>
      </c>
      <c r="D224" s="33" t="s">
        <v>5</v>
      </c>
      <c r="E224" s="34">
        <v>4</v>
      </c>
      <c r="F224" s="34">
        <v>2010</v>
      </c>
      <c r="G224" s="34" t="s">
        <v>774</v>
      </c>
      <c r="H224" s="35" t="s">
        <v>14</v>
      </c>
      <c r="I224" s="43" t="s">
        <v>24</v>
      </c>
      <c r="J224" s="36">
        <v>7.21556184594962E-6</v>
      </c>
      <c r="K224" s="36">
        <v>2.2167691800581898E-5</v>
      </c>
      <c r="L224" s="37"/>
      <c r="M224" s="36"/>
      <c r="N224" s="36">
        <v>3.8214501108199359E-5</v>
      </c>
      <c r="O224" s="36">
        <v>5.018920820395091E-5</v>
      </c>
      <c r="P224">
        <v>5.9429151412075282E-6</v>
      </c>
    </row>
    <row r="225" spans="1:16" hidden="1" x14ac:dyDescent="0.35">
      <c r="A225" s="3">
        <f xml:space="preserve"> ROW( data_scaledImpacts[[#This Row],[row_id]] ) - ROW( data_scaledImpacts[[#Headers],[row_id]] )</f>
        <v>224</v>
      </c>
      <c r="B225" s="41" t="str">
        <f xml:space="preserve"> _xlfn.TEXTJOIN( "", , data_scaledImpacts[[#This Row],[sector]:[impactType]] )</f>
        <v>ExtremeTempGCM Average42010Adaptationhot</v>
      </c>
      <c r="C225" s="33" t="s">
        <v>17</v>
      </c>
      <c r="D225" s="33" t="s">
        <v>15</v>
      </c>
      <c r="E225" s="34">
        <v>4</v>
      </c>
      <c r="F225" s="34">
        <v>2010</v>
      </c>
      <c r="G225" s="34" t="s">
        <v>774</v>
      </c>
      <c r="H225" s="35" t="s">
        <v>14</v>
      </c>
      <c r="I225" s="43" t="s">
        <v>25</v>
      </c>
      <c r="J225" s="36">
        <v>5.5262032688350653E-6</v>
      </c>
      <c r="K225" s="36">
        <v>1.2138714759837424E-5</v>
      </c>
      <c r="L225" s="37" t="s">
        <v>26</v>
      </c>
      <c r="M225" s="36" t="s">
        <v>26</v>
      </c>
      <c r="N225" s="36">
        <v>2.8823229210692027E-5</v>
      </c>
      <c r="O225" s="36">
        <v>3.3329221823522128E-5</v>
      </c>
      <c r="P225">
        <v>3.5190327456813942E-6</v>
      </c>
    </row>
    <row r="226" spans="1:16" hidden="1" x14ac:dyDescent="0.35">
      <c r="A226" s="3">
        <f xml:space="preserve"> ROW( data_scaledImpacts[[#This Row],[row_id]] ) - ROW( data_scaledImpacts[[#Headers],[row_id]] )</f>
        <v>225</v>
      </c>
      <c r="B226" s="41" t="str">
        <f xml:space="preserve"> _xlfn.TEXTJOIN( "", , data_scaledImpacts[[#This Row],[sector]:[impactType]] )</f>
        <v>ExtremeTempCanESM252010Adaptationhot</v>
      </c>
      <c r="C226" s="33" t="s">
        <v>17</v>
      </c>
      <c r="D226" s="33" t="s">
        <v>0</v>
      </c>
      <c r="E226" s="34">
        <v>5</v>
      </c>
      <c r="F226" s="34">
        <v>2010</v>
      </c>
      <c r="G226" s="34" t="s">
        <v>774</v>
      </c>
      <c r="H226" s="35" t="s">
        <v>14</v>
      </c>
      <c r="I226" s="43" t="s">
        <v>19</v>
      </c>
      <c r="J226" s="36">
        <v>8.1953954145155381E-6</v>
      </c>
      <c r="K226" s="36">
        <v>2.3232587336989161E-5</v>
      </c>
      <c r="L226" s="37"/>
      <c r="M226" s="36"/>
      <c r="N226" s="36">
        <v>5.3714748343555019E-5</v>
      </c>
      <c r="O226" s="36">
        <v>5.0108153990646456E-5</v>
      </c>
      <c r="P226">
        <v>8.7591611365524488E-6</v>
      </c>
    </row>
    <row r="227" spans="1:16" hidden="1" x14ac:dyDescent="0.35">
      <c r="A227" s="3">
        <f xml:space="preserve"> ROW( data_scaledImpacts[[#This Row],[row_id]] ) - ROW( data_scaledImpacts[[#Headers],[row_id]] )</f>
        <v>226</v>
      </c>
      <c r="B227" s="41" t="str">
        <f xml:space="preserve"> _xlfn.TEXTJOIN( "", , data_scaledImpacts[[#This Row],[sector]:[impactType]] )</f>
        <v>ExtremeTempCCSM452010Adaptationhot</v>
      </c>
      <c r="C227" s="33" t="s">
        <v>17</v>
      </c>
      <c r="D227" s="33" t="s">
        <v>1</v>
      </c>
      <c r="E227" s="34">
        <v>5</v>
      </c>
      <c r="F227" s="34">
        <v>2010</v>
      </c>
      <c r="G227" s="34" t="s">
        <v>774</v>
      </c>
      <c r="H227" s="35" t="s">
        <v>14</v>
      </c>
      <c r="I227" s="43" t="s">
        <v>20</v>
      </c>
      <c r="J227" s="36">
        <v>6.3324850309100522E-6</v>
      </c>
      <c r="K227" s="36">
        <v>1.6069547734107322E-5</v>
      </c>
      <c r="L227" s="37"/>
      <c r="M227" s="36"/>
      <c r="N227" s="36">
        <v>3.8073114154681265E-5</v>
      </c>
      <c r="O227" s="36">
        <v>3.7754028618940976E-5</v>
      </c>
      <c r="P227">
        <v>3.6705016525833485E-6</v>
      </c>
    </row>
    <row r="228" spans="1:16" hidden="1" x14ac:dyDescent="0.35">
      <c r="A228" s="3">
        <f xml:space="preserve"> ROW( data_scaledImpacts[[#This Row],[row_id]] ) - ROW( data_scaledImpacts[[#Headers],[row_id]] )</f>
        <v>227</v>
      </c>
      <c r="B228" s="41" t="str">
        <f xml:space="preserve"> _xlfn.TEXTJOIN( "", , data_scaledImpacts[[#This Row],[sector]:[impactType]] )</f>
        <v>ExtremeTempGISS-E2-R52010Adaptationhot</v>
      </c>
      <c r="C228" s="33" t="s">
        <v>17</v>
      </c>
      <c r="D228" s="33" t="s">
        <v>2</v>
      </c>
      <c r="E228" s="34">
        <v>5</v>
      </c>
      <c r="F228" s="34">
        <v>2010</v>
      </c>
      <c r="G228" s="34" t="s">
        <v>774</v>
      </c>
      <c r="H228" s="35" t="s">
        <v>14</v>
      </c>
      <c r="I228" s="43" t="s">
        <v>21</v>
      </c>
      <c r="J228" s="36"/>
      <c r="K228" s="36"/>
      <c r="L228" s="37"/>
      <c r="M228" s="36"/>
      <c r="N228" s="36"/>
      <c r="O228" s="36"/>
    </row>
    <row r="229" spans="1:16" hidden="1" x14ac:dyDescent="0.35">
      <c r="A229" s="3">
        <f xml:space="preserve"> ROW( data_scaledImpacts[[#This Row],[row_id]] ) - ROW( data_scaledImpacts[[#Headers],[row_id]] )</f>
        <v>228</v>
      </c>
      <c r="B229" s="41" t="str">
        <f xml:space="preserve"> _xlfn.TEXTJOIN( "", , data_scaledImpacts[[#This Row],[sector]:[impactType]] )</f>
        <v>ExtremeTempHadGEM2-ES52010Adaptationhot</v>
      </c>
      <c r="C229" s="33" t="s">
        <v>17</v>
      </c>
      <c r="D229" s="33" t="s">
        <v>3</v>
      </c>
      <c r="E229" s="34">
        <v>5</v>
      </c>
      <c r="F229" s="34">
        <v>2010</v>
      </c>
      <c r="G229" s="34" t="s">
        <v>774</v>
      </c>
      <c r="H229" s="35" t="s">
        <v>14</v>
      </c>
      <c r="I229" s="43" t="s">
        <v>22</v>
      </c>
      <c r="J229" s="36">
        <v>1.8864650792114589E-5</v>
      </c>
      <c r="K229" s="36">
        <v>2.5008383506615342E-5</v>
      </c>
      <c r="L229" s="37"/>
      <c r="M229" s="36"/>
      <c r="N229" s="36">
        <v>5.7138608283965258E-5</v>
      </c>
      <c r="O229" s="36">
        <v>4.205081065046637E-5</v>
      </c>
      <c r="P229">
        <v>3.3049793451084995E-6</v>
      </c>
    </row>
    <row r="230" spans="1:16" hidden="1" x14ac:dyDescent="0.35">
      <c r="A230" s="3">
        <f xml:space="preserve"> ROW( data_scaledImpacts[[#This Row],[row_id]] ) - ROW( data_scaledImpacts[[#Headers],[row_id]] )</f>
        <v>229</v>
      </c>
      <c r="B230" s="41" t="str">
        <f xml:space="preserve"> _xlfn.TEXTJOIN( "", , data_scaledImpacts[[#This Row],[sector]:[impactType]] )</f>
        <v>ExtremeTempMIROC552010Adaptationhot</v>
      </c>
      <c r="C230" s="33" t="s">
        <v>17</v>
      </c>
      <c r="D230" s="33" t="s">
        <v>4</v>
      </c>
      <c r="E230" s="34">
        <v>5</v>
      </c>
      <c r="F230" s="34">
        <v>2010</v>
      </c>
      <c r="G230" s="34" t="s">
        <v>774</v>
      </c>
      <c r="H230" s="35" t="s">
        <v>14</v>
      </c>
      <c r="I230" s="43" t="s">
        <v>23</v>
      </c>
      <c r="J230" s="36">
        <v>6.9973584134305112E-6</v>
      </c>
      <c r="K230" s="36">
        <v>9.195432922052715E-6</v>
      </c>
      <c r="L230" s="37"/>
      <c r="M230" s="36"/>
      <c r="N230" s="36">
        <v>3.5025218208164195E-5</v>
      </c>
      <c r="O230" s="36">
        <v>5.9797271439870686E-5</v>
      </c>
      <c r="P230">
        <v>3.2871193950228296E-6</v>
      </c>
    </row>
    <row r="231" spans="1:16" hidden="1" x14ac:dyDescent="0.35">
      <c r="A231" s="3">
        <f xml:space="preserve"> ROW( data_scaledImpacts[[#This Row],[row_id]] ) - ROW( data_scaledImpacts[[#Headers],[row_id]] )</f>
        <v>230</v>
      </c>
      <c r="B231" s="41" t="str">
        <f xml:space="preserve"> _xlfn.TEXTJOIN( "", , data_scaledImpacts[[#This Row],[sector]:[impactType]] )</f>
        <v>ExtremeTempGFDL-CM352010Adaptationhot</v>
      </c>
      <c r="C231" s="33" t="s">
        <v>17</v>
      </c>
      <c r="D231" s="33" t="s">
        <v>5</v>
      </c>
      <c r="E231" s="34">
        <v>5</v>
      </c>
      <c r="F231" s="34">
        <v>2010</v>
      </c>
      <c r="G231" s="34" t="s">
        <v>774</v>
      </c>
      <c r="H231" s="35" t="s">
        <v>14</v>
      </c>
      <c r="I231" s="43" t="s">
        <v>24</v>
      </c>
      <c r="J231" s="36">
        <v>1.6237407623202184E-5</v>
      </c>
      <c r="K231" s="36">
        <v>3.2136037761896358E-5</v>
      </c>
      <c r="L231" s="37"/>
      <c r="M231" s="36"/>
      <c r="N231" s="36">
        <v>5.4083060336047306E-5</v>
      </c>
      <c r="O231" s="36">
        <v>6.8087558641966427E-5</v>
      </c>
      <c r="P231">
        <v>8.2514339380506462E-6</v>
      </c>
    </row>
    <row r="232" spans="1:16" hidden="1" x14ac:dyDescent="0.35">
      <c r="A232" s="3">
        <f xml:space="preserve"> ROW( data_scaledImpacts[[#This Row],[row_id]] ) - ROW( data_scaledImpacts[[#Headers],[row_id]] )</f>
        <v>231</v>
      </c>
      <c r="B232" s="41" t="str">
        <f xml:space="preserve"> _xlfn.TEXTJOIN( "", , data_scaledImpacts[[#This Row],[sector]:[impactType]] )</f>
        <v>ExtremeTempGCM Average52010Adaptationhot</v>
      </c>
      <c r="C232" s="33" t="s">
        <v>17</v>
      </c>
      <c r="D232" s="33" t="s">
        <v>15</v>
      </c>
      <c r="E232" s="34">
        <v>5</v>
      </c>
      <c r="F232" s="34">
        <v>2010</v>
      </c>
      <c r="G232" s="34" t="s">
        <v>774</v>
      </c>
      <c r="H232" s="35" t="s">
        <v>14</v>
      </c>
      <c r="I232" s="43" t="s">
        <v>25</v>
      </c>
      <c r="J232" s="36">
        <v>1.1325459454834575E-5</v>
      </c>
      <c r="K232" s="36">
        <v>2.1128397852332176E-5</v>
      </c>
      <c r="L232" s="37" t="s">
        <v>26</v>
      </c>
      <c r="M232" s="36" t="s">
        <v>26</v>
      </c>
      <c r="N232" s="36">
        <v>4.7606949865282611E-5</v>
      </c>
      <c r="O232" s="36">
        <v>5.1559564668378183E-5</v>
      </c>
      <c r="P232">
        <v>5.4546390934635554E-6</v>
      </c>
    </row>
    <row r="233" spans="1:16" hidden="1" x14ac:dyDescent="0.35">
      <c r="A233" s="3">
        <f xml:space="preserve"> ROW( data_scaledImpacts[[#This Row],[row_id]] ) - ROW( data_scaledImpacts[[#Headers],[row_id]] )</f>
        <v>232</v>
      </c>
      <c r="B233" s="41" t="str">
        <f xml:space="preserve"> _xlfn.TEXTJOIN( "", , data_scaledImpacts[[#This Row],[sector]:[impactType]] )</f>
        <v>ExtremeTempCanESM262010Adaptationhot</v>
      </c>
      <c r="C233" s="33" t="s">
        <v>17</v>
      </c>
      <c r="D233" s="33" t="s">
        <v>0</v>
      </c>
      <c r="E233" s="34">
        <v>6</v>
      </c>
      <c r="F233" s="34">
        <v>2010</v>
      </c>
      <c r="G233" s="34" t="s">
        <v>774</v>
      </c>
      <c r="H233" s="35" t="s">
        <v>14</v>
      </c>
      <c r="I233" s="43" t="s">
        <v>19</v>
      </c>
      <c r="J233" s="36">
        <v>1.5426273348739735E-5</v>
      </c>
      <c r="K233" s="36">
        <v>3.6131883487879782E-5</v>
      </c>
      <c r="L233" s="37"/>
      <c r="M233" s="36"/>
      <c r="N233" s="36">
        <v>7.3886960319122973E-5</v>
      </c>
      <c r="O233" s="36">
        <v>6.8906117490668135E-5</v>
      </c>
      <c r="P233">
        <v>1.351950517537198E-5</v>
      </c>
    </row>
    <row r="234" spans="1:16" hidden="1" x14ac:dyDescent="0.35">
      <c r="A234" s="3">
        <f xml:space="preserve"> ROW( data_scaledImpacts[[#This Row],[row_id]] ) - ROW( data_scaledImpacts[[#Headers],[row_id]] )</f>
        <v>233</v>
      </c>
      <c r="B234" s="41" t="str">
        <f xml:space="preserve"> _xlfn.TEXTJOIN( "", , data_scaledImpacts[[#This Row],[sector]:[impactType]] )</f>
        <v>ExtremeTempCCSM462010Adaptationhot</v>
      </c>
      <c r="C234" s="33" t="s">
        <v>17</v>
      </c>
      <c r="D234" s="33" t="s">
        <v>1</v>
      </c>
      <c r="E234" s="34">
        <v>6</v>
      </c>
      <c r="F234" s="34">
        <v>2010</v>
      </c>
      <c r="G234" s="34" t="s">
        <v>774</v>
      </c>
      <c r="H234" s="35" t="s">
        <v>14</v>
      </c>
      <c r="I234" s="43" t="s">
        <v>20</v>
      </c>
      <c r="J234" s="36"/>
      <c r="K234" s="36"/>
      <c r="L234" s="37"/>
      <c r="M234" s="36"/>
      <c r="N234" s="36"/>
      <c r="O234" s="36"/>
    </row>
    <row r="235" spans="1:16" hidden="1" x14ac:dyDescent="0.35">
      <c r="A235" s="3">
        <f xml:space="preserve"> ROW( data_scaledImpacts[[#This Row],[row_id]] ) - ROW( data_scaledImpacts[[#Headers],[row_id]] )</f>
        <v>234</v>
      </c>
      <c r="B235" s="41" t="str">
        <f xml:space="preserve"> _xlfn.TEXTJOIN( "", , data_scaledImpacts[[#This Row],[sector]:[impactType]] )</f>
        <v>ExtremeTempGISS-E2-R62010Adaptationhot</v>
      </c>
      <c r="C235" s="33" t="s">
        <v>17</v>
      </c>
      <c r="D235" s="33" t="s">
        <v>2</v>
      </c>
      <c r="E235" s="34">
        <v>6</v>
      </c>
      <c r="F235" s="34">
        <v>2010</v>
      </c>
      <c r="G235" s="34" t="s">
        <v>774</v>
      </c>
      <c r="H235" s="35" t="s">
        <v>14</v>
      </c>
      <c r="I235" s="43" t="s">
        <v>21</v>
      </c>
      <c r="J235" s="36"/>
      <c r="K235" s="36"/>
      <c r="L235" s="37"/>
      <c r="M235" s="36"/>
      <c r="N235" s="36"/>
      <c r="O235" s="36"/>
    </row>
    <row r="236" spans="1:16" hidden="1" x14ac:dyDescent="0.35">
      <c r="A236" s="3">
        <f xml:space="preserve"> ROW( data_scaledImpacts[[#This Row],[row_id]] ) - ROW( data_scaledImpacts[[#Headers],[row_id]] )</f>
        <v>235</v>
      </c>
      <c r="B236" s="41" t="str">
        <f xml:space="preserve"> _xlfn.TEXTJOIN( "", , data_scaledImpacts[[#This Row],[sector]:[impactType]] )</f>
        <v>ExtremeTempHadGEM2-ES62010Adaptationhot</v>
      </c>
      <c r="C236" s="33" t="s">
        <v>17</v>
      </c>
      <c r="D236" s="33" t="s">
        <v>3</v>
      </c>
      <c r="E236" s="34">
        <v>6</v>
      </c>
      <c r="F236" s="34">
        <v>2010</v>
      </c>
      <c r="G236" s="34" t="s">
        <v>774</v>
      </c>
      <c r="H236" s="35" t="s">
        <v>14</v>
      </c>
      <c r="I236" s="43" t="s">
        <v>22</v>
      </c>
      <c r="J236" s="36">
        <v>3.446479987505321E-5</v>
      </c>
      <c r="K236" s="36">
        <v>4.0017818385689132E-5</v>
      </c>
      <c r="L236" s="37"/>
      <c r="M236" s="36"/>
      <c r="N236" s="36">
        <v>8.04437970970231E-5</v>
      </c>
      <c r="O236" s="36">
        <v>6.0258646524254636E-5</v>
      </c>
      <c r="P236">
        <v>6.6045813554678659E-6</v>
      </c>
    </row>
    <row r="237" spans="1:16" hidden="1" x14ac:dyDescent="0.35">
      <c r="A237" s="3">
        <f xml:space="preserve"> ROW( data_scaledImpacts[[#This Row],[row_id]] ) - ROW( data_scaledImpacts[[#Headers],[row_id]] )</f>
        <v>236</v>
      </c>
      <c r="B237" s="41" t="str">
        <f xml:space="preserve"> _xlfn.TEXTJOIN( "", , data_scaledImpacts[[#This Row],[sector]:[impactType]] )</f>
        <v>ExtremeTempMIROC562010Adaptationhot</v>
      </c>
      <c r="C237" s="33" t="s">
        <v>17</v>
      </c>
      <c r="D237" s="33" t="s">
        <v>4</v>
      </c>
      <c r="E237" s="34">
        <v>6</v>
      </c>
      <c r="F237" s="34">
        <v>2010</v>
      </c>
      <c r="G237" s="34" t="s">
        <v>774</v>
      </c>
      <c r="H237" s="35" t="s">
        <v>14</v>
      </c>
      <c r="I237" s="43" t="s">
        <v>23</v>
      </c>
      <c r="J237" s="36"/>
      <c r="K237" s="36"/>
      <c r="L237" s="37"/>
      <c r="M237" s="36"/>
      <c r="N237" s="36"/>
      <c r="O237" s="36"/>
    </row>
    <row r="238" spans="1:16" hidden="1" x14ac:dyDescent="0.35">
      <c r="A238" s="3">
        <f xml:space="preserve"> ROW( data_scaledImpacts[[#This Row],[row_id]] ) - ROW( data_scaledImpacts[[#Headers],[row_id]] )</f>
        <v>237</v>
      </c>
      <c r="B238" s="41" t="str">
        <f xml:space="preserve"> _xlfn.TEXTJOIN( "", , data_scaledImpacts[[#This Row],[sector]:[impactType]] )</f>
        <v>ExtremeTempGFDL-CM362010Adaptationhot</v>
      </c>
      <c r="C238" s="33" t="s">
        <v>17</v>
      </c>
      <c r="D238" s="33" t="s">
        <v>5</v>
      </c>
      <c r="E238" s="34">
        <v>6</v>
      </c>
      <c r="F238" s="34">
        <v>2010</v>
      </c>
      <c r="G238" s="34" t="s">
        <v>774</v>
      </c>
      <c r="H238" s="35" t="s">
        <v>14</v>
      </c>
      <c r="I238" s="43" t="s">
        <v>24</v>
      </c>
      <c r="J238" s="36">
        <v>2.714998087455084E-5</v>
      </c>
      <c r="K238" s="36">
        <v>4.8155748203808739E-5</v>
      </c>
      <c r="L238" s="37"/>
      <c r="M238" s="36"/>
      <c r="N238" s="36">
        <v>7.9392075062108521E-5</v>
      </c>
      <c r="O238" s="36">
        <v>8.1526112425069463E-5</v>
      </c>
      <c r="P238">
        <v>1.4646071949238171E-5</v>
      </c>
    </row>
    <row r="239" spans="1:16" hidden="1" x14ac:dyDescent="0.35">
      <c r="A239" s="3">
        <f xml:space="preserve"> ROW( data_scaledImpacts[[#This Row],[row_id]] ) - ROW( data_scaledImpacts[[#Headers],[row_id]] )</f>
        <v>238</v>
      </c>
      <c r="B239" s="41" t="str">
        <f xml:space="preserve"> _xlfn.TEXTJOIN( "", , data_scaledImpacts[[#This Row],[sector]:[impactType]] )</f>
        <v>ExtremeTempGCM Average62010Adaptationhot</v>
      </c>
      <c r="C239" s="33" t="s">
        <v>17</v>
      </c>
      <c r="D239" s="33" t="s">
        <v>15</v>
      </c>
      <c r="E239" s="34">
        <v>6</v>
      </c>
      <c r="F239" s="34">
        <v>2010</v>
      </c>
      <c r="G239" s="34" t="s">
        <v>774</v>
      </c>
      <c r="H239" s="35" t="s">
        <v>14</v>
      </c>
      <c r="I239" s="43" t="s">
        <v>25</v>
      </c>
      <c r="J239" s="36">
        <v>2.5680351366114591E-5</v>
      </c>
      <c r="K239" s="36">
        <v>4.1435150025792556E-5</v>
      </c>
      <c r="L239" s="37" t="s">
        <v>26</v>
      </c>
      <c r="M239" s="36" t="s">
        <v>26</v>
      </c>
      <c r="N239" s="36">
        <v>7.790761082608486E-5</v>
      </c>
      <c r="O239" s="36">
        <v>7.0230292146664076E-5</v>
      </c>
      <c r="P239">
        <v>1.159005282669267E-5</v>
      </c>
    </row>
    <row r="240" spans="1:16" hidden="1" x14ac:dyDescent="0.35">
      <c r="A240" s="3">
        <f xml:space="preserve"> ROW( data_scaledImpacts[[#This Row],[row_id]] ) - ROW( data_scaledImpacts[[#Headers],[row_id]] )</f>
        <v>239</v>
      </c>
      <c r="B240" s="41" t="str">
        <f xml:space="preserve"> _xlfn.TEXTJOIN( "", , data_scaledImpacts[[#This Row],[sector]:[impactType]] )</f>
        <v>ExtremeTempCanESM272010Adaptationhot</v>
      </c>
      <c r="C240" s="33" t="s">
        <v>17</v>
      </c>
      <c r="D240" s="33" t="s">
        <v>0</v>
      </c>
      <c r="E240" s="34">
        <v>7</v>
      </c>
      <c r="F240" s="34">
        <v>2010</v>
      </c>
      <c r="G240" s="34" t="s">
        <v>774</v>
      </c>
      <c r="H240" s="35" t="s">
        <v>14</v>
      </c>
      <c r="I240" s="43" t="s">
        <v>19</v>
      </c>
      <c r="J240" s="36"/>
      <c r="K240" s="36"/>
      <c r="L240" s="37"/>
      <c r="M240" s="36"/>
      <c r="N240" s="36"/>
      <c r="O240" s="36"/>
    </row>
    <row r="241" spans="1:16" hidden="1" x14ac:dyDescent="0.35">
      <c r="A241" s="3">
        <f xml:space="preserve"> ROW( data_scaledImpacts[[#This Row],[row_id]] ) - ROW( data_scaledImpacts[[#Headers],[row_id]] )</f>
        <v>240</v>
      </c>
      <c r="B241" s="41" t="str">
        <f xml:space="preserve"> _xlfn.TEXTJOIN( "", , data_scaledImpacts[[#This Row],[sector]:[impactType]] )</f>
        <v>ExtremeTempCCSM472010Adaptationhot</v>
      </c>
      <c r="C241" s="33" t="s">
        <v>17</v>
      </c>
      <c r="D241" s="33" t="s">
        <v>1</v>
      </c>
      <c r="E241" s="34">
        <v>7</v>
      </c>
      <c r="F241" s="34">
        <v>2010</v>
      </c>
      <c r="G241" s="34" t="s">
        <v>774</v>
      </c>
      <c r="H241" s="35" t="s">
        <v>14</v>
      </c>
      <c r="I241" s="43" t="s">
        <v>20</v>
      </c>
      <c r="J241" s="36"/>
      <c r="K241" s="36"/>
      <c r="L241" s="37"/>
      <c r="M241" s="36"/>
      <c r="N241" s="36"/>
      <c r="O241" s="36"/>
    </row>
    <row r="242" spans="1:16" hidden="1" x14ac:dyDescent="0.35">
      <c r="A242" s="3">
        <f xml:space="preserve"> ROW( data_scaledImpacts[[#This Row],[row_id]] ) - ROW( data_scaledImpacts[[#Headers],[row_id]] )</f>
        <v>241</v>
      </c>
      <c r="B242" s="41" t="str">
        <f xml:space="preserve"> _xlfn.TEXTJOIN( "", , data_scaledImpacts[[#This Row],[sector]:[impactType]] )</f>
        <v>ExtremeTempGISS-E2-R72010Adaptationhot</v>
      </c>
      <c r="C242" s="33" t="s">
        <v>17</v>
      </c>
      <c r="D242" s="33" t="s">
        <v>2</v>
      </c>
      <c r="E242" s="34">
        <v>7</v>
      </c>
      <c r="F242" s="34">
        <v>2010</v>
      </c>
      <c r="G242" s="34" t="s">
        <v>774</v>
      </c>
      <c r="H242" s="35" t="s">
        <v>14</v>
      </c>
      <c r="I242" s="43" t="s">
        <v>21</v>
      </c>
      <c r="J242" s="36"/>
      <c r="K242" s="36"/>
      <c r="L242" s="37"/>
      <c r="M242" s="36"/>
      <c r="N242" s="36"/>
      <c r="O242" s="36"/>
    </row>
    <row r="243" spans="1:16" hidden="1" x14ac:dyDescent="0.35">
      <c r="A243" s="3">
        <f xml:space="preserve"> ROW( data_scaledImpacts[[#This Row],[row_id]] ) - ROW( data_scaledImpacts[[#Headers],[row_id]] )</f>
        <v>242</v>
      </c>
      <c r="B243" s="41" t="str">
        <f xml:space="preserve"> _xlfn.TEXTJOIN( "", , data_scaledImpacts[[#This Row],[sector]:[impactType]] )</f>
        <v>ExtremeTempHadGEM2-ES72010Adaptationhot</v>
      </c>
      <c r="C243" s="33" t="s">
        <v>17</v>
      </c>
      <c r="D243" s="33" t="s">
        <v>3</v>
      </c>
      <c r="E243" s="34">
        <v>7</v>
      </c>
      <c r="F243" s="34">
        <v>2010</v>
      </c>
      <c r="G243" s="34" t="s">
        <v>774</v>
      </c>
      <c r="H243" s="35" t="s">
        <v>14</v>
      </c>
      <c r="I243" s="43" t="s">
        <v>22</v>
      </c>
      <c r="J243" s="36"/>
      <c r="K243" s="36"/>
      <c r="L243" s="37"/>
      <c r="M243" s="36"/>
      <c r="N243" s="36"/>
      <c r="O243" s="36"/>
    </row>
    <row r="244" spans="1:16" hidden="1" x14ac:dyDescent="0.35">
      <c r="A244" s="3">
        <f xml:space="preserve"> ROW( data_scaledImpacts[[#This Row],[row_id]] ) - ROW( data_scaledImpacts[[#Headers],[row_id]] )</f>
        <v>243</v>
      </c>
      <c r="B244" s="41" t="str">
        <f xml:space="preserve"> _xlfn.TEXTJOIN( "", , data_scaledImpacts[[#This Row],[sector]:[impactType]] )</f>
        <v>ExtremeTempMIROC572010Adaptationhot</v>
      </c>
      <c r="C244" s="33" t="s">
        <v>17</v>
      </c>
      <c r="D244" s="33" t="s">
        <v>4</v>
      </c>
      <c r="E244" s="34">
        <v>7</v>
      </c>
      <c r="F244" s="34">
        <v>2010</v>
      </c>
      <c r="G244" s="34" t="s">
        <v>774</v>
      </c>
      <c r="H244" s="35" t="s">
        <v>14</v>
      </c>
      <c r="I244" s="43" t="s">
        <v>23</v>
      </c>
      <c r="J244" s="36"/>
      <c r="K244" s="36"/>
      <c r="L244" s="37"/>
      <c r="M244" s="36"/>
      <c r="N244" s="36"/>
      <c r="O244" s="36"/>
    </row>
    <row r="245" spans="1:16" hidden="1" x14ac:dyDescent="0.35">
      <c r="A245" s="3">
        <f xml:space="preserve"> ROW( data_scaledImpacts[[#This Row],[row_id]] ) - ROW( data_scaledImpacts[[#Headers],[row_id]] )</f>
        <v>244</v>
      </c>
      <c r="B245" s="41" t="str">
        <f xml:space="preserve"> _xlfn.TEXTJOIN( "", , data_scaledImpacts[[#This Row],[sector]:[impactType]] )</f>
        <v>ExtremeTempGFDL-CM372010Adaptationhot</v>
      </c>
      <c r="C245" s="33" t="s">
        <v>17</v>
      </c>
      <c r="D245" s="33" t="s">
        <v>5</v>
      </c>
      <c r="E245" s="34">
        <v>7</v>
      </c>
      <c r="F245" s="34">
        <v>2010</v>
      </c>
      <c r="G245" s="34" t="s">
        <v>774</v>
      </c>
      <c r="H245" s="35" t="s">
        <v>14</v>
      </c>
      <c r="I245" s="43" t="s">
        <v>24</v>
      </c>
      <c r="J245" s="36"/>
      <c r="K245" s="36"/>
      <c r="L245" s="37"/>
      <c r="M245" s="36"/>
      <c r="N245" s="36"/>
      <c r="O245" s="36"/>
    </row>
    <row r="246" spans="1:16" hidden="1" x14ac:dyDescent="0.35">
      <c r="A246" s="3">
        <f xml:space="preserve"> ROW( data_scaledImpacts[[#This Row],[row_id]] ) - ROW( data_scaledImpacts[[#Headers],[row_id]] )</f>
        <v>245</v>
      </c>
      <c r="B246" s="41" t="str">
        <f xml:space="preserve"> _xlfn.TEXTJOIN( "", , data_scaledImpacts[[#This Row],[sector]:[impactType]] )</f>
        <v>ExtremeTempGCM Average72010Adaptationhot</v>
      </c>
      <c r="C246" s="33" t="s">
        <v>17</v>
      </c>
      <c r="D246" s="33" t="s">
        <v>15</v>
      </c>
      <c r="E246" s="34">
        <v>7</v>
      </c>
      <c r="F246" s="34">
        <v>2010</v>
      </c>
      <c r="G246" s="34" t="s">
        <v>774</v>
      </c>
      <c r="H246" s="35" t="s">
        <v>14</v>
      </c>
      <c r="I246" s="43" t="s">
        <v>25</v>
      </c>
      <c r="J246" s="36" t="s">
        <v>26</v>
      </c>
      <c r="K246" s="36" t="s">
        <v>26</v>
      </c>
      <c r="L246" s="37" t="s">
        <v>26</v>
      </c>
      <c r="M246" s="36" t="s">
        <v>26</v>
      </c>
      <c r="N246" s="36" t="s">
        <v>26</v>
      </c>
      <c r="O246" s="36" t="s">
        <v>26</v>
      </c>
      <c r="P246" t="s">
        <v>26</v>
      </c>
    </row>
    <row r="247" spans="1:16" hidden="1" x14ac:dyDescent="0.35">
      <c r="A247" s="3">
        <f xml:space="preserve"> ROW( data_scaledImpacts[[#This Row],[row_id]] ) - ROW( data_scaledImpacts[[#Headers],[row_id]] )</f>
        <v>246</v>
      </c>
      <c r="B247" s="41" t="str">
        <f xml:space="preserve"> _xlfn.TEXTJOIN( "", , data_scaledImpacts[[#This Row],[sector]:[impactType]] )</f>
        <v>ExtremeTempCanESM212010Adaptationcold</v>
      </c>
      <c r="C247" s="33" t="s">
        <v>17</v>
      </c>
      <c r="D247" s="33" t="s">
        <v>0</v>
      </c>
      <c r="E247" s="34">
        <v>1</v>
      </c>
      <c r="F247" s="34">
        <v>2010</v>
      </c>
      <c r="G247" s="34" t="s">
        <v>774</v>
      </c>
      <c r="H247" s="35" t="s">
        <v>16</v>
      </c>
      <c r="I247" s="43" t="s">
        <v>19</v>
      </c>
      <c r="J247" s="36">
        <v>-1.7756247278241088E-7</v>
      </c>
      <c r="K247" s="36">
        <v>-6.2103684577759551E-7</v>
      </c>
      <c r="L247" s="37"/>
      <c r="M247" s="36">
        <v>-4.8583046107989695E-7</v>
      </c>
      <c r="N247" s="36">
        <v>-9.4368122717038213E-8</v>
      </c>
      <c r="O247" s="36">
        <v>-1.3201785851652E-7</v>
      </c>
      <c r="P247">
        <v>-4.094589969054615E-8</v>
      </c>
    </row>
    <row r="248" spans="1:16" hidden="1" x14ac:dyDescent="0.35">
      <c r="A248" s="3">
        <f xml:space="preserve"> ROW( data_scaledImpacts[[#This Row],[row_id]] ) - ROW( data_scaledImpacts[[#Headers],[row_id]] )</f>
        <v>247</v>
      </c>
      <c r="B248" s="41" t="str">
        <f xml:space="preserve"> _xlfn.TEXTJOIN( "", , data_scaledImpacts[[#This Row],[sector]:[impactType]] )</f>
        <v>ExtremeTempCCSM412010Adaptationcold</v>
      </c>
      <c r="C248" s="33" t="s">
        <v>17</v>
      </c>
      <c r="D248" s="33" t="s">
        <v>1</v>
      </c>
      <c r="E248" s="34">
        <v>1</v>
      </c>
      <c r="F248" s="34">
        <v>2010</v>
      </c>
      <c r="G248" s="34" t="s">
        <v>774</v>
      </c>
      <c r="H248" s="35" t="s">
        <v>16</v>
      </c>
      <c r="I248" s="43" t="s">
        <v>20</v>
      </c>
      <c r="J248" s="36">
        <v>-4.4545629281773775E-7</v>
      </c>
      <c r="K248" s="36">
        <v>-2.9648173768269598E-7</v>
      </c>
      <c r="L248" s="37"/>
      <c r="M248" s="36">
        <v>2.6812810403310148E-7</v>
      </c>
      <c r="N248" s="36">
        <v>-1.5448953467364719E-7</v>
      </c>
      <c r="O248" s="36">
        <v>-2.4046734788183927E-7</v>
      </c>
      <c r="P248">
        <v>-3.2344902527443695E-8</v>
      </c>
    </row>
    <row r="249" spans="1:16" hidden="1" x14ac:dyDescent="0.35">
      <c r="A249" s="3">
        <f xml:space="preserve"> ROW( data_scaledImpacts[[#This Row],[row_id]] ) - ROW( data_scaledImpacts[[#Headers],[row_id]] )</f>
        <v>248</v>
      </c>
      <c r="B249" s="41" t="str">
        <f xml:space="preserve"> _xlfn.TEXTJOIN( "", , data_scaledImpacts[[#This Row],[sector]:[impactType]] )</f>
        <v>ExtremeTempGISS-E2-R12010Adaptationcold</v>
      </c>
      <c r="C249" s="33" t="s">
        <v>17</v>
      </c>
      <c r="D249" s="33" t="s">
        <v>2</v>
      </c>
      <c r="E249" s="34">
        <v>1</v>
      </c>
      <c r="F249" s="34">
        <v>2010</v>
      </c>
      <c r="G249" s="34" t="s">
        <v>774</v>
      </c>
      <c r="H249" s="35" t="s">
        <v>16</v>
      </c>
      <c r="I249" s="43" t="s">
        <v>21</v>
      </c>
      <c r="J249" s="36">
        <v>-7.9778894321475285E-7</v>
      </c>
      <c r="K249" s="36">
        <v>-8.9487901420750793E-7</v>
      </c>
      <c r="L249" s="37"/>
      <c r="M249" s="36">
        <v>-5.0961763980770149E-7</v>
      </c>
      <c r="N249" s="36">
        <v>-2.5495211864323258E-7</v>
      </c>
      <c r="O249" s="36">
        <v>-3.1290589725382031E-7</v>
      </c>
      <c r="P249">
        <v>-7.8885108695701435E-8</v>
      </c>
    </row>
    <row r="250" spans="1:16" hidden="1" x14ac:dyDescent="0.35">
      <c r="A250" s="3">
        <f xml:space="preserve"> ROW( data_scaledImpacts[[#This Row],[row_id]] ) - ROW( data_scaledImpacts[[#Headers],[row_id]] )</f>
        <v>249</v>
      </c>
      <c r="B250" s="41" t="str">
        <f xml:space="preserve"> _xlfn.TEXTJOIN( "", , data_scaledImpacts[[#This Row],[sector]:[impactType]] )</f>
        <v>ExtremeTempHadGEM2-ES12010Adaptationcold</v>
      </c>
      <c r="C250" s="33" t="s">
        <v>17</v>
      </c>
      <c r="D250" s="33" t="s">
        <v>3</v>
      </c>
      <c r="E250" s="34">
        <v>1</v>
      </c>
      <c r="F250" s="34">
        <v>2010</v>
      </c>
      <c r="G250" s="34" t="s">
        <v>774</v>
      </c>
      <c r="H250" s="35" t="s">
        <v>16</v>
      </c>
      <c r="I250" s="43" t="s">
        <v>22</v>
      </c>
      <c r="J250" s="36">
        <v>-4.3902084685727878E-7</v>
      </c>
      <c r="K250" s="36">
        <v>-8.2995294283012847E-7</v>
      </c>
      <c r="L250" s="37"/>
      <c r="M250" s="36">
        <v>1.6092091610866896E-7</v>
      </c>
      <c r="N250" s="36">
        <v>-1.1909652123265283E-7</v>
      </c>
      <c r="O250" s="36">
        <v>1.3177784247725874E-7</v>
      </c>
      <c r="P250">
        <v>3.6465768433445707E-8</v>
      </c>
    </row>
    <row r="251" spans="1:16" hidden="1" x14ac:dyDescent="0.35">
      <c r="A251" s="3">
        <f xml:space="preserve"> ROW( data_scaledImpacts[[#This Row],[row_id]] ) - ROW( data_scaledImpacts[[#Headers],[row_id]] )</f>
        <v>250</v>
      </c>
      <c r="B251" s="41" t="str">
        <f xml:space="preserve"> _xlfn.TEXTJOIN( "", , data_scaledImpacts[[#This Row],[sector]:[impactType]] )</f>
        <v>ExtremeTempMIROC512010Adaptationcold</v>
      </c>
      <c r="C251" s="33" t="s">
        <v>17</v>
      </c>
      <c r="D251" s="33" t="s">
        <v>4</v>
      </c>
      <c r="E251" s="34">
        <v>1</v>
      </c>
      <c r="F251" s="34">
        <v>2010</v>
      </c>
      <c r="G251" s="34" t="s">
        <v>774</v>
      </c>
      <c r="H251" s="35" t="s">
        <v>16</v>
      </c>
      <c r="I251" s="43" t="s">
        <v>23</v>
      </c>
      <c r="J251" s="36">
        <v>-9.999927582698279E-8</v>
      </c>
      <c r="K251" s="36">
        <v>-3.3969644570655208E-7</v>
      </c>
      <c r="L251" s="37"/>
      <c r="M251" s="36">
        <v>4.089479348275727E-8</v>
      </c>
      <c r="N251" s="36">
        <v>-1.1125934633083503E-7</v>
      </c>
      <c r="O251" s="36">
        <v>-2.2539717878078094E-7</v>
      </c>
      <c r="P251">
        <v>-5.4030385176291917E-8</v>
      </c>
    </row>
    <row r="252" spans="1:16" hidden="1" x14ac:dyDescent="0.35">
      <c r="A252" s="3">
        <f xml:space="preserve"> ROW( data_scaledImpacts[[#This Row],[row_id]] ) - ROW( data_scaledImpacts[[#Headers],[row_id]] )</f>
        <v>251</v>
      </c>
      <c r="B252" s="41" t="str">
        <f xml:space="preserve"> _xlfn.TEXTJOIN( "", , data_scaledImpacts[[#This Row],[sector]:[impactType]] )</f>
        <v>ExtremeTempGFDL-CM312010Adaptationcold</v>
      </c>
      <c r="C252" s="33" t="s">
        <v>17</v>
      </c>
      <c r="D252" s="33" t="s">
        <v>5</v>
      </c>
      <c r="E252" s="34">
        <v>1</v>
      </c>
      <c r="F252" s="34">
        <v>2010</v>
      </c>
      <c r="G252" s="34" t="s">
        <v>774</v>
      </c>
      <c r="H252" s="35" t="s">
        <v>16</v>
      </c>
      <c r="I252" s="43" t="s">
        <v>24</v>
      </c>
      <c r="J252" s="36">
        <v>-5.0600830024600202E-7</v>
      </c>
      <c r="K252" s="36">
        <v>-7.4228627402310478E-7</v>
      </c>
      <c r="L252" s="37"/>
      <c r="M252" s="36">
        <v>4.9021448448583934E-8</v>
      </c>
      <c r="N252" s="36">
        <v>-1.6577213207360064E-7</v>
      </c>
      <c r="O252" s="36">
        <v>-4.5070180773440148E-8</v>
      </c>
      <c r="P252">
        <v>-1.3762165406451938E-8</v>
      </c>
    </row>
    <row r="253" spans="1:16" hidden="1" x14ac:dyDescent="0.35">
      <c r="A253" s="3">
        <f xml:space="preserve"> ROW( data_scaledImpacts[[#This Row],[row_id]] ) - ROW( data_scaledImpacts[[#Headers],[row_id]] )</f>
        <v>252</v>
      </c>
      <c r="B253" s="41" t="str">
        <f xml:space="preserve"> _xlfn.TEXTJOIN( "", , data_scaledImpacts[[#This Row],[sector]:[impactType]] )</f>
        <v>ExtremeTempGCM Average12010Adaptationcold</v>
      </c>
      <c r="C253" s="33" t="s">
        <v>17</v>
      </c>
      <c r="D253" s="33" t="s">
        <v>15</v>
      </c>
      <c r="E253" s="34">
        <v>1</v>
      </c>
      <c r="F253" s="34">
        <v>2010</v>
      </c>
      <c r="G253" s="34" t="s">
        <v>774</v>
      </c>
      <c r="H253" s="35" t="s">
        <v>16</v>
      </c>
      <c r="I253" s="43" t="s">
        <v>25</v>
      </c>
      <c r="J253" s="36">
        <v>-4.1097268862419424E-7</v>
      </c>
      <c r="K253" s="36">
        <v>-6.2072221003793081E-7</v>
      </c>
      <c r="L253" s="37" t="s">
        <v>26</v>
      </c>
      <c r="M253" s="36">
        <v>-7.9413806469081125E-8</v>
      </c>
      <c r="N253" s="36">
        <v>-1.4998962927850108E-7</v>
      </c>
      <c r="O253" s="36">
        <v>-1.3734677012152366E-7</v>
      </c>
      <c r="P253">
        <v>-3.0583782177164909E-8</v>
      </c>
    </row>
    <row r="254" spans="1:16" hidden="1" x14ac:dyDescent="0.35">
      <c r="A254" s="3">
        <f xml:space="preserve"> ROW( data_scaledImpacts[[#This Row],[row_id]] ) - ROW( data_scaledImpacts[[#Headers],[row_id]] )</f>
        <v>253</v>
      </c>
      <c r="B254" s="41" t="str">
        <f xml:space="preserve"> _xlfn.TEXTJOIN( "", , data_scaledImpacts[[#This Row],[sector]:[impactType]] )</f>
        <v>ExtremeTempCanESM222010Adaptationcold</v>
      </c>
      <c r="C254" s="33" t="s">
        <v>17</v>
      </c>
      <c r="D254" s="33" t="s">
        <v>0</v>
      </c>
      <c r="E254" s="34">
        <v>2</v>
      </c>
      <c r="F254" s="34">
        <v>2010</v>
      </c>
      <c r="G254" s="34" t="s">
        <v>774</v>
      </c>
      <c r="H254" s="35" t="s">
        <v>16</v>
      </c>
      <c r="I254" s="43" t="s">
        <v>19</v>
      </c>
      <c r="J254" s="36">
        <v>-6.421911412174104E-7</v>
      </c>
      <c r="K254" s="36">
        <v>-8.0461666851562686E-7</v>
      </c>
      <c r="L254" s="37"/>
      <c r="M254" s="36">
        <v>-5.7795604075143448E-7</v>
      </c>
      <c r="N254" s="36">
        <v>-1.3871984968528493E-7</v>
      </c>
      <c r="O254" s="36">
        <v>-1.6098129645531797E-7</v>
      </c>
      <c r="P254">
        <v>-1.1507874976445071E-7</v>
      </c>
    </row>
    <row r="255" spans="1:16" hidden="1" x14ac:dyDescent="0.35">
      <c r="A255" s="3">
        <f xml:space="preserve"> ROW( data_scaledImpacts[[#This Row],[row_id]] ) - ROW( data_scaledImpacts[[#Headers],[row_id]] )</f>
        <v>254</v>
      </c>
      <c r="B255" s="41" t="str">
        <f xml:space="preserve"> _xlfn.TEXTJOIN( "", , data_scaledImpacts[[#This Row],[sector]:[impactType]] )</f>
        <v>ExtremeTempCCSM422010Adaptationcold</v>
      </c>
      <c r="C255" s="33" t="s">
        <v>17</v>
      </c>
      <c r="D255" s="33" t="s">
        <v>1</v>
      </c>
      <c r="E255" s="34">
        <v>2</v>
      </c>
      <c r="F255" s="34">
        <v>2010</v>
      </c>
      <c r="G255" s="34" t="s">
        <v>774</v>
      </c>
      <c r="H255" s="35" t="s">
        <v>16</v>
      </c>
      <c r="I255" s="43" t="s">
        <v>20</v>
      </c>
      <c r="J255" s="36">
        <v>-5.2643347254217333E-7</v>
      </c>
      <c r="K255" s="36">
        <v>-8.2431593384435217E-7</v>
      </c>
      <c r="L255" s="37"/>
      <c r="M255" s="36">
        <v>-1.5011728468129887E-7</v>
      </c>
      <c r="N255" s="36">
        <v>-1.9982925292930536E-7</v>
      </c>
      <c r="O255" s="36">
        <v>-2.7616272273863447E-7</v>
      </c>
      <c r="P255">
        <v>-1.2009516957225966E-7</v>
      </c>
    </row>
    <row r="256" spans="1:16" hidden="1" x14ac:dyDescent="0.35">
      <c r="A256" s="3">
        <f xml:space="preserve"> ROW( data_scaledImpacts[[#This Row],[row_id]] ) - ROW( data_scaledImpacts[[#Headers],[row_id]] )</f>
        <v>255</v>
      </c>
      <c r="B256" s="41" t="str">
        <f xml:space="preserve"> _xlfn.TEXTJOIN( "", , data_scaledImpacts[[#This Row],[sector]:[impactType]] )</f>
        <v>ExtremeTempGISS-E2-R22010Adaptationcold</v>
      </c>
      <c r="C256" s="33" t="s">
        <v>17</v>
      </c>
      <c r="D256" s="33" t="s">
        <v>2</v>
      </c>
      <c r="E256" s="34">
        <v>2</v>
      </c>
      <c r="F256" s="34">
        <v>2010</v>
      </c>
      <c r="G256" s="34" t="s">
        <v>774</v>
      </c>
      <c r="H256" s="35" t="s">
        <v>16</v>
      </c>
      <c r="I256" s="43" t="s">
        <v>21</v>
      </c>
      <c r="J256" s="36">
        <v>-8.148794085211714E-7</v>
      </c>
      <c r="K256" s="36">
        <v>-1.0044205410345629E-6</v>
      </c>
      <c r="L256" s="37"/>
      <c r="M256" s="36">
        <v>5.2395221231941777E-7</v>
      </c>
      <c r="N256" s="36">
        <v>-2.846861168307132E-7</v>
      </c>
      <c r="O256" s="36">
        <v>-3.3347546063860041E-7</v>
      </c>
      <c r="P256">
        <v>-4.022306072036027E-8</v>
      </c>
    </row>
    <row r="257" spans="1:16" hidden="1" x14ac:dyDescent="0.35">
      <c r="A257" s="3">
        <f xml:space="preserve"> ROW( data_scaledImpacts[[#This Row],[row_id]] ) - ROW( data_scaledImpacts[[#Headers],[row_id]] )</f>
        <v>256</v>
      </c>
      <c r="B257" s="41" t="str">
        <f xml:space="preserve"> _xlfn.TEXTJOIN( "", , data_scaledImpacts[[#This Row],[sector]:[impactType]] )</f>
        <v>ExtremeTempHadGEM2-ES22010Adaptationcold</v>
      </c>
      <c r="C257" s="33" t="s">
        <v>17</v>
      </c>
      <c r="D257" s="33" t="s">
        <v>3</v>
      </c>
      <c r="E257" s="34">
        <v>2</v>
      </c>
      <c r="F257" s="34">
        <v>2010</v>
      </c>
      <c r="G257" s="34" t="s">
        <v>774</v>
      </c>
      <c r="H257" s="35" t="s">
        <v>16</v>
      </c>
      <c r="I257" s="43" t="s">
        <v>22</v>
      </c>
      <c r="J257" s="36">
        <v>-6.2075591519322813E-7</v>
      </c>
      <c r="K257" s="36">
        <v>-8.1857204353623909E-7</v>
      </c>
      <c r="L257" s="37"/>
      <c r="M257" s="36">
        <v>-2.9707085331178687E-7</v>
      </c>
      <c r="N257" s="36">
        <v>-1.8106741240323078E-7</v>
      </c>
      <c r="O257" s="36">
        <v>-1.7432370505624792E-7</v>
      </c>
      <c r="P257">
        <v>-9.3153583086913241E-8</v>
      </c>
    </row>
    <row r="258" spans="1:16" hidden="1" x14ac:dyDescent="0.35">
      <c r="A258" s="3">
        <f xml:space="preserve"> ROW( data_scaledImpacts[[#This Row],[row_id]] ) - ROW( data_scaledImpacts[[#Headers],[row_id]] )</f>
        <v>257</v>
      </c>
      <c r="B258" s="41" t="str">
        <f xml:space="preserve"> _xlfn.TEXTJOIN( "", , data_scaledImpacts[[#This Row],[sector]:[impactType]] )</f>
        <v>ExtremeTempMIROC522010Adaptationcold</v>
      </c>
      <c r="C258" s="33" t="s">
        <v>17</v>
      </c>
      <c r="D258" s="33" t="s">
        <v>4</v>
      </c>
      <c r="E258" s="34">
        <v>2</v>
      </c>
      <c r="F258" s="34">
        <v>2010</v>
      </c>
      <c r="G258" s="34" t="s">
        <v>774</v>
      </c>
      <c r="H258" s="35" t="s">
        <v>16</v>
      </c>
      <c r="I258" s="43" t="s">
        <v>23</v>
      </c>
      <c r="J258" s="36">
        <v>-5.2185151978263931E-7</v>
      </c>
      <c r="K258" s="36">
        <v>-9.6145928908638047E-7</v>
      </c>
      <c r="L258" s="37"/>
      <c r="M258" s="36">
        <v>9.4839555823752996E-8</v>
      </c>
      <c r="N258" s="36">
        <v>-1.8727977891558161E-7</v>
      </c>
      <c r="O258" s="36">
        <v>-1.5338293416396802E-7</v>
      </c>
      <c r="P258">
        <v>-7.4843384185931759E-8</v>
      </c>
    </row>
    <row r="259" spans="1:16" hidden="1" x14ac:dyDescent="0.35">
      <c r="A259" s="3">
        <f xml:space="preserve"> ROW( data_scaledImpacts[[#This Row],[row_id]] ) - ROW( data_scaledImpacts[[#Headers],[row_id]] )</f>
        <v>258</v>
      </c>
      <c r="B259" s="41" t="str">
        <f xml:space="preserve"> _xlfn.TEXTJOIN( "", , data_scaledImpacts[[#This Row],[sector]:[impactType]] )</f>
        <v>ExtremeTempGFDL-CM322010Adaptationcold</v>
      </c>
      <c r="C259" s="33" t="s">
        <v>17</v>
      </c>
      <c r="D259" s="33" t="s">
        <v>5</v>
      </c>
      <c r="E259" s="34">
        <v>2</v>
      </c>
      <c r="F259" s="34">
        <v>2010</v>
      </c>
      <c r="G259" s="34" t="s">
        <v>774</v>
      </c>
      <c r="H259" s="35" t="s">
        <v>16</v>
      </c>
      <c r="I259" s="43" t="s">
        <v>24</v>
      </c>
      <c r="J259" s="36">
        <v>-7.5159527430054194E-7</v>
      </c>
      <c r="K259" s="36">
        <v>-8.8852035686578127E-7</v>
      </c>
      <c r="L259" s="37"/>
      <c r="M259" s="36">
        <v>7.6627883449555949E-8</v>
      </c>
      <c r="N259" s="36">
        <v>-2.1579839679190896E-7</v>
      </c>
      <c r="O259" s="36">
        <v>-2.9336886278770394E-7</v>
      </c>
      <c r="P259">
        <v>-4.6377708843970526E-8</v>
      </c>
    </row>
    <row r="260" spans="1:16" hidden="1" x14ac:dyDescent="0.35">
      <c r="A260" s="3">
        <f xml:space="preserve"> ROW( data_scaledImpacts[[#This Row],[row_id]] ) - ROW( data_scaledImpacts[[#Headers],[row_id]] )</f>
        <v>259</v>
      </c>
      <c r="B260" s="41" t="str">
        <f xml:space="preserve"> _xlfn.TEXTJOIN( "", , data_scaledImpacts[[#This Row],[sector]:[impactType]] )</f>
        <v>ExtremeTempGCM Average22010Adaptationcold</v>
      </c>
      <c r="C260" s="33" t="s">
        <v>17</v>
      </c>
      <c r="D260" s="33" t="s">
        <v>15</v>
      </c>
      <c r="E260" s="34">
        <v>2</v>
      </c>
      <c r="F260" s="34">
        <v>2010</v>
      </c>
      <c r="G260" s="34" t="s">
        <v>774</v>
      </c>
      <c r="H260" s="35" t="s">
        <v>16</v>
      </c>
      <c r="I260" s="43" t="s">
        <v>25</v>
      </c>
      <c r="J260" s="36">
        <v>-6.4628445525952751E-7</v>
      </c>
      <c r="K260" s="36">
        <v>-8.8365080548049041E-7</v>
      </c>
      <c r="L260" s="37" t="s">
        <v>26</v>
      </c>
      <c r="M260" s="36">
        <v>-5.4954087858632238E-8</v>
      </c>
      <c r="N260" s="36">
        <v>-2.012301345926708E-7</v>
      </c>
      <c r="O260" s="36">
        <v>-2.3194916364007878E-7</v>
      </c>
      <c r="P260">
        <v>-8.1628609362314366E-8</v>
      </c>
    </row>
    <row r="261" spans="1:16" hidden="1" x14ac:dyDescent="0.35">
      <c r="A261" s="3">
        <f xml:space="preserve"> ROW( data_scaledImpacts[[#This Row],[row_id]] ) - ROW( data_scaledImpacts[[#Headers],[row_id]] )</f>
        <v>260</v>
      </c>
      <c r="B261" s="41" t="str">
        <f xml:space="preserve"> _xlfn.TEXTJOIN( "", , data_scaledImpacts[[#This Row],[sector]:[impactType]] )</f>
        <v>ExtremeTempCanESM232010Adaptationcold</v>
      </c>
      <c r="C261" s="33" t="s">
        <v>17</v>
      </c>
      <c r="D261" s="33" t="s">
        <v>0</v>
      </c>
      <c r="E261" s="34">
        <v>3</v>
      </c>
      <c r="F261" s="34">
        <v>2010</v>
      </c>
      <c r="G261" s="34" t="s">
        <v>774</v>
      </c>
      <c r="H261" s="35" t="s">
        <v>16</v>
      </c>
      <c r="I261" s="43" t="s">
        <v>19</v>
      </c>
      <c r="J261" s="36">
        <v>-8.028078440466039E-7</v>
      </c>
      <c r="K261" s="36">
        <v>-8.8591013697069625E-7</v>
      </c>
      <c r="L261" s="37"/>
      <c r="M261" s="36">
        <v>-7.9882702431240636E-7</v>
      </c>
      <c r="N261" s="36">
        <v>-2.5654084209526593E-7</v>
      </c>
      <c r="O261" s="36">
        <v>-3.32806503857573E-7</v>
      </c>
      <c r="P261">
        <v>-1.2656071220439639E-7</v>
      </c>
    </row>
    <row r="262" spans="1:16" hidden="1" x14ac:dyDescent="0.35">
      <c r="A262" s="3">
        <f xml:space="preserve"> ROW( data_scaledImpacts[[#This Row],[row_id]] ) - ROW( data_scaledImpacts[[#Headers],[row_id]] )</f>
        <v>261</v>
      </c>
      <c r="B262" s="41" t="str">
        <f xml:space="preserve"> _xlfn.TEXTJOIN( "", , data_scaledImpacts[[#This Row],[sector]:[impactType]] )</f>
        <v>ExtremeTempCCSM432010Adaptationcold</v>
      </c>
      <c r="C262" s="33" t="s">
        <v>17</v>
      </c>
      <c r="D262" s="33" t="s">
        <v>1</v>
      </c>
      <c r="E262" s="34">
        <v>3</v>
      </c>
      <c r="F262" s="34">
        <v>2010</v>
      </c>
      <c r="G262" s="34" t="s">
        <v>774</v>
      </c>
      <c r="H262" s="35" t="s">
        <v>16</v>
      </c>
      <c r="I262" s="43" t="s">
        <v>20</v>
      </c>
      <c r="J262" s="36">
        <v>-7.7690978660003724E-7</v>
      </c>
      <c r="K262" s="36">
        <v>-8.8557120982759481E-7</v>
      </c>
      <c r="L262" s="37"/>
      <c r="M262" s="36">
        <v>-5.3948005283776253E-7</v>
      </c>
      <c r="N262" s="36">
        <v>-2.2764149840987236E-7</v>
      </c>
      <c r="O262" s="36">
        <v>-3.0807036950454983E-7</v>
      </c>
      <c r="P262">
        <v>-1.3046302901983047E-7</v>
      </c>
    </row>
    <row r="263" spans="1:16" hidden="1" x14ac:dyDescent="0.35">
      <c r="A263" s="3">
        <f xml:space="preserve"> ROW( data_scaledImpacts[[#This Row],[row_id]] ) - ROW( data_scaledImpacts[[#Headers],[row_id]] )</f>
        <v>262</v>
      </c>
      <c r="B263" s="41" t="str">
        <f xml:space="preserve"> _xlfn.TEXTJOIN( "", , data_scaledImpacts[[#This Row],[sector]:[impactType]] )</f>
        <v>ExtremeTempGISS-E2-R32010Adaptationcold</v>
      </c>
      <c r="C263" s="33" t="s">
        <v>17</v>
      </c>
      <c r="D263" s="33" t="s">
        <v>2</v>
      </c>
      <c r="E263" s="34">
        <v>3</v>
      </c>
      <c r="F263" s="34">
        <v>2010</v>
      </c>
      <c r="G263" s="34" t="s">
        <v>774</v>
      </c>
      <c r="H263" s="35" t="s">
        <v>16</v>
      </c>
      <c r="I263" s="43" t="s">
        <v>21</v>
      </c>
      <c r="J263" s="36">
        <v>-7.8044358359083057E-7</v>
      </c>
      <c r="K263" s="36">
        <v>-1.0350143862966266E-6</v>
      </c>
      <c r="L263" s="37"/>
      <c r="M263" s="36">
        <v>-3.3897329843159867E-7</v>
      </c>
      <c r="N263" s="36">
        <v>-2.6437366978394567E-7</v>
      </c>
      <c r="O263" s="36">
        <v>-2.6636002151187814E-7</v>
      </c>
      <c r="P263">
        <v>-1.1341897761650856E-7</v>
      </c>
    </row>
    <row r="264" spans="1:16" hidden="1" x14ac:dyDescent="0.35">
      <c r="A264" s="3">
        <f xml:space="preserve"> ROW( data_scaledImpacts[[#This Row],[row_id]] ) - ROW( data_scaledImpacts[[#Headers],[row_id]] )</f>
        <v>263</v>
      </c>
      <c r="B264" s="41" t="str">
        <f xml:space="preserve"> _xlfn.TEXTJOIN( "", , data_scaledImpacts[[#This Row],[sector]:[impactType]] )</f>
        <v>ExtremeTempHadGEM2-ES32010Adaptationcold</v>
      </c>
      <c r="C264" s="33" t="s">
        <v>17</v>
      </c>
      <c r="D264" s="33" t="s">
        <v>3</v>
      </c>
      <c r="E264" s="34">
        <v>3</v>
      </c>
      <c r="F264" s="34">
        <v>2010</v>
      </c>
      <c r="G264" s="34" t="s">
        <v>774</v>
      </c>
      <c r="H264" s="35" t="s">
        <v>16</v>
      </c>
      <c r="I264" s="43" t="s">
        <v>22</v>
      </c>
      <c r="J264" s="36">
        <v>-7.6173175380946496E-7</v>
      </c>
      <c r="K264" s="36">
        <v>-9.5441401105477616E-7</v>
      </c>
      <c r="L264" s="37"/>
      <c r="M264" s="36">
        <v>-1.8800627918987387E-7</v>
      </c>
      <c r="N264" s="36">
        <v>-2.7103584323189664E-7</v>
      </c>
      <c r="O264" s="36">
        <v>-3.0873678116228979E-7</v>
      </c>
      <c r="P264">
        <v>-4.4738650878882612E-8</v>
      </c>
    </row>
    <row r="265" spans="1:16" hidden="1" x14ac:dyDescent="0.35">
      <c r="A265" s="3">
        <f xml:space="preserve"> ROW( data_scaledImpacts[[#This Row],[row_id]] ) - ROW( data_scaledImpacts[[#Headers],[row_id]] )</f>
        <v>264</v>
      </c>
      <c r="B265" s="41" t="str">
        <f xml:space="preserve"> _xlfn.TEXTJOIN( "", , data_scaledImpacts[[#This Row],[sector]:[impactType]] )</f>
        <v>ExtremeTempMIROC532010Adaptationcold</v>
      </c>
      <c r="C265" s="33" t="s">
        <v>17</v>
      </c>
      <c r="D265" s="33" t="s">
        <v>4</v>
      </c>
      <c r="E265" s="34">
        <v>3</v>
      </c>
      <c r="F265" s="34">
        <v>2010</v>
      </c>
      <c r="G265" s="34" t="s">
        <v>774</v>
      </c>
      <c r="H265" s="35" t="s">
        <v>16</v>
      </c>
      <c r="I265" s="43" t="s">
        <v>23</v>
      </c>
      <c r="J265" s="36">
        <v>-7.1071318327120777E-7</v>
      </c>
      <c r="K265" s="36">
        <v>-1.003350144311415E-6</v>
      </c>
      <c r="L265" s="37"/>
      <c r="M265" s="36">
        <v>-2.9432795536491604E-7</v>
      </c>
      <c r="N265" s="36">
        <v>-2.6926646898140771E-7</v>
      </c>
      <c r="O265" s="36">
        <v>-2.6182987840599988E-7</v>
      </c>
      <c r="P265">
        <v>-1.1808920342431021E-7</v>
      </c>
    </row>
    <row r="266" spans="1:16" hidden="1" x14ac:dyDescent="0.35">
      <c r="A266" s="3">
        <f xml:space="preserve"> ROW( data_scaledImpacts[[#This Row],[row_id]] ) - ROW( data_scaledImpacts[[#Headers],[row_id]] )</f>
        <v>265</v>
      </c>
      <c r="B266" s="41" t="str">
        <f xml:space="preserve"> _xlfn.TEXTJOIN( "", , data_scaledImpacts[[#This Row],[sector]:[impactType]] )</f>
        <v>ExtremeTempGFDL-CM332010Adaptationcold</v>
      </c>
      <c r="C266" s="33" t="s">
        <v>17</v>
      </c>
      <c r="D266" s="33" t="s">
        <v>5</v>
      </c>
      <c r="E266" s="34">
        <v>3</v>
      </c>
      <c r="F266" s="34">
        <v>2010</v>
      </c>
      <c r="G266" s="34" t="s">
        <v>774</v>
      </c>
      <c r="H266" s="35" t="s">
        <v>16</v>
      </c>
      <c r="I266" s="43" t="s">
        <v>24</v>
      </c>
      <c r="J266" s="36">
        <v>-6.0697297971082041E-7</v>
      </c>
      <c r="K266" s="36">
        <v>-8.8976430751909668E-7</v>
      </c>
      <c r="L266" s="37"/>
      <c r="M266" s="36">
        <v>-4.2454129414596638E-7</v>
      </c>
      <c r="N266" s="36">
        <v>-2.0666172041028848E-7</v>
      </c>
      <c r="O266" s="36">
        <v>-1.4591621760083455E-7</v>
      </c>
      <c r="P266">
        <v>-1.1637936034227224E-7</v>
      </c>
    </row>
    <row r="267" spans="1:16" hidden="1" x14ac:dyDescent="0.35">
      <c r="A267" s="3">
        <f xml:space="preserve"> ROW( data_scaledImpacts[[#This Row],[row_id]] ) - ROW( data_scaledImpacts[[#Headers],[row_id]] )</f>
        <v>266</v>
      </c>
      <c r="B267" s="41" t="str">
        <f xml:space="preserve"> _xlfn.TEXTJOIN( "", , data_scaledImpacts[[#This Row],[sector]:[impactType]] )</f>
        <v>ExtremeTempGCM Average32010Adaptationcold</v>
      </c>
      <c r="C267" s="33" t="s">
        <v>17</v>
      </c>
      <c r="D267" s="33" t="s">
        <v>15</v>
      </c>
      <c r="E267" s="34">
        <v>3</v>
      </c>
      <c r="F267" s="34">
        <v>2010</v>
      </c>
      <c r="G267" s="34" t="s">
        <v>774</v>
      </c>
      <c r="H267" s="35" t="s">
        <v>16</v>
      </c>
      <c r="I267" s="43" t="s">
        <v>25</v>
      </c>
      <c r="J267" s="36">
        <v>-7.3992985517149409E-7</v>
      </c>
      <c r="K267" s="36">
        <v>-9.42337365996701E-7</v>
      </c>
      <c r="L267" s="37" t="s">
        <v>26</v>
      </c>
      <c r="M267" s="36">
        <v>-4.3069265071375393E-7</v>
      </c>
      <c r="N267" s="36">
        <v>-2.4925334048544615E-7</v>
      </c>
      <c r="O267" s="36">
        <v>-2.7061996200718754E-7</v>
      </c>
      <c r="P267">
        <v>-1.0827498891436672E-7</v>
      </c>
    </row>
    <row r="268" spans="1:16" hidden="1" x14ac:dyDescent="0.35">
      <c r="A268" s="3">
        <f xml:space="preserve"> ROW( data_scaledImpacts[[#This Row],[row_id]] ) - ROW( data_scaledImpacts[[#Headers],[row_id]] )</f>
        <v>267</v>
      </c>
      <c r="B268" s="41" t="str">
        <f xml:space="preserve"> _xlfn.TEXTJOIN( "", , data_scaledImpacts[[#This Row],[sector]:[impactType]] )</f>
        <v>ExtremeTempCanESM242010Adaptationcold</v>
      </c>
      <c r="C268" s="33" t="s">
        <v>17</v>
      </c>
      <c r="D268" s="33" t="s">
        <v>0</v>
      </c>
      <c r="E268" s="34">
        <v>4</v>
      </c>
      <c r="F268" s="34">
        <v>2010</v>
      </c>
      <c r="G268" s="34" t="s">
        <v>774</v>
      </c>
      <c r="H268" s="35" t="s">
        <v>16</v>
      </c>
      <c r="I268" s="43" t="s">
        <v>19</v>
      </c>
      <c r="J268" s="36">
        <v>-6.4495904534317418E-7</v>
      </c>
      <c r="K268" s="36">
        <v>-8.4172485606513597E-7</v>
      </c>
      <c r="L268" s="37"/>
      <c r="M268" s="36">
        <v>-7.5437922334495538E-7</v>
      </c>
      <c r="N268" s="36">
        <v>-2.1082684866935229E-7</v>
      </c>
      <c r="O268" s="36">
        <v>-2.9380080291273549E-7</v>
      </c>
      <c r="P268">
        <v>-1.5009286236212336E-7</v>
      </c>
    </row>
    <row r="269" spans="1:16" hidden="1" x14ac:dyDescent="0.35">
      <c r="A269" s="3">
        <f xml:space="preserve"> ROW( data_scaledImpacts[[#This Row],[row_id]] ) - ROW( data_scaledImpacts[[#Headers],[row_id]] )</f>
        <v>268</v>
      </c>
      <c r="B269" s="41" t="str">
        <f xml:space="preserve"> _xlfn.TEXTJOIN( "", , data_scaledImpacts[[#This Row],[sector]:[impactType]] )</f>
        <v>ExtremeTempCCSM442010Adaptationcold</v>
      </c>
      <c r="C269" s="33" t="s">
        <v>17</v>
      </c>
      <c r="D269" s="33" t="s">
        <v>1</v>
      </c>
      <c r="E269" s="34">
        <v>4</v>
      </c>
      <c r="F269" s="34">
        <v>2010</v>
      </c>
      <c r="G269" s="34" t="s">
        <v>774</v>
      </c>
      <c r="H269" s="35" t="s">
        <v>16</v>
      </c>
      <c r="I269" s="43" t="s">
        <v>20</v>
      </c>
      <c r="J269" s="36">
        <v>-9.1988478261844727E-7</v>
      </c>
      <c r="K269" s="36">
        <v>-1.0525549621931989E-6</v>
      </c>
      <c r="L269" s="37"/>
      <c r="M269" s="36">
        <v>-6.7752365349980218E-7</v>
      </c>
      <c r="N269" s="36">
        <v>-3.1004738690243001E-7</v>
      </c>
      <c r="O269" s="36">
        <v>-4.1761312040606556E-7</v>
      </c>
      <c r="P269">
        <v>-1.675909830731859E-7</v>
      </c>
    </row>
    <row r="270" spans="1:16" hidden="1" x14ac:dyDescent="0.35">
      <c r="A270" s="3">
        <f xml:space="preserve"> ROW( data_scaledImpacts[[#This Row],[row_id]] ) - ROW( data_scaledImpacts[[#Headers],[row_id]] )</f>
        <v>269</v>
      </c>
      <c r="B270" s="41" t="str">
        <f xml:space="preserve"> _xlfn.TEXTJOIN( "", , data_scaledImpacts[[#This Row],[sector]:[impactType]] )</f>
        <v>ExtremeTempGISS-E2-R42010Adaptationcold</v>
      </c>
      <c r="C270" s="33" t="s">
        <v>17</v>
      </c>
      <c r="D270" s="33" t="s">
        <v>2</v>
      </c>
      <c r="E270" s="34">
        <v>4</v>
      </c>
      <c r="F270" s="34">
        <v>2010</v>
      </c>
      <c r="G270" s="34" t="s">
        <v>774</v>
      </c>
      <c r="H270" s="35" t="s">
        <v>16</v>
      </c>
      <c r="I270" s="43" t="s">
        <v>21</v>
      </c>
      <c r="J270" s="36"/>
      <c r="K270" s="36"/>
      <c r="L270" s="37"/>
      <c r="M270" s="36"/>
      <c r="N270" s="36"/>
      <c r="O270" s="36"/>
    </row>
    <row r="271" spans="1:16" hidden="1" x14ac:dyDescent="0.35">
      <c r="A271" s="3">
        <f xml:space="preserve"> ROW( data_scaledImpacts[[#This Row],[row_id]] ) - ROW( data_scaledImpacts[[#Headers],[row_id]] )</f>
        <v>270</v>
      </c>
      <c r="B271" s="41" t="str">
        <f xml:space="preserve"> _xlfn.TEXTJOIN( "", , data_scaledImpacts[[#This Row],[sector]:[impactType]] )</f>
        <v>ExtremeTempHadGEM2-ES42010Adaptationcold</v>
      </c>
      <c r="C271" s="33" t="s">
        <v>17</v>
      </c>
      <c r="D271" s="33" t="s">
        <v>3</v>
      </c>
      <c r="E271" s="34">
        <v>4</v>
      </c>
      <c r="F271" s="34">
        <v>2010</v>
      </c>
      <c r="G271" s="34" t="s">
        <v>774</v>
      </c>
      <c r="H271" s="35" t="s">
        <v>16</v>
      </c>
      <c r="I271" s="43" t="s">
        <v>22</v>
      </c>
      <c r="J271" s="36">
        <v>-7.9984182036041954E-7</v>
      </c>
      <c r="K271" s="36">
        <v>-9.4846408424508036E-7</v>
      </c>
      <c r="L271" s="37"/>
      <c r="M271" s="36">
        <v>-6.7967849541184981E-7</v>
      </c>
      <c r="N271" s="36">
        <v>-2.6041037131799847E-7</v>
      </c>
      <c r="O271" s="36">
        <v>-3.0126751947586893E-7</v>
      </c>
      <c r="P271">
        <v>-1.3545238842785515E-7</v>
      </c>
    </row>
    <row r="272" spans="1:16" hidden="1" x14ac:dyDescent="0.35">
      <c r="A272" s="3">
        <f xml:space="preserve"> ROW( data_scaledImpacts[[#This Row],[row_id]] ) - ROW( data_scaledImpacts[[#Headers],[row_id]] )</f>
        <v>271</v>
      </c>
      <c r="B272" s="41" t="str">
        <f xml:space="preserve"> _xlfn.TEXTJOIN( "", , data_scaledImpacts[[#This Row],[sector]:[impactType]] )</f>
        <v>ExtremeTempMIROC542010Adaptationcold</v>
      </c>
      <c r="C272" s="33" t="s">
        <v>17</v>
      </c>
      <c r="D272" s="33" t="s">
        <v>4</v>
      </c>
      <c r="E272" s="34">
        <v>4</v>
      </c>
      <c r="F272" s="34">
        <v>2010</v>
      </c>
      <c r="G272" s="34" t="s">
        <v>774</v>
      </c>
      <c r="H272" s="35" t="s">
        <v>16</v>
      </c>
      <c r="I272" s="43" t="s">
        <v>23</v>
      </c>
      <c r="J272" s="36">
        <v>-8.6457696813976895E-7</v>
      </c>
      <c r="K272" s="36">
        <v>-1.073397157164106E-6</v>
      </c>
      <c r="L272" s="37"/>
      <c r="M272" s="36">
        <v>-5.6953421520247776E-7</v>
      </c>
      <c r="N272" s="36">
        <v>-2.9837373575841825E-7</v>
      </c>
      <c r="O272" s="36">
        <v>-3.3690470683841992E-7</v>
      </c>
      <c r="P272">
        <v>-1.5372247792841538E-7</v>
      </c>
    </row>
    <row r="273" spans="1:16" hidden="1" x14ac:dyDescent="0.35">
      <c r="A273" s="3">
        <f xml:space="preserve"> ROW( data_scaledImpacts[[#This Row],[row_id]] ) - ROW( data_scaledImpacts[[#Headers],[row_id]] )</f>
        <v>272</v>
      </c>
      <c r="B273" s="41" t="str">
        <f xml:space="preserve"> _xlfn.TEXTJOIN( "", , data_scaledImpacts[[#This Row],[sector]:[impactType]] )</f>
        <v>ExtremeTempGFDL-CM342010Adaptationcold</v>
      </c>
      <c r="C273" s="33" t="s">
        <v>17</v>
      </c>
      <c r="D273" s="33" t="s">
        <v>5</v>
      </c>
      <c r="E273" s="34">
        <v>4</v>
      </c>
      <c r="F273" s="34">
        <v>2010</v>
      </c>
      <c r="G273" s="34" t="s">
        <v>774</v>
      </c>
      <c r="H273" s="35" t="s">
        <v>16</v>
      </c>
      <c r="I273" s="43" t="s">
        <v>24</v>
      </c>
      <c r="J273" s="36">
        <v>-7.9933225140604495E-7</v>
      </c>
      <c r="K273" s="36">
        <v>-1.0551244596793064E-6</v>
      </c>
      <c r="L273" s="37"/>
      <c r="M273" s="36">
        <v>-5.375227530249467E-7</v>
      </c>
      <c r="N273" s="36">
        <v>-2.7217987962796786E-7</v>
      </c>
      <c r="O273" s="36">
        <v>-2.3672762679205283E-7</v>
      </c>
      <c r="P273">
        <v>-1.4058904653410491E-7</v>
      </c>
    </row>
    <row r="274" spans="1:16" hidden="1" x14ac:dyDescent="0.35">
      <c r="A274" s="3">
        <f xml:space="preserve"> ROW( data_scaledImpacts[[#This Row],[row_id]] ) - ROW( data_scaledImpacts[[#Headers],[row_id]] )</f>
        <v>273</v>
      </c>
      <c r="B274" s="41" t="str">
        <f xml:space="preserve"> _xlfn.TEXTJOIN( "", , data_scaledImpacts[[#This Row],[sector]:[impactType]] )</f>
        <v>ExtremeTempGCM Average42010Adaptationcold</v>
      </c>
      <c r="C274" s="33" t="s">
        <v>17</v>
      </c>
      <c r="D274" s="33" t="s">
        <v>15</v>
      </c>
      <c r="E274" s="34">
        <v>4</v>
      </c>
      <c r="F274" s="34">
        <v>2010</v>
      </c>
      <c r="G274" s="34" t="s">
        <v>774</v>
      </c>
      <c r="H274" s="35" t="s">
        <v>16</v>
      </c>
      <c r="I274" s="43" t="s">
        <v>25</v>
      </c>
      <c r="J274" s="36">
        <v>-8.0571897357357098E-7</v>
      </c>
      <c r="K274" s="36">
        <v>-9.9425310386936559E-7</v>
      </c>
      <c r="L274" s="37" t="s">
        <v>26</v>
      </c>
      <c r="M274" s="36">
        <v>-6.437276680968063E-7</v>
      </c>
      <c r="N274" s="36">
        <v>-2.7036764445523339E-7</v>
      </c>
      <c r="O274" s="36">
        <v>-3.1726275528502856E-7</v>
      </c>
      <c r="P274">
        <v>-1.4948955166513695E-7</v>
      </c>
    </row>
    <row r="275" spans="1:16" hidden="1" x14ac:dyDescent="0.35">
      <c r="A275" s="3">
        <f xml:space="preserve"> ROW( data_scaledImpacts[[#This Row],[row_id]] ) - ROW( data_scaledImpacts[[#Headers],[row_id]] )</f>
        <v>274</v>
      </c>
      <c r="B275" s="41" t="str">
        <f xml:space="preserve"> _xlfn.TEXTJOIN( "", , data_scaledImpacts[[#This Row],[sector]:[impactType]] )</f>
        <v>ExtremeTempCanESM252010Adaptationcold</v>
      </c>
      <c r="C275" s="33" t="s">
        <v>17</v>
      </c>
      <c r="D275" s="33" t="s">
        <v>0</v>
      </c>
      <c r="E275" s="34">
        <v>5</v>
      </c>
      <c r="F275" s="34">
        <v>2010</v>
      </c>
      <c r="G275" s="34" t="s">
        <v>774</v>
      </c>
      <c r="H275" s="35" t="s">
        <v>16</v>
      </c>
      <c r="I275" s="43" t="s">
        <v>19</v>
      </c>
      <c r="J275" s="36">
        <v>-9.4264312563559979E-7</v>
      </c>
      <c r="K275" s="36">
        <v>-1.0655388130698574E-6</v>
      </c>
      <c r="L275" s="37"/>
      <c r="M275" s="36">
        <v>-8.7176570940049293E-7</v>
      </c>
      <c r="N275" s="36">
        <v>-3.200691163030713E-7</v>
      </c>
      <c r="O275" s="36">
        <v>-4.2134775124927602E-7</v>
      </c>
      <c r="P275">
        <v>-1.7018472427337056E-7</v>
      </c>
    </row>
    <row r="276" spans="1:16" hidden="1" x14ac:dyDescent="0.35">
      <c r="A276" s="3">
        <f xml:space="preserve"> ROW( data_scaledImpacts[[#This Row],[row_id]] ) - ROW( data_scaledImpacts[[#Headers],[row_id]] )</f>
        <v>275</v>
      </c>
      <c r="B276" s="41" t="str">
        <f xml:space="preserve"> _xlfn.TEXTJOIN( "", , data_scaledImpacts[[#This Row],[sector]:[impactType]] )</f>
        <v>ExtremeTempCCSM452010Adaptationcold</v>
      </c>
      <c r="C276" s="33" t="s">
        <v>17</v>
      </c>
      <c r="D276" s="33" t="s">
        <v>1</v>
      </c>
      <c r="E276" s="34">
        <v>5</v>
      </c>
      <c r="F276" s="34">
        <v>2010</v>
      </c>
      <c r="G276" s="34" t="s">
        <v>774</v>
      </c>
      <c r="H276" s="35" t="s">
        <v>16</v>
      </c>
      <c r="I276" s="43" t="s">
        <v>20</v>
      </c>
      <c r="J276" s="36">
        <v>-9.330289751457213E-7</v>
      </c>
      <c r="K276" s="36">
        <v>-1.0670840860636333E-6</v>
      </c>
      <c r="L276" s="37"/>
      <c r="M276" s="36">
        <v>-7.6602874149911186E-7</v>
      </c>
      <c r="N276" s="36">
        <v>-2.8886579448362215E-7</v>
      </c>
      <c r="O276" s="36">
        <v>-3.7634234790828887E-7</v>
      </c>
      <c r="P276">
        <v>-1.2937417083422529E-7</v>
      </c>
    </row>
    <row r="277" spans="1:16" hidden="1" x14ac:dyDescent="0.35">
      <c r="A277" s="3">
        <f xml:space="preserve"> ROW( data_scaledImpacts[[#This Row],[row_id]] ) - ROW( data_scaledImpacts[[#Headers],[row_id]] )</f>
        <v>276</v>
      </c>
      <c r="B277" s="41" t="str">
        <f xml:space="preserve"> _xlfn.TEXTJOIN( "", , data_scaledImpacts[[#This Row],[sector]:[impactType]] )</f>
        <v>ExtremeTempGISS-E2-R52010Adaptationcold</v>
      </c>
      <c r="C277" s="33" t="s">
        <v>17</v>
      </c>
      <c r="D277" s="33" t="s">
        <v>2</v>
      </c>
      <c r="E277" s="34">
        <v>5</v>
      </c>
      <c r="F277" s="34">
        <v>2010</v>
      </c>
      <c r="G277" s="34" t="s">
        <v>774</v>
      </c>
      <c r="H277" s="35" t="s">
        <v>16</v>
      </c>
      <c r="I277" s="43" t="s">
        <v>21</v>
      </c>
      <c r="J277" s="36"/>
      <c r="K277" s="36"/>
      <c r="L277" s="37"/>
      <c r="M277" s="36"/>
      <c r="N277" s="36"/>
      <c r="O277" s="36"/>
    </row>
    <row r="278" spans="1:16" hidden="1" x14ac:dyDescent="0.35">
      <c r="A278" s="3">
        <f xml:space="preserve"> ROW( data_scaledImpacts[[#This Row],[row_id]] ) - ROW( data_scaledImpacts[[#Headers],[row_id]] )</f>
        <v>277</v>
      </c>
      <c r="B278" s="41" t="str">
        <f xml:space="preserve"> _xlfn.TEXTJOIN( "", , data_scaledImpacts[[#This Row],[sector]:[impactType]] )</f>
        <v>ExtremeTempHadGEM2-ES52010Adaptationcold</v>
      </c>
      <c r="C278" s="33" t="s">
        <v>17</v>
      </c>
      <c r="D278" s="33" t="s">
        <v>3</v>
      </c>
      <c r="E278" s="34">
        <v>5</v>
      </c>
      <c r="F278" s="34">
        <v>2010</v>
      </c>
      <c r="G278" s="34" t="s">
        <v>774</v>
      </c>
      <c r="H278" s="35" t="s">
        <v>16</v>
      </c>
      <c r="I278" s="43" t="s">
        <v>22</v>
      </c>
      <c r="J278" s="36">
        <v>-9.4130894995668883E-7</v>
      </c>
      <c r="K278" s="36">
        <v>-1.0655501670344988E-6</v>
      </c>
      <c r="L278" s="37"/>
      <c r="M278" s="36">
        <v>-7.1325902859803749E-7</v>
      </c>
      <c r="N278" s="36">
        <v>-3.1870043415300941E-7</v>
      </c>
      <c r="O278" s="36">
        <v>-3.9844474832416055E-7</v>
      </c>
      <c r="P278">
        <v>-1.2178151379647446E-7</v>
      </c>
    </row>
    <row r="279" spans="1:16" hidden="1" x14ac:dyDescent="0.35">
      <c r="A279" s="3">
        <f xml:space="preserve"> ROW( data_scaledImpacts[[#This Row],[row_id]] ) - ROW( data_scaledImpacts[[#Headers],[row_id]] )</f>
        <v>278</v>
      </c>
      <c r="B279" s="41" t="str">
        <f xml:space="preserve"> _xlfn.TEXTJOIN( "", , data_scaledImpacts[[#This Row],[sector]:[impactType]] )</f>
        <v>ExtremeTempMIROC552010Adaptationcold</v>
      </c>
      <c r="C279" s="33" t="s">
        <v>17</v>
      </c>
      <c r="D279" s="33" t="s">
        <v>4</v>
      </c>
      <c r="E279" s="34">
        <v>5</v>
      </c>
      <c r="F279" s="34">
        <v>2010</v>
      </c>
      <c r="G279" s="34" t="s">
        <v>774</v>
      </c>
      <c r="H279" s="35" t="s">
        <v>16</v>
      </c>
      <c r="I279" s="43" t="s">
        <v>23</v>
      </c>
      <c r="J279" s="36">
        <v>-9.2155627583931774E-7</v>
      </c>
      <c r="K279" s="36">
        <v>-1.0702519755785111E-6</v>
      </c>
      <c r="L279" s="37"/>
      <c r="M279" s="36">
        <v>-4.6037201259666492E-7</v>
      </c>
      <c r="N279" s="36">
        <v>-3.50965873108902E-7</v>
      </c>
      <c r="O279" s="36">
        <v>-3.9991430761443176E-7</v>
      </c>
      <c r="P279">
        <v>-1.1890857797037047E-7</v>
      </c>
    </row>
    <row r="280" spans="1:16" hidden="1" x14ac:dyDescent="0.35">
      <c r="A280" s="3">
        <f xml:space="preserve"> ROW( data_scaledImpacts[[#This Row],[row_id]] ) - ROW( data_scaledImpacts[[#Headers],[row_id]] )</f>
        <v>279</v>
      </c>
      <c r="B280" s="41" t="str">
        <f xml:space="preserve"> _xlfn.TEXTJOIN( "", , data_scaledImpacts[[#This Row],[sector]:[impactType]] )</f>
        <v>ExtremeTempGFDL-CM352010Adaptationcold</v>
      </c>
      <c r="C280" s="33" t="s">
        <v>17</v>
      </c>
      <c r="D280" s="33" t="s">
        <v>5</v>
      </c>
      <c r="E280" s="34">
        <v>5</v>
      </c>
      <c r="F280" s="34">
        <v>2010</v>
      </c>
      <c r="G280" s="34" t="s">
        <v>774</v>
      </c>
      <c r="H280" s="35" t="s">
        <v>16</v>
      </c>
      <c r="I280" s="43" t="s">
        <v>24</v>
      </c>
      <c r="J280" s="36">
        <v>-9.3924614524416343E-7</v>
      </c>
      <c r="K280" s="36">
        <v>-1.0765423387497009E-6</v>
      </c>
      <c r="L280" s="37"/>
      <c r="M280" s="36">
        <v>-4.4157563194880633E-7</v>
      </c>
      <c r="N280" s="36">
        <v>-3.0723087253489042E-7</v>
      </c>
      <c r="O280" s="36">
        <v>-3.2827381562840732E-7</v>
      </c>
      <c r="P280">
        <v>-1.4353656639322047E-7</v>
      </c>
    </row>
    <row r="281" spans="1:16" hidden="1" x14ac:dyDescent="0.35">
      <c r="A281" s="3">
        <f xml:space="preserve"> ROW( data_scaledImpacts[[#This Row],[row_id]] ) - ROW( data_scaledImpacts[[#Headers],[row_id]] )</f>
        <v>280</v>
      </c>
      <c r="B281" s="41" t="str">
        <f xml:space="preserve"> _xlfn.TEXTJOIN( "", , data_scaledImpacts[[#This Row],[sector]:[impactType]] )</f>
        <v>ExtremeTempGCM Average52010Adaptationcold</v>
      </c>
      <c r="C281" s="33" t="s">
        <v>17</v>
      </c>
      <c r="D281" s="33" t="s">
        <v>15</v>
      </c>
      <c r="E281" s="34">
        <v>5</v>
      </c>
      <c r="F281" s="34">
        <v>2010</v>
      </c>
      <c r="G281" s="34" t="s">
        <v>774</v>
      </c>
      <c r="H281" s="35" t="s">
        <v>16</v>
      </c>
      <c r="I281" s="43" t="s">
        <v>25</v>
      </c>
      <c r="J281" s="36">
        <v>-9.355566943642983E-7</v>
      </c>
      <c r="K281" s="36">
        <v>-1.0689934760992404E-6</v>
      </c>
      <c r="L281" s="37" t="s">
        <v>26</v>
      </c>
      <c r="M281" s="36">
        <v>-6.5060022480862268E-7</v>
      </c>
      <c r="N281" s="36">
        <v>-3.1716641811669907E-7</v>
      </c>
      <c r="O281" s="36">
        <v>-3.8486459414491284E-7</v>
      </c>
      <c r="P281">
        <v>-1.3675711065353225E-7</v>
      </c>
    </row>
    <row r="282" spans="1:16" hidden="1" x14ac:dyDescent="0.35">
      <c r="A282" s="3">
        <f xml:space="preserve"> ROW( data_scaledImpacts[[#This Row],[row_id]] ) - ROW( data_scaledImpacts[[#Headers],[row_id]] )</f>
        <v>281</v>
      </c>
      <c r="B282" s="41" t="str">
        <f xml:space="preserve"> _xlfn.TEXTJOIN( "", , data_scaledImpacts[[#This Row],[sector]:[impactType]] )</f>
        <v>ExtremeTempCanESM262010Adaptationcold</v>
      </c>
      <c r="C282" s="33" t="s">
        <v>17</v>
      </c>
      <c r="D282" s="33" t="s">
        <v>0</v>
      </c>
      <c r="E282" s="34">
        <v>6</v>
      </c>
      <c r="F282" s="34">
        <v>2010</v>
      </c>
      <c r="G282" s="34" t="s">
        <v>774</v>
      </c>
      <c r="H282" s="35" t="s">
        <v>16</v>
      </c>
      <c r="I282" s="43" t="s">
        <v>19</v>
      </c>
      <c r="J282" s="36">
        <v>-9.1758945685077354E-7</v>
      </c>
      <c r="K282" s="36">
        <v>-1.0702406216138696E-6</v>
      </c>
      <c r="L282" s="37"/>
      <c r="M282" s="36">
        <v>-8.6755593919173216E-7</v>
      </c>
      <c r="N282" s="36">
        <v>-2.8620399139103502E-7</v>
      </c>
      <c r="O282" s="36">
        <v>-3.5080561104602233E-7</v>
      </c>
      <c r="P282">
        <v>-1.6499724187300121E-7</v>
      </c>
    </row>
    <row r="283" spans="1:16" hidden="1" x14ac:dyDescent="0.35">
      <c r="A283" s="3">
        <f xml:space="preserve"> ROW( data_scaledImpacts[[#This Row],[row_id]] ) - ROW( data_scaledImpacts[[#Headers],[row_id]] )</f>
        <v>282</v>
      </c>
      <c r="B283" s="41" t="str">
        <f xml:space="preserve"> _xlfn.TEXTJOIN( "", , data_scaledImpacts[[#This Row],[sector]:[impactType]] )</f>
        <v>ExtremeTempCCSM462010Adaptationcold</v>
      </c>
      <c r="C283" s="33" t="s">
        <v>17</v>
      </c>
      <c r="D283" s="33" t="s">
        <v>1</v>
      </c>
      <c r="E283" s="34">
        <v>6</v>
      </c>
      <c r="F283" s="34">
        <v>2010</v>
      </c>
      <c r="G283" s="34" t="s">
        <v>774</v>
      </c>
      <c r="H283" s="35" t="s">
        <v>16</v>
      </c>
      <c r="I283" s="43" t="s">
        <v>20</v>
      </c>
      <c r="J283" s="36"/>
      <c r="K283" s="36"/>
      <c r="L283" s="37"/>
      <c r="M283" s="36"/>
      <c r="N283" s="36"/>
      <c r="O283" s="36"/>
    </row>
    <row r="284" spans="1:16" hidden="1" x14ac:dyDescent="0.35">
      <c r="A284" s="3">
        <f xml:space="preserve"> ROW( data_scaledImpacts[[#This Row],[row_id]] ) - ROW( data_scaledImpacts[[#Headers],[row_id]] )</f>
        <v>283</v>
      </c>
      <c r="B284" s="41" t="str">
        <f xml:space="preserve"> _xlfn.TEXTJOIN( "", , data_scaledImpacts[[#This Row],[sector]:[impactType]] )</f>
        <v>ExtremeTempGISS-E2-R62010Adaptationcold</v>
      </c>
      <c r="C284" s="33" t="s">
        <v>17</v>
      </c>
      <c r="D284" s="33" t="s">
        <v>2</v>
      </c>
      <c r="E284" s="34">
        <v>6</v>
      </c>
      <c r="F284" s="34">
        <v>2010</v>
      </c>
      <c r="G284" s="34" t="s">
        <v>774</v>
      </c>
      <c r="H284" s="35" t="s">
        <v>16</v>
      </c>
      <c r="I284" s="43" t="s">
        <v>21</v>
      </c>
      <c r="J284" s="36"/>
      <c r="K284" s="36"/>
      <c r="L284" s="37"/>
      <c r="M284" s="36"/>
      <c r="N284" s="36"/>
      <c r="O284" s="36"/>
    </row>
    <row r="285" spans="1:16" hidden="1" x14ac:dyDescent="0.35">
      <c r="A285" s="3">
        <f xml:space="preserve"> ROW( data_scaledImpacts[[#This Row],[row_id]] ) - ROW( data_scaledImpacts[[#Headers],[row_id]] )</f>
        <v>284</v>
      </c>
      <c r="B285" s="41" t="str">
        <f xml:space="preserve"> _xlfn.TEXTJOIN( "", , data_scaledImpacts[[#This Row],[sector]:[impactType]] )</f>
        <v>ExtremeTempHadGEM2-ES62010Adaptationcold</v>
      </c>
      <c r="C285" s="33" t="s">
        <v>17</v>
      </c>
      <c r="D285" s="33" t="s">
        <v>3</v>
      </c>
      <c r="E285" s="34">
        <v>6</v>
      </c>
      <c r="F285" s="34">
        <v>2010</v>
      </c>
      <c r="G285" s="34" t="s">
        <v>774</v>
      </c>
      <c r="H285" s="35" t="s">
        <v>16</v>
      </c>
      <c r="I285" s="43" t="s">
        <v>22</v>
      </c>
      <c r="J285" s="36">
        <v>-9.5114854324165215E-7</v>
      </c>
      <c r="K285" s="36">
        <v>-1.073397157164106E-6</v>
      </c>
      <c r="L285" s="37"/>
      <c r="M285" s="36">
        <v>-6.5481161059658642E-7</v>
      </c>
      <c r="N285" s="36">
        <v>-3.2843112325132932E-7</v>
      </c>
      <c r="O285" s="36">
        <v>-4.2698133638450204E-7</v>
      </c>
      <c r="P285">
        <v>-1.675909830731859E-7</v>
      </c>
    </row>
    <row r="286" spans="1:16" hidden="1" x14ac:dyDescent="0.35">
      <c r="A286" s="3">
        <f xml:space="preserve"> ROW( data_scaledImpacts[[#This Row],[row_id]] ) - ROW( data_scaledImpacts[[#Headers],[row_id]] )</f>
        <v>285</v>
      </c>
      <c r="B286" s="41" t="str">
        <f xml:space="preserve"> _xlfn.TEXTJOIN( "", , data_scaledImpacts[[#This Row],[sector]:[impactType]] )</f>
        <v>ExtremeTempMIROC562010Adaptationcold</v>
      </c>
      <c r="C286" s="33" t="s">
        <v>17</v>
      </c>
      <c r="D286" s="33" t="s">
        <v>4</v>
      </c>
      <c r="E286" s="34">
        <v>6</v>
      </c>
      <c r="F286" s="34">
        <v>2010</v>
      </c>
      <c r="G286" s="34" t="s">
        <v>774</v>
      </c>
      <c r="H286" s="35" t="s">
        <v>16</v>
      </c>
      <c r="I286" s="43" t="s">
        <v>23</v>
      </c>
      <c r="J286" s="36"/>
      <c r="K286" s="36"/>
      <c r="L286" s="37"/>
      <c r="M286" s="36"/>
      <c r="N286" s="36"/>
      <c r="O286" s="36"/>
    </row>
    <row r="287" spans="1:16" hidden="1" x14ac:dyDescent="0.35">
      <c r="A287" s="3">
        <f xml:space="preserve"> ROW( data_scaledImpacts[[#This Row],[row_id]] ) - ROW( data_scaledImpacts[[#Headers],[row_id]] )</f>
        <v>286</v>
      </c>
      <c r="B287" s="41" t="str">
        <f xml:space="preserve"> _xlfn.TEXTJOIN( "", , data_scaledImpacts[[#This Row],[sector]:[impactType]] )</f>
        <v>ExtremeTempGFDL-CM362010Adaptationcold</v>
      </c>
      <c r="C287" s="33" t="s">
        <v>17</v>
      </c>
      <c r="D287" s="33" t="s">
        <v>5</v>
      </c>
      <c r="E287" s="34">
        <v>6</v>
      </c>
      <c r="F287" s="34">
        <v>2010</v>
      </c>
      <c r="G287" s="34" t="s">
        <v>774</v>
      </c>
      <c r="H287" s="35" t="s">
        <v>16</v>
      </c>
      <c r="I287" s="43" t="s">
        <v>24</v>
      </c>
      <c r="J287" s="36">
        <v>-9.4313534560653373E-7</v>
      </c>
      <c r="K287" s="36">
        <v>-1.0765423387497009E-6</v>
      </c>
      <c r="L287" s="37"/>
      <c r="M287" s="36">
        <v>-5.1461194552079063E-7</v>
      </c>
      <c r="N287" s="36">
        <v>-3.4035294460745268E-7</v>
      </c>
      <c r="O287" s="36">
        <v>-3.245391847851957E-7</v>
      </c>
      <c r="P287">
        <v>-1.3737508119449682E-7</v>
      </c>
    </row>
    <row r="288" spans="1:16" hidden="1" x14ac:dyDescent="0.35">
      <c r="A288" s="3">
        <f xml:space="preserve"> ROW( data_scaledImpacts[[#This Row],[row_id]] ) - ROW( data_scaledImpacts[[#Headers],[row_id]] )</f>
        <v>287</v>
      </c>
      <c r="B288" s="41" t="str">
        <f xml:space="preserve"> _xlfn.TEXTJOIN( "", , data_scaledImpacts[[#This Row],[sector]:[impactType]] )</f>
        <v>ExtremeTempGCM Average62010Adaptationcold</v>
      </c>
      <c r="C288" s="33" t="s">
        <v>17</v>
      </c>
      <c r="D288" s="33" t="s">
        <v>15</v>
      </c>
      <c r="E288" s="34">
        <v>6</v>
      </c>
      <c r="F288" s="34">
        <v>2010</v>
      </c>
      <c r="G288" s="34" t="s">
        <v>774</v>
      </c>
      <c r="H288" s="35" t="s">
        <v>16</v>
      </c>
      <c r="I288" s="43" t="s">
        <v>25</v>
      </c>
      <c r="J288" s="36">
        <v>-9.3729111523298644E-7</v>
      </c>
      <c r="K288" s="36">
        <v>-1.0733933725092257E-6</v>
      </c>
      <c r="L288" s="37" t="s">
        <v>26</v>
      </c>
      <c r="M288" s="36">
        <v>-6.7899316510303644E-7</v>
      </c>
      <c r="N288" s="36">
        <v>-3.1832935308327229E-7</v>
      </c>
      <c r="O288" s="36">
        <v>-3.6744204407190671E-7</v>
      </c>
      <c r="P288">
        <v>-1.5665443538022799E-7</v>
      </c>
    </row>
    <row r="289" spans="1:16" hidden="1" x14ac:dyDescent="0.35">
      <c r="A289" s="3">
        <f xml:space="preserve"> ROW( data_scaledImpacts[[#This Row],[row_id]] ) - ROW( data_scaledImpacts[[#Headers],[row_id]] )</f>
        <v>288</v>
      </c>
      <c r="B289" s="41" t="str">
        <f xml:space="preserve"> _xlfn.TEXTJOIN( "", , data_scaledImpacts[[#This Row],[sector]:[impactType]] )</f>
        <v>ExtremeTempCanESM272010Adaptationcold</v>
      </c>
      <c r="C289" s="33" t="s">
        <v>17</v>
      </c>
      <c r="D289" s="33" t="s">
        <v>0</v>
      </c>
      <c r="E289" s="34">
        <v>7</v>
      </c>
      <c r="F289" s="34">
        <v>2010</v>
      </c>
      <c r="G289" s="34" t="s">
        <v>774</v>
      </c>
      <c r="H289" s="35" t="s">
        <v>16</v>
      </c>
      <c r="I289" s="43" t="s">
        <v>19</v>
      </c>
      <c r="J289" s="36"/>
      <c r="K289" s="36"/>
      <c r="L289" s="37"/>
      <c r="M289" s="36"/>
      <c r="N289" s="36"/>
      <c r="O289" s="36"/>
    </row>
    <row r="290" spans="1:16" hidden="1" x14ac:dyDescent="0.35">
      <c r="A290" s="3">
        <f xml:space="preserve"> ROW( data_scaledImpacts[[#This Row],[row_id]] ) - ROW( data_scaledImpacts[[#Headers],[row_id]] )</f>
        <v>289</v>
      </c>
      <c r="B290" s="41" t="str">
        <f xml:space="preserve"> _xlfn.TEXTJOIN( "", , data_scaledImpacts[[#This Row],[sector]:[impactType]] )</f>
        <v>ExtremeTempCCSM472010Adaptationcold</v>
      </c>
      <c r="C290" s="33" t="s">
        <v>17</v>
      </c>
      <c r="D290" s="33" t="s">
        <v>1</v>
      </c>
      <c r="E290" s="34">
        <v>7</v>
      </c>
      <c r="F290" s="34">
        <v>2010</v>
      </c>
      <c r="G290" s="34" t="s">
        <v>774</v>
      </c>
      <c r="H290" s="35" t="s">
        <v>16</v>
      </c>
      <c r="I290" s="43" t="s">
        <v>20</v>
      </c>
      <c r="J290" s="36"/>
      <c r="K290" s="36"/>
      <c r="L290" s="37"/>
      <c r="M290" s="36"/>
      <c r="N290" s="36"/>
      <c r="O290" s="36"/>
    </row>
    <row r="291" spans="1:16" hidden="1" x14ac:dyDescent="0.35">
      <c r="A291" s="3">
        <f xml:space="preserve"> ROW( data_scaledImpacts[[#This Row],[row_id]] ) - ROW( data_scaledImpacts[[#Headers],[row_id]] )</f>
        <v>290</v>
      </c>
      <c r="B291" s="41" t="str">
        <f xml:space="preserve"> _xlfn.TEXTJOIN( "", , data_scaledImpacts[[#This Row],[sector]:[impactType]] )</f>
        <v>ExtremeTempGISS-E2-R72010Adaptationcold</v>
      </c>
      <c r="C291" s="33" t="s">
        <v>17</v>
      </c>
      <c r="D291" s="33" t="s">
        <v>2</v>
      </c>
      <c r="E291" s="34">
        <v>7</v>
      </c>
      <c r="F291" s="34">
        <v>2010</v>
      </c>
      <c r="G291" s="34" t="s">
        <v>774</v>
      </c>
      <c r="H291" s="35" t="s">
        <v>16</v>
      </c>
      <c r="I291" s="43" t="s">
        <v>21</v>
      </c>
      <c r="J291" s="36"/>
      <c r="K291" s="36"/>
      <c r="L291" s="37"/>
      <c r="M291" s="36"/>
      <c r="N291" s="36"/>
      <c r="O291" s="36"/>
    </row>
    <row r="292" spans="1:16" hidden="1" x14ac:dyDescent="0.35">
      <c r="A292" s="3">
        <f xml:space="preserve"> ROW( data_scaledImpacts[[#This Row],[row_id]] ) - ROW( data_scaledImpacts[[#Headers],[row_id]] )</f>
        <v>291</v>
      </c>
      <c r="B292" s="41" t="str">
        <f xml:space="preserve"> _xlfn.TEXTJOIN( "", , data_scaledImpacts[[#This Row],[sector]:[impactType]] )</f>
        <v>ExtremeTempHadGEM2-ES72010Adaptationcold</v>
      </c>
      <c r="C292" s="33" t="s">
        <v>17</v>
      </c>
      <c r="D292" s="33" t="s">
        <v>3</v>
      </c>
      <c r="E292" s="34">
        <v>7</v>
      </c>
      <c r="F292" s="34">
        <v>2010</v>
      </c>
      <c r="G292" s="34" t="s">
        <v>774</v>
      </c>
      <c r="H292" s="35" t="s">
        <v>16</v>
      </c>
      <c r="I292" s="43" t="s">
        <v>22</v>
      </c>
      <c r="J292" s="36"/>
      <c r="K292" s="36"/>
      <c r="L292" s="37"/>
      <c r="M292" s="36"/>
      <c r="N292" s="36"/>
      <c r="O292" s="36"/>
    </row>
    <row r="293" spans="1:16" hidden="1" x14ac:dyDescent="0.35">
      <c r="A293" s="3">
        <f xml:space="preserve"> ROW( data_scaledImpacts[[#This Row],[row_id]] ) - ROW( data_scaledImpacts[[#Headers],[row_id]] )</f>
        <v>292</v>
      </c>
      <c r="B293" s="41" t="str">
        <f xml:space="preserve"> _xlfn.TEXTJOIN( "", , data_scaledImpacts[[#This Row],[sector]:[impactType]] )</f>
        <v>ExtremeTempMIROC572010Adaptationcold</v>
      </c>
      <c r="C293" s="33" t="s">
        <v>17</v>
      </c>
      <c r="D293" s="33" t="s">
        <v>4</v>
      </c>
      <c r="E293" s="34">
        <v>7</v>
      </c>
      <c r="F293" s="34">
        <v>2010</v>
      </c>
      <c r="G293" s="34" t="s">
        <v>774</v>
      </c>
      <c r="H293" s="35" t="s">
        <v>16</v>
      </c>
      <c r="I293" s="43" t="s">
        <v>23</v>
      </c>
      <c r="J293" s="36"/>
      <c r="K293" s="36"/>
      <c r="L293" s="37"/>
      <c r="M293" s="36"/>
      <c r="N293" s="36"/>
      <c r="O293" s="36"/>
    </row>
    <row r="294" spans="1:16" hidden="1" x14ac:dyDescent="0.35">
      <c r="A294" s="3">
        <f xml:space="preserve"> ROW( data_scaledImpacts[[#This Row],[row_id]] ) - ROW( data_scaledImpacts[[#Headers],[row_id]] )</f>
        <v>293</v>
      </c>
      <c r="B294" s="41" t="str">
        <f xml:space="preserve"> _xlfn.TEXTJOIN( "", , data_scaledImpacts[[#This Row],[sector]:[impactType]] )</f>
        <v>ExtremeTempGFDL-CM372010Adaptationcold</v>
      </c>
      <c r="C294" s="33" t="s">
        <v>17</v>
      </c>
      <c r="D294" s="33" t="s">
        <v>5</v>
      </c>
      <c r="E294" s="34">
        <v>7</v>
      </c>
      <c r="F294" s="34">
        <v>2010</v>
      </c>
      <c r="G294" s="34" t="s">
        <v>774</v>
      </c>
      <c r="H294" s="35" t="s">
        <v>16</v>
      </c>
      <c r="I294" s="43" t="s">
        <v>24</v>
      </c>
      <c r="J294" s="36"/>
      <c r="K294" s="36"/>
      <c r="L294" s="37"/>
      <c r="M294" s="36"/>
      <c r="N294" s="36"/>
      <c r="O294" s="36"/>
    </row>
    <row r="295" spans="1:16" hidden="1" x14ac:dyDescent="0.35">
      <c r="A295" s="3">
        <f xml:space="preserve"> ROW( data_scaledImpacts[[#This Row],[row_id]] ) - ROW( data_scaledImpacts[[#Headers],[row_id]] )</f>
        <v>294</v>
      </c>
      <c r="B295" s="41" t="str">
        <f xml:space="preserve"> _xlfn.TEXTJOIN( "", , data_scaledImpacts[[#This Row],[sector]:[impactType]] )</f>
        <v>ExtremeTempGCM Average72010Adaptationcold</v>
      </c>
      <c r="C295" s="33" t="s">
        <v>17</v>
      </c>
      <c r="D295" s="33" t="s">
        <v>15</v>
      </c>
      <c r="E295" s="34">
        <v>7</v>
      </c>
      <c r="F295" s="34">
        <v>2010</v>
      </c>
      <c r="G295" s="34" t="s">
        <v>774</v>
      </c>
      <c r="H295" s="35" t="s">
        <v>16</v>
      </c>
      <c r="I295" s="43" t="s">
        <v>25</v>
      </c>
      <c r="J295" s="36" t="s">
        <v>26</v>
      </c>
      <c r="K295" s="36" t="s">
        <v>26</v>
      </c>
      <c r="L295" s="37" t="s">
        <v>26</v>
      </c>
      <c r="M295" s="36" t="s">
        <v>26</v>
      </c>
      <c r="N295" s="36" t="s">
        <v>26</v>
      </c>
      <c r="O295" s="36" t="s">
        <v>26</v>
      </c>
      <c r="P295" t="s">
        <v>26</v>
      </c>
    </row>
    <row r="296" spans="1:16" hidden="1" x14ac:dyDescent="0.35">
      <c r="A296" s="3">
        <f xml:space="preserve"> ROW( data_scaledImpacts[[#This Row],[row_id]] ) - ROW( data_scaledImpacts[[#Headers],[row_id]] )</f>
        <v>295</v>
      </c>
      <c r="B296" s="41" t="str">
        <f xml:space="preserve"> _xlfn.TEXTJOIN( "", , data_scaledImpacts[[#This Row],[sector]:[impactType]] )</f>
        <v>ExtremeTempCanESM212090Adaptationhot</v>
      </c>
      <c r="C296" s="33" t="s">
        <v>17</v>
      </c>
      <c r="D296" s="33" t="s">
        <v>0</v>
      </c>
      <c r="E296" s="34">
        <v>1</v>
      </c>
      <c r="F296" s="34">
        <v>2090</v>
      </c>
      <c r="G296" s="34" t="s">
        <v>774</v>
      </c>
      <c r="H296" s="35" t="s">
        <v>14</v>
      </c>
      <c r="I296" s="43" t="s">
        <v>27</v>
      </c>
      <c r="J296" s="36">
        <v>4.5145735832709225E-7</v>
      </c>
      <c r="K296" s="36">
        <v>3.2930752906104658E-7</v>
      </c>
      <c r="L296" s="37"/>
      <c r="M296" s="36"/>
      <c r="N296" s="36">
        <v>1.4938911722999117E-6</v>
      </c>
      <c r="O296" s="36">
        <v>1.6565309720503233E-6</v>
      </c>
      <c r="P296">
        <v>1.2207031554256984E-6</v>
      </c>
    </row>
    <row r="297" spans="1:16" hidden="1" x14ac:dyDescent="0.35">
      <c r="A297" s="3">
        <f xml:space="preserve"> ROW( data_scaledImpacts[[#This Row],[row_id]] ) - ROW( data_scaledImpacts[[#Headers],[row_id]] )</f>
        <v>296</v>
      </c>
      <c r="B297" s="41" t="str">
        <f xml:space="preserve"> _xlfn.TEXTJOIN( "", , data_scaledImpacts[[#This Row],[sector]:[impactType]] )</f>
        <v>ExtremeTempCCSM412090Adaptationhot</v>
      </c>
      <c r="C297" s="33" t="s">
        <v>17</v>
      </c>
      <c r="D297" s="33" t="s">
        <v>1</v>
      </c>
      <c r="E297" s="34">
        <v>1</v>
      </c>
      <c r="F297" s="34">
        <v>2090</v>
      </c>
      <c r="G297" s="34" t="s">
        <v>774</v>
      </c>
      <c r="H297" s="35" t="s">
        <v>14</v>
      </c>
      <c r="I297" s="43" t="s">
        <v>28</v>
      </c>
      <c r="J297" s="36">
        <v>3.1155240353663209E-8</v>
      </c>
      <c r="K297" s="36">
        <v>4.4871490557824907E-7</v>
      </c>
      <c r="L297" s="37"/>
      <c r="M297" s="36"/>
      <c r="N297" s="36">
        <v>4.1672926769836134E-7</v>
      </c>
      <c r="O297" s="36">
        <v>8.2196194472902659E-7</v>
      </c>
      <c r="P297">
        <v>-4.9266959478231345E-8</v>
      </c>
    </row>
    <row r="298" spans="1:16" hidden="1" x14ac:dyDescent="0.35">
      <c r="A298" s="3">
        <f xml:space="preserve"> ROW( data_scaledImpacts[[#This Row],[row_id]] ) - ROW( data_scaledImpacts[[#Headers],[row_id]] )</f>
        <v>297</v>
      </c>
      <c r="B298" s="41" t="str">
        <f xml:space="preserve"> _xlfn.TEXTJOIN( "", , data_scaledImpacts[[#This Row],[sector]:[impactType]] )</f>
        <v>ExtremeTempGISS-E2-R12090Adaptationhot</v>
      </c>
      <c r="C298" s="33" t="s">
        <v>17</v>
      </c>
      <c r="D298" s="33" t="s">
        <v>2</v>
      </c>
      <c r="E298" s="34">
        <v>1</v>
      </c>
      <c r="F298" s="34">
        <v>2090</v>
      </c>
      <c r="G298" s="34" t="s">
        <v>774</v>
      </c>
      <c r="H298" s="35" t="s">
        <v>14</v>
      </c>
      <c r="I298" s="43" t="s">
        <v>29</v>
      </c>
      <c r="J298" s="36">
        <v>8.1220242254483015E-7</v>
      </c>
      <c r="K298" s="36">
        <v>1.1092315836386366E-6</v>
      </c>
      <c r="L298" s="37"/>
      <c r="M298" s="36"/>
      <c r="N298" s="36">
        <v>1.6242766007936909E-6</v>
      </c>
      <c r="O298" s="36">
        <v>7.969934675849714E-7</v>
      </c>
      <c r="P298">
        <v>8.3503321149539706E-10</v>
      </c>
    </row>
    <row r="299" spans="1:16" hidden="1" x14ac:dyDescent="0.35">
      <c r="A299" s="3">
        <f xml:space="preserve"> ROW( data_scaledImpacts[[#This Row],[row_id]] ) - ROW( data_scaledImpacts[[#Headers],[row_id]] )</f>
        <v>298</v>
      </c>
      <c r="B299" s="41" t="str">
        <f xml:space="preserve"> _xlfn.TEXTJOIN( "", , data_scaledImpacts[[#This Row],[sector]:[impactType]] )</f>
        <v>ExtremeTempHadGEM2-ES12090Adaptationhot</v>
      </c>
      <c r="C299" s="33" t="s">
        <v>17</v>
      </c>
      <c r="D299" s="33" t="s">
        <v>3</v>
      </c>
      <c r="E299" s="34">
        <v>1</v>
      </c>
      <c r="F299" s="34">
        <v>2090</v>
      </c>
      <c r="G299" s="34" t="s">
        <v>774</v>
      </c>
      <c r="H299" s="35" t="s">
        <v>14</v>
      </c>
      <c r="I299" s="43" t="s">
        <v>30</v>
      </c>
      <c r="J299" s="36">
        <v>2.7764006819789821E-7</v>
      </c>
      <c r="K299" s="36">
        <v>8.39761068654647E-7</v>
      </c>
      <c r="L299" s="37"/>
      <c r="M299" s="36"/>
      <c r="N299" s="36">
        <v>3.086959022339249E-6</v>
      </c>
      <c r="O299" s="36">
        <v>2.4764509967023945E-6</v>
      </c>
      <c r="P299">
        <v>5.0937025901222131E-8</v>
      </c>
    </row>
    <row r="300" spans="1:16" hidden="1" x14ac:dyDescent="0.35">
      <c r="A300" s="3">
        <f xml:space="preserve"> ROW( data_scaledImpacts[[#This Row],[row_id]] ) - ROW( data_scaledImpacts[[#Headers],[row_id]] )</f>
        <v>299</v>
      </c>
      <c r="B300" s="41" t="str">
        <f xml:space="preserve"> _xlfn.TEXTJOIN( "", , data_scaledImpacts[[#This Row],[sector]:[impactType]] )</f>
        <v>ExtremeTempMIROC512090Adaptationhot</v>
      </c>
      <c r="C300" s="33" t="s">
        <v>17</v>
      </c>
      <c r="D300" s="33" t="s">
        <v>4</v>
      </c>
      <c r="E300" s="34">
        <v>1</v>
      </c>
      <c r="F300" s="34">
        <v>2090</v>
      </c>
      <c r="G300" s="34" t="s">
        <v>774</v>
      </c>
      <c r="H300" s="35" t="s">
        <v>14</v>
      </c>
      <c r="I300" s="43" t="s">
        <v>31</v>
      </c>
      <c r="J300" s="36">
        <v>6.1252506930421606E-7</v>
      </c>
      <c r="K300" s="36">
        <v>1.4191800824516648E-7</v>
      </c>
      <c r="L300" s="37"/>
      <c r="M300" s="36"/>
      <c r="N300" s="36">
        <v>1.7276128453582387E-6</v>
      </c>
      <c r="O300" s="36">
        <v>2.8896381889299645E-6</v>
      </c>
      <c r="P300">
        <v>-8.266828793804917E-8</v>
      </c>
    </row>
    <row r="301" spans="1:16" hidden="1" x14ac:dyDescent="0.35">
      <c r="A301" s="3">
        <f xml:space="preserve"> ROW( data_scaledImpacts[[#This Row],[row_id]] ) - ROW( data_scaledImpacts[[#Headers],[row_id]] )</f>
        <v>300</v>
      </c>
      <c r="B301" s="41" t="str">
        <f xml:space="preserve"> _xlfn.TEXTJOIN( "", , data_scaledImpacts[[#This Row],[sector]:[impactType]] )</f>
        <v>ExtremeTempGFDL-CM312090Adaptationhot</v>
      </c>
      <c r="C301" s="33" t="s">
        <v>17</v>
      </c>
      <c r="D301" s="33" t="s">
        <v>5</v>
      </c>
      <c r="E301" s="34">
        <v>1</v>
      </c>
      <c r="F301" s="34">
        <v>2090</v>
      </c>
      <c r="G301" s="34" t="s">
        <v>774</v>
      </c>
      <c r="H301" s="35" t="s">
        <v>14</v>
      </c>
      <c r="I301" s="43" t="s">
        <v>32</v>
      </c>
      <c r="J301" s="36">
        <v>8.4397831229157752E-7</v>
      </c>
      <c r="K301" s="36">
        <v>9.6720524947414502E-7</v>
      </c>
      <c r="L301" s="37"/>
      <c r="M301" s="36"/>
      <c r="N301" s="36">
        <v>1.5792081866423361E-6</v>
      </c>
      <c r="O301" s="36">
        <v>2.2446313999217855E-6</v>
      </c>
      <c r="P301">
        <v>8.7730892628108268E-8</v>
      </c>
    </row>
    <row r="302" spans="1:16" hidden="1" x14ac:dyDescent="0.35">
      <c r="A302" s="3">
        <f xml:space="preserve"> ROW( data_scaledImpacts[[#This Row],[row_id]] ) - ROW( data_scaledImpacts[[#Headers],[row_id]] )</f>
        <v>301</v>
      </c>
      <c r="B302" s="41" t="str">
        <f xml:space="preserve"> _xlfn.TEXTJOIN( "", , data_scaledImpacts[[#This Row],[sector]:[impactType]] )</f>
        <v>ExtremeTempGCM Average12090Adaptationhot</v>
      </c>
      <c r="C302" s="33" t="s">
        <v>17</v>
      </c>
      <c r="D302" s="33" t="s">
        <v>15</v>
      </c>
      <c r="E302" s="34">
        <v>1</v>
      </c>
      <c r="F302" s="34">
        <v>2090</v>
      </c>
      <c r="G302" s="34" t="s">
        <v>774</v>
      </c>
      <c r="H302" s="35" t="s">
        <v>14</v>
      </c>
      <c r="I302" s="43" t="s">
        <v>33</v>
      </c>
      <c r="J302" s="36">
        <v>5.0482641183654626E-7</v>
      </c>
      <c r="K302" s="36">
        <v>6.3935639077531515E-7</v>
      </c>
      <c r="L302" s="37" t="s">
        <v>26</v>
      </c>
      <c r="M302" s="36" t="s">
        <v>26</v>
      </c>
      <c r="N302" s="36">
        <v>1.6547795158552982E-6</v>
      </c>
      <c r="O302" s="36">
        <v>1.8143678283197443E-6</v>
      </c>
      <c r="P302">
        <v>2.0471180995837393E-7</v>
      </c>
    </row>
    <row r="303" spans="1:16" hidden="1" x14ac:dyDescent="0.35">
      <c r="A303" s="3">
        <f xml:space="preserve"> ROW( data_scaledImpacts[[#This Row],[row_id]] ) - ROW( data_scaledImpacts[[#Headers],[row_id]] )</f>
        <v>302</v>
      </c>
      <c r="B303" s="41" t="str">
        <f xml:space="preserve"> _xlfn.TEXTJOIN( "", , data_scaledImpacts[[#This Row],[sector]:[impactType]] )</f>
        <v>ExtremeTempCanESM222090Adaptationhot</v>
      </c>
      <c r="C303" s="33" t="s">
        <v>17</v>
      </c>
      <c r="D303" s="33" t="s">
        <v>0</v>
      </c>
      <c r="E303" s="34">
        <v>2</v>
      </c>
      <c r="F303" s="34">
        <v>2090</v>
      </c>
      <c r="G303" s="34" t="s">
        <v>774</v>
      </c>
      <c r="H303" s="35" t="s">
        <v>14</v>
      </c>
      <c r="I303" s="43" t="s">
        <v>27</v>
      </c>
      <c r="J303" s="36">
        <v>1.3003905237888413E-6</v>
      </c>
      <c r="K303" s="36">
        <v>1.9214170494171843E-6</v>
      </c>
      <c r="L303" s="37"/>
      <c r="M303" s="36"/>
      <c r="N303" s="36">
        <v>8.1642492277262118E-6</v>
      </c>
      <c r="O303" s="36">
        <v>6.9648057013836213E-6</v>
      </c>
      <c r="P303">
        <v>2.3737851833602856E-6</v>
      </c>
    </row>
    <row r="304" spans="1:16" hidden="1" x14ac:dyDescent="0.35">
      <c r="A304" s="3">
        <f xml:space="preserve"> ROW( data_scaledImpacts[[#This Row],[row_id]] ) - ROW( data_scaledImpacts[[#Headers],[row_id]] )</f>
        <v>303</v>
      </c>
      <c r="B304" s="41" t="str">
        <f xml:space="preserve"> _xlfn.TEXTJOIN( "", , data_scaledImpacts[[#This Row],[sector]:[impactType]] )</f>
        <v>ExtremeTempCCSM422090Adaptationhot</v>
      </c>
      <c r="C304" s="33" t="s">
        <v>17</v>
      </c>
      <c r="D304" s="33" t="s">
        <v>1</v>
      </c>
      <c r="E304" s="34">
        <v>2</v>
      </c>
      <c r="F304" s="34">
        <v>2090</v>
      </c>
      <c r="G304" s="34" t="s">
        <v>774</v>
      </c>
      <c r="H304" s="35" t="s">
        <v>14</v>
      </c>
      <c r="I304" s="43" t="s">
        <v>28</v>
      </c>
      <c r="J304" s="36">
        <v>9.1172058235369672E-7</v>
      </c>
      <c r="K304" s="36">
        <v>2.5511922427560382E-6</v>
      </c>
      <c r="L304" s="37"/>
      <c r="M304" s="36"/>
      <c r="N304" s="36">
        <v>3.0228906744972669E-6</v>
      </c>
      <c r="O304" s="36">
        <v>3.52866158426315E-6</v>
      </c>
      <c r="P304">
        <v>8.0464936830351843E-8</v>
      </c>
    </row>
    <row r="305" spans="1:16" hidden="1" x14ac:dyDescent="0.35">
      <c r="A305" s="3">
        <f xml:space="preserve"> ROW( data_scaledImpacts[[#This Row],[row_id]] ) - ROW( data_scaledImpacts[[#Headers],[row_id]] )</f>
        <v>304</v>
      </c>
      <c r="B305" s="41" t="str">
        <f xml:space="preserve"> _xlfn.TEXTJOIN( "", , data_scaledImpacts[[#This Row],[sector]:[impactType]] )</f>
        <v>ExtremeTempGISS-E2-R22090Adaptationhot</v>
      </c>
      <c r="C305" s="33" t="s">
        <v>17</v>
      </c>
      <c r="D305" s="33" t="s">
        <v>2</v>
      </c>
      <c r="E305" s="34">
        <v>2</v>
      </c>
      <c r="F305" s="34">
        <v>2090</v>
      </c>
      <c r="G305" s="34" t="s">
        <v>774</v>
      </c>
      <c r="H305" s="35" t="s">
        <v>14</v>
      </c>
      <c r="I305" s="43" t="s">
        <v>29</v>
      </c>
      <c r="J305" s="36">
        <v>1.4254845701118696E-6</v>
      </c>
      <c r="K305" s="36">
        <v>2.833011553101578E-6</v>
      </c>
      <c r="L305" s="37"/>
      <c r="M305" s="36"/>
      <c r="N305" s="36">
        <v>1.1215439384675047E-5</v>
      </c>
      <c r="O305" s="36">
        <v>4.1068195029334998E-6</v>
      </c>
      <c r="P305">
        <v>7.8382954325186909E-7</v>
      </c>
    </row>
    <row r="306" spans="1:16" hidden="1" x14ac:dyDescent="0.35">
      <c r="A306" s="3">
        <f xml:space="preserve"> ROW( data_scaledImpacts[[#This Row],[row_id]] ) - ROW( data_scaledImpacts[[#Headers],[row_id]] )</f>
        <v>305</v>
      </c>
      <c r="B306" s="41" t="str">
        <f xml:space="preserve"> _xlfn.TEXTJOIN( "", , data_scaledImpacts[[#This Row],[sector]:[impactType]] )</f>
        <v>ExtremeTempHadGEM2-ES22090Adaptationhot</v>
      </c>
      <c r="C306" s="33" t="s">
        <v>17</v>
      </c>
      <c r="D306" s="33" t="s">
        <v>3</v>
      </c>
      <c r="E306" s="34">
        <v>2</v>
      </c>
      <c r="F306" s="34">
        <v>2090</v>
      </c>
      <c r="G306" s="34" t="s">
        <v>774</v>
      </c>
      <c r="H306" s="35" t="s">
        <v>14</v>
      </c>
      <c r="I306" s="43" t="s">
        <v>30</v>
      </c>
      <c r="J306" s="36">
        <v>1.8891229655814005E-6</v>
      </c>
      <c r="K306" s="36">
        <v>3.6710451006883555E-6</v>
      </c>
      <c r="L306" s="37"/>
      <c r="M306" s="36"/>
      <c r="N306" s="36">
        <v>6.7905505257252388E-6</v>
      </c>
      <c r="O306" s="36">
        <v>5.1559228874444379E-6</v>
      </c>
      <c r="P306">
        <v>2.4291287699258359E-7</v>
      </c>
    </row>
    <row r="307" spans="1:16" hidden="1" x14ac:dyDescent="0.35">
      <c r="A307" s="3">
        <f xml:space="preserve"> ROW( data_scaledImpacts[[#This Row],[row_id]] ) - ROW( data_scaledImpacts[[#Headers],[row_id]] )</f>
        <v>306</v>
      </c>
      <c r="B307" s="41" t="str">
        <f xml:space="preserve"> _xlfn.TEXTJOIN( "", , data_scaledImpacts[[#This Row],[sector]:[impactType]] )</f>
        <v>ExtremeTempMIROC522090Adaptationhot</v>
      </c>
      <c r="C307" s="33" t="s">
        <v>17</v>
      </c>
      <c r="D307" s="33" t="s">
        <v>4</v>
      </c>
      <c r="E307" s="34">
        <v>2</v>
      </c>
      <c r="F307" s="34">
        <v>2090</v>
      </c>
      <c r="G307" s="34" t="s">
        <v>774</v>
      </c>
      <c r="H307" s="35" t="s">
        <v>14</v>
      </c>
      <c r="I307" s="43" t="s">
        <v>31</v>
      </c>
      <c r="J307" s="36">
        <v>5.4470191987417614E-7</v>
      </c>
      <c r="K307" s="36">
        <v>8.506949569639978E-7</v>
      </c>
      <c r="L307" s="37"/>
      <c r="M307" s="36"/>
      <c r="N307" s="36">
        <v>5.0930510305946883E-6</v>
      </c>
      <c r="O307" s="36">
        <v>7.2798055440692695E-6</v>
      </c>
      <c r="P307">
        <v>1.4218314962120878E-7</v>
      </c>
    </row>
    <row r="308" spans="1:16" hidden="1" x14ac:dyDescent="0.35">
      <c r="A308" s="3">
        <f xml:space="preserve"> ROW( data_scaledImpacts[[#This Row],[row_id]] ) - ROW( data_scaledImpacts[[#Headers],[row_id]] )</f>
        <v>307</v>
      </c>
      <c r="B308" s="41" t="str">
        <f xml:space="preserve"> _xlfn.TEXTJOIN( "", , data_scaledImpacts[[#This Row],[sector]:[impactType]] )</f>
        <v>ExtremeTempGFDL-CM322090Adaptationhot</v>
      </c>
      <c r="C308" s="33" t="s">
        <v>17</v>
      </c>
      <c r="D308" s="33" t="s">
        <v>5</v>
      </c>
      <c r="E308" s="34">
        <v>2</v>
      </c>
      <c r="F308" s="34">
        <v>2090</v>
      </c>
      <c r="G308" s="34" t="s">
        <v>774</v>
      </c>
      <c r="H308" s="35" t="s">
        <v>14</v>
      </c>
      <c r="I308" s="43" t="s">
        <v>32</v>
      </c>
      <c r="J308" s="36">
        <v>7.84866478089675E-7</v>
      </c>
      <c r="K308" s="36">
        <v>2.9356341887493241E-6</v>
      </c>
      <c r="L308" s="37"/>
      <c r="M308" s="36"/>
      <c r="N308" s="36">
        <v>8.2955760223621374E-6</v>
      </c>
      <c r="O308" s="36">
        <v>8.5874328222943702E-6</v>
      </c>
      <c r="P308">
        <v>9.3629643785907345E-7</v>
      </c>
    </row>
    <row r="309" spans="1:16" hidden="1" x14ac:dyDescent="0.35">
      <c r="A309" s="3">
        <f xml:space="preserve"> ROW( data_scaledImpacts[[#This Row],[row_id]] ) - ROW( data_scaledImpacts[[#Headers],[row_id]] )</f>
        <v>308</v>
      </c>
      <c r="B309" s="41" t="str">
        <f xml:space="preserve"> _xlfn.TEXTJOIN( "", , data_scaledImpacts[[#This Row],[sector]:[impactType]] )</f>
        <v>ExtremeTempGCM Average22090Adaptationhot</v>
      </c>
      <c r="C309" s="33" t="s">
        <v>17</v>
      </c>
      <c r="D309" s="33" t="s">
        <v>15</v>
      </c>
      <c r="E309" s="34">
        <v>2</v>
      </c>
      <c r="F309" s="34">
        <v>2090</v>
      </c>
      <c r="G309" s="34" t="s">
        <v>774</v>
      </c>
      <c r="H309" s="35" t="s">
        <v>14</v>
      </c>
      <c r="I309" s="43" t="s">
        <v>33</v>
      </c>
      <c r="J309" s="36">
        <v>1.1427145066332765E-6</v>
      </c>
      <c r="K309" s="36">
        <v>2.4604991819460794E-6</v>
      </c>
      <c r="L309" s="37" t="s">
        <v>26</v>
      </c>
      <c r="M309" s="36" t="s">
        <v>26</v>
      </c>
      <c r="N309" s="36">
        <v>7.0969594775967646E-6</v>
      </c>
      <c r="O309" s="36">
        <v>5.937241340398059E-6</v>
      </c>
      <c r="P309">
        <v>7.5991202131922883E-7</v>
      </c>
    </row>
    <row r="310" spans="1:16" hidden="1" x14ac:dyDescent="0.35">
      <c r="A310" s="3">
        <f xml:space="preserve"> ROW( data_scaledImpacts[[#This Row],[row_id]] ) - ROW( data_scaledImpacts[[#Headers],[row_id]] )</f>
        <v>309</v>
      </c>
      <c r="B310" s="41" t="str">
        <f xml:space="preserve"> _xlfn.TEXTJOIN( "", , data_scaledImpacts[[#This Row],[sector]:[impactType]] )</f>
        <v>ExtremeTempCanESM232090Adaptationhot</v>
      </c>
      <c r="C310" s="33" t="s">
        <v>17</v>
      </c>
      <c r="D310" s="33" t="s">
        <v>0</v>
      </c>
      <c r="E310" s="34">
        <v>3</v>
      </c>
      <c r="F310" s="34">
        <v>2090</v>
      </c>
      <c r="G310" s="34" t="s">
        <v>774</v>
      </c>
      <c r="H310" s="35" t="s">
        <v>14</v>
      </c>
      <c r="I310" s="43" t="s">
        <v>27</v>
      </c>
      <c r="J310" s="36">
        <v>1.4070224694348186E-6</v>
      </c>
      <c r="K310" s="36">
        <v>3.6473113318855788E-6</v>
      </c>
      <c r="L310" s="37"/>
      <c r="M310" s="36"/>
      <c r="N310" s="36">
        <v>1.5125611003159765E-5</v>
      </c>
      <c r="O310" s="36">
        <v>1.6154653230625565E-5</v>
      </c>
      <c r="P310">
        <v>4.1563440043059638E-6</v>
      </c>
    </row>
    <row r="311" spans="1:16" hidden="1" x14ac:dyDescent="0.35">
      <c r="A311" s="3">
        <f xml:space="preserve"> ROW( data_scaledImpacts[[#This Row],[row_id]] ) - ROW( data_scaledImpacts[[#Headers],[row_id]] )</f>
        <v>310</v>
      </c>
      <c r="B311" s="41" t="str">
        <f xml:space="preserve"> _xlfn.TEXTJOIN( "", , data_scaledImpacts[[#This Row],[sector]:[impactType]] )</f>
        <v>ExtremeTempCCSM432090Adaptationhot</v>
      </c>
      <c r="C311" s="33" t="s">
        <v>17</v>
      </c>
      <c r="D311" s="33" t="s">
        <v>1</v>
      </c>
      <c r="E311" s="34">
        <v>3</v>
      </c>
      <c r="F311" s="34">
        <v>2090</v>
      </c>
      <c r="G311" s="34" t="s">
        <v>774</v>
      </c>
      <c r="H311" s="35" t="s">
        <v>14</v>
      </c>
      <c r="I311" s="43" t="s">
        <v>28</v>
      </c>
      <c r="J311" s="36">
        <v>1.8473024900699122E-6</v>
      </c>
      <c r="K311" s="36">
        <v>6.7554252085753985E-6</v>
      </c>
      <c r="L311" s="37"/>
      <c r="M311" s="36"/>
      <c r="N311" s="36">
        <v>1.4078356745794535E-5</v>
      </c>
      <c r="O311" s="36">
        <v>1.0838147831852468E-5</v>
      </c>
      <c r="P311">
        <v>1.0033965965070195E-6</v>
      </c>
    </row>
    <row r="312" spans="1:16" hidden="1" x14ac:dyDescent="0.35">
      <c r="A312" s="3">
        <f xml:space="preserve"> ROW( data_scaledImpacts[[#This Row],[row_id]] ) - ROW( data_scaledImpacts[[#Headers],[row_id]] )</f>
        <v>311</v>
      </c>
      <c r="B312" s="41" t="str">
        <f xml:space="preserve"> _xlfn.TEXTJOIN( "", , data_scaledImpacts[[#This Row],[sector]:[impactType]] )</f>
        <v>ExtremeTempGISS-E2-R32090Adaptationhot</v>
      </c>
      <c r="C312" s="33" t="s">
        <v>17</v>
      </c>
      <c r="D312" s="33" t="s">
        <v>2</v>
      </c>
      <c r="E312" s="34">
        <v>3</v>
      </c>
      <c r="F312" s="34">
        <v>2090</v>
      </c>
      <c r="G312" s="34" t="s">
        <v>774</v>
      </c>
      <c r="H312" s="35" t="s">
        <v>14</v>
      </c>
      <c r="I312" s="43" t="s">
        <v>29</v>
      </c>
      <c r="J312" s="36">
        <v>5.540330606930123E-6</v>
      </c>
      <c r="K312" s="36">
        <v>9.1254765109021475E-6</v>
      </c>
      <c r="L312" s="37"/>
      <c r="M312" s="36"/>
      <c r="N312" s="36">
        <v>2.4037110406177687E-5</v>
      </c>
      <c r="O312" s="36">
        <v>1.6768022132313529E-5</v>
      </c>
      <c r="P312">
        <v>2.3757594762829634E-6</v>
      </c>
    </row>
    <row r="313" spans="1:16" hidden="1" x14ac:dyDescent="0.35">
      <c r="A313" s="3">
        <f xml:space="preserve"> ROW( data_scaledImpacts[[#This Row],[row_id]] ) - ROW( data_scaledImpacts[[#Headers],[row_id]] )</f>
        <v>312</v>
      </c>
      <c r="B313" s="41" t="str">
        <f xml:space="preserve"> _xlfn.TEXTJOIN( "", , data_scaledImpacts[[#This Row],[sector]:[impactType]] )</f>
        <v>ExtremeTempHadGEM2-ES32090Adaptationhot</v>
      </c>
      <c r="C313" s="33" t="s">
        <v>17</v>
      </c>
      <c r="D313" s="33" t="s">
        <v>3</v>
      </c>
      <c r="E313" s="34">
        <v>3</v>
      </c>
      <c r="F313" s="34">
        <v>2090</v>
      </c>
      <c r="G313" s="34" t="s">
        <v>774</v>
      </c>
      <c r="H313" s="35" t="s">
        <v>14</v>
      </c>
      <c r="I313" s="43" t="s">
        <v>30</v>
      </c>
      <c r="J313" s="36">
        <v>6.0280127072809254E-6</v>
      </c>
      <c r="K313" s="36">
        <v>7.2467713337573769E-6</v>
      </c>
      <c r="L313" s="37"/>
      <c r="M313" s="36"/>
      <c r="N313" s="36">
        <v>2.1899105804562921E-5</v>
      </c>
      <c r="O313" s="36">
        <v>1.367306336708424E-5</v>
      </c>
      <c r="P313">
        <v>7.3098886105922339E-7</v>
      </c>
    </row>
    <row r="314" spans="1:16" hidden="1" x14ac:dyDescent="0.35">
      <c r="A314" s="3">
        <f xml:space="preserve"> ROW( data_scaledImpacts[[#This Row],[row_id]] ) - ROW( data_scaledImpacts[[#Headers],[row_id]] )</f>
        <v>313</v>
      </c>
      <c r="B314" s="41" t="str">
        <f xml:space="preserve"> _xlfn.TEXTJOIN( "", , data_scaledImpacts[[#This Row],[sector]:[impactType]] )</f>
        <v>ExtremeTempMIROC532090Adaptationhot</v>
      </c>
      <c r="C314" s="33" t="s">
        <v>17</v>
      </c>
      <c r="D314" s="33" t="s">
        <v>4</v>
      </c>
      <c r="E314" s="34">
        <v>3</v>
      </c>
      <c r="F314" s="34">
        <v>2090</v>
      </c>
      <c r="G314" s="34" t="s">
        <v>774</v>
      </c>
      <c r="H314" s="35" t="s">
        <v>14</v>
      </c>
      <c r="I314" s="43" t="s">
        <v>31</v>
      </c>
      <c r="J314" s="36">
        <v>7.7786425387944183E-7</v>
      </c>
      <c r="K314" s="36">
        <v>2.2115429340011588E-6</v>
      </c>
      <c r="L314" s="37"/>
      <c r="M314" s="36"/>
      <c r="N314" s="36">
        <v>9.2631111667423519E-6</v>
      </c>
      <c r="O314" s="36">
        <v>1.1615489073578228E-5</v>
      </c>
      <c r="P314">
        <v>4.7357242460240769E-7</v>
      </c>
    </row>
    <row r="315" spans="1:16" hidden="1" x14ac:dyDescent="0.35">
      <c r="A315" s="3">
        <f xml:space="preserve"> ROW( data_scaledImpacts[[#This Row],[row_id]] ) - ROW( data_scaledImpacts[[#Headers],[row_id]] )</f>
        <v>314</v>
      </c>
      <c r="B315" s="41" t="str">
        <f xml:space="preserve"> _xlfn.TEXTJOIN( "", , data_scaledImpacts[[#This Row],[sector]:[impactType]] )</f>
        <v>ExtremeTempGFDL-CM332090Adaptationhot</v>
      </c>
      <c r="C315" s="33" t="s">
        <v>17</v>
      </c>
      <c r="D315" s="33" t="s">
        <v>5</v>
      </c>
      <c r="E315" s="34">
        <v>3</v>
      </c>
      <c r="F315" s="34">
        <v>2090</v>
      </c>
      <c r="G315" s="34" t="s">
        <v>774</v>
      </c>
      <c r="H315" s="35" t="s">
        <v>14</v>
      </c>
      <c r="I315" s="43" t="s">
        <v>32</v>
      </c>
      <c r="J315" s="36">
        <v>2.4407538427896812E-6</v>
      </c>
      <c r="K315" s="36">
        <v>1.2922370103228589E-5</v>
      </c>
      <c r="L315" s="37"/>
      <c r="M315" s="36"/>
      <c r="N315" s="36">
        <v>1.9608565283138603E-5</v>
      </c>
      <c r="O315" s="36">
        <v>2.7068059419055822E-5</v>
      </c>
      <c r="P315">
        <v>2.9490444347646417E-6</v>
      </c>
    </row>
    <row r="316" spans="1:16" hidden="1" x14ac:dyDescent="0.35">
      <c r="A316" s="3">
        <f xml:space="preserve"> ROW( data_scaledImpacts[[#This Row],[row_id]] ) - ROW( data_scaledImpacts[[#Headers],[row_id]] )</f>
        <v>315</v>
      </c>
      <c r="B316" s="41" t="str">
        <f xml:space="preserve"> _xlfn.TEXTJOIN( "", , data_scaledImpacts[[#This Row],[sector]:[impactType]] )</f>
        <v>ExtremeTempGCM Average32090Adaptationhot</v>
      </c>
      <c r="C316" s="33" t="s">
        <v>17</v>
      </c>
      <c r="D316" s="33" t="s">
        <v>15</v>
      </c>
      <c r="E316" s="34">
        <v>3</v>
      </c>
      <c r="F316" s="34">
        <v>2090</v>
      </c>
      <c r="G316" s="34" t="s">
        <v>774</v>
      </c>
      <c r="H316" s="35" t="s">
        <v>14</v>
      </c>
      <c r="I316" s="43" t="s">
        <v>33</v>
      </c>
      <c r="J316" s="36">
        <v>3.0068810617308172E-6</v>
      </c>
      <c r="K316" s="36">
        <v>6.9848162370583749E-6</v>
      </c>
      <c r="L316" s="37" t="s">
        <v>26</v>
      </c>
      <c r="M316" s="36" t="s">
        <v>26</v>
      </c>
      <c r="N316" s="36">
        <v>1.7335310068262643E-5</v>
      </c>
      <c r="O316" s="36">
        <v>1.6019572509084974E-5</v>
      </c>
      <c r="P316">
        <v>1.9481842995870368E-6</v>
      </c>
    </row>
    <row r="317" spans="1:16" hidden="1" x14ac:dyDescent="0.35">
      <c r="A317" s="3">
        <f xml:space="preserve"> ROW( data_scaledImpacts[[#This Row],[row_id]] ) - ROW( data_scaledImpacts[[#Headers],[row_id]] )</f>
        <v>316</v>
      </c>
      <c r="B317" s="41" t="str">
        <f xml:space="preserve"> _xlfn.TEXTJOIN( "", , data_scaledImpacts[[#This Row],[sector]:[impactType]] )</f>
        <v>ExtremeTempCanESM242090Adaptationhot</v>
      </c>
      <c r="C317" s="33" t="s">
        <v>17</v>
      </c>
      <c r="D317" s="33" t="s">
        <v>0</v>
      </c>
      <c r="E317" s="34">
        <v>4</v>
      </c>
      <c r="F317" s="34">
        <v>2090</v>
      </c>
      <c r="G317" s="34" t="s">
        <v>774</v>
      </c>
      <c r="H317" s="35" t="s">
        <v>14</v>
      </c>
      <c r="I317" s="43" t="s">
        <v>27</v>
      </c>
      <c r="J317" s="36">
        <v>3.4451503184731497E-6</v>
      </c>
      <c r="K317" s="36">
        <v>9.4817235128732731E-6</v>
      </c>
      <c r="L317" s="37"/>
      <c r="M317" s="36"/>
      <c r="N317" s="36">
        <v>3.3321479371893704E-5</v>
      </c>
      <c r="O317" s="36">
        <v>3.754601886999836E-5</v>
      </c>
      <c r="P317">
        <v>5.8602333317662744E-6</v>
      </c>
    </row>
    <row r="318" spans="1:16" hidden="1" x14ac:dyDescent="0.35">
      <c r="A318" s="3">
        <f xml:space="preserve"> ROW( data_scaledImpacts[[#This Row],[row_id]] ) - ROW( data_scaledImpacts[[#Headers],[row_id]] )</f>
        <v>317</v>
      </c>
      <c r="B318" s="41" t="str">
        <f xml:space="preserve"> _xlfn.TEXTJOIN( "", , data_scaledImpacts[[#This Row],[sector]:[impactType]] )</f>
        <v>ExtremeTempCCSM442090Adaptationhot</v>
      </c>
      <c r="C318" s="33" t="s">
        <v>17</v>
      </c>
      <c r="D318" s="33" t="s">
        <v>1</v>
      </c>
      <c r="E318" s="34">
        <v>4</v>
      </c>
      <c r="F318" s="34">
        <v>2090</v>
      </c>
      <c r="G318" s="34" t="s">
        <v>774</v>
      </c>
      <c r="H318" s="35" t="s">
        <v>14</v>
      </c>
      <c r="I318" s="43" t="s">
        <v>28</v>
      </c>
      <c r="J318" s="36">
        <v>3.4038184010067026E-6</v>
      </c>
      <c r="K318" s="36">
        <v>1.3269905068283991E-5</v>
      </c>
      <c r="L318" s="37"/>
      <c r="M318" s="36"/>
      <c r="N318" s="36">
        <v>2.3732667744355576E-5</v>
      </c>
      <c r="O318" s="36">
        <v>1.880359657098389E-5</v>
      </c>
      <c r="P318">
        <v>2.1564923781353365E-6</v>
      </c>
    </row>
    <row r="319" spans="1:16" hidden="1" x14ac:dyDescent="0.35">
      <c r="A319" s="3">
        <f xml:space="preserve"> ROW( data_scaledImpacts[[#This Row],[row_id]] ) - ROW( data_scaledImpacts[[#Headers],[row_id]] )</f>
        <v>318</v>
      </c>
      <c r="B319" s="41" t="str">
        <f xml:space="preserve"> _xlfn.TEXTJOIN( "", , data_scaledImpacts[[#This Row],[sector]:[impactType]] )</f>
        <v>ExtremeTempGISS-E2-R42090Adaptationhot</v>
      </c>
      <c r="C319" s="33" t="s">
        <v>17</v>
      </c>
      <c r="D319" s="33" t="s">
        <v>2</v>
      </c>
      <c r="E319" s="34">
        <v>4</v>
      </c>
      <c r="F319" s="34">
        <v>2090</v>
      </c>
      <c r="G319" s="34" t="s">
        <v>774</v>
      </c>
      <c r="H319" s="35" t="s">
        <v>14</v>
      </c>
      <c r="I319" s="43" t="s">
        <v>29</v>
      </c>
      <c r="J319" s="36"/>
      <c r="K319" s="36"/>
      <c r="L319" s="37"/>
      <c r="M319" s="36"/>
      <c r="N319" s="36"/>
      <c r="O319" s="36"/>
    </row>
    <row r="320" spans="1:16" hidden="1" x14ac:dyDescent="0.35">
      <c r="A320" s="3">
        <f xml:space="preserve"> ROW( data_scaledImpacts[[#This Row],[row_id]] ) - ROW( data_scaledImpacts[[#Headers],[row_id]] )</f>
        <v>319</v>
      </c>
      <c r="B320" s="41" t="str">
        <f xml:space="preserve"> _xlfn.TEXTJOIN( "", , data_scaledImpacts[[#This Row],[sector]:[impactType]] )</f>
        <v>ExtremeTempHadGEM2-ES42090Adaptationhot</v>
      </c>
      <c r="C320" s="33" t="s">
        <v>17</v>
      </c>
      <c r="D320" s="33" t="s">
        <v>3</v>
      </c>
      <c r="E320" s="34">
        <v>4</v>
      </c>
      <c r="F320" s="34">
        <v>2090</v>
      </c>
      <c r="G320" s="34" t="s">
        <v>774</v>
      </c>
      <c r="H320" s="35" t="s">
        <v>14</v>
      </c>
      <c r="I320" s="43" t="s">
        <v>30</v>
      </c>
      <c r="J320" s="36">
        <v>9.5352233443793282E-6</v>
      </c>
      <c r="K320" s="36">
        <v>1.3362780571600432E-5</v>
      </c>
      <c r="L320" s="37"/>
      <c r="M320" s="36"/>
      <c r="N320" s="36">
        <v>3.7123926720177617E-5</v>
      </c>
      <c r="O320" s="36">
        <v>2.733193341606943E-5</v>
      </c>
      <c r="P320">
        <v>1.7473240860283706E-6</v>
      </c>
    </row>
    <row r="321" spans="1:16" hidden="1" x14ac:dyDescent="0.35">
      <c r="A321" s="3">
        <f xml:space="preserve"> ROW( data_scaledImpacts[[#This Row],[row_id]] ) - ROW( data_scaledImpacts[[#Headers],[row_id]] )</f>
        <v>320</v>
      </c>
      <c r="B321" s="41" t="str">
        <f xml:space="preserve"> _xlfn.TEXTJOIN( "", , data_scaledImpacts[[#This Row],[sector]:[impactType]] )</f>
        <v>ExtremeTempMIROC542090Adaptationhot</v>
      </c>
      <c r="C321" s="33" t="s">
        <v>17</v>
      </c>
      <c r="D321" s="33" t="s">
        <v>4</v>
      </c>
      <c r="E321" s="34">
        <v>4</v>
      </c>
      <c r="F321" s="34">
        <v>2090</v>
      </c>
      <c r="G321" s="34" t="s">
        <v>774</v>
      </c>
      <c r="H321" s="35" t="s">
        <v>14</v>
      </c>
      <c r="I321" s="43" t="s">
        <v>31</v>
      </c>
      <c r="J321" s="36">
        <v>3.0305952637540314E-6</v>
      </c>
      <c r="K321" s="36">
        <v>6.827761388496486E-6</v>
      </c>
      <c r="L321" s="37"/>
      <c r="M321" s="36"/>
      <c r="N321" s="36">
        <v>2.1047555991558186E-5</v>
      </c>
      <c r="O321" s="36">
        <v>3.2758405585155685E-5</v>
      </c>
      <c r="P321">
        <v>1.5619658331816145E-6</v>
      </c>
    </row>
    <row r="322" spans="1:16" hidden="1" x14ac:dyDescent="0.35">
      <c r="A322" s="3">
        <f xml:space="preserve"> ROW( data_scaledImpacts[[#This Row],[row_id]] ) - ROW( data_scaledImpacts[[#Headers],[row_id]] )</f>
        <v>321</v>
      </c>
      <c r="B322" s="41" t="str">
        <f xml:space="preserve"> _xlfn.TEXTJOIN( "", , data_scaledImpacts[[#This Row],[sector]:[impactType]] )</f>
        <v>ExtremeTempGFDL-CM342090Adaptationhot</v>
      </c>
      <c r="C322" s="33" t="s">
        <v>17</v>
      </c>
      <c r="D322" s="33" t="s">
        <v>5</v>
      </c>
      <c r="E322" s="34">
        <v>4</v>
      </c>
      <c r="F322" s="34">
        <v>2090</v>
      </c>
      <c r="G322" s="34" t="s">
        <v>774</v>
      </c>
      <c r="H322" s="35" t="s">
        <v>14</v>
      </c>
      <c r="I322" s="43" t="s">
        <v>32</v>
      </c>
      <c r="J322" s="36">
        <v>7.0289725849268044E-6</v>
      </c>
      <c r="K322" s="36">
        <v>2.4400021252426299E-5</v>
      </c>
      <c r="L322" s="37"/>
      <c r="M322" s="36"/>
      <c r="N322" s="36">
        <v>4.2344879814356291E-5</v>
      </c>
      <c r="O322" s="36">
        <v>5.0862983726909145E-5</v>
      </c>
      <c r="P322">
        <v>5.7243313236036005E-6</v>
      </c>
    </row>
    <row r="323" spans="1:16" hidden="1" x14ac:dyDescent="0.35">
      <c r="A323" s="3">
        <f xml:space="preserve"> ROW( data_scaledImpacts[[#This Row],[row_id]] ) - ROW( data_scaledImpacts[[#Headers],[row_id]] )</f>
        <v>322</v>
      </c>
      <c r="B323" s="41" t="str">
        <f xml:space="preserve"> _xlfn.TEXTJOIN( "", , data_scaledImpacts[[#This Row],[sector]:[impactType]] )</f>
        <v>ExtremeTempGCM Average42090Adaptationhot</v>
      </c>
      <c r="C323" s="33" t="s">
        <v>17</v>
      </c>
      <c r="D323" s="33" t="s">
        <v>15</v>
      </c>
      <c r="E323" s="34">
        <v>4</v>
      </c>
      <c r="F323" s="34">
        <v>2090</v>
      </c>
      <c r="G323" s="34" t="s">
        <v>774</v>
      </c>
      <c r="H323" s="35" t="s">
        <v>14</v>
      </c>
      <c r="I323" s="43" t="s">
        <v>33</v>
      </c>
      <c r="J323" s="36">
        <v>5.2887519825080035E-6</v>
      </c>
      <c r="K323" s="36">
        <v>1.3468438358736097E-5</v>
      </c>
      <c r="L323" s="37" t="s">
        <v>26</v>
      </c>
      <c r="M323" s="36" t="s">
        <v>26</v>
      </c>
      <c r="N323" s="36">
        <v>3.1514101928468273E-5</v>
      </c>
      <c r="O323" s="36">
        <v>3.3460587633823303E-5</v>
      </c>
      <c r="P323">
        <v>3.4100693905430391E-6</v>
      </c>
    </row>
    <row r="324" spans="1:16" hidden="1" x14ac:dyDescent="0.35">
      <c r="A324" s="3">
        <f xml:space="preserve"> ROW( data_scaledImpacts[[#This Row],[row_id]] ) - ROW( data_scaledImpacts[[#Headers],[row_id]] )</f>
        <v>323</v>
      </c>
      <c r="B324" s="41" t="str">
        <f xml:space="preserve"> _xlfn.TEXTJOIN( "", , data_scaledImpacts[[#This Row],[sector]:[impactType]] )</f>
        <v>ExtremeTempCanESM252090Adaptationhot</v>
      </c>
      <c r="C324" s="33" t="s">
        <v>17</v>
      </c>
      <c r="D324" s="33" t="s">
        <v>0</v>
      </c>
      <c r="E324" s="34">
        <v>5</v>
      </c>
      <c r="F324" s="34">
        <v>2090</v>
      </c>
      <c r="G324" s="34" t="s">
        <v>774</v>
      </c>
      <c r="H324" s="35" t="s">
        <v>14</v>
      </c>
      <c r="I324" s="43" t="s">
        <v>27</v>
      </c>
      <c r="J324" s="36">
        <v>7.8401905513326011E-6</v>
      </c>
      <c r="K324" s="36">
        <v>2.432261924464142E-5</v>
      </c>
      <c r="L324" s="37"/>
      <c r="M324" s="36"/>
      <c r="N324" s="36">
        <v>5.9682009546427216E-5</v>
      </c>
      <c r="O324" s="36">
        <v>5.0828936957630184E-5</v>
      </c>
      <c r="P324">
        <v>8.5380949748450867E-6</v>
      </c>
    </row>
    <row r="325" spans="1:16" hidden="1" x14ac:dyDescent="0.35">
      <c r="A325" s="3">
        <f xml:space="preserve"> ROW( data_scaledImpacts[[#This Row],[row_id]] ) - ROW( data_scaledImpacts[[#Headers],[row_id]] )</f>
        <v>324</v>
      </c>
      <c r="B325" s="41" t="str">
        <f xml:space="preserve"> _xlfn.TEXTJOIN( "", , data_scaledImpacts[[#This Row],[sector]:[impactType]] )</f>
        <v>ExtremeTempCCSM452090Adaptationhot</v>
      </c>
      <c r="C325" s="33" t="s">
        <v>17</v>
      </c>
      <c r="D325" s="33" t="s">
        <v>1</v>
      </c>
      <c r="E325" s="34">
        <v>5</v>
      </c>
      <c r="F325" s="34">
        <v>2090</v>
      </c>
      <c r="G325" s="34" t="s">
        <v>774</v>
      </c>
      <c r="H325" s="35" t="s">
        <v>14</v>
      </c>
      <c r="I325" s="43" t="s">
        <v>28</v>
      </c>
      <c r="J325" s="36">
        <v>6.0431257819197855E-6</v>
      </c>
      <c r="K325" s="36">
        <v>1.7893122117968274E-5</v>
      </c>
      <c r="L325" s="37"/>
      <c r="M325" s="36"/>
      <c r="N325" s="36">
        <v>4.283936225386286E-5</v>
      </c>
      <c r="O325" s="36">
        <v>3.7904810175709955E-5</v>
      </c>
      <c r="P325">
        <v>3.5367820995788032E-6</v>
      </c>
    </row>
    <row r="326" spans="1:16" hidden="1" x14ac:dyDescent="0.35">
      <c r="A326" s="3">
        <f xml:space="preserve"> ROW( data_scaledImpacts[[#This Row],[row_id]] ) - ROW( data_scaledImpacts[[#Headers],[row_id]] )</f>
        <v>325</v>
      </c>
      <c r="B326" s="41" t="str">
        <f xml:space="preserve"> _xlfn.TEXTJOIN( "", , data_scaledImpacts[[#This Row],[sector]:[impactType]] )</f>
        <v>ExtremeTempGISS-E2-R52090Adaptationhot</v>
      </c>
      <c r="C326" s="33" t="s">
        <v>17</v>
      </c>
      <c r="D326" s="33" t="s">
        <v>2</v>
      </c>
      <c r="E326" s="34">
        <v>5</v>
      </c>
      <c r="F326" s="34">
        <v>2090</v>
      </c>
      <c r="G326" s="34" t="s">
        <v>774</v>
      </c>
      <c r="H326" s="35" t="s">
        <v>14</v>
      </c>
      <c r="I326" s="43" t="s">
        <v>29</v>
      </c>
      <c r="J326" s="36"/>
      <c r="K326" s="36"/>
      <c r="L326" s="37"/>
      <c r="M326" s="36"/>
      <c r="N326" s="36"/>
      <c r="O326" s="36"/>
    </row>
    <row r="327" spans="1:16" hidden="1" x14ac:dyDescent="0.35">
      <c r="A327" s="3">
        <f xml:space="preserve"> ROW( data_scaledImpacts[[#This Row],[row_id]] ) - ROW( data_scaledImpacts[[#Headers],[row_id]] )</f>
        <v>326</v>
      </c>
      <c r="B327" s="41" t="str">
        <f xml:space="preserve"> _xlfn.TEXTJOIN( "", , data_scaledImpacts[[#This Row],[sector]:[impactType]] )</f>
        <v>ExtremeTempHadGEM2-ES52090Adaptationhot</v>
      </c>
      <c r="C327" s="33" t="s">
        <v>17</v>
      </c>
      <c r="D327" s="33" t="s">
        <v>3</v>
      </c>
      <c r="E327" s="34">
        <v>5</v>
      </c>
      <c r="F327" s="34">
        <v>2090</v>
      </c>
      <c r="G327" s="34" t="s">
        <v>774</v>
      </c>
      <c r="H327" s="35" t="s">
        <v>14</v>
      </c>
      <c r="I327" s="43" t="s">
        <v>30</v>
      </c>
      <c r="J327" s="36">
        <v>1.8039101141876908E-5</v>
      </c>
      <c r="K327" s="36">
        <v>2.5772312836737977E-5</v>
      </c>
      <c r="L327" s="37"/>
      <c r="M327" s="36"/>
      <c r="N327" s="36">
        <v>5.7281781401620176E-5</v>
      </c>
      <c r="O327" s="36">
        <v>4.2153666644867287E-5</v>
      </c>
      <c r="P327">
        <v>3.1521409491599271E-6</v>
      </c>
    </row>
    <row r="328" spans="1:16" hidden="1" x14ac:dyDescent="0.35">
      <c r="A328" s="3">
        <f xml:space="preserve"> ROW( data_scaledImpacts[[#This Row],[row_id]] ) - ROW( data_scaledImpacts[[#Headers],[row_id]] )</f>
        <v>327</v>
      </c>
      <c r="B328" s="41" t="str">
        <f xml:space="preserve"> _xlfn.TEXTJOIN( "", , data_scaledImpacts[[#This Row],[sector]:[impactType]] )</f>
        <v>ExtremeTempMIROC552090Adaptationhot</v>
      </c>
      <c r="C328" s="33" t="s">
        <v>17</v>
      </c>
      <c r="D328" s="33" t="s">
        <v>4</v>
      </c>
      <c r="E328" s="34">
        <v>5</v>
      </c>
      <c r="F328" s="34">
        <v>2090</v>
      </c>
      <c r="G328" s="34" t="s">
        <v>774</v>
      </c>
      <c r="H328" s="35" t="s">
        <v>14</v>
      </c>
      <c r="I328" s="43" t="s">
        <v>31</v>
      </c>
      <c r="J328" s="36">
        <v>6.7490995287489104E-6</v>
      </c>
      <c r="K328" s="36">
        <v>1.0672008440276793E-5</v>
      </c>
      <c r="L328" s="37"/>
      <c r="M328" s="36"/>
      <c r="N328" s="36">
        <v>3.9628512447752561E-5</v>
      </c>
      <c r="O328" s="36">
        <v>5.9363687749319999E-5</v>
      </c>
      <c r="P328">
        <v>3.1652869858403237E-6</v>
      </c>
    </row>
    <row r="329" spans="1:16" hidden="1" x14ac:dyDescent="0.35">
      <c r="A329" s="3">
        <f xml:space="preserve"> ROW( data_scaledImpacts[[#This Row],[row_id]] ) - ROW( data_scaledImpacts[[#Headers],[row_id]] )</f>
        <v>328</v>
      </c>
      <c r="B329" s="41" t="str">
        <f xml:space="preserve"> _xlfn.TEXTJOIN( "", , data_scaledImpacts[[#This Row],[sector]:[impactType]] )</f>
        <v>ExtremeTempGFDL-CM352090Adaptationhot</v>
      </c>
      <c r="C329" s="33" t="s">
        <v>17</v>
      </c>
      <c r="D329" s="33" t="s">
        <v>5</v>
      </c>
      <c r="E329" s="34">
        <v>5</v>
      </c>
      <c r="F329" s="34">
        <v>2090</v>
      </c>
      <c r="G329" s="34" t="s">
        <v>774</v>
      </c>
      <c r="H329" s="35" t="s">
        <v>14</v>
      </c>
      <c r="I329" s="43" t="s">
        <v>32</v>
      </c>
      <c r="J329" s="36">
        <v>1.5986568136834967E-5</v>
      </c>
      <c r="K329" s="36">
        <v>3.4552553206110435E-5</v>
      </c>
      <c r="L329" s="37"/>
      <c r="M329" s="36"/>
      <c r="N329" s="36">
        <v>5.9127320583996942E-5</v>
      </c>
      <c r="O329" s="36">
        <v>6.8108554970863595E-5</v>
      </c>
      <c r="P329">
        <v>7.9077559291805006E-6</v>
      </c>
    </row>
    <row r="330" spans="1:16" hidden="1" x14ac:dyDescent="0.35">
      <c r="A330" s="3">
        <f xml:space="preserve"> ROW( data_scaledImpacts[[#This Row],[row_id]] ) - ROW( data_scaledImpacts[[#Headers],[row_id]] )</f>
        <v>329</v>
      </c>
      <c r="B330" s="41" t="str">
        <f xml:space="preserve"> _xlfn.TEXTJOIN( "", , data_scaledImpacts[[#This Row],[sector]:[impactType]] )</f>
        <v>ExtremeTempGCM Average52090Adaptationhot</v>
      </c>
      <c r="C330" s="33" t="s">
        <v>17</v>
      </c>
      <c r="D330" s="33" t="s">
        <v>15</v>
      </c>
      <c r="E330" s="34">
        <v>5</v>
      </c>
      <c r="F330" s="34">
        <v>2090</v>
      </c>
      <c r="G330" s="34" t="s">
        <v>774</v>
      </c>
      <c r="H330" s="35" t="s">
        <v>14</v>
      </c>
      <c r="I330" s="43" t="s">
        <v>33</v>
      </c>
      <c r="J330" s="36">
        <v>1.0931617028142634E-5</v>
      </c>
      <c r="K330" s="36">
        <v>2.2642523169146982E-5</v>
      </c>
      <c r="L330" s="37" t="s">
        <v>26</v>
      </c>
      <c r="M330" s="36" t="s">
        <v>26</v>
      </c>
      <c r="N330" s="36">
        <v>5.1711797246731943E-5</v>
      </c>
      <c r="O330" s="36">
        <v>5.1671931299678204E-5</v>
      </c>
      <c r="P330">
        <v>5.2600121877209283E-6</v>
      </c>
    </row>
    <row r="331" spans="1:16" hidden="1" x14ac:dyDescent="0.35">
      <c r="A331" s="3">
        <f xml:space="preserve"> ROW( data_scaledImpacts[[#This Row],[row_id]] ) - ROW( data_scaledImpacts[[#Headers],[row_id]] )</f>
        <v>330</v>
      </c>
      <c r="B331" s="41" t="str">
        <f xml:space="preserve"> _xlfn.TEXTJOIN( "", , data_scaledImpacts[[#This Row],[sector]:[impactType]] )</f>
        <v>ExtremeTempCanESM262090Adaptationhot</v>
      </c>
      <c r="C331" s="33" t="s">
        <v>17</v>
      </c>
      <c r="D331" s="33" t="s">
        <v>0</v>
      </c>
      <c r="E331" s="34">
        <v>6</v>
      </c>
      <c r="F331" s="34">
        <v>2090</v>
      </c>
      <c r="G331" s="34" t="s">
        <v>774</v>
      </c>
      <c r="H331" s="35" t="s">
        <v>14</v>
      </c>
      <c r="I331" s="43" t="s">
        <v>27</v>
      </c>
      <c r="J331" s="36">
        <v>1.5101406840039976E-5</v>
      </c>
      <c r="K331" s="36">
        <v>3.7756555960429097E-5</v>
      </c>
      <c r="L331" s="37"/>
      <c r="M331" s="36"/>
      <c r="N331" s="36">
        <v>8.1378305094532367E-5</v>
      </c>
      <c r="O331" s="36">
        <v>6.9478568917292536E-5</v>
      </c>
      <c r="P331">
        <v>1.3021952947919141E-5</v>
      </c>
    </row>
    <row r="332" spans="1:16" hidden="1" x14ac:dyDescent="0.35">
      <c r="A332" s="3">
        <f xml:space="preserve"> ROW( data_scaledImpacts[[#This Row],[row_id]] ) - ROW( data_scaledImpacts[[#Headers],[row_id]] )</f>
        <v>331</v>
      </c>
      <c r="B332" s="41" t="str">
        <f xml:space="preserve"> _xlfn.TEXTJOIN( "", , data_scaledImpacts[[#This Row],[sector]:[impactType]] )</f>
        <v>ExtremeTempCCSM462090Adaptationhot</v>
      </c>
      <c r="C332" s="33" t="s">
        <v>17</v>
      </c>
      <c r="D332" s="33" t="s">
        <v>1</v>
      </c>
      <c r="E332" s="34">
        <v>6</v>
      </c>
      <c r="F332" s="34">
        <v>2090</v>
      </c>
      <c r="G332" s="34" t="s">
        <v>774</v>
      </c>
      <c r="H332" s="35" t="s">
        <v>14</v>
      </c>
      <c r="I332" s="43" t="s">
        <v>28</v>
      </c>
      <c r="J332" s="36"/>
      <c r="K332" s="36"/>
      <c r="L332" s="37"/>
      <c r="M332" s="36"/>
      <c r="N332" s="36"/>
      <c r="O332" s="36"/>
    </row>
    <row r="333" spans="1:16" hidden="1" x14ac:dyDescent="0.35">
      <c r="A333" s="3">
        <f xml:space="preserve"> ROW( data_scaledImpacts[[#This Row],[row_id]] ) - ROW( data_scaledImpacts[[#Headers],[row_id]] )</f>
        <v>332</v>
      </c>
      <c r="B333" s="41" t="str">
        <f xml:space="preserve"> _xlfn.TEXTJOIN( "", , data_scaledImpacts[[#This Row],[sector]:[impactType]] )</f>
        <v>ExtremeTempGISS-E2-R62090Adaptationhot</v>
      </c>
      <c r="C333" s="33" t="s">
        <v>17</v>
      </c>
      <c r="D333" s="33" t="s">
        <v>2</v>
      </c>
      <c r="E333" s="34">
        <v>6</v>
      </c>
      <c r="F333" s="34">
        <v>2090</v>
      </c>
      <c r="G333" s="34" t="s">
        <v>774</v>
      </c>
      <c r="H333" s="35" t="s">
        <v>14</v>
      </c>
      <c r="I333" s="43" t="s">
        <v>29</v>
      </c>
      <c r="J333" s="36"/>
      <c r="K333" s="36"/>
      <c r="L333" s="37"/>
      <c r="M333" s="36"/>
      <c r="N333" s="36"/>
      <c r="O333" s="36"/>
    </row>
    <row r="334" spans="1:16" hidden="1" x14ac:dyDescent="0.35">
      <c r="A334" s="3">
        <f xml:space="preserve"> ROW( data_scaledImpacts[[#This Row],[row_id]] ) - ROW( data_scaledImpacts[[#Headers],[row_id]] )</f>
        <v>333</v>
      </c>
      <c r="B334" s="41" t="str">
        <f xml:space="preserve"> _xlfn.TEXTJOIN( "", , data_scaledImpacts[[#This Row],[sector]:[impactType]] )</f>
        <v>ExtremeTempHadGEM2-ES62090Adaptationhot</v>
      </c>
      <c r="C334" s="33" t="s">
        <v>17</v>
      </c>
      <c r="D334" s="33" t="s">
        <v>3</v>
      </c>
      <c r="E334" s="34">
        <v>6</v>
      </c>
      <c r="F334" s="34">
        <v>2090</v>
      </c>
      <c r="G334" s="34" t="s">
        <v>774</v>
      </c>
      <c r="H334" s="35" t="s">
        <v>14</v>
      </c>
      <c r="I334" s="43" t="s">
        <v>30</v>
      </c>
      <c r="J334" s="36">
        <v>3.3472750413046624E-5</v>
      </c>
      <c r="K334" s="36">
        <v>4.0682062641197487E-5</v>
      </c>
      <c r="L334" s="37"/>
      <c r="M334" s="36"/>
      <c r="N334" s="36">
        <v>8.2425609285446461E-5</v>
      </c>
      <c r="O334" s="36">
        <v>6.0635420154517228E-5</v>
      </c>
      <c r="P334">
        <v>6.2962848625872248E-6</v>
      </c>
    </row>
    <row r="335" spans="1:16" hidden="1" x14ac:dyDescent="0.35">
      <c r="A335" s="3">
        <f xml:space="preserve"> ROW( data_scaledImpacts[[#This Row],[row_id]] ) - ROW( data_scaledImpacts[[#Headers],[row_id]] )</f>
        <v>334</v>
      </c>
      <c r="B335" s="41" t="str">
        <f xml:space="preserve"> _xlfn.TEXTJOIN( "", , data_scaledImpacts[[#This Row],[sector]:[impactType]] )</f>
        <v>ExtremeTempMIROC562090Adaptationhot</v>
      </c>
      <c r="C335" s="33" t="s">
        <v>17</v>
      </c>
      <c r="D335" s="33" t="s">
        <v>4</v>
      </c>
      <c r="E335" s="34">
        <v>6</v>
      </c>
      <c r="F335" s="34">
        <v>2090</v>
      </c>
      <c r="G335" s="34" t="s">
        <v>774</v>
      </c>
      <c r="H335" s="35" t="s">
        <v>14</v>
      </c>
      <c r="I335" s="43" t="s">
        <v>31</v>
      </c>
      <c r="J335" s="36"/>
      <c r="K335" s="36"/>
      <c r="L335" s="37"/>
      <c r="M335" s="36"/>
      <c r="N335" s="36"/>
      <c r="O335" s="36"/>
    </row>
    <row r="336" spans="1:16" hidden="1" x14ac:dyDescent="0.35">
      <c r="A336" s="3">
        <f xml:space="preserve"> ROW( data_scaledImpacts[[#This Row],[row_id]] ) - ROW( data_scaledImpacts[[#Headers],[row_id]] )</f>
        <v>335</v>
      </c>
      <c r="B336" s="41" t="str">
        <f xml:space="preserve"> _xlfn.TEXTJOIN( "", , data_scaledImpacts[[#This Row],[sector]:[impactType]] )</f>
        <v>ExtremeTempGFDL-CM362090Adaptationhot</v>
      </c>
      <c r="C336" s="33" t="s">
        <v>17</v>
      </c>
      <c r="D336" s="33" t="s">
        <v>5</v>
      </c>
      <c r="E336" s="34">
        <v>6</v>
      </c>
      <c r="F336" s="34">
        <v>2090</v>
      </c>
      <c r="G336" s="34" t="s">
        <v>774</v>
      </c>
      <c r="H336" s="35" t="s">
        <v>14</v>
      </c>
      <c r="I336" s="43" t="s">
        <v>32</v>
      </c>
      <c r="J336" s="36">
        <v>2.6915928337961773E-5</v>
      </c>
      <c r="K336" s="36">
        <v>5.0239109241589371E-5</v>
      </c>
      <c r="L336" s="37"/>
      <c r="M336" s="36"/>
      <c r="N336" s="36">
        <v>8.535292459940319E-5</v>
      </c>
      <c r="O336" s="36">
        <v>8.1676880984548803E-5</v>
      </c>
      <c r="P336">
        <v>1.3965597188600181E-5</v>
      </c>
    </row>
    <row r="337" spans="1:16" hidden="1" x14ac:dyDescent="0.35">
      <c r="A337" s="3">
        <f xml:space="preserve"> ROW( data_scaledImpacts[[#This Row],[row_id]] ) - ROW( data_scaledImpacts[[#Headers],[row_id]] )</f>
        <v>336</v>
      </c>
      <c r="B337" s="41" t="str">
        <f xml:space="preserve"> _xlfn.TEXTJOIN( "", , data_scaledImpacts[[#This Row],[sector]:[impactType]] )</f>
        <v>ExtremeTempGCM Average62090Adaptationhot</v>
      </c>
      <c r="C337" s="33" t="s">
        <v>17</v>
      </c>
      <c r="D337" s="33" t="s">
        <v>15</v>
      </c>
      <c r="E337" s="34">
        <v>6</v>
      </c>
      <c r="F337" s="34">
        <v>2090</v>
      </c>
      <c r="G337" s="34" t="s">
        <v>774</v>
      </c>
      <c r="H337" s="35" t="s">
        <v>14</v>
      </c>
      <c r="I337" s="43" t="s">
        <v>33</v>
      </c>
      <c r="J337" s="36">
        <v>2.516336186368279E-5</v>
      </c>
      <c r="K337" s="36">
        <v>4.2892575947738654E-5</v>
      </c>
      <c r="L337" s="37" t="s">
        <v>26</v>
      </c>
      <c r="M337" s="36" t="s">
        <v>26</v>
      </c>
      <c r="N337" s="36">
        <v>8.3052279659793997E-5</v>
      </c>
      <c r="O337" s="36">
        <v>7.0596956685452849E-5</v>
      </c>
      <c r="P337">
        <v>1.1094611666368848E-5</v>
      </c>
    </row>
    <row r="338" spans="1:16" hidden="1" x14ac:dyDescent="0.35">
      <c r="A338" s="3">
        <f xml:space="preserve"> ROW( data_scaledImpacts[[#This Row],[row_id]] ) - ROW( data_scaledImpacts[[#Headers],[row_id]] )</f>
        <v>337</v>
      </c>
      <c r="B338" s="41" t="str">
        <f xml:space="preserve"> _xlfn.TEXTJOIN( "", , data_scaledImpacts[[#This Row],[sector]:[impactType]] )</f>
        <v>ExtremeTempCanESM272090Adaptationhot</v>
      </c>
      <c r="C338" s="33" t="s">
        <v>17</v>
      </c>
      <c r="D338" s="33" t="s">
        <v>0</v>
      </c>
      <c r="E338" s="34">
        <v>7</v>
      </c>
      <c r="F338" s="34">
        <v>2090</v>
      </c>
      <c r="G338" s="34" t="s">
        <v>774</v>
      </c>
      <c r="H338" s="35" t="s">
        <v>14</v>
      </c>
      <c r="I338" s="43" t="s">
        <v>27</v>
      </c>
      <c r="J338" s="36"/>
      <c r="K338" s="36"/>
      <c r="L338" s="37"/>
      <c r="M338" s="36"/>
      <c r="N338" s="36"/>
      <c r="O338" s="36"/>
    </row>
    <row r="339" spans="1:16" hidden="1" x14ac:dyDescent="0.35">
      <c r="A339" s="3">
        <f xml:space="preserve"> ROW( data_scaledImpacts[[#This Row],[row_id]] ) - ROW( data_scaledImpacts[[#Headers],[row_id]] )</f>
        <v>338</v>
      </c>
      <c r="B339" s="41" t="str">
        <f xml:space="preserve"> _xlfn.TEXTJOIN( "", , data_scaledImpacts[[#This Row],[sector]:[impactType]] )</f>
        <v>ExtremeTempCCSM472090Adaptationhot</v>
      </c>
      <c r="C339" s="33" t="s">
        <v>17</v>
      </c>
      <c r="D339" s="33" t="s">
        <v>1</v>
      </c>
      <c r="E339" s="34">
        <v>7</v>
      </c>
      <c r="F339" s="34">
        <v>2090</v>
      </c>
      <c r="G339" s="34" t="s">
        <v>774</v>
      </c>
      <c r="H339" s="35" t="s">
        <v>14</v>
      </c>
      <c r="I339" s="43" t="s">
        <v>28</v>
      </c>
      <c r="J339" s="36"/>
      <c r="K339" s="36"/>
      <c r="L339" s="37"/>
      <c r="M339" s="36"/>
      <c r="N339" s="36"/>
      <c r="O339" s="36"/>
    </row>
    <row r="340" spans="1:16" hidden="1" x14ac:dyDescent="0.35">
      <c r="A340" s="3">
        <f xml:space="preserve"> ROW( data_scaledImpacts[[#This Row],[row_id]] ) - ROW( data_scaledImpacts[[#Headers],[row_id]] )</f>
        <v>339</v>
      </c>
      <c r="B340" s="41" t="str">
        <f xml:space="preserve"> _xlfn.TEXTJOIN( "", , data_scaledImpacts[[#This Row],[sector]:[impactType]] )</f>
        <v>ExtremeTempGISS-E2-R72090Adaptationhot</v>
      </c>
      <c r="C340" s="33" t="s">
        <v>17</v>
      </c>
      <c r="D340" s="33" t="s">
        <v>2</v>
      </c>
      <c r="E340" s="34">
        <v>7</v>
      </c>
      <c r="F340" s="34">
        <v>2090</v>
      </c>
      <c r="G340" s="34" t="s">
        <v>774</v>
      </c>
      <c r="H340" s="35" t="s">
        <v>14</v>
      </c>
      <c r="I340" s="43" t="s">
        <v>29</v>
      </c>
      <c r="J340" s="36"/>
      <c r="K340" s="36"/>
      <c r="L340" s="37"/>
      <c r="M340" s="36"/>
      <c r="N340" s="36"/>
      <c r="O340" s="36"/>
    </row>
    <row r="341" spans="1:16" hidden="1" x14ac:dyDescent="0.35">
      <c r="A341" s="3">
        <f xml:space="preserve"> ROW( data_scaledImpacts[[#This Row],[row_id]] ) - ROW( data_scaledImpacts[[#Headers],[row_id]] )</f>
        <v>340</v>
      </c>
      <c r="B341" s="41" t="str">
        <f xml:space="preserve"> _xlfn.TEXTJOIN( "", , data_scaledImpacts[[#This Row],[sector]:[impactType]] )</f>
        <v>ExtremeTempHadGEM2-ES72090Adaptationhot</v>
      </c>
      <c r="C341" s="33" t="s">
        <v>17</v>
      </c>
      <c r="D341" s="33" t="s">
        <v>3</v>
      </c>
      <c r="E341" s="34">
        <v>7</v>
      </c>
      <c r="F341" s="34">
        <v>2090</v>
      </c>
      <c r="G341" s="34" t="s">
        <v>774</v>
      </c>
      <c r="H341" s="35" t="s">
        <v>14</v>
      </c>
      <c r="I341" s="43" t="s">
        <v>30</v>
      </c>
      <c r="J341" s="36"/>
      <c r="K341" s="36"/>
      <c r="L341" s="37"/>
      <c r="M341" s="36"/>
      <c r="N341" s="36"/>
      <c r="O341" s="36"/>
    </row>
    <row r="342" spans="1:16" hidden="1" x14ac:dyDescent="0.35">
      <c r="A342" s="3">
        <f xml:space="preserve"> ROW( data_scaledImpacts[[#This Row],[row_id]] ) - ROW( data_scaledImpacts[[#Headers],[row_id]] )</f>
        <v>341</v>
      </c>
      <c r="B342" s="41" t="str">
        <f xml:space="preserve"> _xlfn.TEXTJOIN( "", , data_scaledImpacts[[#This Row],[sector]:[impactType]] )</f>
        <v>ExtremeTempMIROC572090Adaptationhot</v>
      </c>
      <c r="C342" s="33" t="s">
        <v>17</v>
      </c>
      <c r="D342" s="33" t="s">
        <v>4</v>
      </c>
      <c r="E342" s="34">
        <v>7</v>
      </c>
      <c r="F342" s="34">
        <v>2090</v>
      </c>
      <c r="G342" s="34" t="s">
        <v>774</v>
      </c>
      <c r="H342" s="35" t="s">
        <v>14</v>
      </c>
      <c r="I342" s="43" t="s">
        <v>31</v>
      </c>
      <c r="J342" s="36"/>
      <c r="K342" s="36"/>
      <c r="L342" s="37"/>
      <c r="M342" s="36"/>
      <c r="N342" s="36"/>
      <c r="O342" s="36"/>
    </row>
    <row r="343" spans="1:16" hidden="1" x14ac:dyDescent="0.35">
      <c r="A343" s="3">
        <f xml:space="preserve"> ROW( data_scaledImpacts[[#This Row],[row_id]] ) - ROW( data_scaledImpacts[[#Headers],[row_id]] )</f>
        <v>342</v>
      </c>
      <c r="B343" s="41" t="str">
        <f xml:space="preserve"> _xlfn.TEXTJOIN( "", , data_scaledImpacts[[#This Row],[sector]:[impactType]] )</f>
        <v>ExtremeTempGFDL-CM372090Adaptationhot</v>
      </c>
      <c r="C343" s="33" t="s">
        <v>17</v>
      </c>
      <c r="D343" s="33" t="s">
        <v>5</v>
      </c>
      <c r="E343" s="34">
        <v>7</v>
      </c>
      <c r="F343" s="34">
        <v>2090</v>
      </c>
      <c r="G343" s="34" t="s">
        <v>774</v>
      </c>
      <c r="H343" s="35" t="s">
        <v>14</v>
      </c>
      <c r="I343" s="43" t="s">
        <v>32</v>
      </c>
      <c r="J343" s="36"/>
      <c r="K343" s="36"/>
      <c r="L343" s="37"/>
      <c r="M343" s="36"/>
      <c r="N343" s="36"/>
      <c r="O343" s="36"/>
    </row>
    <row r="344" spans="1:16" hidden="1" x14ac:dyDescent="0.35">
      <c r="A344" s="3">
        <f xml:space="preserve"> ROW( data_scaledImpacts[[#This Row],[row_id]] ) - ROW( data_scaledImpacts[[#Headers],[row_id]] )</f>
        <v>343</v>
      </c>
      <c r="B344" s="41" t="str">
        <f xml:space="preserve"> _xlfn.TEXTJOIN( "", , data_scaledImpacts[[#This Row],[sector]:[impactType]] )</f>
        <v>ExtremeTempGCM Average72090Adaptationhot</v>
      </c>
      <c r="C344" s="33" t="s">
        <v>17</v>
      </c>
      <c r="D344" s="33" t="s">
        <v>15</v>
      </c>
      <c r="E344" s="34">
        <v>7</v>
      </c>
      <c r="F344" s="34">
        <v>2090</v>
      </c>
      <c r="G344" s="34" t="s">
        <v>774</v>
      </c>
      <c r="H344" s="35" t="s">
        <v>14</v>
      </c>
      <c r="I344" s="43" t="s">
        <v>33</v>
      </c>
      <c r="J344" s="36"/>
      <c r="K344" s="36"/>
      <c r="L344" s="37"/>
      <c r="M344" s="36"/>
      <c r="N344" s="36"/>
      <c r="O344" s="36"/>
    </row>
    <row r="345" spans="1:16" hidden="1" x14ac:dyDescent="0.35">
      <c r="A345" s="3">
        <f xml:space="preserve"> ROW( data_scaledImpacts[[#This Row],[row_id]] ) - ROW( data_scaledImpacts[[#Headers],[row_id]] )</f>
        <v>344</v>
      </c>
      <c r="B345" s="41" t="str">
        <f xml:space="preserve"> _xlfn.TEXTJOIN( "", , data_scaledImpacts[[#This Row],[sector]:[impactType]] )</f>
        <v>ExtremeTempCanESM212090Adaptationcold</v>
      </c>
      <c r="C345" s="33" t="s">
        <v>17</v>
      </c>
      <c r="D345" s="33" t="s">
        <v>0</v>
      </c>
      <c r="E345" s="34">
        <v>1</v>
      </c>
      <c r="F345" s="34">
        <v>2090</v>
      </c>
      <c r="G345" s="34" t="s">
        <v>774</v>
      </c>
      <c r="H345" s="35" t="s">
        <v>16</v>
      </c>
      <c r="I345" s="43" t="s">
        <v>27</v>
      </c>
      <c r="J345" s="36">
        <v>-1.6018889541684394E-7</v>
      </c>
      <c r="K345" s="36">
        <v>-6.1215167611577308E-7</v>
      </c>
      <c r="L345" s="37"/>
      <c r="M345" s="36">
        <v>-4.9392960419667255E-7</v>
      </c>
      <c r="N345" s="36">
        <v>-7.4972753939316574E-8</v>
      </c>
      <c r="O345" s="36">
        <v>-1.3194466276737731E-7</v>
      </c>
      <c r="P345">
        <v>-3.7539688784136625E-8</v>
      </c>
    </row>
    <row r="346" spans="1:16" hidden="1" x14ac:dyDescent="0.35">
      <c r="A346" s="3">
        <f xml:space="preserve"> ROW( data_scaledImpacts[[#This Row],[row_id]] ) - ROW( data_scaledImpacts[[#Headers],[row_id]] )</f>
        <v>345</v>
      </c>
      <c r="B346" s="41" t="str">
        <f xml:space="preserve"> _xlfn.TEXTJOIN( "", , data_scaledImpacts[[#This Row],[sector]:[impactType]] )</f>
        <v>ExtremeTempCCSM412090Adaptationcold</v>
      </c>
      <c r="C346" s="33" t="s">
        <v>17</v>
      </c>
      <c r="D346" s="33" t="s">
        <v>1</v>
      </c>
      <c r="E346" s="34">
        <v>1</v>
      </c>
      <c r="F346" s="34">
        <v>2090</v>
      </c>
      <c r="G346" s="34" t="s">
        <v>774</v>
      </c>
      <c r="H346" s="35" t="s">
        <v>16</v>
      </c>
      <c r="I346" s="43" t="s">
        <v>28</v>
      </c>
      <c r="J346" s="36">
        <v>-4.4347160313850384E-7</v>
      </c>
      <c r="K346" s="36">
        <v>-2.7108081089269966E-7</v>
      </c>
      <c r="L346" s="37"/>
      <c r="M346" s="36">
        <v>2.62784954162204E-7</v>
      </c>
      <c r="N346" s="36">
        <v>-1.1757160410598229E-7</v>
      </c>
      <c r="O346" s="36">
        <v>-2.3948393586322018E-7</v>
      </c>
      <c r="P346">
        <v>-2.5745100391865088E-8</v>
      </c>
    </row>
    <row r="347" spans="1:16" hidden="1" x14ac:dyDescent="0.35">
      <c r="A347" s="3">
        <f xml:space="preserve"> ROW( data_scaledImpacts[[#This Row],[row_id]] ) - ROW( data_scaledImpacts[[#Headers],[row_id]] )</f>
        <v>346</v>
      </c>
      <c r="B347" s="41" t="str">
        <f xml:space="preserve"> _xlfn.TEXTJOIN( "", , data_scaledImpacts[[#This Row],[sector]:[impactType]] )</f>
        <v>ExtremeTempGISS-E2-R12090Adaptationcold</v>
      </c>
      <c r="C347" s="33" t="s">
        <v>17</v>
      </c>
      <c r="D347" s="33" t="s">
        <v>2</v>
      </c>
      <c r="E347" s="34">
        <v>1</v>
      </c>
      <c r="F347" s="34">
        <v>2090</v>
      </c>
      <c r="G347" s="34" t="s">
        <v>774</v>
      </c>
      <c r="H347" s="35" t="s">
        <v>16</v>
      </c>
      <c r="I347" s="43" t="s">
        <v>29</v>
      </c>
      <c r="J347" s="36">
        <v>-8.0318577667509633E-7</v>
      </c>
      <c r="K347" s="36">
        <v>-8.6155873034416118E-7</v>
      </c>
      <c r="L347" s="37"/>
      <c r="M347" s="36">
        <v>-5.0070546674283059E-7</v>
      </c>
      <c r="N347" s="36">
        <v>-1.9793652020106464E-7</v>
      </c>
      <c r="O347" s="36">
        <v>-2.9939147096461459E-7</v>
      </c>
      <c r="P347">
        <v>-6.5775893278107838E-8</v>
      </c>
    </row>
    <row r="348" spans="1:16" hidden="1" x14ac:dyDescent="0.35">
      <c r="A348" s="3">
        <f xml:space="preserve"> ROW( data_scaledImpacts[[#This Row],[row_id]] ) - ROW( data_scaledImpacts[[#Headers],[row_id]] )</f>
        <v>347</v>
      </c>
      <c r="B348" s="41" t="str">
        <f xml:space="preserve"> _xlfn.TEXTJOIN( "", , data_scaledImpacts[[#This Row],[sector]:[impactType]] )</f>
        <v>ExtremeTempHadGEM2-ES12090Adaptationcold</v>
      </c>
      <c r="C348" s="33" t="s">
        <v>17</v>
      </c>
      <c r="D348" s="33" t="s">
        <v>3</v>
      </c>
      <c r="E348" s="34">
        <v>1</v>
      </c>
      <c r="F348" s="34">
        <v>2090</v>
      </c>
      <c r="G348" s="34" t="s">
        <v>774</v>
      </c>
      <c r="H348" s="35" t="s">
        <v>16</v>
      </c>
      <c r="I348" s="43" t="s">
        <v>30</v>
      </c>
      <c r="J348" s="36">
        <v>-4.2260677000658211E-7</v>
      </c>
      <c r="K348" s="36">
        <v>-8.2145561015488538E-7</v>
      </c>
      <c r="L348" s="37"/>
      <c r="M348" s="36">
        <v>1.2499539807856699E-7</v>
      </c>
      <c r="N348" s="36">
        <v>-9.6746418631022584E-8</v>
      </c>
      <c r="O348" s="36">
        <v>1.1210782594341081E-7</v>
      </c>
      <c r="P348">
        <v>2.8544663782051058E-8</v>
      </c>
    </row>
    <row r="349" spans="1:16" hidden="1" x14ac:dyDescent="0.35">
      <c r="A349" s="3">
        <f xml:space="preserve"> ROW( data_scaledImpacts[[#This Row],[row_id]] ) - ROW( data_scaledImpacts[[#Headers],[row_id]] )</f>
        <v>348</v>
      </c>
      <c r="B349" s="41" t="str">
        <f xml:space="preserve"> _xlfn.TEXTJOIN( "", , data_scaledImpacts[[#This Row],[sector]:[impactType]] )</f>
        <v>ExtremeTempMIROC512090Adaptationcold</v>
      </c>
      <c r="C349" s="33" t="s">
        <v>17</v>
      </c>
      <c r="D349" s="33" t="s">
        <v>4</v>
      </c>
      <c r="E349" s="34">
        <v>1</v>
      </c>
      <c r="F349" s="34">
        <v>2090</v>
      </c>
      <c r="G349" s="34" t="s">
        <v>774</v>
      </c>
      <c r="H349" s="35" t="s">
        <v>16</v>
      </c>
      <c r="I349" s="43" t="s">
        <v>31</v>
      </c>
      <c r="J349" s="36">
        <v>-7.9074681798000148E-8</v>
      </c>
      <c r="K349" s="36">
        <v>-3.1526762810084691E-7</v>
      </c>
      <c r="L349" s="37"/>
      <c r="M349" s="36">
        <v>5.3462740281171075E-8</v>
      </c>
      <c r="N349" s="36">
        <v>-8.647003271938261E-8</v>
      </c>
      <c r="O349" s="36">
        <v>-2.2960401478646053E-7</v>
      </c>
      <c r="P349">
        <v>-4.2491678271171693E-8</v>
      </c>
    </row>
    <row r="350" spans="1:16" hidden="1" x14ac:dyDescent="0.35">
      <c r="A350" s="3">
        <f xml:space="preserve"> ROW( data_scaledImpacts[[#This Row],[row_id]] ) - ROW( data_scaledImpacts[[#Headers],[row_id]] )</f>
        <v>349</v>
      </c>
      <c r="B350" s="41" t="str">
        <f xml:space="preserve"> _xlfn.TEXTJOIN( "", , data_scaledImpacts[[#This Row],[sector]:[impactType]] )</f>
        <v>ExtremeTempGFDL-CM312090Adaptationcold</v>
      </c>
      <c r="C350" s="33" t="s">
        <v>17</v>
      </c>
      <c r="D350" s="33" t="s">
        <v>5</v>
      </c>
      <c r="E350" s="34">
        <v>1</v>
      </c>
      <c r="F350" s="34">
        <v>2090</v>
      </c>
      <c r="G350" s="34" t="s">
        <v>774</v>
      </c>
      <c r="H350" s="35" t="s">
        <v>16</v>
      </c>
      <c r="I350" s="43" t="s">
        <v>32</v>
      </c>
      <c r="J350" s="36">
        <v>-4.9139121819544203E-7</v>
      </c>
      <c r="K350" s="36">
        <v>-7.3367840548783071E-7</v>
      </c>
      <c r="L350" s="37"/>
      <c r="M350" s="36">
        <v>5.8722967092996815E-8</v>
      </c>
      <c r="N350" s="36">
        <v>-1.2946789644814446E-7</v>
      </c>
      <c r="O350" s="36">
        <v>-2.9371544342291523E-8</v>
      </c>
      <c r="P350">
        <v>-1.5225201973460645E-8</v>
      </c>
    </row>
    <row r="351" spans="1:16" hidden="1" x14ac:dyDescent="0.35">
      <c r="A351" s="3">
        <f xml:space="preserve"> ROW( data_scaledImpacts[[#This Row],[row_id]] ) - ROW( data_scaledImpacts[[#Headers],[row_id]] )</f>
        <v>350</v>
      </c>
      <c r="B351" s="41" t="str">
        <f xml:space="preserve"> _xlfn.TEXTJOIN( "", , data_scaledImpacts[[#This Row],[sector]:[impactType]] )</f>
        <v>ExtremeTempGCM Average12090Adaptationcold</v>
      </c>
      <c r="C351" s="33" t="s">
        <v>17</v>
      </c>
      <c r="D351" s="33" t="s">
        <v>15</v>
      </c>
      <c r="E351" s="34">
        <v>1</v>
      </c>
      <c r="F351" s="34">
        <v>2090</v>
      </c>
      <c r="G351" s="34" t="s">
        <v>774</v>
      </c>
      <c r="H351" s="35" t="s">
        <v>16</v>
      </c>
      <c r="I351" s="43" t="s">
        <v>33</v>
      </c>
      <c r="J351" s="36">
        <v>-3.9998649087174476E-7</v>
      </c>
      <c r="K351" s="36">
        <v>-6.0253214351603277E-7</v>
      </c>
      <c r="L351" s="37" t="s">
        <v>26</v>
      </c>
      <c r="M351" s="36">
        <v>-8.2444835220760707E-8</v>
      </c>
      <c r="N351" s="36">
        <v>-1.1719420434081887E-7</v>
      </c>
      <c r="O351" s="36">
        <v>-1.3628130046342555E-7</v>
      </c>
      <c r="P351">
        <v>-2.6372149819448476E-8</v>
      </c>
    </row>
    <row r="352" spans="1:16" hidden="1" x14ac:dyDescent="0.35">
      <c r="A352" s="3">
        <f xml:space="preserve"> ROW( data_scaledImpacts[[#This Row],[row_id]] ) - ROW( data_scaledImpacts[[#Headers],[row_id]] )</f>
        <v>351</v>
      </c>
      <c r="B352" s="41" t="str">
        <f xml:space="preserve"> _xlfn.TEXTJOIN( "", , data_scaledImpacts[[#This Row],[sector]:[impactType]] )</f>
        <v>ExtremeTempCanESM222090Adaptationcold</v>
      </c>
      <c r="C352" s="33" t="s">
        <v>17</v>
      </c>
      <c r="D352" s="33" t="s">
        <v>0</v>
      </c>
      <c r="E352" s="34">
        <v>2</v>
      </c>
      <c r="F352" s="34">
        <v>2090</v>
      </c>
      <c r="G352" s="34" t="s">
        <v>774</v>
      </c>
      <c r="H352" s="35" t="s">
        <v>16</v>
      </c>
      <c r="I352" s="43" t="s">
        <v>27</v>
      </c>
      <c r="J352" s="36">
        <v>-6.2789373840061598E-7</v>
      </c>
      <c r="K352" s="36">
        <v>-7.7465629329473806E-7</v>
      </c>
      <c r="L352" s="37"/>
      <c r="M352" s="36">
        <v>-5.717212584626189E-7</v>
      </c>
      <c r="N352" s="36">
        <v>-1.1121528656146851E-7</v>
      </c>
      <c r="O352" s="36">
        <v>-1.3838787560954175E-7</v>
      </c>
      <c r="P352">
        <v>-9.6810953845251419E-8</v>
      </c>
    </row>
    <row r="353" spans="1:16" hidden="1" x14ac:dyDescent="0.35">
      <c r="A353" s="3">
        <f xml:space="preserve"> ROW( data_scaledImpacts[[#This Row],[row_id]] ) - ROW( data_scaledImpacts[[#Headers],[row_id]] )</f>
        <v>352</v>
      </c>
      <c r="B353" s="41" t="str">
        <f xml:space="preserve"> _xlfn.TEXTJOIN( "", , data_scaledImpacts[[#This Row],[sector]:[impactType]] )</f>
        <v>ExtremeTempCCSM422090Adaptationcold</v>
      </c>
      <c r="C353" s="33" t="s">
        <v>17</v>
      </c>
      <c r="D353" s="33" t="s">
        <v>1</v>
      </c>
      <c r="E353" s="34">
        <v>2</v>
      </c>
      <c r="F353" s="34">
        <v>2090</v>
      </c>
      <c r="G353" s="34" t="s">
        <v>774</v>
      </c>
      <c r="H353" s="35" t="s">
        <v>16</v>
      </c>
      <c r="I353" s="43" t="s">
        <v>28</v>
      </c>
      <c r="J353" s="36">
        <v>-5.1326612620991538E-7</v>
      </c>
      <c r="K353" s="36">
        <v>-8.1064455623448293E-7</v>
      </c>
      <c r="L353" s="37"/>
      <c r="M353" s="36">
        <v>-1.4081921935217034E-7</v>
      </c>
      <c r="N353" s="36">
        <v>-1.5567982427852585E-7</v>
      </c>
      <c r="O353" s="36">
        <v>-2.5099794979840694E-7</v>
      </c>
      <c r="P353">
        <v>-1.0022378012215861E-7</v>
      </c>
    </row>
    <row r="354" spans="1:16" hidden="1" x14ac:dyDescent="0.35">
      <c r="A354" s="3">
        <f xml:space="preserve"> ROW( data_scaledImpacts[[#This Row],[row_id]] ) - ROW( data_scaledImpacts[[#Headers],[row_id]] )</f>
        <v>353</v>
      </c>
      <c r="B354" s="41" t="str">
        <f xml:space="preserve"> _xlfn.TEXTJOIN( "", , data_scaledImpacts[[#This Row],[sector]:[impactType]] )</f>
        <v>ExtremeTempGISS-E2-R22090Adaptationcold</v>
      </c>
      <c r="C354" s="33" t="s">
        <v>17</v>
      </c>
      <c r="D354" s="33" t="s">
        <v>2</v>
      </c>
      <c r="E354" s="34">
        <v>2</v>
      </c>
      <c r="F354" s="34">
        <v>2090</v>
      </c>
      <c r="G354" s="34" t="s">
        <v>774</v>
      </c>
      <c r="H354" s="35" t="s">
        <v>16</v>
      </c>
      <c r="I354" s="43" t="s">
        <v>29</v>
      </c>
      <c r="J354" s="36">
        <v>-7.9955926460623733E-7</v>
      </c>
      <c r="K354" s="36">
        <v>-9.8161699894642812E-7</v>
      </c>
      <c r="L354" s="37"/>
      <c r="M354" s="36">
        <v>5.2627550537376591E-7</v>
      </c>
      <c r="N354" s="36">
        <v>-2.193467559417911E-7</v>
      </c>
      <c r="O354" s="36">
        <v>-3.2805134410967878E-7</v>
      </c>
      <c r="P354">
        <v>-3.1711691810062894E-8</v>
      </c>
    </row>
    <row r="355" spans="1:16" hidden="1" x14ac:dyDescent="0.35">
      <c r="A355" s="3">
        <f xml:space="preserve"> ROW( data_scaledImpacts[[#This Row],[row_id]] ) - ROW( data_scaledImpacts[[#Headers],[row_id]] )</f>
        <v>354</v>
      </c>
      <c r="B355" s="41" t="str">
        <f xml:space="preserve"> _xlfn.TEXTJOIN( "", , data_scaledImpacts[[#This Row],[sector]:[impactType]] )</f>
        <v>ExtremeTempHadGEM2-ES22090Adaptationcold</v>
      </c>
      <c r="C355" s="33" t="s">
        <v>17</v>
      </c>
      <c r="D355" s="33" t="s">
        <v>3</v>
      </c>
      <c r="E355" s="34">
        <v>2</v>
      </c>
      <c r="F355" s="34">
        <v>2090</v>
      </c>
      <c r="G355" s="34" t="s">
        <v>774</v>
      </c>
      <c r="H355" s="35" t="s">
        <v>16</v>
      </c>
      <c r="I355" s="43" t="s">
        <v>30</v>
      </c>
      <c r="J355" s="36">
        <v>-6.1253039302524538E-7</v>
      </c>
      <c r="K355" s="36">
        <v>-7.631165928836687E-7</v>
      </c>
      <c r="L355" s="37"/>
      <c r="M355" s="36">
        <v>-3.1119601254244564E-7</v>
      </c>
      <c r="N355" s="36">
        <v>-1.4595838015185889E-7</v>
      </c>
      <c r="O355" s="36">
        <v>-1.8515893399536977E-7</v>
      </c>
      <c r="P355">
        <v>-7.8744357707114399E-8</v>
      </c>
    </row>
    <row r="356" spans="1:16" hidden="1" x14ac:dyDescent="0.35">
      <c r="A356" s="3">
        <f xml:space="preserve"> ROW( data_scaledImpacts[[#This Row],[row_id]] ) - ROW( data_scaledImpacts[[#Headers],[row_id]] )</f>
        <v>355</v>
      </c>
      <c r="B356" s="41" t="str">
        <f xml:space="preserve"> _xlfn.TEXTJOIN( "", , data_scaledImpacts[[#This Row],[sector]:[impactType]] )</f>
        <v>ExtremeTempMIROC522090Adaptationcold</v>
      </c>
      <c r="C356" s="33" t="s">
        <v>17</v>
      </c>
      <c r="D356" s="33" t="s">
        <v>4</v>
      </c>
      <c r="E356" s="34">
        <v>2</v>
      </c>
      <c r="F356" s="34">
        <v>2090</v>
      </c>
      <c r="G356" s="34" t="s">
        <v>774</v>
      </c>
      <c r="H356" s="35" t="s">
        <v>16</v>
      </c>
      <c r="I356" s="43" t="s">
        <v>31</v>
      </c>
      <c r="J356" s="36">
        <v>-4.8936544298020784E-7</v>
      </c>
      <c r="K356" s="36">
        <v>-9.4867609295780178E-7</v>
      </c>
      <c r="L356" s="37"/>
      <c r="M356" s="36">
        <v>1.0511463410086597E-7</v>
      </c>
      <c r="N356" s="36">
        <v>-1.4821031684188599E-7</v>
      </c>
      <c r="O356" s="36">
        <v>-1.4740711707768093E-7</v>
      </c>
      <c r="P356">
        <v>-6.1089194825422941E-8</v>
      </c>
    </row>
    <row r="357" spans="1:16" hidden="1" x14ac:dyDescent="0.35">
      <c r="A357" s="3">
        <f xml:space="preserve"> ROW( data_scaledImpacts[[#This Row],[row_id]] ) - ROW( data_scaledImpacts[[#Headers],[row_id]] )</f>
        <v>356</v>
      </c>
      <c r="B357" s="41" t="str">
        <f xml:space="preserve"> _xlfn.TEXTJOIN( "", , data_scaledImpacts[[#This Row],[sector]:[impactType]] )</f>
        <v>ExtremeTempGFDL-CM322090Adaptationcold</v>
      </c>
      <c r="C357" s="33" t="s">
        <v>17</v>
      </c>
      <c r="D357" s="33" t="s">
        <v>5</v>
      </c>
      <c r="E357" s="34">
        <v>2</v>
      </c>
      <c r="F357" s="34">
        <v>2090</v>
      </c>
      <c r="G357" s="34" t="s">
        <v>774</v>
      </c>
      <c r="H357" s="35" t="s">
        <v>16</v>
      </c>
      <c r="I357" s="43" t="s">
        <v>32</v>
      </c>
      <c r="J357" s="36">
        <v>-7.4546306588616011E-7</v>
      </c>
      <c r="K357" s="36">
        <v>-8.5255159555387808E-7</v>
      </c>
      <c r="L357" s="37"/>
      <c r="M357" s="36">
        <v>6.7754891561273149E-8</v>
      </c>
      <c r="N357" s="36">
        <v>-1.7078483081994324E-7</v>
      </c>
      <c r="O357" s="36">
        <v>-2.8147794849033305E-7</v>
      </c>
      <c r="P357">
        <v>-3.860700571294668E-8</v>
      </c>
    </row>
    <row r="358" spans="1:16" hidden="1" x14ac:dyDescent="0.35">
      <c r="A358" s="3">
        <f xml:space="preserve"> ROW( data_scaledImpacts[[#This Row],[row_id]] ) - ROW( data_scaledImpacts[[#Headers],[row_id]] )</f>
        <v>357</v>
      </c>
      <c r="B358" s="41" t="str">
        <f xml:space="preserve"> _xlfn.TEXTJOIN( "", , data_scaledImpacts[[#This Row],[sector]:[impactType]] )</f>
        <v>ExtremeTempGCM Average22090Adaptationcold</v>
      </c>
      <c r="C358" s="33" t="s">
        <v>17</v>
      </c>
      <c r="D358" s="33" t="s">
        <v>15</v>
      </c>
      <c r="E358" s="34">
        <v>2</v>
      </c>
      <c r="F358" s="34">
        <v>2090</v>
      </c>
      <c r="G358" s="34" t="s">
        <v>774</v>
      </c>
      <c r="H358" s="35" t="s">
        <v>16</v>
      </c>
      <c r="I358" s="43" t="s">
        <v>33</v>
      </c>
      <c r="J358" s="36">
        <v>-6.3134633851806362E-7</v>
      </c>
      <c r="K358" s="36">
        <v>-8.5521035497849961E-7</v>
      </c>
      <c r="L358" s="37" t="s">
        <v>26</v>
      </c>
      <c r="M358" s="36">
        <v>-5.4098576553554987E-8</v>
      </c>
      <c r="N358" s="36">
        <v>-1.5853256576591228E-7</v>
      </c>
      <c r="O358" s="36">
        <v>-2.2191352818016853E-7</v>
      </c>
      <c r="P358">
        <v>-6.7864497337159487E-8</v>
      </c>
    </row>
    <row r="359" spans="1:16" hidden="1" x14ac:dyDescent="0.35">
      <c r="A359" s="3">
        <f xml:space="preserve"> ROW( data_scaledImpacts[[#This Row],[row_id]] ) - ROW( data_scaledImpacts[[#Headers],[row_id]] )</f>
        <v>358</v>
      </c>
      <c r="B359" s="41" t="str">
        <f xml:space="preserve"> _xlfn.TEXTJOIN( "", , data_scaledImpacts[[#This Row],[sector]:[impactType]] )</f>
        <v>ExtremeTempCanESM232090Adaptationcold</v>
      </c>
      <c r="C359" s="33" t="s">
        <v>17</v>
      </c>
      <c r="D359" s="33" t="s">
        <v>0</v>
      </c>
      <c r="E359" s="34">
        <v>3</v>
      </c>
      <c r="F359" s="34">
        <v>2090</v>
      </c>
      <c r="G359" s="34" t="s">
        <v>774</v>
      </c>
      <c r="H359" s="35" t="s">
        <v>16</v>
      </c>
      <c r="I359" s="43" t="s">
        <v>27</v>
      </c>
      <c r="J359" s="36">
        <v>-7.9990620528258842E-7</v>
      </c>
      <c r="K359" s="36">
        <v>-8.6304182545774818E-7</v>
      </c>
      <c r="L359" s="37"/>
      <c r="M359" s="36">
        <v>-7.8658351054335133E-7</v>
      </c>
      <c r="N359" s="36">
        <v>-1.9960379251432262E-7</v>
      </c>
      <c r="O359" s="36">
        <v>-3.1333035893140134E-7</v>
      </c>
      <c r="P359">
        <v>-1.0552219200242724E-7</v>
      </c>
    </row>
    <row r="360" spans="1:16" hidden="1" x14ac:dyDescent="0.35">
      <c r="A360" s="3">
        <f xml:space="preserve"> ROW( data_scaledImpacts[[#This Row],[row_id]] ) - ROW( data_scaledImpacts[[#Headers],[row_id]] )</f>
        <v>359</v>
      </c>
      <c r="B360" s="41" t="str">
        <f xml:space="preserve"> _xlfn.TEXTJOIN( "", , data_scaledImpacts[[#This Row],[sector]:[impactType]] )</f>
        <v>ExtremeTempCCSM432090Adaptationcold</v>
      </c>
      <c r="C360" s="33" t="s">
        <v>17</v>
      </c>
      <c r="D360" s="33" t="s">
        <v>1</v>
      </c>
      <c r="E360" s="34">
        <v>3</v>
      </c>
      <c r="F360" s="34">
        <v>2090</v>
      </c>
      <c r="G360" s="34" t="s">
        <v>774</v>
      </c>
      <c r="H360" s="35" t="s">
        <v>16</v>
      </c>
      <c r="I360" s="43" t="s">
        <v>28</v>
      </c>
      <c r="J360" s="36">
        <v>-7.6438576510588449E-7</v>
      </c>
      <c r="K360" s="36">
        <v>-8.7527967741258645E-7</v>
      </c>
      <c r="L360" s="37"/>
      <c r="M360" s="36">
        <v>-5.2533930635432663E-7</v>
      </c>
      <c r="N360" s="36">
        <v>-1.7881725419551612E-7</v>
      </c>
      <c r="O360" s="36">
        <v>-2.8662145188784144E-7</v>
      </c>
      <c r="P360">
        <v>-1.1050976320780751E-7</v>
      </c>
    </row>
    <row r="361" spans="1:16" hidden="1" x14ac:dyDescent="0.35">
      <c r="A361" s="3">
        <f xml:space="preserve"> ROW( data_scaledImpacts[[#This Row],[row_id]] ) - ROW( data_scaledImpacts[[#Headers],[row_id]] )</f>
        <v>360</v>
      </c>
      <c r="B361" s="41" t="str">
        <f xml:space="preserve"> _xlfn.TEXTJOIN( "", , data_scaledImpacts[[#This Row],[sector]:[impactType]] )</f>
        <v>ExtremeTempGISS-E2-R32090Adaptationcold</v>
      </c>
      <c r="C361" s="33" t="s">
        <v>17</v>
      </c>
      <c r="D361" s="33" t="s">
        <v>2</v>
      </c>
      <c r="E361" s="34">
        <v>3</v>
      </c>
      <c r="F361" s="34">
        <v>2090</v>
      </c>
      <c r="G361" s="34" t="s">
        <v>774</v>
      </c>
      <c r="H361" s="35" t="s">
        <v>16</v>
      </c>
      <c r="I361" s="43" t="s">
        <v>29</v>
      </c>
      <c r="J361" s="36">
        <v>-7.752157482200769E-7</v>
      </c>
      <c r="K361" s="36">
        <v>-1.0257728613298314E-6</v>
      </c>
      <c r="L361" s="37"/>
      <c r="M361" s="36">
        <v>-3.3944221431729792E-7</v>
      </c>
      <c r="N361" s="36">
        <v>-2.0524276172333894E-7</v>
      </c>
      <c r="O361" s="36">
        <v>-2.4466526347115334E-7</v>
      </c>
      <c r="P361">
        <v>-9.3188751509373505E-8</v>
      </c>
    </row>
    <row r="362" spans="1:16" hidden="1" x14ac:dyDescent="0.35">
      <c r="A362" s="3">
        <f xml:space="preserve"> ROW( data_scaledImpacts[[#This Row],[row_id]] ) - ROW( data_scaledImpacts[[#Headers],[row_id]] )</f>
        <v>361</v>
      </c>
      <c r="B362" s="41" t="str">
        <f xml:space="preserve"> _xlfn.TEXTJOIN( "", , data_scaledImpacts[[#This Row],[sector]:[impactType]] )</f>
        <v>ExtremeTempHadGEM2-ES32090Adaptationcold</v>
      </c>
      <c r="C362" s="33" t="s">
        <v>17</v>
      </c>
      <c r="D362" s="33" t="s">
        <v>3</v>
      </c>
      <c r="E362" s="34">
        <v>3</v>
      </c>
      <c r="F362" s="34">
        <v>2090</v>
      </c>
      <c r="G362" s="34" t="s">
        <v>774</v>
      </c>
      <c r="H362" s="35" t="s">
        <v>16</v>
      </c>
      <c r="I362" s="43" t="s">
        <v>30</v>
      </c>
      <c r="J362" s="36">
        <v>-7.5117209386087134E-7</v>
      </c>
      <c r="K362" s="36">
        <v>-9.3596277307129262E-7</v>
      </c>
      <c r="L362" s="37"/>
      <c r="M362" s="36">
        <v>-2.020432306167389E-7</v>
      </c>
      <c r="N362" s="36">
        <v>-2.1072123559238639E-7</v>
      </c>
      <c r="O362" s="36">
        <v>-2.9698691097274558E-7</v>
      </c>
      <c r="P362">
        <v>-3.7952067762216646E-8</v>
      </c>
    </row>
    <row r="363" spans="1:16" hidden="1" x14ac:dyDescent="0.35">
      <c r="A363" s="3">
        <f xml:space="preserve"> ROW( data_scaledImpacts[[#This Row],[row_id]] ) - ROW( data_scaledImpacts[[#Headers],[row_id]] )</f>
        <v>362</v>
      </c>
      <c r="B363" s="41" t="str">
        <f xml:space="preserve"> _xlfn.TEXTJOIN( "", , data_scaledImpacts[[#This Row],[sector]:[impactType]] )</f>
        <v>ExtremeTempMIROC532090Adaptationcold</v>
      </c>
      <c r="C363" s="33" t="s">
        <v>17</v>
      </c>
      <c r="D363" s="33" t="s">
        <v>4</v>
      </c>
      <c r="E363" s="34">
        <v>3</v>
      </c>
      <c r="F363" s="34">
        <v>2090</v>
      </c>
      <c r="G363" s="34" t="s">
        <v>774</v>
      </c>
      <c r="H363" s="35" t="s">
        <v>16</v>
      </c>
      <c r="I363" s="43" t="s">
        <v>31</v>
      </c>
      <c r="J363" s="36">
        <v>-6.9672867328429356E-7</v>
      </c>
      <c r="K363" s="36">
        <v>-9.8293163553851203E-7</v>
      </c>
      <c r="L363" s="37"/>
      <c r="M363" s="36">
        <v>-2.7910621171425538E-7</v>
      </c>
      <c r="N363" s="36">
        <v>-2.0908931557599633E-7</v>
      </c>
      <c r="O363" s="36">
        <v>-2.5059086408015111E-7</v>
      </c>
      <c r="P363">
        <v>-9.8735353551352711E-8</v>
      </c>
    </row>
    <row r="364" spans="1:16" hidden="1" x14ac:dyDescent="0.35">
      <c r="A364" s="3">
        <f xml:space="preserve"> ROW( data_scaledImpacts[[#This Row],[row_id]] ) - ROW( data_scaledImpacts[[#Headers],[row_id]] )</f>
        <v>363</v>
      </c>
      <c r="B364" s="41" t="str">
        <f xml:space="preserve"> _xlfn.TEXTJOIN( "", , data_scaledImpacts[[#This Row],[sector]:[impactType]] )</f>
        <v>ExtremeTempGFDL-CM332090Adaptationcold</v>
      </c>
      <c r="C364" s="33" t="s">
        <v>17</v>
      </c>
      <c r="D364" s="33" t="s">
        <v>5</v>
      </c>
      <c r="E364" s="34">
        <v>3</v>
      </c>
      <c r="F364" s="34">
        <v>2090</v>
      </c>
      <c r="G364" s="34" t="s">
        <v>774</v>
      </c>
      <c r="H364" s="35" t="s">
        <v>16</v>
      </c>
      <c r="I364" s="43" t="s">
        <v>32</v>
      </c>
      <c r="J364" s="36">
        <v>-5.9549578428878954E-7</v>
      </c>
      <c r="K364" s="36">
        <v>-8.6758407593109155E-7</v>
      </c>
      <c r="L364" s="37"/>
      <c r="M364" s="36">
        <v>-4.2247466559591063E-7</v>
      </c>
      <c r="N364" s="36">
        <v>-1.6220667414832968E-7</v>
      </c>
      <c r="O364" s="36">
        <v>-1.3721900671952752E-7</v>
      </c>
      <c r="P364">
        <v>-9.7326356834147407E-8</v>
      </c>
    </row>
    <row r="365" spans="1:16" hidden="1" x14ac:dyDescent="0.35">
      <c r="A365" s="3">
        <f xml:space="preserve"> ROW( data_scaledImpacts[[#This Row],[row_id]] ) - ROW( data_scaledImpacts[[#Headers],[row_id]] )</f>
        <v>364</v>
      </c>
      <c r="B365" s="41" t="str">
        <f xml:space="preserve"> _xlfn.TEXTJOIN( "", , data_scaledImpacts[[#This Row],[sector]:[impactType]] )</f>
        <v>ExtremeTempGCM Average32090Adaptationcold</v>
      </c>
      <c r="C365" s="33" t="s">
        <v>17</v>
      </c>
      <c r="D365" s="33" t="s">
        <v>15</v>
      </c>
      <c r="E365" s="34">
        <v>3</v>
      </c>
      <c r="F365" s="34">
        <v>2090</v>
      </c>
      <c r="G365" s="34" t="s">
        <v>774</v>
      </c>
      <c r="H365" s="35" t="s">
        <v>16</v>
      </c>
      <c r="I365" s="43" t="s">
        <v>33</v>
      </c>
      <c r="J365" s="36">
        <v>-7.3048404500708392E-7</v>
      </c>
      <c r="K365" s="36">
        <v>-9.2509547479017696E-7</v>
      </c>
      <c r="L365" s="37" t="s">
        <v>26</v>
      </c>
      <c r="M365" s="36">
        <v>-4.2583152319031344E-7</v>
      </c>
      <c r="N365" s="36">
        <v>-1.9428017229164835E-7</v>
      </c>
      <c r="O365" s="36">
        <v>-2.5490230934380331E-7</v>
      </c>
      <c r="P365">
        <v>-9.0539080811220831E-8</v>
      </c>
    </row>
    <row r="366" spans="1:16" hidden="1" x14ac:dyDescent="0.35">
      <c r="A366" s="3">
        <f xml:space="preserve"> ROW( data_scaledImpacts[[#This Row],[row_id]] ) - ROW( data_scaledImpacts[[#Headers],[row_id]] )</f>
        <v>365</v>
      </c>
      <c r="B366" s="41" t="str">
        <f xml:space="preserve"> _xlfn.TEXTJOIN( "", , data_scaledImpacts[[#This Row],[sector]:[impactType]] )</f>
        <v>ExtremeTempCanESM242090Adaptationcold</v>
      </c>
      <c r="C366" s="33" t="s">
        <v>17</v>
      </c>
      <c r="D366" s="33" t="s">
        <v>0</v>
      </c>
      <c r="E366" s="34">
        <v>4</v>
      </c>
      <c r="F366" s="34">
        <v>2090</v>
      </c>
      <c r="G366" s="34" t="s">
        <v>774</v>
      </c>
      <c r="H366" s="35" t="s">
        <v>16</v>
      </c>
      <c r="I366" s="43" t="s">
        <v>27</v>
      </c>
      <c r="J366" s="36">
        <v>-6.147188172419595E-7</v>
      </c>
      <c r="K366" s="36">
        <v>-8.1878876473040022E-7</v>
      </c>
      <c r="L366" s="37"/>
      <c r="M366" s="36">
        <v>-7.4634007900883177E-7</v>
      </c>
      <c r="N366" s="36">
        <v>-1.6348213000270527E-7</v>
      </c>
      <c r="O366" s="36">
        <v>-2.7225516416306598E-7</v>
      </c>
      <c r="P366">
        <v>-1.2504276175166344E-7</v>
      </c>
    </row>
    <row r="367" spans="1:16" hidden="1" x14ac:dyDescent="0.35">
      <c r="A367" s="3">
        <f xml:space="preserve"> ROW( data_scaledImpacts[[#This Row],[row_id]] ) - ROW( data_scaledImpacts[[#Headers],[row_id]] )</f>
        <v>366</v>
      </c>
      <c r="B367" s="41" t="str">
        <f xml:space="preserve"> _xlfn.TEXTJOIN( "", , data_scaledImpacts[[#This Row],[sector]:[impactType]] )</f>
        <v>ExtremeTempCCSM442090Adaptationcold</v>
      </c>
      <c r="C367" s="33" t="s">
        <v>17</v>
      </c>
      <c r="D367" s="33" t="s">
        <v>1</v>
      </c>
      <c r="E367" s="34">
        <v>4</v>
      </c>
      <c r="F367" s="34">
        <v>2090</v>
      </c>
      <c r="G367" s="34" t="s">
        <v>774</v>
      </c>
      <c r="H367" s="35" t="s">
        <v>16</v>
      </c>
      <c r="I367" s="43" t="s">
        <v>28</v>
      </c>
      <c r="J367" s="36">
        <v>-9.3115287245961523E-7</v>
      </c>
      <c r="K367" s="36">
        <v>-1.0352093701287077E-6</v>
      </c>
      <c r="L367" s="37"/>
      <c r="M367" s="36">
        <v>-6.694655781031491E-7</v>
      </c>
      <c r="N367" s="36">
        <v>-2.3919709752858321E-7</v>
      </c>
      <c r="O367" s="36">
        <v>-3.8659234755457509E-7</v>
      </c>
      <c r="P367">
        <v>-1.3820035820044623E-7</v>
      </c>
    </row>
    <row r="368" spans="1:16" hidden="1" x14ac:dyDescent="0.35">
      <c r="A368" s="3">
        <f xml:space="preserve"> ROW( data_scaledImpacts[[#This Row],[row_id]] ) - ROW( data_scaledImpacts[[#Headers],[row_id]] )</f>
        <v>367</v>
      </c>
      <c r="B368" s="41" t="str">
        <f xml:space="preserve"> _xlfn.TEXTJOIN( "", , data_scaledImpacts[[#This Row],[sector]:[impactType]] )</f>
        <v>ExtremeTempGISS-E2-R42090Adaptationcold</v>
      </c>
      <c r="C368" s="33" t="s">
        <v>17</v>
      </c>
      <c r="D368" s="33" t="s">
        <v>2</v>
      </c>
      <c r="E368" s="34">
        <v>4</v>
      </c>
      <c r="F368" s="34">
        <v>2090</v>
      </c>
      <c r="G368" s="34" t="s">
        <v>774</v>
      </c>
      <c r="H368" s="35" t="s">
        <v>16</v>
      </c>
      <c r="I368" s="43" t="s">
        <v>29</v>
      </c>
      <c r="J368" s="36"/>
      <c r="K368" s="36"/>
      <c r="L368" s="37"/>
      <c r="M368" s="36"/>
      <c r="N368" s="36"/>
      <c r="O368" s="36"/>
    </row>
    <row r="369" spans="1:16" hidden="1" x14ac:dyDescent="0.35">
      <c r="A369" s="3">
        <f xml:space="preserve"> ROW( data_scaledImpacts[[#This Row],[row_id]] ) - ROW( data_scaledImpacts[[#Headers],[row_id]] )</f>
        <v>368</v>
      </c>
      <c r="B369" s="41" t="str">
        <f xml:space="preserve"> _xlfn.TEXTJOIN( "", , data_scaledImpacts[[#This Row],[sector]:[impactType]] )</f>
        <v>ExtremeTempHadGEM2-ES42090Adaptationcold</v>
      </c>
      <c r="C369" s="33" t="s">
        <v>17</v>
      </c>
      <c r="D369" s="33" t="s">
        <v>3</v>
      </c>
      <c r="E369" s="34">
        <v>4</v>
      </c>
      <c r="F369" s="34">
        <v>2090</v>
      </c>
      <c r="G369" s="34" t="s">
        <v>774</v>
      </c>
      <c r="H369" s="35" t="s">
        <v>16</v>
      </c>
      <c r="I369" s="43" t="s">
        <v>30</v>
      </c>
      <c r="J369" s="36">
        <v>-8.1766130318070722E-7</v>
      </c>
      <c r="K369" s="36">
        <v>-9.3729336633482194E-7</v>
      </c>
      <c r="L369" s="37"/>
      <c r="M369" s="36">
        <v>-6.8086432548874573E-7</v>
      </c>
      <c r="N369" s="36">
        <v>-2.0497178567103375E-7</v>
      </c>
      <c r="O369" s="36">
        <v>-2.8244327452121939E-7</v>
      </c>
      <c r="P369">
        <v>-1.1310730318421415E-7</v>
      </c>
    </row>
    <row r="370" spans="1:16" hidden="1" x14ac:dyDescent="0.35">
      <c r="A370" s="3">
        <f xml:space="preserve"> ROW( data_scaledImpacts[[#This Row],[row_id]] ) - ROW( data_scaledImpacts[[#Headers],[row_id]] )</f>
        <v>369</v>
      </c>
      <c r="B370" s="41" t="str">
        <f xml:space="preserve"> _xlfn.TEXTJOIN( "", , data_scaledImpacts[[#This Row],[sector]:[impactType]] )</f>
        <v>ExtremeTempMIROC542090Adaptationcold</v>
      </c>
      <c r="C370" s="33" t="s">
        <v>17</v>
      </c>
      <c r="D370" s="33" t="s">
        <v>4</v>
      </c>
      <c r="E370" s="34">
        <v>4</v>
      </c>
      <c r="F370" s="34">
        <v>2090</v>
      </c>
      <c r="G370" s="34" t="s">
        <v>774</v>
      </c>
      <c r="H370" s="35" t="s">
        <v>16</v>
      </c>
      <c r="I370" s="43" t="s">
        <v>31</v>
      </c>
      <c r="J370" s="36">
        <v>-8.6006380337580588E-7</v>
      </c>
      <c r="K370" s="36">
        <v>-1.0526819079231365E-6</v>
      </c>
      <c r="L370" s="37"/>
      <c r="M370" s="36">
        <v>-5.4621883998875437E-7</v>
      </c>
      <c r="N370" s="36">
        <v>-2.3075464710368416E-7</v>
      </c>
      <c r="O370" s="36">
        <v>-3.1662754264967059E-7</v>
      </c>
      <c r="P370">
        <v>-1.2673830746922781E-7</v>
      </c>
    </row>
    <row r="371" spans="1:16" hidden="1" x14ac:dyDescent="0.35">
      <c r="A371" s="3">
        <f xml:space="preserve"> ROW( data_scaledImpacts[[#This Row],[row_id]] ) - ROW( data_scaledImpacts[[#Headers],[row_id]] )</f>
        <v>370</v>
      </c>
      <c r="B371" s="41" t="str">
        <f xml:space="preserve"> _xlfn.TEXTJOIN( "", , data_scaledImpacts[[#This Row],[sector]:[impactType]] )</f>
        <v>ExtremeTempGFDL-CM342090Adaptationcold</v>
      </c>
      <c r="C371" s="33" t="s">
        <v>17</v>
      </c>
      <c r="D371" s="33" t="s">
        <v>5</v>
      </c>
      <c r="E371" s="34">
        <v>4</v>
      </c>
      <c r="F371" s="34">
        <v>2090</v>
      </c>
      <c r="G371" s="34" t="s">
        <v>774</v>
      </c>
      <c r="H371" s="35" t="s">
        <v>16</v>
      </c>
      <c r="I371" s="43" t="s">
        <v>32</v>
      </c>
      <c r="J371" s="36">
        <v>-8.0388933384605293E-7</v>
      </c>
      <c r="K371" s="36">
        <v>-1.0402223101384084E-6</v>
      </c>
      <c r="L371" s="37"/>
      <c r="M371" s="36">
        <v>-5.3403313003725293E-7</v>
      </c>
      <c r="N371" s="36">
        <v>-2.112691048388623E-7</v>
      </c>
      <c r="O371" s="36">
        <v>-2.235010654507114E-7</v>
      </c>
      <c r="P371">
        <v>-1.1747061689212528E-7</v>
      </c>
    </row>
    <row r="372" spans="1:16" hidden="1" x14ac:dyDescent="0.35">
      <c r="A372" s="3">
        <f xml:space="preserve"> ROW( data_scaledImpacts[[#This Row],[row_id]] ) - ROW( data_scaledImpacts[[#Headers],[row_id]] )</f>
        <v>371</v>
      </c>
      <c r="B372" s="41" t="str">
        <f xml:space="preserve"> _xlfn.TEXTJOIN( "", , data_scaledImpacts[[#This Row],[sector]:[impactType]] )</f>
        <v>ExtremeTempGCM Average42090Adaptationcold</v>
      </c>
      <c r="C372" s="33" t="s">
        <v>17</v>
      </c>
      <c r="D372" s="33" t="s">
        <v>15</v>
      </c>
      <c r="E372" s="34">
        <v>4</v>
      </c>
      <c r="F372" s="34">
        <v>2090</v>
      </c>
      <c r="G372" s="34" t="s">
        <v>774</v>
      </c>
      <c r="H372" s="35" t="s">
        <v>16</v>
      </c>
      <c r="I372" s="43" t="s">
        <v>33</v>
      </c>
      <c r="J372" s="36">
        <v>-8.0549722602082807E-7</v>
      </c>
      <c r="K372" s="36">
        <v>-9.7683914385109481E-7</v>
      </c>
      <c r="L372" s="37" t="s">
        <v>26</v>
      </c>
      <c r="M372" s="36">
        <v>-6.3538439052534678E-7</v>
      </c>
      <c r="N372" s="36">
        <v>-2.0993495302897371E-7</v>
      </c>
      <c r="O372" s="36">
        <v>-2.9628387886784845E-7</v>
      </c>
      <c r="P372">
        <v>-1.2411186949953537E-7</v>
      </c>
    </row>
    <row r="373" spans="1:16" hidden="1" x14ac:dyDescent="0.35">
      <c r="A373" s="3">
        <f xml:space="preserve"> ROW( data_scaledImpacts[[#This Row],[row_id]] ) - ROW( data_scaledImpacts[[#Headers],[row_id]] )</f>
        <v>372</v>
      </c>
      <c r="B373" s="41" t="str">
        <f xml:space="preserve"> _xlfn.TEXTJOIN( "", , data_scaledImpacts[[#This Row],[sector]:[impactType]] )</f>
        <v>ExtremeTempCanESM252090Adaptationcold</v>
      </c>
      <c r="C373" s="33" t="s">
        <v>17</v>
      </c>
      <c r="D373" s="33" t="s">
        <v>0</v>
      </c>
      <c r="E373" s="34">
        <v>5</v>
      </c>
      <c r="F373" s="34">
        <v>2090</v>
      </c>
      <c r="G373" s="34" t="s">
        <v>774</v>
      </c>
      <c r="H373" s="35" t="s">
        <v>16</v>
      </c>
      <c r="I373" s="43" t="s">
        <v>27</v>
      </c>
      <c r="J373" s="36">
        <v>-9.5002447354092472E-7</v>
      </c>
      <c r="K373" s="36">
        <v>-1.0460389329222281E-6</v>
      </c>
      <c r="L373" s="37"/>
      <c r="M373" s="36">
        <v>-8.610523289333983E-7</v>
      </c>
      <c r="N373" s="36">
        <v>-2.4803339364258683E-7</v>
      </c>
      <c r="O373" s="36">
        <v>-3.9386416578033818E-7</v>
      </c>
      <c r="P373">
        <v>-1.4011737119386351E-7</v>
      </c>
    </row>
    <row r="374" spans="1:16" hidden="1" x14ac:dyDescent="0.35">
      <c r="A374" s="3">
        <f xml:space="preserve"> ROW( data_scaledImpacts[[#This Row],[row_id]] ) - ROW( data_scaledImpacts[[#Headers],[row_id]] )</f>
        <v>373</v>
      </c>
      <c r="B374" s="41" t="str">
        <f xml:space="preserve"> _xlfn.TEXTJOIN( "", , data_scaledImpacts[[#This Row],[sector]:[impactType]] )</f>
        <v>ExtremeTempCCSM452090Adaptationcold</v>
      </c>
      <c r="C374" s="33" t="s">
        <v>17</v>
      </c>
      <c r="D374" s="33" t="s">
        <v>1</v>
      </c>
      <c r="E374" s="34">
        <v>5</v>
      </c>
      <c r="F374" s="34">
        <v>2090</v>
      </c>
      <c r="G374" s="34" t="s">
        <v>774</v>
      </c>
      <c r="H374" s="35" t="s">
        <v>16</v>
      </c>
      <c r="I374" s="43" t="s">
        <v>28</v>
      </c>
      <c r="J374" s="36">
        <v>-9.366347940317602E-7</v>
      </c>
      <c r="K374" s="36">
        <v>-1.0481543860906383E-6</v>
      </c>
      <c r="L374" s="37"/>
      <c r="M374" s="36">
        <v>-7.4935395879811736E-7</v>
      </c>
      <c r="N374" s="36">
        <v>-2.254152063895303E-7</v>
      </c>
      <c r="O374" s="36">
        <v>-3.4847995309073888E-7</v>
      </c>
      <c r="P374">
        <v>-1.0962574769205132E-7</v>
      </c>
    </row>
    <row r="375" spans="1:16" hidden="1" x14ac:dyDescent="0.35">
      <c r="A375" s="3">
        <f xml:space="preserve"> ROW( data_scaledImpacts[[#This Row],[row_id]] ) - ROW( data_scaledImpacts[[#Headers],[row_id]] )</f>
        <v>374</v>
      </c>
      <c r="B375" s="41" t="str">
        <f xml:space="preserve"> _xlfn.TEXTJOIN( "", , data_scaledImpacts[[#This Row],[sector]:[impactType]] )</f>
        <v>ExtremeTempGISS-E2-R52090Adaptationcold</v>
      </c>
      <c r="C375" s="33" t="s">
        <v>17</v>
      </c>
      <c r="D375" s="33" t="s">
        <v>2</v>
      </c>
      <c r="E375" s="34">
        <v>5</v>
      </c>
      <c r="F375" s="34">
        <v>2090</v>
      </c>
      <c r="G375" s="34" t="s">
        <v>774</v>
      </c>
      <c r="H375" s="35" t="s">
        <v>16</v>
      </c>
      <c r="I375" s="43" t="s">
        <v>29</v>
      </c>
      <c r="J375" s="36"/>
      <c r="K375" s="36"/>
      <c r="L375" s="37"/>
      <c r="M375" s="36"/>
      <c r="N375" s="36"/>
      <c r="O375" s="36"/>
    </row>
    <row r="376" spans="1:16" hidden="1" x14ac:dyDescent="0.35">
      <c r="A376" s="3">
        <f xml:space="preserve"> ROW( data_scaledImpacts[[#This Row],[row_id]] ) - ROW( data_scaledImpacts[[#Headers],[row_id]] )</f>
        <v>375</v>
      </c>
      <c r="B376" s="41" t="str">
        <f xml:space="preserve"> _xlfn.TEXTJOIN( "", , data_scaledImpacts[[#This Row],[sector]:[impactType]] )</f>
        <v>ExtremeTempHadGEM2-ES52090Adaptationcold</v>
      </c>
      <c r="C376" s="33" t="s">
        <v>17</v>
      </c>
      <c r="D376" s="33" t="s">
        <v>3</v>
      </c>
      <c r="E376" s="34">
        <v>5</v>
      </c>
      <c r="F376" s="34">
        <v>2090</v>
      </c>
      <c r="G376" s="34" t="s">
        <v>774</v>
      </c>
      <c r="H376" s="35" t="s">
        <v>16</v>
      </c>
      <c r="I376" s="43" t="s">
        <v>30</v>
      </c>
      <c r="J376" s="36">
        <v>-9.4849081154463945E-7</v>
      </c>
      <c r="K376" s="36">
        <v>-1.0465920967516877E-6</v>
      </c>
      <c r="L376" s="37"/>
      <c r="M376" s="36">
        <v>-7.0355105926473798E-7</v>
      </c>
      <c r="N376" s="36">
        <v>-2.4690874896467523E-7</v>
      </c>
      <c r="O376" s="36">
        <v>-3.7341524275954595E-7</v>
      </c>
      <c r="P376">
        <v>-1.0196058777947521E-7</v>
      </c>
    </row>
    <row r="377" spans="1:16" hidden="1" x14ac:dyDescent="0.35">
      <c r="A377" s="3">
        <f xml:space="preserve"> ROW( data_scaledImpacts[[#This Row],[row_id]] ) - ROW( data_scaledImpacts[[#Headers],[row_id]] )</f>
        <v>376</v>
      </c>
      <c r="B377" s="41" t="str">
        <f xml:space="preserve"> _xlfn.TEXTJOIN( "", , data_scaledImpacts[[#This Row],[sector]:[impactType]] )</f>
        <v>ExtremeTempMIROC552090Adaptationcold</v>
      </c>
      <c r="C377" s="33" t="s">
        <v>17</v>
      </c>
      <c r="D377" s="33" t="s">
        <v>4</v>
      </c>
      <c r="E377" s="34">
        <v>5</v>
      </c>
      <c r="F377" s="34">
        <v>2090</v>
      </c>
      <c r="G377" s="34" t="s">
        <v>774</v>
      </c>
      <c r="H377" s="35" t="s">
        <v>16</v>
      </c>
      <c r="I377" s="43" t="s">
        <v>31</v>
      </c>
      <c r="J377" s="36">
        <v>-9.3195365734465999E-7</v>
      </c>
      <c r="K377" s="36">
        <v>-1.0509713108363473E-6</v>
      </c>
      <c r="L377" s="37"/>
      <c r="M377" s="36">
        <v>-4.3691643746953013E-7</v>
      </c>
      <c r="N377" s="36">
        <v>-2.7039689005115749E-7</v>
      </c>
      <c r="O377" s="36">
        <v>-3.8364986128980793E-7</v>
      </c>
      <c r="P377">
        <v>-9.9109717051948793E-8</v>
      </c>
    </row>
    <row r="378" spans="1:16" hidden="1" x14ac:dyDescent="0.35">
      <c r="A378" s="3">
        <f xml:space="preserve"> ROW( data_scaledImpacts[[#This Row],[row_id]] ) - ROW( data_scaledImpacts[[#Headers],[row_id]] )</f>
        <v>377</v>
      </c>
      <c r="B378" s="41" t="str">
        <f xml:space="preserve"> _xlfn.TEXTJOIN( "", , data_scaledImpacts[[#This Row],[sector]:[impactType]] )</f>
        <v>ExtremeTempGFDL-CM352090Adaptationcold</v>
      </c>
      <c r="C378" s="33" t="s">
        <v>17</v>
      </c>
      <c r="D378" s="33" t="s">
        <v>5</v>
      </c>
      <c r="E378" s="34">
        <v>5</v>
      </c>
      <c r="F378" s="34">
        <v>2090</v>
      </c>
      <c r="G378" s="34" t="s">
        <v>774</v>
      </c>
      <c r="H378" s="35" t="s">
        <v>16</v>
      </c>
      <c r="I378" s="43" t="s">
        <v>32</v>
      </c>
      <c r="J378" s="36">
        <v>-9.4650153140941328E-7</v>
      </c>
      <c r="K378" s="36">
        <v>-1.054392505009926E-6</v>
      </c>
      <c r="L378" s="37"/>
      <c r="M378" s="36">
        <v>-4.3419208396770003E-7</v>
      </c>
      <c r="N378" s="36">
        <v>-2.3925876093685591E-7</v>
      </c>
      <c r="O378" s="36">
        <v>-3.1490043344702643E-7</v>
      </c>
      <c r="P378">
        <v>-1.2022715617211118E-7</v>
      </c>
    </row>
    <row r="379" spans="1:16" hidden="1" x14ac:dyDescent="0.35">
      <c r="A379" s="3">
        <f xml:space="preserve"> ROW( data_scaledImpacts[[#This Row],[row_id]] ) - ROW( data_scaledImpacts[[#Headers],[row_id]] )</f>
        <v>378</v>
      </c>
      <c r="B379" s="41" t="str">
        <f xml:space="preserve"> _xlfn.TEXTJOIN( "", , data_scaledImpacts[[#This Row],[sector]:[impactType]] )</f>
        <v>ExtremeTempGCM Average52090Adaptationcold</v>
      </c>
      <c r="C379" s="33" t="s">
        <v>17</v>
      </c>
      <c r="D379" s="33" t="s">
        <v>15</v>
      </c>
      <c r="E379" s="34">
        <v>5</v>
      </c>
      <c r="F379" s="34">
        <v>2090</v>
      </c>
      <c r="G379" s="34" t="s">
        <v>774</v>
      </c>
      <c r="H379" s="35" t="s">
        <v>16</v>
      </c>
      <c r="I379" s="43" t="s">
        <v>33</v>
      </c>
      <c r="J379" s="36">
        <v>-9.4272105357427957E-7</v>
      </c>
      <c r="K379" s="36">
        <v>-1.0492298463221657E-6</v>
      </c>
      <c r="L379" s="37" t="s">
        <v>26</v>
      </c>
      <c r="M379" s="36">
        <v>-6.3701317368669684E-7</v>
      </c>
      <c r="N379" s="36">
        <v>-2.4600259999696112E-7</v>
      </c>
      <c r="O379" s="36">
        <v>-3.628619312734915E-7</v>
      </c>
      <c r="P379">
        <v>-1.1420811597789001E-7</v>
      </c>
    </row>
    <row r="380" spans="1:16" hidden="1" x14ac:dyDescent="0.35">
      <c r="A380" s="3">
        <f xml:space="preserve"> ROW( data_scaledImpacts[[#This Row],[row_id]] ) - ROW( data_scaledImpacts[[#Headers],[row_id]] )</f>
        <v>379</v>
      </c>
      <c r="B380" s="41" t="str">
        <f xml:space="preserve"> _xlfn.TEXTJOIN( "", , data_scaledImpacts[[#This Row],[sector]:[impactType]] )</f>
        <v>ExtremeTempCanESM262090Adaptationcold</v>
      </c>
      <c r="C380" s="33" t="s">
        <v>17</v>
      </c>
      <c r="D380" s="33" t="s">
        <v>0</v>
      </c>
      <c r="E380" s="34">
        <v>6</v>
      </c>
      <c r="F380" s="34">
        <v>2090</v>
      </c>
      <c r="G380" s="34" t="s">
        <v>774</v>
      </c>
      <c r="H380" s="35" t="s">
        <v>16</v>
      </c>
      <c r="I380" s="43" t="s">
        <v>27</v>
      </c>
      <c r="J380" s="36">
        <v>-9.2470356889199233E-7</v>
      </c>
      <c r="K380" s="36">
        <v>-1.0504181470068874E-6</v>
      </c>
      <c r="L380" s="37"/>
      <c r="M380" s="36">
        <v>-8.5819778463720944E-7</v>
      </c>
      <c r="N380" s="36">
        <v>-2.2285952874422166E-7</v>
      </c>
      <c r="O380" s="36">
        <v>-3.262574126951935E-7</v>
      </c>
      <c r="P380">
        <v>-1.3628334520702895E-7</v>
      </c>
    </row>
    <row r="381" spans="1:16" hidden="1" x14ac:dyDescent="0.35">
      <c r="A381" s="3">
        <f xml:space="preserve"> ROW( data_scaledImpacts[[#This Row],[row_id]] ) - ROW( data_scaledImpacts[[#Headers],[row_id]] )</f>
        <v>380</v>
      </c>
      <c r="B381" s="41" t="str">
        <f xml:space="preserve"> _xlfn.TEXTJOIN( "", , data_scaledImpacts[[#This Row],[sector]:[impactType]] )</f>
        <v>ExtremeTempCCSM462090Adaptationcold</v>
      </c>
      <c r="C381" s="33" t="s">
        <v>17</v>
      </c>
      <c r="D381" s="33" t="s">
        <v>1</v>
      </c>
      <c r="E381" s="34">
        <v>6</v>
      </c>
      <c r="F381" s="34">
        <v>2090</v>
      </c>
      <c r="G381" s="34" t="s">
        <v>774</v>
      </c>
      <c r="H381" s="35" t="s">
        <v>16</v>
      </c>
      <c r="I381" s="43" t="s">
        <v>28</v>
      </c>
      <c r="J381" s="36"/>
      <c r="K381" s="36"/>
      <c r="L381" s="37"/>
      <c r="M381" s="36"/>
      <c r="N381" s="36"/>
      <c r="O381" s="36"/>
    </row>
    <row r="382" spans="1:16" hidden="1" x14ac:dyDescent="0.35">
      <c r="A382" s="3">
        <f xml:space="preserve"> ROW( data_scaledImpacts[[#This Row],[row_id]] ) - ROW( data_scaledImpacts[[#Headers],[row_id]] )</f>
        <v>381</v>
      </c>
      <c r="B382" s="41" t="str">
        <f xml:space="preserve"> _xlfn.TEXTJOIN( "", , data_scaledImpacts[[#This Row],[sector]:[impactType]] )</f>
        <v>ExtremeTempGISS-E2-R62090Adaptationcold</v>
      </c>
      <c r="C382" s="33" t="s">
        <v>17</v>
      </c>
      <c r="D382" s="33" t="s">
        <v>2</v>
      </c>
      <c r="E382" s="34">
        <v>6</v>
      </c>
      <c r="F382" s="34">
        <v>2090</v>
      </c>
      <c r="G382" s="34" t="s">
        <v>774</v>
      </c>
      <c r="H382" s="35" t="s">
        <v>16</v>
      </c>
      <c r="I382" s="43" t="s">
        <v>29</v>
      </c>
      <c r="J382" s="36"/>
      <c r="K382" s="36"/>
      <c r="L382" s="37"/>
      <c r="M382" s="36"/>
      <c r="N382" s="36"/>
      <c r="O382" s="36"/>
    </row>
    <row r="383" spans="1:16" hidden="1" x14ac:dyDescent="0.35">
      <c r="A383" s="3">
        <f xml:space="preserve"> ROW( data_scaledImpacts[[#This Row],[row_id]] ) - ROW( data_scaledImpacts[[#Headers],[row_id]] )</f>
        <v>382</v>
      </c>
      <c r="B383" s="41" t="str">
        <f xml:space="preserve"> _xlfn.TEXTJOIN( "", , data_scaledImpacts[[#This Row],[sector]:[impactType]] )</f>
        <v>ExtremeTempHadGEM2-ES62090Adaptationcold</v>
      </c>
      <c r="C383" s="33" t="s">
        <v>17</v>
      </c>
      <c r="D383" s="33" t="s">
        <v>3</v>
      </c>
      <c r="E383" s="34">
        <v>6</v>
      </c>
      <c r="F383" s="34">
        <v>2090</v>
      </c>
      <c r="G383" s="34" t="s">
        <v>774</v>
      </c>
      <c r="H383" s="35" t="s">
        <v>16</v>
      </c>
      <c r="I383" s="43" t="s">
        <v>30</v>
      </c>
      <c r="J383" s="36">
        <v>-9.5669135803127529E-7</v>
      </c>
      <c r="K383" s="36">
        <v>-1.0526819079231365E-6</v>
      </c>
      <c r="L383" s="37"/>
      <c r="M383" s="36">
        <v>-6.4859575936830104E-7</v>
      </c>
      <c r="N383" s="36">
        <v>-2.5541200980483177E-7</v>
      </c>
      <c r="O383" s="36">
        <v>-3.9779229211572325E-7</v>
      </c>
      <c r="P383">
        <v>-1.3820035820044623E-7</v>
      </c>
    </row>
    <row r="384" spans="1:16" hidden="1" x14ac:dyDescent="0.35">
      <c r="A384" s="3">
        <f xml:space="preserve"> ROW( data_scaledImpacts[[#This Row],[row_id]] ) - ROW( data_scaledImpacts[[#Headers],[row_id]] )</f>
        <v>383</v>
      </c>
      <c r="B384" s="41" t="str">
        <f xml:space="preserve"> _xlfn.TEXTJOIN( "", , data_scaledImpacts[[#This Row],[sector]:[impactType]] )</f>
        <v>ExtremeTempMIROC562090Adaptationcold</v>
      </c>
      <c r="C384" s="33" t="s">
        <v>17</v>
      </c>
      <c r="D384" s="33" t="s">
        <v>4</v>
      </c>
      <c r="E384" s="34">
        <v>6</v>
      </c>
      <c r="F384" s="34">
        <v>2090</v>
      </c>
      <c r="G384" s="34" t="s">
        <v>774</v>
      </c>
      <c r="H384" s="35" t="s">
        <v>16</v>
      </c>
      <c r="I384" s="43" t="s">
        <v>31</v>
      </c>
      <c r="J384" s="36"/>
      <c r="K384" s="36"/>
      <c r="L384" s="37"/>
      <c r="M384" s="36"/>
      <c r="N384" s="36"/>
      <c r="O384" s="36"/>
    </row>
    <row r="385" spans="1:16" hidden="1" x14ac:dyDescent="0.35">
      <c r="A385" s="3">
        <f xml:space="preserve"> ROW( data_scaledImpacts[[#This Row],[row_id]] ) - ROW( data_scaledImpacts[[#Headers],[row_id]] )</f>
        <v>384</v>
      </c>
      <c r="B385" s="41" t="str">
        <f xml:space="preserve"> _xlfn.TEXTJOIN( "", , data_scaledImpacts[[#This Row],[sector]:[impactType]] )</f>
        <v>ExtremeTempGFDL-CM362090Adaptationcold</v>
      </c>
      <c r="C385" s="33" t="s">
        <v>17</v>
      </c>
      <c r="D385" s="33" t="s">
        <v>5</v>
      </c>
      <c r="E385" s="34">
        <v>6</v>
      </c>
      <c r="F385" s="34">
        <v>2090</v>
      </c>
      <c r="G385" s="34" t="s">
        <v>774</v>
      </c>
      <c r="H385" s="35" t="s">
        <v>16</v>
      </c>
      <c r="I385" s="43" t="s">
        <v>32</v>
      </c>
      <c r="J385" s="36">
        <v>-9.50170291912598E-7</v>
      </c>
      <c r="K385" s="36">
        <v>-1.054392505009926E-6</v>
      </c>
      <c r="L385" s="37"/>
      <c r="M385" s="36">
        <v>-5.0881052295126591E-7</v>
      </c>
      <c r="N385" s="36">
        <v>-2.6239790388312665E-7</v>
      </c>
      <c r="O385" s="36">
        <v>-3.0762861522126371E-7</v>
      </c>
      <c r="P385">
        <v>-1.1419232904011157E-7</v>
      </c>
    </row>
    <row r="386" spans="1:16" hidden="1" x14ac:dyDescent="0.35">
      <c r="A386" s="3">
        <f xml:space="preserve"> ROW( data_scaledImpacts[[#This Row],[row_id]] ) - ROW( data_scaledImpacts[[#Headers],[row_id]] )</f>
        <v>385</v>
      </c>
      <c r="B386" s="41" t="str">
        <f xml:space="preserve"> _xlfn.TEXTJOIN( "", , data_scaledImpacts[[#This Row],[sector]:[impactType]] )</f>
        <v>ExtremeTempGCM Average62090Adaptationcold</v>
      </c>
      <c r="C386" s="33" t="s">
        <v>17</v>
      </c>
      <c r="D386" s="33" t="s">
        <v>15</v>
      </c>
      <c r="E386" s="34">
        <v>6</v>
      </c>
      <c r="F386" s="34">
        <v>2090</v>
      </c>
      <c r="G386" s="34" t="s">
        <v>774</v>
      </c>
      <c r="H386" s="35" t="s">
        <v>16</v>
      </c>
      <c r="I386" s="43" t="s">
        <v>33</v>
      </c>
      <c r="J386" s="36">
        <v>-9.438550729452885E-7</v>
      </c>
      <c r="K386" s="36">
        <v>-1.0524975199799835E-6</v>
      </c>
      <c r="L386" s="37" t="s">
        <v>26</v>
      </c>
      <c r="M386" s="36">
        <v>-6.7186802231892539E-7</v>
      </c>
      <c r="N386" s="36">
        <v>-2.4688981414406005E-7</v>
      </c>
      <c r="O386" s="36">
        <v>-3.4389277334406012E-7</v>
      </c>
      <c r="P386">
        <v>-1.2955867748252894E-7</v>
      </c>
    </row>
    <row r="387" spans="1:16" hidden="1" x14ac:dyDescent="0.35">
      <c r="A387" s="3">
        <f xml:space="preserve"> ROW( data_scaledImpacts[[#This Row],[row_id]] ) - ROW( data_scaledImpacts[[#Headers],[row_id]] )</f>
        <v>386</v>
      </c>
      <c r="B387" s="41" t="str">
        <f xml:space="preserve"> _xlfn.TEXTJOIN( "", , data_scaledImpacts[[#This Row],[sector]:[impactType]] )</f>
        <v>ExtremeTempCanESM272090Adaptationcold</v>
      </c>
      <c r="C387" s="33" t="s">
        <v>17</v>
      </c>
      <c r="D387" s="33" t="s">
        <v>0</v>
      </c>
      <c r="E387" s="34">
        <v>7</v>
      </c>
      <c r="F387" s="34">
        <v>2090</v>
      </c>
      <c r="G387" s="34" t="s">
        <v>774</v>
      </c>
      <c r="H387" s="35" t="s">
        <v>16</v>
      </c>
      <c r="I387" s="43" t="s">
        <v>27</v>
      </c>
      <c r="J387" s="36"/>
      <c r="K387" s="36"/>
      <c r="L387" s="37"/>
      <c r="M387" s="36"/>
      <c r="N387" s="36"/>
      <c r="O387" s="36"/>
    </row>
    <row r="388" spans="1:16" hidden="1" x14ac:dyDescent="0.35">
      <c r="A388" s="3">
        <f xml:space="preserve"> ROW( data_scaledImpacts[[#This Row],[row_id]] ) - ROW( data_scaledImpacts[[#Headers],[row_id]] )</f>
        <v>387</v>
      </c>
      <c r="B388" s="41" t="str">
        <f xml:space="preserve"> _xlfn.TEXTJOIN( "", , data_scaledImpacts[[#This Row],[sector]:[impactType]] )</f>
        <v>ExtremeTempCCSM472090Adaptationcold</v>
      </c>
      <c r="C388" s="33" t="s">
        <v>17</v>
      </c>
      <c r="D388" s="33" t="s">
        <v>1</v>
      </c>
      <c r="E388" s="34">
        <v>7</v>
      </c>
      <c r="F388" s="34">
        <v>2090</v>
      </c>
      <c r="G388" s="34" t="s">
        <v>774</v>
      </c>
      <c r="H388" s="35" t="s">
        <v>16</v>
      </c>
      <c r="I388" s="43" t="s">
        <v>28</v>
      </c>
      <c r="J388" s="36"/>
      <c r="K388" s="36"/>
      <c r="L388" s="37"/>
      <c r="M388" s="36"/>
      <c r="N388" s="36"/>
      <c r="O388" s="36"/>
    </row>
    <row r="389" spans="1:16" hidden="1" x14ac:dyDescent="0.35">
      <c r="A389" s="3">
        <f xml:space="preserve"> ROW( data_scaledImpacts[[#This Row],[row_id]] ) - ROW( data_scaledImpacts[[#Headers],[row_id]] )</f>
        <v>388</v>
      </c>
      <c r="B389" s="41" t="str">
        <f xml:space="preserve"> _xlfn.TEXTJOIN( "", , data_scaledImpacts[[#This Row],[sector]:[impactType]] )</f>
        <v>ExtremeTempGISS-E2-R72090Adaptationcold</v>
      </c>
      <c r="C389" s="33" t="s">
        <v>17</v>
      </c>
      <c r="D389" s="33" t="s">
        <v>2</v>
      </c>
      <c r="E389" s="34">
        <v>7</v>
      </c>
      <c r="F389" s="34">
        <v>2090</v>
      </c>
      <c r="G389" s="34" t="s">
        <v>774</v>
      </c>
      <c r="H389" s="35" t="s">
        <v>16</v>
      </c>
      <c r="I389" s="43" t="s">
        <v>29</v>
      </c>
      <c r="J389" s="36"/>
      <c r="K389" s="36"/>
      <c r="L389" s="37"/>
      <c r="M389" s="36"/>
      <c r="N389" s="36"/>
      <c r="O389" s="36"/>
    </row>
    <row r="390" spans="1:16" hidden="1" x14ac:dyDescent="0.35">
      <c r="A390" s="3">
        <f xml:space="preserve"> ROW( data_scaledImpacts[[#This Row],[row_id]] ) - ROW( data_scaledImpacts[[#Headers],[row_id]] )</f>
        <v>389</v>
      </c>
      <c r="B390" s="41" t="str">
        <f xml:space="preserve"> _xlfn.TEXTJOIN( "", , data_scaledImpacts[[#This Row],[sector]:[impactType]] )</f>
        <v>ExtremeTempHadGEM2-ES72090Adaptationcold</v>
      </c>
      <c r="C390" s="33" t="s">
        <v>17</v>
      </c>
      <c r="D390" s="33" t="s">
        <v>3</v>
      </c>
      <c r="E390" s="34">
        <v>7</v>
      </c>
      <c r="F390" s="34">
        <v>2090</v>
      </c>
      <c r="G390" s="34" t="s">
        <v>774</v>
      </c>
      <c r="H390" s="35" t="s">
        <v>16</v>
      </c>
      <c r="I390" s="43" t="s">
        <v>30</v>
      </c>
      <c r="J390" s="36"/>
      <c r="K390" s="36"/>
      <c r="L390" s="37"/>
      <c r="M390" s="36"/>
      <c r="N390" s="36"/>
      <c r="O390" s="36"/>
    </row>
    <row r="391" spans="1:16" hidden="1" x14ac:dyDescent="0.35">
      <c r="A391" s="3">
        <f xml:space="preserve"> ROW( data_scaledImpacts[[#This Row],[row_id]] ) - ROW( data_scaledImpacts[[#Headers],[row_id]] )</f>
        <v>390</v>
      </c>
      <c r="B391" s="41" t="str">
        <f xml:space="preserve"> _xlfn.TEXTJOIN( "", , data_scaledImpacts[[#This Row],[sector]:[impactType]] )</f>
        <v>ExtremeTempMIROC572090Adaptationcold</v>
      </c>
      <c r="C391" s="33" t="s">
        <v>17</v>
      </c>
      <c r="D391" s="33" t="s">
        <v>4</v>
      </c>
      <c r="E391" s="34">
        <v>7</v>
      </c>
      <c r="F391" s="34">
        <v>2090</v>
      </c>
      <c r="G391" s="34" t="s">
        <v>774</v>
      </c>
      <c r="H391" s="35" t="s">
        <v>16</v>
      </c>
      <c r="I391" s="43" t="s">
        <v>31</v>
      </c>
      <c r="J391" s="36"/>
      <c r="K391" s="36"/>
      <c r="L391" s="37"/>
      <c r="M391" s="36"/>
      <c r="N391" s="36"/>
      <c r="O391" s="36"/>
    </row>
    <row r="392" spans="1:16" hidden="1" x14ac:dyDescent="0.35">
      <c r="A392" s="3">
        <f xml:space="preserve"> ROW( data_scaledImpacts[[#This Row],[row_id]] ) - ROW( data_scaledImpacts[[#Headers],[row_id]] )</f>
        <v>391</v>
      </c>
      <c r="B392" s="41" t="str">
        <f xml:space="preserve"> _xlfn.TEXTJOIN( "", , data_scaledImpacts[[#This Row],[sector]:[impactType]] )</f>
        <v>ExtremeTempGFDL-CM372090Adaptationcold</v>
      </c>
      <c r="C392" s="33" t="s">
        <v>17</v>
      </c>
      <c r="D392" s="33" t="s">
        <v>5</v>
      </c>
      <c r="E392" s="34">
        <v>7</v>
      </c>
      <c r="F392" s="34">
        <v>2090</v>
      </c>
      <c r="G392" s="34" t="s">
        <v>774</v>
      </c>
      <c r="H392" s="35" t="s">
        <v>16</v>
      </c>
      <c r="I392" s="43" t="s">
        <v>32</v>
      </c>
      <c r="J392" s="36"/>
      <c r="K392" s="36"/>
      <c r="L392" s="37"/>
      <c r="M392" s="36"/>
      <c r="N392" s="36"/>
      <c r="O392" s="36"/>
    </row>
    <row r="393" spans="1:16" hidden="1" x14ac:dyDescent="0.35">
      <c r="A393" s="3">
        <f xml:space="preserve"> ROW( data_scaledImpacts[[#This Row],[row_id]] ) - ROW( data_scaledImpacts[[#Headers],[row_id]] )</f>
        <v>392</v>
      </c>
      <c r="B393" s="41" t="str">
        <f xml:space="preserve"> _xlfn.TEXTJOIN( "", , data_scaledImpacts[[#This Row],[sector]:[impactType]] )</f>
        <v>ExtremeTempGCM Average72090Adaptationcold</v>
      </c>
      <c r="C393" s="33" t="s">
        <v>17</v>
      </c>
      <c r="D393" s="33" t="s">
        <v>15</v>
      </c>
      <c r="E393" s="34">
        <v>7</v>
      </c>
      <c r="F393" s="34">
        <v>2090</v>
      </c>
      <c r="G393" s="34" t="s">
        <v>774</v>
      </c>
      <c r="H393" s="35" t="s">
        <v>16</v>
      </c>
      <c r="I393" s="43" t="s">
        <v>33</v>
      </c>
      <c r="J393" s="36" t="s">
        <v>26</v>
      </c>
      <c r="K393" s="36" t="s">
        <v>26</v>
      </c>
      <c r="L393" s="37" t="s">
        <v>26</v>
      </c>
      <c r="M393" s="36" t="s">
        <v>26</v>
      </c>
      <c r="N393" s="36" t="s">
        <v>26</v>
      </c>
      <c r="O393" s="36" t="s">
        <v>26</v>
      </c>
      <c r="P393" t="s">
        <v>26</v>
      </c>
    </row>
    <row r="394" spans="1:16" hidden="1" x14ac:dyDescent="0.35">
      <c r="A394" s="3">
        <f xml:space="preserve"> ROW( data_scaledImpacts[[#This Row],[row_id]] ) - ROW( data_scaledImpacts[[#Headers],[row_id]] )</f>
        <v>393</v>
      </c>
      <c r="B394" s="41" t="str">
        <f xml:space="preserve"> _xlfn.TEXTJOIN( "", , data_scaledImpacts[[#This Row],[sector]:[impactType]] )</f>
        <v/>
      </c>
      <c r="C394" s="33"/>
      <c r="D394" s="33"/>
      <c r="E394" s="34"/>
      <c r="F394" s="34"/>
      <c r="G394" s="34"/>
      <c r="H394" s="35"/>
      <c r="I394" s="43"/>
      <c r="J394" s="36"/>
      <c r="K394" s="36"/>
      <c r="L394" s="37"/>
      <c r="M394" s="36"/>
      <c r="N394" s="36"/>
      <c r="O394" s="36"/>
    </row>
    <row r="395" spans="1:16" hidden="1" x14ac:dyDescent="0.35">
      <c r="A395" s="3">
        <f xml:space="preserve"> ROW( data_scaledImpacts[[#This Row],[row_id]] ) - ROW( data_scaledImpacts[[#Headers],[row_id]] )</f>
        <v>394</v>
      </c>
      <c r="B395" s="41" t="str">
        <f xml:space="preserve"> _xlfn.TEXTJOIN( "", , data_scaledImpacts[[#This Row],[sector]:[impactType]] )</f>
        <v/>
      </c>
      <c r="C395" s="33"/>
      <c r="D395" s="33"/>
      <c r="E395" s="34"/>
      <c r="F395" s="34"/>
      <c r="G395" s="34"/>
      <c r="H395" s="35"/>
      <c r="I395" s="43"/>
      <c r="J395" s="36"/>
      <c r="K395" s="36"/>
      <c r="L395" s="37"/>
      <c r="M395" s="36"/>
      <c r="N395" s="36"/>
      <c r="O395" s="36"/>
    </row>
    <row r="396" spans="1:16" hidden="1" x14ac:dyDescent="0.35">
      <c r="A396" s="3">
        <f xml:space="preserve"> ROW( data_scaledImpacts[[#This Row],[row_id]] ) - ROW( data_scaledImpacts[[#Headers],[row_id]] )</f>
        <v>395</v>
      </c>
      <c r="B396" s="41" t="str">
        <f xml:space="preserve"> _xlfn.TEXTJOIN( "", , data_scaledImpacts[[#This Row],[sector]:[impactType]] )</f>
        <v/>
      </c>
      <c r="C396" s="33"/>
      <c r="D396" s="33"/>
      <c r="E396" s="34"/>
      <c r="F396" s="34"/>
      <c r="G396" s="34"/>
      <c r="H396" s="35"/>
      <c r="I396" s="43"/>
      <c r="J396" s="36"/>
      <c r="K396" s="36"/>
      <c r="L396" s="37"/>
      <c r="M396" s="36"/>
      <c r="N396" s="36"/>
      <c r="O396" s="36"/>
    </row>
    <row r="397" spans="1:16" hidden="1" x14ac:dyDescent="0.35">
      <c r="A397" s="3">
        <f xml:space="preserve"> ROW( data_scaledImpacts[[#This Row],[row_id]] ) - ROW( data_scaledImpacts[[#Headers],[row_id]] )</f>
        <v>396</v>
      </c>
      <c r="B397" s="41" t="str">
        <f xml:space="preserve"> _xlfn.TEXTJOIN( "", , data_scaledImpacts[[#This Row],[sector]:[impactType]] )</f>
        <v>SouthwestDustCanESM212010N/AAllMort</v>
      </c>
      <c r="C397" s="33" t="s">
        <v>85</v>
      </c>
      <c r="D397" s="33" t="s">
        <v>0</v>
      </c>
      <c r="E397" s="34">
        <v>1</v>
      </c>
      <c r="F397" s="34">
        <v>2010</v>
      </c>
      <c r="G397" s="34" t="s">
        <v>201</v>
      </c>
      <c r="H397" s="35" t="s">
        <v>191</v>
      </c>
      <c r="I397" s="43" t="s">
        <v>265</v>
      </c>
      <c r="P397">
        <v>4.2387184650824723E-6</v>
      </c>
    </row>
    <row r="398" spans="1:16" hidden="1" x14ac:dyDescent="0.35">
      <c r="A398" s="3">
        <f xml:space="preserve"> ROW( data_scaledImpacts[[#This Row],[row_id]] ) - ROW( data_scaledImpacts[[#Headers],[row_id]] )</f>
        <v>397</v>
      </c>
      <c r="B398" s="41" t="str">
        <f xml:space="preserve"> _xlfn.TEXTJOIN( "", , data_scaledImpacts[[#This Row],[sector]:[impactType]] )</f>
        <v>SouthwestDustCCSM412010N/AAllMort</v>
      </c>
      <c r="C398" s="33" t="s">
        <v>85</v>
      </c>
      <c r="D398" s="33" t="s">
        <v>1</v>
      </c>
      <c r="E398" s="34">
        <v>1</v>
      </c>
      <c r="F398" s="34">
        <v>2010</v>
      </c>
      <c r="G398" s="34" t="s">
        <v>201</v>
      </c>
      <c r="H398" s="35" t="s">
        <v>191</v>
      </c>
      <c r="I398" s="43" t="s">
        <v>266</v>
      </c>
      <c r="P398">
        <v>1.1294545453750303E-5</v>
      </c>
    </row>
    <row r="399" spans="1:16" hidden="1" x14ac:dyDescent="0.35">
      <c r="A399" s="3">
        <f xml:space="preserve"> ROW( data_scaledImpacts[[#This Row],[row_id]] ) - ROW( data_scaledImpacts[[#Headers],[row_id]] )</f>
        <v>398</v>
      </c>
      <c r="B399" s="41" t="str">
        <f xml:space="preserve"> _xlfn.TEXTJOIN( "", , data_scaledImpacts[[#This Row],[sector]:[impactType]] )</f>
        <v>SouthwestDustGISS-E2-R12010N/AAllMort</v>
      </c>
      <c r="C399" s="33" t="s">
        <v>85</v>
      </c>
      <c r="D399" s="33" t="s">
        <v>2</v>
      </c>
      <c r="E399" s="34">
        <v>1</v>
      </c>
      <c r="F399" s="34">
        <v>2010</v>
      </c>
      <c r="G399" s="34" t="s">
        <v>201</v>
      </c>
      <c r="H399" s="35" t="s">
        <v>191</v>
      </c>
      <c r="I399" s="43" t="s">
        <v>267</v>
      </c>
      <c r="P399">
        <v>2.0601712971475757E-6</v>
      </c>
    </row>
    <row r="400" spans="1:16" hidden="1" x14ac:dyDescent="0.35">
      <c r="A400" s="3">
        <f xml:space="preserve"> ROW( data_scaledImpacts[[#This Row],[row_id]] ) - ROW( data_scaledImpacts[[#Headers],[row_id]] )</f>
        <v>399</v>
      </c>
      <c r="B400" s="41" t="str">
        <f xml:space="preserve"> _xlfn.TEXTJOIN( "", , data_scaledImpacts[[#This Row],[sector]:[impactType]] )</f>
        <v>SouthwestDustHadGEM2-ES12010N/AAllMort</v>
      </c>
      <c r="C400" s="33" t="s">
        <v>85</v>
      </c>
      <c r="D400" s="33" t="s">
        <v>3</v>
      </c>
      <c r="E400" s="34">
        <v>1</v>
      </c>
      <c r="F400" s="34">
        <v>2010</v>
      </c>
      <c r="G400" s="34" t="s">
        <v>201</v>
      </c>
      <c r="H400" s="35" t="s">
        <v>191</v>
      </c>
      <c r="I400" s="43" t="s">
        <v>268</v>
      </c>
      <c r="P400">
        <v>1.2838337653878429E-6</v>
      </c>
    </row>
    <row r="401" spans="1:16" hidden="1" x14ac:dyDescent="0.35">
      <c r="A401" s="3">
        <f xml:space="preserve"> ROW( data_scaledImpacts[[#This Row],[row_id]] ) - ROW( data_scaledImpacts[[#Headers],[row_id]] )</f>
        <v>400</v>
      </c>
      <c r="B401" s="41" t="str">
        <f xml:space="preserve"> _xlfn.TEXTJOIN( "", , data_scaledImpacts[[#This Row],[sector]:[impactType]] )</f>
        <v>SouthwestDustMIROC512010N/AAllMort</v>
      </c>
      <c r="C401" s="33" t="s">
        <v>85</v>
      </c>
      <c r="D401" s="33" t="s">
        <v>4</v>
      </c>
      <c r="E401" s="34">
        <v>1</v>
      </c>
      <c r="F401" s="34">
        <v>2010</v>
      </c>
      <c r="G401" s="34" t="s">
        <v>201</v>
      </c>
      <c r="H401" s="35" t="s">
        <v>191</v>
      </c>
      <c r="I401" s="43" t="s">
        <v>269</v>
      </c>
      <c r="P401">
        <v>5.71423235090517E-6</v>
      </c>
    </row>
    <row r="402" spans="1:16" hidden="1" x14ac:dyDescent="0.35">
      <c r="A402" s="3">
        <f xml:space="preserve"> ROW( data_scaledImpacts[[#This Row],[row_id]] ) - ROW( data_scaledImpacts[[#Headers],[row_id]] )</f>
        <v>401</v>
      </c>
      <c r="B402" s="41" t="str">
        <f xml:space="preserve"> _xlfn.TEXTJOIN( "", , data_scaledImpacts[[#This Row],[sector]:[impactType]] )</f>
        <v>SouthwestDustGFDL-CM312010N/AAllMort</v>
      </c>
      <c r="C402" s="33" t="s">
        <v>85</v>
      </c>
      <c r="D402" s="33" t="s">
        <v>5</v>
      </c>
      <c r="E402" s="34">
        <v>1</v>
      </c>
      <c r="F402" s="34">
        <v>2010</v>
      </c>
      <c r="G402" s="34" t="s">
        <v>201</v>
      </c>
      <c r="H402" s="35" t="s">
        <v>191</v>
      </c>
      <c r="I402" s="43" t="s">
        <v>270</v>
      </c>
      <c r="P402">
        <v>1.144106535495098E-5</v>
      </c>
    </row>
    <row r="403" spans="1:16" hidden="1" x14ac:dyDescent="0.35">
      <c r="A403" s="3">
        <f xml:space="preserve"> ROW( data_scaledImpacts[[#This Row],[row_id]] ) - ROW( data_scaledImpacts[[#Headers],[row_id]] )</f>
        <v>402</v>
      </c>
      <c r="B403" s="41" t="str">
        <f xml:space="preserve"> _xlfn.TEXTJOIN( "", , data_scaledImpacts[[#This Row],[sector]:[impactType]] )</f>
        <v>SouthwestDustGCM Average12010N/AAllMort</v>
      </c>
      <c r="C403" s="33" t="s">
        <v>85</v>
      </c>
      <c r="D403" s="33" t="s">
        <v>15</v>
      </c>
      <c r="E403" s="34">
        <v>1</v>
      </c>
      <c r="F403" s="34">
        <v>2010</v>
      </c>
      <c r="G403" s="34" t="s">
        <v>201</v>
      </c>
      <c r="H403" s="35" t="s">
        <v>191</v>
      </c>
      <c r="I403" s="43" t="s">
        <v>271</v>
      </c>
      <c r="P403">
        <v>6.005427781204057E-6</v>
      </c>
    </row>
    <row r="404" spans="1:16" hidden="1" x14ac:dyDescent="0.35">
      <c r="A404" s="3">
        <f xml:space="preserve"> ROW( data_scaledImpacts[[#This Row],[row_id]] ) - ROW( data_scaledImpacts[[#Headers],[row_id]] )</f>
        <v>403</v>
      </c>
      <c r="B404" s="41" t="str">
        <f xml:space="preserve"> _xlfn.TEXTJOIN( "", , data_scaledImpacts[[#This Row],[sector]:[impactType]] )</f>
        <v>SouthwestDustCanESM222010N/AAllMort</v>
      </c>
      <c r="C404" s="33" t="s">
        <v>85</v>
      </c>
      <c r="D404" s="33" t="s">
        <v>0</v>
      </c>
      <c r="E404" s="34">
        <v>2</v>
      </c>
      <c r="F404" s="34">
        <v>2010</v>
      </c>
      <c r="G404" s="34" t="s">
        <v>201</v>
      </c>
      <c r="H404" s="35" t="s">
        <v>191</v>
      </c>
      <c r="I404" s="43" t="s">
        <v>272</v>
      </c>
      <c r="P404">
        <v>1.0359565545496468E-5</v>
      </c>
    </row>
    <row r="405" spans="1:16" hidden="1" x14ac:dyDescent="0.35">
      <c r="A405" s="3">
        <f xml:space="preserve"> ROW( data_scaledImpacts[[#This Row],[row_id]] ) - ROW( data_scaledImpacts[[#Headers],[row_id]] )</f>
        <v>404</v>
      </c>
      <c r="B405" s="41" t="str">
        <f xml:space="preserve"> _xlfn.TEXTJOIN( "", , data_scaledImpacts[[#This Row],[sector]:[impactType]] )</f>
        <v>SouthwestDustCCSM422010N/AAllMort</v>
      </c>
      <c r="C405" s="33" t="s">
        <v>85</v>
      </c>
      <c r="D405" s="33" t="s">
        <v>1</v>
      </c>
      <c r="E405" s="34">
        <v>2</v>
      </c>
      <c r="F405" s="34">
        <v>2010</v>
      </c>
      <c r="G405" s="34" t="s">
        <v>201</v>
      </c>
      <c r="H405" s="35" t="s">
        <v>191</v>
      </c>
      <c r="I405" s="43" t="s">
        <v>273</v>
      </c>
      <c r="P405">
        <v>1.5179576750245662E-5</v>
      </c>
    </row>
    <row r="406" spans="1:16" hidden="1" x14ac:dyDescent="0.35">
      <c r="A406" s="3">
        <f xml:space="preserve"> ROW( data_scaledImpacts[[#This Row],[row_id]] ) - ROW( data_scaledImpacts[[#Headers],[row_id]] )</f>
        <v>405</v>
      </c>
      <c r="B406" s="41" t="str">
        <f xml:space="preserve"> _xlfn.TEXTJOIN( "", , data_scaledImpacts[[#This Row],[sector]:[impactType]] )</f>
        <v>SouthwestDustGISS-E2-R22010N/AAllMort</v>
      </c>
      <c r="C406" s="33" t="s">
        <v>85</v>
      </c>
      <c r="D406" s="33" t="s">
        <v>2</v>
      </c>
      <c r="E406" s="34">
        <v>2</v>
      </c>
      <c r="F406" s="34">
        <v>2010</v>
      </c>
      <c r="G406" s="34" t="s">
        <v>201</v>
      </c>
      <c r="H406" s="35" t="s">
        <v>191</v>
      </c>
      <c r="I406" s="43" t="s">
        <v>274</v>
      </c>
      <c r="P406">
        <v>7.5073271692164388E-6</v>
      </c>
    </row>
    <row r="407" spans="1:16" hidden="1" x14ac:dyDescent="0.35">
      <c r="A407" s="3">
        <f xml:space="preserve"> ROW( data_scaledImpacts[[#This Row],[row_id]] ) - ROW( data_scaledImpacts[[#Headers],[row_id]] )</f>
        <v>406</v>
      </c>
      <c r="B407" s="41" t="str">
        <f xml:space="preserve"> _xlfn.TEXTJOIN( "", , data_scaledImpacts[[#This Row],[sector]:[impactType]] )</f>
        <v>SouthwestDustHadGEM2-ES22010N/AAllMort</v>
      </c>
      <c r="C407" s="33" t="s">
        <v>85</v>
      </c>
      <c r="D407" s="33" t="s">
        <v>3</v>
      </c>
      <c r="E407" s="34">
        <v>2</v>
      </c>
      <c r="F407" s="34">
        <v>2010</v>
      </c>
      <c r="G407" s="34" t="s">
        <v>201</v>
      </c>
      <c r="H407" s="35" t="s">
        <v>191</v>
      </c>
      <c r="I407" s="43" t="s">
        <v>275</v>
      </c>
      <c r="P407">
        <v>1.458536781507357E-5</v>
      </c>
    </row>
    <row r="408" spans="1:16" hidden="1" x14ac:dyDescent="0.35">
      <c r="A408" s="3">
        <f xml:space="preserve"> ROW( data_scaledImpacts[[#This Row],[row_id]] ) - ROW( data_scaledImpacts[[#Headers],[row_id]] )</f>
        <v>407</v>
      </c>
      <c r="B408" s="41" t="str">
        <f xml:space="preserve"> _xlfn.TEXTJOIN( "", , data_scaledImpacts[[#This Row],[sector]:[impactType]] )</f>
        <v>SouthwestDustMIROC522010N/AAllMort</v>
      </c>
      <c r="C408" s="33" t="s">
        <v>85</v>
      </c>
      <c r="D408" s="33" t="s">
        <v>4</v>
      </c>
      <c r="E408" s="34">
        <v>2</v>
      </c>
      <c r="F408" s="34">
        <v>2010</v>
      </c>
      <c r="G408" s="34" t="s">
        <v>201</v>
      </c>
      <c r="H408" s="35" t="s">
        <v>191</v>
      </c>
      <c r="I408" s="43" t="s">
        <v>276</v>
      </c>
      <c r="P408">
        <v>1.07935930387174E-5</v>
      </c>
    </row>
    <row r="409" spans="1:16" hidden="1" x14ac:dyDescent="0.35">
      <c r="A409" s="3">
        <f xml:space="preserve"> ROW( data_scaledImpacts[[#This Row],[row_id]] ) - ROW( data_scaledImpacts[[#Headers],[row_id]] )</f>
        <v>408</v>
      </c>
      <c r="B409" s="41" t="str">
        <f xml:space="preserve"> _xlfn.TEXTJOIN( "", , data_scaledImpacts[[#This Row],[sector]:[impactType]] )</f>
        <v>SouthwestDustGFDL-CM322010N/AAllMort</v>
      </c>
      <c r="C409" s="33" t="s">
        <v>85</v>
      </c>
      <c r="D409" s="33" t="s">
        <v>5</v>
      </c>
      <c r="E409" s="34">
        <v>2</v>
      </c>
      <c r="F409" s="34">
        <v>2010</v>
      </c>
      <c r="G409" s="34" t="s">
        <v>201</v>
      </c>
      <c r="H409" s="35" t="s">
        <v>191</v>
      </c>
      <c r="I409" s="43" t="s">
        <v>277</v>
      </c>
      <c r="P409">
        <v>1.5963343153157209E-5</v>
      </c>
    </row>
    <row r="410" spans="1:16" hidden="1" x14ac:dyDescent="0.35">
      <c r="A410" s="3">
        <f xml:space="preserve"> ROW( data_scaledImpacts[[#This Row],[row_id]] ) - ROW( data_scaledImpacts[[#Headers],[row_id]] )</f>
        <v>409</v>
      </c>
      <c r="B410" s="41" t="str">
        <f xml:space="preserve"> _xlfn.TEXTJOIN( "", , data_scaledImpacts[[#This Row],[sector]:[impactType]] )</f>
        <v>SouthwestDustGCM Average22010N/AAllMort</v>
      </c>
      <c r="C410" s="33" t="s">
        <v>85</v>
      </c>
      <c r="D410" s="33" t="s">
        <v>15</v>
      </c>
      <c r="E410" s="34">
        <v>2</v>
      </c>
      <c r="F410" s="34">
        <v>2010</v>
      </c>
      <c r="G410" s="34" t="s">
        <v>201</v>
      </c>
      <c r="H410" s="35" t="s">
        <v>191</v>
      </c>
      <c r="I410" s="43" t="s">
        <v>278</v>
      </c>
      <c r="P410">
        <v>1.2398128911984458E-5</v>
      </c>
    </row>
    <row r="411" spans="1:16" hidden="1" x14ac:dyDescent="0.35">
      <c r="A411" s="3">
        <f xml:space="preserve"> ROW( data_scaledImpacts[[#This Row],[row_id]] ) - ROW( data_scaledImpacts[[#Headers],[row_id]] )</f>
        <v>410</v>
      </c>
      <c r="B411" s="41" t="str">
        <f xml:space="preserve"> _xlfn.TEXTJOIN( "", , data_scaledImpacts[[#This Row],[sector]:[impactType]] )</f>
        <v>SouthwestDustCanESM232010N/AAllMort</v>
      </c>
      <c r="C411" s="33" t="s">
        <v>85</v>
      </c>
      <c r="D411" s="33" t="s">
        <v>0</v>
      </c>
      <c r="E411" s="34">
        <v>3</v>
      </c>
      <c r="F411" s="34">
        <v>2010</v>
      </c>
      <c r="G411" s="34" t="s">
        <v>201</v>
      </c>
      <c r="H411" s="35" t="s">
        <v>191</v>
      </c>
      <c r="I411" s="43" t="s">
        <v>279</v>
      </c>
      <c r="P411">
        <v>1.4145685964156213E-5</v>
      </c>
    </row>
    <row r="412" spans="1:16" hidden="1" x14ac:dyDescent="0.35">
      <c r="A412" s="3">
        <f xml:space="preserve"> ROW( data_scaledImpacts[[#This Row],[row_id]] ) - ROW( data_scaledImpacts[[#Headers],[row_id]] )</f>
        <v>411</v>
      </c>
      <c r="B412" s="41" t="str">
        <f xml:space="preserve"> _xlfn.TEXTJOIN( "", , data_scaledImpacts[[#This Row],[sector]:[impactType]] )</f>
        <v>SouthwestDustCCSM432010N/AAllMort</v>
      </c>
      <c r="C412" s="33" t="s">
        <v>85</v>
      </c>
      <c r="D412" s="33" t="s">
        <v>1</v>
      </c>
      <c r="E412" s="34">
        <v>3</v>
      </c>
      <c r="F412" s="34">
        <v>2010</v>
      </c>
      <c r="G412" s="34" t="s">
        <v>201</v>
      </c>
      <c r="H412" s="35" t="s">
        <v>191</v>
      </c>
      <c r="I412" s="43" t="s">
        <v>280</v>
      </c>
      <c r="P412">
        <v>1.6642143335096946E-5</v>
      </c>
    </row>
    <row r="413" spans="1:16" hidden="1" x14ac:dyDescent="0.35">
      <c r="A413" s="3">
        <f xml:space="preserve"> ROW( data_scaledImpacts[[#This Row],[row_id]] ) - ROW( data_scaledImpacts[[#Headers],[row_id]] )</f>
        <v>412</v>
      </c>
      <c r="B413" s="41" t="str">
        <f xml:space="preserve"> _xlfn.TEXTJOIN( "", , data_scaledImpacts[[#This Row],[sector]:[impactType]] )</f>
        <v>SouthwestDustGISS-E2-R32010N/AAllMort</v>
      </c>
      <c r="C413" s="33" t="s">
        <v>85</v>
      </c>
      <c r="D413" s="33" t="s">
        <v>2</v>
      </c>
      <c r="E413" s="34">
        <v>3</v>
      </c>
      <c r="F413" s="34">
        <v>2010</v>
      </c>
      <c r="G413" s="34" t="s">
        <v>201</v>
      </c>
      <c r="H413" s="35" t="s">
        <v>191</v>
      </c>
      <c r="I413" s="43" t="s">
        <v>281</v>
      </c>
      <c r="P413">
        <v>1.8368360838397473E-5</v>
      </c>
    </row>
    <row r="414" spans="1:16" hidden="1" x14ac:dyDescent="0.35">
      <c r="A414" s="3">
        <f xml:space="preserve"> ROW( data_scaledImpacts[[#This Row],[row_id]] ) - ROW( data_scaledImpacts[[#Headers],[row_id]] )</f>
        <v>413</v>
      </c>
      <c r="B414" s="41" t="str">
        <f xml:space="preserve"> _xlfn.TEXTJOIN( "", , data_scaledImpacts[[#This Row],[sector]:[impactType]] )</f>
        <v>SouthwestDustHadGEM2-ES32010N/AAllMort</v>
      </c>
      <c r="C414" s="33" t="s">
        <v>85</v>
      </c>
      <c r="D414" s="33" t="s">
        <v>3</v>
      </c>
      <c r="E414" s="34">
        <v>3</v>
      </c>
      <c r="F414" s="34">
        <v>2010</v>
      </c>
      <c r="G414" s="34" t="s">
        <v>201</v>
      </c>
      <c r="H414" s="35" t="s">
        <v>191</v>
      </c>
      <c r="I414" s="43" t="s">
        <v>282</v>
      </c>
      <c r="P414">
        <v>1.7739635263617874E-5</v>
      </c>
    </row>
    <row r="415" spans="1:16" hidden="1" x14ac:dyDescent="0.35">
      <c r="A415" s="3">
        <f xml:space="preserve"> ROW( data_scaledImpacts[[#This Row],[row_id]] ) - ROW( data_scaledImpacts[[#Headers],[row_id]] )</f>
        <v>414</v>
      </c>
      <c r="B415" s="41" t="str">
        <f xml:space="preserve"> _xlfn.TEXTJOIN( "", , data_scaledImpacts[[#This Row],[sector]:[impactType]] )</f>
        <v>SouthwestDustMIROC532010N/AAllMort</v>
      </c>
      <c r="C415" s="33" t="s">
        <v>85</v>
      </c>
      <c r="D415" s="33" t="s">
        <v>4</v>
      </c>
      <c r="E415" s="34">
        <v>3</v>
      </c>
      <c r="F415" s="34">
        <v>2010</v>
      </c>
      <c r="G415" s="34" t="s">
        <v>201</v>
      </c>
      <c r="H415" s="35" t="s">
        <v>191</v>
      </c>
      <c r="I415" s="43" t="s">
        <v>283</v>
      </c>
      <c r="P415">
        <v>2.049583292992089E-5</v>
      </c>
    </row>
    <row r="416" spans="1:16" hidden="1" x14ac:dyDescent="0.35">
      <c r="A416" s="3">
        <f xml:space="preserve"> ROW( data_scaledImpacts[[#This Row],[row_id]] ) - ROW( data_scaledImpacts[[#Headers],[row_id]] )</f>
        <v>415</v>
      </c>
      <c r="B416" s="41" t="str">
        <f xml:space="preserve"> _xlfn.TEXTJOIN( "", , data_scaledImpacts[[#This Row],[sector]:[impactType]] )</f>
        <v>SouthwestDustGFDL-CM332010N/AAllMort</v>
      </c>
      <c r="C416" s="33" t="s">
        <v>85</v>
      </c>
      <c r="D416" s="33" t="s">
        <v>5</v>
      </c>
      <c r="E416" s="34">
        <v>3</v>
      </c>
      <c r="F416" s="34">
        <v>2010</v>
      </c>
      <c r="G416" s="34" t="s">
        <v>201</v>
      </c>
      <c r="H416" s="35" t="s">
        <v>191</v>
      </c>
      <c r="I416" s="43" t="s">
        <v>284</v>
      </c>
      <c r="P416">
        <v>2.3345643152697394E-5</v>
      </c>
    </row>
    <row r="417" spans="1:16" hidden="1" x14ac:dyDescent="0.35">
      <c r="A417" s="3">
        <f xml:space="preserve"> ROW( data_scaledImpacts[[#This Row],[row_id]] ) - ROW( data_scaledImpacts[[#Headers],[row_id]] )</f>
        <v>416</v>
      </c>
      <c r="B417" s="41" t="str">
        <f xml:space="preserve"> _xlfn.TEXTJOIN( "", , data_scaledImpacts[[#This Row],[sector]:[impactType]] )</f>
        <v>SouthwestDustGCM Average32010N/AAllMort</v>
      </c>
      <c r="C417" s="33" t="s">
        <v>85</v>
      </c>
      <c r="D417" s="33" t="s">
        <v>15</v>
      </c>
      <c r="E417" s="34">
        <v>3</v>
      </c>
      <c r="F417" s="34">
        <v>2010</v>
      </c>
      <c r="G417" s="34" t="s">
        <v>201</v>
      </c>
      <c r="H417" s="35" t="s">
        <v>191</v>
      </c>
      <c r="I417" s="43" t="s">
        <v>285</v>
      </c>
      <c r="P417">
        <v>1.8456216913981132E-5</v>
      </c>
    </row>
    <row r="418" spans="1:16" hidden="1" x14ac:dyDescent="0.35">
      <c r="A418" s="3">
        <f xml:space="preserve"> ROW( data_scaledImpacts[[#This Row],[row_id]] ) - ROW( data_scaledImpacts[[#Headers],[row_id]] )</f>
        <v>417</v>
      </c>
      <c r="B418" s="41" t="str">
        <f xml:space="preserve"> _xlfn.TEXTJOIN( "", , data_scaledImpacts[[#This Row],[sector]:[impactType]] )</f>
        <v>SouthwestDustCanESM242010N/AAllMort</v>
      </c>
      <c r="C418" s="33" t="s">
        <v>85</v>
      </c>
      <c r="D418" s="33" t="s">
        <v>0</v>
      </c>
      <c r="E418" s="34">
        <v>4</v>
      </c>
      <c r="F418" s="34">
        <v>2010</v>
      </c>
      <c r="G418" s="34" t="s">
        <v>201</v>
      </c>
      <c r="H418" s="35" t="s">
        <v>191</v>
      </c>
      <c r="I418" s="43" t="s">
        <v>286</v>
      </c>
      <c r="P418">
        <v>1.3634215461813801E-5</v>
      </c>
    </row>
    <row r="419" spans="1:16" hidden="1" x14ac:dyDescent="0.35">
      <c r="A419" s="3">
        <f xml:space="preserve"> ROW( data_scaledImpacts[[#This Row],[row_id]] ) - ROW( data_scaledImpacts[[#Headers],[row_id]] )</f>
        <v>418</v>
      </c>
      <c r="B419" s="41" t="str">
        <f xml:space="preserve"> _xlfn.TEXTJOIN( "", , data_scaledImpacts[[#This Row],[sector]:[impactType]] )</f>
        <v>SouthwestDustCCSM442010N/AAllMort</v>
      </c>
      <c r="C419" s="33" t="s">
        <v>85</v>
      </c>
      <c r="D419" s="33" t="s">
        <v>1</v>
      </c>
      <c r="E419" s="34">
        <v>4</v>
      </c>
      <c r="F419" s="34">
        <v>2010</v>
      </c>
      <c r="G419" s="34" t="s">
        <v>201</v>
      </c>
      <c r="H419" s="35" t="s">
        <v>191</v>
      </c>
      <c r="I419" s="43" t="s">
        <v>287</v>
      </c>
      <c r="P419">
        <v>2.2326350826815951E-5</v>
      </c>
    </row>
    <row r="420" spans="1:16" hidden="1" x14ac:dyDescent="0.35">
      <c r="A420" s="3">
        <f xml:space="preserve"> ROW( data_scaledImpacts[[#This Row],[row_id]] ) - ROW( data_scaledImpacts[[#Headers],[row_id]] )</f>
        <v>419</v>
      </c>
      <c r="B420" s="41" t="str">
        <f xml:space="preserve"> _xlfn.TEXTJOIN( "", , data_scaledImpacts[[#This Row],[sector]:[impactType]] )</f>
        <v>SouthwestDustGISS-E2-R42010N/AAllMort</v>
      </c>
      <c r="C420" s="33" t="s">
        <v>85</v>
      </c>
      <c r="D420" s="33" t="s">
        <v>2</v>
      </c>
      <c r="E420" s="34">
        <v>4</v>
      </c>
      <c r="F420" s="34">
        <v>2010</v>
      </c>
      <c r="G420" s="34" t="s">
        <v>201</v>
      </c>
      <c r="H420" s="35" t="s">
        <v>191</v>
      </c>
      <c r="I420" s="43" t="s">
        <v>288</v>
      </c>
    </row>
    <row r="421" spans="1:16" hidden="1" x14ac:dyDescent="0.35">
      <c r="A421" s="3">
        <f xml:space="preserve"> ROW( data_scaledImpacts[[#This Row],[row_id]] ) - ROW( data_scaledImpacts[[#Headers],[row_id]] )</f>
        <v>420</v>
      </c>
      <c r="B421" s="41" t="str">
        <f xml:space="preserve"> _xlfn.TEXTJOIN( "", , data_scaledImpacts[[#This Row],[sector]:[impactType]] )</f>
        <v>SouthwestDustHadGEM2-ES42010N/AAllMort</v>
      </c>
      <c r="C421" s="33" t="s">
        <v>85</v>
      </c>
      <c r="D421" s="33" t="s">
        <v>3</v>
      </c>
      <c r="E421" s="34">
        <v>4</v>
      </c>
      <c r="F421" s="34">
        <v>2010</v>
      </c>
      <c r="G421" s="34" t="s">
        <v>201</v>
      </c>
      <c r="H421" s="35" t="s">
        <v>191</v>
      </c>
      <c r="I421" s="43" t="s">
        <v>289</v>
      </c>
      <c r="P421">
        <v>1.8042981988834514E-5</v>
      </c>
    </row>
    <row r="422" spans="1:16" hidden="1" x14ac:dyDescent="0.35">
      <c r="A422" s="3">
        <f xml:space="preserve"> ROW( data_scaledImpacts[[#This Row],[row_id]] ) - ROW( data_scaledImpacts[[#Headers],[row_id]] )</f>
        <v>421</v>
      </c>
      <c r="B422" s="41" t="str">
        <f xml:space="preserve"> _xlfn.TEXTJOIN( "", , data_scaledImpacts[[#This Row],[sector]:[impactType]] )</f>
        <v>SouthwestDustMIROC542010N/AAllMort</v>
      </c>
      <c r="C422" s="33" t="s">
        <v>85</v>
      </c>
      <c r="D422" s="33" t="s">
        <v>4</v>
      </c>
      <c r="E422" s="34">
        <v>4</v>
      </c>
      <c r="F422" s="34">
        <v>2010</v>
      </c>
      <c r="G422" s="34" t="s">
        <v>201</v>
      </c>
      <c r="H422" s="35" t="s">
        <v>191</v>
      </c>
      <c r="I422" s="43" t="s">
        <v>290</v>
      </c>
      <c r="P422">
        <v>2.5146730909307585E-5</v>
      </c>
    </row>
    <row r="423" spans="1:16" hidden="1" x14ac:dyDescent="0.35">
      <c r="A423" s="3">
        <f xml:space="preserve"> ROW( data_scaledImpacts[[#This Row],[row_id]] ) - ROW( data_scaledImpacts[[#Headers],[row_id]] )</f>
        <v>422</v>
      </c>
      <c r="B423" s="41" t="str">
        <f xml:space="preserve"> _xlfn.TEXTJOIN( "", , data_scaledImpacts[[#This Row],[sector]:[impactType]] )</f>
        <v>SouthwestDustGFDL-CM342010N/AAllMort</v>
      </c>
      <c r="C423" s="33" t="s">
        <v>85</v>
      </c>
      <c r="D423" s="33" t="s">
        <v>5</v>
      </c>
      <c r="E423" s="34">
        <v>4</v>
      </c>
      <c r="F423" s="34">
        <v>2010</v>
      </c>
      <c r="G423" s="34" t="s">
        <v>201</v>
      </c>
      <c r="H423" s="35" t="s">
        <v>191</v>
      </c>
      <c r="I423" s="43" t="s">
        <v>291</v>
      </c>
      <c r="P423">
        <v>3.1601969283079036E-5</v>
      </c>
    </row>
    <row r="424" spans="1:16" hidden="1" x14ac:dyDescent="0.35">
      <c r="A424" s="3">
        <f xml:space="preserve"> ROW( data_scaledImpacts[[#This Row],[row_id]] ) - ROW( data_scaledImpacts[[#Headers],[row_id]] )</f>
        <v>423</v>
      </c>
      <c r="B424" s="41" t="str">
        <f xml:space="preserve"> _xlfn.TEXTJOIN( "", , data_scaledImpacts[[#This Row],[sector]:[impactType]] )</f>
        <v>SouthwestDustGCM Average42010N/AAllMort</v>
      </c>
      <c r="C424" s="33" t="s">
        <v>85</v>
      </c>
      <c r="D424" s="33" t="s">
        <v>15</v>
      </c>
      <c r="E424" s="34">
        <v>4</v>
      </c>
      <c r="F424" s="34">
        <v>2010</v>
      </c>
      <c r="G424" s="34" t="s">
        <v>201</v>
      </c>
      <c r="H424" s="35" t="s">
        <v>191</v>
      </c>
      <c r="I424" s="43" t="s">
        <v>292</v>
      </c>
      <c r="P424">
        <v>2.2150449693970175E-5</v>
      </c>
    </row>
    <row r="425" spans="1:16" hidden="1" x14ac:dyDescent="0.35">
      <c r="A425" s="3">
        <f xml:space="preserve"> ROW( data_scaledImpacts[[#This Row],[row_id]] ) - ROW( data_scaledImpacts[[#Headers],[row_id]] )</f>
        <v>424</v>
      </c>
      <c r="B425" s="41" t="str">
        <f xml:space="preserve"> _xlfn.TEXTJOIN( "", , data_scaledImpacts[[#This Row],[sector]:[impactType]] )</f>
        <v>SouthwestDustCanESM252010N/AAllMort</v>
      </c>
      <c r="C425" s="33" t="s">
        <v>85</v>
      </c>
      <c r="D425" s="33" t="s">
        <v>0</v>
      </c>
      <c r="E425" s="34">
        <v>5</v>
      </c>
      <c r="F425" s="34">
        <v>2010</v>
      </c>
      <c r="G425" s="34" t="s">
        <v>201</v>
      </c>
      <c r="H425" s="35" t="s">
        <v>191</v>
      </c>
      <c r="I425" s="43" t="s">
        <v>293</v>
      </c>
      <c r="P425">
        <v>1.6852892110969736E-5</v>
      </c>
    </row>
    <row r="426" spans="1:16" hidden="1" x14ac:dyDescent="0.35">
      <c r="A426" s="3">
        <f xml:space="preserve"> ROW( data_scaledImpacts[[#This Row],[row_id]] ) - ROW( data_scaledImpacts[[#Headers],[row_id]] )</f>
        <v>425</v>
      </c>
      <c r="B426" s="41" t="str">
        <f xml:space="preserve"> _xlfn.TEXTJOIN( "", , data_scaledImpacts[[#This Row],[sector]:[impactType]] )</f>
        <v>SouthwestDustCCSM452010N/AAllMort</v>
      </c>
      <c r="C426" s="33" t="s">
        <v>85</v>
      </c>
      <c r="D426" s="33" t="s">
        <v>1</v>
      </c>
      <c r="E426" s="34">
        <v>5</v>
      </c>
      <c r="F426" s="34">
        <v>2010</v>
      </c>
      <c r="G426" s="34" t="s">
        <v>201</v>
      </c>
      <c r="H426" s="35" t="s">
        <v>191</v>
      </c>
      <c r="I426" s="43" t="s">
        <v>294</v>
      </c>
      <c r="P426">
        <v>3.4534635207475139E-5</v>
      </c>
    </row>
    <row r="427" spans="1:16" hidden="1" x14ac:dyDescent="0.35">
      <c r="A427" s="3">
        <f xml:space="preserve"> ROW( data_scaledImpacts[[#This Row],[row_id]] ) - ROW( data_scaledImpacts[[#Headers],[row_id]] )</f>
        <v>426</v>
      </c>
      <c r="B427" s="41" t="str">
        <f xml:space="preserve"> _xlfn.TEXTJOIN( "", , data_scaledImpacts[[#This Row],[sector]:[impactType]] )</f>
        <v>SouthwestDustGISS-E2-R52010N/AAllMort</v>
      </c>
      <c r="C427" s="33" t="s">
        <v>85</v>
      </c>
      <c r="D427" s="33" t="s">
        <v>2</v>
      </c>
      <c r="E427" s="34">
        <v>5</v>
      </c>
      <c r="F427" s="34">
        <v>2010</v>
      </c>
      <c r="G427" s="34" t="s">
        <v>201</v>
      </c>
      <c r="H427" s="35" t="s">
        <v>191</v>
      </c>
      <c r="I427" s="43" t="s">
        <v>295</v>
      </c>
    </row>
    <row r="428" spans="1:16" hidden="1" x14ac:dyDescent="0.35">
      <c r="A428" s="3">
        <f xml:space="preserve"> ROW( data_scaledImpacts[[#This Row],[row_id]] ) - ROW( data_scaledImpacts[[#Headers],[row_id]] )</f>
        <v>427</v>
      </c>
      <c r="B428" s="41" t="str">
        <f xml:space="preserve"> _xlfn.TEXTJOIN( "", , data_scaledImpacts[[#This Row],[sector]:[impactType]] )</f>
        <v>SouthwestDustHadGEM2-ES52010N/AAllMort</v>
      </c>
      <c r="C428" s="33" t="s">
        <v>85</v>
      </c>
      <c r="D428" s="33" t="s">
        <v>3</v>
      </c>
      <c r="E428" s="34">
        <v>5</v>
      </c>
      <c r="F428" s="34">
        <v>2010</v>
      </c>
      <c r="G428" s="34" t="s">
        <v>201</v>
      </c>
      <c r="H428" s="35" t="s">
        <v>191</v>
      </c>
      <c r="I428" s="43" t="s">
        <v>296</v>
      </c>
      <c r="P428">
        <v>2.9207812447229067E-5</v>
      </c>
    </row>
    <row r="429" spans="1:16" hidden="1" x14ac:dyDescent="0.35">
      <c r="A429" s="3">
        <f xml:space="preserve"> ROW( data_scaledImpacts[[#This Row],[row_id]] ) - ROW( data_scaledImpacts[[#Headers],[row_id]] )</f>
        <v>428</v>
      </c>
      <c r="B429" s="41" t="str">
        <f xml:space="preserve"> _xlfn.TEXTJOIN( "", , data_scaledImpacts[[#This Row],[sector]:[impactType]] )</f>
        <v>SouthwestDustMIROC552010N/AAllMort</v>
      </c>
      <c r="C429" s="33" t="s">
        <v>85</v>
      </c>
      <c r="D429" s="33" t="s">
        <v>4</v>
      </c>
      <c r="E429" s="34">
        <v>5</v>
      </c>
      <c r="F429" s="34">
        <v>2010</v>
      </c>
      <c r="G429" s="34" t="s">
        <v>201</v>
      </c>
      <c r="H429" s="35" t="s">
        <v>191</v>
      </c>
      <c r="I429" s="43" t="s">
        <v>297</v>
      </c>
      <c r="P429">
        <v>3.145053697931608E-5</v>
      </c>
    </row>
    <row r="430" spans="1:16" hidden="1" x14ac:dyDescent="0.35">
      <c r="A430" s="3">
        <f xml:space="preserve"> ROW( data_scaledImpacts[[#This Row],[row_id]] ) - ROW( data_scaledImpacts[[#Headers],[row_id]] )</f>
        <v>429</v>
      </c>
      <c r="B430" s="41" t="str">
        <f xml:space="preserve"> _xlfn.TEXTJOIN( "", , data_scaledImpacts[[#This Row],[sector]:[impactType]] )</f>
        <v>SouthwestDustGFDL-CM352010N/AAllMort</v>
      </c>
      <c r="C430" s="33" t="s">
        <v>85</v>
      </c>
      <c r="D430" s="33" t="s">
        <v>5</v>
      </c>
      <c r="E430" s="34">
        <v>5</v>
      </c>
      <c r="F430" s="34">
        <v>2010</v>
      </c>
      <c r="G430" s="34" t="s">
        <v>201</v>
      </c>
      <c r="H430" s="35" t="s">
        <v>191</v>
      </c>
      <c r="I430" s="43" t="s">
        <v>298</v>
      </c>
      <c r="P430">
        <v>3.9160952366721033E-5</v>
      </c>
    </row>
    <row r="431" spans="1:16" hidden="1" x14ac:dyDescent="0.35">
      <c r="A431" s="3">
        <f xml:space="preserve"> ROW( data_scaledImpacts[[#This Row],[row_id]] ) - ROW( data_scaledImpacts[[#Headers],[row_id]] )</f>
        <v>430</v>
      </c>
      <c r="B431" s="41" t="str">
        <f xml:space="preserve"> _xlfn.TEXTJOIN( "", , data_scaledImpacts[[#This Row],[sector]:[impactType]] )</f>
        <v>SouthwestDustGCM Average52010N/AAllMort</v>
      </c>
      <c r="C431" s="33" t="s">
        <v>85</v>
      </c>
      <c r="D431" s="33" t="s">
        <v>15</v>
      </c>
      <c r="E431" s="34">
        <v>5</v>
      </c>
      <c r="F431" s="34">
        <v>2010</v>
      </c>
      <c r="G431" s="34" t="s">
        <v>201</v>
      </c>
      <c r="H431" s="35" t="s">
        <v>191</v>
      </c>
      <c r="I431" s="43" t="s">
        <v>299</v>
      </c>
      <c r="P431">
        <v>3.0241365822342214E-5</v>
      </c>
    </row>
    <row r="432" spans="1:16" hidden="1" x14ac:dyDescent="0.35">
      <c r="A432" s="3">
        <f xml:space="preserve"> ROW( data_scaledImpacts[[#This Row],[row_id]] ) - ROW( data_scaledImpacts[[#Headers],[row_id]] )</f>
        <v>431</v>
      </c>
      <c r="B432" s="41" t="str">
        <f xml:space="preserve"> _xlfn.TEXTJOIN( "", , data_scaledImpacts[[#This Row],[sector]:[impactType]] )</f>
        <v>SouthwestDustCanESM262010N/AAllMort</v>
      </c>
      <c r="C432" s="33" t="s">
        <v>85</v>
      </c>
      <c r="D432" s="33" t="s">
        <v>0</v>
      </c>
      <c r="E432" s="34">
        <v>6</v>
      </c>
      <c r="F432" s="34">
        <v>2010</v>
      </c>
      <c r="G432" s="34" t="s">
        <v>201</v>
      </c>
      <c r="H432" s="35" t="s">
        <v>191</v>
      </c>
      <c r="I432" s="43" t="s">
        <v>300</v>
      </c>
      <c r="P432">
        <v>2.1372362340262921E-5</v>
      </c>
    </row>
    <row r="433" spans="1:16" hidden="1" x14ac:dyDescent="0.35">
      <c r="A433" s="3">
        <f xml:space="preserve"> ROW( data_scaledImpacts[[#This Row],[row_id]] ) - ROW( data_scaledImpacts[[#Headers],[row_id]] )</f>
        <v>432</v>
      </c>
      <c r="B433" s="41" t="str">
        <f xml:space="preserve"> _xlfn.TEXTJOIN( "", , data_scaledImpacts[[#This Row],[sector]:[impactType]] )</f>
        <v>SouthwestDustCCSM462010N/AAllMort</v>
      </c>
      <c r="C433" s="33" t="s">
        <v>85</v>
      </c>
      <c r="D433" s="33" t="s">
        <v>1</v>
      </c>
      <c r="E433" s="34">
        <v>6</v>
      </c>
      <c r="F433" s="34">
        <v>2010</v>
      </c>
      <c r="G433" s="34" t="s">
        <v>201</v>
      </c>
      <c r="H433" s="35" t="s">
        <v>191</v>
      </c>
      <c r="I433" s="43" t="s">
        <v>301</v>
      </c>
    </row>
    <row r="434" spans="1:16" hidden="1" x14ac:dyDescent="0.35">
      <c r="A434" s="3">
        <f xml:space="preserve"> ROW( data_scaledImpacts[[#This Row],[row_id]] ) - ROW( data_scaledImpacts[[#Headers],[row_id]] )</f>
        <v>433</v>
      </c>
      <c r="B434" s="41" t="str">
        <f xml:space="preserve"> _xlfn.TEXTJOIN( "", , data_scaledImpacts[[#This Row],[sector]:[impactType]] )</f>
        <v>SouthwestDustGISS-E2-R62010N/AAllMort</v>
      </c>
      <c r="C434" s="33" t="s">
        <v>85</v>
      </c>
      <c r="D434" s="33" t="s">
        <v>2</v>
      </c>
      <c r="E434" s="34">
        <v>6</v>
      </c>
      <c r="F434" s="34">
        <v>2010</v>
      </c>
      <c r="G434" s="34" t="s">
        <v>201</v>
      </c>
      <c r="H434" s="35" t="s">
        <v>191</v>
      </c>
      <c r="I434" s="43" t="s">
        <v>302</v>
      </c>
    </row>
    <row r="435" spans="1:16" hidden="1" x14ac:dyDescent="0.35">
      <c r="A435" s="3">
        <f xml:space="preserve"> ROW( data_scaledImpacts[[#This Row],[row_id]] ) - ROW( data_scaledImpacts[[#Headers],[row_id]] )</f>
        <v>434</v>
      </c>
      <c r="B435" s="41" t="str">
        <f xml:space="preserve"> _xlfn.TEXTJOIN( "", , data_scaledImpacts[[#This Row],[sector]:[impactType]] )</f>
        <v>SouthwestDustHadGEM2-ES62010N/AAllMort</v>
      </c>
      <c r="C435" s="33" t="s">
        <v>85</v>
      </c>
      <c r="D435" s="33" t="s">
        <v>3</v>
      </c>
      <c r="E435" s="34">
        <v>6</v>
      </c>
      <c r="F435" s="34">
        <v>2010</v>
      </c>
      <c r="G435" s="34" t="s">
        <v>201</v>
      </c>
      <c r="H435" s="35" t="s">
        <v>191</v>
      </c>
      <c r="I435" s="43" t="s">
        <v>303</v>
      </c>
      <c r="P435">
        <v>2.8012258453195303E-5</v>
      </c>
    </row>
    <row r="436" spans="1:16" hidden="1" x14ac:dyDescent="0.35">
      <c r="A436" s="3">
        <f xml:space="preserve"> ROW( data_scaledImpacts[[#This Row],[row_id]] ) - ROW( data_scaledImpacts[[#Headers],[row_id]] )</f>
        <v>435</v>
      </c>
      <c r="B436" s="41" t="str">
        <f xml:space="preserve"> _xlfn.TEXTJOIN( "", , data_scaledImpacts[[#This Row],[sector]:[impactType]] )</f>
        <v>SouthwestDustMIROC562010N/AAllMort</v>
      </c>
      <c r="C436" s="33" t="s">
        <v>85</v>
      </c>
      <c r="D436" s="33" t="s">
        <v>4</v>
      </c>
      <c r="E436" s="34">
        <v>6</v>
      </c>
      <c r="F436" s="34">
        <v>2010</v>
      </c>
      <c r="G436" s="34" t="s">
        <v>201</v>
      </c>
      <c r="H436" s="35" t="s">
        <v>191</v>
      </c>
      <c r="I436" s="43" t="s">
        <v>304</v>
      </c>
    </row>
    <row r="437" spans="1:16" hidden="1" x14ac:dyDescent="0.35">
      <c r="A437" s="3">
        <f xml:space="preserve"> ROW( data_scaledImpacts[[#This Row],[row_id]] ) - ROW( data_scaledImpacts[[#Headers],[row_id]] )</f>
        <v>436</v>
      </c>
      <c r="B437" s="41" t="str">
        <f xml:space="preserve"> _xlfn.TEXTJOIN( "", , data_scaledImpacts[[#This Row],[sector]:[impactType]] )</f>
        <v>SouthwestDustGFDL-CM362010N/AAllMort</v>
      </c>
      <c r="C437" s="33" t="s">
        <v>85</v>
      </c>
      <c r="D437" s="33" t="s">
        <v>5</v>
      </c>
      <c r="E437" s="34">
        <v>6</v>
      </c>
      <c r="F437" s="34">
        <v>2010</v>
      </c>
      <c r="G437" s="34" t="s">
        <v>201</v>
      </c>
      <c r="H437" s="35" t="s">
        <v>191</v>
      </c>
      <c r="I437" s="43" t="s">
        <v>305</v>
      </c>
      <c r="P437">
        <v>4.4788712426460299E-5</v>
      </c>
    </row>
    <row r="438" spans="1:16" hidden="1" x14ac:dyDescent="0.35">
      <c r="A438" s="3">
        <f xml:space="preserve"> ROW( data_scaledImpacts[[#This Row],[row_id]] ) - ROW( data_scaledImpacts[[#Headers],[row_id]] )</f>
        <v>437</v>
      </c>
      <c r="B438" s="41" t="str">
        <f xml:space="preserve"> _xlfn.TEXTJOIN( "", , data_scaledImpacts[[#This Row],[sector]:[impactType]] )</f>
        <v>SouthwestDustGCM Average62010N/AAllMort</v>
      </c>
      <c r="C438" s="33" t="s">
        <v>85</v>
      </c>
      <c r="D438" s="33" t="s">
        <v>15</v>
      </c>
      <c r="E438" s="34">
        <v>6</v>
      </c>
      <c r="F438" s="34">
        <v>2010</v>
      </c>
      <c r="G438" s="34" t="s">
        <v>201</v>
      </c>
      <c r="H438" s="35" t="s">
        <v>191</v>
      </c>
      <c r="I438" s="43" t="s">
        <v>306</v>
      </c>
      <c r="P438">
        <v>3.1391111073306177E-5</v>
      </c>
    </row>
    <row r="439" spans="1:16" hidden="1" x14ac:dyDescent="0.35">
      <c r="A439" s="3">
        <f xml:space="preserve"> ROW( data_scaledImpacts[[#This Row],[row_id]] ) - ROW( data_scaledImpacts[[#Headers],[row_id]] )</f>
        <v>438</v>
      </c>
      <c r="B439" s="41" t="str">
        <f xml:space="preserve"> _xlfn.TEXTJOIN( "", , data_scaledImpacts[[#This Row],[sector]:[impactType]] )</f>
        <v>SouthwestDustCanESM272010N/AAllMort</v>
      </c>
      <c r="C439" s="33" t="s">
        <v>85</v>
      </c>
      <c r="D439" s="33" t="s">
        <v>0</v>
      </c>
      <c r="E439" s="34">
        <v>7</v>
      </c>
      <c r="F439" s="34">
        <v>2010</v>
      </c>
      <c r="G439" s="34" t="s">
        <v>201</v>
      </c>
      <c r="H439" s="35" t="s">
        <v>191</v>
      </c>
      <c r="I439" s="43" t="s">
        <v>307</v>
      </c>
    </row>
    <row r="440" spans="1:16" hidden="1" x14ac:dyDescent="0.35">
      <c r="A440" s="3">
        <f xml:space="preserve"> ROW( data_scaledImpacts[[#This Row],[row_id]] ) - ROW( data_scaledImpacts[[#Headers],[row_id]] )</f>
        <v>439</v>
      </c>
      <c r="B440" s="41" t="str">
        <f xml:space="preserve"> _xlfn.TEXTJOIN( "", , data_scaledImpacts[[#This Row],[sector]:[impactType]] )</f>
        <v>SouthwestDustCCSM472010N/AAllMort</v>
      </c>
      <c r="C440" s="33" t="s">
        <v>85</v>
      </c>
      <c r="D440" s="33" t="s">
        <v>1</v>
      </c>
      <c r="E440" s="34">
        <v>7</v>
      </c>
      <c r="F440" s="34">
        <v>2010</v>
      </c>
      <c r="G440" s="34" t="s">
        <v>201</v>
      </c>
      <c r="H440" s="35" t="s">
        <v>191</v>
      </c>
      <c r="I440" s="43" t="s">
        <v>308</v>
      </c>
    </row>
    <row r="441" spans="1:16" hidden="1" x14ac:dyDescent="0.35">
      <c r="A441" s="3">
        <f xml:space="preserve"> ROW( data_scaledImpacts[[#This Row],[row_id]] ) - ROW( data_scaledImpacts[[#Headers],[row_id]] )</f>
        <v>440</v>
      </c>
      <c r="B441" s="41" t="str">
        <f xml:space="preserve"> _xlfn.TEXTJOIN( "", , data_scaledImpacts[[#This Row],[sector]:[impactType]] )</f>
        <v>SouthwestDustGISS-E2-R72010N/AAllMort</v>
      </c>
      <c r="C441" s="33" t="s">
        <v>85</v>
      </c>
      <c r="D441" s="33" t="s">
        <v>2</v>
      </c>
      <c r="E441" s="34">
        <v>7</v>
      </c>
      <c r="F441" s="34">
        <v>2010</v>
      </c>
      <c r="G441" s="34" t="s">
        <v>201</v>
      </c>
      <c r="H441" s="35" t="s">
        <v>191</v>
      </c>
      <c r="I441" s="43" t="s">
        <v>309</v>
      </c>
    </row>
    <row r="442" spans="1:16" hidden="1" x14ac:dyDescent="0.35">
      <c r="A442" s="3">
        <f xml:space="preserve"> ROW( data_scaledImpacts[[#This Row],[row_id]] ) - ROW( data_scaledImpacts[[#Headers],[row_id]] )</f>
        <v>441</v>
      </c>
      <c r="B442" s="41" t="str">
        <f xml:space="preserve"> _xlfn.TEXTJOIN( "", , data_scaledImpacts[[#This Row],[sector]:[impactType]] )</f>
        <v>SouthwestDustHadGEM2-ES72010N/AAllMort</v>
      </c>
      <c r="C442" s="33" t="s">
        <v>85</v>
      </c>
      <c r="D442" s="33" t="s">
        <v>3</v>
      </c>
      <c r="E442" s="34">
        <v>7</v>
      </c>
      <c r="F442" s="34">
        <v>2010</v>
      </c>
      <c r="G442" s="34" t="s">
        <v>201</v>
      </c>
      <c r="H442" s="35" t="s">
        <v>191</v>
      </c>
      <c r="I442" s="43" t="s">
        <v>310</v>
      </c>
    </row>
    <row r="443" spans="1:16" hidden="1" x14ac:dyDescent="0.35">
      <c r="A443" s="3">
        <f xml:space="preserve"> ROW( data_scaledImpacts[[#This Row],[row_id]] ) - ROW( data_scaledImpacts[[#Headers],[row_id]] )</f>
        <v>442</v>
      </c>
      <c r="B443" s="41" t="str">
        <f xml:space="preserve"> _xlfn.TEXTJOIN( "", , data_scaledImpacts[[#This Row],[sector]:[impactType]] )</f>
        <v>SouthwestDustMIROC572010N/AAllMort</v>
      </c>
      <c r="C443" s="33" t="s">
        <v>85</v>
      </c>
      <c r="D443" s="33" t="s">
        <v>4</v>
      </c>
      <c r="E443" s="34">
        <v>7</v>
      </c>
      <c r="F443" s="34">
        <v>2010</v>
      </c>
      <c r="G443" s="34" t="s">
        <v>201</v>
      </c>
      <c r="H443" s="35" t="s">
        <v>191</v>
      </c>
      <c r="I443" s="43" t="s">
        <v>311</v>
      </c>
    </row>
    <row r="444" spans="1:16" hidden="1" x14ac:dyDescent="0.35">
      <c r="A444" s="3">
        <f xml:space="preserve"> ROW( data_scaledImpacts[[#This Row],[row_id]] ) - ROW( data_scaledImpacts[[#Headers],[row_id]] )</f>
        <v>443</v>
      </c>
      <c r="B444" s="41" t="str">
        <f xml:space="preserve"> _xlfn.TEXTJOIN( "", , data_scaledImpacts[[#This Row],[sector]:[impactType]] )</f>
        <v>SouthwestDustGFDL-CM372010N/AAllMort</v>
      </c>
      <c r="C444" s="33" t="s">
        <v>85</v>
      </c>
      <c r="D444" s="33" t="s">
        <v>5</v>
      </c>
      <c r="E444" s="34">
        <v>7</v>
      </c>
      <c r="F444" s="34">
        <v>2010</v>
      </c>
      <c r="G444" s="34" t="s">
        <v>201</v>
      </c>
      <c r="H444" s="35" t="s">
        <v>191</v>
      </c>
      <c r="I444" s="43" t="s">
        <v>312</v>
      </c>
    </row>
    <row r="445" spans="1:16" hidden="1" x14ac:dyDescent="0.35">
      <c r="A445" s="3">
        <f xml:space="preserve"> ROW( data_scaledImpacts[[#This Row],[row_id]] ) - ROW( data_scaledImpacts[[#Headers],[row_id]] )</f>
        <v>444</v>
      </c>
      <c r="B445" s="41" t="str">
        <f xml:space="preserve"> _xlfn.TEXTJOIN( "", , data_scaledImpacts[[#This Row],[sector]:[impactType]] )</f>
        <v>SouthwestDustGCM Average72010N/AAllMort</v>
      </c>
      <c r="C445" s="33" t="s">
        <v>85</v>
      </c>
      <c r="D445" s="33" t="s">
        <v>15</v>
      </c>
      <c r="E445" s="34">
        <v>7</v>
      </c>
      <c r="F445" s="34">
        <v>2010</v>
      </c>
      <c r="G445" s="34" t="s">
        <v>201</v>
      </c>
      <c r="H445" s="35" t="s">
        <v>191</v>
      </c>
      <c r="I445" s="43" t="s">
        <v>313</v>
      </c>
      <c r="P445" t="s">
        <v>26</v>
      </c>
    </row>
    <row r="446" spans="1:16" hidden="1" x14ac:dyDescent="0.35">
      <c r="A446" s="3">
        <f xml:space="preserve"> ROW( data_scaledImpacts[[#This Row],[row_id]] ) - ROW( data_scaledImpacts[[#Headers],[row_id]] )</f>
        <v>445</v>
      </c>
      <c r="B446" s="41" t="str">
        <f xml:space="preserve"> _xlfn.TEXTJOIN( "", , data_scaledImpacts[[#This Row],[sector]:[impactType]] )</f>
        <v>SouthwestDustCanESM212010N/AAsthmaER</v>
      </c>
      <c r="C446" s="33" t="s">
        <v>85</v>
      </c>
      <c r="D446" s="33" t="s">
        <v>0</v>
      </c>
      <c r="E446" s="34">
        <v>1</v>
      </c>
      <c r="F446" s="34">
        <v>2010</v>
      </c>
      <c r="G446" s="34" t="s">
        <v>201</v>
      </c>
      <c r="H446" s="35" t="s">
        <v>192</v>
      </c>
      <c r="I446" s="43" t="s">
        <v>1166</v>
      </c>
      <c r="P446">
        <v>2.9903296349816215E-6</v>
      </c>
    </row>
    <row r="447" spans="1:16" hidden="1" x14ac:dyDescent="0.35">
      <c r="A447" s="3">
        <f xml:space="preserve"> ROW( data_scaledImpacts[[#This Row],[row_id]] ) - ROW( data_scaledImpacts[[#Headers],[row_id]] )</f>
        <v>446</v>
      </c>
      <c r="B447" s="41" t="str">
        <f xml:space="preserve"> _xlfn.TEXTJOIN( "", , data_scaledImpacts[[#This Row],[sector]:[impactType]] )</f>
        <v>SouthwestDustCCSM412010N/AAsthmaER</v>
      </c>
      <c r="C447" s="33" t="s">
        <v>85</v>
      </c>
      <c r="D447" s="33" t="s">
        <v>1</v>
      </c>
      <c r="E447" s="34">
        <v>1</v>
      </c>
      <c r="F447" s="34">
        <v>2010</v>
      </c>
      <c r="G447" s="34" t="s">
        <v>201</v>
      </c>
      <c r="H447" s="35" t="s">
        <v>192</v>
      </c>
      <c r="I447" s="43" t="s">
        <v>1167</v>
      </c>
      <c r="P447">
        <v>9.8727439721683776E-6</v>
      </c>
    </row>
    <row r="448" spans="1:16" hidden="1" x14ac:dyDescent="0.35">
      <c r="A448" s="3">
        <f xml:space="preserve"> ROW( data_scaledImpacts[[#This Row],[row_id]] ) - ROW( data_scaledImpacts[[#Headers],[row_id]] )</f>
        <v>447</v>
      </c>
      <c r="B448" s="41" t="str">
        <f xml:space="preserve"> _xlfn.TEXTJOIN( "", , data_scaledImpacts[[#This Row],[sector]:[impactType]] )</f>
        <v>SouthwestDustGISS-E2-R12010N/AAsthmaER</v>
      </c>
      <c r="C448" s="33" t="s">
        <v>85</v>
      </c>
      <c r="D448" s="33" t="s">
        <v>2</v>
      </c>
      <c r="E448" s="34">
        <v>1</v>
      </c>
      <c r="F448" s="34">
        <v>2010</v>
      </c>
      <c r="G448" s="34" t="s">
        <v>201</v>
      </c>
      <c r="H448" s="35" t="s">
        <v>192</v>
      </c>
      <c r="I448" s="43" t="s">
        <v>1168</v>
      </c>
      <c r="P448">
        <v>6.7124383142733923E-7</v>
      </c>
    </row>
    <row r="449" spans="1:16" hidden="1" x14ac:dyDescent="0.35">
      <c r="A449" s="3">
        <f xml:space="preserve"> ROW( data_scaledImpacts[[#This Row],[row_id]] ) - ROW( data_scaledImpacts[[#Headers],[row_id]] )</f>
        <v>448</v>
      </c>
      <c r="B449" s="41" t="str">
        <f xml:space="preserve"> _xlfn.TEXTJOIN( "", , data_scaledImpacts[[#This Row],[sector]:[impactType]] )</f>
        <v>SouthwestDustHadGEM2-ES12010N/AAsthmaER</v>
      </c>
      <c r="C449" s="33" t="s">
        <v>85</v>
      </c>
      <c r="D449" s="33" t="s">
        <v>3</v>
      </c>
      <c r="E449" s="34">
        <v>1</v>
      </c>
      <c r="F449" s="34">
        <v>2010</v>
      </c>
      <c r="G449" s="34" t="s">
        <v>201</v>
      </c>
      <c r="H449" s="35" t="s">
        <v>192</v>
      </c>
      <c r="I449" s="43" t="s">
        <v>1169</v>
      </c>
      <c r="P449">
        <v>-7.3731102516334923E-7</v>
      </c>
    </row>
    <row r="450" spans="1:16" hidden="1" x14ac:dyDescent="0.35">
      <c r="A450" s="3">
        <f xml:space="preserve"> ROW( data_scaledImpacts[[#This Row],[row_id]] ) - ROW( data_scaledImpacts[[#Headers],[row_id]] )</f>
        <v>449</v>
      </c>
      <c r="B450" s="41" t="str">
        <f xml:space="preserve"> _xlfn.TEXTJOIN( "", , data_scaledImpacts[[#This Row],[sector]:[impactType]] )</f>
        <v>SouthwestDustMIROC512010N/AAsthmaER</v>
      </c>
      <c r="C450" s="33" t="s">
        <v>85</v>
      </c>
      <c r="D450" s="33" t="s">
        <v>4</v>
      </c>
      <c r="E450" s="34">
        <v>1</v>
      </c>
      <c r="F450" s="34">
        <v>2010</v>
      </c>
      <c r="G450" s="34" t="s">
        <v>201</v>
      </c>
      <c r="H450" s="35" t="s">
        <v>192</v>
      </c>
      <c r="I450" s="43" t="s">
        <v>1170</v>
      </c>
      <c r="P450">
        <v>4.4393332865927899E-6</v>
      </c>
    </row>
    <row r="451" spans="1:16" hidden="1" x14ac:dyDescent="0.35">
      <c r="A451" s="3">
        <f xml:space="preserve"> ROW( data_scaledImpacts[[#This Row],[row_id]] ) - ROW( data_scaledImpacts[[#Headers],[row_id]] )</f>
        <v>450</v>
      </c>
      <c r="B451" s="41" t="str">
        <f xml:space="preserve"> _xlfn.TEXTJOIN( "", , data_scaledImpacts[[#This Row],[sector]:[impactType]] )</f>
        <v>SouthwestDustGFDL-CM312010N/AAsthmaER</v>
      </c>
      <c r="C451" s="33" t="s">
        <v>85</v>
      </c>
      <c r="D451" s="33" t="s">
        <v>5</v>
      </c>
      <c r="E451" s="34">
        <v>1</v>
      </c>
      <c r="F451" s="34">
        <v>2010</v>
      </c>
      <c r="G451" s="34" t="s">
        <v>201</v>
      </c>
      <c r="H451" s="35" t="s">
        <v>192</v>
      </c>
      <c r="I451" s="43" t="s">
        <v>1171</v>
      </c>
      <c r="P451">
        <v>9.393806600790164E-6</v>
      </c>
    </row>
    <row r="452" spans="1:16" hidden="1" x14ac:dyDescent="0.35">
      <c r="A452" s="3">
        <f xml:space="preserve"> ROW( data_scaledImpacts[[#This Row],[row_id]] ) - ROW( data_scaledImpacts[[#Headers],[row_id]] )</f>
        <v>451</v>
      </c>
      <c r="B452" s="41" t="str">
        <f xml:space="preserve"> _xlfn.TEXTJOIN( "", , data_scaledImpacts[[#This Row],[sector]:[impactType]] )</f>
        <v>SouthwestDustGCM Average12010N/AAsthmaER</v>
      </c>
      <c r="C452" s="33" t="s">
        <v>85</v>
      </c>
      <c r="D452" s="33" t="s">
        <v>15</v>
      </c>
      <c r="E452" s="34">
        <v>1</v>
      </c>
      <c r="F452" s="34">
        <v>2010</v>
      </c>
      <c r="G452" s="34" t="s">
        <v>201</v>
      </c>
      <c r="H452" s="35" t="s">
        <v>192</v>
      </c>
      <c r="I452" s="43" t="s">
        <v>1172</v>
      </c>
      <c r="P452">
        <v>4.4383577167994908E-6</v>
      </c>
    </row>
    <row r="453" spans="1:16" hidden="1" x14ac:dyDescent="0.35">
      <c r="A453" s="3">
        <f xml:space="preserve"> ROW( data_scaledImpacts[[#This Row],[row_id]] ) - ROW( data_scaledImpacts[[#Headers],[row_id]] )</f>
        <v>452</v>
      </c>
      <c r="B453" s="41" t="str">
        <f xml:space="preserve"> _xlfn.TEXTJOIN( "", , data_scaledImpacts[[#This Row],[sector]:[impactType]] )</f>
        <v>SouthwestDustCanESM222010N/AAsthmaER</v>
      </c>
      <c r="C453" s="33" t="s">
        <v>85</v>
      </c>
      <c r="D453" s="33" t="s">
        <v>0</v>
      </c>
      <c r="E453" s="34">
        <v>2</v>
      </c>
      <c r="F453" s="34">
        <v>2010</v>
      </c>
      <c r="G453" s="34" t="s">
        <v>201</v>
      </c>
      <c r="H453" s="35" t="s">
        <v>192</v>
      </c>
      <c r="I453" s="43" t="s">
        <v>1173</v>
      </c>
      <c r="P453">
        <v>8.5694982746273051E-6</v>
      </c>
    </row>
    <row r="454" spans="1:16" hidden="1" x14ac:dyDescent="0.35">
      <c r="A454" s="3">
        <f xml:space="preserve"> ROW( data_scaledImpacts[[#This Row],[row_id]] ) - ROW( data_scaledImpacts[[#Headers],[row_id]] )</f>
        <v>453</v>
      </c>
      <c r="B454" s="41" t="str">
        <f xml:space="preserve"> _xlfn.TEXTJOIN( "", , data_scaledImpacts[[#This Row],[sector]:[impactType]] )</f>
        <v>SouthwestDustCCSM422010N/AAsthmaER</v>
      </c>
      <c r="C454" s="33" t="s">
        <v>85</v>
      </c>
      <c r="D454" s="33" t="s">
        <v>1</v>
      </c>
      <c r="E454" s="34">
        <v>2</v>
      </c>
      <c r="F454" s="34">
        <v>2010</v>
      </c>
      <c r="G454" s="34" t="s">
        <v>201</v>
      </c>
      <c r="H454" s="35" t="s">
        <v>192</v>
      </c>
      <c r="I454" s="43" t="s">
        <v>1174</v>
      </c>
      <c r="P454">
        <v>1.4756593827769393E-5</v>
      </c>
    </row>
    <row r="455" spans="1:16" hidden="1" x14ac:dyDescent="0.35">
      <c r="A455" s="3">
        <f xml:space="preserve"> ROW( data_scaledImpacts[[#This Row],[row_id]] ) - ROW( data_scaledImpacts[[#Headers],[row_id]] )</f>
        <v>454</v>
      </c>
      <c r="B455" s="41" t="str">
        <f xml:space="preserve"> _xlfn.TEXTJOIN( "", , data_scaledImpacts[[#This Row],[sector]:[impactType]] )</f>
        <v>SouthwestDustGISS-E2-R22010N/AAsthmaER</v>
      </c>
      <c r="C455" s="33" t="s">
        <v>85</v>
      </c>
      <c r="D455" s="33" t="s">
        <v>2</v>
      </c>
      <c r="E455" s="34">
        <v>2</v>
      </c>
      <c r="F455" s="34">
        <v>2010</v>
      </c>
      <c r="G455" s="34" t="s">
        <v>201</v>
      </c>
      <c r="H455" s="35" t="s">
        <v>192</v>
      </c>
      <c r="I455" s="43" t="s">
        <v>1175</v>
      </c>
      <c r="P455">
        <v>5.6982830872439907E-6</v>
      </c>
    </row>
    <row r="456" spans="1:16" hidden="1" x14ac:dyDescent="0.35">
      <c r="A456" s="3">
        <f xml:space="preserve"> ROW( data_scaledImpacts[[#This Row],[row_id]] ) - ROW( data_scaledImpacts[[#Headers],[row_id]] )</f>
        <v>455</v>
      </c>
      <c r="B456" s="41" t="str">
        <f xml:space="preserve"> _xlfn.TEXTJOIN( "", , data_scaledImpacts[[#This Row],[sector]:[impactType]] )</f>
        <v>SouthwestDustHadGEM2-ES22010N/AAsthmaER</v>
      </c>
      <c r="C456" s="33" t="s">
        <v>85</v>
      </c>
      <c r="D456" s="33" t="s">
        <v>3</v>
      </c>
      <c r="E456" s="34">
        <v>2</v>
      </c>
      <c r="F456" s="34">
        <v>2010</v>
      </c>
      <c r="G456" s="34" t="s">
        <v>201</v>
      </c>
      <c r="H456" s="35" t="s">
        <v>192</v>
      </c>
      <c r="I456" s="43" t="s">
        <v>1176</v>
      </c>
      <c r="P456">
        <v>1.2437362722101335E-5</v>
      </c>
    </row>
    <row r="457" spans="1:16" hidden="1" x14ac:dyDescent="0.35">
      <c r="A457" s="3">
        <f xml:space="preserve"> ROW( data_scaledImpacts[[#This Row],[row_id]] ) - ROW( data_scaledImpacts[[#Headers],[row_id]] )</f>
        <v>456</v>
      </c>
      <c r="B457" s="41" t="str">
        <f xml:space="preserve"> _xlfn.TEXTJOIN( "", , data_scaledImpacts[[#This Row],[sector]:[impactType]] )</f>
        <v>SouthwestDustMIROC522010N/AAsthmaER</v>
      </c>
      <c r="C457" s="33" t="s">
        <v>85</v>
      </c>
      <c r="D457" s="33" t="s">
        <v>4</v>
      </c>
      <c r="E457" s="34">
        <v>2</v>
      </c>
      <c r="F457" s="34">
        <v>2010</v>
      </c>
      <c r="G457" s="34" t="s">
        <v>201</v>
      </c>
      <c r="H457" s="35" t="s">
        <v>192</v>
      </c>
      <c r="I457" s="43" t="s">
        <v>1177</v>
      </c>
      <c r="P457">
        <v>9.5888321321912038E-6</v>
      </c>
    </row>
    <row r="458" spans="1:16" hidden="1" x14ac:dyDescent="0.35">
      <c r="A458" s="3">
        <f xml:space="preserve"> ROW( data_scaledImpacts[[#This Row],[row_id]] ) - ROW( data_scaledImpacts[[#Headers],[row_id]] )</f>
        <v>457</v>
      </c>
      <c r="B458" s="41" t="str">
        <f xml:space="preserve"> _xlfn.TEXTJOIN( "", , data_scaledImpacts[[#This Row],[sector]:[impactType]] )</f>
        <v>SouthwestDustGFDL-CM322010N/AAsthmaER</v>
      </c>
      <c r="C458" s="33" t="s">
        <v>85</v>
      </c>
      <c r="D458" s="33" t="s">
        <v>5</v>
      </c>
      <c r="E458" s="34">
        <v>2</v>
      </c>
      <c r="F458" s="34">
        <v>2010</v>
      </c>
      <c r="G458" s="34" t="s">
        <v>201</v>
      </c>
      <c r="H458" s="35" t="s">
        <v>192</v>
      </c>
      <c r="I458" s="43" t="s">
        <v>1178</v>
      </c>
      <c r="P458">
        <v>1.3837559208695893E-5</v>
      </c>
    </row>
    <row r="459" spans="1:16" hidden="1" x14ac:dyDescent="0.35">
      <c r="A459" s="3">
        <f xml:space="preserve"> ROW( data_scaledImpacts[[#This Row],[row_id]] ) - ROW( data_scaledImpacts[[#Headers],[row_id]] )</f>
        <v>458</v>
      </c>
      <c r="B459" s="41" t="str">
        <f xml:space="preserve"> _xlfn.TEXTJOIN( "", , data_scaledImpacts[[#This Row],[sector]:[impactType]] )</f>
        <v>SouthwestDustGCM Average22010N/AAsthmaER</v>
      </c>
      <c r="C459" s="33" t="s">
        <v>85</v>
      </c>
      <c r="D459" s="33" t="s">
        <v>15</v>
      </c>
      <c r="E459" s="34">
        <v>2</v>
      </c>
      <c r="F459" s="34">
        <v>2010</v>
      </c>
      <c r="G459" s="34" t="s">
        <v>201</v>
      </c>
      <c r="H459" s="35" t="s">
        <v>192</v>
      </c>
      <c r="I459" s="43" t="s">
        <v>1179</v>
      </c>
      <c r="P459">
        <v>1.0814688208771521E-5</v>
      </c>
    </row>
    <row r="460" spans="1:16" hidden="1" x14ac:dyDescent="0.35">
      <c r="A460" s="3">
        <f xml:space="preserve"> ROW( data_scaledImpacts[[#This Row],[row_id]] ) - ROW( data_scaledImpacts[[#Headers],[row_id]] )</f>
        <v>459</v>
      </c>
      <c r="B460" s="41" t="str">
        <f xml:space="preserve"> _xlfn.TEXTJOIN( "", , data_scaledImpacts[[#This Row],[sector]:[impactType]] )</f>
        <v>SouthwestDustCanESM232010N/AAsthmaER</v>
      </c>
      <c r="C460" s="33" t="s">
        <v>85</v>
      </c>
      <c r="D460" s="33" t="s">
        <v>0</v>
      </c>
      <c r="E460" s="34">
        <v>3</v>
      </c>
      <c r="F460" s="34">
        <v>2010</v>
      </c>
      <c r="G460" s="34" t="s">
        <v>201</v>
      </c>
      <c r="H460" s="35" t="s">
        <v>192</v>
      </c>
      <c r="I460" s="43" t="s">
        <v>1180</v>
      </c>
      <c r="P460">
        <v>1.2333985688945342E-5</v>
      </c>
    </row>
    <row r="461" spans="1:16" hidden="1" x14ac:dyDescent="0.35">
      <c r="A461" s="3">
        <f xml:space="preserve"> ROW( data_scaledImpacts[[#This Row],[row_id]] ) - ROW( data_scaledImpacts[[#Headers],[row_id]] )</f>
        <v>460</v>
      </c>
      <c r="B461" s="41" t="str">
        <f xml:space="preserve"> _xlfn.TEXTJOIN( "", , data_scaledImpacts[[#This Row],[sector]:[impactType]] )</f>
        <v>SouthwestDustCCSM432010N/AAsthmaER</v>
      </c>
      <c r="C461" s="33" t="s">
        <v>85</v>
      </c>
      <c r="D461" s="33" t="s">
        <v>1</v>
      </c>
      <c r="E461" s="34">
        <v>3</v>
      </c>
      <c r="F461" s="34">
        <v>2010</v>
      </c>
      <c r="G461" s="34" t="s">
        <v>201</v>
      </c>
      <c r="H461" s="35" t="s">
        <v>192</v>
      </c>
      <c r="I461" s="43" t="s">
        <v>1181</v>
      </c>
      <c r="P461">
        <v>1.594779918047028E-5</v>
      </c>
    </row>
    <row r="462" spans="1:16" hidden="1" x14ac:dyDescent="0.35">
      <c r="A462" s="3">
        <f xml:space="preserve"> ROW( data_scaledImpacts[[#This Row],[row_id]] ) - ROW( data_scaledImpacts[[#Headers],[row_id]] )</f>
        <v>461</v>
      </c>
      <c r="B462" s="41" t="str">
        <f xml:space="preserve"> _xlfn.TEXTJOIN( "", , data_scaledImpacts[[#This Row],[sector]:[impactType]] )</f>
        <v>SouthwestDustGISS-E2-R32010N/AAsthmaER</v>
      </c>
      <c r="C462" s="33" t="s">
        <v>85</v>
      </c>
      <c r="D462" s="33" t="s">
        <v>2</v>
      </c>
      <c r="E462" s="34">
        <v>3</v>
      </c>
      <c r="F462" s="34">
        <v>2010</v>
      </c>
      <c r="G462" s="34" t="s">
        <v>201</v>
      </c>
      <c r="H462" s="35" t="s">
        <v>192</v>
      </c>
      <c r="I462" s="43" t="s">
        <v>1182</v>
      </c>
      <c r="P462">
        <v>1.6703387845237476E-5</v>
      </c>
    </row>
    <row r="463" spans="1:16" hidden="1" x14ac:dyDescent="0.35">
      <c r="A463" s="3">
        <f xml:space="preserve"> ROW( data_scaledImpacts[[#This Row],[row_id]] ) - ROW( data_scaledImpacts[[#Headers],[row_id]] )</f>
        <v>462</v>
      </c>
      <c r="B463" s="41" t="str">
        <f xml:space="preserve"> _xlfn.TEXTJOIN( "", , data_scaledImpacts[[#This Row],[sector]:[impactType]] )</f>
        <v>SouthwestDustHadGEM2-ES32010N/AAsthmaER</v>
      </c>
      <c r="C463" s="33" t="s">
        <v>85</v>
      </c>
      <c r="D463" s="33" t="s">
        <v>3</v>
      </c>
      <c r="E463" s="34">
        <v>3</v>
      </c>
      <c r="F463" s="34">
        <v>2010</v>
      </c>
      <c r="G463" s="34" t="s">
        <v>201</v>
      </c>
      <c r="H463" s="35" t="s">
        <v>192</v>
      </c>
      <c r="I463" s="43" t="s">
        <v>1183</v>
      </c>
      <c r="P463">
        <v>1.6216814143180354E-5</v>
      </c>
    </row>
    <row r="464" spans="1:16" hidden="1" x14ac:dyDescent="0.35">
      <c r="A464" s="3">
        <f xml:space="preserve"> ROW( data_scaledImpacts[[#This Row],[row_id]] ) - ROW( data_scaledImpacts[[#Headers],[row_id]] )</f>
        <v>463</v>
      </c>
      <c r="B464" s="41" t="str">
        <f xml:space="preserve"> _xlfn.TEXTJOIN( "", , data_scaledImpacts[[#This Row],[sector]:[impactType]] )</f>
        <v>SouthwestDustMIROC532010N/AAsthmaER</v>
      </c>
      <c r="C464" s="33" t="s">
        <v>85</v>
      </c>
      <c r="D464" s="33" t="s">
        <v>4</v>
      </c>
      <c r="E464" s="34">
        <v>3</v>
      </c>
      <c r="F464" s="34">
        <v>2010</v>
      </c>
      <c r="G464" s="34" t="s">
        <v>201</v>
      </c>
      <c r="H464" s="35" t="s">
        <v>192</v>
      </c>
      <c r="I464" s="43" t="s">
        <v>1184</v>
      </c>
      <c r="P464">
        <v>1.8911038296209881E-5</v>
      </c>
    </row>
    <row r="465" spans="1:16" hidden="1" x14ac:dyDescent="0.35">
      <c r="A465" s="3">
        <f xml:space="preserve"> ROW( data_scaledImpacts[[#This Row],[row_id]] ) - ROW( data_scaledImpacts[[#Headers],[row_id]] )</f>
        <v>464</v>
      </c>
      <c r="B465" s="41" t="str">
        <f xml:space="preserve"> _xlfn.TEXTJOIN( "", , data_scaledImpacts[[#This Row],[sector]:[impactType]] )</f>
        <v>SouthwestDustGFDL-CM332010N/AAsthmaER</v>
      </c>
      <c r="C465" s="33" t="s">
        <v>85</v>
      </c>
      <c r="D465" s="33" t="s">
        <v>5</v>
      </c>
      <c r="E465" s="34">
        <v>3</v>
      </c>
      <c r="F465" s="34">
        <v>2010</v>
      </c>
      <c r="G465" s="34" t="s">
        <v>201</v>
      </c>
      <c r="H465" s="35" t="s">
        <v>192</v>
      </c>
      <c r="I465" s="43" t="s">
        <v>1185</v>
      </c>
      <c r="P465">
        <v>2.0957200831617229E-5</v>
      </c>
    </row>
    <row r="466" spans="1:16" hidden="1" x14ac:dyDescent="0.35">
      <c r="A466" s="3">
        <f xml:space="preserve"> ROW( data_scaledImpacts[[#This Row],[row_id]] ) - ROW( data_scaledImpacts[[#Headers],[row_id]] )</f>
        <v>465</v>
      </c>
      <c r="B466" s="41" t="str">
        <f xml:space="preserve"> _xlfn.TEXTJOIN( "", , data_scaledImpacts[[#This Row],[sector]:[impactType]] )</f>
        <v>SouthwestDustGCM Average32010N/AAsthmaER</v>
      </c>
      <c r="C466" s="33" t="s">
        <v>85</v>
      </c>
      <c r="D466" s="33" t="s">
        <v>15</v>
      </c>
      <c r="E466" s="34">
        <v>3</v>
      </c>
      <c r="F466" s="34">
        <v>2010</v>
      </c>
      <c r="G466" s="34" t="s">
        <v>201</v>
      </c>
      <c r="H466" s="35" t="s">
        <v>192</v>
      </c>
      <c r="I466" s="43" t="s">
        <v>1186</v>
      </c>
      <c r="P466">
        <v>1.6845037664276763E-5</v>
      </c>
    </row>
    <row r="467" spans="1:16" hidden="1" x14ac:dyDescent="0.35">
      <c r="A467" s="3">
        <f xml:space="preserve"> ROW( data_scaledImpacts[[#This Row],[row_id]] ) - ROW( data_scaledImpacts[[#Headers],[row_id]] )</f>
        <v>466</v>
      </c>
      <c r="B467" s="41" t="str">
        <f xml:space="preserve"> _xlfn.TEXTJOIN( "", , data_scaledImpacts[[#This Row],[sector]:[impactType]] )</f>
        <v>SouthwestDustCanESM242010N/AAsthmaER</v>
      </c>
      <c r="C467" s="33" t="s">
        <v>85</v>
      </c>
      <c r="D467" s="33" t="s">
        <v>0</v>
      </c>
      <c r="E467" s="34">
        <v>4</v>
      </c>
      <c r="F467" s="34">
        <v>2010</v>
      </c>
      <c r="G467" s="34" t="s">
        <v>201</v>
      </c>
      <c r="H467" s="35" t="s">
        <v>192</v>
      </c>
      <c r="I467" s="43" t="s">
        <v>1187</v>
      </c>
      <c r="P467">
        <v>1.1940215968438265E-5</v>
      </c>
    </row>
    <row r="468" spans="1:16" hidden="1" x14ac:dyDescent="0.35">
      <c r="A468" s="3">
        <f xml:space="preserve"> ROW( data_scaledImpacts[[#This Row],[row_id]] ) - ROW( data_scaledImpacts[[#Headers],[row_id]] )</f>
        <v>467</v>
      </c>
      <c r="B468" s="41" t="str">
        <f xml:space="preserve"> _xlfn.TEXTJOIN( "", , data_scaledImpacts[[#This Row],[sector]:[impactType]] )</f>
        <v>SouthwestDustCCSM442010N/AAsthmaER</v>
      </c>
      <c r="C468" s="33" t="s">
        <v>85</v>
      </c>
      <c r="D468" s="33" t="s">
        <v>1</v>
      </c>
      <c r="E468" s="34">
        <v>4</v>
      </c>
      <c r="F468" s="34">
        <v>2010</v>
      </c>
      <c r="G468" s="34" t="s">
        <v>201</v>
      </c>
      <c r="H468" s="35" t="s">
        <v>192</v>
      </c>
      <c r="I468" s="43" t="s">
        <v>1188</v>
      </c>
      <c r="P468">
        <v>2.1002186423918996E-5</v>
      </c>
    </row>
    <row r="469" spans="1:16" hidden="1" x14ac:dyDescent="0.35">
      <c r="A469" s="3">
        <f xml:space="preserve"> ROW( data_scaledImpacts[[#This Row],[row_id]] ) - ROW( data_scaledImpacts[[#Headers],[row_id]] )</f>
        <v>468</v>
      </c>
      <c r="B469" s="41" t="str">
        <f xml:space="preserve"> _xlfn.TEXTJOIN( "", , data_scaledImpacts[[#This Row],[sector]:[impactType]] )</f>
        <v>SouthwestDustGISS-E2-R42010N/AAsthmaER</v>
      </c>
      <c r="C469" s="33" t="s">
        <v>85</v>
      </c>
      <c r="D469" s="33" t="s">
        <v>2</v>
      </c>
      <c r="E469" s="34">
        <v>4</v>
      </c>
      <c r="F469" s="34">
        <v>2010</v>
      </c>
      <c r="G469" s="34" t="s">
        <v>201</v>
      </c>
      <c r="H469" s="35" t="s">
        <v>192</v>
      </c>
      <c r="I469" s="43" t="s">
        <v>1189</v>
      </c>
    </row>
    <row r="470" spans="1:16" hidden="1" x14ac:dyDescent="0.35">
      <c r="A470" s="3">
        <f xml:space="preserve"> ROW( data_scaledImpacts[[#This Row],[row_id]] ) - ROW( data_scaledImpacts[[#Headers],[row_id]] )</f>
        <v>469</v>
      </c>
      <c r="B470" s="41" t="str">
        <f xml:space="preserve"> _xlfn.TEXTJOIN( "", , data_scaledImpacts[[#This Row],[sector]:[impactType]] )</f>
        <v>SouthwestDustHadGEM2-ES42010N/AAsthmaER</v>
      </c>
      <c r="C470" s="33" t="s">
        <v>85</v>
      </c>
      <c r="D470" s="33" t="s">
        <v>3</v>
      </c>
      <c r="E470" s="34">
        <v>4</v>
      </c>
      <c r="F470" s="34">
        <v>2010</v>
      </c>
      <c r="G470" s="34" t="s">
        <v>201</v>
      </c>
      <c r="H470" s="35" t="s">
        <v>192</v>
      </c>
      <c r="I470" s="43" t="s">
        <v>1190</v>
      </c>
      <c r="P470">
        <v>1.6912301103647305E-5</v>
      </c>
    </row>
    <row r="471" spans="1:16" hidden="1" x14ac:dyDescent="0.35">
      <c r="A471" s="3">
        <f xml:space="preserve"> ROW( data_scaledImpacts[[#This Row],[row_id]] ) - ROW( data_scaledImpacts[[#Headers],[row_id]] )</f>
        <v>470</v>
      </c>
      <c r="B471" s="41" t="str">
        <f xml:space="preserve"> _xlfn.TEXTJOIN( "", , data_scaledImpacts[[#This Row],[sector]:[impactType]] )</f>
        <v>SouthwestDustMIROC542010N/AAsthmaER</v>
      </c>
      <c r="C471" s="33" t="s">
        <v>85</v>
      </c>
      <c r="D471" s="33" t="s">
        <v>4</v>
      </c>
      <c r="E471" s="34">
        <v>4</v>
      </c>
      <c r="F471" s="34">
        <v>2010</v>
      </c>
      <c r="G471" s="34" t="s">
        <v>201</v>
      </c>
      <c r="H471" s="35" t="s">
        <v>192</v>
      </c>
      <c r="I471" s="43" t="s">
        <v>1191</v>
      </c>
      <c r="P471">
        <v>2.3700134161944416E-5</v>
      </c>
    </row>
    <row r="472" spans="1:16" hidden="1" x14ac:dyDescent="0.35">
      <c r="A472" s="3">
        <f xml:space="preserve"> ROW( data_scaledImpacts[[#This Row],[row_id]] ) - ROW( data_scaledImpacts[[#Headers],[row_id]] )</f>
        <v>471</v>
      </c>
      <c r="B472" s="41" t="str">
        <f xml:space="preserve"> _xlfn.TEXTJOIN( "", , data_scaledImpacts[[#This Row],[sector]:[impactType]] )</f>
        <v>SouthwestDustGFDL-CM342010N/AAsthmaER</v>
      </c>
      <c r="C472" s="33" t="s">
        <v>85</v>
      </c>
      <c r="D472" s="33" t="s">
        <v>5</v>
      </c>
      <c r="E472" s="34">
        <v>4</v>
      </c>
      <c r="F472" s="34">
        <v>2010</v>
      </c>
      <c r="G472" s="34" t="s">
        <v>201</v>
      </c>
      <c r="H472" s="35" t="s">
        <v>192</v>
      </c>
      <c r="I472" s="43" t="s">
        <v>1192</v>
      </c>
      <c r="P472">
        <v>2.8719293037614658E-5</v>
      </c>
    </row>
    <row r="473" spans="1:16" hidden="1" x14ac:dyDescent="0.35">
      <c r="A473" s="3">
        <f xml:space="preserve"> ROW( data_scaledImpacts[[#This Row],[row_id]] ) - ROW( data_scaledImpacts[[#Headers],[row_id]] )</f>
        <v>472</v>
      </c>
      <c r="B473" s="41" t="str">
        <f xml:space="preserve"> _xlfn.TEXTJOIN( "", , data_scaledImpacts[[#This Row],[sector]:[impactType]] )</f>
        <v>SouthwestDustGCM Average42010N/AAsthmaER</v>
      </c>
      <c r="C473" s="33" t="s">
        <v>85</v>
      </c>
      <c r="D473" s="33" t="s">
        <v>15</v>
      </c>
      <c r="E473" s="34">
        <v>4</v>
      </c>
      <c r="F473" s="34">
        <v>2010</v>
      </c>
      <c r="G473" s="34" t="s">
        <v>201</v>
      </c>
      <c r="H473" s="35" t="s">
        <v>192</v>
      </c>
      <c r="I473" s="43" t="s">
        <v>1193</v>
      </c>
      <c r="P473">
        <v>2.0454826139112728E-5</v>
      </c>
    </row>
    <row r="474" spans="1:16" hidden="1" x14ac:dyDescent="0.35">
      <c r="A474" s="3">
        <f xml:space="preserve"> ROW( data_scaledImpacts[[#This Row],[row_id]] ) - ROW( data_scaledImpacts[[#Headers],[row_id]] )</f>
        <v>473</v>
      </c>
      <c r="B474" s="41" t="str">
        <f xml:space="preserve"> _xlfn.TEXTJOIN( "", , data_scaledImpacts[[#This Row],[sector]:[impactType]] )</f>
        <v>SouthwestDustCanESM252010N/AAsthmaER</v>
      </c>
      <c r="C474" s="33" t="s">
        <v>85</v>
      </c>
      <c r="D474" s="33" t="s">
        <v>0</v>
      </c>
      <c r="E474" s="34">
        <v>5</v>
      </c>
      <c r="F474" s="34">
        <v>2010</v>
      </c>
      <c r="G474" s="34" t="s">
        <v>201</v>
      </c>
      <c r="H474" s="35" t="s">
        <v>192</v>
      </c>
      <c r="I474" s="43" t="s">
        <v>1194</v>
      </c>
      <c r="P474">
        <v>1.5142871978406964E-5</v>
      </c>
    </row>
    <row r="475" spans="1:16" hidden="1" x14ac:dyDescent="0.35">
      <c r="A475" s="3">
        <f xml:space="preserve"> ROW( data_scaledImpacts[[#This Row],[row_id]] ) - ROW( data_scaledImpacts[[#Headers],[row_id]] )</f>
        <v>474</v>
      </c>
      <c r="B475" s="41" t="str">
        <f xml:space="preserve"> _xlfn.TEXTJOIN( "", , data_scaledImpacts[[#This Row],[sector]:[impactType]] )</f>
        <v>SouthwestDustCCSM452010N/AAsthmaER</v>
      </c>
      <c r="C475" s="33" t="s">
        <v>85</v>
      </c>
      <c r="D475" s="33" t="s">
        <v>1</v>
      </c>
      <c r="E475" s="34">
        <v>5</v>
      </c>
      <c r="F475" s="34">
        <v>2010</v>
      </c>
      <c r="G475" s="34" t="s">
        <v>201</v>
      </c>
      <c r="H475" s="35" t="s">
        <v>192</v>
      </c>
      <c r="I475" s="43" t="s">
        <v>1195</v>
      </c>
      <c r="P475">
        <v>3.3695639517232351E-5</v>
      </c>
    </row>
    <row r="476" spans="1:16" hidden="1" x14ac:dyDescent="0.35">
      <c r="A476" s="3">
        <f xml:space="preserve"> ROW( data_scaledImpacts[[#This Row],[row_id]] ) - ROW( data_scaledImpacts[[#Headers],[row_id]] )</f>
        <v>475</v>
      </c>
      <c r="B476" s="41" t="str">
        <f xml:space="preserve"> _xlfn.TEXTJOIN( "", , data_scaledImpacts[[#This Row],[sector]:[impactType]] )</f>
        <v>SouthwestDustGISS-E2-R52010N/AAsthmaER</v>
      </c>
      <c r="C476" s="33" t="s">
        <v>85</v>
      </c>
      <c r="D476" s="33" t="s">
        <v>2</v>
      </c>
      <c r="E476" s="34">
        <v>5</v>
      </c>
      <c r="F476" s="34">
        <v>2010</v>
      </c>
      <c r="G476" s="34" t="s">
        <v>201</v>
      </c>
      <c r="H476" s="35" t="s">
        <v>192</v>
      </c>
      <c r="I476" s="43" t="s">
        <v>1196</v>
      </c>
    </row>
    <row r="477" spans="1:16" hidden="1" x14ac:dyDescent="0.35">
      <c r="A477" s="3">
        <f xml:space="preserve"> ROW( data_scaledImpacts[[#This Row],[row_id]] ) - ROW( data_scaledImpacts[[#Headers],[row_id]] )</f>
        <v>476</v>
      </c>
      <c r="B477" s="41" t="str">
        <f xml:space="preserve"> _xlfn.TEXTJOIN( "", , data_scaledImpacts[[#This Row],[sector]:[impactType]] )</f>
        <v>SouthwestDustHadGEM2-ES52010N/AAsthmaER</v>
      </c>
      <c r="C477" s="33" t="s">
        <v>85</v>
      </c>
      <c r="D477" s="33" t="s">
        <v>3</v>
      </c>
      <c r="E477" s="34">
        <v>5</v>
      </c>
      <c r="F477" s="34">
        <v>2010</v>
      </c>
      <c r="G477" s="34" t="s">
        <v>201</v>
      </c>
      <c r="H477" s="35" t="s">
        <v>192</v>
      </c>
      <c r="I477" s="43" t="s">
        <v>1197</v>
      </c>
      <c r="P477">
        <v>2.7127055297817357E-5</v>
      </c>
    </row>
    <row r="478" spans="1:16" hidden="1" x14ac:dyDescent="0.35">
      <c r="A478" s="3">
        <f xml:space="preserve"> ROW( data_scaledImpacts[[#This Row],[row_id]] ) - ROW( data_scaledImpacts[[#Headers],[row_id]] )</f>
        <v>477</v>
      </c>
      <c r="B478" s="41" t="str">
        <f xml:space="preserve"> _xlfn.TEXTJOIN( "", , data_scaledImpacts[[#This Row],[sector]:[impactType]] )</f>
        <v>SouthwestDustMIROC552010N/AAsthmaER</v>
      </c>
      <c r="C478" s="33" t="s">
        <v>85</v>
      </c>
      <c r="D478" s="33" t="s">
        <v>4</v>
      </c>
      <c r="E478" s="34">
        <v>5</v>
      </c>
      <c r="F478" s="34">
        <v>2010</v>
      </c>
      <c r="G478" s="34" t="s">
        <v>201</v>
      </c>
      <c r="H478" s="35" t="s">
        <v>192</v>
      </c>
      <c r="I478" s="43" t="s">
        <v>1198</v>
      </c>
      <c r="P478">
        <v>3.0303252639317758E-5</v>
      </c>
    </row>
    <row r="479" spans="1:16" hidden="1" x14ac:dyDescent="0.35">
      <c r="A479" s="3">
        <f xml:space="preserve"> ROW( data_scaledImpacts[[#This Row],[row_id]] ) - ROW( data_scaledImpacts[[#Headers],[row_id]] )</f>
        <v>478</v>
      </c>
      <c r="B479" s="41" t="str">
        <f xml:space="preserve"> _xlfn.TEXTJOIN( "", , data_scaledImpacts[[#This Row],[sector]:[impactType]] )</f>
        <v>SouthwestDustGFDL-CM352010N/AAsthmaER</v>
      </c>
      <c r="C479" s="33" t="s">
        <v>85</v>
      </c>
      <c r="D479" s="33" t="s">
        <v>5</v>
      </c>
      <c r="E479" s="34">
        <v>5</v>
      </c>
      <c r="F479" s="34">
        <v>2010</v>
      </c>
      <c r="G479" s="34" t="s">
        <v>201</v>
      </c>
      <c r="H479" s="35" t="s">
        <v>192</v>
      </c>
      <c r="I479" s="43" t="s">
        <v>1199</v>
      </c>
      <c r="P479">
        <v>3.6416141318279024E-5</v>
      </c>
    </row>
    <row r="480" spans="1:16" hidden="1" x14ac:dyDescent="0.35">
      <c r="A480" s="3">
        <f xml:space="preserve"> ROW( data_scaledImpacts[[#This Row],[row_id]] ) - ROW( data_scaledImpacts[[#Headers],[row_id]] )</f>
        <v>479</v>
      </c>
      <c r="B480" s="41" t="str">
        <f xml:space="preserve"> _xlfn.TEXTJOIN( "", , data_scaledImpacts[[#This Row],[sector]:[impactType]] )</f>
        <v>SouthwestDustGCM Average52010N/AAsthmaER</v>
      </c>
      <c r="C480" s="33" t="s">
        <v>85</v>
      </c>
      <c r="D480" s="33" t="s">
        <v>15</v>
      </c>
      <c r="E480" s="34">
        <v>5</v>
      </c>
      <c r="F480" s="34">
        <v>2010</v>
      </c>
      <c r="G480" s="34" t="s">
        <v>201</v>
      </c>
      <c r="H480" s="35" t="s">
        <v>192</v>
      </c>
      <c r="I480" s="43" t="s">
        <v>1200</v>
      </c>
      <c r="P480">
        <v>2.8536992150210695E-5</v>
      </c>
    </row>
    <row r="481" spans="1:16" hidden="1" x14ac:dyDescent="0.35">
      <c r="A481" s="3">
        <f xml:space="preserve"> ROW( data_scaledImpacts[[#This Row],[row_id]] ) - ROW( data_scaledImpacts[[#Headers],[row_id]] )</f>
        <v>480</v>
      </c>
      <c r="B481" s="41" t="str">
        <f xml:space="preserve"> _xlfn.TEXTJOIN( "", , data_scaledImpacts[[#This Row],[sector]:[impactType]] )</f>
        <v>SouthwestDustCanESM262010N/AAsthmaER</v>
      </c>
      <c r="C481" s="33" t="s">
        <v>85</v>
      </c>
      <c r="D481" s="33" t="s">
        <v>0</v>
      </c>
      <c r="E481" s="34">
        <v>6</v>
      </c>
      <c r="F481" s="34">
        <v>2010</v>
      </c>
      <c r="G481" s="34" t="s">
        <v>201</v>
      </c>
      <c r="H481" s="35" t="s">
        <v>192</v>
      </c>
      <c r="I481" s="43" t="s">
        <v>1201</v>
      </c>
      <c r="P481">
        <v>1.9280561838803063E-5</v>
      </c>
    </row>
    <row r="482" spans="1:16" hidden="1" x14ac:dyDescent="0.35">
      <c r="A482" s="3">
        <f xml:space="preserve"> ROW( data_scaledImpacts[[#This Row],[row_id]] ) - ROW( data_scaledImpacts[[#Headers],[row_id]] )</f>
        <v>481</v>
      </c>
      <c r="B482" s="41" t="str">
        <f xml:space="preserve"> _xlfn.TEXTJOIN( "", , data_scaledImpacts[[#This Row],[sector]:[impactType]] )</f>
        <v>SouthwestDustCCSM462010N/AAsthmaER</v>
      </c>
      <c r="C482" s="33" t="s">
        <v>85</v>
      </c>
      <c r="D482" s="33" t="s">
        <v>1</v>
      </c>
      <c r="E482" s="34">
        <v>6</v>
      </c>
      <c r="F482" s="34">
        <v>2010</v>
      </c>
      <c r="G482" s="34" t="s">
        <v>201</v>
      </c>
      <c r="H482" s="35" t="s">
        <v>192</v>
      </c>
      <c r="I482" s="43" t="s">
        <v>1202</v>
      </c>
    </row>
    <row r="483" spans="1:16" hidden="1" x14ac:dyDescent="0.35">
      <c r="A483" s="3">
        <f xml:space="preserve"> ROW( data_scaledImpacts[[#This Row],[row_id]] ) - ROW( data_scaledImpacts[[#Headers],[row_id]] )</f>
        <v>482</v>
      </c>
      <c r="B483" s="41" t="str">
        <f xml:space="preserve"> _xlfn.TEXTJOIN( "", , data_scaledImpacts[[#This Row],[sector]:[impactType]] )</f>
        <v>SouthwestDustGISS-E2-R62010N/AAsthmaER</v>
      </c>
      <c r="C483" s="33" t="s">
        <v>85</v>
      </c>
      <c r="D483" s="33" t="s">
        <v>2</v>
      </c>
      <c r="E483" s="34">
        <v>6</v>
      </c>
      <c r="F483" s="34">
        <v>2010</v>
      </c>
      <c r="G483" s="34" t="s">
        <v>201</v>
      </c>
      <c r="H483" s="35" t="s">
        <v>192</v>
      </c>
      <c r="I483" s="43" t="s">
        <v>1203</v>
      </c>
    </row>
    <row r="484" spans="1:16" hidden="1" x14ac:dyDescent="0.35">
      <c r="A484" s="3">
        <f xml:space="preserve"> ROW( data_scaledImpacts[[#This Row],[row_id]] ) - ROW( data_scaledImpacts[[#Headers],[row_id]] )</f>
        <v>483</v>
      </c>
      <c r="B484" s="41" t="str">
        <f xml:space="preserve"> _xlfn.TEXTJOIN( "", , data_scaledImpacts[[#This Row],[sector]:[impactType]] )</f>
        <v>SouthwestDustHadGEM2-ES62010N/AAsthmaER</v>
      </c>
      <c r="C484" s="33" t="s">
        <v>85</v>
      </c>
      <c r="D484" s="33" t="s">
        <v>3</v>
      </c>
      <c r="E484" s="34">
        <v>6</v>
      </c>
      <c r="F484" s="34">
        <v>2010</v>
      </c>
      <c r="G484" s="34" t="s">
        <v>201</v>
      </c>
      <c r="H484" s="35" t="s">
        <v>192</v>
      </c>
      <c r="I484" s="43" t="s">
        <v>1204</v>
      </c>
      <c r="P484">
        <v>2.5211206114115406E-5</v>
      </c>
    </row>
    <row r="485" spans="1:16" hidden="1" x14ac:dyDescent="0.35">
      <c r="A485" s="3">
        <f xml:space="preserve"> ROW( data_scaledImpacts[[#This Row],[row_id]] ) - ROW( data_scaledImpacts[[#Headers],[row_id]] )</f>
        <v>484</v>
      </c>
      <c r="B485" s="41" t="str">
        <f xml:space="preserve"> _xlfn.TEXTJOIN( "", , data_scaledImpacts[[#This Row],[sector]:[impactType]] )</f>
        <v>SouthwestDustMIROC562010N/AAsthmaER</v>
      </c>
      <c r="C485" s="33" t="s">
        <v>85</v>
      </c>
      <c r="D485" s="33" t="s">
        <v>4</v>
      </c>
      <c r="E485" s="34">
        <v>6</v>
      </c>
      <c r="F485" s="34">
        <v>2010</v>
      </c>
      <c r="G485" s="34" t="s">
        <v>201</v>
      </c>
      <c r="H485" s="35" t="s">
        <v>192</v>
      </c>
      <c r="I485" s="43" t="s">
        <v>1205</v>
      </c>
    </row>
    <row r="486" spans="1:16" hidden="1" x14ac:dyDescent="0.35">
      <c r="A486" s="3">
        <f xml:space="preserve"> ROW( data_scaledImpacts[[#This Row],[row_id]] ) - ROW( data_scaledImpacts[[#Headers],[row_id]] )</f>
        <v>485</v>
      </c>
      <c r="B486" s="41" t="str">
        <f xml:space="preserve"> _xlfn.TEXTJOIN( "", , data_scaledImpacts[[#This Row],[sector]:[impactType]] )</f>
        <v>SouthwestDustGFDL-CM362010N/AAsthmaER</v>
      </c>
      <c r="C486" s="33" t="s">
        <v>85</v>
      </c>
      <c r="D486" s="33" t="s">
        <v>5</v>
      </c>
      <c r="E486" s="34">
        <v>6</v>
      </c>
      <c r="F486" s="34">
        <v>2010</v>
      </c>
      <c r="G486" s="34" t="s">
        <v>201</v>
      </c>
      <c r="H486" s="35" t="s">
        <v>192</v>
      </c>
      <c r="I486" s="43" t="s">
        <v>1206</v>
      </c>
      <c r="P486">
        <v>4.1867446766859345E-5</v>
      </c>
    </row>
    <row r="487" spans="1:16" hidden="1" x14ac:dyDescent="0.35">
      <c r="A487" s="3">
        <f xml:space="preserve"> ROW( data_scaledImpacts[[#This Row],[row_id]] ) - ROW( data_scaledImpacts[[#Headers],[row_id]] )</f>
        <v>486</v>
      </c>
      <c r="B487" s="41" t="str">
        <f xml:space="preserve"> _xlfn.TEXTJOIN( "", , data_scaledImpacts[[#This Row],[sector]:[impactType]] )</f>
        <v>SouthwestDustGCM Average62010N/AAsthmaER</v>
      </c>
      <c r="C487" s="33" t="s">
        <v>85</v>
      </c>
      <c r="D487" s="33" t="s">
        <v>15</v>
      </c>
      <c r="E487" s="34">
        <v>6</v>
      </c>
      <c r="F487" s="34">
        <v>2010</v>
      </c>
      <c r="G487" s="34" t="s">
        <v>201</v>
      </c>
      <c r="H487" s="35" t="s">
        <v>192</v>
      </c>
      <c r="I487" s="43" t="s">
        <v>1207</v>
      </c>
      <c r="P487">
        <v>2.8786404906592605E-5</v>
      </c>
    </row>
    <row r="488" spans="1:16" hidden="1" x14ac:dyDescent="0.35">
      <c r="A488" s="3">
        <f xml:space="preserve"> ROW( data_scaledImpacts[[#This Row],[row_id]] ) - ROW( data_scaledImpacts[[#Headers],[row_id]] )</f>
        <v>487</v>
      </c>
      <c r="B488" s="41" t="str">
        <f xml:space="preserve"> _xlfn.TEXTJOIN( "", , data_scaledImpacts[[#This Row],[sector]:[impactType]] )</f>
        <v>SouthwestDustCanESM272010N/AAsthmaER</v>
      </c>
      <c r="C488" s="33" t="s">
        <v>85</v>
      </c>
      <c r="D488" s="33" t="s">
        <v>0</v>
      </c>
      <c r="E488" s="34">
        <v>7</v>
      </c>
      <c r="F488" s="34">
        <v>2010</v>
      </c>
      <c r="G488" s="34" t="s">
        <v>201</v>
      </c>
      <c r="H488" s="35" t="s">
        <v>192</v>
      </c>
      <c r="I488" s="43" t="s">
        <v>1208</v>
      </c>
    </row>
    <row r="489" spans="1:16" hidden="1" x14ac:dyDescent="0.35">
      <c r="A489" s="3">
        <f xml:space="preserve"> ROW( data_scaledImpacts[[#This Row],[row_id]] ) - ROW( data_scaledImpacts[[#Headers],[row_id]] )</f>
        <v>488</v>
      </c>
      <c r="B489" s="41" t="str">
        <f xml:space="preserve"> _xlfn.TEXTJOIN( "", , data_scaledImpacts[[#This Row],[sector]:[impactType]] )</f>
        <v>SouthwestDustCCSM472010N/AAsthmaER</v>
      </c>
      <c r="C489" s="33" t="s">
        <v>85</v>
      </c>
      <c r="D489" s="33" t="s">
        <v>1</v>
      </c>
      <c r="E489" s="34">
        <v>7</v>
      </c>
      <c r="F489" s="34">
        <v>2010</v>
      </c>
      <c r="G489" s="34" t="s">
        <v>201</v>
      </c>
      <c r="H489" s="35" t="s">
        <v>192</v>
      </c>
      <c r="I489" s="43" t="s">
        <v>1209</v>
      </c>
    </row>
    <row r="490" spans="1:16" hidden="1" x14ac:dyDescent="0.35">
      <c r="A490" s="3">
        <f xml:space="preserve"> ROW( data_scaledImpacts[[#This Row],[row_id]] ) - ROW( data_scaledImpacts[[#Headers],[row_id]] )</f>
        <v>489</v>
      </c>
      <c r="B490" s="41" t="str">
        <f xml:space="preserve"> _xlfn.TEXTJOIN( "", , data_scaledImpacts[[#This Row],[sector]:[impactType]] )</f>
        <v>SouthwestDustGISS-E2-R72010N/AAsthmaER</v>
      </c>
      <c r="C490" s="33" t="s">
        <v>85</v>
      </c>
      <c r="D490" s="33" t="s">
        <v>2</v>
      </c>
      <c r="E490" s="34">
        <v>7</v>
      </c>
      <c r="F490" s="34">
        <v>2010</v>
      </c>
      <c r="G490" s="34" t="s">
        <v>201</v>
      </c>
      <c r="H490" s="35" t="s">
        <v>192</v>
      </c>
      <c r="I490" s="43" t="s">
        <v>1210</v>
      </c>
    </row>
    <row r="491" spans="1:16" hidden="1" x14ac:dyDescent="0.35">
      <c r="A491" s="3">
        <f xml:space="preserve"> ROW( data_scaledImpacts[[#This Row],[row_id]] ) - ROW( data_scaledImpacts[[#Headers],[row_id]] )</f>
        <v>490</v>
      </c>
      <c r="B491" s="41" t="str">
        <f xml:space="preserve"> _xlfn.TEXTJOIN( "", , data_scaledImpacts[[#This Row],[sector]:[impactType]] )</f>
        <v>SouthwestDustHadGEM2-ES72010N/AAsthmaER</v>
      </c>
      <c r="C491" s="33" t="s">
        <v>85</v>
      </c>
      <c r="D491" s="33" t="s">
        <v>3</v>
      </c>
      <c r="E491" s="34">
        <v>7</v>
      </c>
      <c r="F491" s="34">
        <v>2010</v>
      </c>
      <c r="G491" s="34" t="s">
        <v>201</v>
      </c>
      <c r="H491" s="35" t="s">
        <v>192</v>
      </c>
      <c r="I491" s="43" t="s">
        <v>1211</v>
      </c>
    </row>
    <row r="492" spans="1:16" hidden="1" x14ac:dyDescent="0.35">
      <c r="A492" s="3">
        <f xml:space="preserve"> ROW( data_scaledImpacts[[#This Row],[row_id]] ) - ROW( data_scaledImpacts[[#Headers],[row_id]] )</f>
        <v>491</v>
      </c>
      <c r="B492" s="41" t="str">
        <f xml:space="preserve"> _xlfn.TEXTJOIN( "", , data_scaledImpacts[[#This Row],[sector]:[impactType]] )</f>
        <v>SouthwestDustMIROC572010N/AAsthmaER</v>
      </c>
      <c r="C492" s="33" t="s">
        <v>85</v>
      </c>
      <c r="D492" s="33" t="s">
        <v>4</v>
      </c>
      <c r="E492" s="34">
        <v>7</v>
      </c>
      <c r="F492" s="34">
        <v>2010</v>
      </c>
      <c r="G492" s="34" t="s">
        <v>201</v>
      </c>
      <c r="H492" s="35" t="s">
        <v>192</v>
      </c>
      <c r="I492" s="43" t="s">
        <v>1212</v>
      </c>
    </row>
    <row r="493" spans="1:16" hidden="1" x14ac:dyDescent="0.35">
      <c r="A493" s="3">
        <f xml:space="preserve"> ROW( data_scaledImpacts[[#This Row],[row_id]] ) - ROW( data_scaledImpacts[[#Headers],[row_id]] )</f>
        <v>492</v>
      </c>
      <c r="B493" s="41" t="str">
        <f xml:space="preserve"> _xlfn.TEXTJOIN( "", , data_scaledImpacts[[#This Row],[sector]:[impactType]] )</f>
        <v>SouthwestDustGFDL-CM372010N/AAsthmaER</v>
      </c>
      <c r="C493" s="33" t="s">
        <v>85</v>
      </c>
      <c r="D493" s="33" t="s">
        <v>5</v>
      </c>
      <c r="E493" s="34">
        <v>7</v>
      </c>
      <c r="F493" s="34">
        <v>2010</v>
      </c>
      <c r="G493" s="34" t="s">
        <v>201</v>
      </c>
      <c r="H493" s="35" t="s">
        <v>192</v>
      </c>
      <c r="I493" s="43" t="s">
        <v>1213</v>
      </c>
    </row>
    <row r="494" spans="1:16" hidden="1" x14ac:dyDescent="0.35">
      <c r="A494" s="3">
        <f xml:space="preserve"> ROW( data_scaledImpacts[[#This Row],[row_id]] ) - ROW( data_scaledImpacts[[#Headers],[row_id]] )</f>
        <v>493</v>
      </c>
      <c r="B494" s="41" t="str">
        <f xml:space="preserve"> _xlfn.TEXTJOIN( "", , data_scaledImpacts[[#This Row],[sector]:[impactType]] )</f>
        <v>SouthwestDustGCM Average72010N/AAsthmaER</v>
      </c>
      <c r="C494" s="33" t="s">
        <v>85</v>
      </c>
      <c r="D494" s="33" t="s">
        <v>15</v>
      </c>
      <c r="E494" s="34">
        <v>7</v>
      </c>
      <c r="F494" s="34">
        <v>2010</v>
      </c>
      <c r="G494" s="34" t="s">
        <v>201</v>
      </c>
      <c r="H494" s="35" t="s">
        <v>192</v>
      </c>
      <c r="I494" s="43" t="s">
        <v>1214</v>
      </c>
      <c r="P494" t="s">
        <v>26</v>
      </c>
    </row>
    <row r="495" spans="1:16" hidden="1" x14ac:dyDescent="0.35">
      <c r="A495" s="3">
        <f xml:space="preserve"> ROW( data_scaledImpacts[[#This Row],[row_id]] ) - ROW( data_scaledImpacts[[#Headers],[row_id]] )</f>
        <v>494</v>
      </c>
      <c r="B495" s="41" t="str">
        <f xml:space="preserve"> _xlfn.TEXTJOIN( "", , data_scaledImpacts[[#This Row],[sector]:[impactType]] )</f>
        <v>SouthwestDustCanESM212010N/AAllResp</v>
      </c>
      <c r="C495" s="33" t="s">
        <v>85</v>
      </c>
      <c r="D495" s="33" t="s">
        <v>0</v>
      </c>
      <c r="E495" s="34">
        <v>1</v>
      </c>
      <c r="F495" s="34">
        <v>2010</v>
      </c>
      <c r="G495" s="34" t="s">
        <v>201</v>
      </c>
      <c r="H495" s="35" t="s">
        <v>193</v>
      </c>
      <c r="I495" s="43" t="s">
        <v>314</v>
      </c>
      <c r="P495">
        <v>4.1942373399280565E-7</v>
      </c>
    </row>
    <row r="496" spans="1:16" hidden="1" x14ac:dyDescent="0.35">
      <c r="A496" s="3">
        <f xml:space="preserve"> ROW( data_scaledImpacts[[#This Row],[row_id]] ) - ROW( data_scaledImpacts[[#Headers],[row_id]] )</f>
        <v>495</v>
      </c>
      <c r="B496" s="41" t="str">
        <f xml:space="preserve"> _xlfn.TEXTJOIN( "", , data_scaledImpacts[[#This Row],[sector]:[impactType]] )</f>
        <v>SouthwestDustCCSM412010N/AAllResp</v>
      </c>
      <c r="C496" s="33" t="s">
        <v>85</v>
      </c>
      <c r="D496" s="33" t="s">
        <v>1</v>
      </c>
      <c r="E496" s="34">
        <v>1</v>
      </c>
      <c r="F496" s="34">
        <v>2010</v>
      </c>
      <c r="G496" s="34" t="s">
        <v>201</v>
      </c>
      <c r="H496" s="35" t="s">
        <v>193</v>
      </c>
      <c r="I496" s="43" t="s">
        <v>315</v>
      </c>
      <c r="P496">
        <v>1.231977961259601E-6</v>
      </c>
    </row>
    <row r="497" spans="1:16" hidden="1" x14ac:dyDescent="0.35">
      <c r="A497" s="3">
        <f xml:space="preserve"> ROW( data_scaledImpacts[[#This Row],[row_id]] ) - ROW( data_scaledImpacts[[#Headers],[row_id]] )</f>
        <v>496</v>
      </c>
      <c r="B497" s="41" t="str">
        <f xml:space="preserve"> _xlfn.TEXTJOIN( "", , data_scaledImpacts[[#This Row],[sector]:[impactType]] )</f>
        <v>SouthwestDustGISS-E2-R12010N/AAllResp</v>
      </c>
      <c r="C497" s="33" t="s">
        <v>85</v>
      </c>
      <c r="D497" s="33" t="s">
        <v>2</v>
      </c>
      <c r="E497" s="34">
        <v>1</v>
      </c>
      <c r="F497" s="34">
        <v>2010</v>
      </c>
      <c r="G497" s="34" t="s">
        <v>201</v>
      </c>
      <c r="H497" s="35" t="s">
        <v>193</v>
      </c>
      <c r="I497" s="43" t="s">
        <v>316</v>
      </c>
      <c r="P497">
        <v>1.6854068350140164E-7</v>
      </c>
    </row>
    <row r="498" spans="1:16" hidden="1" x14ac:dyDescent="0.35">
      <c r="A498" s="3">
        <f xml:space="preserve"> ROW( data_scaledImpacts[[#This Row],[row_id]] ) - ROW( data_scaledImpacts[[#Headers],[row_id]] )</f>
        <v>497</v>
      </c>
      <c r="B498" s="41" t="str">
        <f xml:space="preserve"> _xlfn.TEXTJOIN( "", , data_scaledImpacts[[#This Row],[sector]:[impactType]] )</f>
        <v>SouthwestDustHadGEM2-ES12010N/AAllResp</v>
      </c>
      <c r="C498" s="33" t="s">
        <v>85</v>
      </c>
      <c r="D498" s="33" t="s">
        <v>3</v>
      </c>
      <c r="E498" s="34">
        <v>1</v>
      </c>
      <c r="F498" s="34">
        <v>2010</v>
      </c>
      <c r="G498" s="34" t="s">
        <v>201</v>
      </c>
      <c r="H498" s="35" t="s">
        <v>193</v>
      </c>
      <c r="I498" s="43" t="s">
        <v>317</v>
      </c>
      <c r="P498">
        <v>7.9137052233811142E-8</v>
      </c>
    </row>
    <row r="499" spans="1:16" hidden="1" x14ac:dyDescent="0.35">
      <c r="A499" s="3">
        <f xml:space="preserve"> ROW( data_scaledImpacts[[#This Row],[row_id]] ) - ROW( data_scaledImpacts[[#Headers],[row_id]] )</f>
        <v>498</v>
      </c>
      <c r="B499" s="41" t="str">
        <f xml:space="preserve"> _xlfn.TEXTJOIN( "", , data_scaledImpacts[[#This Row],[sector]:[impactType]] )</f>
        <v>SouthwestDustMIROC512010N/AAllResp</v>
      </c>
      <c r="C499" s="33" t="s">
        <v>85</v>
      </c>
      <c r="D499" s="33" t="s">
        <v>4</v>
      </c>
      <c r="E499" s="34">
        <v>1</v>
      </c>
      <c r="F499" s="34">
        <v>2010</v>
      </c>
      <c r="G499" s="34" t="s">
        <v>201</v>
      </c>
      <c r="H499" s="35" t="s">
        <v>193</v>
      </c>
      <c r="I499" s="43" t="s">
        <v>318</v>
      </c>
      <c r="P499">
        <v>5.8934505091680629E-7</v>
      </c>
    </row>
    <row r="500" spans="1:16" hidden="1" x14ac:dyDescent="0.35">
      <c r="A500" s="3">
        <f xml:space="preserve"> ROW( data_scaledImpacts[[#This Row],[row_id]] ) - ROW( data_scaledImpacts[[#Headers],[row_id]] )</f>
        <v>499</v>
      </c>
      <c r="B500" s="41" t="str">
        <f xml:space="preserve"> _xlfn.TEXTJOIN( "", , data_scaledImpacts[[#This Row],[sector]:[impactType]] )</f>
        <v>SouthwestDustGFDL-CM312010N/AAllResp</v>
      </c>
      <c r="C500" s="33" t="s">
        <v>85</v>
      </c>
      <c r="D500" s="33" t="s">
        <v>5</v>
      </c>
      <c r="E500" s="34">
        <v>1</v>
      </c>
      <c r="F500" s="34">
        <v>2010</v>
      </c>
      <c r="G500" s="34" t="s">
        <v>201</v>
      </c>
      <c r="H500" s="35" t="s">
        <v>193</v>
      </c>
      <c r="I500" s="43" t="s">
        <v>319</v>
      </c>
      <c r="P500">
        <v>1.2488512917405525E-6</v>
      </c>
    </row>
    <row r="501" spans="1:16" hidden="1" x14ac:dyDescent="0.35">
      <c r="A501" s="3">
        <f xml:space="preserve"> ROW( data_scaledImpacts[[#This Row],[row_id]] ) - ROW( data_scaledImpacts[[#Headers],[row_id]] )</f>
        <v>500</v>
      </c>
      <c r="B501" s="41" t="str">
        <f xml:space="preserve"> _xlfn.TEXTJOIN( "", , data_scaledImpacts[[#This Row],[sector]:[impactType]] )</f>
        <v>SouthwestDustGCM Average12010N/AAllResp</v>
      </c>
      <c r="C501" s="33" t="s">
        <v>85</v>
      </c>
      <c r="D501" s="33" t="s">
        <v>15</v>
      </c>
      <c r="E501" s="34">
        <v>1</v>
      </c>
      <c r="F501" s="34">
        <v>2010</v>
      </c>
      <c r="G501" s="34" t="s">
        <v>201</v>
      </c>
      <c r="H501" s="35" t="s">
        <v>193</v>
      </c>
      <c r="I501" s="43" t="s">
        <v>320</v>
      </c>
      <c r="P501">
        <v>6.2287929560749633E-7</v>
      </c>
    </row>
    <row r="502" spans="1:16" hidden="1" x14ac:dyDescent="0.35">
      <c r="A502" s="3">
        <f xml:space="preserve"> ROW( data_scaledImpacts[[#This Row],[row_id]] ) - ROW( data_scaledImpacts[[#Headers],[row_id]] )</f>
        <v>501</v>
      </c>
      <c r="B502" s="41" t="str">
        <f xml:space="preserve"> _xlfn.TEXTJOIN( "", , data_scaledImpacts[[#This Row],[sector]:[impactType]] )</f>
        <v>SouthwestDustCanESM222010N/AAllResp</v>
      </c>
      <c r="C502" s="33" t="s">
        <v>85</v>
      </c>
      <c r="D502" s="33" t="s">
        <v>0</v>
      </c>
      <c r="E502" s="34">
        <v>2</v>
      </c>
      <c r="F502" s="34">
        <v>2010</v>
      </c>
      <c r="G502" s="34" t="s">
        <v>201</v>
      </c>
      <c r="H502" s="35" t="s">
        <v>193</v>
      </c>
      <c r="I502" s="43" t="s">
        <v>321</v>
      </c>
      <c r="P502">
        <v>1.1243049948130213E-6</v>
      </c>
    </row>
    <row r="503" spans="1:16" hidden="1" x14ac:dyDescent="0.35">
      <c r="A503" s="3">
        <f xml:space="preserve"> ROW( data_scaledImpacts[[#This Row],[row_id]] ) - ROW( data_scaledImpacts[[#Headers],[row_id]] )</f>
        <v>502</v>
      </c>
      <c r="B503" s="41" t="str">
        <f xml:space="preserve"> _xlfn.TEXTJOIN( "", , data_scaledImpacts[[#This Row],[sector]:[impactType]] )</f>
        <v>SouthwestDustCCSM422010N/AAllResp</v>
      </c>
      <c r="C503" s="33" t="s">
        <v>85</v>
      </c>
      <c r="D503" s="33" t="s">
        <v>1</v>
      </c>
      <c r="E503" s="34">
        <v>2</v>
      </c>
      <c r="F503" s="34">
        <v>2010</v>
      </c>
      <c r="G503" s="34" t="s">
        <v>201</v>
      </c>
      <c r="H503" s="35" t="s">
        <v>193</v>
      </c>
      <c r="I503" s="43" t="s">
        <v>322</v>
      </c>
      <c r="P503">
        <v>1.6793810039365035E-6</v>
      </c>
    </row>
    <row r="504" spans="1:16" hidden="1" x14ac:dyDescent="0.35">
      <c r="A504" s="3">
        <f xml:space="preserve"> ROW( data_scaledImpacts[[#This Row],[row_id]] ) - ROW( data_scaledImpacts[[#Headers],[row_id]] )</f>
        <v>503</v>
      </c>
      <c r="B504" s="41" t="str">
        <f xml:space="preserve"> _xlfn.TEXTJOIN( "", , data_scaledImpacts[[#This Row],[sector]:[impactType]] )</f>
        <v>SouthwestDustGISS-E2-R22010N/AAllResp</v>
      </c>
      <c r="C504" s="33" t="s">
        <v>85</v>
      </c>
      <c r="D504" s="33" t="s">
        <v>2</v>
      </c>
      <c r="E504" s="34">
        <v>2</v>
      </c>
      <c r="F504" s="34">
        <v>2010</v>
      </c>
      <c r="G504" s="34" t="s">
        <v>201</v>
      </c>
      <c r="H504" s="35" t="s">
        <v>193</v>
      </c>
      <c r="I504" s="43" t="s">
        <v>323</v>
      </c>
      <c r="P504">
        <v>7.9583914122043531E-7</v>
      </c>
    </row>
    <row r="505" spans="1:16" hidden="1" x14ac:dyDescent="0.35">
      <c r="A505" s="3">
        <f xml:space="preserve"> ROW( data_scaledImpacts[[#This Row],[row_id]] ) - ROW( data_scaledImpacts[[#Headers],[row_id]] )</f>
        <v>504</v>
      </c>
      <c r="B505" s="41" t="str">
        <f xml:space="preserve"> _xlfn.TEXTJOIN( "", , data_scaledImpacts[[#This Row],[sector]:[impactType]] )</f>
        <v>SouthwestDustHadGEM2-ES22010N/AAllResp</v>
      </c>
      <c r="C505" s="33" t="s">
        <v>85</v>
      </c>
      <c r="D505" s="33" t="s">
        <v>3</v>
      </c>
      <c r="E505" s="34">
        <v>2</v>
      </c>
      <c r="F505" s="34">
        <v>2010</v>
      </c>
      <c r="G505" s="34" t="s">
        <v>201</v>
      </c>
      <c r="H505" s="35" t="s">
        <v>193</v>
      </c>
      <c r="I505" s="43" t="s">
        <v>324</v>
      </c>
      <c r="P505">
        <v>1.6109514572757906E-6</v>
      </c>
    </row>
    <row r="506" spans="1:16" hidden="1" x14ac:dyDescent="0.35">
      <c r="A506" s="3">
        <f xml:space="preserve"> ROW( data_scaledImpacts[[#This Row],[row_id]] ) - ROW( data_scaledImpacts[[#Headers],[row_id]] )</f>
        <v>505</v>
      </c>
      <c r="B506" s="41" t="str">
        <f xml:space="preserve"> _xlfn.TEXTJOIN( "", , data_scaledImpacts[[#This Row],[sector]:[impactType]] )</f>
        <v>SouthwestDustMIROC522010N/AAllResp</v>
      </c>
      <c r="C506" s="33" t="s">
        <v>85</v>
      </c>
      <c r="D506" s="33" t="s">
        <v>4</v>
      </c>
      <c r="E506" s="34">
        <v>2</v>
      </c>
      <c r="F506" s="34">
        <v>2010</v>
      </c>
      <c r="G506" s="34" t="s">
        <v>201</v>
      </c>
      <c r="H506" s="35" t="s">
        <v>193</v>
      </c>
      <c r="I506" s="43" t="s">
        <v>325</v>
      </c>
      <c r="P506">
        <v>1.1742878962419796E-6</v>
      </c>
    </row>
    <row r="507" spans="1:16" hidden="1" x14ac:dyDescent="0.35">
      <c r="A507" s="3">
        <f xml:space="preserve"> ROW( data_scaledImpacts[[#This Row],[row_id]] ) - ROW( data_scaledImpacts[[#Headers],[row_id]] )</f>
        <v>506</v>
      </c>
      <c r="B507" s="41" t="str">
        <f xml:space="preserve"> _xlfn.TEXTJOIN( "", , data_scaledImpacts[[#This Row],[sector]:[impactType]] )</f>
        <v>SouthwestDustGFDL-CM322010N/AAllResp</v>
      </c>
      <c r="C507" s="33" t="s">
        <v>85</v>
      </c>
      <c r="D507" s="33" t="s">
        <v>5</v>
      </c>
      <c r="E507" s="34">
        <v>2</v>
      </c>
      <c r="F507" s="34">
        <v>2010</v>
      </c>
      <c r="G507" s="34" t="s">
        <v>201</v>
      </c>
      <c r="H507" s="35" t="s">
        <v>193</v>
      </c>
      <c r="I507" s="43" t="s">
        <v>326</v>
      </c>
      <c r="P507">
        <v>1.7696401069190309E-6</v>
      </c>
    </row>
    <row r="508" spans="1:16" hidden="1" x14ac:dyDescent="0.35">
      <c r="A508" s="3">
        <f xml:space="preserve"> ROW( data_scaledImpacts[[#This Row],[row_id]] ) - ROW( data_scaledImpacts[[#Headers],[row_id]] )</f>
        <v>507</v>
      </c>
      <c r="B508" s="41" t="str">
        <f xml:space="preserve"> _xlfn.TEXTJOIN( "", , data_scaledImpacts[[#This Row],[sector]:[impactType]] )</f>
        <v>SouthwestDustGCM Average22010N/AAllResp</v>
      </c>
      <c r="C508" s="33" t="s">
        <v>85</v>
      </c>
      <c r="D508" s="33" t="s">
        <v>15</v>
      </c>
      <c r="E508" s="34">
        <v>2</v>
      </c>
      <c r="F508" s="34">
        <v>2010</v>
      </c>
      <c r="G508" s="34" t="s">
        <v>201</v>
      </c>
      <c r="H508" s="35" t="s">
        <v>193</v>
      </c>
      <c r="I508" s="43" t="s">
        <v>327</v>
      </c>
      <c r="P508">
        <v>1.3590674334011268E-6</v>
      </c>
    </row>
    <row r="509" spans="1:16" hidden="1" x14ac:dyDescent="0.35">
      <c r="A509" s="3">
        <f xml:space="preserve"> ROW( data_scaledImpacts[[#This Row],[row_id]] ) - ROW( data_scaledImpacts[[#Headers],[row_id]] )</f>
        <v>508</v>
      </c>
      <c r="B509" s="41" t="str">
        <f xml:space="preserve"> _xlfn.TEXTJOIN( "", , data_scaledImpacts[[#This Row],[sector]:[impactType]] )</f>
        <v>SouthwestDustCanESM232010N/AAllResp</v>
      </c>
      <c r="C509" s="33" t="s">
        <v>85</v>
      </c>
      <c r="D509" s="33" t="s">
        <v>0</v>
      </c>
      <c r="E509" s="34">
        <v>3</v>
      </c>
      <c r="F509" s="34">
        <v>2010</v>
      </c>
      <c r="G509" s="34" t="s">
        <v>201</v>
      </c>
      <c r="H509" s="35" t="s">
        <v>193</v>
      </c>
      <c r="I509" s="43" t="s">
        <v>328</v>
      </c>
      <c r="P509">
        <v>1.5603173673268075E-6</v>
      </c>
    </row>
    <row r="510" spans="1:16" hidden="1" x14ac:dyDescent="0.35">
      <c r="A510" s="3">
        <f xml:space="preserve"> ROW( data_scaledImpacts[[#This Row],[row_id]] ) - ROW( data_scaledImpacts[[#Headers],[row_id]] )</f>
        <v>509</v>
      </c>
      <c r="B510" s="41" t="str">
        <f xml:space="preserve"> _xlfn.TEXTJOIN( "", , data_scaledImpacts[[#This Row],[sector]:[impactType]] )</f>
        <v>SouthwestDustCCSM432010N/AAllResp</v>
      </c>
      <c r="C510" s="33" t="s">
        <v>85</v>
      </c>
      <c r="D510" s="33" t="s">
        <v>1</v>
      </c>
      <c r="E510" s="34">
        <v>3</v>
      </c>
      <c r="F510" s="34">
        <v>2010</v>
      </c>
      <c r="G510" s="34" t="s">
        <v>201</v>
      </c>
      <c r="H510" s="35" t="s">
        <v>193</v>
      </c>
      <c r="I510" s="43" t="s">
        <v>329</v>
      </c>
      <c r="P510">
        <v>1.8478112321587412E-6</v>
      </c>
    </row>
    <row r="511" spans="1:16" hidden="1" x14ac:dyDescent="0.35">
      <c r="A511" s="3">
        <f xml:space="preserve"> ROW( data_scaledImpacts[[#This Row],[row_id]] ) - ROW( data_scaledImpacts[[#Headers],[row_id]] )</f>
        <v>510</v>
      </c>
      <c r="B511" s="41" t="str">
        <f xml:space="preserve"> _xlfn.TEXTJOIN( "", , data_scaledImpacts[[#This Row],[sector]:[impactType]] )</f>
        <v>SouthwestDustGISS-E2-R32010N/AAllResp</v>
      </c>
      <c r="C511" s="33" t="s">
        <v>85</v>
      </c>
      <c r="D511" s="33" t="s">
        <v>2</v>
      </c>
      <c r="E511" s="34">
        <v>3</v>
      </c>
      <c r="F511" s="34">
        <v>2010</v>
      </c>
      <c r="G511" s="34" t="s">
        <v>201</v>
      </c>
      <c r="H511" s="35" t="s">
        <v>193</v>
      </c>
      <c r="I511" s="43" t="s">
        <v>330</v>
      </c>
      <c r="P511">
        <v>2.0466037200537925E-6</v>
      </c>
    </row>
    <row r="512" spans="1:16" hidden="1" x14ac:dyDescent="0.35">
      <c r="A512" s="3">
        <f xml:space="preserve"> ROW( data_scaledImpacts[[#This Row],[row_id]] ) - ROW( data_scaledImpacts[[#Headers],[row_id]] )</f>
        <v>511</v>
      </c>
      <c r="B512" s="41" t="str">
        <f xml:space="preserve"> _xlfn.TEXTJOIN( "", , data_scaledImpacts[[#This Row],[sector]:[impactType]] )</f>
        <v>SouthwestDustHadGEM2-ES32010N/AAllResp</v>
      </c>
      <c r="C512" s="33" t="s">
        <v>85</v>
      </c>
      <c r="D512" s="33" t="s">
        <v>3</v>
      </c>
      <c r="E512" s="34">
        <v>3</v>
      </c>
      <c r="F512" s="34">
        <v>2010</v>
      </c>
      <c r="G512" s="34" t="s">
        <v>201</v>
      </c>
      <c r="H512" s="35" t="s">
        <v>193</v>
      </c>
      <c r="I512" s="43" t="s">
        <v>331</v>
      </c>
      <c r="P512">
        <v>1.9741992326565872E-6</v>
      </c>
    </row>
    <row r="513" spans="1:16" hidden="1" x14ac:dyDescent="0.35">
      <c r="A513" s="3">
        <f xml:space="preserve"> ROW( data_scaledImpacts[[#This Row],[row_id]] ) - ROW( data_scaledImpacts[[#Headers],[row_id]] )</f>
        <v>512</v>
      </c>
      <c r="B513" s="41" t="str">
        <f xml:space="preserve"> _xlfn.TEXTJOIN( "", , data_scaledImpacts[[#This Row],[sector]:[impactType]] )</f>
        <v>SouthwestDustMIROC532010N/AAllResp</v>
      </c>
      <c r="C513" s="33" t="s">
        <v>85</v>
      </c>
      <c r="D513" s="33" t="s">
        <v>4</v>
      </c>
      <c r="E513" s="34">
        <v>3</v>
      </c>
      <c r="F513" s="34">
        <v>2010</v>
      </c>
      <c r="G513" s="34" t="s">
        <v>201</v>
      </c>
      <c r="H513" s="35" t="s">
        <v>193</v>
      </c>
      <c r="I513" s="43" t="s">
        <v>332</v>
      </c>
      <c r="P513">
        <v>2.2916049431959662E-6</v>
      </c>
    </row>
    <row r="514" spans="1:16" hidden="1" x14ac:dyDescent="0.35">
      <c r="A514" s="3">
        <f xml:space="preserve"> ROW( data_scaledImpacts[[#This Row],[row_id]] ) - ROW( data_scaledImpacts[[#Headers],[row_id]] )</f>
        <v>513</v>
      </c>
      <c r="B514" s="41" t="str">
        <f xml:space="preserve"> _xlfn.TEXTJOIN( "", , data_scaledImpacts[[#This Row],[sector]:[impactType]] )</f>
        <v>SouthwestDustGFDL-CM332010N/AAllResp</v>
      </c>
      <c r="C514" s="33" t="s">
        <v>85</v>
      </c>
      <c r="D514" s="33" t="s">
        <v>5</v>
      </c>
      <c r="E514" s="34">
        <v>3</v>
      </c>
      <c r="F514" s="34">
        <v>2010</v>
      </c>
      <c r="G514" s="34" t="s">
        <v>201</v>
      </c>
      <c r="H514" s="35" t="s">
        <v>193</v>
      </c>
      <c r="I514" s="43" t="s">
        <v>333</v>
      </c>
      <c r="P514">
        <v>2.6197911878922406E-6</v>
      </c>
    </row>
    <row r="515" spans="1:16" hidden="1" x14ac:dyDescent="0.35">
      <c r="A515" s="3">
        <f xml:space="preserve"> ROW( data_scaledImpacts[[#This Row],[row_id]] ) - ROW( data_scaledImpacts[[#Headers],[row_id]] )</f>
        <v>514</v>
      </c>
      <c r="B515" s="41" t="str">
        <f xml:space="preserve"> _xlfn.TEXTJOIN( "", , data_scaledImpacts[[#This Row],[sector]:[impactType]] )</f>
        <v>SouthwestDustGCM Average32010N/AAllResp</v>
      </c>
      <c r="C515" s="33" t="s">
        <v>85</v>
      </c>
      <c r="D515" s="33" t="s">
        <v>15</v>
      </c>
      <c r="E515" s="34">
        <v>3</v>
      </c>
      <c r="F515" s="34">
        <v>2010</v>
      </c>
      <c r="G515" s="34" t="s">
        <v>201</v>
      </c>
      <c r="H515" s="35" t="s">
        <v>193</v>
      </c>
      <c r="I515" s="43" t="s">
        <v>334</v>
      </c>
      <c r="P515">
        <v>2.0567212805473559E-6</v>
      </c>
    </row>
    <row r="516" spans="1:16" hidden="1" x14ac:dyDescent="0.35">
      <c r="A516" s="3">
        <f xml:space="preserve"> ROW( data_scaledImpacts[[#This Row],[row_id]] ) - ROW( data_scaledImpacts[[#Headers],[row_id]] )</f>
        <v>515</v>
      </c>
      <c r="B516" s="41" t="str">
        <f xml:space="preserve"> _xlfn.TEXTJOIN( "", , data_scaledImpacts[[#This Row],[sector]:[impactType]] )</f>
        <v>SouthwestDustCanESM242010N/AAllResp</v>
      </c>
      <c r="C516" s="33" t="s">
        <v>85</v>
      </c>
      <c r="D516" s="33" t="s">
        <v>0</v>
      </c>
      <c r="E516" s="34">
        <v>4</v>
      </c>
      <c r="F516" s="34">
        <v>2010</v>
      </c>
      <c r="G516" s="34" t="s">
        <v>201</v>
      </c>
      <c r="H516" s="35" t="s">
        <v>193</v>
      </c>
      <c r="I516" s="43" t="s">
        <v>335</v>
      </c>
      <c r="P516">
        <v>1.501416029630278E-6</v>
      </c>
    </row>
    <row r="517" spans="1:16" hidden="1" x14ac:dyDescent="0.35">
      <c r="A517" s="3">
        <f xml:space="preserve"> ROW( data_scaledImpacts[[#This Row],[row_id]] ) - ROW( data_scaledImpacts[[#Headers],[row_id]] )</f>
        <v>516</v>
      </c>
      <c r="B517" s="41" t="str">
        <f xml:space="preserve"> _xlfn.TEXTJOIN( "", , data_scaledImpacts[[#This Row],[sector]:[impactType]] )</f>
        <v>SouthwestDustCCSM442010N/AAllResp</v>
      </c>
      <c r="C517" s="33" t="s">
        <v>85</v>
      </c>
      <c r="D517" s="33" t="s">
        <v>1</v>
      </c>
      <c r="E517" s="34">
        <v>4</v>
      </c>
      <c r="F517" s="34">
        <v>2010</v>
      </c>
      <c r="G517" s="34" t="s">
        <v>201</v>
      </c>
      <c r="H517" s="35" t="s">
        <v>193</v>
      </c>
      <c r="I517" s="43" t="s">
        <v>336</v>
      </c>
      <c r="P517">
        <v>2.5024086864796997E-6</v>
      </c>
    </row>
    <row r="518" spans="1:16" hidden="1" x14ac:dyDescent="0.35">
      <c r="A518" s="3">
        <f xml:space="preserve"> ROW( data_scaledImpacts[[#This Row],[row_id]] ) - ROW( data_scaledImpacts[[#Headers],[row_id]] )</f>
        <v>517</v>
      </c>
      <c r="B518" s="41" t="str">
        <f xml:space="preserve"> _xlfn.TEXTJOIN( "", , data_scaledImpacts[[#This Row],[sector]:[impactType]] )</f>
        <v>SouthwestDustGISS-E2-R42010N/AAllResp</v>
      </c>
      <c r="C518" s="33" t="s">
        <v>85</v>
      </c>
      <c r="D518" s="33" t="s">
        <v>2</v>
      </c>
      <c r="E518" s="34">
        <v>4</v>
      </c>
      <c r="F518" s="34">
        <v>2010</v>
      </c>
      <c r="G518" s="34" t="s">
        <v>201</v>
      </c>
      <c r="H518" s="35" t="s">
        <v>193</v>
      </c>
      <c r="I518" s="43" t="s">
        <v>337</v>
      </c>
    </row>
    <row r="519" spans="1:16" hidden="1" x14ac:dyDescent="0.35">
      <c r="A519" s="3">
        <f xml:space="preserve"> ROW( data_scaledImpacts[[#This Row],[row_id]] ) - ROW( data_scaledImpacts[[#Headers],[row_id]] )</f>
        <v>518</v>
      </c>
      <c r="B519" s="41" t="str">
        <f xml:space="preserve"> _xlfn.TEXTJOIN( "", , data_scaledImpacts[[#This Row],[sector]:[impactType]] )</f>
        <v>SouthwestDustHadGEM2-ES42010N/AAllResp</v>
      </c>
      <c r="C519" s="33" t="s">
        <v>85</v>
      </c>
      <c r="D519" s="33" t="s">
        <v>3</v>
      </c>
      <c r="E519" s="34">
        <v>4</v>
      </c>
      <c r="F519" s="34">
        <v>2010</v>
      </c>
      <c r="G519" s="34" t="s">
        <v>201</v>
      </c>
      <c r="H519" s="35" t="s">
        <v>193</v>
      </c>
      <c r="I519" s="43" t="s">
        <v>338</v>
      </c>
      <c r="P519">
        <v>2.0091328355110185E-6</v>
      </c>
    </row>
    <row r="520" spans="1:16" hidden="1" x14ac:dyDescent="0.35">
      <c r="A520" s="3">
        <f xml:space="preserve"> ROW( data_scaledImpacts[[#This Row],[row_id]] ) - ROW( data_scaledImpacts[[#Headers],[row_id]] )</f>
        <v>519</v>
      </c>
      <c r="B520" s="41" t="str">
        <f xml:space="preserve"> _xlfn.TEXTJOIN( "", , data_scaledImpacts[[#This Row],[sector]:[impactType]] )</f>
        <v>SouthwestDustMIROC542010N/AAllResp</v>
      </c>
      <c r="C520" s="33" t="s">
        <v>85</v>
      </c>
      <c r="D520" s="33" t="s">
        <v>4</v>
      </c>
      <c r="E520" s="34">
        <v>4</v>
      </c>
      <c r="F520" s="34">
        <v>2010</v>
      </c>
      <c r="G520" s="34" t="s">
        <v>201</v>
      </c>
      <c r="H520" s="35" t="s">
        <v>193</v>
      </c>
      <c r="I520" s="43" t="s">
        <v>339</v>
      </c>
      <c r="P520">
        <v>2.8272058208448639E-6</v>
      </c>
    </row>
    <row r="521" spans="1:16" hidden="1" x14ac:dyDescent="0.35">
      <c r="A521" s="3">
        <f xml:space="preserve"> ROW( data_scaledImpacts[[#This Row],[row_id]] ) - ROW( data_scaledImpacts[[#Headers],[row_id]] )</f>
        <v>520</v>
      </c>
      <c r="B521" s="41" t="str">
        <f xml:space="preserve"> _xlfn.TEXTJOIN( "", , data_scaledImpacts[[#This Row],[sector]:[impactType]] )</f>
        <v>SouthwestDustGFDL-CM342010N/AAllResp</v>
      </c>
      <c r="C521" s="33" t="s">
        <v>85</v>
      </c>
      <c r="D521" s="33" t="s">
        <v>5</v>
      </c>
      <c r="E521" s="34">
        <v>4</v>
      </c>
      <c r="F521" s="34">
        <v>2010</v>
      </c>
      <c r="G521" s="34" t="s">
        <v>201</v>
      </c>
      <c r="H521" s="35" t="s">
        <v>193</v>
      </c>
      <c r="I521" s="43" t="s">
        <v>340</v>
      </c>
      <c r="P521">
        <v>3.5705957652133701E-6</v>
      </c>
    </row>
    <row r="522" spans="1:16" hidden="1" x14ac:dyDescent="0.35">
      <c r="A522" s="3">
        <f xml:space="preserve"> ROW( data_scaledImpacts[[#This Row],[row_id]] ) - ROW( data_scaledImpacts[[#Headers],[row_id]] )</f>
        <v>521</v>
      </c>
      <c r="B522" s="41" t="str">
        <f xml:space="preserve"> _xlfn.TEXTJOIN( "", , data_scaledImpacts[[#This Row],[sector]:[impactType]] )</f>
        <v>SouthwestDustGCM Average42010N/AAllResp</v>
      </c>
      <c r="C522" s="33" t="s">
        <v>85</v>
      </c>
      <c r="D522" s="33" t="s">
        <v>15</v>
      </c>
      <c r="E522" s="34">
        <v>4</v>
      </c>
      <c r="F522" s="34">
        <v>2010</v>
      </c>
      <c r="G522" s="34" t="s">
        <v>201</v>
      </c>
      <c r="H522" s="35" t="s">
        <v>193</v>
      </c>
      <c r="I522" s="43" t="s">
        <v>341</v>
      </c>
      <c r="P522">
        <v>2.4821518275358462E-6</v>
      </c>
    </row>
    <row r="523" spans="1:16" hidden="1" x14ac:dyDescent="0.35">
      <c r="A523" s="3">
        <f xml:space="preserve"> ROW( data_scaledImpacts[[#This Row],[row_id]] ) - ROW( data_scaledImpacts[[#Headers],[row_id]] )</f>
        <v>522</v>
      </c>
      <c r="B523" s="41" t="str">
        <f xml:space="preserve"> _xlfn.TEXTJOIN( "", , data_scaledImpacts[[#This Row],[sector]:[impactType]] )</f>
        <v>SouthwestDustCanESM252010N/AAllResp</v>
      </c>
      <c r="C523" s="33" t="s">
        <v>85</v>
      </c>
      <c r="D523" s="33" t="s">
        <v>0</v>
      </c>
      <c r="E523" s="34">
        <v>5</v>
      </c>
      <c r="F523" s="34">
        <v>2010</v>
      </c>
      <c r="G523" s="34" t="s">
        <v>201</v>
      </c>
      <c r="H523" s="35" t="s">
        <v>193</v>
      </c>
      <c r="I523" s="43" t="s">
        <v>342</v>
      </c>
      <c r="P523">
        <v>1.8720812023256287E-6</v>
      </c>
    </row>
    <row r="524" spans="1:16" hidden="1" x14ac:dyDescent="0.35">
      <c r="A524" s="3">
        <f xml:space="preserve"> ROW( data_scaledImpacts[[#This Row],[row_id]] ) - ROW( data_scaledImpacts[[#Headers],[row_id]] )</f>
        <v>523</v>
      </c>
      <c r="B524" s="41" t="str">
        <f xml:space="preserve"> _xlfn.TEXTJOIN( "", , data_scaledImpacts[[#This Row],[sector]:[impactType]] )</f>
        <v>SouthwestDustCCSM452010N/AAllResp</v>
      </c>
      <c r="C524" s="33" t="s">
        <v>85</v>
      </c>
      <c r="D524" s="33" t="s">
        <v>1</v>
      </c>
      <c r="E524" s="34">
        <v>5</v>
      </c>
      <c r="F524" s="34">
        <v>2010</v>
      </c>
      <c r="G524" s="34" t="s">
        <v>201</v>
      </c>
      <c r="H524" s="35" t="s">
        <v>193</v>
      </c>
      <c r="I524" s="43" t="s">
        <v>343</v>
      </c>
      <c r="P524">
        <v>3.9083237032779645E-6</v>
      </c>
    </row>
    <row r="525" spans="1:16" hidden="1" x14ac:dyDescent="0.35">
      <c r="A525" s="3">
        <f xml:space="preserve"> ROW( data_scaledImpacts[[#This Row],[row_id]] ) - ROW( data_scaledImpacts[[#Headers],[row_id]] )</f>
        <v>524</v>
      </c>
      <c r="B525" s="41" t="str">
        <f xml:space="preserve"> _xlfn.TEXTJOIN( "", , data_scaledImpacts[[#This Row],[sector]:[impactType]] )</f>
        <v>SouthwestDustGISS-E2-R52010N/AAllResp</v>
      </c>
      <c r="C525" s="33" t="s">
        <v>85</v>
      </c>
      <c r="D525" s="33" t="s">
        <v>2</v>
      </c>
      <c r="E525" s="34">
        <v>5</v>
      </c>
      <c r="F525" s="34">
        <v>2010</v>
      </c>
      <c r="G525" s="34" t="s">
        <v>201</v>
      </c>
      <c r="H525" s="35" t="s">
        <v>193</v>
      </c>
      <c r="I525" s="43" t="s">
        <v>344</v>
      </c>
    </row>
    <row r="526" spans="1:16" hidden="1" x14ac:dyDescent="0.35">
      <c r="A526" s="3">
        <f xml:space="preserve"> ROW( data_scaledImpacts[[#This Row],[row_id]] ) - ROW( data_scaledImpacts[[#Headers],[row_id]] )</f>
        <v>525</v>
      </c>
      <c r="B526" s="41" t="str">
        <f xml:space="preserve"> _xlfn.TEXTJOIN( "", , data_scaledImpacts[[#This Row],[sector]:[impactType]] )</f>
        <v>SouthwestDustHadGEM2-ES52010N/AAllResp</v>
      </c>
      <c r="C526" s="33" t="s">
        <v>85</v>
      </c>
      <c r="D526" s="33" t="s">
        <v>3</v>
      </c>
      <c r="E526" s="34">
        <v>5</v>
      </c>
      <c r="F526" s="34">
        <v>2010</v>
      </c>
      <c r="G526" s="34" t="s">
        <v>201</v>
      </c>
      <c r="H526" s="35" t="s">
        <v>193</v>
      </c>
      <c r="I526" s="43" t="s">
        <v>345</v>
      </c>
      <c r="P526">
        <v>3.2948828824051062E-6</v>
      </c>
    </row>
    <row r="527" spans="1:16" hidden="1" x14ac:dyDescent="0.35">
      <c r="A527" s="3">
        <f xml:space="preserve"> ROW( data_scaledImpacts[[#This Row],[row_id]] ) - ROW( data_scaledImpacts[[#Headers],[row_id]] )</f>
        <v>526</v>
      </c>
      <c r="B527" s="41" t="str">
        <f xml:space="preserve"> _xlfn.TEXTJOIN( "", , data_scaledImpacts[[#This Row],[sector]:[impactType]] )</f>
        <v>SouthwestDustMIROC552010N/AAllResp</v>
      </c>
      <c r="C527" s="33" t="s">
        <v>85</v>
      </c>
      <c r="D527" s="33" t="s">
        <v>4</v>
      </c>
      <c r="E527" s="34">
        <v>5</v>
      </c>
      <c r="F527" s="34">
        <v>2010</v>
      </c>
      <c r="G527" s="34" t="s">
        <v>201</v>
      </c>
      <c r="H527" s="35" t="s">
        <v>193</v>
      </c>
      <c r="I527" s="43" t="s">
        <v>346</v>
      </c>
      <c r="P527">
        <v>3.5531567575026682E-6</v>
      </c>
    </row>
    <row r="528" spans="1:16" hidden="1" x14ac:dyDescent="0.35">
      <c r="A528" s="3">
        <f xml:space="preserve"> ROW( data_scaledImpacts[[#This Row],[row_id]] ) - ROW( data_scaledImpacts[[#Headers],[row_id]] )</f>
        <v>527</v>
      </c>
      <c r="B528" s="41" t="str">
        <f xml:space="preserve"> _xlfn.TEXTJOIN( "", , data_scaledImpacts[[#This Row],[sector]:[impactType]] )</f>
        <v>SouthwestDustGFDL-CM352010N/AAllResp</v>
      </c>
      <c r="C528" s="33" t="s">
        <v>85</v>
      </c>
      <c r="D528" s="33" t="s">
        <v>5</v>
      </c>
      <c r="E528" s="34">
        <v>5</v>
      </c>
      <c r="F528" s="34">
        <v>2010</v>
      </c>
      <c r="G528" s="34" t="s">
        <v>201</v>
      </c>
      <c r="H528" s="35" t="s">
        <v>193</v>
      </c>
      <c r="I528" s="43" t="s">
        <v>347</v>
      </c>
      <c r="P528">
        <v>4.4410938098381988E-6</v>
      </c>
    </row>
    <row r="529" spans="1:16" hidden="1" x14ac:dyDescent="0.35">
      <c r="A529" s="3">
        <f xml:space="preserve"> ROW( data_scaledImpacts[[#This Row],[row_id]] ) - ROW( data_scaledImpacts[[#Headers],[row_id]] )</f>
        <v>528</v>
      </c>
      <c r="B529" s="41" t="str">
        <f xml:space="preserve"> _xlfn.TEXTJOIN( "", , data_scaledImpacts[[#This Row],[sector]:[impactType]] )</f>
        <v>SouthwestDustGCM Average52010N/AAllResp</v>
      </c>
      <c r="C529" s="33" t="s">
        <v>85</v>
      </c>
      <c r="D529" s="33" t="s">
        <v>15</v>
      </c>
      <c r="E529" s="34">
        <v>5</v>
      </c>
      <c r="F529" s="34">
        <v>2010</v>
      </c>
      <c r="G529" s="34" t="s">
        <v>201</v>
      </c>
      <c r="H529" s="35" t="s">
        <v>193</v>
      </c>
      <c r="I529" s="43" t="s">
        <v>348</v>
      </c>
      <c r="P529">
        <v>3.4139076710699133E-6</v>
      </c>
    </row>
    <row r="530" spans="1:16" hidden="1" x14ac:dyDescent="0.35">
      <c r="A530" s="3">
        <f xml:space="preserve"> ROW( data_scaledImpacts[[#This Row],[row_id]] ) - ROW( data_scaledImpacts[[#Headers],[row_id]] )</f>
        <v>529</v>
      </c>
      <c r="B530" s="41" t="str">
        <f xml:space="preserve"> _xlfn.TEXTJOIN( "", , data_scaledImpacts[[#This Row],[sector]:[impactType]] )</f>
        <v>SouthwestDustCanESM262010N/AAllResp</v>
      </c>
      <c r="C530" s="33" t="s">
        <v>85</v>
      </c>
      <c r="D530" s="33" t="s">
        <v>0</v>
      </c>
      <c r="E530" s="34">
        <v>6</v>
      </c>
      <c r="F530" s="34">
        <v>2010</v>
      </c>
      <c r="G530" s="34" t="s">
        <v>201</v>
      </c>
      <c r="H530" s="35" t="s">
        <v>193</v>
      </c>
      <c r="I530" s="43" t="s">
        <v>349</v>
      </c>
      <c r="P530">
        <v>2.3925467289476758E-6</v>
      </c>
    </row>
    <row r="531" spans="1:16" hidden="1" x14ac:dyDescent="0.35">
      <c r="A531" s="3">
        <f xml:space="preserve"> ROW( data_scaledImpacts[[#This Row],[row_id]] ) - ROW( data_scaledImpacts[[#Headers],[row_id]] )</f>
        <v>530</v>
      </c>
      <c r="B531" s="41" t="str">
        <f xml:space="preserve"> _xlfn.TEXTJOIN( "", , data_scaledImpacts[[#This Row],[sector]:[impactType]] )</f>
        <v>SouthwestDustCCSM462010N/AAllResp</v>
      </c>
      <c r="C531" s="33" t="s">
        <v>85</v>
      </c>
      <c r="D531" s="33" t="s">
        <v>1</v>
      </c>
      <c r="E531" s="34">
        <v>6</v>
      </c>
      <c r="F531" s="34">
        <v>2010</v>
      </c>
      <c r="G531" s="34" t="s">
        <v>201</v>
      </c>
      <c r="H531" s="35" t="s">
        <v>193</v>
      </c>
      <c r="I531" s="43" t="s">
        <v>350</v>
      </c>
    </row>
    <row r="532" spans="1:16" hidden="1" x14ac:dyDescent="0.35">
      <c r="A532" s="3">
        <f xml:space="preserve"> ROW( data_scaledImpacts[[#This Row],[row_id]] ) - ROW( data_scaledImpacts[[#Headers],[row_id]] )</f>
        <v>531</v>
      </c>
      <c r="B532" s="41" t="str">
        <f xml:space="preserve"> _xlfn.TEXTJOIN( "", , data_scaledImpacts[[#This Row],[sector]:[impactType]] )</f>
        <v>SouthwestDustGISS-E2-R62010N/AAllResp</v>
      </c>
      <c r="C532" s="33" t="s">
        <v>85</v>
      </c>
      <c r="D532" s="33" t="s">
        <v>2</v>
      </c>
      <c r="E532" s="34">
        <v>6</v>
      </c>
      <c r="F532" s="34">
        <v>2010</v>
      </c>
      <c r="G532" s="34" t="s">
        <v>201</v>
      </c>
      <c r="H532" s="35" t="s">
        <v>193</v>
      </c>
      <c r="I532" s="43" t="s">
        <v>351</v>
      </c>
    </row>
    <row r="533" spans="1:16" hidden="1" x14ac:dyDescent="0.35">
      <c r="A533" s="3">
        <f xml:space="preserve"> ROW( data_scaledImpacts[[#This Row],[row_id]] ) - ROW( data_scaledImpacts[[#Headers],[row_id]] )</f>
        <v>532</v>
      </c>
      <c r="B533" s="41" t="str">
        <f xml:space="preserve"> _xlfn.TEXTJOIN( "", , data_scaledImpacts[[#This Row],[sector]:[impactType]] )</f>
        <v>SouthwestDustHadGEM2-ES62010N/AAllResp</v>
      </c>
      <c r="C533" s="33" t="s">
        <v>85</v>
      </c>
      <c r="D533" s="33" t="s">
        <v>3</v>
      </c>
      <c r="E533" s="34">
        <v>6</v>
      </c>
      <c r="F533" s="34">
        <v>2010</v>
      </c>
      <c r="G533" s="34" t="s">
        <v>201</v>
      </c>
      <c r="H533" s="35" t="s">
        <v>193</v>
      </c>
      <c r="I533" s="43" t="s">
        <v>352</v>
      </c>
      <c r="P533">
        <v>3.1572019731017251E-6</v>
      </c>
    </row>
    <row r="534" spans="1:16" hidden="1" x14ac:dyDescent="0.35">
      <c r="A534" s="3">
        <f xml:space="preserve"> ROW( data_scaledImpacts[[#This Row],[row_id]] ) - ROW( data_scaledImpacts[[#Headers],[row_id]] )</f>
        <v>533</v>
      </c>
      <c r="B534" s="41" t="str">
        <f xml:space="preserve"> _xlfn.TEXTJOIN( "", , data_scaledImpacts[[#This Row],[sector]:[impactType]] )</f>
        <v>SouthwestDustMIROC562010N/AAllResp</v>
      </c>
      <c r="C534" s="33" t="s">
        <v>85</v>
      </c>
      <c r="D534" s="33" t="s">
        <v>4</v>
      </c>
      <c r="E534" s="34">
        <v>6</v>
      </c>
      <c r="F534" s="34">
        <v>2010</v>
      </c>
      <c r="G534" s="34" t="s">
        <v>201</v>
      </c>
      <c r="H534" s="35" t="s">
        <v>193</v>
      </c>
      <c r="I534" s="43" t="s">
        <v>353</v>
      </c>
    </row>
    <row r="535" spans="1:16" hidden="1" x14ac:dyDescent="0.35">
      <c r="A535" s="3">
        <f xml:space="preserve"> ROW( data_scaledImpacts[[#This Row],[row_id]] ) - ROW( data_scaledImpacts[[#Headers],[row_id]] )</f>
        <v>534</v>
      </c>
      <c r="B535" s="41" t="str">
        <f xml:space="preserve"> _xlfn.TEXTJOIN( "", , data_scaledImpacts[[#This Row],[sector]:[impactType]] )</f>
        <v>SouthwestDustGFDL-CM362010N/AAllResp</v>
      </c>
      <c r="C535" s="33" t="s">
        <v>85</v>
      </c>
      <c r="D535" s="33" t="s">
        <v>5</v>
      </c>
      <c r="E535" s="34">
        <v>6</v>
      </c>
      <c r="F535" s="34">
        <v>2010</v>
      </c>
      <c r="G535" s="34" t="s">
        <v>201</v>
      </c>
      <c r="H535" s="35" t="s">
        <v>193</v>
      </c>
      <c r="I535" s="43" t="s">
        <v>354</v>
      </c>
      <c r="P535">
        <v>5.0891907621693232E-6</v>
      </c>
    </row>
    <row r="536" spans="1:16" hidden="1" x14ac:dyDescent="0.35">
      <c r="A536" s="3">
        <f xml:space="preserve"> ROW( data_scaledImpacts[[#This Row],[row_id]] ) - ROW( data_scaledImpacts[[#Headers],[row_id]] )</f>
        <v>535</v>
      </c>
      <c r="B536" s="41" t="str">
        <f xml:space="preserve"> _xlfn.TEXTJOIN( "", , data_scaledImpacts[[#This Row],[sector]:[impactType]] )</f>
        <v>SouthwestDustGCM Average62010N/AAllResp</v>
      </c>
      <c r="C536" s="33" t="s">
        <v>85</v>
      </c>
      <c r="D536" s="33" t="s">
        <v>15</v>
      </c>
      <c r="E536" s="34">
        <v>6</v>
      </c>
      <c r="F536" s="34">
        <v>2010</v>
      </c>
      <c r="G536" s="34" t="s">
        <v>201</v>
      </c>
      <c r="H536" s="35" t="s">
        <v>193</v>
      </c>
      <c r="I536" s="43" t="s">
        <v>355</v>
      </c>
      <c r="P536">
        <v>3.5463131547395749E-6</v>
      </c>
    </row>
    <row r="537" spans="1:16" hidden="1" x14ac:dyDescent="0.35">
      <c r="A537" s="3">
        <f xml:space="preserve"> ROW( data_scaledImpacts[[#This Row],[row_id]] ) - ROW( data_scaledImpacts[[#Headers],[row_id]] )</f>
        <v>536</v>
      </c>
      <c r="B537" s="41" t="str">
        <f xml:space="preserve"> _xlfn.TEXTJOIN( "", , data_scaledImpacts[[#This Row],[sector]:[impactType]] )</f>
        <v>SouthwestDustCanESM272010N/AAllResp</v>
      </c>
      <c r="C537" s="33" t="s">
        <v>85</v>
      </c>
      <c r="D537" s="33" t="s">
        <v>0</v>
      </c>
      <c r="E537" s="34">
        <v>7</v>
      </c>
      <c r="F537" s="34">
        <v>2010</v>
      </c>
      <c r="G537" s="34" t="s">
        <v>201</v>
      </c>
      <c r="H537" s="35" t="s">
        <v>193</v>
      </c>
      <c r="I537" s="43" t="s">
        <v>356</v>
      </c>
    </row>
    <row r="538" spans="1:16" hidden="1" x14ac:dyDescent="0.35">
      <c r="A538" s="3">
        <f xml:space="preserve"> ROW( data_scaledImpacts[[#This Row],[row_id]] ) - ROW( data_scaledImpacts[[#Headers],[row_id]] )</f>
        <v>537</v>
      </c>
      <c r="B538" s="41" t="str">
        <f xml:space="preserve"> _xlfn.TEXTJOIN( "", , data_scaledImpacts[[#This Row],[sector]:[impactType]] )</f>
        <v>SouthwestDustCCSM472010N/AAllResp</v>
      </c>
      <c r="C538" s="33" t="s">
        <v>85</v>
      </c>
      <c r="D538" s="33" t="s">
        <v>1</v>
      </c>
      <c r="E538" s="34">
        <v>7</v>
      </c>
      <c r="F538" s="34">
        <v>2010</v>
      </c>
      <c r="G538" s="34" t="s">
        <v>201</v>
      </c>
      <c r="H538" s="35" t="s">
        <v>193</v>
      </c>
      <c r="I538" s="43" t="s">
        <v>357</v>
      </c>
    </row>
    <row r="539" spans="1:16" hidden="1" x14ac:dyDescent="0.35">
      <c r="A539" s="3">
        <f xml:space="preserve"> ROW( data_scaledImpacts[[#This Row],[row_id]] ) - ROW( data_scaledImpacts[[#Headers],[row_id]] )</f>
        <v>538</v>
      </c>
      <c r="B539" s="41" t="str">
        <f xml:space="preserve"> _xlfn.TEXTJOIN( "", , data_scaledImpacts[[#This Row],[sector]:[impactType]] )</f>
        <v>SouthwestDustGISS-E2-R72010N/AAllResp</v>
      </c>
      <c r="C539" s="33" t="s">
        <v>85</v>
      </c>
      <c r="D539" s="33" t="s">
        <v>2</v>
      </c>
      <c r="E539" s="34">
        <v>7</v>
      </c>
      <c r="F539" s="34">
        <v>2010</v>
      </c>
      <c r="G539" s="34" t="s">
        <v>201</v>
      </c>
      <c r="H539" s="35" t="s">
        <v>193</v>
      </c>
      <c r="I539" s="43" t="s">
        <v>358</v>
      </c>
    </row>
    <row r="540" spans="1:16" hidden="1" x14ac:dyDescent="0.35">
      <c r="A540" s="3">
        <f xml:space="preserve"> ROW( data_scaledImpacts[[#This Row],[row_id]] ) - ROW( data_scaledImpacts[[#Headers],[row_id]] )</f>
        <v>539</v>
      </c>
      <c r="B540" s="41" t="str">
        <f xml:space="preserve"> _xlfn.TEXTJOIN( "", , data_scaledImpacts[[#This Row],[sector]:[impactType]] )</f>
        <v>SouthwestDustHadGEM2-ES72010N/AAllResp</v>
      </c>
      <c r="C540" s="33" t="s">
        <v>85</v>
      </c>
      <c r="D540" s="33" t="s">
        <v>3</v>
      </c>
      <c r="E540" s="34">
        <v>7</v>
      </c>
      <c r="F540" s="34">
        <v>2010</v>
      </c>
      <c r="G540" s="34" t="s">
        <v>201</v>
      </c>
      <c r="H540" s="35" t="s">
        <v>193</v>
      </c>
      <c r="I540" s="43" t="s">
        <v>359</v>
      </c>
    </row>
    <row r="541" spans="1:16" hidden="1" x14ac:dyDescent="0.35">
      <c r="A541" s="3">
        <f xml:space="preserve"> ROW( data_scaledImpacts[[#This Row],[row_id]] ) - ROW( data_scaledImpacts[[#Headers],[row_id]] )</f>
        <v>540</v>
      </c>
      <c r="B541" s="41" t="str">
        <f xml:space="preserve"> _xlfn.TEXTJOIN( "", , data_scaledImpacts[[#This Row],[sector]:[impactType]] )</f>
        <v>SouthwestDustMIROC572010N/AAllResp</v>
      </c>
      <c r="C541" s="33" t="s">
        <v>85</v>
      </c>
      <c r="D541" s="33" t="s">
        <v>4</v>
      </c>
      <c r="E541" s="34">
        <v>7</v>
      </c>
      <c r="F541" s="34">
        <v>2010</v>
      </c>
      <c r="G541" s="34" t="s">
        <v>201</v>
      </c>
      <c r="H541" s="35" t="s">
        <v>193</v>
      </c>
      <c r="I541" s="43" t="s">
        <v>360</v>
      </c>
    </row>
    <row r="542" spans="1:16" hidden="1" x14ac:dyDescent="0.35">
      <c r="A542" s="3">
        <f xml:space="preserve"> ROW( data_scaledImpacts[[#This Row],[row_id]] ) - ROW( data_scaledImpacts[[#Headers],[row_id]] )</f>
        <v>541</v>
      </c>
      <c r="B542" s="41" t="str">
        <f xml:space="preserve"> _xlfn.TEXTJOIN( "", , data_scaledImpacts[[#This Row],[sector]:[impactType]] )</f>
        <v>SouthwestDustGFDL-CM372010N/AAllResp</v>
      </c>
      <c r="C542" s="33" t="s">
        <v>85</v>
      </c>
      <c r="D542" s="33" t="s">
        <v>5</v>
      </c>
      <c r="E542" s="34">
        <v>7</v>
      </c>
      <c r="F542" s="34">
        <v>2010</v>
      </c>
      <c r="G542" s="34" t="s">
        <v>201</v>
      </c>
      <c r="H542" s="35" t="s">
        <v>193</v>
      </c>
      <c r="I542" s="43" t="s">
        <v>361</v>
      </c>
    </row>
    <row r="543" spans="1:16" hidden="1" x14ac:dyDescent="0.35">
      <c r="A543" s="3">
        <f xml:space="preserve"> ROW( data_scaledImpacts[[#This Row],[row_id]] ) - ROW( data_scaledImpacts[[#Headers],[row_id]] )</f>
        <v>542</v>
      </c>
      <c r="B543" s="41" t="str">
        <f xml:space="preserve"> _xlfn.TEXTJOIN( "", , data_scaledImpacts[[#This Row],[sector]:[impactType]] )</f>
        <v>SouthwestDustGCM Average72010N/AAllResp</v>
      </c>
      <c r="C543" s="33" t="s">
        <v>85</v>
      </c>
      <c r="D543" s="33" t="s">
        <v>15</v>
      </c>
      <c r="E543" s="34">
        <v>7</v>
      </c>
      <c r="F543" s="34">
        <v>2010</v>
      </c>
      <c r="G543" s="34" t="s">
        <v>201</v>
      </c>
      <c r="H543" s="35" t="s">
        <v>193</v>
      </c>
      <c r="I543" s="43" t="s">
        <v>362</v>
      </c>
      <c r="P543" t="s">
        <v>26</v>
      </c>
    </row>
    <row r="544" spans="1:16" hidden="1" x14ac:dyDescent="0.35">
      <c r="A544" s="3">
        <f xml:space="preserve"> ROW( data_scaledImpacts[[#This Row],[row_id]] ) - ROW( data_scaledImpacts[[#Headers],[row_id]] )</f>
        <v>543</v>
      </c>
      <c r="B544" s="41" t="str">
        <f xml:space="preserve"> _xlfn.TEXTJOIN( "", , data_scaledImpacts[[#This Row],[sector]:[impactType]] )</f>
        <v>SouthwestDustCanESM212010N/AAllCardiovasc</v>
      </c>
      <c r="C544" s="33" t="s">
        <v>85</v>
      </c>
      <c r="D544" s="33" t="s">
        <v>0</v>
      </c>
      <c r="E544" s="34">
        <v>1</v>
      </c>
      <c r="F544" s="34">
        <v>2010</v>
      </c>
      <c r="G544" s="34" t="s">
        <v>201</v>
      </c>
      <c r="H544" s="35" t="s">
        <v>194</v>
      </c>
      <c r="I544" s="43" t="s">
        <v>363</v>
      </c>
      <c r="P544">
        <v>3.9942364981784177E-7</v>
      </c>
    </row>
    <row r="545" spans="1:16" hidden="1" x14ac:dyDescent="0.35">
      <c r="A545" s="3">
        <f xml:space="preserve"> ROW( data_scaledImpacts[[#This Row],[row_id]] ) - ROW( data_scaledImpacts[[#Headers],[row_id]] )</f>
        <v>544</v>
      </c>
      <c r="B545" s="41" t="str">
        <f xml:space="preserve"> _xlfn.TEXTJOIN( "", , data_scaledImpacts[[#This Row],[sector]:[impactType]] )</f>
        <v>SouthwestDustCCSM412010N/AAllCardiovasc</v>
      </c>
      <c r="C545" s="33" t="s">
        <v>85</v>
      </c>
      <c r="D545" s="33" t="s">
        <v>1</v>
      </c>
      <c r="E545" s="34">
        <v>1</v>
      </c>
      <c r="F545" s="34">
        <v>2010</v>
      </c>
      <c r="G545" s="34" t="s">
        <v>201</v>
      </c>
      <c r="H545" s="35" t="s">
        <v>194</v>
      </c>
      <c r="I545" s="43" t="s">
        <v>364</v>
      </c>
      <c r="P545">
        <v>1.1895413098897539E-6</v>
      </c>
    </row>
    <row r="546" spans="1:16" hidden="1" x14ac:dyDescent="0.35">
      <c r="A546" s="3">
        <f xml:space="preserve"> ROW( data_scaledImpacts[[#This Row],[row_id]] ) - ROW( data_scaledImpacts[[#Headers],[row_id]] )</f>
        <v>545</v>
      </c>
      <c r="B546" s="41" t="str">
        <f xml:space="preserve"> _xlfn.TEXTJOIN( "", , data_scaledImpacts[[#This Row],[sector]:[impactType]] )</f>
        <v>SouthwestDustGISS-E2-R12010N/AAllCardiovasc</v>
      </c>
      <c r="C546" s="33" t="s">
        <v>85</v>
      </c>
      <c r="D546" s="33" t="s">
        <v>2</v>
      </c>
      <c r="E546" s="34">
        <v>1</v>
      </c>
      <c r="F546" s="34">
        <v>2010</v>
      </c>
      <c r="G546" s="34" t="s">
        <v>201</v>
      </c>
      <c r="H546" s="35" t="s">
        <v>194</v>
      </c>
      <c r="I546" s="43" t="s">
        <v>365</v>
      </c>
      <c r="P546">
        <v>1.5546807539289203E-7</v>
      </c>
    </row>
    <row r="547" spans="1:16" hidden="1" x14ac:dyDescent="0.35">
      <c r="A547" s="3">
        <f xml:space="preserve"> ROW( data_scaledImpacts[[#This Row],[row_id]] ) - ROW( data_scaledImpacts[[#Headers],[row_id]] )</f>
        <v>546</v>
      </c>
      <c r="B547" s="41" t="str">
        <f xml:space="preserve"> _xlfn.TEXTJOIN( "", , data_scaledImpacts[[#This Row],[sector]:[impactType]] )</f>
        <v>SouthwestDustHadGEM2-ES12010N/AAllCardiovasc</v>
      </c>
      <c r="C547" s="33" t="s">
        <v>85</v>
      </c>
      <c r="D547" s="33" t="s">
        <v>3</v>
      </c>
      <c r="E547" s="34">
        <v>1</v>
      </c>
      <c r="F547" s="34">
        <v>2010</v>
      </c>
      <c r="G547" s="34" t="s">
        <v>201</v>
      </c>
      <c r="H547" s="35" t="s">
        <v>194</v>
      </c>
      <c r="I547" s="43" t="s">
        <v>366</v>
      </c>
      <c r="P547">
        <v>6.8533119091281198E-8</v>
      </c>
    </row>
    <row r="548" spans="1:16" hidden="1" x14ac:dyDescent="0.35">
      <c r="A548" s="3">
        <f xml:space="preserve"> ROW( data_scaledImpacts[[#This Row],[row_id]] ) - ROW( data_scaledImpacts[[#Headers],[row_id]] )</f>
        <v>547</v>
      </c>
      <c r="B548" s="41" t="str">
        <f xml:space="preserve"> _xlfn.TEXTJOIN( "", , data_scaledImpacts[[#This Row],[sector]:[impactType]] )</f>
        <v>SouthwestDustMIROC512010N/AAllCardiovasc</v>
      </c>
      <c r="C548" s="33" t="s">
        <v>85</v>
      </c>
      <c r="D548" s="33" t="s">
        <v>4</v>
      </c>
      <c r="E548" s="34">
        <v>1</v>
      </c>
      <c r="F548" s="34">
        <v>2010</v>
      </c>
      <c r="G548" s="34" t="s">
        <v>201</v>
      </c>
      <c r="H548" s="35" t="s">
        <v>194</v>
      </c>
      <c r="I548" s="43" t="s">
        <v>367</v>
      </c>
      <c r="P548">
        <v>5.6465301294754324E-7</v>
      </c>
    </row>
    <row r="549" spans="1:16" hidden="1" x14ac:dyDescent="0.35">
      <c r="A549" s="3">
        <f xml:space="preserve"> ROW( data_scaledImpacts[[#This Row],[row_id]] ) - ROW( data_scaledImpacts[[#Headers],[row_id]] )</f>
        <v>548</v>
      </c>
      <c r="B549" s="41" t="str">
        <f xml:space="preserve"> _xlfn.TEXTJOIN( "", , data_scaledImpacts[[#This Row],[sector]:[impactType]] )</f>
        <v>SouthwestDustGFDL-CM312010N/AAllCardiovasc</v>
      </c>
      <c r="C549" s="33" t="s">
        <v>85</v>
      </c>
      <c r="D549" s="33" t="s">
        <v>5</v>
      </c>
      <c r="E549" s="34">
        <v>1</v>
      </c>
      <c r="F549" s="34">
        <v>2010</v>
      </c>
      <c r="G549" s="34" t="s">
        <v>201</v>
      </c>
      <c r="H549" s="35" t="s">
        <v>194</v>
      </c>
      <c r="I549" s="43" t="s">
        <v>368</v>
      </c>
      <c r="P549">
        <v>1.2059487514030834E-6</v>
      </c>
    </row>
    <row r="550" spans="1:16" hidden="1" x14ac:dyDescent="0.35">
      <c r="A550" s="3">
        <f xml:space="preserve"> ROW( data_scaledImpacts[[#This Row],[row_id]] ) - ROW( data_scaledImpacts[[#Headers],[row_id]] )</f>
        <v>549</v>
      </c>
      <c r="B550" s="41" t="str">
        <f xml:space="preserve"> _xlfn.TEXTJOIN( "", , data_scaledImpacts[[#This Row],[sector]:[impactType]] )</f>
        <v>SouthwestDustGCM Average12010N/AAllCardiovasc</v>
      </c>
      <c r="C550" s="33" t="s">
        <v>85</v>
      </c>
      <c r="D550" s="33" t="s">
        <v>15</v>
      </c>
      <c r="E550" s="34">
        <v>1</v>
      </c>
      <c r="F550" s="34">
        <v>2010</v>
      </c>
      <c r="G550" s="34" t="s">
        <v>201</v>
      </c>
      <c r="H550" s="35" t="s">
        <v>194</v>
      </c>
      <c r="I550" s="43" t="s">
        <v>369</v>
      </c>
      <c r="P550">
        <v>5.9726131975706593E-7</v>
      </c>
    </row>
    <row r="551" spans="1:16" hidden="1" x14ac:dyDescent="0.35">
      <c r="A551" s="3">
        <f xml:space="preserve"> ROW( data_scaledImpacts[[#This Row],[row_id]] ) - ROW( data_scaledImpacts[[#Headers],[row_id]] )</f>
        <v>550</v>
      </c>
      <c r="B551" s="41" t="str">
        <f xml:space="preserve"> _xlfn.TEXTJOIN( "", , data_scaledImpacts[[#This Row],[sector]:[impactType]] )</f>
        <v>SouthwestDustCanESM222010N/AAllCardiovasc</v>
      </c>
      <c r="C551" s="33" t="s">
        <v>85</v>
      </c>
      <c r="D551" s="33" t="s">
        <v>0</v>
      </c>
      <c r="E551" s="34">
        <v>2</v>
      </c>
      <c r="F551" s="34">
        <v>2010</v>
      </c>
      <c r="G551" s="34" t="s">
        <v>201</v>
      </c>
      <c r="H551" s="35" t="s">
        <v>194</v>
      </c>
      <c r="I551" s="43" t="s">
        <v>370</v>
      </c>
      <c r="P551">
        <v>1.0848414168459821E-6</v>
      </c>
    </row>
    <row r="552" spans="1:16" hidden="1" x14ac:dyDescent="0.35">
      <c r="A552" s="3">
        <f xml:space="preserve"> ROW( data_scaledImpacts[[#This Row],[row_id]] ) - ROW( data_scaledImpacts[[#Headers],[row_id]] )</f>
        <v>551</v>
      </c>
      <c r="B552" s="41" t="str">
        <f xml:space="preserve"> _xlfn.TEXTJOIN( "", , data_scaledImpacts[[#This Row],[sector]:[impactType]] )</f>
        <v>SouthwestDustCCSM422010N/AAllCardiovasc</v>
      </c>
      <c r="C552" s="33" t="s">
        <v>85</v>
      </c>
      <c r="D552" s="33" t="s">
        <v>1</v>
      </c>
      <c r="E552" s="34">
        <v>2</v>
      </c>
      <c r="F552" s="34">
        <v>2010</v>
      </c>
      <c r="G552" s="34" t="s">
        <v>201</v>
      </c>
      <c r="H552" s="35" t="s">
        <v>194</v>
      </c>
      <c r="I552" s="43" t="s">
        <v>371</v>
      </c>
      <c r="P552">
        <v>1.6245905330148319E-6</v>
      </c>
    </row>
    <row r="553" spans="1:16" hidden="1" x14ac:dyDescent="0.35">
      <c r="A553" s="3">
        <f xml:space="preserve"> ROW( data_scaledImpacts[[#This Row],[row_id]] ) - ROW( data_scaledImpacts[[#Headers],[row_id]] )</f>
        <v>552</v>
      </c>
      <c r="B553" s="41" t="str">
        <f xml:space="preserve"> _xlfn.TEXTJOIN( "", , data_scaledImpacts[[#This Row],[sector]:[impactType]] )</f>
        <v>SouthwestDustGISS-E2-R22010N/AAllCardiovasc</v>
      </c>
      <c r="C553" s="33" t="s">
        <v>85</v>
      </c>
      <c r="D553" s="33" t="s">
        <v>2</v>
      </c>
      <c r="E553" s="34">
        <v>2</v>
      </c>
      <c r="F553" s="34">
        <v>2010</v>
      </c>
      <c r="G553" s="34" t="s">
        <v>201</v>
      </c>
      <c r="H553" s="35" t="s">
        <v>194</v>
      </c>
      <c r="I553" s="43" t="s">
        <v>372</v>
      </c>
      <c r="P553">
        <v>7.654453060749202E-7</v>
      </c>
    </row>
    <row r="554" spans="1:16" hidden="1" x14ac:dyDescent="0.35">
      <c r="A554" s="3">
        <f xml:space="preserve"> ROW( data_scaledImpacts[[#This Row],[row_id]] ) - ROW( data_scaledImpacts[[#Headers],[row_id]] )</f>
        <v>553</v>
      </c>
      <c r="B554" s="41" t="str">
        <f xml:space="preserve"> _xlfn.TEXTJOIN( "", , data_scaledImpacts[[#This Row],[sector]:[impactType]] )</f>
        <v>SouthwestDustHadGEM2-ES22010N/AAllCardiovasc</v>
      </c>
      <c r="C554" s="33" t="s">
        <v>85</v>
      </c>
      <c r="D554" s="33" t="s">
        <v>3</v>
      </c>
      <c r="E554" s="34">
        <v>2</v>
      </c>
      <c r="F554" s="34">
        <v>2010</v>
      </c>
      <c r="G554" s="34" t="s">
        <v>201</v>
      </c>
      <c r="H554" s="35" t="s">
        <v>194</v>
      </c>
      <c r="I554" s="43" t="s">
        <v>373</v>
      </c>
      <c r="P554">
        <v>1.558050460926646E-6</v>
      </c>
    </row>
    <row r="555" spans="1:16" hidden="1" x14ac:dyDescent="0.35">
      <c r="A555" s="3">
        <f xml:space="preserve"> ROW( data_scaledImpacts[[#This Row],[row_id]] ) - ROW( data_scaledImpacts[[#Headers],[row_id]] )</f>
        <v>554</v>
      </c>
      <c r="B555" s="41" t="str">
        <f xml:space="preserve"> _xlfn.TEXTJOIN( "", , data_scaledImpacts[[#This Row],[sector]:[impactType]] )</f>
        <v>SouthwestDustMIROC522010N/AAllCardiovasc</v>
      </c>
      <c r="C555" s="33" t="s">
        <v>85</v>
      </c>
      <c r="D555" s="33" t="s">
        <v>4</v>
      </c>
      <c r="E555" s="34">
        <v>2</v>
      </c>
      <c r="F555" s="34">
        <v>2010</v>
      </c>
      <c r="G555" s="34" t="s">
        <v>201</v>
      </c>
      <c r="H555" s="35" t="s">
        <v>194</v>
      </c>
      <c r="I555" s="43" t="s">
        <v>374</v>
      </c>
      <c r="P555">
        <v>1.1334442206174888E-6</v>
      </c>
    </row>
    <row r="556" spans="1:16" hidden="1" x14ac:dyDescent="0.35">
      <c r="A556" s="3">
        <f xml:space="preserve"> ROW( data_scaledImpacts[[#This Row],[row_id]] ) - ROW( data_scaledImpacts[[#Headers],[row_id]] )</f>
        <v>555</v>
      </c>
      <c r="B556" s="41" t="str">
        <f xml:space="preserve"> _xlfn.TEXTJOIN( "", , data_scaledImpacts[[#This Row],[sector]:[impactType]] )</f>
        <v>SouthwestDustGFDL-CM322010N/AAllCardiovasc</v>
      </c>
      <c r="C556" s="33" t="s">
        <v>85</v>
      </c>
      <c r="D556" s="33" t="s">
        <v>5</v>
      </c>
      <c r="E556" s="34">
        <v>2</v>
      </c>
      <c r="F556" s="34">
        <v>2010</v>
      </c>
      <c r="G556" s="34" t="s">
        <v>201</v>
      </c>
      <c r="H556" s="35" t="s">
        <v>194</v>
      </c>
      <c r="I556" s="43" t="s">
        <v>375</v>
      </c>
      <c r="P556">
        <v>1.712357295126931E-6</v>
      </c>
    </row>
    <row r="557" spans="1:16" hidden="1" x14ac:dyDescent="0.35">
      <c r="A557" s="3">
        <f xml:space="preserve"> ROW( data_scaledImpacts[[#This Row],[row_id]] ) - ROW( data_scaledImpacts[[#Headers],[row_id]] )</f>
        <v>556</v>
      </c>
      <c r="B557" s="41" t="str">
        <f xml:space="preserve"> _xlfn.TEXTJOIN( "", , data_scaledImpacts[[#This Row],[sector]:[impactType]] )</f>
        <v>SouthwestDustGCM Average22010N/AAllCardiovasc</v>
      </c>
      <c r="C557" s="33" t="s">
        <v>85</v>
      </c>
      <c r="D557" s="33" t="s">
        <v>15</v>
      </c>
      <c r="E557" s="34">
        <v>2</v>
      </c>
      <c r="F557" s="34">
        <v>2010</v>
      </c>
      <c r="G557" s="34" t="s">
        <v>201</v>
      </c>
      <c r="H557" s="35" t="s">
        <v>194</v>
      </c>
      <c r="I557" s="43" t="s">
        <v>376</v>
      </c>
      <c r="P557">
        <v>1.3131215387678E-6</v>
      </c>
    </row>
    <row r="558" spans="1:16" hidden="1" x14ac:dyDescent="0.35">
      <c r="A558" s="3">
        <f xml:space="preserve"> ROW( data_scaledImpacts[[#This Row],[row_id]] ) - ROW( data_scaledImpacts[[#Headers],[row_id]] )</f>
        <v>557</v>
      </c>
      <c r="B558" s="41" t="str">
        <f xml:space="preserve"> _xlfn.TEXTJOIN( "", , data_scaledImpacts[[#This Row],[sector]:[impactType]] )</f>
        <v>SouthwestDustCanESM232010N/AAllCardiovasc</v>
      </c>
      <c r="C558" s="33" t="s">
        <v>85</v>
      </c>
      <c r="D558" s="33" t="s">
        <v>0</v>
      </c>
      <c r="E558" s="34">
        <v>3</v>
      </c>
      <c r="F558" s="34">
        <v>2010</v>
      </c>
      <c r="G558" s="34" t="s">
        <v>201</v>
      </c>
      <c r="H558" s="35" t="s">
        <v>194</v>
      </c>
      <c r="I558" s="43" t="s">
        <v>377</v>
      </c>
      <c r="P558">
        <v>1.5088145086784282E-6</v>
      </c>
    </row>
    <row r="559" spans="1:16" hidden="1" x14ac:dyDescent="0.35">
      <c r="A559" s="3">
        <f xml:space="preserve"> ROW( data_scaledImpacts[[#This Row],[row_id]] ) - ROW( data_scaledImpacts[[#Headers],[row_id]] )</f>
        <v>558</v>
      </c>
      <c r="B559" s="41" t="str">
        <f xml:space="preserve"> _xlfn.TEXTJOIN( "", , data_scaledImpacts[[#This Row],[sector]:[impactType]] )</f>
        <v>SouthwestDustCCSM432010N/AAllCardiovasc</v>
      </c>
      <c r="C559" s="33" t="s">
        <v>85</v>
      </c>
      <c r="D559" s="33" t="s">
        <v>1</v>
      </c>
      <c r="E559" s="34">
        <v>3</v>
      </c>
      <c r="F559" s="34">
        <v>2010</v>
      </c>
      <c r="G559" s="34" t="s">
        <v>201</v>
      </c>
      <c r="H559" s="35" t="s">
        <v>194</v>
      </c>
      <c r="I559" s="43" t="s">
        <v>378</v>
      </c>
      <c r="P559">
        <v>1.7883699586544581E-6</v>
      </c>
    </row>
    <row r="560" spans="1:16" hidden="1" x14ac:dyDescent="0.35">
      <c r="A560" s="3">
        <f xml:space="preserve"> ROW( data_scaledImpacts[[#This Row],[row_id]] ) - ROW( data_scaledImpacts[[#Headers],[row_id]] )</f>
        <v>559</v>
      </c>
      <c r="B560" s="41" t="str">
        <f xml:space="preserve"> _xlfn.TEXTJOIN( "", , data_scaledImpacts[[#This Row],[sector]:[impactType]] )</f>
        <v>SouthwestDustGISS-E2-R32010N/AAllCardiovasc</v>
      </c>
      <c r="C560" s="33" t="s">
        <v>85</v>
      </c>
      <c r="D560" s="33" t="s">
        <v>2</v>
      </c>
      <c r="E560" s="34">
        <v>3</v>
      </c>
      <c r="F560" s="34">
        <v>2010</v>
      </c>
      <c r="G560" s="34" t="s">
        <v>201</v>
      </c>
      <c r="H560" s="35" t="s">
        <v>194</v>
      </c>
      <c r="I560" s="43" t="s">
        <v>379</v>
      </c>
      <c r="P560">
        <v>1.9816732990740966E-6</v>
      </c>
    </row>
    <row r="561" spans="1:16" hidden="1" x14ac:dyDescent="0.35">
      <c r="A561" s="3">
        <f xml:space="preserve"> ROW( data_scaledImpacts[[#This Row],[row_id]] ) - ROW( data_scaledImpacts[[#Headers],[row_id]] )</f>
        <v>560</v>
      </c>
      <c r="B561" s="41" t="str">
        <f xml:space="preserve"> _xlfn.TEXTJOIN( "", , data_scaledImpacts[[#This Row],[sector]:[impactType]] )</f>
        <v>SouthwestDustHadGEM2-ES32010N/AAllCardiovasc</v>
      </c>
      <c r="C561" s="33" t="s">
        <v>85</v>
      </c>
      <c r="D561" s="33" t="s">
        <v>3</v>
      </c>
      <c r="E561" s="34">
        <v>3</v>
      </c>
      <c r="F561" s="34">
        <v>2010</v>
      </c>
      <c r="G561" s="34" t="s">
        <v>201</v>
      </c>
      <c r="H561" s="35" t="s">
        <v>194</v>
      </c>
      <c r="I561" s="43" t="s">
        <v>380</v>
      </c>
      <c r="P561">
        <v>1.9112680693690111E-6</v>
      </c>
    </row>
    <row r="562" spans="1:16" hidden="1" x14ac:dyDescent="0.35">
      <c r="A562" s="3">
        <f xml:space="preserve"> ROW( data_scaledImpacts[[#This Row],[row_id]] ) - ROW( data_scaledImpacts[[#Headers],[row_id]] )</f>
        <v>561</v>
      </c>
      <c r="B562" s="41" t="str">
        <f xml:space="preserve"> _xlfn.TEXTJOIN( "", , data_scaledImpacts[[#This Row],[sector]:[impactType]] )</f>
        <v>SouthwestDustMIROC532010N/AAllCardiovasc</v>
      </c>
      <c r="C562" s="33" t="s">
        <v>85</v>
      </c>
      <c r="D562" s="33" t="s">
        <v>4</v>
      </c>
      <c r="E562" s="34">
        <v>3</v>
      </c>
      <c r="F562" s="34">
        <v>2010</v>
      </c>
      <c r="G562" s="34" t="s">
        <v>201</v>
      </c>
      <c r="H562" s="35" t="s">
        <v>194</v>
      </c>
      <c r="I562" s="43" t="s">
        <v>381</v>
      </c>
      <c r="P562">
        <v>2.2199094529857059E-6</v>
      </c>
    </row>
    <row r="563" spans="1:16" hidden="1" x14ac:dyDescent="0.35">
      <c r="A563" s="3">
        <f xml:space="preserve"> ROW( data_scaledImpacts[[#This Row],[row_id]] ) - ROW( data_scaledImpacts[[#Headers],[row_id]] )</f>
        <v>562</v>
      </c>
      <c r="B563" s="41" t="str">
        <f xml:space="preserve"> _xlfn.TEXTJOIN( "", , data_scaledImpacts[[#This Row],[sector]:[impactType]] )</f>
        <v>SouthwestDustGFDL-CM332010N/AAllCardiovasc</v>
      </c>
      <c r="C563" s="33" t="s">
        <v>85</v>
      </c>
      <c r="D563" s="33" t="s">
        <v>5</v>
      </c>
      <c r="E563" s="34">
        <v>3</v>
      </c>
      <c r="F563" s="34">
        <v>2010</v>
      </c>
      <c r="G563" s="34" t="s">
        <v>201</v>
      </c>
      <c r="H563" s="35" t="s">
        <v>194</v>
      </c>
      <c r="I563" s="43" t="s">
        <v>382</v>
      </c>
      <c r="P563">
        <v>2.5390337123342079E-6</v>
      </c>
    </row>
    <row r="564" spans="1:16" hidden="1" x14ac:dyDescent="0.35">
      <c r="A564" s="3">
        <f xml:space="preserve"> ROW( data_scaledImpacts[[#This Row],[row_id]] ) - ROW( data_scaledImpacts[[#Headers],[row_id]] )</f>
        <v>563</v>
      </c>
      <c r="B564" s="41" t="str">
        <f xml:space="preserve"> _xlfn.TEXTJOIN( "", , data_scaledImpacts[[#This Row],[sector]:[impactType]] )</f>
        <v>SouthwestDustGCM Average32010N/AAllCardiovasc</v>
      </c>
      <c r="C564" s="33" t="s">
        <v>85</v>
      </c>
      <c r="D564" s="33" t="s">
        <v>15</v>
      </c>
      <c r="E564" s="34">
        <v>3</v>
      </c>
      <c r="F564" s="34">
        <v>2010</v>
      </c>
      <c r="G564" s="34" t="s">
        <v>201</v>
      </c>
      <c r="H564" s="35" t="s">
        <v>194</v>
      </c>
      <c r="I564" s="43" t="s">
        <v>383</v>
      </c>
      <c r="P564">
        <v>1.9915115001826513E-6</v>
      </c>
    </row>
    <row r="565" spans="1:16" hidden="1" x14ac:dyDescent="0.35">
      <c r="A565" s="3">
        <f xml:space="preserve"> ROW( data_scaledImpacts[[#This Row],[row_id]] ) - ROW( data_scaledImpacts[[#Headers],[row_id]] )</f>
        <v>564</v>
      </c>
      <c r="B565" s="41" t="str">
        <f xml:space="preserve"> _xlfn.TEXTJOIN( "", , data_scaledImpacts[[#This Row],[sector]:[impactType]] )</f>
        <v>SouthwestDustCanESM242010N/AAllCardiovasc</v>
      </c>
      <c r="C565" s="33" t="s">
        <v>85</v>
      </c>
      <c r="D565" s="33" t="s">
        <v>0</v>
      </c>
      <c r="E565" s="34">
        <v>4</v>
      </c>
      <c r="F565" s="34">
        <v>2010</v>
      </c>
      <c r="G565" s="34" t="s">
        <v>201</v>
      </c>
      <c r="H565" s="35" t="s">
        <v>194</v>
      </c>
      <c r="I565" s="43" t="s">
        <v>384</v>
      </c>
      <c r="P565">
        <v>1.4515395613168579E-6</v>
      </c>
    </row>
    <row r="566" spans="1:16" hidden="1" x14ac:dyDescent="0.35">
      <c r="A566" s="3">
        <f xml:space="preserve"> ROW( data_scaledImpacts[[#This Row],[row_id]] ) - ROW( data_scaledImpacts[[#Headers],[row_id]] )</f>
        <v>565</v>
      </c>
      <c r="B566" s="41" t="str">
        <f xml:space="preserve"> _xlfn.TEXTJOIN( "", , data_scaledImpacts[[#This Row],[sector]:[impactType]] )</f>
        <v>SouthwestDustCCSM442010N/AAllCardiovasc</v>
      </c>
      <c r="C566" s="33" t="s">
        <v>85</v>
      </c>
      <c r="D566" s="33" t="s">
        <v>1</v>
      </c>
      <c r="E566" s="34">
        <v>4</v>
      </c>
      <c r="F566" s="34">
        <v>2010</v>
      </c>
      <c r="G566" s="34" t="s">
        <v>201</v>
      </c>
      <c r="H566" s="35" t="s">
        <v>194</v>
      </c>
      <c r="I566" s="43" t="s">
        <v>385</v>
      </c>
      <c r="P566">
        <v>2.4248924736221669E-6</v>
      </c>
    </row>
    <row r="567" spans="1:16" hidden="1" x14ac:dyDescent="0.35">
      <c r="A567" s="3">
        <f xml:space="preserve"> ROW( data_scaledImpacts[[#This Row],[row_id]] ) - ROW( data_scaledImpacts[[#Headers],[row_id]] )</f>
        <v>566</v>
      </c>
      <c r="B567" s="41" t="str">
        <f xml:space="preserve"> _xlfn.TEXTJOIN( "", , data_scaledImpacts[[#This Row],[sector]:[impactType]] )</f>
        <v>SouthwestDustGISS-E2-R42010N/AAllCardiovasc</v>
      </c>
      <c r="C567" s="33" t="s">
        <v>85</v>
      </c>
      <c r="D567" s="33" t="s">
        <v>2</v>
      </c>
      <c r="E567" s="34">
        <v>4</v>
      </c>
      <c r="F567" s="34">
        <v>2010</v>
      </c>
      <c r="G567" s="34" t="s">
        <v>201</v>
      </c>
      <c r="H567" s="35" t="s">
        <v>194</v>
      </c>
      <c r="I567" s="43" t="s">
        <v>386</v>
      </c>
    </row>
    <row r="568" spans="1:16" hidden="1" x14ac:dyDescent="0.35">
      <c r="A568" s="3">
        <f xml:space="preserve"> ROW( data_scaledImpacts[[#This Row],[row_id]] ) - ROW( data_scaledImpacts[[#Headers],[row_id]] )</f>
        <v>567</v>
      </c>
      <c r="B568" s="41" t="str">
        <f xml:space="preserve"> _xlfn.TEXTJOIN( "", , data_scaledImpacts[[#This Row],[sector]:[impactType]] )</f>
        <v>SouthwestDustHadGEM2-ES42010N/AAllCardiovasc</v>
      </c>
      <c r="C568" s="33" t="s">
        <v>85</v>
      </c>
      <c r="D568" s="33" t="s">
        <v>3</v>
      </c>
      <c r="E568" s="34">
        <v>4</v>
      </c>
      <c r="F568" s="34">
        <v>2010</v>
      </c>
      <c r="G568" s="34" t="s">
        <v>201</v>
      </c>
      <c r="H568" s="35" t="s">
        <v>194</v>
      </c>
      <c r="I568" s="43" t="s">
        <v>387</v>
      </c>
      <c r="P568">
        <v>1.9452371019777126E-6</v>
      </c>
    </row>
    <row r="569" spans="1:16" hidden="1" x14ac:dyDescent="0.35">
      <c r="A569" s="3">
        <f xml:space="preserve"> ROW( data_scaledImpacts[[#This Row],[row_id]] ) - ROW( data_scaledImpacts[[#Headers],[row_id]] )</f>
        <v>568</v>
      </c>
      <c r="B569" s="41" t="str">
        <f xml:space="preserve"> _xlfn.TEXTJOIN( "", , data_scaledImpacts[[#This Row],[sector]:[impactType]] )</f>
        <v>SouthwestDustMIROC542010N/AAllCardiovasc</v>
      </c>
      <c r="C569" s="33" t="s">
        <v>85</v>
      </c>
      <c r="D569" s="33" t="s">
        <v>4</v>
      </c>
      <c r="E569" s="34">
        <v>4</v>
      </c>
      <c r="F569" s="34">
        <v>2010</v>
      </c>
      <c r="G569" s="34" t="s">
        <v>201</v>
      </c>
      <c r="H569" s="35" t="s">
        <v>194</v>
      </c>
      <c r="I569" s="43" t="s">
        <v>388</v>
      </c>
      <c r="P569">
        <v>2.7407211061348536E-6</v>
      </c>
    </row>
    <row r="570" spans="1:16" hidden="1" x14ac:dyDescent="0.35">
      <c r="A570" s="3">
        <f xml:space="preserve"> ROW( data_scaledImpacts[[#This Row],[row_id]] ) - ROW( data_scaledImpacts[[#Headers],[row_id]] )</f>
        <v>569</v>
      </c>
      <c r="B570" s="41" t="str">
        <f xml:space="preserve"> _xlfn.TEXTJOIN( "", , data_scaledImpacts[[#This Row],[sector]:[impactType]] )</f>
        <v>SouthwestDustGFDL-CM342010N/AAllCardiovasc</v>
      </c>
      <c r="C570" s="33" t="s">
        <v>85</v>
      </c>
      <c r="D570" s="33" t="s">
        <v>5</v>
      </c>
      <c r="E570" s="34">
        <v>4</v>
      </c>
      <c r="F570" s="34">
        <v>2010</v>
      </c>
      <c r="G570" s="34" t="s">
        <v>201</v>
      </c>
      <c r="H570" s="35" t="s">
        <v>194</v>
      </c>
      <c r="I570" s="43" t="s">
        <v>389</v>
      </c>
      <c r="P570">
        <v>3.463584287600737E-6</v>
      </c>
    </row>
    <row r="571" spans="1:16" hidden="1" x14ac:dyDescent="0.35">
      <c r="A571" s="3">
        <f xml:space="preserve"> ROW( data_scaledImpacts[[#This Row],[row_id]] ) - ROW( data_scaledImpacts[[#Headers],[row_id]] )</f>
        <v>570</v>
      </c>
      <c r="B571" s="41" t="str">
        <f xml:space="preserve"> _xlfn.TEXTJOIN( "", , data_scaledImpacts[[#This Row],[sector]:[impactType]] )</f>
        <v>SouthwestDustGCM Average42010N/AAllCardiovasc</v>
      </c>
      <c r="C571" s="33" t="s">
        <v>85</v>
      </c>
      <c r="D571" s="33" t="s">
        <v>15</v>
      </c>
      <c r="E571" s="34">
        <v>4</v>
      </c>
      <c r="F571" s="34">
        <v>2010</v>
      </c>
      <c r="G571" s="34" t="s">
        <v>201</v>
      </c>
      <c r="H571" s="35" t="s">
        <v>194</v>
      </c>
      <c r="I571" s="43" t="s">
        <v>390</v>
      </c>
      <c r="P571">
        <v>2.4051949061304657E-6</v>
      </c>
    </row>
    <row r="572" spans="1:16" hidden="1" x14ac:dyDescent="0.35">
      <c r="A572" s="3">
        <f xml:space="preserve"> ROW( data_scaledImpacts[[#This Row],[row_id]] ) - ROW( data_scaledImpacts[[#Headers],[row_id]] )</f>
        <v>571</v>
      </c>
      <c r="B572" s="41" t="str">
        <f xml:space="preserve"> _xlfn.TEXTJOIN( "", , data_scaledImpacts[[#This Row],[sector]:[impactType]] )</f>
        <v>SouthwestDustCanESM252010N/AAllCardiovasc</v>
      </c>
      <c r="C572" s="33" t="s">
        <v>85</v>
      </c>
      <c r="D572" s="33" t="s">
        <v>0</v>
      </c>
      <c r="E572" s="34">
        <v>5</v>
      </c>
      <c r="F572" s="34">
        <v>2010</v>
      </c>
      <c r="G572" s="34" t="s">
        <v>201</v>
      </c>
      <c r="H572" s="35" t="s">
        <v>194</v>
      </c>
      <c r="I572" s="43" t="s">
        <v>391</v>
      </c>
      <c r="P572">
        <v>1.8119697788597033E-6</v>
      </c>
    </row>
    <row r="573" spans="1:16" hidden="1" x14ac:dyDescent="0.35">
      <c r="A573" s="3">
        <f xml:space="preserve"> ROW( data_scaledImpacts[[#This Row],[row_id]] ) - ROW( data_scaledImpacts[[#Headers],[row_id]] )</f>
        <v>572</v>
      </c>
      <c r="B573" s="41" t="str">
        <f xml:space="preserve"> _xlfn.TEXTJOIN( "", , data_scaledImpacts[[#This Row],[sector]:[impactType]] )</f>
        <v>SouthwestDustCCSM452010N/AAllCardiovasc</v>
      </c>
      <c r="C573" s="33" t="s">
        <v>85</v>
      </c>
      <c r="D573" s="33" t="s">
        <v>1</v>
      </c>
      <c r="E573" s="34">
        <v>5</v>
      </c>
      <c r="F573" s="34">
        <v>2010</v>
      </c>
      <c r="G573" s="34" t="s">
        <v>201</v>
      </c>
      <c r="H573" s="35" t="s">
        <v>194</v>
      </c>
      <c r="I573" s="43" t="s">
        <v>392</v>
      </c>
      <c r="P573">
        <v>3.7919866726484344E-6</v>
      </c>
    </row>
    <row r="574" spans="1:16" hidden="1" x14ac:dyDescent="0.35">
      <c r="A574" s="3">
        <f xml:space="preserve"> ROW( data_scaledImpacts[[#This Row],[row_id]] ) - ROW( data_scaledImpacts[[#Headers],[row_id]] )</f>
        <v>573</v>
      </c>
      <c r="B574" s="41" t="str">
        <f xml:space="preserve"> _xlfn.TEXTJOIN( "", , data_scaledImpacts[[#This Row],[sector]:[impactType]] )</f>
        <v>SouthwestDustGISS-E2-R52010N/AAllCardiovasc</v>
      </c>
      <c r="C574" s="33" t="s">
        <v>85</v>
      </c>
      <c r="D574" s="33" t="s">
        <v>2</v>
      </c>
      <c r="E574" s="34">
        <v>5</v>
      </c>
      <c r="F574" s="34">
        <v>2010</v>
      </c>
      <c r="G574" s="34" t="s">
        <v>201</v>
      </c>
      <c r="H574" s="35" t="s">
        <v>194</v>
      </c>
      <c r="I574" s="43" t="s">
        <v>393</v>
      </c>
    </row>
    <row r="575" spans="1:16" hidden="1" x14ac:dyDescent="0.35">
      <c r="A575" s="3">
        <f xml:space="preserve"> ROW( data_scaledImpacts[[#This Row],[row_id]] ) - ROW( data_scaledImpacts[[#Headers],[row_id]] )</f>
        <v>574</v>
      </c>
      <c r="B575" s="41" t="str">
        <f xml:space="preserve"> _xlfn.TEXTJOIN( "", , data_scaledImpacts[[#This Row],[sector]:[impactType]] )</f>
        <v>SouthwestDustHadGEM2-ES52010N/AAllCardiovasc</v>
      </c>
      <c r="C575" s="33" t="s">
        <v>85</v>
      </c>
      <c r="D575" s="33" t="s">
        <v>3</v>
      </c>
      <c r="E575" s="34">
        <v>5</v>
      </c>
      <c r="F575" s="34">
        <v>2010</v>
      </c>
      <c r="G575" s="34" t="s">
        <v>201</v>
      </c>
      <c r="H575" s="35" t="s">
        <v>194</v>
      </c>
      <c r="I575" s="43" t="s">
        <v>394</v>
      </c>
      <c r="P575">
        <v>3.1954845398805433E-6</v>
      </c>
    </row>
    <row r="576" spans="1:16" hidden="1" x14ac:dyDescent="0.35">
      <c r="A576" s="3">
        <f xml:space="preserve"> ROW( data_scaledImpacts[[#This Row],[row_id]] ) - ROW( data_scaledImpacts[[#Headers],[row_id]] )</f>
        <v>575</v>
      </c>
      <c r="B576" s="41" t="str">
        <f xml:space="preserve"> _xlfn.TEXTJOIN( "", , data_scaledImpacts[[#This Row],[sector]:[impactType]] )</f>
        <v>SouthwestDustMIROC552010N/AAllCardiovasc</v>
      </c>
      <c r="C576" s="33" t="s">
        <v>85</v>
      </c>
      <c r="D576" s="33" t="s">
        <v>4</v>
      </c>
      <c r="E576" s="34">
        <v>5</v>
      </c>
      <c r="F576" s="34">
        <v>2010</v>
      </c>
      <c r="G576" s="34" t="s">
        <v>201</v>
      </c>
      <c r="H576" s="35" t="s">
        <v>194</v>
      </c>
      <c r="I576" s="43" t="s">
        <v>395</v>
      </c>
      <c r="P576">
        <v>3.4466267698693872E-6</v>
      </c>
    </row>
    <row r="577" spans="1:16" hidden="1" x14ac:dyDescent="0.35">
      <c r="A577" s="3">
        <f xml:space="preserve"> ROW( data_scaledImpacts[[#This Row],[row_id]] ) - ROW( data_scaledImpacts[[#Headers],[row_id]] )</f>
        <v>576</v>
      </c>
      <c r="B577" s="41" t="str">
        <f xml:space="preserve"> _xlfn.TEXTJOIN( "", , data_scaledImpacts[[#This Row],[sector]:[impactType]] )</f>
        <v>SouthwestDustGFDL-CM352010N/AAllCardiovasc</v>
      </c>
      <c r="C577" s="33" t="s">
        <v>85</v>
      </c>
      <c r="D577" s="33" t="s">
        <v>5</v>
      </c>
      <c r="E577" s="34">
        <v>5</v>
      </c>
      <c r="F577" s="34">
        <v>2010</v>
      </c>
      <c r="G577" s="34" t="s">
        <v>201</v>
      </c>
      <c r="H577" s="35" t="s">
        <v>194</v>
      </c>
      <c r="I577" s="43" t="s">
        <v>396</v>
      </c>
      <c r="P577">
        <v>4.3100457332452499E-6</v>
      </c>
    </row>
    <row r="578" spans="1:16" hidden="1" x14ac:dyDescent="0.35">
      <c r="A578" s="3">
        <f xml:space="preserve"> ROW( data_scaledImpacts[[#This Row],[row_id]] ) - ROW( data_scaledImpacts[[#Headers],[row_id]] )</f>
        <v>577</v>
      </c>
      <c r="B578" s="41" t="str">
        <f xml:space="preserve"> _xlfn.TEXTJOIN( "", , data_scaledImpacts[[#This Row],[sector]:[impactType]] )</f>
        <v>SouthwestDustGCM Average52010N/AAllCardiovasc</v>
      </c>
      <c r="C578" s="33" t="s">
        <v>85</v>
      </c>
      <c r="D578" s="33" t="s">
        <v>15</v>
      </c>
      <c r="E578" s="34">
        <v>5</v>
      </c>
      <c r="F578" s="34">
        <v>2010</v>
      </c>
      <c r="G578" s="34" t="s">
        <v>201</v>
      </c>
      <c r="H578" s="35" t="s">
        <v>194</v>
      </c>
      <c r="I578" s="43" t="s">
        <v>397</v>
      </c>
      <c r="P578">
        <v>3.3112226989006634E-6</v>
      </c>
    </row>
    <row r="579" spans="1:16" hidden="1" x14ac:dyDescent="0.35">
      <c r="A579" s="3">
        <f xml:space="preserve"> ROW( data_scaledImpacts[[#This Row],[row_id]] ) - ROW( data_scaledImpacts[[#Headers],[row_id]] )</f>
        <v>578</v>
      </c>
      <c r="B579" s="41" t="str">
        <f xml:space="preserve"> _xlfn.TEXTJOIN( "", , data_scaledImpacts[[#This Row],[sector]:[impactType]] )</f>
        <v>SouthwestDustCanESM262010N/AAllCardiovasc</v>
      </c>
      <c r="C579" s="33" t="s">
        <v>85</v>
      </c>
      <c r="D579" s="33" t="s">
        <v>0</v>
      </c>
      <c r="E579" s="34">
        <v>6</v>
      </c>
      <c r="F579" s="34">
        <v>2010</v>
      </c>
      <c r="G579" s="34" t="s">
        <v>201</v>
      </c>
      <c r="H579" s="35" t="s">
        <v>194</v>
      </c>
      <c r="I579" s="43" t="s">
        <v>398</v>
      </c>
      <c r="P579">
        <v>2.3180639908804953E-6</v>
      </c>
    </row>
    <row r="580" spans="1:16" hidden="1" x14ac:dyDescent="0.35">
      <c r="A580" s="3">
        <f xml:space="preserve"> ROW( data_scaledImpacts[[#This Row],[row_id]] ) - ROW( data_scaledImpacts[[#Headers],[row_id]] )</f>
        <v>579</v>
      </c>
      <c r="B580" s="41" t="str">
        <f xml:space="preserve"> _xlfn.TEXTJOIN( "", , data_scaledImpacts[[#This Row],[sector]:[impactType]] )</f>
        <v>SouthwestDustCCSM462010N/AAllCardiovasc</v>
      </c>
      <c r="C580" s="33" t="s">
        <v>85</v>
      </c>
      <c r="D580" s="33" t="s">
        <v>1</v>
      </c>
      <c r="E580" s="34">
        <v>6</v>
      </c>
      <c r="F580" s="34">
        <v>2010</v>
      </c>
      <c r="G580" s="34" t="s">
        <v>201</v>
      </c>
      <c r="H580" s="35" t="s">
        <v>194</v>
      </c>
      <c r="I580" s="43" t="s">
        <v>399</v>
      </c>
    </row>
    <row r="581" spans="1:16" hidden="1" x14ac:dyDescent="0.35">
      <c r="A581" s="3">
        <f xml:space="preserve"> ROW( data_scaledImpacts[[#This Row],[row_id]] ) - ROW( data_scaledImpacts[[#Headers],[row_id]] )</f>
        <v>580</v>
      </c>
      <c r="B581" s="41" t="str">
        <f xml:space="preserve"> _xlfn.TEXTJOIN( "", , data_scaledImpacts[[#This Row],[sector]:[impactType]] )</f>
        <v>SouthwestDustGISS-E2-R62010N/AAllCardiovasc</v>
      </c>
      <c r="C581" s="33" t="s">
        <v>85</v>
      </c>
      <c r="D581" s="33" t="s">
        <v>2</v>
      </c>
      <c r="E581" s="34">
        <v>6</v>
      </c>
      <c r="F581" s="34">
        <v>2010</v>
      </c>
      <c r="G581" s="34" t="s">
        <v>201</v>
      </c>
      <c r="H581" s="35" t="s">
        <v>194</v>
      </c>
      <c r="I581" s="43" t="s">
        <v>400</v>
      </c>
    </row>
    <row r="582" spans="1:16" hidden="1" x14ac:dyDescent="0.35">
      <c r="A582" s="3">
        <f xml:space="preserve"> ROW( data_scaledImpacts[[#This Row],[row_id]] ) - ROW( data_scaledImpacts[[#Headers],[row_id]] )</f>
        <v>581</v>
      </c>
      <c r="B582" s="41" t="str">
        <f xml:space="preserve"> _xlfn.TEXTJOIN( "", , data_scaledImpacts[[#This Row],[sector]:[impactType]] )</f>
        <v>SouthwestDustHadGEM2-ES62010N/AAllCardiovasc</v>
      </c>
      <c r="C582" s="33" t="s">
        <v>85</v>
      </c>
      <c r="D582" s="33" t="s">
        <v>3</v>
      </c>
      <c r="E582" s="34">
        <v>6</v>
      </c>
      <c r="F582" s="34">
        <v>2010</v>
      </c>
      <c r="G582" s="34" t="s">
        <v>201</v>
      </c>
      <c r="H582" s="35" t="s">
        <v>194</v>
      </c>
      <c r="I582" s="43" t="s">
        <v>401</v>
      </c>
      <c r="P582">
        <v>3.0616053206304274E-6</v>
      </c>
    </row>
    <row r="583" spans="1:16" hidden="1" x14ac:dyDescent="0.35">
      <c r="A583" s="3">
        <f xml:space="preserve"> ROW( data_scaledImpacts[[#This Row],[row_id]] ) - ROW( data_scaledImpacts[[#Headers],[row_id]] )</f>
        <v>582</v>
      </c>
      <c r="B583" s="41" t="str">
        <f xml:space="preserve"> _xlfn.TEXTJOIN( "", , data_scaledImpacts[[#This Row],[sector]:[impactType]] )</f>
        <v>SouthwestDustMIROC562010N/AAllCardiovasc</v>
      </c>
      <c r="C583" s="33" t="s">
        <v>85</v>
      </c>
      <c r="D583" s="33" t="s">
        <v>4</v>
      </c>
      <c r="E583" s="34">
        <v>6</v>
      </c>
      <c r="F583" s="34">
        <v>2010</v>
      </c>
      <c r="G583" s="34" t="s">
        <v>201</v>
      </c>
      <c r="H583" s="35" t="s">
        <v>194</v>
      </c>
      <c r="I583" s="43" t="s">
        <v>402</v>
      </c>
    </row>
    <row r="584" spans="1:16" hidden="1" x14ac:dyDescent="0.35">
      <c r="A584" s="3">
        <f xml:space="preserve"> ROW( data_scaledImpacts[[#This Row],[row_id]] ) - ROW( data_scaledImpacts[[#Headers],[row_id]] )</f>
        <v>583</v>
      </c>
      <c r="B584" s="41" t="str">
        <f xml:space="preserve"> _xlfn.TEXTJOIN( "", , data_scaledImpacts[[#This Row],[sector]:[impactType]] )</f>
        <v>SouthwestDustGFDL-CM362010N/AAllCardiovasc</v>
      </c>
      <c r="C584" s="33" t="s">
        <v>85</v>
      </c>
      <c r="D584" s="33" t="s">
        <v>5</v>
      </c>
      <c r="E584" s="34">
        <v>6</v>
      </c>
      <c r="F584" s="34">
        <v>2010</v>
      </c>
      <c r="G584" s="34" t="s">
        <v>201</v>
      </c>
      <c r="H584" s="35" t="s">
        <v>194</v>
      </c>
      <c r="I584" s="43" t="s">
        <v>403</v>
      </c>
      <c r="P584">
        <v>4.9402472452101437E-6</v>
      </c>
    </row>
    <row r="585" spans="1:16" hidden="1" x14ac:dyDescent="0.35">
      <c r="A585" s="3">
        <f xml:space="preserve"> ROW( data_scaledImpacts[[#This Row],[row_id]] ) - ROW( data_scaledImpacts[[#Headers],[row_id]] )</f>
        <v>584</v>
      </c>
      <c r="B585" s="41" t="str">
        <f xml:space="preserve"> _xlfn.TEXTJOIN( "", , data_scaledImpacts[[#This Row],[sector]:[impactType]] )</f>
        <v>SouthwestDustGCM Average62010N/AAllCardiovasc</v>
      </c>
      <c r="C585" s="33" t="s">
        <v>85</v>
      </c>
      <c r="D585" s="33" t="s">
        <v>15</v>
      </c>
      <c r="E585" s="34">
        <v>6</v>
      </c>
      <c r="F585" s="34">
        <v>2010</v>
      </c>
      <c r="G585" s="34" t="s">
        <v>201</v>
      </c>
      <c r="H585" s="35" t="s">
        <v>194</v>
      </c>
      <c r="I585" s="43" t="s">
        <v>404</v>
      </c>
      <c r="P585">
        <v>3.4399721855736885E-6</v>
      </c>
    </row>
    <row r="586" spans="1:16" hidden="1" x14ac:dyDescent="0.35">
      <c r="A586" s="3">
        <f xml:space="preserve"> ROW( data_scaledImpacts[[#This Row],[row_id]] ) - ROW( data_scaledImpacts[[#Headers],[row_id]] )</f>
        <v>585</v>
      </c>
      <c r="B586" s="41" t="str">
        <f xml:space="preserve"> _xlfn.TEXTJOIN( "", , data_scaledImpacts[[#This Row],[sector]:[impactType]] )</f>
        <v>SouthwestDustCanESM272010N/AAllCardiovasc</v>
      </c>
      <c r="C586" s="33" t="s">
        <v>85</v>
      </c>
      <c r="D586" s="33" t="s">
        <v>0</v>
      </c>
      <c r="E586" s="34">
        <v>7</v>
      </c>
      <c r="F586" s="34">
        <v>2010</v>
      </c>
      <c r="G586" s="34" t="s">
        <v>201</v>
      </c>
      <c r="H586" s="35" t="s">
        <v>194</v>
      </c>
      <c r="I586" s="43" t="s">
        <v>405</v>
      </c>
    </row>
    <row r="587" spans="1:16" hidden="1" x14ac:dyDescent="0.35">
      <c r="A587" s="3">
        <f xml:space="preserve"> ROW( data_scaledImpacts[[#This Row],[row_id]] ) - ROW( data_scaledImpacts[[#Headers],[row_id]] )</f>
        <v>586</v>
      </c>
      <c r="B587" s="41" t="str">
        <f xml:space="preserve"> _xlfn.TEXTJOIN( "", , data_scaledImpacts[[#This Row],[sector]:[impactType]] )</f>
        <v>SouthwestDustCCSM472010N/AAllCardiovasc</v>
      </c>
      <c r="C587" s="33" t="s">
        <v>85</v>
      </c>
      <c r="D587" s="33" t="s">
        <v>1</v>
      </c>
      <c r="E587" s="34">
        <v>7</v>
      </c>
      <c r="F587" s="34">
        <v>2010</v>
      </c>
      <c r="G587" s="34" t="s">
        <v>201</v>
      </c>
      <c r="H587" s="35" t="s">
        <v>194</v>
      </c>
      <c r="I587" s="43" t="s">
        <v>406</v>
      </c>
    </row>
    <row r="588" spans="1:16" hidden="1" x14ac:dyDescent="0.35">
      <c r="A588" s="3">
        <f xml:space="preserve"> ROW( data_scaledImpacts[[#This Row],[row_id]] ) - ROW( data_scaledImpacts[[#Headers],[row_id]] )</f>
        <v>587</v>
      </c>
      <c r="B588" s="41" t="str">
        <f xml:space="preserve"> _xlfn.TEXTJOIN( "", , data_scaledImpacts[[#This Row],[sector]:[impactType]] )</f>
        <v>SouthwestDustGISS-E2-R72010N/AAllCardiovasc</v>
      </c>
      <c r="C588" s="33" t="s">
        <v>85</v>
      </c>
      <c r="D588" s="33" t="s">
        <v>2</v>
      </c>
      <c r="E588" s="34">
        <v>7</v>
      </c>
      <c r="F588" s="34">
        <v>2010</v>
      </c>
      <c r="G588" s="34" t="s">
        <v>201</v>
      </c>
      <c r="H588" s="35" t="s">
        <v>194</v>
      </c>
      <c r="I588" s="43" t="s">
        <v>407</v>
      </c>
    </row>
    <row r="589" spans="1:16" hidden="1" x14ac:dyDescent="0.35">
      <c r="A589" s="3">
        <f xml:space="preserve"> ROW( data_scaledImpacts[[#This Row],[row_id]] ) - ROW( data_scaledImpacts[[#Headers],[row_id]] )</f>
        <v>588</v>
      </c>
      <c r="B589" s="41" t="str">
        <f xml:space="preserve"> _xlfn.TEXTJOIN( "", , data_scaledImpacts[[#This Row],[sector]:[impactType]] )</f>
        <v>SouthwestDustHadGEM2-ES72010N/AAllCardiovasc</v>
      </c>
      <c r="C589" s="33" t="s">
        <v>85</v>
      </c>
      <c r="D589" s="33" t="s">
        <v>3</v>
      </c>
      <c r="E589" s="34">
        <v>7</v>
      </c>
      <c r="F589" s="34">
        <v>2010</v>
      </c>
      <c r="G589" s="34" t="s">
        <v>201</v>
      </c>
      <c r="H589" s="35" t="s">
        <v>194</v>
      </c>
      <c r="I589" s="43" t="s">
        <v>408</v>
      </c>
    </row>
    <row r="590" spans="1:16" hidden="1" x14ac:dyDescent="0.35">
      <c r="A590" s="3">
        <f xml:space="preserve"> ROW( data_scaledImpacts[[#This Row],[row_id]] ) - ROW( data_scaledImpacts[[#Headers],[row_id]] )</f>
        <v>589</v>
      </c>
      <c r="B590" s="41" t="str">
        <f xml:space="preserve"> _xlfn.TEXTJOIN( "", , data_scaledImpacts[[#This Row],[sector]:[impactType]] )</f>
        <v>SouthwestDustMIROC572010N/AAllCardiovasc</v>
      </c>
      <c r="C590" s="33" t="s">
        <v>85</v>
      </c>
      <c r="D590" s="33" t="s">
        <v>4</v>
      </c>
      <c r="E590" s="34">
        <v>7</v>
      </c>
      <c r="F590" s="34">
        <v>2010</v>
      </c>
      <c r="G590" s="34" t="s">
        <v>201</v>
      </c>
      <c r="H590" s="35" t="s">
        <v>194</v>
      </c>
      <c r="I590" s="43" t="s">
        <v>409</v>
      </c>
    </row>
    <row r="591" spans="1:16" hidden="1" x14ac:dyDescent="0.35">
      <c r="A591" s="3">
        <f xml:space="preserve"> ROW( data_scaledImpacts[[#This Row],[row_id]] ) - ROW( data_scaledImpacts[[#Headers],[row_id]] )</f>
        <v>590</v>
      </c>
      <c r="B591" s="41" t="str">
        <f xml:space="preserve"> _xlfn.TEXTJOIN( "", , data_scaledImpacts[[#This Row],[sector]:[impactType]] )</f>
        <v>SouthwestDustGFDL-CM372010N/AAllCardiovasc</v>
      </c>
      <c r="C591" s="33" t="s">
        <v>85</v>
      </c>
      <c r="D591" s="33" t="s">
        <v>5</v>
      </c>
      <c r="E591" s="34">
        <v>7</v>
      </c>
      <c r="F591" s="34">
        <v>2010</v>
      </c>
      <c r="G591" s="34" t="s">
        <v>201</v>
      </c>
      <c r="H591" s="35" t="s">
        <v>194</v>
      </c>
      <c r="I591" s="43" t="s">
        <v>410</v>
      </c>
    </row>
    <row r="592" spans="1:16" hidden="1" x14ac:dyDescent="0.35">
      <c r="A592" s="3">
        <f xml:space="preserve"> ROW( data_scaledImpacts[[#This Row],[row_id]] ) - ROW( data_scaledImpacts[[#Headers],[row_id]] )</f>
        <v>591</v>
      </c>
      <c r="B592" s="41" t="str">
        <f xml:space="preserve"> _xlfn.TEXTJOIN( "", , data_scaledImpacts[[#This Row],[sector]:[impactType]] )</f>
        <v>SouthwestDustGCM Average72010N/AAllCardiovasc</v>
      </c>
      <c r="C592" s="33" t="s">
        <v>85</v>
      </c>
      <c r="D592" s="33" t="s">
        <v>15</v>
      </c>
      <c r="E592" s="34">
        <v>7</v>
      </c>
      <c r="F592" s="34">
        <v>2010</v>
      </c>
      <c r="G592" s="34" t="s">
        <v>201</v>
      </c>
      <c r="H592" s="35" t="s">
        <v>194</v>
      </c>
      <c r="I592" s="43" t="s">
        <v>411</v>
      </c>
      <c r="P592" t="s">
        <v>26</v>
      </c>
    </row>
    <row r="593" spans="1:16" hidden="1" x14ac:dyDescent="0.35">
      <c r="A593" s="3">
        <f xml:space="preserve"> ROW( data_scaledImpacts[[#This Row],[row_id]] ) - ROW( data_scaledImpacts[[#Headers],[row_id]] )</f>
        <v>592</v>
      </c>
      <c r="B593" s="41" t="str">
        <f xml:space="preserve"> _xlfn.TEXTJOIN( "", , data_scaledImpacts[[#This Row],[sector]:[impactType]] )</f>
        <v>SouthwestDustCanESM212010N/AACMI</v>
      </c>
      <c r="C593" s="33" t="s">
        <v>85</v>
      </c>
      <c r="D593" s="33" t="s">
        <v>0</v>
      </c>
      <c r="E593" s="34">
        <v>1</v>
      </c>
      <c r="F593" s="34">
        <v>2010</v>
      </c>
      <c r="G593" s="34" t="s">
        <v>201</v>
      </c>
      <c r="H593" s="35" t="s">
        <v>195</v>
      </c>
      <c r="I593" s="43" t="s">
        <v>412</v>
      </c>
      <c r="P593">
        <v>9.7227728821495725E-7</v>
      </c>
    </row>
    <row r="594" spans="1:16" hidden="1" x14ac:dyDescent="0.35">
      <c r="A594" s="3">
        <f xml:space="preserve"> ROW( data_scaledImpacts[[#This Row],[row_id]] ) - ROW( data_scaledImpacts[[#Headers],[row_id]] )</f>
        <v>593</v>
      </c>
      <c r="B594" s="41" t="str">
        <f xml:space="preserve"> _xlfn.TEXTJOIN( "", , data_scaledImpacts[[#This Row],[sector]:[impactType]] )</f>
        <v>SouthwestDustCCSM412010N/AACMI</v>
      </c>
      <c r="C594" s="33" t="s">
        <v>85</v>
      </c>
      <c r="D594" s="33" t="s">
        <v>1</v>
      </c>
      <c r="E594" s="34">
        <v>1</v>
      </c>
      <c r="F594" s="34">
        <v>2010</v>
      </c>
      <c r="G594" s="34" t="s">
        <v>201</v>
      </c>
      <c r="H594" s="35" t="s">
        <v>195</v>
      </c>
      <c r="I594" s="43" t="s">
        <v>413</v>
      </c>
      <c r="P594">
        <v>2.984726216594176E-6</v>
      </c>
    </row>
    <row r="595" spans="1:16" hidden="1" x14ac:dyDescent="0.35">
      <c r="A595" s="3">
        <f xml:space="preserve"> ROW( data_scaledImpacts[[#This Row],[row_id]] ) - ROW( data_scaledImpacts[[#Headers],[row_id]] )</f>
        <v>594</v>
      </c>
      <c r="B595" s="41" t="str">
        <f xml:space="preserve"> _xlfn.TEXTJOIN( "", , data_scaledImpacts[[#This Row],[sector]:[impactType]] )</f>
        <v>SouthwestDustGISS-E2-R12010N/AACMI</v>
      </c>
      <c r="C595" s="33" t="s">
        <v>85</v>
      </c>
      <c r="D595" s="33" t="s">
        <v>2</v>
      </c>
      <c r="E595" s="34">
        <v>1</v>
      </c>
      <c r="F595" s="34">
        <v>2010</v>
      </c>
      <c r="G595" s="34" t="s">
        <v>201</v>
      </c>
      <c r="H595" s="35" t="s">
        <v>195</v>
      </c>
      <c r="I595" s="43" t="s">
        <v>414</v>
      </c>
      <c r="P595">
        <v>3.5091648208768423E-7</v>
      </c>
    </row>
    <row r="596" spans="1:16" hidden="1" x14ac:dyDescent="0.35">
      <c r="A596" s="3">
        <f xml:space="preserve"> ROW( data_scaledImpacts[[#This Row],[row_id]] ) - ROW( data_scaledImpacts[[#Headers],[row_id]] )</f>
        <v>595</v>
      </c>
      <c r="B596" s="41" t="str">
        <f xml:space="preserve"> _xlfn.TEXTJOIN( "", , data_scaledImpacts[[#This Row],[sector]:[impactType]] )</f>
        <v>SouthwestDustHadGEM2-ES12010N/AACMI</v>
      </c>
      <c r="C596" s="33" t="s">
        <v>85</v>
      </c>
      <c r="D596" s="33" t="s">
        <v>3</v>
      </c>
      <c r="E596" s="34">
        <v>1</v>
      </c>
      <c r="F596" s="34">
        <v>2010</v>
      </c>
      <c r="G596" s="34" t="s">
        <v>201</v>
      </c>
      <c r="H596" s="35" t="s">
        <v>195</v>
      </c>
      <c r="I596" s="43" t="s">
        <v>415</v>
      </c>
      <c r="P596">
        <v>1.2949101878185772E-7</v>
      </c>
    </row>
    <row r="597" spans="1:16" hidden="1" x14ac:dyDescent="0.35">
      <c r="A597" s="3">
        <f xml:space="preserve"> ROW( data_scaledImpacts[[#This Row],[row_id]] ) - ROW( data_scaledImpacts[[#Headers],[row_id]] )</f>
        <v>596</v>
      </c>
      <c r="B597" s="41" t="str">
        <f xml:space="preserve"> _xlfn.TEXTJOIN( "", , data_scaledImpacts[[#This Row],[sector]:[impactType]] )</f>
        <v>SouthwestDustMIROC512010N/AACMI</v>
      </c>
      <c r="C597" s="33" t="s">
        <v>85</v>
      </c>
      <c r="D597" s="33" t="s">
        <v>4</v>
      </c>
      <c r="E597" s="34">
        <v>1</v>
      </c>
      <c r="F597" s="34">
        <v>2010</v>
      </c>
      <c r="G597" s="34" t="s">
        <v>201</v>
      </c>
      <c r="H597" s="35" t="s">
        <v>195</v>
      </c>
      <c r="I597" s="43" t="s">
        <v>416</v>
      </c>
      <c r="P597">
        <v>1.3931204636054702E-6</v>
      </c>
    </row>
    <row r="598" spans="1:16" hidden="1" x14ac:dyDescent="0.35">
      <c r="A598" s="3">
        <f xml:space="preserve"> ROW( data_scaledImpacts[[#This Row],[row_id]] ) - ROW( data_scaledImpacts[[#Headers],[row_id]] )</f>
        <v>597</v>
      </c>
      <c r="B598" s="41" t="str">
        <f xml:space="preserve"> _xlfn.TEXTJOIN( "", , data_scaledImpacts[[#This Row],[sector]:[impactType]] )</f>
        <v>SouthwestDustGFDL-CM312010N/AACMI</v>
      </c>
      <c r="C598" s="33" t="s">
        <v>85</v>
      </c>
      <c r="D598" s="33" t="s">
        <v>5</v>
      </c>
      <c r="E598" s="34">
        <v>1</v>
      </c>
      <c r="F598" s="34">
        <v>2010</v>
      </c>
      <c r="G598" s="34" t="s">
        <v>201</v>
      </c>
      <c r="H598" s="35" t="s">
        <v>195</v>
      </c>
      <c r="I598" s="43" t="s">
        <v>417</v>
      </c>
      <c r="P598">
        <v>3.0265162788307895E-6</v>
      </c>
    </row>
    <row r="599" spans="1:16" hidden="1" x14ac:dyDescent="0.35">
      <c r="A599" s="3">
        <f xml:space="preserve"> ROW( data_scaledImpacts[[#This Row],[row_id]] ) - ROW( data_scaledImpacts[[#Headers],[row_id]] )</f>
        <v>598</v>
      </c>
      <c r="B599" s="41" t="str">
        <f xml:space="preserve"> _xlfn.TEXTJOIN( "", , data_scaledImpacts[[#This Row],[sector]:[impactType]] )</f>
        <v>SouthwestDustGCM Average12010N/AACMI</v>
      </c>
      <c r="C599" s="33" t="s">
        <v>85</v>
      </c>
      <c r="D599" s="33" t="s">
        <v>15</v>
      </c>
      <c r="E599" s="34">
        <v>1</v>
      </c>
      <c r="F599" s="34">
        <v>2010</v>
      </c>
      <c r="G599" s="34" t="s">
        <v>201</v>
      </c>
      <c r="H599" s="35" t="s">
        <v>195</v>
      </c>
      <c r="I599" s="43" t="s">
        <v>418</v>
      </c>
      <c r="P599">
        <v>1.4761746246858227E-6</v>
      </c>
    </row>
    <row r="600" spans="1:16" hidden="1" x14ac:dyDescent="0.35">
      <c r="A600" s="3">
        <f xml:space="preserve"> ROW( data_scaledImpacts[[#This Row],[row_id]] ) - ROW( data_scaledImpacts[[#Headers],[row_id]] )</f>
        <v>599</v>
      </c>
      <c r="B600" s="41" t="str">
        <f xml:space="preserve"> _xlfn.TEXTJOIN( "", , data_scaledImpacts[[#This Row],[sector]:[impactType]] )</f>
        <v>SouthwestDustCanESM222010N/AACMI</v>
      </c>
      <c r="C600" s="33" t="s">
        <v>85</v>
      </c>
      <c r="D600" s="33" t="s">
        <v>0</v>
      </c>
      <c r="E600" s="34">
        <v>2</v>
      </c>
      <c r="F600" s="34">
        <v>2010</v>
      </c>
      <c r="G600" s="34" t="s">
        <v>201</v>
      </c>
      <c r="H600" s="35" t="s">
        <v>195</v>
      </c>
      <c r="I600" s="43" t="s">
        <v>419</v>
      </c>
      <c r="P600">
        <v>2.718053133942804E-6</v>
      </c>
    </row>
    <row r="601" spans="1:16" hidden="1" x14ac:dyDescent="0.35">
      <c r="A601" s="3">
        <f xml:space="preserve"> ROW( data_scaledImpacts[[#This Row],[row_id]] ) - ROW( data_scaledImpacts[[#Headers],[row_id]] )</f>
        <v>600</v>
      </c>
      <c r="B601" s="41" t="str">
        <f xml:space="preserve"> _xlfn.TEXTJOIN( "", , data_scaledImpacts[[#This Row],[sector]:[impactType]] )</f>
        <v>SouthwestDustCCSM422010N/AACMI</v>
      </c>
      <c r="C601" s="33" t="s">
        <v>85</v>
      </c>
      <c r="D601" s="33" t="s">
        <v>1</v>
      </c>
      <c r="E601" s="34">
        <v>2</v>
      </c>
      <c r="F601" s="34">
        <v>2010</v>
      </c>
      <c r="G601" s="34" t="s">
        <v>201</v>
      </c>
      <c r="H601" s="35" t="s">
        <v>195</v>
      </c>
      <c r="I601" s="43" t="s">
        <v>420</v>
      </c>
      <c r="P601">
        <v>4.0928071404627808E-6</v>
      </c>
    </row>
    <row r="602" spans="1:16" hidden="1" x14ac:dyDescent="0.35">
      <c r="A602" s="3">
        <f xml:space="preserve"> ROW( data_scaledImpacts[[#This Row],[row_id]] ) - ROW( data_scaledImpacts[[#Headers],[row_id]] )</f>
        <v>601</v>
      </c>
      <c r="B602" s="41" t="str">
        <f xml:space="preserve"> _xlfn.TEXTJOIN( "", , data_scaledImpacts[[#This Row],[sector]:[impactType]] )</f>
        <v>SouthwestDustGISS-E2-R22010N/AACMI</v>
      </c>
      <c r="C602" s="33" t="s">
        <v>85</v>
      </c>
      <c r="D602" s="33" t="s">
        <v>2</v>
      </c>
      <c r="E602" s="34">
        <v>2</v>
      </c>
      <c r="F602" s="34">
        <v>2010</v>
      </c>
      <c r="G602" s="34" t="s">
        <v>201</v>
      </c>
      <c r="H602" s="35" t="s">
        <v>195</v>
      </c>
      <c r="I602" s="43" t="s">
        <v>421</v>
      </c>
      <c r="P602">
        <v>1.9045433526086877E-6</v>
      </c>
    </row>
    <row r="603" spans="1:16" hidden="1" x14ac:dyDescent="0.35">
      <c r="A603" s="3">
        <f xml:space="preserve"> ROW( data_scaledImpacts[[#This Row],[row_id]] ) - ROW( data_scaledImpacts[[#Headers],[row_id]] )</f>
        <v>602</v>
      </c>
      <c r="B603" s="41" t="str">
        <f xml:space="preserve"> _xlfn.TEXTJOIN( "", , data_scaledImpacts[[#This Row],[sector]:[impactType]] )</f>
        <v>SouthwestDustHadGEM2-ES22010N/AACMI</v>
      </c>
      <c r="C603" s="33" t="s">
        <v>85</v>
      </c>
      <c r="D603" s="33" t="s">
        <v>3</v>
      </c>
      <c r="E603" s="34">
        <v>2</v>
      </c>
      <c r="F603" s="34">
        <v>2010</v>
      </c>
      <c r="G603" s="34" t="s">
        <v>201</v>
      </c>
      <c r="H603" s="35" t="s">
        <v>195</v>
      </c>
      <c r="I603" s="43" t="s">
        <v>422</v>
      </c>
      <c r="P603">
        <v>3.9233278994546118E-6</v>
      </c>
    </row>
    <row r="604" spans="1:16" hidden="1" x14ac:dyDescent="0.35">
      <c r="A604" s="3">
        <f xml:space="preserve"> ROW( data_scaledImpacts[[#This Row],[row_id]] ) - ROW( data_scaledImpacts[[#Headers],[row_id]] )</f>
        <v>603</v>
      </c>
      <c r="B604" s="41" t="str">
        <f xml:space="preserve"> _xlfn.TEXTJOIN( "", , data_scaledImpacts[[#This Row],[sector]:[impactType]] )</f>
        <v>SouthwestDustMIROC522010N/AACMI</v>
      </c>
      <c r="C604" s="33" t="s">
        <v>85</v>
      </c>
      <c r="D604" s="33" t="s">
        <v>4</v>
      </c>
      <c r="E604" s="34">
        <v>2</v>
      </c>
      <c r="F604" s="34">
        <v>2010</v>
      </c>
      <c r="G604" s="34" t="s">
        <v>201</v>
      </c>
      <c r="H604" s="35" t="s">
        <v>195</v>
      </c>
      <c r="I604" s="43" t="s">
        <v>423</v>
      </c>
      <c r="P604">
        <v>2.8418455138806829E-6</v>
      </c>
    </row>
    <row r="605" spans="1:16" hidden="1" x14ac:dyDescent="0.35">
      <c r="A605" s="3">
        <f xml:space="preserve"> ROW( data_scaledImpacts[[#This Row],[row_id]] ) - ROW( data_scaledImpacts[[#Headers],[row_id]] )</f>
        <v>604</v>
      </c>
      <c r="B605" s="41" t="str">
        <f xml:space="preserve"> _xlfn.TEXTJOIN( "", , data_scaledImpacts[[#This Row],[sector]:[impactType]] )</f>
        <v>SouthwestDustGFDL-CM322010N/AACMI</v>
      </c>
      <c r="C605" s="33" t="s">
        <v>85</v>
      </c>
      <c r="D605" s="33" t="s">
        <v>5</v>
      </c>
      <c r="E605" s="34">
        <v>2</v>
      </c>
      <c r="F605" s="34">
        <v>2010</v>
      </c>
      <c r="G605" s="34" t="s">
        <v>201</v>
      </c>
      <c r="H605" s="35" t="s">
        <v>195</v>
      </c>
      <c r="I605" s="43" t="s">
        <v>424</v>
      </c>
      <c r="P605">
        <v>4.3163512834467017E-6</v>
      </c>
    </row>
    <row r="606" spans="1:16" hidden="1" x14ac:dyDescent="0.35">
      <c r="A606" s="3">
        <f xml:space="preserve"> ROW( data_scaledImpacts[[#This Row],[row_id]] ) - ROW( data_scaledImpacts[[#Headers],[row_id]] )</f>
        <v>605</v>
      </c>
      <c r="B606" s="41" t="str">
        <f xml:space="preserve"> _xlfn.TEXTJOIN( "", , data_scaledImpacts[[#This Row],[sector]:[impactType]] )</f>
        <v>SouthwestDustGCM Average22010N/AACMI</v>
      </c>
      <c r="C606" s="33" t="s">
        <v>85</v>
      </c>
      <c r="D606" s="33" t="s">
        <v>15</v>
      </c>
      <c r="E606" s="34">
        <v>2</v>
      </c>
      <c r="F606" s="34">
        <v>2010</v>
      </c>
      <c r="G606" s="34" t="s">
        <v>201</v>
      </c>
      <c r="H606" s="35" t="s">
        <v>195</v>
      </c>
      <c r="I606" s="43" t="s">
        <v>425</v>
      </c>
      <c r="P606">
        <v>3.2994880539660446E-6</v>
      </c>
    </row>
    <row r="607" spans="1:16" hidden="1" x14ac:dyDescent="0.35">
      <c r="A607" s="3">
        <f xml:space="preserve"> ROW( data_scaledImpacts[[#This Row],[row_id]] ) - ROW( data_scaledImpacts[[#Headers],[row_id]] )</f>
        <v>606</v>
      </c>
      <c r="B607" s="41" t="str">
        <f xml:space="preserve"> _xlfn.TEXTJOIN( "", , data_scaledImpacts[[#This Row],[sector]:[impactType]] )</f>
        <v>SouthwestDustCanESM232010N/AACMI</v>
      </c>
      <c r="C607" s="33" t="s">
        <v>85</v>
      </c>
      <c r="D607" s="33" t="s">
        <v>0</v>
      </c>
      <c r="E607" s="34">
        <v>3</v>
      </c>
      <c r="F607" s="34">
        <v>2010</v>
      </c>
      <c r="G607" s="34" t="s">
        <v>201</v>
      </c>
      <c r="H607" s="35" t="s">
        <v>195</v>
      </c>
      <c r="I607" s="43" t="s">
        <v>426</v>
      </c>
      <c r="P607">
        <v>3.7979228026410096E-6</v>
      </c>
    </row>
    <row r="608" spans="1:16" hidden="1" x14ac:dyDescent="0.35">
      <c r="A608" s="3">
        <f xml:space="preserve"> ROW( data_scaledImpacts[[#This Row],[row_id]] ) - ROW( data_scaledImpacts[[#Headers],[row_id]] )</f>
        <v>607</v>
      </c>
      <c r="B608" s="41" t="str">
        <f xml:space="preserve"> _xlfn.TEXTJOIN( "", , data_scaledImpacts[[#This Row],[sector]:[impactType]] )</f>
        <v>SouthwestDustCCSM432010N/AACMI</v>
      </c>
      <c r="C608" s="33" t="s">
        <v>85</v>
      </c>
      <c r="D608" s="33" t="s">
        <v>1</v>
      </c>
      <c r="E608" s="34">
        <v>3</v>
      </c>
      <c r="F608" s="34">
        <v>2010</v>
      </c>
      <c r="G608" s="34" t="s">
        <v>201</v>
      </c>
      <c r="H608" s="35" t="s">
        <v>195</v>
      </c>
      <c r="I608" s="43" t="s">
        <v>427</v>
      </c>
      <c r="P608">
        <v>4.5099573436039387E-6</v>
      </c>
    </row>
    <row r="609" spans="1:16" hidden="1" x14ac:dyDescent="0.35">
      <c r="A609" s="3">
        <f xml:space="preserve"> ROW( data_scaledImpacts[[#This Row],[row_id]] ) - ROW( data_scaledImpacts[[#Headers],[row_id]] )</f>
        <v>608</v>
      </c>
      <c r="B609" s="41" t="str">
        <f xml:space="preserve"> _xlfn.TEXTJOIN( "", , data_scaledImpacts[[#This Row],[sector]:[impactType]] )</f>
        <v>SouthwestDustGISS-E2-R32010N/AACMI</v>
      </c>
      <c r="C609" s="33" t="s">
        <v>85</v>
      </c>
      <c r="D609" s="33" t="s">
        <v>2</v>
      </c>
      <c r="E609" s="34">
        <v>3</v>
      </c>
      <c r="F609" s="34">
        <v>2010</v>
      </c>
      <c r="G609" s="34" t="s">
        <v>201</v>
      </c>
      <c r="H609" s="35" t="s">
        <v>195</v>
      </c>
      <c r="I609" s="43" t="s">
        <v>428</v>
      </c>
      <c r="P609">
        <v>5.0023056536140426E-6</v>
      </c>
    </row>
    <row r="610" spans="1:16" hidden="1" x14ac:dyDescent="0.35">
      <c r="A610" s="3">
        <f xml:space="preserve"> ROW( data_scaledImpacts[[#This Row],[row_id]] ) - ROW( data_scaledImpacts[[#Headers],[row_id]] )</f>
        <v>609</v>
      </c>
      <c r="B610" s="41" t="str">
        <f xml:space="preserve"> _xlfn.TEXTJOIN( "", , data_scaledImpacts[[#This Row],[sector]:[impactType]] )</f>
        <v>SouthwestDustHadGEM2-ES32010N/AACMI</v>
      </c>
      <c r="C610" s="33" t="s">
        <v>85</v>
      </c>
      <c r="D610" s="33" t="s">
        <v>3</v>
      </c>
      <c r="E610" s="34">
        <v>3</v>
      </c>
      <c r="F610" s="34">
        <v>2010</v>
      </c>
      <c r="G610" s="34" t="s">
        <v>201</v>
      </c>
      <c r="H610" s="35" t="s">
        <v>195</v>
      </c>
      <c r="I610" s="43" t="s">
        <v>429</v>
      </c>
      <c r="P610">
        <v>4.8229819357183894E-6</v>
      </c>
    </row>
    <row r="611" spans="1:16" hidden="1" x14ac:dyDescent="0.35">
      <c r="A611" s="3">
        <f xml:space="preserve"> ROW( data_scaledImpacts[[#This Row],[row_id]] ) - ROW( data_scaledImpacts[[#Headers],[row_id]] )</f>
        <v>610</v>
      </c>
      <c r="B611" s="41" t="str">
        <f xml:space="preserve"> _xlfn.TEXTJOIN( "", , data_scaledImpacts[[#This Row],[sector]:[impactType]] )</f>
        <v>SouthwestDustMIROC532010N/AACMI</v>
      </c>
      <c r="C611" s="33" t="s">
        <v>85</v>
      </c>
      <c r="D611" s="33" t="s">
        <v>4</v>
      </c>
      <c r="E611" s="34">
        <v>3</v>
      </c>
      <c r="F611" s="34">
        <v>2010</v>
      </c>
      <c r="G611" s="34" t="s">
        <v>201</v>
      </c>
      <c r="H611" s="35" t="s">
        <v>195</v>
      </c>
      <c r="I611" s="43" t="s">
        <v>430</v>
      </c>
      <c r="P611">
        <v>5.6090990825711891E-6</v>
      </c>
    </row>
    <row r="612" spans="1:16" hidden="1" x14ac:dyDescent="0.35">
      <c r="A612" s="3">
        <f xml:space="preserve"> ROW( data_scaledImpacts[[#This Row],[row_id]] ) - ROW( data_scaledImpacts[[#Headers],[row_id]] )</f>
        <v>611</v>
      </c>
      <c r="B612" s="41" t="str">
        <f xml:space="preserve"> _xlfn.TEXTJOIN( "", , data_scaledImpacts[[#This Row],[sector]:[impactType]] )</f>
        <v>SouthwestDustGFDL-CM332010N/AACMI</v>
      </c>
      <c r="C612" s="33" t="s">
        <v>85</v>
      </c>
      <c r="D612" s="33" t="s">
        <v>5</v>
      </c>
      <c r="E612" s="34">
        <v>3</v>
      </c>
      <c r="F612" s="34">
        <v>2010</v>
      </c>
      <c r="G612" s="34" t="s">
        <v>201</v>
      </c>
      <c r="H612" s="35" t="s">
        <v>195</v>
      </c>
      <c r="I612" s="43" t="s">
        <v>431</v>
      </c>
      <c r="P612">
        <v>6.4219161202236797E-6</v>
      </c>
    </row>
    <row r="613" spans="1:16" hidden="1" x14ac:dyDescent="0.35">
      <c r="A613" s="3">
        <f xml:space="preserve"> ROW( data_scaledImpacts[[#This Row],[row_id]] ) - ROW( data_scaledImpacts[[#Headers],[row_id]] )</f>
        <v>612</v>
      </c>
      <c r="B613" s="41" t="str">
        <f xml:space="preserve"> _xlfn.TEXTJOIN( "", , data_scaledImpacts[[#This Row],[sector]:[impactType]] )</f>
        <v>SouthwestDustGCM Average32010N/AACMI</v>
      </c>
      <c r="C613" s="33" t="s">
        <v>85</v>
      </c>
      <c r="D613" s="33" t="s">
        <v>15</v>
      </c>
      <c r="E613" s="34">
        <v>3</v>
      </c>
      <c r="F613" s="34">
        <v>2010</v>
      </c>
      <c r="G613" s="34" t="s">
        <v>201</v>
      </c>
      <c r="H613" s="35" t="s">
        <v>195</v>
      </c>
      <c r="I613" s="43" t="s">
        <v>432</v>
      </c>
      <c r="P613">
        <v>5.0273638230620419E-6</v>
      </c>
    </row>
    <row r="614" spans="1:16" hidden="1" x14ac:dyDescent="0.35">
      <c r="A614" s="3">
        <f xml:space="preserve"> ROW( data_scaledImpacts[[#This Row],[row_id]] ) - ROW( data_scaledImpacts[[#Headers],[row_id]] )</f>
        <v>613</v>
      </c>
      <c r="B614" s="41" t="str">
        <f xml:space="preserve"> _xlfn.TEXTJOIN( "", , data_scaledImpacts[[#This Row],[sector]:[impactType]] )</f>
        <v>SouthwestDustCanESM242010N/AACMI</v>
      </c>
      <c r="C614" s="33" t="s">
        <v>85</v>
      </c>
      <c r="D614" s="33" t="s">
        <v>0</v>
      </c>
      <c r="E614" s="34">
        <v>4</v>
      </c>
      <c r="F614" s="34">
        <v>2010</v>
      </c>
      <c r="G614" s="34" t="s">
        <v>201</v>
      </c>
      <c r="H614" s="35" t="s">
        <v>195</v>
      </c>
      <c r="I614" s="43" t="s">
        <v>433</v>
      </c>
      <c r="P614">
        <v>3.652042110458886E-6</v>
      </c>
    </row>
    <row r="615" spans="1:16" hidden="1" x14ac:dyDescent="0.35">
      <c r="A615" s="3">
        <f xml:space="preserve"> ROW( data_scaledImpacts[[#This Row],[row_id]] ) - ROW( data_scaledImpacts[[#Headers],[row_id]] )</f>
        <v>614</v>
      </c>
      <c r="B615" s="41" t="str">
        <f xml:space="preserve"> _xlfn.TEXTJOIN( "", , data_scaledImpacts[[#This Row],[sector]:[impactType]] )</f>
        <v>SouthwestDustCCSM442010N/AACMI</v>
      </c>
      <c r="C615" s="33" t="s">
        <v>85</v>
      </c>
      <c r="D615" s="33" t="s">
        <v>1</v>
      </c>
      <c r="E615" s="34">
        <v>4</v>
      </c>
      <c r="F615" s="34">
        <v>2010</v>
      </c>
      <c r="G615" s="34" t="s">
        <v>201</v>
      </c>
      <c r="H615" s="35" t="s">
        <v>195</v>
      </c>
      <c r="I615" s="43" t="s">
        <v>434</v>
      </c>
      <c r="P615">
        <v>6.1311956797867402E-6</v>
      </c>
    </row>
    <row r="616" spans="1:16" hidden="1" x14ac:dyDescent="0.35">
      <c r="A616" s="3">
        <f xml:space="preserve"> ROW( data_scaledImpacts[[#This Row],[row_id]] ) - ROW( data_scaledImpacts[[#Headers],[row_id]] )</f>
        <v>615</v>
      </c>
      <c r="B616" s="41" t="str">
        <f xml:space="preserve"> _xlfn.TEXTJOIN( "", , data_scaledImpacts[[#This Row],[sector]:[impactType]] )</f>
        <v>SouthwestDustGISS-E2-R42010N/AACMI</v>
      </c>
      <c r="C616" s="33" t="s">
        <v>85</v>
      </c>
      <c r="D616" s="33" t="s">
        <v>2</v>
      </c>
      <c r="E616" s="34">
        <v>4</v>
      </c>
      <c r="F616" s="34">
        <v>2010</v>
      </c>
      <c r="G616" s="34" t="s">
        <v>201</v>
      </c>
      <c r="H616" s="35" t="s">
        <v>195</v>
      </c>
      <c r="I616" s="43" t="s">
        <v>435</v>
      </c>
    </row>
    <row r="617" spans="1:16" hidden="1" x14ac:dyDescent="0.35">
      <c r="A617" s="3">
        <f xml:space="preserve"> ROW( data_scaledImpacts[[#This Row],[row_id]] ) - ROW( data_scaledImpacts[[#Headers],[row_id]] )</f>
        <v>616</v>
      </c>
      <c r="B617" s="41" t="str">
        <f xml:space="preserve"> _xlfn.TEXTJOIN( "", , data_scaledImpacts[[#This Row],[sector]:[impactType]] )</f>
        <v>SouthwestDustHadGEM2-ES42010N/AACMI</v>
      </c>
      <c r="C617" s="33" t="s">
        <v>85</v>
      </c>
      <c r="D617" s="33" t="s">
        <v>3</v>
      </c>
      <c r="E617" s="34">
        <v>4</v>
      </c>
      <c r="F617" s="34">
        <v>2010</v>
      </c>
      <c r="G617" s="34" t="s">
        <v>201</v>
      </c>
      <c r="H617" s="35" t="s">
        <v>195</v>
      </c>
      <c r="I617" s="43" t="s">
        <v>436</v>
      </c>
      <c r="P617">
        <v>4.9095018277605671E-6</v>
      </c>
    </row>
    <row r="618" spans="1:16" hidden="1" x14ac:dyDescent="0.35">
      <c r="A618" s="3">
        <f xml:space="preserve"> ROW( data_scaledImpacts[[#This Row],[row_id]] ) - ROW( data_scaledImpacts[[#Headers],[row_id]] )</f>
        <v>617</v>
      </c>
      <c r="B618" s="41" t="str">
        <f xml:space="preserve"> _xlfn.TEXTJOIN( "", , data_scaledImpacts[[#This Row],[sector]:[impactType]] )</f>
        <v>SouthwestDustMIROC542010N/AACMI</v>
      </c>
      <c r="C618" s="33" t="s">
        <v>85</v>
      </c>
      <c r="D618" s="33" t="s">
        <v>4</v>
      </c>
      <c r="E618" s="34">
        <v>4</v>
      </c>
      <c r="F618" s="34">
        <v>2010</v>
      </c>
      <c r="G618" s="34" t="s">
        <v>201</v>
      </c>
      <c r="H618" s="35" t="s">
        <v>195</v>
      </c>
      <c r="I618" s="43" t="s">
        <v>437</v>
      </c>
      <c r="P618">
        <v>6.9356189430935174E-6</v>
      </c>
    </row>
    <row r="619" spans="1:16" hidden="1" x14ac:dyDescent="0.35">
      <c r="A619" s="3">
        <f xml:space="preserve"> ROW( data_scaledImpacts[[#This Row],[row_id]] ) - ROW( data_scaledImpacts[[#Headers],[row_id]] )</f>
        <v>618</v>
      </c>
      <c r="B619" s="41" t="str">
        <f xml:space="preserve"> _xlfn.TEXTJOIN( "", , data_scaledImpacts[[#This Row],[sector]:[impactType]] )</f>
        <v>SouthwestDustGFDL-CM342010N/AACMI</v>
      </c>
      <c r="C619" s="33" t="s">
        <v>85</v>
      </c>
      <c r="D619" s="33" t="s">
        <v>5</v>
      </c>
      <c r="E619" s="34">
        <v>4</v>
      </c>
      <c r="F619" s="34">
        <v>2010</v>
      </c>
      <c r="G619" s="34" t="s">
        <v>201</v>
      </c>
      <c r="H619" s="35" t="s">
        <v>195</v>
      </c>
      <c r="I619" s="43" t="s">
        <v>438</v>
      </c>
      <c r="P619">
        <v>8.7767691138023313E-6</v>
      </c>
    </row>
    <row r="620" spans="1:16" hidden="1" x14ac:dyDescent="0.35">
      <c r="A620" s="3">
        <f xml:space="preserve"> ROW( data_scaledImpacts[[#This Row],[row_id]] ) - ROW( data_scaledImpacts[[#Headers],[row_id]] )</f>
        <v>619</v>
      </c>
      <c r="B620" s="41" t="str">
        <f xml:space="preserve"> _xlfn.TEXTJOIN( "", , data_scaledImpacts[[#This Row],[sector]:[impactType]] )</f>
        <v>SouthwestDustGCM Average42010N/AACMI</v>
      </c>
      <c r="C620" s="33" t="s">
        <v>85</v>
      </c>
      <c r="D620" s="33" t="s">
        <v>15</v>
      </c>
      <c r="E620" s="34">
        <v>4</v>
      </c>
      <c r="F620" s="34">
        <v>2010</v>
      </c>
      <c r="G620" s="34" t="s">
        <v>201</v>
      </c>
      <c r="H620" s="35" t="s">
        <v>195</v>
      </c>
      <c r="I620" s="43" t="s">
        <v>439</v>
      </c>
      <c r="P620">
        <v>6.0810255349804088E-6</v>
      </c>
    </row>
    <row r="621" spans="1:16" hidden="1" x14ac:dyDescent="0.35">
      <c r="A621" s="3">
        <f xml:space="preserve"> ROW( data_scaledImpacts[[#This Row],[row_id]] ) - ROW( data_scaledImpacts[[#Headers],[row_id]] )</f>
        <v>620</v>
      </c>
      <c r="B621" s="41" t="str">
        <f xml:space="preserve"> _xlfn.TEXTJOIN( "", , data_scaledImpacts[[#This Row],[sector]:[impactType]] )</f>
        <v>SouthwestDustCanESM252010N/AACMI</v>
      </c>
      <c r="C621" s="33" t="s">
        <v>85</v>
      </c>
      <c r="D621" s="33" t="s">
        <v>0</v>
      </c>
      <c r="E621" s="34">
        <v>5</v>
      </c>
      <c r="F621" s="34">
        <v>2010</v>
      </c>
      <c r="G621" s="34" t="s">
        <v>201</v>
      </c>
      <c r="H621" s="35" t="s">
        <v>195</v>
      </c>
      <c r="I621" s="43" t="s">
        <v>440</v>
      </c>
      <c r="P621">
        <v>4.570066660642789E-6</v>
      </c>
    </row>
    <row r="622" spans="1:16" hidden="1" x14ac:dyDescent="0.35">
      <c r="A622" s="3">
        <f xml:space="preserve"> ROW( data_scaledImpacts[[#This Row],[row_id]] ) - ROW( data_scaledImpacts[[#Headers],[row_id]] )</f>
        <v>621</v>
      </c>
      <c r="B622" s="41" t="str">
        <f xml:space="preserve"> _xlfn.TEXTJOIN( "", , data_scaledImpacts[[#This Row],[sector]:[impactType]] )</f>
        <v>SouthwestDustCCSM452010N/AACMI</v>
      </c>
      <c r="C622" s="33" t="s">
        <v>85</v>
      </c>
      <c r="D622" s="33" t="s">
        <v>1</v>
      </c>
      <c r="E622" s="34">
        <v>5</v>
      </c>
      <c r="F622" s="34">
        <v>2010</v>
      </c>
      <c r="G622" s="34" t="s">
        <v>201</v>
      </c>
      <c r="H622" s="35" t="s">
        <v>195</v>
      </c>
      <c r="I622" s="43" t="s">
        <v>441</v>
      </c>
      <c r="P622">
        <v>9.6132180443018905E-6</v>
      </c>
    </row>
    <row r="623" spans="1:16" hidden="1" x14ac:dyDescent="0.35">
      <c r="A623" s="3">
        <f xml:space="preserve"> ROW( data_scaledImpacts[[#This Row],[row_id]] ) - ROW( data_scaledImpacts[[#Headers],[row_id]] )</f>
        <v>622</v>
      </c>
      <c r="B623" s="41" t="str">
        <f xml:space="preserve"> _xlfn.TEXTJOIN( "", , data_scaledImpacts[[#This Row],[sector]:[impactType]] )</f>
        <v>SouthwestDustGISS-E2-R52010N/AACMI</v>
      </c>
      <c r="C623" s="33" t="s">
        <v>85</v>
      </c>
      <c r="D623" s="33" t="s">
        <v>2</v>
      </c>
      <c r="E623" s="34">
        <v>5</v>
      </c>
      <c r="F623" s="34">
        <v>2010</v>
      </c>
      <c r="G623" s="34" t="s">
        <v>201</v>
      </c>
      <c r="H623" s="35" t="s">
        <v>195</v>
      </c>
      <c r="I623" s="43" t="s">
        <v>442</v>
      </c>
    </row>
    <row r="624" spans="1:16" hidden="1" x14ac:dyDescent="0.35">
      <c r="A624" s="3">
        <f xml:space="preserve"> ROW( data_scaledImpacts[[#This Row],[row_id]] ) - ROW( data_scaledImpacts[[#Headers],[row_id]] )</f>
        <v>623</v>
      </c>
      <c r="B624" s="41" t="str">
        <f xml:space="preserve"> _xlfn.TEXTJOIN( "", , data_scaledImpacts[[#This Row],[sector]:[impactType]] )</f>
        <v>SouthwestDustHadGEM2-ES52010N/AACMI</v>
      </c>
      <c r="C624" s="33" t="s">
        <v>85</v>
      </c>
      <c r="D624" s="33" t="s">
        <v>3</v>
      </c>
      <c r="E624" s="34">
        <v>5</v>
      </c>
      <c r="F624" s="34">
        <v>2010</v>
      </c>
      <c r="G624" s="34" t="s">
        <v>201</v>
      </c>
      <c r="H624" s="35" t="s">
        <v>195</v>
      </c>
      <c r="I624" s="43" t="s">
        <v>443</v>
      </c>
      <c r="P624">
        <v>8.0939125769683793E-6</v>
      </c>
    </row>
    <row r="625" spans="1:16" hidden="1" x14ac:dyDescent="0.35">
      <c r="A625" s="3">
        <f xml:space="preserve"> ROW( data_scaledImpacts[[#This Row],[row_id]] ) - ROW( data_scaledImpacts[[#Headers],[row_id]] )</f>
        <v>624</v>
      </c>
      <c r="B625" s="41" t="str">
        <f xml:space="preserve"> _xlfn.TEXTJOIN( "", , data_scaledImpacts[[#This Row],[sector]:[impactType]] )</f>
        <v>SouthwestDustMIROC552010N/AACMI</v>
      </c>
      <c r="C625" s="33" t="s">
        <v>85</v>
      </c>
      <c r="D625" s="33" t="s">
        <v>4</v>
      </c>
      <c r="E625" s="34">
        <v>5</v>
      </c>
      <c r="F625" s="34">
        <v>2010</v>
      </c>
      <c r="G625" s="34" t="s">
        <v>201</v>
      </c>
      <c r="H625" s="35" t="s">
        <v>195</v>
      </c>
      <c r="I625" s="43" t="s">
        <v>444</v>
      </c>
      <c r="P625">
        <v>8.7335778444997844E-6</v>
      </c>
    </row>
    <row r="626" spans="1:16" hidden="1" x14ac:dyDescent="0.35">
      <c r="A626" s="3">
        <f xml:space="preserve"> ROW( data_scaledImpacts[[#This Row],[row_id]] ) - ROW( data_scaledImpacts[[#Headers],[row_id]] )</f>
        <v>625</v>
      </c>
      <c r="B626" s="41" t="str">
        <f xml:space="preserve"> _xlfn.TEXTJOIN( "", , data_scaledImpacts[[#This Row],[sector]:[impactType]] )</f>
        <v>SouthwestDustGFDL-CM352010N/AACMI</v>
      </c>
      <c r="C626" s="33" t="s">
        <v>85</v>
      </c>
      <c r="D626" s="33" t="s">
        <v>5</v>
      </c>
      <c r="E626" s="34">
        <v>5</v>
      </c>
      <c r="F626" s="34">
        <v>2010</v>
      </c>
      <c r="G626" s="34" t="s">
        <v>201</v>
      </c>
      <c r="H626" s="35" t="s">
        <v>195</v>
      </c>
      <c r="I626" s="43" t="s">
        <v>445</v>
      </c>
      <c r="P626">
        <v>1.0932727171246335E-5</v>
      </c>
    </row>
    <row r="627" spans="1:16" hidden="1" x14ac:dyDescent="0.35">
      <c r="A627" s="3">
        <f xml:space="preserve"> ROW( data_scaledImpacts[[#This Row],[row_id]] ) - ROW( data_scaledImpacts[[#Headers],[row_id]] )</f>
        <v>626</v>
      </c>
      <c r="B627" s="41" t="str">
        <f xml:space="preserve"> _xlfn.TEXTJOIN( "", , data_scaledImpacts[[#This Row],[sector]:[impactType]] )</f>
        <v>SouthwestDustGCM Average52010N/AACMI</v>
      </c>
      <c r="C627" s="33" t="s">
        <v>85</v>
      </c>
      <c r="D627" s="33" t="s">
        <v>15</v>
      </c>
      <c r="E627" s="34">
        <v>5</v>
      </c>
      <c r="F627" s="34">
        <v>2010</v>
      </c>
      <c r="G627" s="34" t="s">
        <v>201</v>
      </c>
      <c r="H627" s="35" t="s">
        <v>195</v>
      </c>
      <c r="I627" s="43" t="s">
        <v>446</v>
      </c>
      <c r="P627">
        <v>8.3887004595318366E-6</v>
      </c>
    </row>
    <row r="628" spans="1:16" hidden="1" x14ac:dyDescent="0.35">
      <c r="A628" s="3">
        <f xml:space="preserve"> ROW( data_scaledImpacts[[#This Row],[row_id]] ) - ROW( data_scaledImpacts[[#Headers],[row_id]] )</f>
        <v>627</v>
      </c>
      <c r="B628" s="41" t="str">
        <f xml:space="preserve"> _xlfn.TEXTJOIN( "", , data_scaledImpacts[[#This Row],[sector]:[impactType]] )</f>
        <v>SouthwestDustCanESM262010N/AACMI</v>
      </c>
      <c r="C628" s="33" t="s">
        <v>85</v>
      </c>
      <c r="D628" s="33" t="s">
        <v>0</v>
      </c>
      <c r="E628" s="34">
        <v>6</v>
      </c>
      <c r="F628" s="34">
        <v>2010</v>
      </c>
      <c r="G628" s="34" t="s">
        <v>201</v>
      </c>
      <c r="H628" s="35" t="s">
        <v>195</v>
      </c>
      <c r="I628" s="43" t="s">
        <v>447</v>
      </c>
      <c r="P628">
        <v>5.8591009635915015E-6</v>
      </c>
    </row>
    <row r="629" spans="1:16" hidden="1" x14ac:dyDescent="0.35">
      <c r="A629" s="3">
        <f xml:space="preserve"> ROW( data_scaledImpacts[[#This Row],[row_id]] ) - ROW( data_scaledImpacts[[#Headers],[row_id]] )</f>
        <v>628</v>
      </c>
      <c r="B629" s="41" t="str">
        <f xml:space="preserve"> _xlfn.TEXTJOIN( "", , data_scaledImpacts[[#This Row],[sector]:[impactType]] )</f>
        <v>SouthwestDustCCSM462010N/AACMI</v>
      </c>
      <c r="C629" s="33" t="s">
        <v>85</v>
      </c>
      <c r="D629" s="33" t="s">
        <v>1</v>
      </c>
      <c r="E629" s="34">
        <v>6</v>
      </c>
      <c r="F629" s="34">
        <v>2010</v>
      </c>
      <c r="G629" s="34" t="s">
        <v>201</v>
      </c>
      <c r="H629" s="35" t="s">
        <v>195</v>
      </c>
      <c r="I629" s="43" t="s">
        <v>448</v>
      </c>
    </row>
    <row r="630" spans="1:16" hidden="1" x14ac:dyDescent="0.35">
      <c r="A630" s="3">
        <f xml:space="preserve"> ROW( data_scaledImpacts[[#This Row],[row_id]] ) - ROW( data_scaledImpacts[[#Headers],[row_id]] )</f>
        <v>629</v>
      </c>
      <c r="B630" s="41" t="str">
        <f xml:space="preserve"> _xlfn.TEXTJOIN( "", , data_scaledImpacts[[#This Row],[sector]:[impactType]] )</f>
        <v>SouthwestDustGISS-E2-R62010N/AACMI</v>
      </c>
      <c r="C630" s="33" t="s">
        <v>85</v>
      </c>
      <c r="D630" s="33" t="s">
        <v>2</v>
      </c>
      <c r="E630" s="34">
        <v>6</v>
      </c>
      <c r="F630" s="34">
        <v>2010</v>
      </c>
      <c r="G630" s="34" t="s">
        <v>201</v>
      </c>
      <c r="H630" s="35" t="s">
        <v>195</v>
      </c>
      <c r="I630" s="43" t="s">
        <v>449</v>
      </c>
    </row>
    <row r="631" spans="1:16" hidden="1" x14ac:dyDescent="0.35">
      <c r="A631" s="3">
        <f xml:space="preserve"> ROW( data_scaledImpacts[[#This Row],[row_id]] ) - ROW( data_scaledImpacts[[#Headers],[row_id]] )</f>
        <v>630</v>
      </c>
      <c r="B631" s="41" t="str">
        <f xml:space="preserve"> _xlfn.TEXTJOIN( "", , data_scaledImpacts[[#This Row],[sector]:[impactType]] )</f>
        <v>SouthwestDustHadGEM2-ES62010N/AACMI</v>
      </c>
      <c r="C631" s="33" t="s">
        <v>85</v>
      </c>
      <c r="D631" s="33" t="s">
        <v>3</v>
      </c>
      <c r="E631" s="34">
        <v>6</v>
      </c>
      <c r="F631" s="34">
        <v>2010</v>
      </c>
      <c r="G631" s="34" t="s">
        <v>201</v>
      </c>
      <c r="H631" s="35" t="s">
        <v>195</v>
      </c>
      <c r="I631" s="43" t="s">
        <v>450</v>
      </c>
      <c r="P631">
        <v>7.7529188657654968E-6</v>
      </c>
    </row>
    <row r="632" spans="1:16" hidden="1" x14ac:dyDescent="0.35">
      <c r="A632" s="3">
        <f xml:space="preserve"> ROW( data_scaledImpacts[[#This Row],[row_id]] ) - ROW( data_scaledImpacts[[#Headers],[row_id]] )</f>
        <v>631</v>
      </c>
      <c r="B632" s="41" t="str">
        <f xml:space="preserve"> _xlfn.TEXTJOIN( "", , data_scaledImpacts[[#This Row],[sector]:[impactType]] )</f>
        <v>SouthwestDustMIROC562010N/AACMI</v>
      </c>
      <c r="C632" s="33" t="s">
        <v>85</v>
      </c>
      <c r="D632" s="33" t="s">
        <v>4</v>
      </c>
      <c r="E632" s="34">
        <v>6</v>
      </c>
      <c r="F632" s="34">
        <v>2010</v>
      </c>
      <c r="G632" s="34" t="s">
        <v>201</v>
      </c>
      <c r="H632" s="35" t="s">
        <v>195</v>
      </c>
      <c r="I632" s="43" t="s">
        <v>451</v>
      </c>
    </row>
    <row r="633" spans="1:16" hidden="1" x14ac:dyDescent="0.35">
      <c r="A633" s="3">
        <f xml:space="preserve"> ROW( data_scaledImpacts[[#This Row],[row_id]] ) - ROW( data_scaledImpacts[[#Headers],[row_id]] )</f>
        <v>632</v>
      </c>
      <c r="B633" s="41" t="str">
        <f xml:space="preserve"> _xlfn.TEXTJOIN( "", , data_scaledImpacts[[#This Row],[sector]:[impactType]] )</f>
        <v>SouthwestDustGFDL-CM362010N/AACMI</v>
      </c>
      <c r="C633" s="33" t="s">
        <v>85</v>
      </c>
      <c r="D633" s="33" t="s">
        <v>5</v>
      </c>
      <c r="E633" s="34">
        <v>6</v>
      </c>
      <c r="F633" s="34">
        <v>2010</v>
      </c>
      <c r="G633" s="34" t="s">
        <v>201</v>
      </c>
      <c r="H633" s="35" t="s">
        <v>195</v>
      </c>
      <c r="I633" s="43" t="s">
        <v>452</v>
      </c>
      <c r="P633">
        <v>1.2537865590735748E-5</v>
      </c>
    </row>
    <row r="634" spans="1:16" hidden="1" x14ac:dyDescent="0.35">
      <c r="A634" s="3">
        <f xml:space="preserve"> ROW( data_scaledImpacts[[#This Row],[row_id]] ) - ROW( data_scaledImpacts[[#Headers],[row_id]] )</f>
        <v>633</v>
      </c>
      <c r="B634" s="41" t="str">
        <f xml:space="preserve"> _xlfn.TEXTJOIN( "", , data_scaledImpacts[[#This Row],[sector]:[impactType]] )</f>
        <v>SouthwestDustGCM Average62010N/AACMI</v>
      </c>
      <c r="C634" s="33" t="s">
        <v>85</v>
      </c>
      <c r="D634" s="33" t="s">
        <v>15</v>
      </c>
      <c r="E634" s="34">
        <v>6</v>
      </c>
      <c r="F634" s="34">
        <v>2010</v>
      </c>
      <c r="G634" s="34" t="s">
        <v>201</v>
      </c>
      <c r="H634" s="35" t="s">
        <v>195</v>
      </c>
      <c r="I634" s="43" t="s">
        <v>453</v>
      </c>
      <c r="P634">
        <v>8.7166284733642495E-6</v>
      </c>
    </row>
    <row r="635" spans="1:16" hidden="1" x14ac:dyDescent="0.35">
      <c r="A635" s="3">
        <f xml:space="preserve"> ROW( data_scaledImpacts[[#This Row],[row_id]] ) - ROW( data_scaledImpacts[[#Headers],[row_id]] )</f>
        <v>634</v>
      </c>
      <c r="B635" s="41" t="str">
        <f xml:space="preserve"> _xlfn.TEXTJOIN( "", , data_scaledImpacts[[#This Row],[sector]:[impactType]] )</f>
        <v>SouthwestDustCanESM272010N/AACMI</v>
      </c>
      <c r="C635" s="33" t="s">
        <v>85</v>
      </c>
      <c r="D635" s="33" t="s">
        <v>0</v>
      </c>
      <c r="E635" s="34">
        <v>7</v>
      </c>
      <c r="F635" s="34">
        <v>2010</v>
      </c>
      <c r="G635" s="34" t="s">
        <v>201</v>
      </c>
      <c r="H635" s="35" t="s">
        <v>195</v>
      </c>
      <c r="I635" s="43" t="s">
        <v>454</v>
      </c>
    </row>
    <row r="636" spans="1:16" hidden="1" x14ac:dyDescent="0.35">
      <c r="A636" s="3">
        <f xml:space="preserve"> ROW( data_scaledImpacts[[#This Row],[row_id]] ) - ROW( data_scaledImpacts[[#Headers],[row_id]] )</f>
        <v>635</v>
      </c>
      <c r="B636" s="41" t="str">
        <f xml:space="preserve"> _xlfn.TEXTJOIN( "", , data_scaledImpacts[[#This Row],[sector]:[impactType]] )</f>
        <v>SouthwestDustCCSM472010N/AACMI</v>
      </c>
      <c r="C636" s="33" t="s">
        <v>85</v>
      </c>
      <c r="D636" s="33" t="s">
        <v>1</v>
      </c>
      <c r="E636" s="34">
        <v>7</v>
      </c>
      <c r="F636" s="34">
        <v>2010</v>
      </c>
      <c r="G636" s="34" t="s">
        <v>201</v>
      </c>
      <c r="H636" s="35" t="s">
        <v>195</v>
      </c>
      <c r="I636" s="43" t="s">
        <v>455</v>
      </c>
    </row>
    <row r="637" spans="1:16" hidden="1" x14ac:dyDescent="0.35">
      <c r="A637" s="3">
        <f xml:space="preserve"> ROW( data_scaledImpacts[[#This Row],[row_id]] ) - ROW( data_scaledImpacts[[#Headers],[row_id]] )</f>
        <v>636</v>
      </c>
      <c r="B637" s="41" t="str">
        <f xml:space="preserve"> _xlfn.TEXTJOIN( "", , data_scaledImpacts[[#This Row],[sector]:[impactType]] )</f>
        <v>SouthwestDustGISS-E2-R72010N/AACMI</v>
      </c>
      <c r="C637" s="33" t="s">
        <v>85</v>
      </c>
      <c r="D637" s="33" t="s">
        <v>2</v>
      </c>
      <c r="E637" s="34">
        <v>7</v>
      </c>
      <c r="F637" s="34">
        <v>2010</v>
      </c>
      <c r="G637" s="34" t="s">
        <v>201</v>
      </c>
      <c r="H637" s="35" t="s">
        <v>195</v>
      </c>
      <c r="I637" s="43" t="s">
        <v>456</v>
      </c>
    </row>
    <row r="638" spans="1:16" hidden="1" x14ac:dyDescent="0.35">
      <c r="A638" s="3">
        <f xml:space="preserve"> ROW( data_scaledImpacts[[#This Row],[row_id]] ) - ROW( data_scaledImpacts[[#Headers],[row_id]] )</f>
        <v>637</v>
      </c>
      <c r="B638" s="41" t="str">
        <f xml:space="preserve"> _xlfn.TEXTJOIN( "", , data_scaledImpacts[[#This Row],[sector]:[impactType]] )</f>
        <v>SouthwestDustHadGEM2-ES72010N/AACMI</v>
      </c>
      <c r="C638" s="33" t="s">
        <v>85</v>
      </c>
      <c r="D638" s="33" t="s">
        <v>3</v>
      </c>
      <c r="E638" s="34">
        <v>7</v>
      </c>
      <c r="F638" s="34">
        <v>2010</v>
      </c>
      <c r="G638" s="34" t="s">
        <v>201</v>
      </c>
      <c r="H638" s="35" t="s">
        <v>195</v>
      </c>
      <c r="I638" s="43" t="s">
        <v>457</v>
      </c>
    </row>
    <row r="639" spans="1:16" hidden="1" x14ac:dyDescent="0.35">
      <c r="A639" s="3">
        <f xml:space="preserve"> ROW( data_scaledImpacts[[#This Row],[row_id]] ) - ROW( data_scaledImpacts[[#Headers],[row_id]] )</f>
        <v>638</v>
      </c>
      <c r="B639" s="41" t="str">
        <f xml:space="preserve"> _xlfn.TEXTJOIN( "", , data_scaledImpacts[[#This Row],[sector]:[impactType]] )</f>
        <v>SouthwestDustMIROC572010N/AACMI</v>
      </c>
      <c r="C639" s="33" t="s">
        <v>85</v>
      </c>
      <c r="D639" s="33" t="s">
        <v>4</v>
      </c>
      <c r="E639" s="34">
        <v>7</v>
      </c>
      <c r="F639" s="34">
        <v>2010</v>
      </c>
      <c r="G639" s="34" t="s">
        <v>201</v>
      </c>
      <c r="H639" s="35" t="s">
        <v>195</v>
      </c>
      <c r="I639" s="43" t="s">
        <v>458</v>
      </c>
    </row>
    <row r="640" spans="1:16" hidden="1" x14ac:dyDescent="0.35">
      <c r="A640" s="3">
        <f xml:space="preserve"> ROW( data_scaledImpacts[[#This Row],[row_id]] ) - ROW( data_scaledImpacts[[#Headers],[row_id]] )</f>
        <v>639</v>
      </c>
      <c r="B640" s="41" t="str">
        <f xml:space="preserve"> _xlfn.TEXTJOIN( "", , data_scaledImpacts[[#This Row],[sector]:[impactType]] )</f>
        <v>SouthwestDustGFDL-CM372010N/AACMI</v>
      </c>
      <c r="C640" s="33" t="s">
        <v>85</v>
      </c>
      <c r="D640" s="33" t="s">
        <v>5</v>
      </c>
      <c r="E640" s="34">
        <v>7</v>
      </c>
      <c r="F640" s="34">
        <v>2010</v>
      </c>
      <c r="G640" s="34" t="s">
        <v>201</v>
      </c>
      <c r="H640" s="35" t="s">
        <v>195</v>
      </c>
      <c r="I640" s="43" t="s">
        <v>459</v>
      </c>
    </row>
    <row r="641" spans="1:16" hidden="1" x14ac:dyDescent="0.35">
      <c r="A641" s="3">
        <f xml:space="preserve"> ROW( data_scaledImpacts[[#This Row],[row_id]] ) - ROW( data_scaledImpacts[[#Headers],[row_id]] )</f>
        <v>640</v>
      </c>
      <c r="B641" s="41" t="str">
        <f xml:space="preserve"> _xlfn.TEXTJOIN( "", , data_scaledImpacts[[#This Row],[sector]:[impactType]] )</f>
        <v>SouthwestDustGCM Average72010N/AACMI</v>
      </c>
      <c r="C641" s="33" t="s">
        <v>85</v>
      </c>
      <c r="D641" s="33" t="s">
        <v>15</v>
      </c>
      <c r="E641" s="34">
        <v>7</v>
      </c>
      <c r="F641" s="34">
        <v>2010</v>
      </c>
      <c r="G641" s="34" t="s">
        <v>201</v>
      </c>
      <c r="H641" s="35" t="s">
        <v>195</v>
      </c>
      <c r="I641" s="43" t="s">
        <v>460</v>
      </c>
      <c r="P641" t="s">
        <v>26</v>
      </c>
    </row>
    <row r="642" spans="1:16" hidden="1" x14ac:dyDescent="0.35">
      <c r="A642" s="3">
        <f xml:space="preserve"> ROW( data_scaledImpacts[[#This Row],[row_id]] ) - ROW( data_scaledImpacts[[#Headers],[row_id]] )</f>
        <v>641</v>
      </c>
      <c r="B642" s="41" t="str">
        <f xml:space="preserve"> _xlfn.TEXTJOIN( "", , data_scaledImpacts[[#This Row],[sector]:[impactType]] )</f>
        <v>SouthwestDustCanESM212090N/AAllMort</v>
      </c>
      <c r="C642" s="33" t="s">
        <v>85</v>
      </c>
      <c r="D642" s="33" t="s">
        <v>0</v>
      </c>
      <c r="E642" s="34">
        <v>1</v>
      </c>
      <c r="F642" s="34">
        <v>2090</v>
      </c>
      <c r="G642" s="34" t="s">
        <v>201</v>
      </c>
      <c r="H642" s="35" t="s">
        <v>191</v>
      </c>
      <c r="I642" s="43" t="s">
        <v>265</v>
      </c>
      <c r="P642">
        <v>4.6517313733318887E-6</v>
      </c>
    </row>
    <row r="643" spans="1:16" hidden="1" x14ac:dyDescent="0.35">
      <c r="A643" s="3">
        <f xml:space="preserve"> ROW( data_scaledImpacts[[#This Row],[row_id]] ) - ROW( data_scaledImpacts[[#Headers],[row_id]] )</f>
        <v>642</v>
      </c>
      <c r="B643" s="41" t="str">
        <f xml:space="preserve"> _xlfn.TEXTJOIN( "", , data_scaledImpacts[[#This Row],[sector]:[impactType]] )</f>
        <v>SouthwestDustCCSM412090N/AAllMort</v>
      </c>
      <c r="C643" s="33" t="s">
        <v>85</v>
      </c>
      <c r="D643" s="33" t="s">
        <v>1</v>
      </c>
      <c r="E643" s="34">
        <v>1</v>
      </c>
      <c r="F643" s="34">
        <v>2090</v>
      </c>
      <c r="G643" s="34" t="s">
        <v>201</v>
      </c>
      <c r="H643" s="35" t="s">
        <v>191</v>
      </c>
      <c r="I643" s="43" t="s">
        <v>266</v>
      </c>
      <c r="P643">
        <v>1.2395065128183997E-5</v>
      </c>
    </row>
    <row r="644" spans="1:16" hidden="1" x14ac:dyDescent="0.35">
      <c r="A644" s="3">
        <f xml:space="preserve"> ROW( data_scaledImpacts[[#This Row],[row_id]] ) - ROW( data_scaledImpacts[[#Headers],[row_id]] )</f>
        <v>643</v>
      </c>
      <c r="B644" s="41" t="str">
        <f xml:space="preserve"> _xlfn.TEXTJOIN( "", , data_scaledImpacts[[#This Row],[sector]:[impactType]] )</f>
        <v>SouthwestDustGISS-E2-R12090N/AAllMort</v>
      </c>
      <c r="C644" s="33" t="s">
        <v>85</v>
      </c>
      <c r="D644" s="33" t="s">
        <v>2</v>
      </c>
      <c r="E644" s="34">
        <v>1</v>
      </c>
      <c r="F644" s="34">
        <v>2090</v>
      </c>
      <c r="G644" s="34" t="s">
        <v>201</v>
      </c>
      <c r="H644" s="35" t="s">
        <v>191</v>
      </c>
      <c r="I644" s="43" t="s">
        <v>267</v>
      </c>
      <c r="P644">
        <v>2.2609105880290559E-6</v>
      </c>
    </row>
    <row r="645" spans="1:16" hidden="1" x14ac:dyDescent="0.35">
      <c r="A645" s="3">
        <f xml:space="preserve"> ROW( data_scaledImpacts[[#This Row],[row_id]] ) - ROW( data_scaledImpacts[[#Headers],[row_id]] )</f>
        <v>644</v>
      </c>
      <c r="B645" s="41" t="str">
        <f xml:space="preserve"> _xlfn.TEXTJOIN( "", , data_scaledImpacts[[#This Row],[sector]:[impactType]] )</f>
        <v>SouthwestDustHadGEM2-ES12090N/AAllMort</v>
      </c>
      <c r="C645" s="33" t="s">
        <v>85</v>
      </c>
      <c r="D645" s="33" t="s">
        <v>3</v>
      </c>
      <c r="E645" s="34">
        <v>1</v>
      </c>
      <c r="F645" s="34">
        <v>2090</v>
      </c>
      <c r="G645" s="34" t="s">
        <v>201</v>
      </c>
      <c r="H645" s="35" t="s">
        <v>191</v>
      </c>
      <c r="I645" s="43" t="s">
        <v>268</v>
      </c>
      <c r="P645">
        <v>1.4089281592523139E-6</v>
      </c>
    </row>
    <row r="646" spans="1:16" hidden="1" x14ac:dyDescent="0.35">
      <c r="A646" s="3">
        <f xml:space="preserve"> ROW( data_scaledImpacts[[#This Row],[row_id]] ) - ROW( data_scaledImpacts[[#Headers],[row_id]] )</f>
        <v>645</v>
      </c>
      <c r="B646" s="41" t="str">
        <f xml:space="preserve"> _xlfn.TEXTJOIN( "", , data_scaledImpacts[[#This Row],[sector]:[impactType]] )</f>
        <v>SouthwestDustMIROC512090N/AAllMort</v>
      </c>
      <c r="C646" s="33" t="s">
        <v>85</v>
      </c>
      <c r="D646" s="33" t="s">
        <v>4</v>
      </c>
      <c r="E646" s="34">
        <v>1</v>
      </c>
      <c r="F646" s="34">
        <v>2090</v>
      </c>
      <c r="G646" s="34" t="s">
        <v>201</v>
      </c>
      <c r="H646" s="35" t="s">
        <v>191</v>
      </c>
      <c r="I646" s="43" t="s">
        <v>269</v>
      </c>
      <c r="P646">
        <v>6.2710166103698583E-6</v>
      </c>
    </row>
    <row r="647" spans="1:16" hidden="1" x14ac:dyDescent="0.35">
      <c r="A647" s="3">
        <f xml:space="preserve"> ROW( data_scaledImpacts[[#This Row],[row_id]] ) - ROW( data_scaledImpacts[[#Headers],[row_id]] )</f>
        <v>646</v>
      </c>
      <c r="B647" s="41" t="str">
        <f xml:space="preserve"> _xlfn.TEXTJOIN( "", , data_scaledImpacts[[#This Row],[sector]:[impactType]] )</f>
        <v>SouthwestDustGFDL-CM312090N/AAllMort</v>
      </c>
      <c r="C647" s="33" t="s">
        <v>85</v>
      </c>
      <c r="D647" s="33" t="s">
        <v>5</v>
      </c>
      <c r="E647" s="34">
        <v>1</v>
      </c>
      <c r="F647" s="34">
        <v>2090</v>
      </c>
      <c r="G647" s="34" t="s">
        <v>201</v>
      </c>
      <c r="H647" s="35" t="s">
        <v>191</v>
      </c>
      <c r="I647" s="43" t="s">
        <v>270</v>
      </c>
      <c r="P647">
        <v>1.2555861658278478E-5</v>
      </c>
    </row>
    <row r="648" spans="1:16" hidden="1" x14ac:dyDescent="0.35">
      <c r="A648" s="3">
        <f xml:space="preserve"> ROW( data_scaledImpacts[[#This Row],[row_id]] ) - ROW( data_scaledImpacts[[#Headers],[row_id]] )</f>
        <v>647</v>
      </c>
      <c r="B648" s="41" t="str">
        <f xml:space="preserve"> _xlfn.TEXTJOIN( "", , data_scaledImpacts[[#This Row],[sector]:[impactType]] )</f>
        <v>SouthwestDustGCM Average12090N/AAllMort</v>
      </c>
      <c r="C648" s="33" t="s">
        <v>85</v>
      </c>
      <c r="D648" s="33" t="s">
        <v>15</v>
      </c>
      <c r="E648" s="34">
        <v>1</v>
      </c>
      <c r="F648" s="34">
        <v>2090</v>
      </c>
      <c r="G648" s="34" t="s">
        <v>201</v>
      </c>
      <c r="H648" s="35" t="s">
        <v>191</v>
      </c>
      <c r="I648" s="43" t="s">
        <v>271</v>
      </c>
      <c r="P648">
        <v>6.5905855862409318E-6</v>
      </c>
    </row>
    <row r="649" spans="1:16" hidden="1" x14ac:dyDescent="0.35">
      <c r="A649" s="3">
        <f xml:space="preserve"> ROW( data_scaledImpacts[[#This Row],[row_id]] ) - ROW( data_scaledImpacts[[#Headers],[row_id]] )</f>
        <v>648</v>
      </c>
      <c r="B649" s="41" t="str">
        <f xml:space="preserve"> _xlfn.TEXTJOIN( "", , data_scaledImpacts[[#This Row],[sector]:[impactType]] )</f>
        <v>SouthwestDustCanESM222090N/AAllMort</v>
      </c>
      <c r="C649" s="33" t="s">
        <v>85</v>
      </c>
      <c r="D649" s="33" t="s">
        <v>0</v>
      </c>
      <c r="E649" s="34">
        <v>2</v>
      </c>
      <c r="F649" s="34">
        <v>2090</v>
      </c>
      <c r="G649" s="34" t="s">
        <v>201</v>
      </c>
      <c r="H649" s="35" t="s">
        <v>191</v>
      </c>
      <c r="I649" s="43" t="s">
        <v>272</v>
      </c>
      <c r="P649">
        <v>1.1368982502388578E-5</v>
      </c>
    </row>
    <row r="650" spans="1:16" hidden="1" x14ac:dyDescent="0.35">
      <c r="A650" s="3">
        <f xml:space="preserve"> ROW( data_scaledImpacts[[#This Row],[row_id]] ) - ROW( data_scaledImpacts[[#Headers],[row_id]] )</f>
        <v>649</v>
      </c>
      <c r="B650" s="41" t="str">
        <f xml:space="preserve"> _xlfn.TEXTJOIN( "", , data_scaledImpacts[[#This Row],[sector]:[impactType]] )</f>
        <v>SouthwestDustCCSM422090N/AAllMort</v>
      </c>
      <c r="C650" s="33" t="s">
        <v>85</v>
      </c>
      <c r="D650" s="33" t="s">
        <v>1</v>
      </c>
      <c r="E650" s="34">
        <v>2</v>
      </c>
      <c r="F650" s="34">
        <v>2090</v>
      </c>
      <c r="G650" s="34" t="s">
        <v>201</v>
      </c>
      <c r="H650" s="35" t="s">
        <v>191</v>
      </c>
      <c r="I650" s="43" t="s">
        <v>273</v>
      </c>
      <c r="P650">
        <v>1.6658646707653695E-5</v>
      </c>
    </row>
    <row r="651" spans="1:16" hidden="1" x14ac:dyDescent="0.35">
      <c r="A651" s="3">
        <f xml:space="preserve"> ROW( data_scaledImpacts[[#This Row],[row_id]] ) - ROW( data_scaledImpacts[[#Headers],[row_id]] )</f>
        <v>650</v>
      </c>
      <c r="B651" s="41" t="str">
        <f xml:space="preserve"> _xlfn.TEXTJOIN( "", , data_scaledImpacts[[#This Row],[sector]:[impactType]] )</f>
        <v>SouthwestDustGISS-E2-R22090N/AAllMort</v>
      </c>
      <c r="C651" s="33" t="s">
        <v>85</v>
      </c>
      <c r="D651" s="33" t="s">
        <v>2</v>
      </c>
      <c r="E651" s="34">
        <v>2</v>
      </c>
      <c r="F651" s="34">
        <v>2090</v>
      </c>
      <c r="G651" s="34" t="s">
        <v>201</v>
      </c>
      <c r="H651" s="35" t="s">
        <v>191</v>
      </c>
      <c r="I651" s="43" t="s">
        <v>274</v>
      </c>
      <c r="P651">
        <v>8.238827280129705E-6</v>
      </c>
    </row>
    <row r="652" spans="1:16" hidden="1" x14ac:dyDescent="0.35">
      <c r="A652" s="3">
        <f xml:space="preserve"> ROW( data_scaledImpacts[[#This Row],[row_id]] ) - ROW( data_scaledImpacts[[#Headers],[row_id]] )</f>
        <v>651</v>
      </c>
      <c r="B652" s="41" t="str">
        <f xml:space="preserve"> _xlfn.TEXTJOIN( "", , data_scaledImpacts[[#This Row],[sector]:[impactType]] )</f>
        <v>SouthwestDustHadGEM2-ES22090N/AAllMort</v>
      </c>
      <c r="C652" s="33" t="s">
        <v>85</v>
      </c>
      <c r="D652" s="33" t="s">
        <v>3</v>
      </c>
      <c r="E652" s="34">
        <v>2</v>
      </c>
      <c r="F652" s="34">
        <v>2090</v>
      </c>
      <c r="G652" s="34" t="s">
        <v>201</v>
      </c>
      <c r="H652" s="35" t="s">
        <v>191</v>
      </c>
      <c r="I652" s="43" t="s">
        <v>275</v>
      </c>
      <c r="P652">
        <v>1.6006539149951025E-5</v>
      </c>
    </row>
    <row r="653" spans="1:16" hidden="1" x14ac:dyDescent="0.35">
      <c r="A653" s="3">
        <f xml:space="preserve"> ROW( data_scaledImpacts[[#This Row],[row_id]] ) - ROW( data_scaledImpacts[[#Headers],[row_id]] )</f>
        <v>652</v>
      </c>
      <c r="B653" s="41" t="str">
        <f xml:space="preserve"> _xlfn.TEXTJOIN( "", , data_scaledImpacts[[#This Row],[sector]:[impactType]] )</f>
        <v>SouthwestDustMIROC522090N/AAllMort</v>
      </c>
      <c r="C653" s="33" t="s">
        <v>85</v>
      </c>
      <c r="D653" s="33" t="s">
        <v>4</v>
      </c>
      <c r="E653" s="34">
        <v>2</v>
      </c>
      <c r="F653" s="34">
        <v>2090</v>
      </c>
      <c r="G653" s="34" t="s">
        <v>201</v>
      </c>
      <c r="H653" s="35" t="s">
        <v>191</v>
      </c>
      <c r="I653" s="43" t="s">
        <v>276</v>
      </c>
      <c r="P653">
        <v>1.1845300833916437E-5</v>
      </c>
    </row>
    <row r="654" spans="1:16" hidden="1" x14ac:dyDescent="0.35">
      <c r="A654" s="3">
        <f xml:space="preserve"> ROW( data_scaledImpacts[[#This Row],[row_id]] ) - ROW( data_scaledImpacts[[#Headers],[row_id]] )</f>
        <v>653</v>
      </c>
      <c r="B654" s="41" t="str">
        <f xml:space="preserve"> _xlfn.TEXTJOIN( "", , data_scaledImpacts[[#This Row],[sector]:[impactType]] )</f>
        <v>SouthwestDustGFDL-CM322090N/AAllMort</v>
      </c>
      <c r="C654" s="33" t="s">
        <v>85</v>
      </c>
      <c r="D654" s="33" t="s">
        <v>5</v>
      </c>
      <c r="E654" s="34">
        <v>2</v>
      </c>
      <c r="F654" s="34">
        <v>2090</v>
      </c>
      <c r="G654" s="34" t="s">
        <v>201</v>
      </c>
      <c r="H654" s="35" t="s">
        <v>191</v>
      </c>
      <c r="I654" s="43" t="s">
        <v>277</v>
      </c>
      <c r="P654">
        <v>1.7518781863083555E-5</v>
      </c>
    </row>
    <row r="655" spans="1:16" hidden="1" x14ac:dyDescent="0.35">
      <c r="A655" s="3">
        <f xml:space="preserve"> ROW( data_scaledImpacts[[#This Row],[row_id]] ) - ROW( data_scaledImpacts[[#Headers],[row_id]] )</f>
        <v>654</v>
      </c>
      <c r="B655" s="41" t="str">
        <f xml:space="preserve"> _xlfn.TEXTJOIN( "", , data_scaledImpacts[[#This Row],[sector]:[impactType]] )</f>
        <v>SouthwestDustGCM Average22090N/AAllMort</v>
      </c>
      <c r="C655" s="33" t="s">
        <v>85</v>
      </c>
      <c r="D655" s="33" t="s">
        <v>15</v>
      </c>
      <c r="E655" s="34">
        <v>2</v>
      </c>
      <c r="F655" s="34">
        <v>2090</v>
      </c>
      <c r="G655" s="34" t="s">
        <v>201</v>
      </c>
      <c r="H655" s="35" t="s">
        <v>191</v>
      </c>
      <c r="I655" s="43" t="s">
        <v>278</v>
      </c>
      <c r="P655">
        <v>1.3606179722853832E-5</v>
      </c>
    </row>
    <row r="656" spans="1:16" hidden="1" x14ac:dyDescent="0.35">
      <c r="A656" s="3">
        <f xml:space="preserve"> ROW( data_scaledImpacts[[#This Row],[row_id]] ) - ROW( data_scaledImpacts[[#Headers],[row_id]] )</f>
        <v>655</v>
      </c>
      <c r="B656" s="41" t="str">
        <f xml:space="preserve"> _xlfn.TEXTJOIN( "", , data_scaledImpacts[[#This Row],[sector]:[impactType]] )</f>
        <v>SouthwestDustCanESM232090N/AAllMort</v>
      </c>
      <c r="C656" s="33" t="s">
        <v>85</v>
      </c>
      <c r="D656" s="33" t="s">
        <v>0</v>
      </c>
      <c r="E656" s="34">
        <v>3</v>
      </c>
      <c r="F656" s="34">
        <v>2090</v>
      </c>
      <c r="G656" s="34" t="s">
        <v>201</v>
      </c>
      <c r="H656" s="35" t="s">
        <v>191</v>
      </c>
      <c r="I656" s="43" t="s">
        <v>279</v>
      </c>
      <c r="P656">
        <v>1.552401551054316E-5</v>
      </c>
    </row>
    <row r="657" spans="1:16" hidden="1" x14ac:dyDescent="0.35">
      <c r="A657" s="3">
        <f xml:space="preserve"> ROW( data_scaledImpacts[[#This Row],[row_id]] ) - ROW( data_scaledImpacts[[#Headers],[row_id]] )</f>
        <v>656</v>
      </c>
      <c r="B657" s="41" t="str">
        <f xml:space="preserve"> _xlfn.TEXTJOIN( "", , data_scaledImpacts[[#This Row],[sector]:[impactType]] )</f>
        <v>SouthwestDustCCSM432090N/AAllMort</v>
      </c>
      <c r="C657" s="33" t="s">
        <v>85</v>
      </c>
      <c r="D657" s="33" t="s">
        <v>1</v>
      </c>
      <c r="E657" s="34">
        <v>3</v>
      </c>
      <c r="F657" s="34">
        <v>2090</v>
      </c>
      <c r="G657" s="34" t="s">
        <v>201</v>
      </c>
      <c r="H657" s="35" t="s">
        <v>191</v>
      </c>
      <c r="I657" s="43" t="s">
        <v>280</v>
      </c>
      <c r="P657">
        <v>1.8263723082596953E-5</v>
      </c>
    </row>
    <row r="658" spans="1:16" hidden="1" x14ac:dyDescent="0.35">
      <c r="A658" s="3">
        <f xml:space="preserve"> ROW( data_scaledImpacts[[#This Row],[row_id]] ) - ROW( data_scaledImpacts[[#Headers],[row_id]] )</f>
        <v>657</v>
      </c>
      <c r="B658" s="41" t="str">
        <f xml:space="preserve"> _xlfn.TEXTJOIN( "", , data_scaledImpacts[[#This Row],[sector]:[impactType]] )</f>
        <v>SouthwestDustGISS-E2-R32090N/AAllMort</v>
      </c>
      <c r="C658" s="33" t="s">
        <v>85</v>
      </c>
      <c r="D658" s="33" t="s">
        <v>2</v>
      </c>
      <c r="E658" s="34">
        <v>3</v>
      </c>
      <c r="F658" s="34">
        <v>2090</v>
      </c>
      <c r="G658" s="34" t="s">
        <v>201</v>
      </c>
      <c r="H658" s="35" t="s">
        <v>191</v>
      </c>
      <c r="I658" s="43" t="s">
        <v>281</v>
      </c>
      <c r="P658">
        <v>2.0158140035137212E-5</v>
      </c>
    </row>
    <row r="659" spans="1:16" hidden="1" x14ac:dyDescent="0.35">
      <c r="A659" s="3">
        <f xml:space="preserve"> ROW( data_scaledImpacts[[#This Row],[row_id]] ) - ROW( data_scaledImpacts[[#Headers],[row_id]] )</f>
        <v>658</v>
      </c>
      <c r="B659" s="41" t="str">
        <f xml:space="preserve"> _xlfn.TEXTJOIN( "", , data_scaledImpacts[[#This Row],[sector]:[impactType]] )</f>
        <v>SouthwestDustHadGEM2-ES32090N/AAllMort</v>
      </c>
      <c r="C659" s="33" t="s">
        <v>85</v>
      </c>
      <c r="D659" s="33" t="s">
        <v>3</v>
      </c>
      <c r="E659" s="34">
        <v>3</v>
      </c>
      <c r="F659" s="34">
        <v>2090</v>
      </c>
      <c r="G659" s="34" t="s">
        <v>201</v>
      </c>
      <c r="H659" s="35" t="s">
        <v>191</v>
      </c>
      <c r="I659" s="43" t="s">
        <v>282</v>
      </c>
      <c r="P659">
        <v>1.9468152600135098E-5</v>
      </c>
    </row>
    <row r="660" spans="1:16" hidden="1" x14ac:dyDescent="0.35">
      <c r="A660" s="3">
        <f xml:space="preserve"> ROW( data_scaledImpacts[[#This Row],[row_id]] ) - ROW( data_scaledImpacts[[#Headers],[row_id]] )</f>
        <v>659</v>
      </c>
      <c r="B660" s="41" t="str">
        <f xml:space="preserve"> _xlfn.TEXTJOIN( "", , data_scaledImpacts[[#This Row],[sector]:[impactType]] )</f>
        <v>SouthwestDustMIROC532090N/AAllMort</v>
      </c>
      <c r="C660" s="33" t="s">
        <v>85</v>
      </c>
      <c r="D660" s="33" t="s">
        <v>4</v>
      </c>
      <c r="E660" s="34">
        <v>3</v>
      </c>
      <c r="F660" s="34">
        <v>2090</v>
      </c>
      <c r="G660" s="34" t="s">
        <v>201</v>
      </c>
      <c r="H660" s="35" t="s">
        <v>191</v>
      </c>
      <c r="I660" s="43" t="s">
        <v>283</v>
      </c>
      <c r="P660">
        <v>2.2492909082799111E-5</v>
      </c>
    </row>
    <row r="661" spans="1:16" hidden="1" x14ac:dyDescent="0.35">
      <c r="A661" s="3">
        <f xml:space="preserve"> ROW( data_scaledImpacts[[#This Row],[row_id]] ) - ROW( data_scaledImpacts[[#Headers],[row_id]] )</f>
        <v>660</v>
      </c>
      <c r="B661" s="41" t="str">
        <f xml:space="preserve"> _xlfn.TEXTJOIN( "", , data_scaledImpacts[[#This Row],[sector]:[impactType]] )</f>
        <v>SouthwestDustGFDL-CM332090N/AAllMort</v>
      </c>
      <c r="C661" s="33" t="s">
        <v>85</v>
      </c>
      <c r="D661" s="33" t="s">
        <v>5</v>
      </c>
      <c r="E661" s="34">
        <v>3</v>
      </c>
      <c r="F661" s="34">
        <v>2090</v>
      </c>
      <c r="G661" s="34" t="s">
        <v>201</v>
      </c>
      <c r="H661" s="35" t="s">
        <v>191</v>
      </c>
      <c r="I661" s="43" t="s">
        <v>284</v>
      </c>
      <c r="P661">
        <v>2.562039955675619E-5</v>
      </c>
    </row>
    <row r="662" spans="1:16" hidden="1" x14ac:dyDescent="0.35">
      <c r="A662" s="3">
        <f xml:space="preserve"> ROW( data_scaledImpacts[[#This Row],[row_id]] ) - ROW( data_scaledImpacts[[#Headers],[row_id]] )</f>
        <v>661</v>
      </c>
      <c r="B662" s="41" t="str">
        <f xml:space="preserve"> _xlfn.TEXTJOIN( "", , data_scaledImpacts[[#This Row],[sector]:[impactType]] )</f>
        <v>SouthwestDustGCM Average32090N/AAllMort</v>
      </c>
      <c r="C662" s="33" t="s">
        <v>85</v>
      </c>
      <c r="D662" s="33" t="s">
        <v>15</v>
      </c>
      <c r="E662" s="34">
        <v>3</v>
      </c>
      <c r="F662" s="34">
        <v>2090</v>
      </c>
      <c r="G662" s="34" t="s">
        <v>201</v>
      </c>
      <c r="H662" s="35" t="s">
        <v>191</v>
      </c>
      <c r="I662" s="43" t="s">
        <v>285</v>
      </c>
      <c r="P662">
        <v>2.0254556644661286E-5</v>
      </c>
    </row>
    <row r="663" spans="1:16" hidden="1" x14ac:dyDescent="0.35">
      <c r="A663" s="3">
        <f xml:space="preserve"> ROW( data_scaledImpacts[[#This Row],[row_id]] ) - ROW( data_scaledImpacts[[#Headers],[row_id]] )</f>
        <v>662</v>
      </c>
      <c r="B663" s="41" t="str">
        <f xml:space="preserve"> _xlfn.TEXTJOIN( "", , data_scaledImpacts[[#This Row],[sector]:[impactType]] )</f>
        <v>SouthwestDustCanESM242090N/AAllMort</v>
      </c>
      <c r="C663" s="33" t="s">
        <v>85</v>
      </c>
      <c r="D663" s="33" t="s">
        <v>0</v>
      </c>
      <c r="E663" s="34">
        <v>4</v>
      </c>
      <c r="F663" s="34">
        <v>2090</v>
      </c>
      <c r="G663" s="34" t="s">
        <v>201</v>
      </c>
      <c r="H663" s="35" t="s">
        <v>191</v>
      </c>
      <c r="I663" s="43" t="s">
        <v>286</v>
      </c>
      <c r="P663">
        <v>1.4962708265940936E-5</v>
      </c>
    </row>
    <row r="664" spans="1:16" hidden="1" x14ac:dyDescent="0.35">
      <c r="A664" s="3">
        <f xml:space="preserve"> ROW( data_scaledImpacts[[#This Row],[row_id]] ) - ROW( data_scaledImpacts[[#Headers],[row_id]] )</f>
        <v>663</v>
      </c>
      <c r="B664" s="41" t="str">
        <f xml:space="preserve"> _xlfn.TEXTJOIN( "", , data_scaledImpacts[[#This Row],[sector]:[impactType]] )</f>
        <v>SouthwestDustCCSM442090N/AAllMort</v>
      </c>
      <c r="C664" s="33" t="s">
        <v>85</v>
      </c>
      <c r="D664" s="33" t="s">
        <v>1</v>
      </c>
      <c r="E664" s="34">
        <v>4</v>
      </c>
      <c r="F664" s="34">
        <v>2090</v>
      </c>
      <c r="G664" s="34" t="s">
        <v>201</v>
      </c>
      <c r="H664" s="35" t="s">
        <v>191</v>
      </c>
      <c r="I664" s="43" t="s">
        <v>287</v>
      </c>
      <c r="P664">
        <v>2.4501789266887156E-5</v>
      </c>
    </row>
    <row r="665" spans="1:16" hidden="1" x14ac:dyDescent="0.35">
      <c r="A665" s="3">
        <f xml:space="preserve"> ROW( data_scaledImpacts[[#This Row],[row_id]] ) - ROW( data_scaledImpacts[[#Headers],[row_id]] )</f>
        <v>664</v>
      </c>
      <c r="B665" s="41" t="str">
        <f xml:space="preserve"> _xlfn.TEXTJOIN( "", , data_scaledImpacts[[#This Row],[sector]:[impactType]] )</f>
        <v>SouthwestDustGISS-E2-R42090N/AAllMort</v>
      </c>
      <c r="C665" s="33" t="s">
        <v>85</v>
      </c>
      <c r="D665" s="33" t="s">
        <v>2</v>
      </c>
      <c r="E665" s="34">
        <v>4</v>
      </c>
      <c r="F665" s="34">
        <v>2090</v>
      </c>
      <c r="G665" s="34" t="s">
        <v>201</v>
      </c>
      <c r="H665" s="35" t="s">
        <v>191</v>
      </c>
      <c r="I665" s="43" t="s">
        <v>288</v>
      </c>
    </row>
    <row r="666" spans="1:16" hidden="1" x14ac:dyDescent="0.35">
      <c r="A666" s="3">
        <f xml:space="preserve"> ROW( data_scaledImpacts[[#This Row],[row_id]] ) - ROW( data_scaledImpacts[[#Headers],[row_id]] )</f>
        <v>665</v>
      </c>
      <c r="B666" s="41" t="str">
        <f xml:space="preserve"> _xlfn.TEXTJOIN( "", , data_scaledImpacts[[#This Row],[sector]:[impactType]] )</f>
        <v>SouthwestDustHadGEM2-ES42090N/AAllMort</v>
      </c>
      <c r="C666" s="33" t="s">
        <v>85</v>
      </c>
      <c r="D666" s="33" t="s">
        <v>3</v>
      </c>
      <c r="E666" s="34">
        <v>4</v>
      </c>
      <c r="F666" s="34">
        <v>2090</v>
      </c>
      <c r="G666" s="34" t="s">
        <v>201</v>
      </c>
      <c r="H666" s="35" t="s">
        <v>191</v>
      </c>
      <c r="I666" s="43" t="s">
        <v>289</v>
      </c>
      <c r="P666">
        <v>1.9801056870685718E-5</v>
      </c>
    </row>
    <row r="667" spans="1:16" hidden="1" x14ac:dyDescent="0.35">
      <c r="A667" s="3">
        <f xml:space="preserve"> ROW( data_scaledImpacts[[#This Row],[row_id]] ) - ROW( data_scaledImpacts[[#Headers],[row_id]] )</f>
        <v>666</v>
      </c>
      <c r="B667" s="41" t="str">
        <f xml:space="preserve"> _xlfn.TEXTJOIN( "", , data_scaledImpacts[[#This Row],[sector]:[impactType]] )</f>
        <v>SouthwestDustMIROC542090N/AAllMort</v>
      </c>
      <c r="C667" s="33" t="s">
        <v>85</v>
      </c>
      <c r="D667" s="33" t="s">
        <v>4</v>
      </c>
      <c r="E667" s="34">
        <v>4</v>
      </c>
      <c r="F667" s="34">
        <v>2090</v>
      </c>
      <c r="G667" s="34" t="s">
        <v>201</v>
      </c>
      <c r="H667" s="35" t="s">
        <v>191</v>
      </c>
      <c r="I667" s="43" t="s">
        <v>290</v>
      </c>
      <c r="P667">
        <v>2.7596981981978565E-5</v>
      </c>
    </row>
    <row r="668" spans="1:16" hidden="1" x14ac:dyDescent="0.35">
      <c r="A668" s="3">
        <f xml:space="preserve"> ROW( data_scaledImpacts[[#This Row],[row_id]] ) - ROW( data_scaledImpacts[[#Headers],[row_id]] )</f>
        <v>667</v>
      </c>
      <c r="B668" s="41" t="str">
        <f xml:space="preserve"> _xlfn.TEXTJOIN( "", , data_scaledImpacts[[#This Row],[sector]:[impactType]] )</f>
        <v>SouthwestDustGFDL-CM342090N/AAllMort</v>
      </c>
      <c r="C668" s="33" t="s">
        <v>85</v>
      </c>
      <c r="D668" s="33" t="s">
        <v>5</v>
      </c>
      <c r="E668" s="34">
        <v>4</v>
      </c>
      <c r="F668" s="34">
        <v>2090</v>
      </c>
      <c r="G668" s="34" t="s">
        <v>201</v>
      </c>
      <c r="H668" s="35" t="s">
        <v>191</v>
      </c>
      <c r="I668" s="43" t="s">
        <v>291</v>
      </c>
      <c r="P668">
        <v>3.4681206875179709E-5</v>
      </c>
    </row>
    <row r="669" spans="1:16" hidden="1" x14ac:dyDescent="0.35">
      <c r="A669" s="3">
        <f xml:space="preserve"> ROW( data_scaledImpacts[[#This Row],[row_id]] ) - ROW( data_scaledImpacts[[#Headers],[row_id]] )</f>
        <v>668</v>
      </c>
      <c r="B669" s="41" t="str">
        <f xml:space="preserve"> _xlfn.TEXTJOIN( "", , data_scaledImpacts[[#This Row],[sector]:[impactType]] )</f>
        <v>SouthwestDustGCM Average42090N/AAllMort</v>
      </c>
      <c r="C669" s="33" t="s">
        <v>85</v>
      </c>
      <c r="D669" s="33" t="s">
        <v>15</v>
      </c>
      <c r="E669" s="34">
        <v>4</v>
      </c>
      <c r="F669" s="34">
        <v>2090</v>
      </c>
      <c r="G669" s="34" t="s">
        <v>201</v>
      </c>
      <c r="H669" s="35" t="s">
        <v>191</v>
      </c>
      <c r="I669" s="43" t="s">
        <v>292</v>
      </c>
      <c r="P669">
        <v>2.4308748652134415E-5</v>
      </c>
    </row>
    <row r="670" spans="1:16" hidden="1" x14ac:dyDescent="0.35">
      <c r="A670" s="3">
        <f xml:space="preserve"> ROW( data_scaledImpacts[[#This Row],[row_id]] ) - ROW( data_scaledImpacts[[#Headers],[row_id]] )</f>
        <v>669</v>
      </c>
      <c r="B670" s="41" t="str">
        <f xml:space="preserve"> _xlfn.TEXTJOIN( "", , data_scaledImpacts[[#This Row],[sector]:[impactType]] )</f>
        <v>SouthwestDustCanESM252090N/AAllMort</v>
      </c>
      <c r="C670" s="33" t="s">
        <v>85</v>
      </c>
      <c r="D670" s="33" t="s">
        <v>0</v>
      </c>
      <c r="E670" s="34">
        <v>5</v>
      </c>
      <c r="F670" s="34">
        <v>2090</v>
      </c>
      <c r="G670" s="34" t="s">
        <v>201</v>
      </c>
      <c r="H670" s="35" t="s">
        <v>191</v>
      </c>
      <c r="I670" s="43" t="s">
        <v>293</v>
      </c>
      <c r="P670">
        <v>1.8495006830431249E-5</v>
      </c>
    </row>
    <row r="671" spans="1:16" hidden="1" x14ac:dyDescent="0.35">
      <c r="A671" s="3">
        <f xml:space="preserve"> ROW( data_scaledImpacts[[#This Row],[row_id]] ) - ROW( data_scaledImpacts[[#Headers],[row_id]] )</f>
        <v>670</v>
      </c>
      <c r="B671" s="41" t="str">
        <f xml:space="preserve"> _xlfn.TEXTJOIN( "", , data_scaledImpacts[[#This Row],[sector]:[impactType]] )</f>
        <v>SouthwestDustCCSM452090N/AAllMort</v>
      </c>
      <c r="C671" s="33" t="s">
        <v>85</v>
      </c>
      <c r="D671" s="33" t="s">
        <v>1</v>
      </c>
      <c r="E671" s="34">
        <v>5</v>
      </c>
      <c r="F671" s="34">
        <v>2090</v>
      </c>
      <c r="G671" s="34" t="s">
        <v>201</v>
      </c>
      <c r="H671" s="35" t="s">
        <v>191</v>
      </c>
      <c r="I671" s="43" t="s">
        <v>294</v>
      </c>
      <c r="P671">
        <v>3.7899626357481721E-5</v>
      </c>
    </row>
    <row r="672" spans="1:16" hidden="1" x14ac:dyDescent="0.35">
      <c r="A672" s="3">
        <f xml:space="preserve"> ROW( data_scaledImpacts[[#This Row],[row_id]] ) - ROW( data_scaledImpacts[[#Headers],[row_id]] )</f>
        <v>671</v>
      </c>
      <c r="B672" s="41" t="str">
        <f xml:space="preserve"> _xlfn.TEXTJOIN( "", , data_scaledImpacts[[#This Row],[sector]:[impactType]] )</f>
        <v>SouthwestDustGISS-E2-R52090N/AAllMort</v>
      </c>
      <c r="C672" s="33" t="s">
        <v>85</v>
      </c>
      <c r="D672" s="33" t="s">
        <v>2</v>
      </c>
      <c r="E672" s="34">
        <v>5</v>
      </c>
      <c r="F672" s="34">
        <v>2090</v>
      </c>
      <c r="G672" s="34" t="s">
        <v>201</v>
      </c>
      <c r="H672" s="35" t="s">
        <v>191</v>
      </c>
      <c r="I672" s="43" t="s">
        <v>295</v>
      </c>
    </row>
    <row r="673" spans="1:16" hidden="1" x14ac:dyDescent="0.35">
      <c r="A673" s="3">
        <f xml:space="preserve"> ROW( data_scaledImpacts[[#This Row],[row_id]] ) - ROW( data_scaledImpacts[[#Headers],[row_id]] )</f>
        <v>672</v>
      </c>
      <c r="B673" s="41" t="str">
        <f xml:space="preserve"> _xlfn.TEXTJOIN( "", , data_scaledImpacts[[#This Row],[sector]:[impactType]] )</f>
        <v>SouthwestDustHadGEM2-ES52090N/AAllMort</v>
      </c>
      <c r="C673" s="33" t="s">
        <v>85</v>
      </c>
      <c r="D673" s="33" t="s">
        <v>3</v>
      </c>
      <c r="E673" s="34">
        <v>5</v>
      </c>
      <c r="F673" s="34">
        <v>2090</v>
      </c>
      <c r="G673" s="34" t="s">
        <v>201</v>
      </c>
      <c r="H673" s="35" t="s">
        <v>191</v>
      </c>
      <c r="I673" s="43" t="s">
        <v>296</v>
      </c>
      <c r="P673">
        <v>3.2053767813646369E-5</v>
      </c>
    </row>
    <row r="674" spans="1:16" hidden="1" x14ac:dyDescent="0.35">
      <c r="A674" s="3">
        <f xml:space="preserve"> ROW( data_scaledImpacts[[#This Row],[row_id]] ) - ROW( data_scaledImpacts[[#Headers],[row_id]] )</f>
        <v>673</v>
      </c>
      <c r="B674" s="41" t="str">
        <f xml:space="preserve"> _xlfn.TEXTJOIN( "", , data_scaledImpacts[[#This Row],[sector]:[impactType]] )</f>
        <v>SouthwestDustMIROC552090N/AAllMort</v>
      </c>
      <c r="C674" s="33" t="s">
        <v>85</v>
      </c>
      <c r="D674" s="33" t="s">
        <v>4</v>
      </c>
      <c r="E674" s="34">
        <v>5</v>
      </c>
      <c r="F674" s="34">
        <v>2090</v>
      </c>
      <c r="G674" s="34" t="s">
        <v>201</v>
      </c>
      <c r="H674" s="35" t="s">
        <v>191</v>
      </c>
      <c r="I674" s="43" t="s">
        <v>297</v>
      </c>
      <c r="P674">
        <v>3.4515019287078977E-5</v>
      </c>
    </row>
    <row r="675" spans="1:16" hidden="1" x14ac:dyDescent="0.35">
      <c r="A675" s="3">
        <f xml:space="preserve"> ROW( data_scaledImpacts[[#This Row],[row_id]] ) - ROW( data_scaledImpacts[[#Headers],[row_id]] )</f>
        <v>674</v>
      </c>
      <c r="B675" s="41" t="str">
        <f xml:space="preserve"> _xlfn.TEXTJOIN( "", , data_scaledImpacts[[#This Row],[sector]:[impactType]] )</f>
        <v>SouthwestDustGFDL-CM352090N/AAllMort</v>
      </c>
      <c r="C675" s="33" t="s">
        <v>85</v>
      </c>
      <c r="D675" s="33" t="s">
        <v>5</v>
      </c>
      <c r="E675" s="34">
        <v>5</v>
      </c>
      <c r="F675" s="34">
        <v>2090</v>
      </c>
      <c r="G675" s="34" t="s">
        <v>201</v>
      </c>
      <c r="H675" s="35" t="s">
        <v>191</v>
      </c>
      <c r="I675" s="43" t="s">
        <v>298</v>
      </c>
      <c r="P675">
        <v>4.2976723326749073E-5</v>
      </c>
    </row>
    <row r="676" spans="1:16" hidden="1" x14ac:dyDescent="0.35">
      <c r="A676" s="3">
        <f xml:space="preserve"> ROW( data_scaledImpacts[[#This Row],[row_id]] ) - ROW( data_scaledImpacts[[#Headers],[row_id]] )</f>
        <v>675</v>
      </c>
      <c r="B676" s="41" t="str">
        <f xml:space="preserve"> _xlfn.TEXTJOIN( "", , data_scaledImpacts[[#This Row],[sector]:[impactType]] )</f>
        <v>SouthwestDustGCM Average52090N/AAllMort</v>
      </c>
      <c r="C676" s="33" t="s">
        <v>85</v>
      </c>
      <c r="D676" s="33" t="s">
        <v>15</v>
      </c>
      <c r="E676" s="34">
        <v>5</v>
      </c>
      <c r="F676" s="34">
        <v>2090</v>
      </c>
      <c r="G676" s="34" t="s">
        <v>201</v>
      </c>
      <c r="H676" s="35" t="s">
        <v>191</v>
      </c>
      <c r="I676" s="43" t="s">
        <v>299</v>
      </c>
      <c r="P676">
        <v>3.3188028723077473E-5</v>
      </c>
    </row>
    <row r="677" spans="1:16" hidden="1" x14ac:dyDescent="0.35">
      <c r="A677" s="3">
        <f xml:space="preserve"> ROW( data_scaledImpacts[[#This Row],[row_id]] ) - ROW( data_scaledImpacts[[#Headers],[row_id]] )</f>
        <v>676</v>
      </c>
      <c r="B677" s="41" t="str">
        <f xml:space="preserve"> _xlfn.TEXTJOIN( "", , data_scaledImpacts[[#This Row],[sector]:[impactType]] )</f>
        <v>SouthwestDustCanESM262090N/AAllMort</v>
      </c>
      <c r="C677" s="33" t="s">
        <v>85</v>
      </c>
      <c r="D677" s="33" t="s">
        <v>0</v>
      </c>
      <c r="E677" s="34">
        <v>6</v>
      </c>
      <c r="F677" s="34">
        <v>2090</v>
      </c>
      <c r="G677" s="34" t="s">
        <v>201</v>
      </c>
      <c r="H677" s="35" t="s">
        <v>191</v>
      </c>
      <c r="I677" s="43" t="s">
        <v>300</v>
      </c>
      <c r="P677">
        <v>2.3454845901987409E-5</v>
      </c>
    </row>
    <row r="678" spans="1:16" hidden="1" x14ac:dyDescent="0.35">
      <c r="A678" s="3">
        <f xml:space="preserve"> ROW( data_scaledImpacts[[#This Row],[row_id]] ) - ROW( data_scaledImpacts[[#Headers],[row_id]] )</f>
        <v>677</v>
      </c>
      <c r="B678" s="41" t="str">
        <f xml:space="preserve"> _xlfn.TEXTJOIN( "", , data_scaledImpacts[[#This Row],[sector]:[impactType]] )</f>
        <v>SouthwestDustCCSM462090N/AAllMort</v>
      </c>
      <c r="C678" s="33" t="s">
        <v>85</v>
      </c>
      <c r="D678" s="33" t="s">
        <v>1</v>
      </c>
      <c r="E678" s="34">
        <v>6</v>
      </c>
      <c r="F678" s="34">
        <v>2090</v>
      </c>
      <c r="G678" s="34" t="s">
        <v>201</v>
      </c>
      <c r="H678" s="35" t="s">
        <v>191</v>
      </c>
      <c r="I678" s="43" t="s">
        <v>301</v>
      </c>
    </row>
    <row r="679" spans="1:16" hidden="1" x14ac:dyDescent="0.35">
      <c r="A679" s="3">
        <f xml:space="preserve"> ROW( data_scaledImpacts[[#This Row],[row_id]] ) - ROW( data_scaledImpacts[[#Headers],[row_id]] )</f>
        <v>678</v>
      </c>
      <c r="B679" s="41" t="str">
        <f xml:space="preserve"> _xlfn.TEXTJOIN( "", , data_scaledImpacts[[#This Row],[sector]:[impactType]] )</f>
        <v>SouthwestDustGISS-E2-R62090N/AAllMort</v>
      </c>
      <c r="C679" s="33" t="s">
        <v>85</v>
      </c>
      <c r="D679" s="33" t="s">
        <v>2</v>
      </c>
      <c r="E679" s="34">
        <v>6</v>
      </c>
      <c r="F679" s="34">
        <v>2090</v>
      </c>
      <c r="G679" s="34" t="s">
        <v>201</v>
      </c>
      <c r="H679" s="35" t="s">
        <v>191</v>
      </c>
      <c r="I679" s="43" t="s">
        <v>302</v>
      </c>
    </row>
    <row r="680" spans="1:16" hidden="1" x14ac:dyDescent="0.35">
      <c r="A680" s="3">
        <f xml:space="preserve"> ROW( data_scaledImpacts[[#This Row],[row_id]] ) - ROW( data_scaledImpacts[[#Headers],[row_id]] )</f>
        <v>679</v>
      </c>
      <c r="B680" s="41" t="str">
        <f xml:space="preserve"> _xlfn.TEXTJOIN( "", , data_scaledImpacts[[#This Row],[sector]:[impactType]] )</f>
        <v>SouthwestDustHadGEM2-ES62090N/AAllMort</v>
      </c>
      <c r="C680" s="33" t="s">
        <v>85</v>
      </c>
      <c r="D680" s="33" t="s">
        <v>3</v>
      </c>
      <c r="E680" s="34">
        <v>6</v>
      </c>
      <c r="F680" s="34">
        <v>2090</v>
      </c>
      <c r="G680" s="34" t="s">
        <v>201</v>
      </c>
      <c r="H680" s="35" t="s">
        <v>191</v>
      </c>
      <c r="I680" s="43" t="s">
        <v>303</v>
      </c>
      <c r="P680">
        <v>3.074172124382284E-5</v>
      </c>
    </row>
    <row r="681" spans="1:16" hidden="1" x14ac:dyDescent="0.35">
      <c r="A681" s="3">
        <f xml:space="preserve"> ROW( data_scaledImpacts[[#This Row],[row_id]] ) - ROW( data_scaledImpacts[[#Headers],[row_id]] )</f>
        <v>680</v>
      </c>
      <c r="B681" s="41" t="str">
        <f xml:space="preserve"> _xlfn.TEXTJOIN( "", , data_scaledImpacts[[#This Row],[sector]:[impactType]] )</f>
        <v>SouthwestDustMIROC562090N/AAllMort</v>
      </c>
      <c r="C681" s="33" t="s">
        <v>85</v>
      </c>
      <c r="D681" s="33" t="s">
        <v>4</v>
      </c>
      <c r="E681" s="34">
        <v>6</v>
      </c>
      <c r="F681" s="34">
        <v>2090</v>
      </c>
      <c r="G681" s="34" t="s">
        <v>201</v>
      </c>
      <c r="H681" s="35" t="s">
        <v>191</v>
      </c>
      <c r="I681" s="43" t="s">
        <v>304</v>
      </c>
    </row>
    <row r="682" spans="1:16" hidden="1" x14ac:dyDescent="0.35">
      <c r="A682" s="3">
        <f xml:space="preserve"> ROW( data_scaledImpacts[[#This Row],[row_id]] ) - ROW( data_scaledImpacts[[#Headers],[row_id]] )</f>
        <v>681</v>
      </c>
      <c r="B682" s="41" t="str">
        <f xml:space="preserve"> _xlfn.TEXTJOIN( "", , data_scaledImpacts[[#This Row],[sector]:[impactType]] )</f>
        <v>SouthwestDustGFDL-CM362090N/AAllMort</v>
      </c>
      <c r="C682" s="33" t="s">
        <v>85</v>
      </c>
      <c r="D682" s="33" t="s">
        <v>5</v>
      </c>
      <c r="E682" s="34">
        <v>6</v>
      </c>
      <c r="F682" s="34">
        <v>2090</v>
      </c>
      <c r="G682" s="34" t="s">
        <v>201</v>
      </c>
      <c r="H682" s="35" t="s">
        <v>191</v>
      </c>
      <c r="I682" s="43" t="s">
        <v>305</v>
      </c>
      <c r="P682">
        <v>4.9152841945413669E-5</v>
      </c>
    </row>
    <row r="683" spans="1:16" hidden="1" x14ac:dyDescent="0.35">
      <c r="A683" s="3">
        <f xml:space="preserve"> ROW( data_scaledImpacts[[#This Row],[row_id]] ) - ROW( data_scaledImpacts[[#Headers],[row_id]] )</f>
        <v>682</v>
      </c>
      <c r="B683" s="41" t="str">
        <f xml:space="preserve"> _xlfn.TEXTJOIN( "", , data_scaledImpacts[[#This Row],[sector]:[impactType]] )</f>
        <v>SouthwestDustGCM Average62090N/AAllMort</v>
      </c>
      <c r="C683" s="33" t="s">
        <v>85</v>
      </c>
      <c r="D683" s="33" t="s">
        <v>15</v>
      </c>
      <c r="E683" s="34">
        <v>6</v>
      </c>
      <c r="F683" s="34">
        <v>2090</v>
      </c>
      <c r="G683" s="34" t="s">
        <v>201</v>
      </c>
      <c r="H683" s="35" t="s">
        <v>191</v>
      </c>
      <c r="I683" s="43" t="s">
        <v>306</v>
      </c>
      <c r="P683">
        <v>3.4449803030407973E-5</v>
      </c>
    </row>
    <row r="684" spans="1:16" hidden="1" x14ac:dyDescent="0.35">
      <c r="A684" s="3">
        <f xml:space="preserve"> ROW( data_scaledImpacts[[#This Row],[row_id]] ) - ROW( data_scaledImpacts[[#Headers],[row_id]] )</f>
        <v>683</v>
      </c>
      <c r="B684" s="41" t="str">
        <f xml:space="preserve"> _xlfn.TEXTJOIN( "", , data_scaledImpacts[[#This Row],[sector]:[impactType]] )</f>
        <v>SouthwestDustCanESM272090N/AAllMort</v>
      </c>
      <c r="C684" s="33" t="s">
        <v>85</v>
      </c>
      <c r="D684" s="33" t="s">
        <v>0</v>
      </c>
      <c r="E684" s="34">
        <v>7</v>
      </c>
      <c r="F684" s="34">
        <v>2090</v>
      </c>
      <c r="G684" s="34" t="s">
        <v>201</v>
      </c>
      <c r="H684" s="35" t="s">
        <v>191</v>
      </c>
      <c r="I684" s="43" t="s">
        <v>307</v>
      </c>
    </row>
    <row r="685" spans="1:16" hidden="1" x14ac:dyDescent="0.35">
      <c r="A685" s="3">
        <f xml:space="preserve"> ROW( data_scaledImpacts[[#This Row],[row_id]] ) - ROW( data_scaledImpacts[[#Headers],[row_id]] )</f>
        <v>684</v>
      </c>
      <c r="B685" s="41" t="str">
        <f xml:space="preserve"> _xlfn.TEXTJOIN( "", , data_scaledImpacts[[#This Row],[sector]:[impactType]] )</f>
        <v>SouthwestDustCCSM472090N/AAllMort</v>
      </c>
      <c r="C685" s="33" t="s">
        <v>85</v>
      </c>
      <c r="D685" s="33" t="s">
        <v>1</v>
      </c>
      <c r="E685" s="34">
        <v>7</v>
      </c>
      <c r="F685" s="34">
        <v>2090</v>
      </c>
      <c r="G685" s="34" t="s">
        <v>201</v>
      </c>
      <c r="H685" s="35" t="s">
        <v>191</v>
      </c>
      <c r="I685" s="43" t="s">
        <v>308</v>
      </c>
    </row>
    <row r="686" spans="1:16" hidden="1" x14ac:dyDescent="0.35">
      <c r="A686" s="3">
        <f xml:space="preserve"> ROW( data_scaledImpacts[[#This Row],[row_id]] ) - ROW( data_scaledImpacts[[#Headers],[row_id]] )</f>
        <v>685</v>
      </c>
      <c r="B686" s="41" t="str">
        <f xml:space="preserve"> _xlfn.TEXTJOIN( "", , data_scaledImpacts[[#This Row],[sector]:[impactType]] )</f>
        <v>SouthwestDustGISS-E2-R72090N/AAllMort</v>
      </c>
      <c r="C686" s="33" t="s">
        <v>85</v>
      </c>
      <c r="D686" s="33" t="s">
        <v>2</v>
      </c>
      <c r="E686" s="34">
        <v>7</v>
      </c>
      <c r="F686" s="34">
        <v>2090</v>
      </c>
      <c r="G686" s="34" t="s">
        <v>201</v>
      </c>
      <c r="H686" s="35" t="s">
        <v>191</v>
      </c>
      <c r="I686" s="43" t="s">
        <v>309</v>
      </c>
    </row>
    <row r="687" spans="1:16" hidden="1" x14ac:dyDescent="0.35">
      <c r="A687" s="3">
        <f xml:space="preserve"> ROW( data_scaledImpacts[[#This Row],[row_id]] ) - ROW( data_scaledImpacts[[#Headers],[row_id]] )</f>
        <v>686</v>
      </c>
      <c r="B687" s="41" t="str">
        <f xml:space="preserve"> _xlfn.TEXTJOIN( "", , data_scaledImpacts[[#This Row],[sector]:[impactType]] )</f>
        <v>SouthwestDustHadGEM2-ES72090N/AAllMort</v>
      </c>
      <c r="C687" s="33" t="s">
        <v>85</v>
      </c>
      <c r="D687" s="33" t="s">
        <v>3</v>
      </c>
      <c r="E687" s="34">
        <v>7</v>
      </c>
      <c r="F687" s="34">
        <v>2090</v>
      </c>
      <c r="G687" s="34" t="s">
        <v>201</v>
      </c>
      <c r="H687" s="35" t="s">
        <v>191</v>
      </c>
      <c r="I687" s="43" t="s">
        <v>310</v>
      </c>
    </row>
    <row r="688" spans="1:16" hidden="1" x14ac:dyDescent="0.35">
      <c r="A688" s="3">
        <f xml:space="preserve"> ROW( data_scaledImpacts[[#This Row],[row_id]] ) - ROW( data_scaledImpacts[[#Headers],[row_id]] )</f>
        <v>687</v>
      </c>
      <c r="B688" s="41" t="str">
        <f xml:space="preserve"> _xlfn.TEXTJOIN( "", , data_scaledImpacts[[#This Row],[sector]:[impactType]] )</f>
        <v>SouthwestDustMIROC572090N/AAllMort</v>
      </c>
      <c r="C688" s="33" t="s">
        <v>85</v>
      </c>
      <c r="D688" s="33" t="s">
        <v>4</v>
      </c>
      <c r="E688" s="34">
        <v>7</v>
      </c>
      <c r="F688" s="34">
        <v>2090</v>
      </c>
      <c r="G688" s="34" t="s">
        <v>201</v>
      </c>
      <c r="H688" s="35" t="s">
        <v>191</v>
      </c>
      <c r="I688" s="43" t="s">
        <v>311</v>
      </c>
    </row>
    <row r="689" spans="1:16" hidden="1" x14ac:dyDescent="0.35">
      <c r="A689" s="3">
        <f xml:space="preserve"> ROW( data_scaledImpacts[[#This Row],[row_id]] ) - ROW( data_scaledImpacts[[#Headers],[row_id]] )</f>
        <v>688</v>
      </c>
      <c r="B689" s="41" t="str">
        <f xml:space="preserve"> _xlfn.TEXTJOIN( "", , data_scaledImpacts[[#This Row],[sector]:[impactType]] )</f>
        <v>SouthwestDustGFDL-CM372090N/AAllMort</v>
      </c>
      <c r="C689" s="33" t="s">
        <v>85</v>
      </c>
      <c r="D689" s="33" t="s">
        <v>5</v>
      </c>
      <c r="E689" s="34">
        <v>7</v>
      </c>
      <c r="F689" s="34">
        <v>2090</v>
      </c>
      <c r="G689" s="34" t="s">
        <v>201</v>
      </c>
      <c r="H689" s="35" t="s">
        <v>191</v>
      </c>
      <c r="I689" s="43" t="s">
        <v>312</v>
      </c>
    </row>
    <row r="690" spans="1:16" hidden="1" x14ac:dyDescent="0.35">
      <c r="A690" s="3">
        <f xml:space="preserve"> ROW( data_scaledImpacts[[#This Row],[row_id]] ) - ROW( data_scaledImpacts[[#Headers],[row_id]] )</f>
        <v>689</v>
      </c>
      <c r="B690" s="41" t="str">
        <f xml:space="preserve"> _xlfn.TEXTJOIN( "", , data_scaledImpacts[[#This Row],[sector]:[impactType]] )</f>
        <v>SouthwestDustGCM Average72090N/AAllMort</v>
      </c>
      <c r="C690" s="33" t="s">
        <v>85</v>
      </c>
      <c r="D690" s="33" t="s">
        <v>15</v>
      </c>
      <c r="E690" s="34">
        <v>7</v>
      </c>
      <c r="F690" s="34">
        <v>2090</v>
      </c>
      <c r="G690" s="34" t="s">
        <v>201</v>
      </c>
      <c r="H690" s="35" t="s">
        <v>191</v>
      </c>
      <c r="I690" s="43" t="s">
        <v>313</v>
      </c>
      <c r="P690" t="s">
        <v>26</v>
      </c>
    </row>
    <row r="691" spans="1:16" hidden="1" x14ac:dyDescent="0.35">
      <c r="A691" s="3">
        <f xml:space="preserve"> ROW( data_scaledImpacts[[#This Row],[row_id]] ) - ROW( data_scaledImpacts[[#Headers],[row_id]] )</f>
        <v>690</v>
      </c>
      <c r="B691" s="41" t="str">
        <f xml:space="preserve"> _xlfn.TEXTJOIN( "", , data_scaledImpacts[[#This Row],[sector]:[impactType]] )</f>
        <v>SouthwestDustCanESM212090N/AAsthmaER</v>
      </c>
      <c r="C691" s="33" t="s">
        <v>85</v>
      </c>
      <c r="D691" s="33" t="s">
        <v>0</v>
      </c>
      <c r="E691" s="34">
        <v>1</v>
      </c>
      <c r="F691" s="34">
        <v>2090</v>
      </c>
      <c r="G691" s="34" t="s">
        <v>201</v>
      </c>
      <c r="H691" s="35" t="s">
        <v>192</v>
      </c>
      <c r="I691" s="43" t="s">
        <v>1166</v>
      </c>
      <c r="P691">
        <v>2.9903296349816215E-6</v>
      </c>
    </row>
    <row r="692" spans="1:16" hidden="1" x14ac:dyDescent="0.35">
      <c r="A692" s="3">
        <f xml:space="preserve"> ROW( data_scaledImpacts[[#This Row],[row_id]] ) - ROW( data_scaledImpacts[[#Headers],[row_id]] )</f>
        <v>691</v>
      </c>
      <c r="B692" s="41" t="str">
        <f xml:space="preserve"> _xlfn.TEXTJOIN( "", , data_scaledImpacts[[#This Row],[sector]:[impactType]] )</f>
        <v>SouthwestDustCCSM412090N/AAsthmaER</v>
      </c>
      <c r="C692" s="33" t="s">
        <v>85</v>
      </c>
      <c r="D692" s="33" t="s">
        <v>1</v>
      </c>
      <c r="E692" s="34">
        <v>1</v>
      </c>
      <c r="F692" s="34">
        <v>2090</v>
      </c>
      <c r="G692" s="34" t="s">
        <v>201</v>
      </c>
      <c r="H692" s="35" t="s">
        <v>192</v>
      </c>
      <c r="I692" s="43" t="s">
        <v>1167</v>
      </c>
      <c r="P692">
        <v>9.8727439721683776E-6</v>
      </c>
    </row>
    <row r="693" spans="1:16" hidden="1" x14ac:dyDescent="0.35">
      <c r="A693" s="3">
        <f xml:space="preserve"> ROW( data_scaledImpacts[[#This Row],[row_id]] ) - ROW( data_scaledImpacts[[#Headers],[row_id]] )</f>
        <v>692</v>
      </c>
      <c r="B693" s="41" t="str">
        <f xml:space="preserve"> _xlfn.TEXTJOIN( "", , data_scaledImpacts[[#This Row],[sector]:[impactType]] )</f>
        <v>SouthwestDustGISS-E2-R12090N/AAsthmaER</v>
      </c>
      <c r="C693" s="33" t="s">
        <v>85</v>
      </c>
      <c r="D693" s="33" t="s">
        <v>2</v>
      </c>
      <c r="E693" s="34">
        <v>1</v>
      </c>
      <c r="F693" s="34">
        <v>2090</v>
      </c>
      <c r="G693" s="34" t="s">
        <v>201</v>
      </c>
      <c r="H693" s="35" t="s">
        <v>192</v>
      </c>
      <c r="I693" s="43" t="s">
        <v>1168</v>
      </c>
      <c r="P693">
        <v>6.7124383142733923E-7</v>
      </c>
    </row>
    <row r="694" spans="1:16" hidden="1" x14ac:dyDescent="0.35">
      <c r="A694" s="3">
        <f xml:space="preserve"> ROW( data_scaledImpacts[[#This Row],[row_id]] ) - ROW( data_scaledImpacts[[#Headers],[row_id]] )</f>
        <v>693</v>
      </c>
      <c r="B694" s="41" t="str">
        <f xml:space="preserve"> _xlfn.TEXTJOIN( "", , data_scaledImpacts[[#This Row],[sector]:[impactType]] )</f>
        <v>SouthwestDustHadGEM2-ES12090N/AAsthmaER</v>
      </c>
      <c r="C694" s="33" t="s">
        <v>85</v>
      </c>
      <c r="D694" s="33" t="s">
        <v>3</v>
      </c>
      <c r="E694" s="34">
        <v>1</v>
      </c>
      <c r="F694" s="34">
        <v>2090</v>
      </c>
      <c r="G694" s="34" t="s">
        <v>201</v>
      </c>
      <c r="H694" s="35" t="s">
        <v>192</v>
      </c>
      <c r="I694" s="43" t="s">
        <v>1169</v>
      </c>
      <c r="P694">
        <v>-7.3731102516334923E-7</v>
      </c>
    </row>
    <row r="695" spans="1:16" hidden="1" x14ac:dyDescent="0.35">
      <c r="A695" s="3">
        <f xml:space="preserve"> ROW( data_scaledImpacts[[#This Row],[row_id]] ) - ROW( data_scaledImpacts[[#Headers],[row_id]] )</f>
        <v>694</v>
      </c>
      <c r="B695" s="41" t="str">
        <f xml:space="preserve"> _xlfn.TEXTJOIN( "", , data_scaledImpacts[[#This Row],[sector]:[impactType]] )</f>
        <v>SouthwestDustMIROC512090N/AAsthmaER</v>
      </c>
      <c r="C695" s="33" t="s">
        <v>85</v>
      </c>
      <c r="D695" s="33" t="s">
        <v>4</v>
      </c>
      <c r="E695" s="34">
        <v>1</v>
      </c>
      <c r="F695" s="34">
        <v>2090</v>
      </c>
      <c r="G695" s="34" t="s">
        <v>201</v>
      </c>
      <c r="H695" s="35" t="s">
        <v>192</v>
      </c>
      <c r="I695" s="43" t="s">
        <v>1170</v>
      </c>
      <c r="P695">
        <v>4.4393332865927899E-6</v>
      </c>
    </row>
    <row r="696" spans="1:16" hidden="1" x14ac:dyDescent="0.35">
      <c r="A696" s="3">
        <f xml:space="preserve"> ROW( data_scaledImpacts[[#This Row],[row_id]] ) - ROW( data_scaledImpacts[[#Headers],[row_id]] )</f>
        <v>695</v>
      </c>
      <c r="B696" s="41" t="str">
        <f xml:space="preserve"> _xlfn.TEXTJOIN( "", , data_scaledImpacts[[#This Row],[sector]:[impactType]] )</f>
        <v>SouthwestDustGFDL-CM312090N/AAsthmaER</v>
      </c>
      <c r="C696" s="33" t="s">
        <v>85</v>
      </c>
      <c r="D696" s="33" t="s">
        <v>5</v>
      </c>
      <c r="E696" s="34">
        <v>1</v>
      </c>
      <c r="F696" s="34">
        <v>2090</v>
      </c>
      <c r="G696" s="34" t="s">
        <v>201</v>
      </c>
      <c r="H696" s="35" t="s">
        <v>192</v>
      </c>
      <c r="I696" s="43" t="s">
        <v>1171</v>
      </c>
      <c r="P696">
        <v>9.393806600790164E-6</v>
      </c>
    </row>
    <row r="697" spans="1:16" hidden="1" x14ac:dyDescent="0.35">
      <c r="A697" s="3">
        <f xml:space="preserve"> ROW( data_scaledImpacts[[#This Row],[row_id]] ) - ROW( data_scaledImpacts[[#Headers],[row_id]] )</f>
        <v>696</v>
      </c>
      <c r="B697" s="41" t="str">
        <f xml:space="preserve"> _xlfn.TEXTJOIN( "", , data_scaledImpacts[[#This Row],[sector]:[impactType]] )</f>
        <v>SouthwestDustGCM Average12090N/AAsthmaER</v>
      </c>
      <c r="C697" s="33" t="s">
        <v>85</v>
      </c>
      <c r="D697" s="33" t="s">
        <v>15</v>
      </c>
      <c r="E697" s="34">
        <v>1</v>
      </c>
      <c r="F697" s="34">
        <v>2090</v>
      </c>
      <c r="G697" s="34" t="s">
        <v>201</v>
      </c>
      <c r="H697" s="35" t="s">
        <v>192</v>
      </c>
      <c r="I697" s="43" t="s">
        <v>1172</v>
      </c>
      <c r="P697">
        <v>4.4383577167994908E-6</v>
      </c>
    </row>
    <row r="698" spans="1:16" hidden="1" x14ac:dyDescent="0.35">
      <c r="A698" s="3">
        <f xml:space="preserve"> ROW( data_scaledImpacts[[#This Row],[row_id]] ) - ROW( data_scaledImpacts[[#Headers],[row_id]] )</f>
        <v>697</v>
      </c>
      <c r="B698" s="41" t="str">
        <f xml:space="preserve"> _xlfn.TEXTJOIN( "", , data_scaledImpacts[[#This Row],[sector]:[impactType]] )</f>
        <v>SouthwestDustCanESM222090N/AAsthmaER</v>
      </c>
      <c r="C698" s="33" t="s">
        <v>85</v>
      </c>
      <c r="D698" s="33" t="s">
        <v>0</v>
      </c>
      <c r="E698" s="34">
        <v>2</v>
      </c>
      <c r="F698" s="34">
        <v>2090</v>
      </c>
      <c r="G698" s="34" t="s">
        <v>201</v>
      </c>
      <c r="H698" s="35" t="s">
        <v>192</v>
      </c>
      <c r="I698" s="43" t="s">
        <v>1173</v>
      </c>
      <c r="P698">
        <v>8.5694982746273051E-6</v>
      </c>
    </row>
    <row r="699" spans="1:16" hidden="1" x14ac:dyDescent="0.35">
      <c r="A699" s="3">
        <f xml:space="preserve"> ROW( data_scaledImpacts[[#This Row],[row_id]] ) - ROW( data_scaledImpacts[[#Headers],[row_id]] )</f>
        <v>698</v>
      </c>
      <c r="B699" s="41" t="str">
        <f xml:space="preserve"> _xlfn.TEXTJOIN( "", , data_scaledImpacts[[#This Row],[sector]:[impactType]] )</f>
        <v>SouthwestDustCCSM422090N/AAsthmaER</v>
      </c>
      <c r="C699" s="33" t="s">
        <v>85</v>
      </c>
      <c r="D699" s="33" t="s">
        <v>1</v>
      </c>
      <c r="E699" s="34">
        <v>2</v>
      </c>
      <c r="F699" s="34">
        <v>2090</v>
      </c>
      <c r="G699" s="34" t="s">
        <v>201</v>
      </c>
      <c r="H699" s="35" t="s">
        <v>192</v>
      </c>
      <c r="I699" s="43" t="s">
        <v>1174</v>
      </c>
      <c r="P699">
        <v>1.4756593827769393E-5</v>
      </c>
    </row>
    <row r="700" spans="1:16" hidden="1" x14ac:dyDescent="0.35">
      <c r="A700" s="3">
        <f xml:space="preserve"> ROW( data_scaledImpacts[[#This Row],[row_id]] ) - ROW( data_scaledImpacts[[#Headers],[row_id]] )</f>
        <v>699</v>
      </c>
      <c r="B700" s="41" t="str">
        <f xml:space="preserve"> _xlfn.TEXTJOIN( "", , data_scaledImpacts[[#This Row],[sector]:[impactType]] )</f>
        <v>SouthwestDustGISS-E2-R22090N/AAsthmaER</v>
      </c>
      <c r="C700" s="33" t="s">
        <v>85</v>
      </c>
      <c r="D700" s="33" t="s">
        <v>2</v>
      </c>
      <c r="E700" s="34">
        <v>2</v>
      </c>
      <c r="F700" s="34">
        <v>2090</v>
      </c>
      <c r="G700" s="34" t="s">
        <v>201</v>
      </c>
      <c r="H700" s="35" t="s">
        <v>192</v>
      </c>
      <c r="I700" s="43" t="s">
        <v>1175</v>
      </c>
      <c r="P700">
        <v>5.6982830872439907E-6</v>
      </c>
    </row>
    <row r="701" spans="1:16" hidden="1" x14ac:dyDescent="0.35">
      <c r="A701" s="3">
        <f xml:space="preserve"> ROW( data_scaledImpacts[[#This Row],[row_id]] ) - ROW( data_scaledImpacts[[#Headers],[row_id]] )</f>
        <v>700</v>
      </c>
      <c r="B701" s="41" t="str">
        <f xml:space="preserve"> _xlfn.TEXTJOIN( "", , data_scaledImpacts[[#This Row],[sector]:[impactType]] )</f>
        <v>SouthwestDustHadGEM2-ES22090N/AAsthmaER</v>
      </c>
      <c r="C701" s="33" t="s">
        <v>85</v>
      </c>
      <c r="D701" s="33" t="s">
        <v>3</v>
      </c>
      <c r="E701" s="34">
        <v>2</v>
      </c>
      <c r="F701" s="34">
        <v>2090</v>
      </c>
      <c r="G701" s="34" t="s">
        <v>201</v>
      </c>
      <c r="H701" s="35" t="s">
        <v>192</v>
      </c>
      <c r="I701" s="43" t="s">
        <v>1176</v>
      </c>
      <c r="P701">
        <v>1.2437362722101335E-5</v>
      </c>
    </row>
    <row r="702" spans="1:16" hidden="1" x14ac:dyDescent="0.35">
      <c r="A702" s="3">
        <f xml:space="preserve"> ROW( data_scaledImpacts[[#This Row],[row_id]] ) - ROW( data_scaledImpacts[[#Headers],[row_id]] )</f>
        <v>701</v>
      </c>
      <c r="B702" s="41" t="str">
        <f xml:space="preserve"> _xlfn.TEXTJOIN( "", , data_scaledImpacts[[#This Row],[sector]:[impactType]] )</f>
        <v>SouthwestDustMIROC522090N/AAsthmaER</v>
      </c>
      <c r="C702" s="33" t="s">
        <v>85</v>
      </c>
      <c r="D702" s="33" t="s">
        <v>4</v>
      </c>
      <c r="E702" s="34">
        <v>2</v>
      </c>
      <c r="F702" s="34">
        <v>2090</v>
      </c>
      <c r="G702" s="34" t="s">
        <v>201</v>
      </c>
      <c r="H702" s="35" t="s">
        <v>192</v>
      </c>
      <c r="I702" s="43" t="s">
        <v>1177</v>
      </c>
      <c r="P702">
        <v>9.5888321321912038E-6</v>
      </c>
    </row>
    <row r="703" spans="1:16" hidden="1" x14ac:dyDescent="0.35">
      <c r="A703" s="3">
        <f xml:space="preserve"> ROW( data_scaledImpacts[[#This Row],[row_id]] ) - ROW( data_scaledImpacts[[#Headers],[row_id]] )</f>
        <v>702</v>
      </c>
      <c r="B703" s="41" t="str">
        <f xml:space="preserve"> _xlfn.TEXTJOIN( "", , data_scaledImpacts[[#This Row],[sector]:[impactType]] )</f>
        <v>SouthwestDustGFDL-CM322090N/AAsthmaER</v>
      </c>
      <c r="C703" s="33" t="s">
        <v>85</v>
      </c>
      <c r="D703" s="33" t="s">
        <v>5</v>
      </c>
      <c r="E703" s="34">
        <v>2</v>
      </c>
      <c r="F703" s="34">
        <v>2090</v>
      </c>
      <c r="G703" s="34" t="s">
        <v>201</v>
      </c>
      <c r="H703" s="35" t="s">
        <v>192</v>
      </c>
      <c r="I703" s="43" t="s">
        <v>1178</v>
      </c>
      <c r="P703">
        <v>1.3837559208695893E-5</v>
      </c>
    </row>
    <row r="704" spans="1:16" hidden="1" x14ac:dyDescent="0.35">
      <c r="A704" s="3">
        <f xml:space="preserve"> ROW( data_scaledImpacts[[#This Row],[row_id]] ) - ROW( data_scaledImpacts[[#Headers],[row_id]] )</f>
        <v>703</v>
      </c>
      <c r="B704" s="41" t="str">
        <f xml:space="preserve"> _xlfn.TEXTJOIN( "", , data_scaledImpacts[[#This Row],[sector]:[impactType]] )</f>
        <v>SouthwestDustGCM Average22090N/AAsthmaER</v>
      </c>
      <c r="C704" s="33" t="s">
        <v>85</v>
      </c>
      <c r="D704" s="33" t="s">
        <v>15</v>
      </c>
      <c r="E704" s="34">
        <v>2</v>
      </c>
      <c r="F704" s="34">
        <v>2090</v>
      </c>
      <c r="G704" s="34" t="s">
        <v>201</v>
      </c>
      <c r="H704" s="35" t="s">
        <v>192</v>
      </c>
      <c r="I704" s="43" t="s">
        <v>1179</v>
      </c>
      <c r="P704">
        <v>1.0814688208771521E-5</v>
      </c>
    </row>
    <row r="705" spans="1:16" hidden="1" x14ac:dyDescent="0.35">
      <c r="A705" s="3">
        <f xml:space="preserve"> ROW( data_scaledImpacts[[#This Row],[row_id]] ) - ROW( data_scaledImpacts[[#Headers],[row_id]] )</f>
        <v>704</v>
      </c>
      <c r="B705" s="41" t="str">
        <f xml:space="preserve"> _xlfn.TEXTJOIN( "", , data_scaledImpacts[[#This Row],[sector]:[impactType]] )</f>
        <v>SouthwestDustCanESM232090N/AAsthmaER</v>
      </c>
      <c r="C705" s="33" t="s">
        <v>85</v>
      </c>
      <c r="D705" s="33" t="s">
        <v>0</v>
      </c>
      <c r="E705" s="34">
        <v>3</v>
      </c>
      <c r="F705" s="34">
        <v>2090</v>
      </c>
      <c r="G705" s="34" t="s">
        <v>201</v>
      </c>
      <c r="H705" s="35" t="s">
        <v>192</v>
      </c>
      <c r="I705" s="43" t="s">
        <v>1180</v>
      </c>
      <c r="P705">
        <v>1.2333985688945342E-5</v>
      </c>
    </row>
    <row r="706" spans="1:16" hidden="1" x14ac:dyDescent="0.35">
      <c r="A706" s="3">
        <f xml:space="preserve"> ROW( data_scaledImpacts[[#This Row],[row_id]] ) - ROW( data_scaledImpacts[[#Headers],[row_id]] )</f>
        <v>705</v>
      </c>
      <c r="B706" s="41" t="str">
        <f xml:space="preserve"> _xlfn.TEXTJOIN( "", , data_scaledImpacts[[#This Row],[sector]:[impactType]] )</f>
        <v>SouthwestDustCCSM432090N/AAsthmaER</v>
      </c>
      <c r="C706" s="33" t="s">
        <v>85</v>
      </c>
      <c r="D706" s="33" t="s">
        <v>1</v>
      </c>
      <c r="E706" s="34">
        <v>3</v>
      </c>
      <c r="F706" s="34">
        <v>2090</v>
      </c>
      <c r="G706" s="34" t="s">
        <v>201</v>
      </c>
      <c r="H706" s="35" t="s">
        <v>192</v>
      </c>
      <c r="I706" s="43" t="s">
        <v>1181</v>
      </c>
      <c r="P706">
        <v>1.594779918047028E-5</v>
      </c>
    </row>
    <row r="707" spans="1:16" hidden="1" x14ac:dyDescent="0.35">
      <c r="A707" s="3">
        <f xml:space="preserve"> ROW( data_scaledImpacts[[#This Row],[row_id]] ) - ROW( data_scaledImpacts[[#Headers],[row_id]] )</f>
        <v>706</v>
      </c>
      <c r="B707" s="41" t="str">
        <f xml:space="preserve"> _xlfn.TEXTJOIN( "", , data_scaledImpacts[[#This Row],[sector]:[impactType]] )</f>
        <v>SouthwestDustGISS-E2-R32090N/AAsthmaER</v>
      </c>
      <c r="C707" s="33" t="s">
        <v>85</v>
      </c>
      <c r="D707" s="33" t="s">
        <v>2</v>
      </c>
      <c r="E707" s="34">
        <v>3</v>
      </c>
      <c r="F707" s="34">
        <v>2090</v>
      </c>
      <c r="G707" s="34" t="s">
        <v>201</v>
      </c>
      <c r="H707" s="35" t="s">
        <v>192</v>
      </c>
      <c r="I707" s="43" t="s">
        <v>1182</v>
      </c>
      <c r="P707">
        <v>1.6703387845237476E-5</v>
      </c>
    </row>
    <row r="708" spans="1:16" hidden="1" x14ac:dyDescent="0.35">
      <c r="A708" s="3">
        <f xml:space="preserve"> ROW( data_scaledImpacts[[#This Row],[row_id]] ) - ROW( data_scaledImpacts[[#Headers],[row_id]] )</f>
        <v>707</v>
      </c>
      <c r="B708" s="41" t="str">
        <f xml:space="preserve"> _xlfn.TEXTJOIN( "", , data_scaledImpacts[[#This Row],[sector]:[impactType]] )</f>
        <v>SouthwestDustHadGEM2-ES32090N/AAsthmaER</v>
      </c>
      <c r="C708" s="33" t="s">
        <v>85</v>
      </c>
      <c r="D708" s="33" t="s">
        <v>3</v>
      </c>
      <c r="E708" s="34">
        <v>3</v>
      </c>
      <c r="F708" s="34">
        <v>2090</v>
      </c>
      <c r="G708" s="34" t="s">
        <v>201</v>
      </c>
      <c r="H708" s="35" t="s">
        <v>192</v>
      </c>
      <c r="I708" s="43" t="s">
        <v>1183</v>
      </c>
      <c r="P708">
        <v>1.6216814143180354E-5</v>
      </c>
    </row>
    <row r="709" spans="1:16" hidden="1" x14ac:dyDescent="0.35">
      <c r="A709" s="3">
        <f xml:space="preserve"> ROW( data_scaledImpacts[[#This Row],[row_id]] ) - ROW( data_scaledImpacts[[#Headers],[row_id]] )</f>
        <v>708</v>
      </c>
      <c r="B709" s="41" t="str">
        <f xml:space="preserve"> _xlfn.TEXTJOIN( "", , data_scaledImpacts[[#This Row],[sector]:[impactType]] )</f>
        <v>SouthwestDustMIROC532090N/AAsthmaER</v>
      </c>
      <c r="C709" s="33" t="s">
        <v>85</v>
      </c>
      <c r="D709" s="33" t="s">
        <v>4</v>
      </c>
      <c r="E709" s="34">
        <v>3</v>
      </c>
      <c r="F709" s="34">
        <v>2090</v>
      </c>
      <c r="G709" s="34" t="s">
        <v>201</v>
      </c>
      <c r="H709" s="35" t="s">
        <v>192</v>
      </c>
      <c r="I709" s="43" t="s">
        <v>1184</v>
      </c>
      <c r="P709">
        <v>1.8911038296209881E-5</v>
      </c>
    </row>
    <row r="710" spans="1:16" hidden="1" x14ac:dyDescent="0.35">
      <c r="A710" s="3">
        <f xml:space="preserve"> ROW( data_scaledImpacts[[#This Row],[row_id]] ) - ROW( data_scaledImpacts[[#Headers],[row_id]] )</f>
        <v>709</v>
      </c>
      <c r="B710" s="41" t="str">
        <f xml:space="preserve"> _xlfn.TEXTJOIN( "", , data_scaledImpacts[[#This Row],[sector]:[impactType]] )</f>
        <v>SouthwestDustGFDL-CM332090N/AAsthmaER</v>
      </c>
      <c r="C710" s="33" t="s">
        <v>85</v>
      </c>
      <c r="D710" s="33" t="s">
        <v>5</v>
      </c>
      <c r="E710" s="34">
        <v>3</v>
      </c>
      <c r="F710" s="34">
        <v>2090</v>
      </c>
      <c r="G710" s="34" t="s">
        <v>201</v>
      </c>
      <c r="H710" s="35" t="s">
        <v>192</v>
      </c>
      <c r="I710" s="43" t="s">
        <v>1185</v>
      </c>
      <c r="P710">
        <v>2.0957200831617229E-5</v>
      </c>
    </row>
    <row r="711" spans="1:16" hidden="1" x14ac:dyDescent="0.35">
      <c r="A711" s="3">
        <f xml:space="preserve"> ROW( data_scaledImpacts[[#This Row],[row_id]] ) - ROW( data_scaledImpacts[[#Headers],[row_id]] )</f>
        <v>710</v>
      </c>
      <c r="B711" s="41" t="str">
        <f xml:space="preserve"> _xlfn.TEXTJOIN( "", , data_scaledImpacts[[#This Row],[sector]:[impactType]] )</f>
        <v>SouthwestDustGCM Average32090N/AAsthmaER</v>
      </c>
      <c r="C711" s="33" t="s">
        <v>85</v>
      </c>
      <c r="D711" s="33" t="s">
        <v>15</v>
      </c>
      <c r="E711" s="34">
        <v>3</v>
      </c>
      <c r="F711" s="34">
        <v>2090</v>
      </c>
      <c r="G711" s="34" t="s">
        <v>201</v>
      </c>
      <c r="H711" s="35" t="s">
        <v>192</v>
      </c>
      <c r="I711" s="43" t="s">
        <v>1186</v>
      </c>
      <c r="P711">
        <v>1.6845037664276763E-5</v>
      </c>
    </row>
    <row r="712" spans="1:16" hidden="1" x14ac:dyDescent="0.35">
      <c r="A712" s="3">
        <f xml:space="preserve"> ROW( data_scaledImpacts[[#This Row],[row_id]] ) - ROW( data_scaledImpacts[[#Headers],[row_id]] )</f>
        <v>711</v>
      </c>
      <c r="B712" s="41" t="str">
        <f xml:space="preserve"> _xlfn.TEXTJOIN( "", , data_scaledImpacts[[#This Row],[sector]:[impactType]] )</f>
        <v>SouthwestDustCanESM242090N/AAsthmaER</v>
      </c>
      <c r="C712" s="33" t="s">
        <v>85</v>
      </c>
      <c r="D712" s="33" t="s">
        <v>0</v>
      </c>
      <c r="E712" s="34">
        <v>4</v>
      </c>
      <c r="F712" s="34">
        <v>2090</v>
      </c>
      <c r="G712" s="34" t="s">
        <v>201</v>
      </c>
      <c r="H712" s="35" t="s">
        <v>192</v>
      </c>
      <c r="I712" s="43" t="s">
        <v>1187</v>
      </c>
      <c r="P712">
        <v>1.1940215968438265E-5</v>
      </c>
    </row>
    <row r="713" spans="1:16" hidden="1" x14ac:dyDescent="0.35">
      <c r="A713" s="3">
        <f xml:space="preserve"> ROW( data_scaledImpacts[[#This Row],[row_id]] ) - ROW( data_scaledImpacts[[#Headers],[row_id]] )</f>
        <v>712</v>
      </c>
      <c r="B713" s="41" t="str">
        <f xml:space="preserve"> _xlfn.TEXTJOIN( "", , data_scaledImpacts[[#This Row],[sector]:[impactType]] )</f>
        <v>SouthwestDustCCSM442090N/AAsthmaER</v>
      </c>
      <c r="C713" s="33" t="s">
        <v>85</v>
      </c>
      <c r="D713" s="33" t="s">
        <v>1</v>
      </c>
      <c r="E713" s="34">
        <v>4</v>
      </c>
      <c r="F713" s="34">
        <v>2090</v>
      </c>
      <c r="G713" s="34" t="s">
        <v>201</v>
      </c>
      <c r="H713" s="35" t="s">
        <v>192</v>
      </c>
      <c r="I713" s="43" t="s">
        <v>1188</v>
      </c>
      <c r="P713">
        <v>2.1002186423918996E-5</v>
      </c>
    </row>
    <row r="714" spans="1:16" hidden="1" x14ac:dyDescent="0.35">
      <c r="A714" s="3">
        <f xml:space="preserve"> ROW( data_scaledImpacts[[#This Row],[row_id]] ) - ROW( data_scaledImpacts[[#Headers],[row_id]] )</f>
        <v>713</v>
      </c>
      <c r="B714" s="41" t="str">
        <f xml:space="preserve"> _xlfn.TEXTJOIN( "", , data_scaledImpacts[[#This Row],[sector]:[impactType]] )</f>
        <v>SouthwestDustGISS-E2-R42090N/AAsthmaER</v>
      </c>
      <c r="C714" s="33" t="s">
        <v>85</v>
      </c>
      <c r="D714" s="33" t="s">
        <v>2</v>
      </c>
      <c r="E714" s="34">
        <v>4</v>
      </c>
      <c r="F714" s="34">
        <v>2090</v>
      </c>
      <c r="G714" s="34" t="s">
        <v>201</v>
      </c>
      <c r="H714" s="35" t="s">
        <v>192</v>
      </c>
      <c r="I714" s="43" t="s">
        <v>1189</v>
      </c>
    </row>
    <row r="715" spans="1:16" hidden="1" x14ac:dyDescent="0.35">
      <c r="A715" s="3">
        <f xml:space="preserve"> ROW( data_scaledImpacts[[#This Row],[row_id]] ) - ROW( data_scaledImpacts[[#Headers],[row_id]] )</f>
        <v>714</v>
      </c>
      <c r="B715" s="41" t="str">
        <f xml:space="preserve"> _xlfn.TEXTJOIN( "", , data_scaledImpacts[[#This Row],[sector]:[impactType]] )</f>
        <v>SouthwestDustHadGEM2-ES42090N/AAsthmaER</v>
      </c>
      <c r="C715" s="33" t="s">
        <v>85</v>
      </c>
      <c r="D715" s="33" t="s">
        <v>3</v>
      </c>
      <c r="E715" s="34">
        <v>4</v>
      </c>
      <c r="F715" s="34">
        <v>2090</v>
      </c>
      <c r="G715" s="34" t="s">
        <v>201</v>
      </c>
      <c r="H715" s="35" t="s">
        <v>192</v>
      </c>
      <c r="I715" s="43" t="s">
        <v>1190</v>
      </c>
      <c r="P715">
        <v>1.6912301103647305E-5</v>
      </c>
    </row>
    <row r="716" spans="1:16" hidden="1" x14ac:dyDescent="0.35">
      <c r="A716" s="3">
        <f xml:space="preserve"> ROW( data_scaledImpacts[[#This Row],[row_id]] ) - ROW( data_scaledImpacts[[#Headers],[row_id]] )</f>
        <v>715</v>
      </c>
      <c r="B716" s="41" t="str">
        <f xml:space="preserve"> _xlfn.TEXTJOIN( "", , data_scaledImpacts[[#This Row],[sector]:[impactType]] )</f>
        <v>SouthwestDustMIROC542090N/AAsthmaER</v>
      </c>
      <c r="C716" s="33" t="s">
        <v>85</v>
      </c>
      <c r="D716" s="33" t="s">
        <v>4</v>
      </c>
      <c r="E716" s="34">
        <v>4</v>
      </c>
      <c r="F716" s="34">
        <v>2090</v>
      </c>
      <c r="G716" s="34" t="s">
        <v>201</v>
      </c>
      <c r="H716" s="35" t="s">
        <v>192</v>
      </c>
      <c r="I716" s="43" t="s">
        <v>1191</v>
      </c>
      <c r="P716">
        <v>2.3700134161944416E-5</v>
      </c>
    </row>
    <row r="717" spans="1:16" hidden="1" x14ac:dyDescent="0.35">
      <c r="A717" s="3">
        <f xml:space="preserve"> ROW( data_scaledImpacts[[#This Row],[row_id]] ) - ROW( data_scaledImpacts[[#Headers],[row_id]] )</f>
        <v>716</v>
      </c>
      <c r="B717" s="41" t="str">
        <f xml:space="preserve"> _xlfn.TEXTJOIN( "", , data_scaledImpacts[[#This Row],[sector]:[impactType]] )</f>
        <v>SouthwestDustGFDL-CM342090N/AAsthmaER</v>
      </c>
      <c r="C717" s="33" t="s">
        <v>85</v>
      </c>
      <c r="D717" s="33" t="s">
        <v>5</v>
      </c>
      <c r="E717" s="34">
        <v>4</v>
      </c>
      <c r="F717" s="34">
        <v>2090</v>
      </c>
      <c r="G717" s="34" t="s">
        <v>201</v>
      </c>
      <c r="H717" s="35" t="s">
        <v>192</v>
      </c>
      <c r="I717" s="43" t="s">
        <v>1192</v>
      </c>
      <c r="P717">
        <v>2.8719293037614658E-5</v>
      </c>
    </row>
    <row r="718" spans="1:16" hidden="1" x14ac:dyDescent="0.35">
      <c r="A718" s="3">
        <f xml:space="preserve"> ROW( data_scaledImpacts[[#This Row],[row_id]] ) - ROW( data_scaledImpacts[[#Headers],[row_id]] )</f>
        <v>717</v>
      </c>
      <c r="B718" s="41" t="str">
        <f xml:space="preserve"> _xlfn.TEXTJOIN( "", , data_scaledImpacts[[#This Row],[sector]:[impactType]] )</f>
        <v>SouthwestDustGCM Average42090N/AAsthmaER</v>
      </c>
      <c r="C718" s="33" t="s">
        <v>85</v>
      </c>
      <c r="D718" s="33" t="s">
        <v>15</v>
      </c>
      <c r="E718" s="34">
        <v>4</v>
      </c>
      <c r="F718" s="34">
        <v>2090</v>
      </c>
      <c r="G718" s="34" t="s">
        <v>201</v>
      </c>
      <c r="H718" s="35" t="s">
        <v>192</v>
      </c>
      <c r="I718" s="43" t="s">
        <v>1193</v>
      </c>
      <c r="P718">
        <v>2.0454826139112728E-5</v>
      </c>
    </row>
    <row r="719" spans="1:16" hidden="1" x14ac:dyDescent="0.35">
      <c r="A719" s="3">
        <f xml:space="preserve"> ROW( data_scaledImpacts[[#This Row],[row_id]] ) - ROW( data_scaledImpacts[[#Headers],[row_id]] )</f>
        <v>718</v>
      </c>
      <c r="B719" s="41" t="str">
        <f xml:space="preserve"> _xlfn.TEXTJOIN( "", , data_scaledImpacts[[#This Row],[sector]:[impactType]] )</f>
        <v>SouthwestDustCanESM252090N/AAsthmaER</v>
      </c>
      <c r="C719" s="33" t="s">
        <v>85</v>
      </c>
      <c r="D719" s="33" t="s">
        <v>0</v>
      </c>
      <c r="E719" s="34">
        <v>5</v>
      </c>
      <c r="F719" s="34">
        <v>2090</v>
      </c>
      <c r="G719" s="34" t="s">
        <v>201</v>
      </c>
      <c r="H719" s="35" t="s">
        <v>192</v>
      </c>
      <c r="I719" s="43" t="s">
        <v>1194</v>
      </c>
      <c r="P719">
        <v>1.5142871978406964E-5</v>
      </c>
    </row>
    <row r="720" spans="1:16" hidden="1" x14ac:dyDescent="0.35">
      <c r="A720" s="3">
        <f xml:space="preserve"> ROW( data_scaledImpacts[[#This Row],[row_id]] ) - ROW( data_scaledImpacts[[#Headers],[row_id]] )</f>
        <v>719</v>
      </c>
      <c r="B720" s="41" t="str">
        <f xml:space="preserve"> _xlfn.TEXTJOIN( "", , data_scaledImpacts[[#This Row],[sector]:[impactType]] )</f>
        <v>SouthwestDustCCSM452090N/AAsthmaER</v>
      </c>
      <c r="C720" s="33" t="s">
        <v>85</v>
      </c>
      <c r="D720" s="33" t="s">
        <v>1</v>
      </c>
      <c r="E720" s="34">
        <v>5</v>
      </c>
      <c r="F720" s="34">
        <v>2090</v>
      </c>
      <c r="G720" s="34" t="s">
        <v>201</v>
      </c>
      <c r="H720" s="35" t="s">
        <v>192</v>
      </c>
      <c r="I720" s="43" t="s">
        <v>1195</v>
      </c>
      <c r="P720">
        <v>3.3695639517232351E-5</v>
      </c>
    </row>
    <row r="721" spans="1:16" hidden="1" x14ac:dyDescent="0.35">
      <c r="A721" s="3">
        <f xml:space="preserve"> ROW( data_scaledImpacts[[#This Row],[row_id]] ) - ROW( data_scaledImpacts[[#Headers],[row_id]] )</f>
        <v>720</v>
      </c>
      <c r="B721" s="41" t="str">
        <f xml:space="preserve"> _xlfn.TEXTJOIN( "", , data_scaledImpacts[[#This Row],[sector]:[impactType]] )</f>
        <v>SouthwestDustGISS-E2-R52090N/AAsthmaER</v>
      </c>
      <c r="C721" s="33" t="s">
        <v>85</v>
      </c>
      <c r="D721" s="33" t="s">
        <v>2</v>
      </c>
      <c r="E721" s="34">
        <v>5</v>
      </c>
      <c r="F721" s="34">
        <v>2090</v>
      </c>
      <c r="G721" s="34" t="s">
        <v>201</v>
      </c>
      <c r="H721" s="35" t="s">
        <v>192</v>
      </c>
      <c r="I721" s="43" t="s">
        <v>1196</v>
      </c>
    </row>
    <row r="722" spans="1:16" hidden="1" x14ac:dyDescent="0.35">
      <c r="A722" s="3">
        <f xml:space="preserve"> ROW( data_scaledImpacts[[#This Row],[row_id]] ) - ROW( data_scaledImpacts[[#Headers],[row_id]] )</f>
        <v>721</v>
      </c>
      <c r="B722" s="41" t="str">
        <f xml:space="preserve"> _xlfn.TEXTJOIN( "", , data_scaledImpacts[[#This Row],[sector]:[impactType]] )</f>
        <v>SouthwestDustHadGEM2-ES52090N/AAsthmaER</v>
      </c>
      <c r="C722" s="33" t="s">
        <v>85</v>
      </c>
      <c r="D722" s="33" t="s">
        <v>3</v>
      </c>
      <c r="E722" s="34">
        <v>5</v>
      </c>
      <c r="F722" s="34">
        <v>2090</v>
      </c>
      <c r="G722" s="34" t="s">
        <v>201</v>
      </c>
      <c r="H722" s="35" t="s">
        <v>192</v>
      </c>
      <c r="I722" s="43" t="s">
        <v>1197</v>
      </c>
      <c r="P722">
        <v>2.7127055297817357E-5</v>
      </c>
    </row>
    <row r="723" spans="1:16" hidden="1" x14ac:dyDescent="0.35">
      <c r="A723" s="3">
        <f xml:space="preserve"> ROW( data_scaledImpacts[[#This Row],[row_id]] ) - ROW( data_scaledImpacts[[#Headers],[row_id]] )</f>
        <v>722</v>
      </c>
      <c r="B723" s="41" t="str">
        <f xml:space="preserve"> _xlfn.TEXTJOIN( "", , data_scaledImpacts[[#This Row],[sector]:[impactType]] )</f>
        <v>SouthwestDustMIROC552090N/AAsthmaER</v>
      </c>
      <c r="C723" s="33" t="s">
        <v>85</v>
      </c>
      <c r="D723" s="33" t="s">
        <v>4</v>
      </c>
      <c r="E723" s="34">
        <v>5</v>
      </c>
      <c r="F723" s="34">
        <v>2090</v>
      </c>
      <c r="G723" s="34" t="s">
        <v>201</v>
      </c>
      <c r="H723" s="35" t="s">
        <v>192</v>
      </c>
      <c r="I723" s="43" t="s">
        <v>1198</v>
      </c>
      <c r="P723">
        <v>3.0303252639317758E-5</v>
      </c>
    </row>
    <row r="724" spans="1:16" hidden="1" x14ac:dyDescent="0.35">
      <c r="A724" s="3">
        <f xml:space="preserve"> ROW( data_scaledImpacts[[#This Row],[row_id]] ) - ROW( data_scaledImpacts[[#Headers],[row_id]] )</f>
        <v>723</v>
      </c>
      <c r="B724" s="41" t="str">
        <f xml:space="preserve"> _xlfn.TEXTJOIN( "", , data_scaledImpacts[[#This Row],[sector]:[impactType]] )</f>
        <v>SouthwestDustGFDL-CM352090N/AAsthmaER</v>
      </c>
      <c r="C724" s="33" t="s">
        <v>85</v>
      </c>
      <c r="D724" s="33" t="s">
        <v>5</v>
      </c>
      <c r="E724" s="34">
        <v>5</v>
      </c>
      <c r="F724" s="34">
        <v>2090</v>
      </c>
      <c r="G724" s="34" t="s">
        <v>201</v>
      </c>
      <c r="H724" s="35" t="s">
        <v>192</v>
      </c>
      <c r="I724" s="43" t="s">
        <v>1199</v>
      </c>
      <c r="P724">
        <v>3.6416141318279024E-5</v>
      </c>
    </row>
    <row r="725" spans="1:16" hidden="1" x14ac:dyDescent="0.35">
      <c r="A725" s="3">
        <f xml:space="preserve"> ROW( data_scaledImpacts[[#This Row],[row_id]] ) - ROW( data_scaledImpacts[[#Headers],[row_id]] )</f>
        <v>724</v>
      </c>
      <c r="B725" s="41" t="str">
        <f xml:space="preserve"> _xlfn.TEXTJOIN( "", , data_scaledImpacts[[#This Row],[sector]:[impactType]] )</f>
        <v>SouthwestDustGCM Average52090N/AAsthmaER</v>
      </c>
      <c r="C725" s="33" t="s">
        <v>85</v>
      </c>
      <c r="D725" s="33" t="s">
        <v>15</v>
      </c>
      <c r="E725" s="34">
        <v>5</v>
      </c>
      <c r="F725" s="34">
        <v>2090</v>
      </c>
      <c r="G725" s="34" t="s">
        <v>201</v>
      </c>
      <c r="H725" s="35" t="s">
        <v>192</v>
      </c>
      <c r="I725" s="43" t="s">
        <v>1200</v>
      </c>
      <c r="P725">
        <v>2.8536992150210695E-5</v>
      </c>
    </row>
    <row r="726" spans="1:16" hidden="1" x14ac:dyDescent="0.35">
      <c r="A726" s="3">
        <f xml:space="preserve"> ROW( data_scaledImpacts[[#This Row],[row_id]] ) - ROW( data_scaledImpacts[[#Headers],[row_id]] )</f>
        <v>725</v>
      </c>
      <c r="B726" s="41" t="str">
        <f xml:space="preserve"> _xlfn.TEXTJOIN( "", , data_scaledImpacts[[#This Row],[sector]:[impactType]] )</f>
        <v>SouthwestDustCanESM262090N/AAsthmaER</v>
      </c>
      <c r="C726" s="33" t="s">
        <v>85</v>
      </c>
      <c r="D726" s="33" t="s">
        <v>0</v>
      </c>
      <c r="E726" s="34">
        <v>6</v>
      </c>
      <c r="F726" s="34">
        <v>2090</v>
      </c>
      <c r="G726" s="34" t="s">
        <v>201</v>
      </c>
      <c r="H726" s="35" t="s">
        <v>192</v>
      </c>
      <c r="I726" s="43" t="s">
        <v>1201</v>
      </c>
      <c r="P726">
        <v>1.9280561838803063E-5</v>
      </c>
    </row>
    <row r="727" spans="1:16" hidden="1" x14ac:dyDescent="0.35">
      <c r="A727" s="3">
        <f xml:space="preserve"> ROW( data_scaledImpacts[[#This Row],[row_id]] ) - ROW( data_scaledImpacts[[#Headers],[row_id]] )</f>
        <v>726</v>
      </c>
      <c r="B727" s="41" t="str">
        <f xml:space="preserve"> _xlfn.TEXTJOIN( "", , data_scaledImpacts[[#This Row],[sector]:[impactType]] )</f>
        <v>SouthwestDustCCSM462090N/AAsthmaER</v>
      </c>
      <c r="C727" s="33" t="s">
        <v>85</v>
      </c>
      <c r="D727" s="33" t="s">
        <v>1</v>
      </c>
      <c r="E727" s="34">
        <v>6</v>
      </c>
      <c r="F727" s="34">
        <v>2090</v>
      </c>
      <c r="G727" s="34" t="s">
        <v>201</v>
      </c>
      <c r="H727" s="35" t="s">
        <v>192</v>
      </c>
      <c r="I727" s="43" t="s">
        <v>1202</v>
      </c>
    </row>
    <row r="728" spans="1:16" hidden="1" x14ac:dyDescent="0.35">
      <c r="A728" s="3">
        <f xml:space="preserve"> ROW( data_scaledImpacts[[#This Row],[row_id]] ) - ROW( data_scaledImpacts[[#Headers],[row_id]] )</f>
        <v>727</v>
      </c>
      <c r="B728" s="41" t="str">
        <f xml:space="preserve"> _xlfn.TEXTJOIN( "", , data_scaledImpacts[[#This Row],[sector]:[impactType]] )</f>
        <v>SouthwestDustGISS-E2-R62090N/AAsthmaER</v>
      </c>
      <c r="C728" s="33" t="s">
        <v>85</v>
      </c>
      <c r="D728" s="33" t="s">
        <v>2</v>
      </c>
      <c r="E728" s="34">
        <v>6</v>
      </c>
      <c r="F728" s="34">
        <v>2090</v>
      </c>
      <c r="G728" s="34" t="s">
        <v>201</v>
      </c>
      <c r="H728" s="35" t="s">
        <v>192</v>
      </c>
      <c r="I728" s="43" t="s">
        <v>1203</v>
      </c>
    </row>
    <row r="729" spans="1:16" hidden="1" x14ac:dyDescent="0.35">
      <c r="A729" s="3">
        <f xml:space="preserve"> ROW( data_scaledImpacts[[#This Row],[row_id]] ) - ROW( data_scaledImpacts[[#Headers],[row_id]] )</f>
        <v>728</v>
      </c>
      <c r="B729" s="41" t="str">
        <f xml:space="preserve"> _xlfn.TEXTJOIN( "", , data_scaledImpacts[[#This Row],[sector]:[impactType]] )</f>
        <v>SouthwestDustHadGEM2-ES62090N/AAsthmaER</v>
      </c>
      <c r="C729" s="33" t="s">
        <v>85</v>
      </c>
      <c r="D729" s="33" t="s">
        <v>3</v>
      </c>
      <c r="E729" s="34">
        <v>6</v>
      </c>
      <c r="F729" s="34">
        <v>2090</v>
      </c>
      <c r="G729" s="34" t="s">
        <v>201</v>
      </c>
      <c r="H729" s="35" t="s">
        <v>192</v>
      </c>
      <c r="I729" s="43" t="s">
        <v>1204</v>
      </c>
      <c r="P729">
        <v>2.5211206114115406E-5</v>
      </c>
    </row>
    <row r="730" spans="1:16" hidden="1" x14ac:dyDescent="0.35">
      <c r="A730" s="3">
        <f xml:space="preserve"> ROW( data_scaledImpacts[[#This Row],[row_id]] ) - ROW( data_scaledImpacts[[#Headers],[row_id]] )</f>
        <v>729</v>
      </c>
      <c r="B730" s="41" t="str">
        <f xml:space="preserve"> _xlfn.TEXTJOIN( "", , data_scaledImpacts[[#This Row],[sector]:[impactType]] )</f>
        <v>SouthwestDustMIROC562090N/AAsthmaER</v>
      </c>
      <c r="C730" s="33" t="s">
        <v>85</v>
      </c>
      <c r="D730" s="33" t="s">
        <v>4</v>
      </c>
      <c r="E730" s="34">
        <v>6</v>
      </c>
      <c r="F730" s="34">
        <v>2090</v>
      </c>
      <c r="G730" s="34" t="s">
        <v>201</v>
      </c>
      <c r="H730" s="35" t="s">
        <v>192</v>
      </c>
      <c r="I730" s="43" t="s">
        <v>1205</v>
      </c>
    </row>
    <row r="731" spans="1:16" hidden="1" x14ac:dyDescent="0.35">
      <c r="A731" s="3">
        <f xml:space="preserve"> ROW( data_scaledImpacts[[#This Row],[row_id]] ) - ROW( data_scaledImpacts[[#Headers],[row_id]] )</f>
        <v>730</v>
      </c>
      <c r="B731" s="41" t="str">
        <f xml:space="preserve"> _xlfn.TEXTJOIN( "", , data_scaledImpacts[[#This Row],[sector]:[impactType]] )</f>
        <v>SouthwestDustGFDL-CM362090N/AAsthmaER</v>
      </c>
      <c r="C731" s="33" t="s">
        <v>85</v>
      </c>
      <c r="D731" s="33" t="s">
        <v>5</v>
      </c>
      <c r="E731" s="34">
        <v>6</v>
      </c>
      <c r="F731" s="34">
        <v>2090</v>
      </c>
      <c r="G731" s="34" t="s">
        <v>201</v>
      </c>
      <c r="H731" s="35" t="s">
        <v>192</v>
      </c>
      <c r="I731" s="43" t="s">
        <v>1206</v>
      </c>
      <c r="P731">
        <v>4.1867446766859345E-5</v>
      </c>
    </row>
    <row r="732" spans="1:16" hidden="1" x14ac:dyDescent="0.35">
      <c r="A732" s="3">
        <f xml:space="preserve"> ROW( data_scaledImpacts[[#This Row],[row_id]] ) - ROW( data_scaledImpacts[[#Headers],[row_id]] )</f>
        <v>731</v>
      </c>
      <c r="B732" s="41" t="str">
        <f xml:space="preserve"> _xlfn.TEXTJOIN( "", , data_scaledImpacts[[#This Row],[sector]:[impactType]] )</f>
        <v>SouthwestDustGCM Average62090N/AAsthmaER</v>
      </c>
      <c r="C732" s="33" t="s">
        <v>85</v>
      </c>
      <c r="D732" s="33" t="s">
        <v>15</v>
      </c>
      <c r="E732" s="34">
        <v>6</v>
      </c>
      <c r="F732" s="34">
        <v>2090</v>
      </c>
      <c r="G732" s="34" t="s">
        <v>201</v>
      </c>
      <c r="H732" s="35" t="s">
        <v>192</v>
      </c>
      <c r="I732" s="43" t="s">
        <v>1207</v>
      </c>
      <c r="P732">
        <v>2.8786404906592605E-5</v>
      </c>
    </row>
    <row r="733" spans="1:16" hidden="1" x14ac:dyDescent="0.35">
      <c r="A733" s="3">
        <f xml:space="preserve"> ROW( data_scaledImpacts[[#This Row],[row_id]] ) - ROW( data_scaledImpacts[[#Headers],[row_id]] )</f>
        <v>732</v>
      </c>
      <c r="B733" s="41" t="str">
        <f xml:space="preserve"> _xlfn.TEXTJOIN( "", , data_scaledImpacts[[#This Row],[sector]:[impactType]] )</f>
        <v>SouthwestDustCanESM272090N/AAsthmaER</v>
      </c>
      <c r="C733" s="33" t="s">
        <v>85</v>
      </c>
      <c r="D733" s="33" t="s">
        <v>0</v>
      </c>
      <c r="E733" s="34">
        <v>7</v>
      </c>
      <c r="F733" s="34">
        <v>2090</v>
      </c>
      <c r="G733" s="34" t="s">
        <v>201</v>
      </c>
      <c r="H733" s="35" t="s">
        <v>192</v>
      </c>
      <c r="I733" s="43" t="s">
        <v>1208</v>
      </c>
    </row>
    <row r="734" spans="1:16" hidden="1" x14ac:dyDescent="0.35">
      <c r="A734" s="3">
        <f xml:space="preserve"> ROW( data_scaledImpacts[[#This Row],[row_id]] ) - ROW( data_scaledImpacts[[#Headers],[row_id]] )</f>
        <v>733</v>
      </c>
      <c r="B734" s="41" t="str">
        <f xml:space="preserve"> _xlfn.TEXTJOIN( "", , data_scaledImpacts[[#This Row],[sector]:[impactType]] )</f>
        <v>SouthwestDustCCSM472090N/AAsthmaER</v>
      </c>
      <c r="C734" s="33" t="s">
        <v>85</v>
      </c>
      <c r="D734" s="33" t="s">
        <v>1</v>
      </c>
      <c r="E734" s="34">
        <v>7</v>
      </c>
      <c r="F734" s="34">
        <v>2090</v>
      </c>
      <c r="G734" s="34" t="s">
        <v>201</v>
      </c>
      <c r="H734" s="35" t="s">
        <v>192</v>
      </c>
      <c r="I734" s="43" t="s">
        <v>1209</v>
      </c>
    </row>
    <row r="735" spans="1:16" hidden="1" x14ac:dyDescent="0.35">
      <c r="A735" s="3">
        <f xml:space="preserve"> ROW( data_scaledImpacts[[#This Row],[row_id]] ) - ROW( data_scaledImpacts[[#Headers],[row_id]] )</f>
        <v>734</v>
      </c>
      <c r="B735" s="41" t="str">
        <f xml:space="preserve"> _xlfn.TEXTJOIN( "", , data_scaledImpacts[[#This Row],[sector]:[impactType]] )</f>
        <v>SouthwestDustGISS-E2-R72090N/AAsthmaER</v>
      </c>
      <c r="C735" s="33" t="s">
        <v>85</v>
      </c>
      <c r="D735" s="33" t="s">
        <v>2</v>
      </c>
      <c r="E735" s="34">
        <v>7</v>
      </c>
      <c r="F735" s="34">
        <v>2090</v>
      </c>
      <c r="G735" s="34" t="s">
        <v>201</v>
      </c>
      <c r="H735" s="35" t="s">
        <v>192</v>
      </c>
      <c r="I735" s="43" t="s">
        <v>1210</v>
      </c>
    </row>
    <row r="736" spans="1:16" hidden="1" x14ac:dyDescent="0.35">
      <c r="A736" s="3">
        <f xml:space="preserve"> ROW( data_scaledImpacts[[#This Row],[row_id]] ) - ROW( data_scaledImpacts[[#Headers],[row_id]] )</f>
        <v>735</v>
      </c>
      <c r="B736" s="41" t="str">
        <f xml:space="preserve"> _xlfn.TEXTJOIN( "", , data_scaledImpacts[[#This Row],[sector]:[impactType]] )</f>
        <v>SouthwestDustHadGEM2-ES72090N/AAsthmaER</v>
      </c>
      <c r="C736" s="33" t="s">
        <v>85</v>
      </c>
      <c r="D736" s="33" t="s">
        <v>3</v>
      </c>
      <c r="E736" s="34">
        <v>7</v>
      </c>
      <c r="F736" s="34">
        <v>2090</v>
      </c>
      <c r="G736" s="34" t="s">
        <v>201</v>
      </c>
      <c r="H736" s="35" t="s">
        <v>192</v>
      </c>
      <c r="I736" s="43" t="s">
        <v>1211</v>
      </c>
    </row>
    <row r="737" spans="1:16" hidden="1" x14ac:dyDescent="0.35">
      <c r="A737" s="3">
        <f xml:space="preserve"> ROW( data_scaledImpacts[[#This Row],[row_id]] ) - ROW( data_scaledImpacts[[#Headers],[row_id]] )</f>
        <v>736</v>
      </c>
      <c r="B737" s="41" t="str">
        <f xml:space="preserve"> _xlfn.TEXTJOIN( "", , data_scaledImpacts[[#This Row],[sector]:[impactType]] )</f>
        <v>SouthwestDustMIROC572090N/AAsthmaER</v>
      </c>
      <c r="C737" s="33" t="s">
        <v>85</v>
      </c>
      <c r="D737" s="33" t="s">
        <v>4</v>
      </c>
      <c r="E737" s="34">
        <v>7</v>
      </c>
      <c r="F737" s="34">
        <v>2090</v>
      </c>
      <c r="G737" s="34" t="s">
        <v>201</v>
      </c>
      <c r="H737" s="35" t="s">
        <v>192</v>
      </c>
      <c r="I737" s="43" t="s">
        <v>1212</v>
      </c>
    </row>
    <row r="738" spans="1:16" hidden="1" x14ac:dyDescent="0.35">
      <c r="A738" s="3">
        <f xml:space="preserve"> ROW( data_scaledImpacts[[#This Row],[row_id]] ) - ROW( data_scaledImpacts[[#Headers],[row_id]] )</f>
        <v>737</v>
      </c>
      <c r="B738" s="41" t="str">
        <f xml:space="preserve"> _xlfn.TEXTJOIN( "", , data_scaledImpacts[[#This Row],[sector]:[impactType]] )</f>
        <v>SouthwestDustGFDL-CM372090N/AAsthmaER</v>
      </c>
      <c r="C738" s="33" t="s">
        <v>85</v>
      </c>
      <c r="D738" s="33" t="s">
        <v>5</v>
      </c>
      <c r="E738" s="34">
        <v>7</v>
      </c>
      <c r="F738" s="34">
        <v>2090</v>
      </c>
      <c r="G738" s="34" t="s">
        <v>201</v>
      </c>
      <c r="H738" s="35" t="s">
        <v>192</v>
      </c>
      <c r="I738" s="43" t="s">
        <v>1213</v>
      </c>
    </row>
    <row r="739" spans="1:16" hidden="1" x14ac:dyDescent="0.35">
      <c r="A739" s="3">
        <f xml:space="preserve"> ROW( data_scaledImpacts[[#This Row],[row_id]] ) - ROW( data_scaledImpacts[[#Headers],[row_id]] )</f>
        <v>738</v>
      </c>
      <c r="B739" s="41" t="str">
        <f xml:space="preserve"> _xlfn.TEXTJOIN( "", , data_scaledImpacts[[#This Row],[sector]:[impactType]] )</f>
        <v>SouthwestDustGCM Average72090N/AAsthmaER</v>
      </c>
      <c r="C739" s="33" t="s">
        <v>85</v>
      </c>
      <c r="D739" s="33" t="s">
        <v>15</v>
      </c>
      <c r="E739" s="34">
        <v>7</v>
      </c>
      <c r="F739" s="34">
        <v>2090</v>
      </c>
      <c r="G739" s="34" t="s">
        <v>201</v>
      </c>
      <c r="H739" s="35" t="s">
        <v>192</v>
      </c>
      <c r="I739" s="43" t="s">
        <v>1214</v>
      </c>
      <c r="P739" t="s">
        <v>26</v>
      </c>
    </row>
    <row r="740" spans="1:16" hidden="1" x14ac:dyDescent="0.35">
      <c r="A740" s="3">
        <f xml:space="preserve"> ROW( data_scaledImpacts[[#This Row],[row_id]] ) - ROW( data_scaledImpacts[[#Headers],[row_id]] )</f>
        <v>739</v>
      </c>
      <c r="B740" s="41" t="str">
        <f xml:space="preserve"> _xlfn.TEXTJOIN( "", , data_scaledImpacts[[#This Row],[sector]:[impactType]] )</f>
        <v>SouthwestDustCanESM212090N/AAllResp</v>
      </c>
      <c r="C740" s="33" t="s">
        <v>85</v>
      </c>
      <c r="D740" s="33" t="s">
        <v>0</v>
      </c>
      <c r="E740" s="34">
        <v>1</v>
      </c>
      <c r="F740" s="34">
        <v>2090</v>
      </c>
      <c r="G740" s="34" t="s">
        <v>201</v>
      </c>
      <c r="H740" s="35" t="s">
        <v>193</v>
      </c>
      <c r="I740" s="43" t="s">
        <v>314</v>
      </c>
      <c r="P740">
        <v>8.5200934206513108E-7</v>
      </c>
    </row>
    <row r="741" spans="1:16" hidden="1" x14ac:dyDescent="0.35">
      <c r="A741" s="3">
        <f xml:space="preserve"> ROW( data_scaledImpacts[[#This Row],[row_id]] ) - ROW( data_scaledImpacts[[#Headers],[row_id]] )</f>
        <v>740</v>
      </c>
      <c r="B741" s="41" t="str">
        <f xml:space="preserve"> _xlfn.TEXTJOIN( "", , data_scaledImpacts[[#This Row],[sector]:[impactType]] )</f>
        <v>SouthwestDustCCSM412090N/AAllResp</v>
      </c>
      <c r="C741" s="33" t="s">
        <v>85</v>
      </c>
      <c r="D741" s="33" t="s">
        <v>1</v>
      </c>
      <c r="E741" s="34">
        <v>1</v>
      </c>
      <c r="F741" s="34">
        <v>2090</v>
      </c>
      <c r="G741" s="34" t="s">
        <v>201</v>
      </c>
      <c r="H741" s="35" t="s">
        <v>193</v>
      </c>
      <c r="I741" s="43" t="s">
        <v>315</v>
      </c>
      <c r="P741">
        <v>2.5026164404648088E-6</v>
      </c>
    </row>
    <row r="742" spans="1:16" hidden="1" x14ac:dyDescent="0.35">
      <c r="A742" s="3">
        <f xml:space="preserve"> ROW( data_scaledImpacts[[#This Row],[row_id]] ) - ROW( data_scaledImpacts[[#Headers],[row_id]] )</f>
        <v>741</v>
      </c>
      <c r="B742" s="41" t="str">
        <f xml:space="preserve"> _xlfn.TEXTJOIN( "", , data_scaledImpacts[[#This Row],[sector]:[impactType]] )</f>
        <v>SouthwestDustGISS-E2-R12090N/AAllResp</v>
      </c>
      <c r="C742" s="33" t="s">
        <v>85</v>
      </c>
      <c r="D742" s="33" t="s">
        <v>2</v>
      </c>
      <c r="E742" s="34">
        <v>1</v>
      </c>
      <c r="F742" s="34">
        <v>2090</v>
      </c>
      <c r="G742" s="34" t="s">
        <v>201</v>
      </c>
      <c r="H742" s="35" t="s">
        <v>193</v>
      </c>
      <c r="I742" s="43" t="s">
        <v>316</v>
      </c>
      <c r="P742">
        <v>3.4237031723078366E-7</v>
      </c>
    </row>
    <row r="743" spans="1:16" hidden="1" x14ac:dyDescent="0.35">
      <c r="A743" s="3">
        <f xml:space="preserve"> ROW( data_scaledImpacts[[#This Row],[row_id]] ) - ROW( data_scaledImpacts[[#Headers],[row_id]] )</f>
        <v>742</v>
      </c>
      <c r="B743" s="41" t="str">
        <f xml:space="preserve"> _xlfn.TEXTJOIN( "", , data_scaledImpacts[[#This Row],[sector]:[impactType]] )</f>
        <v>SouthwestDustHadGEM2-ES12090N/AAllResp</v>
      </c>
      <c r="C743" s="33" t="s">
        <v>85</v>
      </c>
      <c r="D743" s="33" t="s">
        <v>3</v>
      </c>
      <c r="E743" s="34">
        <v>1</v>
      </c>
      <c r="F743" s="34">
        <v>2090</v>
      </c>
      <c r="G743" s="34" t="s">
        <v>201</v>
      </c>
      <c r="H743" s="35" t="s">
        <v>193</v>
      </c>
      <c r="I743" s="43" t="s">
        <v>317</v>
      </c>
      <c r="P743">
        <v>1.6075749258352621E-7</v>
      </c>
    </row>
    <row r="744" spans="1:16" hidden="1" x14ac:dyDescent="0.35">
      <c r="A744" s="3">
        <f xml:space="preserve"> ROW( data_scaledImpacts[[#This Row],[row_id]] ) - ROW( data_scaledImpacts[[#Headers],[row_id]] )</f>
        <v>743</v>
      </c>
      <c r="B744" s="41" t="str">
        <f xml:space="preserve"> _xlfn.TEXTJOIN( "", , data_scaledImpacts[[#This Row],[sector]:[impactType]] )</f>
        <v>SouthwestDustMIROC512090N/AAllResp</v>
      </c>
      <c r="C744" s="33" t="s">
        <v>85</v>
      </c>
      <c r="D744" s="33" t="s">
        <v>4</v>
      </c>
      <c r="E744" s="34">
        <v>1</v>
      </c>
      <c r="F744" s="34">
        <v>2090</v>
      </c>
      <c r="G744" s="34" t="s">
        <v>201</v>
      </c>
      <c r="H744" s="35" t="s">
        <v>193</v>
      </c>
      <c r="I744" s="43" t="s">
        <v>318</v>
      </c>
      <c r="P744">
        <v>1.1971842515940745E-6</v>
      </c>
    </row>
    <row r="745" spans="1:16" hidden="1" x14ac:dyDescent="0.35">
      <c r="A745" s="3">
        <f xml:space="preserve"> ROW( data_scaledImpacts[[#This Row],[row_id]] ) - ROW( data_scaledImpacts[[#Headers],[row_id]] )</f>
        <v>744</v>
      </c>
      <c r="B745" s="41" t="str">
        <f xml:space="preserve"> _xlfn.TEXTJOIN( "", , data_scaledImpacts[[#This Row],[sector]:[impactType]] )</f>
        <v>SouthwestDustGFDL-CM312090N/AAllResp</v>
      </c>
      <c r="C745" s="33" t="s">
        <v>85</v>
      </c>
      <c r="D745" s="33" t="s">
        <v>5</v>
      </c>
      <c r="E745" s="34">
        <v>1</v>
      </c>
      <c r="F745" s="34">
        <v>2090</v>
      </c>
      <c r="G745" s="34" t="s">
        <v>201</v>
      </c>
      <c r="H745" s="35" t="s">
        <v>193</v>
      </c>
      <c r="I745" s="43" t="s">
        <v>319</v>
      </c>
      <c r="P745">
        <v>2.5368926009115841E-6</v>
      </c>
    </row>
    <row r="746" spans="1:16" hidden="1" x14ac:dyDescent="0.35">
      <c r="A746" s="3">
        <f xml:space="preserve"> ROW( data_scaledImpacts[[#This Row],[row_id]] ) - ROW( data_scaledImpacts[[#Headers],[row_id]] )</f>
        <v>745</v>
      </c>
      <c r="B746" s="41" t="str">
        <f xml:space="preserve"> _xlfn.TEXTJOIN( "", , data_scaledImpacts[[#This Row],[sector]:[impactType]] )</f>
        <v>SouthwestDustGCM Average12090N/AAllResp</v>
      </c>
      <c r="C746" s="33" t="s">
        <v>85</v>
      </c>
      <c r="D746" s="33" t="s">
        <v>15</v>
      </c>
      <c r="E746" s="34">
        <v>1</v>
      </c>
      <c r="F746" s="34">
        <v>2090</v>
      </c>
      <c r="G746" s="34" t="s">
        <v>201</v>
      </c>
      <c r="H746" s="35" t="s">
        <v>193</v>
      </c>
      <c r="I746" s="43" t="s">
        <v>320</v>
      </c>
      <c r="P746">
        <v>1.2653050741416512E-6</v>
      </c>
    </row>
    <row r="747" spans="1:16" hidden="1" x14ac:dyDescent="0.35">
      <c r="A747" s="3">
        <f xml:space="preserve"> ROW( data_scaledImpacts[[#This Row],[row_id]] ) - ROW( data_scaledImpacts[[#Headers],[row_id]] )</f>
        <v>746</v>
      </c>
      <c r="B747" s="41" t="str">
        <f xml:space="preserve"> _xlfn.TEXTJOIN( "", , data_scaledImpacts[[#This Row],[sector]:[impactType]] )</f>
        <v>SouthwestDustCanESM222090N/AAllResp</v>
      </c>
      <c r="C747" s="33" t="s">
        <v>85</v>
      </c>
      <c r="D747" s="33" t="s">
        <v>0</v>
      </c>
      <c r="E747" s="34">
        <v>2</v>
      </c>
      <c r="F747" s="34">
        <v>2090</v>
      </c>
      <c r="G747" s="34" t="s">
        <v>201</v>
      </c>
      <c r="H747" s="35" t="s">
        <v>193</v>
      </c>
      <c r="I747" s="43" t="s">
        <v>321</v>
      </c>
      <c r="P747">
        <v>2.2838916381580206E-6</v>
      </c>
    </row>
    <row r="748" spans="1:16" hidden="1" x14ac:dyDescent="0.35">
      <c r="A748" s="3">
        <f xml:space="preserve"> ROW( data_scaledImpacts[[#This Row],[row_id]] ) - ROW( data_scaledImpacts[[#Headers],[row_id]] )</f>
        <v>747</v>
      </c>
      <c r="B748" s="41" t="str">
        <f xml:space="preserve"> _xlfn.TEXTJOIN( "", , data_scaledImpacts[[#This Row],[sector]:[impactType]] )</f>
        <v>SouthwestDustCCSM422090N/AAllResp</v>
      </c>
      <c r="C748" s="33" t="s">
        <v>85</v>
      </c>
      <c r="D748" s="33" t="s">
        <v>1</v>
      </c>
      <c r="E748" s="34">
        <v>2</v>
      </c>
      <c r="F748" s="34">
        <v>2090</v>
      </c>
      <c r="G748" s="34" t="s">
        <v>201</v>
      </c>
      <c r="H748" s="35" t="s">
        <v>193</v>
      </c>
      <c r="I748" s="43" t="s">
        <v>322</v>
      </c>
      <c r="P748">
        <v>3.4114624144401972E-6</v>
      </c>
    </row>
    <row r="749" spans="1:16" hidden="1" x14ac:dyDescent="0.35">
      <c r="A749" s="3">
        <f xml:space="preserve"> ROW( data_scaledImpacts[[#This Row],[row_id]] ) - ROW( data_scaledImpacts[[#Headers],[row_id]] )</f>
        <v>748</v>
      </c>
      <c r="B749" s="41" t="str">
        <f xml:space="preserve"> _xlfn.TEXTJOIN( "", , data_scaledImpacts[[#This Row],[sector]:[impactType]] )</f>
        <v>SouthwestDustGISS-E2-R22090N/AAllResp</v>
      </c>
      <c r="C749" s="33" t="s">
        <v>85</v>
      </c>
      <c r="D749" s="33" t="s">
        <v>2</v>
      </c>
      <c r="E749" s="34">
        <v>2</v>
      </c>
      <c r="F749" s="34">
        <v>2090</v>
      </c>
      <c r="G749" s="34" t="s">
        <v>201</v>
      </c>
      <c r="H749" s="35" t="s">
        <v>193</v>
      </c>
      <c r="I749" s="43" t="s">
        <v>323</v>
      </c>
      <c r="P749">
        <v>1.6166523926672515E-6</v>
      </c>
    </row>
    <row r="750" spans="1:16" hidden="1" x14ac:dyDescent="0.35">
      <c r="A750" s="3">
        <f xml:space="preserve"> ROW( data_scaledImpacts[[#This Row],[row_id]] ) - ROW( data_scaledImpacts[[#Headers],[row_id]] )</f>
        <v>749</v>
      </c>
      <c r="B750" s="41" t="str">
        <f xml:space="preserve"> _xlfn.TEXTJOIN( "", , data_scaledImpacts[[#This Row],[sector]:[impactType]] )</f>
        <v>SouthwestDustHadGEM2-ES22090N/AAllResp</v>
      </c>
      <c r="C750" s="33" t="s">
        <v>85</v>
      </c>
      <c r="D750" s="33" t="s">
        <v>3</v>
      </c>
      <c r="E750" s="34">
        <v>2</v>
      </c>
      <c r="F750" s="34">
        <v>2090</v>
      </c>
      <c r="G750" s="34" t="s">
        <v>201</v>
      </c>
      <c r="H750" s="35" t="s">
        <v>193</v>
      </c>
      <c r="I750" s="43" t="s">
        <v>324</v>
      </c>
      <c r="P750">
        <v>3.2724559436494684E-6</v>
      </c>
    </row>
    <row r="751" spans="1:16" hidden="1" x14ac:dyDescent="0.35">
      <c r="A751" s="3">
        <f xml:space="preserve"> ROW( data_scaledImpacts[[#This Row],[row_id]] ) - ROW( data_scaledImpacts[[#Headers],[row_id]] )</f>
        <v>750</v>
      </c>
      <c r="B751" s="41" t="str">
        <f xml:space="preserve"> _xlfn.TEXTJOIN( "", , data_scaledImpacts[[#This Row],[sector]:[impactType]] )</f>
        <v>SouthwestDustMIROC522090N/AAllResp</v>
      </c>
      <c r="C751" s="33" t="s">
        <v>85</v>
      </c>
      <c r="D751" s="33" t="s">
        <v>4</v>
      </c>
      <c r="E751" s="34">
        <v>2</v>
      </c>
      <c r="F751" s="34">
        <v>2090</v>
      </c>
      <c r="G751" s="34" t="s">
        <v>201</v>
      </c>
      <c r="H751" s="35" t="s">
        <v>193</v>
      </c>
      <c r="I751" s="43" t="s">
        <v>325</v>
      </c>
      <c r="P751">
        <v>2.3854259470431812E-6</v>
      </c>
    </row>
    <row r="752" spans="1:16" hidden="1" x14ac:dyDescent="0.35">
      <c r="A752" s="3">
        <f xml:space="preserve"> ROW( data_scaledImpacts[[#This Row],[row_id]] ) - ROW( data_scaledImpacts[[#Headers],[row_id]] )</f>
        <v>751</v>
      </c>
      <c r="B752" s="41" t="str">
        <f xml:space="preserve"> _xlfn.TEXTJOIN( "", , data_scaledImpacts[[#This Row],[sector]:[impactType]] )</f>
        <v>SouthwestDustGFDL-CM322090N/AAllResp</v>
      </c>
      <c r="C752" s="33" t="s">
        <v>85</v>
      </c>
      <c r="D752" s="33" t="s">
        <v>5</v>
      </c>
      <c r="E752" s="34">
        <v>2</v>
      </c>
      <c r="F752" s="34">
        <v>2090</v>
      </c>
      <c r="G752" s="34" t="s">
        <v>201</v>
      </c>
      <c r="H752" s="35" t="s">
        <v>193</v>
      </c>
      <c r="I752" s="43" t="s">
        <v>326</v>
      </c>
      <c r="P752">
        <v>3.5948130279485187E-6</v>
      </c>
    </row>
    <row r="753" spans="1:16" hidden="1" x14ac:dyDescent="0.35">
      <c r="A753" s="3">
        <f xml:space="preserve"> ROW( data_scaledImpacts[[#This Row],[row_id]] ) - ROW( data_scaledImpacts[[#Headers],[row_id]] )</f>
        <v>752</v>
      </c>
      <c r="B753" s="41" t="str">
        <f xml:space="preserve"> _xlfn.TEXTJOIN( "", , data_scaledImpacts[[#This Row],[sector]:[impactType]] )</f>
        <v>SouthwestDustGCM Average22090N/AAllResp</v>
      </c>
      <c r="C753" s="33" t="s">
        <v>85</v>
      </c>
      <c r="D753" s="33" t="s">
        <v>15</v>
      </c>
      <c r="E753" s="34">
        <v>2</v>
      </c>
      <c r="F753" s="34">
        <v>2090</v>
      </c>
      <c r="G753" s="34" t="s">
        <v>201</v>
      </c>
      <c r="H753" s="35" t="s">
        <v>193</v>
      </c>
      <c r="I753" s="43" t="s">
        <v>327</v>
      </c>
      <c r="P753">
        <v>2.7607835606511066E-6</v>
      </c>
    </row>
    <row r="754" spans="1:16" hidden="1" x14ac:dyDescent="0.35">
      <c r="A754" s="3">
        <f xml:space="preserve"> ROW( data_scaledImpacts[[#This Row],[row_id]] ) - ROW( data_scaledImpacts[[#Headers],[row_id]] )</f>
        <v>753</v>
      </c>
      <c r="B754" s="41" t="str">
        <f xml:space="preserve"> _xlfn.TEXTJOIN( "", , data_scaledImpacts[[#This Row],[sector]:[impactType]] )</f>
        <v>SouthwestDustCanESM232090N/AAllResp</v>
      </c>
      <c r="C754" s="33" t="s">
        <v>85</v>
      </c>
      <c r="D754" s="33" t="s">
        <v>0</v>
      </c>
      <c r="E754" s="34">
        <v>3</v>
      </c>
      <c r="F754" s="34">
        <v>2090</v>
      </c>
      <c r="G754" s="34" t="s">
        <v>201</v>
      </c>
      <c r="H754" s="35" t="s">
        <v>193</v>
      </c>
      <c r="I754" s="43" t="s">
        <v>328</v>
      </c>
      <c r="P754">
        <v>3.1695988228737516E-6</v>
      </c>
    </row>
    <row r="755" spans="1:16" hidden="1" x14ac:dyDescent="0.35">
      <c r="A755" s="3">
        <f xml:space="preserve"> ROW( data_scaledImpacts[[#This Row],[row_id]] ) - ROW( data_scaledImpacts[[#Headers],[row_id]] )</f>
        <v>754</v>
      </c>
      <c r="B755" s="41" t="str">
        <f xml:space="preserve"> _xlfn.TEXTJOIN( "", , data_scaledImpacts[[#This Row],[sector]:[impactType]] )</f>
        <v>SouthwestDustCCSM432090N/AAllResp</v>
      </c>
      <c r="C755" s="33" t="s">
        <v>85</v>
      </c>
      <c r="D755" s="33" t="s">
        <v>1</v>
      </c>
      <c r="E755" s="34">
        <v>3</v>
      </c>
      <c r="F755" s="34">
        <v>2090</v>
      </c>
      <c r="G755" s="34" t="s">
        <v>201</v>
      </c>
      <c r="H755" s="35" t="s">
        <v>193</v>
      </c>
      <c r="I755" s="43" t="s">
        <v>329</v>
      </c>
      <c r="P755">
        <v>3.7536083549318954E-6</v>
      </c>
    </row>
    <row r="756" spans="1:16" hidden="1" x14ac:dyDescent="0.35">
      <c r="A756" s="3">
        <f xml:space="preserve"> ROW( data_scaledImpacts[[#This Row],[row_id]] ) - ROW( data_scaledImpacts[[#Headers],[row_id]] )</f>
        <v>755</v>
      </c>
      <c r="B756" s="41" t="str">
        <f xml:space="preserve"> _xlfn.TEXTJOIN( "", , data_scaledImpacts[[#This Row],[sector]:[impactType]] )</f>
        <v>SouthwestDustGISS-E2-R32090N/AAllResp</v>
      </c>
      <c r="C756" s="33" t="s">
        <v>85</v>
      </c>
      <c r="D756" s="33" t="s">
        <v>2</v>
      </c>
      <c r="E756" s="34">
        <v>3</v>
      </c>
      <c r="F756" s="34">
        <v>2090</v>
      </c>
      <c r="G756" s="34" t="s">
        <v>201</v>
      </c>
      <c r="H756" s="35" t="s">
        <v>193</v>
      </c>
      <c r="I756" s="43" t="s">
        <v>330</v>
      </c>
      <c r="P756">
        <v>4.1574316083433453E-6</v>
      </c>
    </row>
    <row r="757" spans="1:16" hidden="1" x14ac:dyDescent="0.35">
      <c r="A757" s="3">
        <f xml:space="preserve"> ROW( data_scaledImpacts[[#This Row],[row_id]] ) - ROW( data_scaledImpacts[[#Headers],[row_id]] )</f>
        <v>756</v>
      </c>
      <c r="B757" s="41" t="str">
        <f xml:space="preserve"> _xlfn.TEXTJOIN( "", , data_scaledImpacts[[#This Row],[sector]:[impactType]] )</f>
        <v>SouthwestDustHadGEM2-ES32090N/AAllResp</v>
      </c>
      <c r="C757" s="33" t="s">
        <v>85</v>
      </c>
      <c r="D757" s="33" t="s">
        <v>3</v>
      </c>
      <c r="E757" s="34">
        <v>3</v>
      </c>
      <c r="F757" s="34">
        <v>2090</v>
      </c>
      <c r="G757" s="34" t="s">
        <v>201</v>
      </c>
      <c r="H757" s="35" t="s">
        <v>193</v>
      </c>
      <c r="I757" s="43" t="s">
        <v>331</v>
      </c>
      <c r="P757">
        <v>4.0103505190530704E-6</v>
      </c>
    </row>
    <row r="758" spans="1:16" hidden="1" x14ac:dyDescent="0.35">
      <c r="A758" s="3">
        <f xml:space="preserve"> ROW( data_scaledImpacts[[#This Row],[row_id]] ) - ROW( data_scaledImpacts[[#Headers],[row_id]] )</f>
        <v>757</v>
      </c>
      <c r="B758" s="41" t="str">
        <f xml:space="preserve"> _xlfn.TEXTJOIN( "", , data_scaledImpacts[[#This Row],[sector]:[impactType]] )</f>
        <v>SouthwestDustMIROC532090N/AAllResp</v>
      </c>
      <c r="C758" s="33" t="s">
        <v>85</v>
      </c>
      <c r="D758" s="33" t="s">
        <v>4</v>
      </c>
      <c r="E758" s="34">
        <v>3</v>
      </c>
      <c r="F758" s="34">
        <v>2090</v>
      </c>
      <c r="G758" s="34" t="s">
        <v>201</v>
      </c>
      <c r="H758" s="35" t="s">
        <v>193</v>
      </c>
      <c r="I758" s="43" t="s">
        <v>332</v>
      </c>
      <c r="P758">
        <v>4.6551224017262875E-6</v>
      </c>
    </row>
    <row r="759" spans="1:16" hidden="1" x14ac:dyDescent="0.35">
      <c r="A759" s="3">
        <f xml:space="preserve"> ROW( data_scaledImpacts[[#This Row],[row_id]] ) - ROW( data_scaledImpacts[[#Headers],[row_id]] )</f>
        <v>758</v>
      </c>
      <c r="B759" s="41" t="str">
        <f xml:space="preserve"> _xlfn.TEXTJOIN( "", , data_scaledImpacts[[#This Row],[sector]:[impactType]] )</f>
        <v>SouthwestDustGFDL-CM332090N/AAllResp</v>
      </c>
      <c r="C759" s="33" t="s">
        <v>85</v>
      </c>
      <c r="D759" s="33" t="s">
        <v>5</v>
      </c>
      <c r="E759" s="34">
        <v>3</v>
      </c>
      <c r="F759" s="34">
        <v>2090</v>
      </c>
      <c r="G759" s="34" t="s">
        <v>201</v>
      </c>
      <c r="H759" s="35" t="s">
        <v>193</v>
      </c>
      <c r="I759" s="43" t="s">
        <v>333</v>
      </c>
      <c r="P759">
        <v>5.3217936550590695E-6</v>
      </c>
    </row>
    <row r="760" spans="1:16" hidden="1" x14ac:dyDescent="0.35">
      <c r="A760" s="3">
        <f xml:space="preserve"> ROW( data_scaledImpacts[[#This Row],[row_id]] ) - ROW( data_scaledImpacts[[#Headers],[row_id]] )</f>
        <v>759</v>
      </c>
      <c r="B760" s="41" t="str">
        <f xml:space="preserve"> _xlfn.TEXTJOIN( "", , data_scaledImpacts[[#This Row],[sector]:[impactType]] )</f>
        <v>SouthwestDustGCM Average32090N/AAllResp</v>
      </c>
      <c r="C760" s="33" t="s">
        <v>85</v>
      </c>
      <c r="D760" s="33" t="s">
        <v>15</v>
      </c>
      <c r="E760" s="34">
        <v>3</v>
      </c>
      <c r="F760" s="34">
        <v>2090</v>
      </c>
      <c r="G760" s="34" t="s">
        <v>201</v>
      </c>
      <c r="H760" s="35" t="s">
        <v>193</v>
      </c>
      <c r="I760" s="43" t="s">
        <v>334</v>
      </c>
      <c r="P760">
        <v>4.1779842269979037E-6</v>
      </c>
    </row>
    <row r="761" spans="1:16" hidden="1" x14ac:dyDescent="0.35">
      <c r="A761" s="3">
        <f xml:space="preserve"> ROW( data_scaledImpacts[[#This Row],[row_id]] ) - ROW( data_scaledImpacts[[#Headers],[row_id]] )</f>
        <v>760</v>
      </c>
      <c r="B761" s="41" t="str">
        <f xml:space="preserve"> _xlfn.TEXTJOIN( "", , data_scaledImpacts[[#This Row],[sector]:[impactType]] )</f>
        <v>SouthwestDustCanESM242090N/AAllResp</v>
      </c>
      <c r="C761" s="33" t="s">
        <v>85</v>
      </c>
      <c r="D761" s="33" t="s">
        <v>0</v>
      </c>
      <c r="E761" s="34">
        <v>4</v>
      </c>
      <c r="F761" s="34">
        <v>2090</v>
      </c>
      <c r="G761" s="34" t="s">
        <v>201</v>
      </c>
      <c r="H761" s="35" t="s">
        <v>193</v>
      </c>
      <c r="I761" s="43" t="s">
        <v>335</v>
      </c>
      <c r="P761">
        <v>3.0499477733257623E-6</v>
      </c>
    </row>
    <row r="762" spans="1:16" hidden="1" x14ac:dyDescent="0.35">
      <c r="A762" s="3">
        <f xml:space="preserve"> ROW( data_scaledImpacts[[#This Row],[row_id]] ) - ROW( data_scaledImpacts[[#Headers],[row_id]] )</f>
        <v>761</v>
      </c>
      <c r="B762" s="41" t="str">
        <f xml:space="preserve"> _xlfn.TEXTJOIN( "", , data_scaledImpacts[[#This Row],[sector]:[impactType]] )</f>
        <v>SouthwestDustCCSM442090N/AAllResp</v>
      </c>
      <c r="C762" s="33" t="s">
        <v>85</v>
      </c>
      <c r="D762" s="33" t="s">
        <v>1</v>
      </c>
      <c r="E762" s="34">
        <v>4</v>
      </c>
      <c r="F762" s="34">
        <v>2090</v>
      </c>
      <c r="G762" s="34" t="s">
        <v>201</v>
      </c>
      <c r="H762" s="35" t="s">
        <v>193</v>
      </c>
      <c r="I762" s="43" t="s">
        <v>336</v>
      </c>
      <c r="P762">
        <v>5.0833450893415792E-6</v>
      </c>
    </row>
    <row r="763" spans="1:16" hidden="1" x14ac:dyDescent="0.35">
      <c r="A763" s="3">
        <f xml:space="preserve"> ROW( data_scaledImpacts[[#This Row],[row_id]] ) - ROW( data_scaledImpacts[[#Headers],[row_id]] )</f>
        <v>762</v>
      </c>
      <c r="B763" s="41" t="str">
        <f xml:space="preserve"> _xlfn.TEXTJOIN( "", , data_scaledImpacts[[#This Row],[sector]:[impactType]] )</f>
        <v>SouthwestDustGISS-E2-R42090N/AAllResp</v>
      </c>
      <c r="C763" s="33" t="s">
        <v>85</v>
      </c>
      <c r="D763" s="33" t="s">
        <v>2</v>
      </c>
      <c r="E763" s="34">
        <v>4</v>
      </c>
      <c r="F763" s="34">
        <v>2090</v>
      </c>
      <c r="G763" s="34" t="s">
        <v>201</v>
      </c>
      <c r="H763" s="35" t="s">
        <v>193</v>
      </c>
      <c r="I763" s="43" t="s">
        <v>337</v>
      </c>
    </row>
    <row r="764" spans="1:16" hidden="1" x14ac:dyDescent="0.35">
      <c r="A764" s="3">
        <f xml:space="preserve"> ROW( data_scaledImpacts[[#This Row],[row_id]] ) - ROW( data_scaledImpacts[[#Headers],[row_id]] )</f>
        <v>763</v>
      </c>
      <c r="B764" s="41" t="str">
        <f xml:space="preserve"> _xlfn.TEXTJOIN( "", , data_scaledImpacts[[#This Row],[sector]:[impactType]] )</f>
        <v>SouthwestDustHadGEM2-ES42090N/AAllResp</v>
      </c>
      <c r="C764" s="33" t="s">
        <v>85</v>
      </c>
      <c r="D764" s="33" t="s">
        <v>3</v>
      </c>
      <c r="E764" s="34">
        <v>4</v>
      </c>
      <c r="F764" s="34">
        <v>2090</v>
      </c>
      <c r="G764" s="34" t="s">
        <v>201</v>
      </c>
      <c r="H764" s="35" t="s">
        <v>193</v>
      </c>
      <c r="I764" s="43" t="s">
        <v>338</v>
      </c>
      <c r="P764">
        <v>4.0813139709794207E-6</v>
      </c>
    </row>
    <row r="765" spans="1:16" hidden="1" x14ac:dyDescent="0.35">
      <c r="A765" s="3">
        <f xml:space="preserve"> ROW( data_scaledImpacts[[#This Row],[row_id]] ) - ROW( data_scaledImpacts[[#Headers],[row_id]] )</f>
        <v>764</v>
      </c>
      <c r="B765" s="41" t="str">
        <f xml:space="preserve"> _xlfn.TEXTJOIN( "", , data_scaledImpacts[[#This Row],[sector]:[impactType]] )</f>
        <v>SouthwestDustMIROC542090N/AAllResp</v>
      </c>
      <c r="C765" s="33" t="s">
        <v>85</v>
      </c>
      <c r="D765" s="33" t="s">
        <v>4</v>
      </c>
      <c r="E765" s="34">
        <v>4</v>
      </c>
      <c r="F765" s="34">
        <v>2090</v>
      </c>
      <c r="G765" s="34" t="s">
        <v>201</v>
      </c>
      <c r="H765" s="35" t="s">
        <v>193</v>
      </c>
      <c r="I765" s="43" t="s">
        <v>339</v>
      </c>
      <c r="P765">
        <v>5.74313176884277E-6</v>
      </c>
    </row>
    <row r="766" spans="1:16" hidden="1" x14ac:dyDescent="0.35">
      <c r="A766" s="3">
        <f xml:space="preserve"> ROW( data_scaledImpacts[[#This Row],[row_id]] ) - ROW( data_scaledImpacts[[#Headers],[row_id]] )</f>
        <v>765</v>
      </c>
      <c r="B766" s="41" t="str">
        <f xml:space="preserve"> _xlfn.TEXTJOIN( "", , data_scaledImpacts[[#This Row],[sector]:[impactType]] )</f>
        <v>SouthwestDustGFDL-CM342090N/AAllResp</v>
      </c>
      <c r="C766" s="33" t="s">
        <v>85</v>
      </c>
      <c r="D766" s="33" t="s">
        <v>5</v>
      </c>
      <c r="E766" s="34">
        <v>4</v>
      </c>
      <c r="F766" s="34">
        <v>2090</v>
      </c>
      <c r="G766" s="34" t="s">
        <v>201</v>
      </c>
      <c r="H766" s="35" t="s">
        <v>193</v>
      </c>
      <c r="I766" s="43" t="s">
        <v>340</v>
      </c>
      <c r="P766">
        <v>7.2532398673275105E-6</v>
      </c>
    </row>
    <row r="767" spans="1:16" hidden="1" x14ac:dyDescent="0.35">
      <c r="A767" s="3">
        <f xml:space="preserve"> ROW( data_scaledImpacts[[#This Row],[row_id]] ) - ROW( data_scaledImpacts[[#Headers],[row_id]] )</f>
        <v>766</v>
      </c>
      <c r="B767" s="41" t="str">
        <f xml:space="preserve"> _xlfn.TEXTJOIN( "", , data_scaledImpacts[[#This Row],[sector]:[impactType]] )</f>
        <v>SouthwestDustGCM Average42090N/AAllResp</v>
      </c>
      <c r="C767" s="33" t="s">
        <v>85</v>
      </c>
      <c r="D767" s="33" t="s">
        <v>15</v>
      </c>
      <c r="E767" s="34">
        <v>4</v>
      </c>
      <c r="F767" s="34">
        <v>2090</v>
      </c>
      <c r="G767" s="34" t="s">
        <v>201</v>
      </c>
      <c r="H767" s="35" t="s">
        <v>193</v>
      </c>
      <c r="I767" s="43" t="s">
        <v>341</v>
      </c>
      <c r="P767">
        <v>5.0421956939634086E-6</v>
      </c>
    </row>
    <row r="768" spans="1:16" hidden="1" x14ac:dyDescent="0.35">
      <c r="A768" s="3">
        <f xml:space="preserve"> ROW( data_scaledImpacts[[#This Row],[row_id]] ) - ROW( data_scaledImpacts[[#Headers],[row_id]] )</f>
        <v>767</v>
      </c>
      <c r="B768" s="41" t="str">
        <f xml:space="preserve"> _xlfn.TEXTJOIN( "", , data_scaledImpacts[[#This Row],[sector]:[impactType]] )</f>
        <v>SouthwestDustCanESM252090N/AAllResp</v>
      </c>
      <c r="C768" s="33" t="s">
        <v>85</v>
      </c>
      <c r="D768" s="33" t="s">
        <v>0</v>
      </c>
      <c r="E768" s="34">
        <v>5</v>
      </c>
      <c r="F768" s="34">
        <v>2090</v>
      </c>
      <c r="G768" s="34" t="s">
        <v>201</v>
      </c>
      <c r="H768" s="35" t="s">
        <v>193</v>
      </c>
      <c r="I768" s="43" t="s">
        <v>342</v>
      </c>
      <c r="P768">
        <v>3.8029099076050806E-6</v>
      </c>
    </row>
    <row r="769" spans="1:16" hidden="1" x14ac:dyDescent="0.35">
      <c r="A769" s="3">
        <f xml:space="preserve"> ROW( data_scaledImpacts[[#This Row],[row_id]] ) - ROW( data_scaledImpacts[[#Headers],[row_id]] )</f>
        <v>768</v>
      </c>
      <c r="B769" s="41" t="str">
        <f xml:space="preserve"> _xlfn.TEXTJOIN( "", , data_scaledImpacts[[#This Row],[sector]:[impactType]] )</f>
        <v>SouthwestDustCCSM452090N/AAllResp</v>
      </c>
      <c r="C769" s="33" t="s">
        <v>85</v>
      </c>
      <c r="D769" s="33" t="s">
        <v>1</v>
      </c>
      <c r="E769" s="34">
        <v>5</v>
      </c>
      <c r="F769" s="34">
        <v>2090</v>
      </c>
      <c r="G769" s="34" t="s">
        <v>201</v>
      </c>
      <c r="H769" s="35" t="s">
        <v>193</v>
      </c>
      <c r="I769" s="43" t="s">
        <v>343</v>
      </c>
      <c r="P769">
        <v>7.939293933863392E-6</v>
      </c>
    </row>
    <row r="770" spans="1:16" hidden="1" x14ac:dyDescent="0.35">
      <c r="A770" s="3">
        <f xml:space="preserve"> ROW( data_scaledImpacts[[#This Row],[row_id]] ) - ROW( data_scaledImpacts[[#Headers],[row_id]] )</f>
        <v>769</v>
      </c>
      <c r="B770" s="41" t="str">
        <f xml:space="preserve"> _xlfn.TEXTJOIN( "", , data_scaledImpacts[[#This Row],[sector]:[impactType]] )</f>
        <v>SouthwestDustGISS-E2-R52090N/AAllResp</v>
      </c>
      <c r="C770" s="33" t="s">
        <v>85</v>
      </c>
      <c r="D770" s="33" t="s">
        <v>2</v>
      </c>
      <c r="E770" s="34">
        <v>5</v>
      </c>
      <c r="F770" s="34">
        <v>2090</v>
      </c>
      <c r="G770" s="34" t="s">
        <v>201</v>
      </c>
      <c r="H770" s="35" t="s">
        <v>193</v>
      </c>
      <c r="I770" s="43" t="s">
        <v>344</v>
      </c>
    </row>
    <row r="771" spans="1:16" hidden="1" x14ac:dyDescent="0.35">
      <c r="A771" s="3">
        <f xml:space="preserve"> ROW( data_scaledImpacts[[#This Row],[row_id]] ) - ROW( data_scaledImpacts[[#Headers],[row_id]] )</f>
        <v>770</v>
      </c>
      <c r="B771" s="41" t="str">
        <f xml:space="preserve"> _xlfn.TEXTJOIN( "", , data_scaledImpacts[[#This Row],[sector]:[impactType]] )</f>
        <v>SouthwestDustHadGEM2-ES52090N/AAllResp</v>
      </c>
      <c r="C771" s="33" t="s">
        <v>85</v>
      </c>
      <c r="D771" s="33" t="s">
        <v>3</v>
      </c>
      <c r="E771" s="34">
        <v>5</v>
      </c>
      <c r="F771" s="34">
        <v>2090</v>
      </c>
      <c r="G771" s="34" t="s">
        <v>201</v>
      </c>
      <c r="H771" s="35" t="s">
        <v>193</v>
      </c>
      <c r="I771" s="43" t="s">
        <v>345</v>
      </c>
      <c r="P771">
        <v>6.6931619965688202E-6</v>
      </c>
    </row>
    <row r="772" spans="1:16" hidden="1" x14ac:dyDescent="0.35">
      <c r="A772" s="3">
        <f xml:space="preserve"> ROW( data_scaledImpacts[[#This Row],[row_id]] ) - ROW( data_scaledImpacts[[#Headers],[row_id]] )</f>
        <v>771</v>
      </c>
      <c r="B772" s="41" t="str">
        <f xml:space="preserve"> _xlfn.TEXTJOIN( "", , data_scaledImpacts[[#This Row],[sector]:[impactType]] )</f>
        <v>SouthwestDustMIROC552090N/AAllResp</v>
      </c>
      <c r="C772" s="33" t="s">
        <v>85</v>
      </c>
      <c r="D772" s="33" t="s">
        <v>4</v>
      </c>
      <c r="E772" s="34">
        <v>5</v>
      </c>
      <c r="F772" s="34">
        <v>2090</v>
      </c>
      <c r="G772" s="34" t="s">
        <v>201</v>
      </c>
      <c r="H772" s="35" t="s">
        <v>193</v>
      </c>
      <c r="I772" s="43" t="s">
        <v>346</v>
      </c>
      <c r="P772">
        <v>7.2178146009878651E-6</v>
      </c>
    </row>
    <row r="773" spans="1:16" hidden="1" x14ac:dyDescent="0.35">
      <c r="A773" s="3">
        <f xml:space="preserve"> ROW( data_scaledImpacts[[#This Row],[row_id]] ) - ROW( data_scaledImpacts[[#Headers],[row_id]] )</f>
        <v>772</v>
      </c>
      <c r="B773" s="41" t="str">
        <f xml:space="preserve"> _xlfn.TEXTJOIN( "", , data_scaledImpacts[[#This Row],[sector]:[impactType]] )</f>
        <v>SouthwestDustGFDL-CM352090N/AAllResp</v>
      </c>
      <c r="C773" s="33" t="s">
        <v>85</v>
      </c>
      <c r="D773" s="33" t="s">
        <v>5</v>
      </c>
      <c r="E773" s="34">
        <v>5</v>
      </c>
      <c r="F773" s="34">
        <v>2090</v>
      </c>
      <c r="G773" s="34" t="s">
        <v>201</v>
      </c>
      <c r="H773" s="35" t="s">
        <v>193</v>
      </c>
      <c r="I773" s="43" t="s">
        <v>347</v>
      </c>
      <c r="P773">
        <v>9.0215529267942542E-6</v>
      </c>
    </row>
    <row r="774" spans="1:16" hidden="1" x14ac:dyDescent="0.35">
      <c r="A774" s="3">
        <f xml:space="preserve"> ROW( data_scaledImpacts[[#This Row],[row_id]] ) - ROW( data_scaledImpacts[[#Headers],[row_id]] )</f>
        <v>773</v>
      </c>
      <c r="B774" s="41" t="str">
        <f xml:space="preserve"> _xlfn.TEXTJOIN( "", , data_scaledImpacts[[#This Row],[sector]:[impactType]] )</f>
        <v>SouthwestDustGCM Average52090N/AAllResp</v>
      </c>
      <c r="C774" s="33" t="s">
        <v>85</v>
      </c>
      <c r="D774" s="33" t="s">
        <v>15</v>
      </c>
      <c r="E774" s="34">
        <v>5</v>
      </c>
      <c r="F774" s="34">
        <v>2090</v>
      </c>
      <c r="G774" s="34" t="s">
        <v>201</v>
      </c>
      <c r="H774" s="35" t="s">
        <v>193</v>
      </c>
      <c r="I774" s="43" t="s">
        <v>348</v>
      </c>
      <c r="P774">
        <v>6.9349466731638828E-6</v>
      </c>
    </row>
    <row r="775" spans="1:16" hidden="1" x14ac:dyDescent="0.35">
      <c r="A775" s="3">
        <f xml:space="preserve"> ROW( data_scaledImpacts[[#This Row],[row_id]] ) - ROW( data_scaledImpacts[[#Headers],[row_id]] )</f>
        <v>774</v>
      </c>
      <c r="B775" s="41" t="str">
        <f xml:space="preserve"> _xlfn.TEXTJOIN( "", , data_scaledImpacts[[#This Row],[sector]:[impactType]] )</f>
        <v>SouthwestDustCanESM262090N/AAllResp</v>
      </c>
      <c r="C775" s="33" t="s">
        <v>85</v>
      </c>
      <c r="D775" s="33" t="s">
        <v>0</v>
      </c>
      <c r="E775" s="34">
        <v>6</v>
      </c>
      <c r="F775" s="34">
        <v>2090</v>
      </c>
      <c r="G775" s="34" t="s">
        <v>201</v>
      </c>
      <c r="H775" s="35" t="s">
        <v>193</v>
      </c>
      <c r="I775" s="43" t="s">
        <v>349</v>
      </c>
      <c r="P775">
        <v>4.860173612458842E-6</v>
      </c>
    </row>
    <row r="776" spans="1:16" hidden="1" x14ac:dyDescent="0.35">
      <c r="A776" s="3">
        <f xml:space="preserve"> ROW( data_scaledImpacts[[#This Row],[row_id]] ) - ROW( data_scaledImpacts[[#Headers],[row_id]] )</f>
        <v>775</v>
      </c>
      <c r="B776" s="41" t="str">
        <f xml:space="preserve"> _xlfn.TEXTJOIN( "", , data_scaledImpacts[[#This Row],[sector]:[impactType]] )</f>
        <v>SouthwestDustCCSM462090N/AAllResp</v>
      </c>
      <c r="C776" s="33" t="s">
        <v>85</v>
      </c>
      <c r="D776" s="33" t="s">
        <v>1</v>
      </c>
      <c r="E776" s="34">
        <v>6</v>
      </c>
      <c r="F776" s="34">
        <v>2090</v>
      </c>
      <c r="G776" s="34" t="s">
        <v>201</v>
      </c>
      <c r="H776" s="35" t="s">
        <v>193</v>
      </c>
      <c r="I776" s="43" t="s">
        <v>350</v>
      </c>
    </row>
    <row r="777" spans="1:16" hidden="1" x14ac:dyDescent="0.35">
      <c r="A777" s="3">
        <f xml:space="preserve"> ROW( data_scaledImpacts[[#This Row],[row_id]] ) - ROW( data_scaledImpacts[[#Headers],[row_id]] )</f>
        <v>776</v>
      </c>
      <c r="B777" s="41" t="str">
        <f xml:space="preserve"> _xlfn.TEXTJOIN( "", , data_scaledImpacts[[#This Row],[sector]:[impactType]] )</f>
        <v>SouthwestDustGISS-E2-R62090N/AAllResp</v>
      </c>
      <c r="C777" s="33" t="s">
        <v>85</v>
      </c>
      <c r="D777" s="33" t="s">
        <v>2</v>
      </c>
      <c r="E777" s="34">
        <v>6</v>
      </c>
      <c r="F777" s="34">
        <v>2090</v>
      </c>
      <c r="G777" s="34" t="s">
        <v>201</v>
      </c>
      <c r="H777" s="35" t="s">
        <v>193</v>
      </c>
      <c r="I777" s="43" t="s">
        <v>351</v>
      </c>
    </row>
    <row r="778" spans="1:16" hidden="1" x14ac:dyDescent="0.35">
      <c r="A778" s="3">
        <f xml:space="preserve"> ROW( data_scaledImpacts[[#This Row],[row_id]] ) - ROW( data_scaledImpacts[[#Headers],[row_id]] )</f>
        <v>777</v>
      </c>
      <c r="B778" s="41" t="str">
        <f xml:space="preserve"> _xlfn.TEXTJOIN( "", , data_scaledImpacts[[#This Row],[sector]:[impactType]] )</f>
        <v>SouthwestDustHadGEM2-ES62090N/AAllResp</v>
      </c>
      <c r="C778" s="33" t="s">
        <v>85</v>
      </c>
      <c r="D778" s="33" t="s">
        <v>3</v>
      </c>
      <c r="E778" s="34">
        <v>6</v>
      </c>
      <c r="F778" s="34">
        <v>2090</v>
      </c>
      <c r="G778" s="34" t="s">
        <v>201</v>
      </c>
      <c r="H778" s="35" t="s">
        <v>193</v>
      </c>
      <c r="I778" s="43" t="s">
        <v>352</v>
      </c>
      <c r="P778">
        <v>6.4134796337378341E-6</v>
      </c>
    </row>
    <row r="779" spans="1:16" hidden="1" x14ac:dyDescent="0.35">
      <c r="A779" s="3">
        <f xml:space="preserve"> ROW( data_scaledImpacts[[#This Row],[row_id]] ) - ROW( data_scaledImpacts[[#Headers],[row_id]] )</f>
        <v>778</v>
      </c>
      <c r="B779" s="41" t="str">
        <f xml:space="preserve"> _xlfn.TEXTJOIN( "", , data_scaledImpacts[[#This Row],[sector]:[impactType]] )</f>
        <v>SouthwestDustMIROC562090N/AAllResp</v>
      </c>
      <c r="C779" s="33" t="s">
        <v>85</v>
      </c>
      <c r="D779" s="33" t="s">
        <v>4</v>
      </c>
      <c r="E779" s="34">
        <v>6</v>
      </c>
      <c r="F779" s="34">
        <v>2090</v>
      </c>
      <c r="G779" s="34" t="s">
        <v>201</v>
      </c>
      <c r="H779" s="35" t="s">
        <v>193</v>
      </c>
      <c r="I779" s="43" t="s">
        <v>353</v>
      </c>
    </row>
    <row r="780" spans="1:16" hidden="1" x14ac:dyDescent="0.35">
      <c r="A780" s="3">
        <f xml:space="preserve"> ROW( data_scaledImpacts[[#This Row],[row_id]] ) - ROW( data_scaledImpacts[[#Headers],[row_id]] )</f>
        <v>779</v>
      </c>
      <c r="B780" s="41" t="str">
        <f xml:space="preserve"> _xlfn.TEXTJOIN( "", , data_scaledImpacts[[#This Row],[sector]:[impactType]] )</f>
        <v>SouthwestDustGFDL-CM362090N/AAllResp</v>
      </c>
      <c r="C780" s="33" t="s">
        <v>85</v>
      </c>
      <c r="D780" s="33" t="s">
        <v>5</v>
      </c>
      <c r="E780" s="34">
        <v>6</v>
      </c>
      <c r="F780" s="34">
        <v>2090</v>
      </c>
      <c r="G780" s="34" t="s">
        <v>201</v>
      </c>
      <c r="H780" s="35" t="s">
        <v>193</v>
      </c>
      <c r="I780" s="43" t="s">
        <v>354</v>
      </c>
      <c r="P780">
        <v>1.0338084665934055E-5</v>
      </c>
    </row>
    <row r="781" spans="1:16" hidden="1" x14ac:dyDescent="0.35">
      <c r="A781" s="3">
        <f xml:space="preserve"> ROW( data_scaledImpacts[[#This Row],[row_id]] ) - ROW( data_scaledImpacts[[#Headers],[row_id]] )</f>
        <v>780</v>
      </c>
      <c r="B781" s="41" t="str">
        <f xml:space="preserve"> _xlfn.TEXTJOIN( "", , data_scaledImpacts[[#This Row],[sector]:[impactType]] )</f>
        <v>SouthwestDustGCM Average62090N/AAllResp</v>
      </c>
      <c r="C781" s="33" t="s">
        <v>85</v>
      </c>
      <c r="D781" s="33" t="s">
        <v>15</v>
      </c>
      <c r="E781" s="34">
        <v>6</v>
      </c>
      <c r="F781" s="34">
        <v>2090</v>
      </c>
      <c r="G781" s="34" t="s">
        <v>201</v>
      </c>
      <c r="H781" s="35" t="s">
        <v>193</v>
      </c>
      <c r="I781" s="43" t="s">
        <v>355</v>
      </c>
      <c r="P781">
        <v>7.2039126373769108E-6</v>
      </c>
    </row>
    <row r="782" spans="1:16" hidden="1" x14ac:dyDescent="0.35">
      <c r="A782" s="3">
        <f xml:space="preserve"> ROW( data_scaledImpacts[[#This Row],[row_id]] ) - ROW( data_scaledImpacts[[#Headers],[row_id]] )</f>
        <v>781</v>
      </c>
      <c r="B782" s="41" t="str">
        <f xml:space="preserve"> _xlfn.TEXTJOIN( "", , data_scaledImpacts[[#This Row],[sector]:[impactType]] )</f>
        <v>SouthwestDustCanESM272090N/AAllResp</v>
      </c>
      <c r="C782" s="33" t="s">
        <v>85</v>
      </c>
      <c r="D782" s="33" t="s">
        <v>0</v>
      </c>
      <c r="E782" s="34">
        <v>7</v>
      </c>
      <c r="F782" s="34">
        <v>2090</v>
      </c>
      <c r="G782" s="34" t="s">
        <v>201</v>
      </c>
      <c r="H782" s="35" t="s">
        <v>193</v>
      </c>
      <c r="I782" s="43" t="s">
        <v>356</v>
      </c>
    </row>
    <row r="783" spans="1:16" hidden="1" x14ac:dyDescent="0.35">
      <c r="A783" s="3">
        <f xml:space="preserve"> ROW( data_scaledImpacts[[#This Row],[row_id]] ) - ROW( data_scaledImpacts[[#Headers],[row_id]] )</f>
        <v>782</v>
      </c>
      <c r="B783" s="41" t="str">
        <f xml:space="preserve"> _xlfn.TEXTJOIN( "", , data_scaledImpacts[[#This Row],[sector]:[impactType]] )</f>
        <v>SouthwestDustCCSM472090N/AAllResp</v>
      </c>
      <c r="C783" s="33" t="s">
        <v>85</v>
      </c>
      <c r="D783" s="33" t="s">
        <v>1</v>
      </c>
      <c r="E783" s="34">
        <v>7</v>
      </c>
      <c r="F783" s="34">
        <v>2090</v>
      </c>
      <c r="G783" s="34" t="s">
        <v>201</v>
      </c>
      <c r="H783" s="35" t="s">
        <v>193</v>
      </c>
      <c r="I783" s="43" t="s">
        <v>357</v>
      </c>
    </row>
    <row r="784" spans="1:16" hidden="1" x14ac:dyDescent="0.35">
      <c r="A784" s="3">
        <f xml:space="preserve"> ROW( data_scaledImpacts[[#This Row],[row_id]] ) - ROW( data_scaledImpacts[[#Headers],[row_id]] )</f>
        <v>783</v>
      </c>
      <c r="B784" s="41" t="str">
        <f xml:space="preserve"> _xlfn.TEXTJOIN( "", , data_scaledImpacts[[#This Row],[sector]:[impactType]] )</f>
        <v>SouthwestDustGISS-E2-R72090N/AAllResp</v>
      </c>
      <c r="C784" s="33" t="s">
        <v>85</v>
      </c>
      <c r="D784" s="33" t="s">
        <v>2</v>
      </c>
      <c r="E784" s="34">
        <v>7</v>
      </c>
      <c r="F784" s="34">
        <v>2090</v>
      </c>
      <c r="G784" s="34" t="s">
        <v>201</v>
      </c>
      <c r="H784" s="35" t="s">
        <v>193</v>
      </c>
      <c r="I784" s="43" t="s">
        <v>358</v>
      </c>
    </row>
    <row r="785" spans="1:16" hidden="1" x14ac:dyDescent="0.35">
      <c r="A785" s="3">
        <f xml:space="preserve"> ROW( data_scaledImpacts[[#This Row],[row_id]] ) - ROW( data_scaledImpacts[[#Headers],[row_id]] )</f>
        <v>784</v>
      </c>
      <c r="B785" s="41" t="str">
        <f xml:space="preserve"> _xlfn.TEXTJOIN( "", , data_scaledImpacts[[#This Row],[sector]:[impactType]] )</f>
        <v>SouthwestDustHadGEM2-ES72090N/AAllResp</v>
      </c>
      <c r="C785" s="33" t="s">
        <v>85</v>
      </c>
      <c r="D785" s="33" t="s">
        <v>3</v>
      </c>
      <c r="E785" s="34">
        <v>7</v>
      </c>
      <c r="F785" s="34">
        <v>2090</v>
      </c>
      <c r="G785" s="34" t="s">
        <v>201</v>
      </c>
      <c r="H785" s="35" t="s">
        <v>193</v>
      </c>
      <c r="I785" s="43" t="s">
        <v>359</v>
      </c>
    </row>
    <row r="786" spans="1:16" hidden="1" x14ac:dyDescent="0.35">
      <c r="A786" s="3">
        <f xml:space="preserve"> ROW( data_scaledImpacts[[#This Row],[row_id]] ) - ROW( data_scaledImpacts[[#Headers],[row_id]] )</f>
        <v>785</v>
      </c>
      <c r="B786" s="41" t="str">
        <f xml:space="preserve"> _xlfn.TEXTJOIN( "", , data_scaledImpacts[[#This Row],[sector]:[impactType]] )</f>
        <v>SouthwestDustMIROC572090N/AAllResp</v>
      </c>
      <c r="C786" s="33" t="s">
        <v>85</v>
      </c>
      <c r="D786" s="33" t="s">
        <v>4</v>
      </c>
      <c r="E786" s="34">
        <v>7</v>
      </c>
      <c r="F786" s="34">
        <v>2090</v>
      </c>
      <c r="G786" s="34" t="s">
        <v>201</v>
      </c>
      <c r="H786" s="35" t="s">
        <v>193</v>
      </c>
      <c r="I786" s="43" t="s">
        <v>360</v>
      </c>
    </row>
    <row r="787" spans="1:16" hidden="1" x14ac:dyDescent="0.35">
      <c r="A787" s="3">
        <f xml:space="preserve"> ROW( data_scaledImpacts[[#This Row],[row_id]] ) - ROW( data_scaledImpacts[[#Headers],[row_id]] )</f>
        <v>786</v>
      </c>
      <c r="B787" s="41" t="str">
        <f xml:space="preserve"> _xlfn.TEXTJOIN( "", , data_scaledImpacts[[#This Row],[sector]:[impactType]] )</f>
        <v>SouthwestDustGFDL-CM372090N/AAllResp</v>
      </c>
      <c r="C787" s="33" t="s">
        <v>85</v>
      </c>
      <c r="D787" s="33" t="s">
        <v>5</v>
      </c>
      <c r="E787" s="34">
        <v>7</v>
      </c>
      <c r="F787" s="34">
        <v>2090</v>
      </c>
      <c r="G787" s="34" t="s">
        <v>201</v>
      </c>
      <c r="H787" s="35" t="s">
        <v>193</v>
      </c>
      <c r="I787" s="43" t="s">
        <v>361</v>
      </c>
    </row>
    <row r="788" spans="1:16" hidden="1" x14ac:dyDescent="0.35">
      <c r="A788" s="3">
        <f xml:space="preserve"> ROW( data_scaledImpacts[[#This Row],[row_id]] ) - ROW( data_scaledImpacts[[#Headers],[row_id]] )</f>
        <v>787</v>
      </c>
      <c r="B788" s="41" t="str">
        <f xml:space="preserve"> _xlfn.TEXTJOIN( "", , data_scaledImpacts[[#This Row],[sector]:[impactType]] )</f>
        <v>SouthwestDustGCM Average72090N/AAllResp</v>
      </c>
      <c r="C788" s="33" t="s">
        <v>85</v>
      </c>
      <c r="D788" s="33" t="s">
        <v>15</v>
      </c>
      <c r="E788" s="34">
        <v>7</v>
      </c>
      <c r="F788" s="34">
        <v>2090</v>
      </c>
      <c r="G788" s="34" t="s">
        <v>201</v>
      </c>
      <c r="H788" s="35" t="s">
        <v>193</v>
      </c>
      <c r="I788" s="43" t="s">
        <v>362</v>
      </c>
      <c r="P788" t="s">
        <v>26</v>
      </c>
    </row>
    <row r="789" spans="1:16" hidden="1" x14ac:dyDescent="0.35">
      <c r="A789" s="3">
        <f xml:space="preserve"> ROW( data_scaledImpacts[[#This Row],[row_id]] ) - ROW( data_scaledImpacts[[#Headers],[row_id]] )</f>
        <v>788</v>
      </c>
      <c r="B789" s="41" t="str">
        <f xml:space="preserve"> _xlfn.TEXTJOIN( "", , data_scaledImpacts[[#This Row],[sector]:[impactType]] )</f>
        <v>SouthwestDustCanESM212090N/AAllCardiovasc</v>
      </c>
      <c r="C789" s="33" t="s">
        <v>85</v>
      </c>
      <c r="D789" s="33" t="s">
        <v>0</v>
      </c>
      <c r="E789" s="34">
        <v>1</v>
      </c>
      <c r="F789" s="34">
        <v>2090</v>
      </c>
      <c r="G789" s="34" t="s">
        <v>201</v>
      </c>
      <c r="H789" s="35" t="s">
        <v>194</v>
      </c>
      <c r="I789" s="43" t="s">
        <v>363</v>
      </c>
      <c r="P789">
        <v>8.1138155403573323E-7</v>
      </c>
    </row>
    <row r="790" spans="1:16" hidden="1" x14ac:dyDescent="0.35">
      <c r="A790" s="3">
        <f xml:space="preserve"> ROW( data_scaledImpacts[[#This Row],[row_id]] ) - ROW( data_scaledImpacts[[#Headers],[row_id]] )</f>
        <v>789</v>
      </c>
      <c r="B790" s="41" t="str">
        <f xml:space="preserve"> _xlfn.TEXTJOIN( "", , data_scaledImpacts[[#This Row],[sector]:[impactType]] )</f>
        <v>SouthwestDustCCSM412090N/AAllCardiovasc</v>
      </c>
      <c r="C790" s="33" t="s">
        <v>85</v>
      </c>
      <c r="D790" s="33" t="s">
        <v>1</v>
      </c>
      <c r="E790" s="34">
        <v>1</v>
      </c>
      <c r="F790" s="34">
        <v>2090</v>
      </c>
      <c r="G790" s="34" t="s">
        <v>201</v>
      </c>
      <c r="H790" s="35" t="s">
        <v>194</v>
      </c>
      <c r="I790" s="43" t="s">
        <v>364</v>
      </c>
      <c r="P790">
        <v>2.4164114394533709E-6</v>
      </c>
    </row>
    <row r="791" spans="1:16" hidden="1" x14ac:dyDescent="0.35">
      <c r="A791" s="3">
        <f xml:space="preserve"> ROW( data_scaledImpacts[[#This Row],[row_id]] ) - ROW( data_scaledImpacts[[#Headers],[row_id]] )</f>
        <v>790</v>
      </c>
      <c r="B791" s="41" t="str">
        <f xml:space="preserve"> _xlfn.TEXTJOIN( "", , data_scaledImpacts[[#This Row],[sector]:[impactType]] )</f>
        <v>SouthwestDustGISS-E2-R12090N/AAllCardiovasc</v>
      </c>
      <c r="C791" s="33" t="s">
        <v>85</v>
      </c>
      <c r="D791" s="33" t="s">
        <v>2</v>
      </c>
      <c r="E791" s="34">
        <v>1</v>
      </c>
      <c r="F791" s="34">
        <v>2090</v>
      </c>
      <c r="G791" s="34" t="s">
        <v>201</v>
      </c>
      <c r="H791" s="35" t="s">
        <v>194</v>
      </c>
      <c r="I791" s="43" t="s">
        <v>365</v>
      </c>
      <c r="P791">
        <v>3.1581487143477244E-7</v>
      </c>
    </row>
    <row r="792" spans="1:16" hidden="1" x14ac:dyDescent="0.35">
      <c r="A792" s="3">
        <f xml:space="preserve"> ROW( data_scaledImpacts[[#This Row],[row_id]] ) - ROW( data_scaledImpacts[[#Headers],[row_id]] )</f>
        <v>791</v>
      </c>
      <c r="B792" s="41" t="str">
        <f xml:space="preserve"> _xlfn.TEXTJOIN( "", , data_scaledImpacts[[#This Row],[sector]:[impactType]] )</f>
        <v>SouthwestDustHadGEM2-ES12090N/AAllCardiovasc</v>
      </c>
      <c r="C792" s="33" t="s">
        <v>85</v>
      </c>
      <c r="D792" s="33" t="s">
        <v>3</v>
      </c>
      <c r="E792" s="34">
        <v>1</v>
      </c>
      <c r="F792" s="34">
        <v>2090</v>
      </c>
      <c r="G792" s="34" t="s">
        <v>201</v>
      </c>
      <c r="H792" s="35" t="s">
        <v>194</v>
      </c>
      <c r="I792" s="43" t="s">
        <v>366</v>
      </c>
      <c r="P792">
        <v>1.3921686584296953E-7</v>
      </c>
    </row>
    <row r="793" spans="1:16" hidden="1" x14ac:dyDescent="0.35">
      <c r="A793" s="3">
        <f xml:space="preserve"> ROW( data_scaledImpacts[[#This Row],[row_id]] ) - ROW( data_scaledImpacts[[#Headers],[row_id]] )</f>
        <v>792</v>
      </c>
      <c r="B793" s="41" t="str">
        <f xml:space="preserve"> _xlfn.TEXTJOIN( "", , data_scaledImpacts[[#This Row],[sector]:[impactType]] )</f>
        <v>SouthwestDustMIROC512090N/AAllCardiovasc</v>
      </c>
      <c r="C793" s="33" t="s">
        <v>85</v>
      </c>
      <c r="D793" s="33" t="s">
        <v>4</v>
      </c>
      <c r="E793" s="34">
        <v>1</v>
      </c>
      <c r="F793" s="34">
        <v>2090</v>
      </c>
      <c r="G793" s="34" t="s">
        <v>201</v>
      </c>
      <c r="H793" s="35" t="s">
        <v>194</v>
      </c>
      <c r="I793" s="43" t="s">
        <v>367</v>
      </c>
      <c r="P793">
        <v>1.1470253184689409E-6</v>
      </c>
    </row>
    <row r="794" spans="1:16" hidden="1" x14ac:dyDescent="0.35">
      <c r="A794" s="3">
        <f xml:space="preserve"> ROW( data_scaledImpacts[[#This Row],[row_id]] ) - ROW( data_scaledImpacts[[#Headers],[row_id]] )</f>
        <v>793</v>
      </c>
      <c r="B794" s="41" t="str">
        <f xml:space="preserve"> _xlfn.TEXTJOIN( "", , data_scaledImpacts[[#This Row],[sector]:[impactType]] )</f>
        <v>SouthwestDustGFDL-CM312090N/AAllCardiovasc</v>
      </c>
      <c r="C794" s="33" t="s">
        <v>85</v>
      </c>
      <c r="D794" s="33" t="s">
        <v>5</v>
      </c>
      <c r="E794" s="34">
        <v>1</v>
      </c>
      <c r="F794" s="34">
        <v>2090</v>
      </c>
      <c r="G794" s="34" t="s">
        <v>201</v>
      </c>
      <c r="H794" s="35" t="s">
        <v>194</v>
      </c>
      <c r="I794" s="43" t="s">
        <v>368</v>
      </c>
      <c r="P794">
        <v>2.4497412019722082E-6</v>
      </c>
    </row>
    <row r="795" spans="1:16" hidden="1" x14ac:dyDescent="0.35">
      <c r="A795" s="3">
        <f xml:space="preserve"> ROW( data_scaledImpacts[[#This Row],[row_id]] ) - ROW( data_scaledImpacts[[#Headers],[row_id]] )</f>
        <v>794</v>
      </c>
      <c r="B795" s="41" t="str">
        <f xml:space="preserve"> _xlfn.TEXTJOIN( "", , data_scaledImpacts[[#This Row],[sector]:[impactType]] )</f>
        <v>SouthwestDustGCM Average12090N/AAllCardiovasc</v>
      </c>
      <c r="C795" s="33" t="s">
        <v>85</v>
      </c>
      <c r="D795" s="33" t="s">
        <v>15</v>
      </c>
      <c r="E795" s="34">
        <v>1</v>
      </c>
      <c r="F795" s="34">
        <v>2090</v>
      </c>
      <c r="G795" s="34" t="s">
        <v>201</v>
      </c>
      <c r="H795" s="35" t="s">
        <v>194</v>
      </c>
      <c r="I795" s="43" t="s">
        <v>369</v>
      </c>
      <c r="P795">
        <v>1.2132652085346659E-6</v>
      </c>
    </row>
    <row r="796" spans="1:16" hidden="1" x14ac:dyDescent="0.35">
      <c r="A796" s="3">
        <f xml:space="preserve"> ROW( data_scaledImpacts[[#This Row],[row_id]] ) - ROW( data_scaledImpacts[[#Headers],[row_id]] )</f>
        <v>795</v>
      </c>
      <c r="B796" s="41" t="str">
        <f xml:space="preserve"> _xlfn.TEXTJOIN( "", , data_scaledImpacts[[#This Row],[sector]:[impactType]] )</f>
        <v>SouthwestDustCanESM222090N/AAllCardiovasc</v>
      </c>
      <c r="C796" s="33" t="s">
        <v>85</v>
      </c>
      <c r="D796" s="33" t="s">
        <v>0</v>
      </c>
      <c r="E796" s="34">
        <v>2</v>
      </c>
      <c r="F796" s="34">
        <v>2090</v>
      </c>
      <c r="G796" s="34" t="s">
        <v>201</v>
      </c>
      <c r="H796" s="35" t="s">
        <v>194</v>
      </c>
      <c r="I796" s="43" t="s">
        <v>370</v>
      </c>
      <c r="P796">
        <v>2.2037260815283383E-6</v>
      </c>
    </row>
    <row r="797" spans="1:16" hidden="1" x14ac:dyDescent="0.35">
      <c r="A797" s="3">
        <f xml:space="preserve"> ROW( data_scaledImpacts[[#This Row],[row_id]] ) - ROW( data_scaledImpacts[[#Headers],[row_id]] )</f>
        <v>796</v>
      </c>
      <c r="B797" s="41" t="str">
        <f xml:space="preserve"> _xlfn.TEXTJOIN( "", , data_scaledImpacts[[#This Row],[sector]:[impactType]] )</f>
        <v>SouthwestDustCCSM422090N/AAllCardiovasc</v>
      </c>
      <c r="C797" s="33" t="s">
        <v>85</v>
      </c>
      <c r="D797" s="33" t="s">
        <v>1</v>
      </c>
      <c r="E797" s="34">
        <v>2</v>
      </c>
      <c r="F797" s="34">
        <v>2090</v>
      </c>
      <c r="G797" s="34" t="s">
        <v>201</v>
      </c>
      <c r="H797" s="35" t="s">
        <v>194</v>
      </c>
      <c r="I797" s="43" t="s">
        <v>371</v>
      </c>
      <c r="P797">
        <v>3.3001621009433621E-6</v>
      </c>
    </row>
    <row r="798" spans="1:16" hidden="1" x14ac:dyDescent="0.35">
      <c r="A798" s="3">
        <f xml:space="preserve"> ROW( data_scaledImpacts[[#This Row],[row_id]] ) - ROW( data_scaledImpacts[[#Headers],[row_id]] )</f>
        <v>797</v>
      </c>
      <c r="B798" s="41" t="str">
        <f xml:space="preserve"> _xlfn.TEXTJOIN( "", , data_scaledImpacts[[#This Row],[sector]:[impactType]] )</f>
        <v>SouthwestDustGISS-E2-R22090N/AAllCardiovasc</v>
      </c>
      <c r="C798" s="33" t="s">
        <v>85</v>
      </c>
      <c r="D798" s="33" t="s">
        <v>2</v>
      </c>
      <c r="E798" s="34">
        <v>2</v>
      </c>
      <c r="F798" s="34">
        <v>2090</v>
      </c>
      <c r="G798" s="34" t="s">
        <v>201</v>
      </c>
      <c r="H798" s="35" t="s">
        <v>194</v>
      </c>
      <c r="I798" s="43" t="s">
        <v>372</v>
      </c>
      <c r="P798">
        <v>1.5549109379368651E-6</v>
      </c>
    </row>
    <row r="799" spans="1:16" hidden="1" x14ac:dyDescent="0.35">
      <c r="A799" s="3">
        <f xml:space="preserve"> ROW( data_scaledImpacts[[#This Row],[row_id]] ) - ROW( data_scaledImpacts[[#Headers],[row_id]] )</f>
        <v>798</v>
      </c>
      <c r="B799" s="41" t="str">
        <f xml:space="preserve"> _xlfn.TEXTJOIN( "", , data_scaledImpacts[[#This Row],[sector]:[impactType]] )</f>
        <v>SouthwestDustHadGEM2-ES22090N/AAllCardiovasc</v>
      </c>
      <c r="C799" s="33" t="s">
        <v>85</v>
      </c>
      <c r="D799" s="33" t="s">
        <v>3</v>
      </c>
      <c r="E799" s="34">
        <v>2</v>
      </c>
      <c r="F799" s="34">
        <v>2090</v>
      </c>
      <c r="G799" s="34" t="s">
        <v>201</v>
      </c>
      <c r="H799" s="35" t="s">
        <v>194</v>
      </c>
      <c r="I799" s="43" t="s">
        <v>373</v>
      </c>
      <c r="P799">
        <v>3.1649938726194161E-6</v>
      </c>
    </row>
    <row r="800" spans="1:16" hidden="1" x14ac:dyDescent="0.35">
      <c r="A800" s="3">
        <f xml:space="preserve"> ROW( data_scaledImpacts[[#This Row],[row_id]] ) - ROW( data_scaledImpacts[[#Headers],[row_id]] )</f>
        <v>799</v>
      </c>
      <c r="B800" s="41" t="str">
        <f xml:space="preserve"> _xlfn.TEXTJOIN( "", , data_scaledImpacts[[#This Row],[sector]:[impactType]] )</f>
        <v>SouthwestDustMIROC522090N/AAllCardiovasc</v>
      </c>
      <c r="C800" s="33" t="s">
        <v>85</v>
      </c>
      <c r="D800" s="33" t="s">
        <v>4</v>
      </c>
      <c r="E800" s="34">
        <v>2</v>
      </c>
      <c r="F800" s="34">
        <v>2090</v>
      </c>
      <c r="G800" s="34" t="s">
        <v>201</v>
      </c>
      <c r="H800" s="35" t="s">
        <v>194</v>
      </c>
      <c r="I800" s="43" t="s">
        <v>374</v>
      </c>
      <c r="P800">
        <v>2.3024568864584012E-6</v>
      </c>
    </row>
    <row r="801" spans="1:16" hidden="1" x14ac:dyDescent="0.35">
      <c r="A801" s="3">
        <f xml:space="preserve"> ROW( data_scaledImpacts[[#This Row],[row_id]] ) - ROW( data_scaledImpacts[[#Headers],[row_id]] )</f>
        <v>800</v>
      </c>
      <c r="B801" s="41" t="str">
        <f xml:space="preserve"> _xlfn.TEXTJOIN( "", , data_scaledImpacts[[#This Row],[sector]:[impactType]] )</f>
        <v>SouthwestDustGFDL-CM322090N/AAllCardiovasc</v>
      </c>
      <c r="C801" s="33" t="s">
        <v>85</v>
      </c>
      <c r="D801" s="33" t="s">
        <v>5</v>
      </c>
      <c r="E801" s="34">
        <v>2</v>
      </c>
      <c r="F801" s="34">
        <v>2090</v>
      </c>
      <c r="G801" s="34" t="s">
        <v>201</v>
      </c>
      <c r="H801" s="35" t="s">
        <v>194</v>
      </c>
      <c r="I801" s="43" t="s">
        <v>375</v>
      </c>
      <c r="P801">
        <v>3.4784498209310894E-6</v>
      </c>
    </row>
    <row r="802" spans="1:16" hidden="1" x14ac:dyDescent="0.35">
      <c r="A802" s="3">
        <f xml:space="preserve"> ROW( data_scaledImpacts[[#This Row],[row_id]] ) - ROW( data_scaledImpacts[[#Headers],[row_id]] )</f>
        <v>801</v>
      </c>
      <c r="B802" s="41" t="str">
        <f xml:space="preserve"> _xlfn.TEXTJOIN( "", , data_scaledImpacts[[#This Row],[sector]:[impactType]] )</f>
        <v>SouthwestDustGCM Average22090N/AAllCardiovasc</v>
      </c>
      <c r="C802" s="33" t="s">
        <v>85</v>
      </c>
      <c r="D802" s="33" t="s">
        <v>15</v>
      </c>
      <c r="E802" s="34">
        <v>2</v>
      </c>
      <c r="F802" s="34">
        <v>2090</v>
      </c>
      <c r="G802" s="34" t="s">
        <v>201</v>
      </c>
      <c r="H802" s="35" t="s">
        <v>194</v>
      </c>
      <c r="I802" s="43" t="s">
        <v>376</v>
      </c>
      <c r="P802">
        <v>2.6674499500695785E-6</v>
      </c>
    </row>
    <row r="803" spans="1:16" hidden="1" x14ac:dyDescent="0.35">
      <c r="A803" s="3">
        <f xml:space="preserve"> ROW( data_scaledImpacts[[#This Row],[row_id]] ) - ROW( data_scaledImpacts[[#Headers],[row_id]] )</f>
        <v>802</v>
      </c>
      <c r="B803" s="41" t="str">
        <f xml:space="preserve"> _xlfn.TEXTJOIN( "", , data_scaledImpacts[[#This Row],[sector]:[impactType]] )</f>
        <v>SouthwestDustCanESM232090N/AAllCardiovasc</v>
      </c>
      <c r="C803" s="33" t="s">
        <v>85</v>
      </c>
      <c r="D803" s="33" t="s">
        <v>0</v>
      </c>
      <c r="E803" s="34">
        <v>3</v>
      </c>
      <c r="F803" s="34">
        <v>2090</v>
      </c>
      <c r="G803" s="34" t="s">
        <v>201</v>
      </c>
      <c r="H803" s="35" t="s">
        <v>194</v>
      </c>
      <c r="I803" s="43" t="s">
        <v>377</v>
      </c>
      <c r="P803">
        <v>3.0649769019973536E-6</v>
      </c>
    </row>
    <row r="804" spans="1:16" hidden="1" x14ac:dyDescent="0.35">
      <c r="A804" s="3">
        <f xml:space="preserve"> ROW( data_scaledImpacts[[#This Row],[row_id]] ) - ROW( data_scaledImpacts[[#Headers],[row_id]] )</f>
        <v>803</v>
      </c>
      <c r="B804" s="41" t="str">
        <f xml:space="preserve"> _xlfn.TEXTJOIN( "", , data_scaledImpacts[[#This Row],[sector]:[impactType]] )</f>
        <v>SouthwestDustCCSM432090N/AAllCardiovasc</v>
      </c>
      <c r="C804" s="33" t="s">
        <v>85</v>
      </c>
      <c r="D804" s="33" t="s">
        <v>1</v>
      </c>
      <c r="E804" s="34">
        <v>3</v>
      </c>
      <c r="F804" s="34">
        <v>2090</v>
      </c>
      <c r="G804" s="34" t="s">
        <v>201</v>
      </c>
      <c r="H804" s="35" t="s">
        <v>194</v>
      </c>
      <c r="I804" s="43" t="s">
        <v>378</v>
      </c>
      <c r="P804">
        <v>3.63286049012278E-6</v>
      </c>
    </row>
    <row r="805" spans="1:16" hidden="1" x14ac:dyDescent="0.35">
      <c r="A805" s="3">
        <f xml:space="preserve"> ROW( data_scaledImpacts[[#This Row],[row_id]] ) - ROW( data_scaledImpacts[[#Headers],[row_id]] )</f>
        <v>804</v>
      </c>
      <c r="B805" s="41" t="str">
        <f xml:space="preserve"> _xlfn.TEXTJOIN( "", , data_scaledImpacts[[#This Row],[sector]:[impactType]] )</f>
        <v>SouthwestDustGISS-E2-R32090N/AAllCardiovasc</v>
      </c>
      <c r="C805" s="33" t="s">
        <v>85</v>
      </c>
      <c r="D805" s="33" t="s">
        <v>2</v>
      </c>
      <c r="E805" s="34">
        <v>3</v>
      </c>
      <c r="F805" s="34">
        <v>2090</v>
      </c>
      <c r="G805" s="34" t="s">
        <v>201</v>
      </c>
      <c r="H805" s="35" t="s">
        <v>194</v>
      </c>
      <c r="I805" s="43" t="s">
        <v>379</v>
      </c>
      <c r="P805">
        <v>4.0255331944594236E-6</v>
      </c>
    </row>
    <row r="806" spans="1:16" hidden="1" x14ac:dyDescent="0.35">
      <c r="A806" s="3">
        <f xml:space="preserve"> ROW( data_scaledImpacts[[#This Row],[row_id]] ) - ROW( data_scaledImpacts[[#Headers],[row_id]] )</f>
        <v>805</v>
      </c>
      <c r="B806" s="41" t="str">
        <f xml:space="preserve"> _xlfn.TEXTJOIN( "", , data_scaledImpacts[[#This Row],[sector]:[impactType]] )</f>
        <v>SouthwestDustHadGEM2-ES32090N/AAllCardiovasc</v>
      </c>
      <c r="C806" s="33" t="s">
        <v>85</v>
      </c>
      <c r="D806" s="33" t="s">
        <v>3</v>
      </c>
      <c r="E806" s="34">
        <v>3</v>
      </c>
      <c r="F806" s="34">
        <v>2090</v>
      </c>
      <c r="G806" s="34" t="s">
        <v>201</v>
      </c>
      <c r="H806" s="35" t="s">
        <v>194</v>
      </c>
      <c r="I806" s="43" t="s">
        <v>380</v>
      </c>
      <c r="P806">
        <v>3.8825133589629351E-6</v>
      </c>
    </row>
    <row r="807" spans="1:16" hidden="1" x14ac:dyDescent="0.35">
      <c r="A807" s="3">
        <f xml:space="preserve"> ROW( data_scaledImpacts[[#This Row],[row_id]] ) - ROW( data_scaledImpacts[[#Headers],[row_id]] )</f>
        <v>806</v>
      </c>
      <c r="B807" s="41" t="str">
        <f xml:space="preserve"> _xlfn.TEXTJOIN( "", , data_scaledImpacts[[#This Row],[sector]:[impactType]] )</f>
        <v>SouthwestDustMIROC532090N/AAllCardiovasc</v>
      </c>
      <c r="C807" s="33" t="s">
        <v>85</v>
      </c>
      <c r="D807" s="33" t="s">
        <v>4</v>
      </c>
      <c r="E807" s="34">
        <v>3</v>
      </c>
      <c r="F807" s="34">
        <v>2090</v>
      </c>
      <c r="G807" s="34" t="s">
        <v>201</v>
      </c>
      <c r="H807" s="35" t="s">
        <v>194</v>
      </c>
      <c r="I807" s="43" t="s">
        <v>381</v>
      </c>
      <c r="P807">
        <v>4.5094815557456244E-6</v>
      </c>
    </row>
    <row r="808" spans="1:16" hidden="1" x14ac:dyDescent="0.35">
      <c r="A808" s="3">
        <f xml:space="preserve"> ROW( data_scaledImpacts[[#This Row],[row_id]] ) - ROW( data_scaledImpacts[[#Headers],[row_id]] )</f>
        <v>807</v>
      </c>
      <c r="B808" s="41" t="str">
        <f xml:space="preserve"> _xlfn.TEXTJOIN( "", , data_scaledImpacts[[#This Row],[sector]:[impactType]] )</f>
        <v>SouthwestDustGFDL-CM332090N/AAllCardiovasc</v>
      </c>
      <c r="C808" s="33" t="s">
        <v>85</v>
      </c>
      <c r="D808" s="33" t="s">
        <v>5</v>
      </c>
      <c r="E808" s="34">
        <v>3</v>
      </c>
      <c r="F808" s="34">
        <v>2090</v>
      </c>
      <c r="G808" s="34" t="s">
        <v>201</v>
      </c>
      <c r="H808" s="35" t="s">
        <v>194</v>
      </c>
      <c r="I808" s="43" t="s">
        <v>382</v>
      </c>
      <c r="P808">
        <v>5.157744465562748E-6</v>
      </c>
    </row>
    <row r="809" spans="1:16" hidden="1" x14ac:dyDescent="0.35">
      <c r="A809" s="3">
        <f xml:space="preserve"> ROW( data_scaledImpacts[[#This Row],[row_id]] ) - ROW( data_scaledImpacts[[#Headers],[row_id]] )</f>
        <v>808</v>
      </c>
      <c r="B809" s="41" t="str">
        <f xml:space="preserve"> _xlfn.TEXTJOIN( "", , data_scaledImpacts[[#This Row],[sector]:[impactType]] )</f>
        <v>SouthwestDustGCM Average32090N/AAllCardiovasc</v>
      </c>
      <c r="C809" s="33" t="s">
        <v>85</v>
      </c>
      <c r="D809" s="33" t="s">
        <v>15</v>
      </c>
      <c r="E809" s="34">
        <v>3</v>
      </c>
      <c r="F809" s="34">
        <v>2090</v>
      </c>
      <c r="G809" s="34" t="s">
        <v>201</v>
      </c>
      <c r="H809" s="35" t="s">
        <v>194</v>
      </c>
      <c r="I809" s="43" t="s">
        <v>383</v>
      </c>
      <c r="P809">
        <v>4.0455183278084774E-6</v>
      </c>
    </row>
    <row r="810" spans="1:16" hidden="1" x14ac:dyDescent="0.35">
      <c r="A810" s="3">
        <f xml:space="preserve"> ROW( data_scaledImpacts[[#This Row],[row_id]] ) - ROW( data_scaledImpacts[[#Headers],[row_id]] )</f>
        <v>809</v>
      </c>
      <c r="B810" s="41" t="str">
        <f xml:space="preserve"> _xlfn.TEXTJOIN( "", , data_scaledImpacts[[#This Row],[sector]:[impactType]] )</f>
        <v>SouthwestDustCanESM242090N/AAllCardiovasc</v>
      </c>
      <c r="C810" s="33" t="s">
        <v>85</v>
      </c>
      <c r="D810" s="33" t="s">
        <v>0</v>
      </c>
      <c r="E810" s="34">
        <v>4</v>
      </c>
      <c r="F810" s="34">
        <v>2090</v>
      </c>
      <c r="G810" s="34" t="s">
        <v>201</v>
      </c>
      <c r="H810" s="35" t="s">
        <v>194</v>
      </c>
      <c r="I810" s="43" t="s">
        <v>384</v>
      </c>
      <c r="P810">
        <v>2.9486296706335136E-6</v>
      </c>
    </row>
    <row r="811" spans="1:16" hidden="1" x14ac:dyDescent="0.35">
      <c r="A811" s="3">
        <f xml:space="preserve"> ROW( data_scaledImpacts[[#This Row],[row_id]] ) - ROW( data_scaledImpacts[[#Headers],[row_id]] )</f>
        <v>810</v>
      </c>
      <c r="B811" s="41" t="str">
        <f xml:space="preserve"> _xlfn.TEXTJOIN( "", , data_scaledImpacts[[#This Row],[sector]:[impactType]] )</f>
        <v>SouthwestDustCCSM442090N/AAllCardiovasc</v>
      </c>
      <c r="C811" s="33" t="s">
        <v>85</v>
      </c>
      <c r="D811" s="33" t="s">
        <v>1</v>
      </c>
      <c r="E811" s="34">
        <v>4</v>
      </c>
      <c r="F811" s="34">
        <v>2090</v>
      </c>
      <c r="G811" s="34" t="s">
        <v>201</v>
      </c>
      <c r="H811" s="35" t="s">
        <v>194</v>
      </c>
      <c r="I811" s="43" t="s">
        <v>385</v>
      </c>
      <c r="P811">
        <v>4.9258801388310294E-6</v>
      </c>
    </row>
    <row r="812" spans="1:16" hidden="1" x14ac:dyDescent="0.35">
      <c r="A812" s="3">
        <f xml:space="preserve"> ROW( data_scaledImpacts[[#This Row],[row_id]] ) - ROW( data_scaledImpacts[[#Headers],[row_id]] )</f>
        <v>811</v>
      </c>
      <c r="B812" s="41" t="str">
        <f xml:space="preserve"> _xlfn.TEXTJOIN( "", , data_scaledImpacts[[#This Row],[sector]:[impactType]] )</f>
        <v>SouthwestDustGISS-E2-R42090N/AAllCardiovasc</v>
      </c>
      <c r="C812" s="33" t="s">
        <v>85</v>
      </c>
      <c r="D812" s="33" t="s">
        <v>2</v>
      </c>
      <c r="E812" s="34">
        <v>4</v>
      </c>
      <c r="F812" s="34">
        <v>2090</v>
      </c>
      <c r="G812" s="34" t="s">
        <v>201</v>
      </c>
      <c r="H812" s="35" t="s">
        <v>194</v>
      </c>
      <c r="I812" s="43" t="s">
        <v>386</v>
      </c>
    </row>
    <row r="813" spans="1:16" hidden="1" x14ac:dyDescent="0.35">
      <c r="A813" s="3">
        <f xml:space="preserve"> ROW( data_scaledImpacts[[#This Row],[row_id]] ) - ROW( data_scaledImpacts[[#Headers],[row_id]] )</f>
        <v>812</v>
      </c>
      <c r="B813" s="41" t="str">
        <f xml:space="preserve"> _xlfn.TEXTJOIN( "", , data_scaledImpacts[[#This Row],[sector]:[impactType]] )</f>
        <v>SouthwestDustHadGEM2-ES42090N/AAllCardiovasc</v>
      </c>
      <c r="C813" s="33" t="s">
        <v>85</v>
      </c>
      <c r="D813" s="33" t="s">
        <v>3</v>
      </c>
      <c r="E813" s="34">
        <v>4</v>
      </c>
      <c r="F813" s="34">
        <v>2090</v>
      </c>
      <c r="G813" s="34" t="s">
        <v>201</v>
      </c>
      <c r="H813" s="35" t="s">
        <v>194</v>
      </c>
      <c r="I813" s="43" t="s">
        <v>387</v>
      </c>
      <c r="P813">
        <v>3.9515174013617975E-6</v>
      </c>
    </row>
    <row r="814" spans="1:16" hidden="1" x14ac:dyDescent="0.35">
      <c r="A814" s="3">
        <f xml:space="preserve"> ROW( data_scaledImpacts[[#This Row],[row_id]] ) - ROW( data_scaledImpacts[[#Headers],[row_id]] )</f>
        <v>813</v>
      </c>
      <c r="B814" s="41" t="str">
        <f xml:space="preserve"> _xlfn.TEXTJOIN( "", , data_scaledImpacts[[#This Row],[sector]:[impactType]] )</f>
        <v>SouthwestDustMIROC542090N/AAllCardiovasc</v>
      </c>
      <c r="C814" s="33" t="s">
        <v>85</v>
      </c>
      <c r="D814" s="33" t="s">
        <v>4</v>
      </c>
      <c r="E814" s="34">
        <v>4</v>
      </c>
      <c r="F814" s="34">
        <v>2090</v>
      </c>
      <c r="G814" s="34" t="s">
        <v>201</v>
      </c>
      <c r="H814" s="35" t="s">
        <v>194</v>
      </c>
      <c r="I814" s="43" t="s">
        <v>388</v>
      </c>
      <c r="P814">
        <v>5.5674483753988721E-6</v>
      </c>
    </row>
    <row r="815" spans="1:16" hidden="1" x14ac:dyDescent="0.35">
      <c r="A815" s="3">
        <f xml:space="preserve"> ROW( data_scaledImpacts[[#This Row],[row_id]] ) - ROW( data_scaledImpacts[[#Headers],[row_id]] )</f>
        <v>814</v>
      </c>
      <c r="B815" s="41" t="str">
        <f xml:space="preserve"> _xlfn.TEXTJOIN( "", , data_scaledImpacts[[#This Row],[sector]:[impactType]] )</f>
        <v>SouthwestDustGFDL-CM342090N/AAllCardiovasc</v>
      </c>
      <c r="C815" s="33" t="s">
        <v>85</v>
      </c>
      <c r="D815" s="33" t="s">
        <v>5</v>
      </c>
      <c r="E815" s="34">
        <v>4</v>
      </c>
      <c r="F815" s="34">
        <v>2090</v>
      </c>
      <c r="G815" s="34" t="s">
        <v>201</v>
      </c>
      <c r="H815" s="35" t="s">
        <v>194</v>
      </c>
      <c r="I815" s="43" t="s">
        <v>389</v>
      </c>
      <c r="P815">
        <v>7.0358588007717473E-6</v>
      </c>
    </row>
    <row r="816" spans="1:16" hidden="1" x14ac:dyDescent="0.35">
      <c r="A816" s="3">
        <f xml:space="preserve"> ROW( data_scaledImpacts[[#This Row],[row_id]] ) - ROW( data_scaledImpacts[[#Headers],[row_id]] )</f>
        <v>815</v>
      </c>
      <c r="B816" s="41" t="str">
        <f xml:space="preserve"> _xlfn.TEXTJOIN( "", , data_scaledImpacts[[#This Row],[sector]:[impactType]] )</f>
        <v>SouthwestDustGCM Average42090N/AAllCardiovasc</v>
      </c>
      <c r="C816" s="33" t="s">
        <v>85</v>
      </c>
      <c r="D816" s="33" t="s">
        <v>15</v>
      </c>
      <c r="E816" s="34">
        <v>4</v>
      </c>
      <c r="F816" s="34">
        <v>2090</v>
      </c>
      <c r="G816" s="34" t="s">
        <v>201</v>
      </c>
      <c r="H816" s="35" t="s">
        <v>194</v>
      </c>
      <c r="I816" s="43" t="s">
        <v>390</v>
      </c>
      <c r="P816">
        <v>4.8858668773993922E-6</v>
      </c>
    </row>
    <row r="817" spans="1:16" hidden="1" x14ac:dyDescent="0.35">
      <c r="A817" s="3">
        <f xml:space="preserve"> ROW( data_scaledImpacts[[#This Row],[row_id]] ) - ROW( data_scaledImpacts[[#Headers],[row_id]] )</f>
        <v>816</v>
      </c>
      <c r="B817" s="41" t="str">
        <f xml:space="preserve"> _xlfn.TEXTJOIN( "", , data_scaledImpacts[[#This Row],[sector]:[impactType]] )</f>
        <v>SouthwestDustCanESM252090N/AAllCardiovasc</v>
      </c>
      <c r="C817" s="33" t="s">
        <v>85</v>
      </c>
      <c r="D817" s="33" t="s">
        <v>0</v>
      </c>
      <c r="E817" s="34">
        <v>5</v>
      </c>
      <c r="F817" s="34">
        <v>2090</v>
      </c>
      <c r="G817" s="34" t="s">
        <v>201</v>
      </c>
      <c r="H817" s="35" t="s">
        <v>194</v>
      </c>
      <c r="I817" s="43" t="s">
        <v>391</v>
      </c>
      <c r="P817">
        <v>3.6808007129959833E-6</v>
      </c>
    </row>
    <row r="818" spans="1:16" hidden="1" x14ac:dyDescent="0.35">
      <c r="A818" s="3">
        <f xml:space="preserve"> ROW( data_scaledImpacts[[#This Row],[row_id]] ) - ROW( data_scaledImpacts[[#Headers],[row_id]] )</f>
        <v>817</v>
      </c>
      <c r="B818" s="41" t="str">
        <f xml:space="preserve"> _xlfn.TEXTJOIN( "", , data_scaledImpacts[[#This Row],[sector]:[impactType]] )</f>
        <v>SouthwestDustCCSM452090N/AAllCardiovasc</v>
      </c>
      <c r="C818" s="33" t="s">
        <v>85</v>
      </c>
      <c r="D818" s="33" t="s">
        <v>1</v>
      </c>
      <c r="E818" s="34">
        <v>5</v>
      </c>
      <c r="F818" s="34">
        <v>2090</v>
      </c>
      <c r="G818" s="34" t="s">
        <v>201</v>
      </c>
      <c r="H818" s="35" t="s">
        <v>194</v>
      </c>
      <c r="I818" s="43" t="s">
        <v>392</v>
      </c>
      <c r="P818">
        <v>7.7029691174757304E-6</v>
      </c>
    </row>
    <row r="819" spans="1:16" hidden="1" x14ac:dyDescent="0.35">
      <c r="A819" s="3">
        <f xml:space="preserve"> ROW( data_scaledImpacts[[#This Row],[row_id]] ) - ROW( data_scaledImpacts[[#Headers],[row_id]] )</f>
        <v>818</v>
      </c>
      <c r="B819" s="41" t="str">
        <f xml:space="preserve"> _xlfn.TEXTJOIN( "", , data_scaledImpacts[[#This Row],[sector]:[impactType]] )</f>
        <v>SouthwestDustGISS-E2-R52090N/AAllCardiovasc</v>
      </c>
      <c r="C819" s="33" t="s">
        <v>85</v>
      </c>
      <c r="D819" s="33" t="s">
        <v>2</v>
      </c>
      <c r="E819" s="34">
        <v>5</v>
      </c>
      <c r="F819" s="34">
        <v>2090</v>
      </c>
      <c r="G819" s="34" t="s">
        <v>201</v>
      </c>
      <c r="H819" s="35" t="s">
        <v>194</v>
      </c>
      <c r="I819" s="43" t="s">
        <v>393</v>
      </c>
    </row>
    <row r="820" spans="1:16" hidden="1" x14ac:dyDescent="0.35">
      <c r="A820" s="3">
        <f xml:space="preserve"> ROW( data_scaledImpacts[[#This Row],[row_id]] ) - ROW( data_scaledImpacts[[#Headers],[row_id]] )</f>
        <v>819</v>
      </c>
      <c r="B820" s="41" t="str">
        <f xml:space="preserve"> _xlfn.TEXTJOIN( "", , data_scaledImpacts[[#This Row],[sector]:[impactType]] )</f>
        <v>SouthwestDustHadGEM2-ES52090N/AAllCardiovasc</v>
      </c>
      <c r="C820" s="33" t="s">
        <v>85</v>
      </c>
      <c r="D820" s="33" t="s">
        <v>3</v>
      </c>
      <c r="E820" s="34">
        <v>5</v>
      </c>
      <c r="F820" s="34">
        <v>2090</v>
      </c>
      <c r="G820" s="34" t="s">
        <v>201</v>
      </c>
      <c r="H820" s="35" t="s">
        <v>194</v>
      </c>
      <c r="I820" s="43" t="s">
        <v>394</v>
      </c>
      <c r="P820">
        <v>6.4912461068538871E-6</v>
      </c>
    </row>
    <row r="821" spans="1:16" hidden="1" x14ac:dyDescent="0.35">
      <c r="A821" s="3">
        <f xml:space="preserve"> ROW( data_scaledImpacts[[#This Row],[row_id]] ) - ROW( data_scaledImpacts[[#Headers],[row_id]] )</f>
        <v>820</v>
      </c>
      <c r="B821" s="41" t="str">
        <f xml:space="preserve"> _xlfn.TEXTJOIN( "", , data_scaledImpacts[[#This Row],[sector]:[impactType]] )</f>
        <v>SouthwestDustMIROC552090N/AAllCardiovasc</v>
      </c>
      <c r="C821" s="33" t="s">
        <v>85</v>
      </c>
      <c r="D821" s="33" t="s">
        <v>4</v>
      </c>
      <c r="E821" s="34">
        <v>5</v>
      </c>
      <c r="F821" s="34">
        <v>2090</v>
      </c>
      <c r="G821" s="34" t="s">
        <v>201</v>
      </c>
      <c r="H821" s="35" t="s">
        <v>194</v>
      </c>
      <c r="I821" s="43" t="s">
        <v>395</v>
      </c>
      <c r="P821">
        <v>7.0014116239565373E-6</v>
      </c>
    </row>
    <row r="822" spans="1:16" hidden="1" x14ac:dyDescent="0.35">
      <c r="A822" s="3">
        <f xml:space="preserve"> ROW( data_scaledImpacts[[#This Row],[row_id]] ) - ROW( data_scaledImpacts[[#Headers],[row_id]] )</f>
        <v>821</v>
      </c>
      <c r="B822" s="41" t="str">
        <f xml:space="preserve"> _xlfn.TEXTJOIN( "", , data_scaledImpacts[[#This Row],[sector]:[impactType]] )</f>
        <v>SouthwestDustGFDL-CM352090N/AAllCardiovasc</v>
      </c>
      <c r="C822" s="33" t="s">
        <v>85</v>
      </c>
      <c r="D822" s="33" t="s">
        <v>5</v>
      </c>
      <c r="E822" s="34">
        <v>5</v>
      </c>
      <c r="F822" s="34">
        <v>2090</v>
      </c>
      <c r="G822" s="34" t="s">
        <v>201</v>
      </c>
      <c r="H822" s="35" t="s">
        <v>194</v>
      </c>
      <c r="I822" s="43" t="s">
        <v>396</v>
      </c>
      <c r="P822">
        <v>8.7553443733250902E-6</v>
      </c>
    </row>
    <row r="823" spans="1:16" hidden="1" x14ac:dyDescent="0.35">
      <c r="A823" s="3">
        <f xml:space="preserve"> ROW( data_scaledImpacts[[#This Row],[row_id]] ) - ROW( data_scaledImpacts[[#Headers],[row_id]] )</f>
        <v>822</v>
      </c>
      <c r="B823" s="41" t="str">
        <f xml:space="preserve"> _xlfn.TEXTJOIN( "", , data_scaledImpacts[[#This Row],[sector]:[impactType]] )</f>
        <v>SouthwestDustGCM Average52090N/AAllCardiovasc</v>
      </c>
      <c r="C823" s="33" t="s">
        <v>85</v>
      </c>
      <c r="D823" s="33" t="s">
        <v>15</v>
      </c>
      <c r="E823" s="34">
        <v>5</v>
      </c>
      <c r="F823" s="34">
        <v>2090</v>
      </c>
      <c r="G823" s="34" t="s">
        <v>201</v>
      </c>
      <c r="H823" s="35" t="s">
        <v>194</v>
      </c>
      <c r="I823" s="43" t="s">
        <v>397</v>
      </c>
      <c r="P823">
        <v>6.7263543869214456E-6</v>
      </c>
    </row>
    <row r="824" spans="1:16" hidden="1" x14ac:dyDescent="0.35">
      <c r="A824" s="3">
        <f xml:space="preserve"> ROW( data_scaledImpacts[[#This Row],[row_id]] ) - ROW( data_scaledImpacts[[#Headers],[row_id]] )</f>
        <v>823</v>
      </c>
      <c r="B824" s="41" t="str">
        <f xml:space="preserve"> _xlfn.TEXTJOIN( "", , data_scaledImpacts[[#This Row],[sector]:[impactType]] )</f>
        <v>SouthwestDustCanESM262090N/AAllCardiovasc</v>
      </c>
      <c r="C824" s="33" t="s">
        <v>85</v>
      </c>
      <c r="D824" s="33" t="s">
        <v>0</v>
      </c>
      <c r="E824" s="34">
        <v>6</v>
      </c>
      <c r="F824" s="34">
        <v>2090</v>
      </c>
      <c r="G824" s="34" t="s">
        <v>201</v>
      </c>
      <c r="H824" s="35" t="s">
        <v>194</v>
      </c>
      <c r="I824" s="43" t="s">
        <v>398</v>
      </c>
      <c r="P824">
        <v>4.7088708045521337E-6</v>
      </c>
    </row>
    <row r="825" spans="1:16" hidden="1" x14ac:dyDescent="0.35">
      <c r="A825" s="3">
        <f xml:space="preserve"> ROW( data_scaledImpacts[[#This Row],[row_id]] ) - ROW( data_scaledImpacts[[#Headers],[row_id]] )</f>
        <v>824</v>
      </c>
      <c r="B825" s="41" t="str">
        <f xml:space="preserve"> _xlfn.TEXTJOIN( "", , data_scaledImpacts[[#This Row],[sector]:[impactType]] )</f>
        <v>SouthwestDustCCSM462090N/AAllCardiovasc</v>
      </c>
      <c r="C825" s="33" t="s">
        <v>85</v>
      </c>
      <c r="D825" s="33" t="s">
        <v>1</v>
      </c>
      <c r="E825" s="34">
        <v>6</v>
      </c>
      <c r="F825" s="34">
        <v>2090</v>
      </c>
      <c r="G825" s="34" t="s">
        <v>201</v>
      </c>
      <c r="H825" s="35" t="s">
        <v>194</v>
      </c>
      <c r="I825" s="43" t="s">
        <v>399</v>
      </c>
    </row>
    <row r="826" spans="1:16" hidden="1" x14ac:dyDescent="0.35">
      <c r="A826" s="3">
        <f xml:space="preserve"> ROW( data_scaledImpacts[[#This Row],[row_id]] ) - ROW( data_scaledImpacts[[#Headers],[row_id]] )</f>
        <v>825</v>
      </c>
      <c r="B826" s="41" t="str">
        <f xml:space="preserve"> _xlfn.TEXTJOIN( "", , data_scaledImpacts[[#This Row],[sector]:[impactType]] )</f>
        <v>SouthwestDustGISS-E2-R62090N/AAllCardiovasc</v>
      </c>
      <c r="C826" s="33" t="s">
        <v>85</v>
      </c>
      <c r="D826" s="33" t="s">
        <v>2</v>
      </c>
      <c r="E826" s="34">
        <v>6</v>
      </c>
      <c r="F826" s="34">
        <v>2090</v>
      </c>
      <c r="G826" s="34" t="s">
        <v>201</v>
      </c>
      <c r="H826" s="35" t="s">
        <v>194</v>
      </c>
      <c r="I826" s="43" t="s">
        <v>400</v>
      </c>
    </row>
    <row r="827" spans="1:16" hidden="1" x14ac:dyDescent="0.35">
      <c r="A827" s="3">
        <f xml:space="preserve"> ROW( data_scaledImpacts[[#This Row],[row_id]] ) - ROW( data_scaledImpacts[[#Headers],[row_id]] )</f>
        <v>826</v>
      </c>
      <c r="B827" s="41" t="str">
        <f xml:space="preserve"> _xlfn.TEXTJOIN( "", , data_scaledImpacts[[#This Row],[sector]:[impactType]] )</f>
        <v>SouthwestDustHadGEM2-ES62090N/AAllCardiovasc</v>
      </c>
      <c r="C827" s="33" t="s">
        <v>85</v>
      </c>
      <c r="D827" s="33" t="s">
        <v>3</v>
      </c>
      <c r="E827" s="34">
        <v>6</v>
      </c>
      <c r="F827" s="34">
        <v>2090</v>
      </c>
      <c r="G827" s="34" t="s">
        <v>201</v>
      </c>
      <c r="H827" s="35" t="s">
        <v>194</v>
      </c>
      <c r="I827" s="43" t="s">
        <v>401</v>
      </c>
      <c r="P827">
        <v>6.219286424401961E-6</v>
      </c>
    </row>
    <row r="828" spans="1:16" hidden="1" x14ac:dyDescent="0.35">
      <c r="A828" s="3">
        <f xml:space="preserve"> ROW( data_scaledImpacts[[#This Row],[row_id]] ) - ROW( data_scaledImpacts[[#Headers],[row_id]] )</f>
        <v>827</v>
      </c>
      <c r="B828" s="41" t="str">
        <f xml:space="preserve"> _xlfn.TEXTJOIN( "", , data_scaledImpacts[[#This Row],[sector]:[impactType]] )</f>
        <v>SouthwestDustMIROC562090N/AAllCardiovasc</v>
      </c>
      <c r="C828" s="33" t="s">
        <v>85</v>
      </c>
      <c r="D828" s="33" t="s">
        <v>4</v>
      </c>
      <c r="E828" s="34">
        <v>6</v>
      </c>
      <c r="F828" s="34">
        <v>2090</v>
      </c>
      <c r="G828" s="34" t="s">
        <v>201</v>
      </c>
      <c r="H828" s="35" t="s">
        <v>194</v>
      </c>
      <c r="I828" s="43" t="s">
        <v>402</v>
      </c>
    </row>
    <row r="829" spans="1:16" hidden="1" x14ac:dyDescent="0.35">
      <c r="A829" s="3">
        <f xml:space="preserve"> ROW( data_scaledImpacts[[#This Row],[row_id]] ) - ROW( data_scaledImpacts[[#Headers],[row_id]] )</f>
        <v>828</v>
      </c>
      <c r="B829" s="41" t="str">
        <f xml:space="preserve"> _xlfn.TEXTJOIN( "", , data_scaledImpacts[[#This Row],[sector]:[impactType]] )</f>
        <v>SouthwestDustGFDL-CM362090N/AAllCardiovasc</v>
      </c>
      <c r="C829" s="33" t="s">
        <v>85</v>
      </c>
      <c r="D829" s="33" t="s">
        <v>5</v>
      </c>
      <c r="E829" s="34">
        <v>6</v>
      </c>
      <c r="F829" s="34">
        <v>2090</v>
      </c>
      <c r="G829" s="34" t="s">
        <v>201</v>
      </c>
      <c r="H829" s="35" t="s">
        <v>194</v>
      </c>
      <c r="I829" s="43" t="s">
        <v>403</v>
      </c>
      <c r="P829">
        <v>1.0035523657568623E-5</v>
      </c>
    </row>
    <row r="830" spans="1:16" hidden="1" x14ac:dyDescent="0.35">
      <c r="A830" s="3">
        <f xml:space="preserve"> ROW( data_scaledImpacts[[#This Row],[row_id]] ) - ROW( data_scaledImpacts[[#Headers],[row_id]] )</f>
        <v>829</v>
      </c>
      <c r="B830" s="41" t="str">
        <f xml:space="preserve"> _xlfn.TEXTJOIN( "", , data_scaledImpacts[[#This Row],[sector]:[impactType]] )</f>
        <v>SouthwestDustGCM Average62090N/AAllCardiovasc</v>
      </c>
      <c r="C830" s="33" t="s">
        <v>85</v>
      </c>
      <c r="D830" s="33" t="s">
        <v>15</v>
      </c>
      <c r="E830" s="34">
        <v>6</v>
      </c>
      <c r="F830" s="34">
        <v>2090</v>
      </c>
      <c r="G830" s="34" t="s">
        <v>201</v>
      </c>
      <c r="H830" s="35" t="s">
        <v>194</v>
      </c>
      <c r="I830" s="43" t="s">
        <v>404</v>
      </c>
      <c r="P830">
        <v>6.9878936288409053E-6</v>
      </c>
    </row>
    <row r="831" spans="1:16" hidden="1" x14ac:dyDescent="0.35">
      <c r="A831" s="3">
        <f xml:space="preserve"> ROW( data_scaledImpacts[[#This Row],[row_id]] ) - ROW( data_scaledImpacts[[#Headers],[row_id]] )</f>
        <v>830</v>
      </c>
      <c r="B831" s="41" t="str">
        <f xml:space="preserve"> _xlfn.TEXTJOIN( "", , data_scaledImpacts[[#This Row],[sector]:[impactType]] )</f>
        <v>SouthwestDustCanESM272090N/AAllCardiovasc</v>
      </c>
      <c r="C831" s="33" t="s">
        <v>85</v>
      </c>
      <c r="D831" s="33" t="s">
        <v>0</v>
      </c>
      <c r="E831" s="34">
        <v>7</v>
      </c>
      <c r="F831" s="34">
        <v>2090</v>
      </c>
      <c r="G831" s="34" t="s">
        <v>201</v>
      </c>
      <c r="H831" s="35" t="s">
        <v>194</v>
      </c>
      <c r="I831" s="43" t="s">
        <v>405</v>
      </c>
    </row>
    <row r="832" spans="1:16" hidden="1" x14ac:dyDescent="0.35">
      <c r="A832" s="3">
        <f xml:space="preserve"> ROW( data_scaledImpacts[[#This Row],[row_id]] ) - ROW( data_scaledImpacts[[#Headers],[row_id]] )</f>
        <v>831</v>
      </c>
      <c r="B832" s="41" t="str">
        <f xml:space="preserve"> _xlfn.TEXTJOIN( "", , data_scaledImpacts[[#This Row],[sector]:[impactType]] )</f>
        <v>SouthwestDustCCSM472090N/AAllCardiovasc</v>
      </c>
      <c r="C832" s="33" t="s">
        <v>85</v>
      </c>
      <c r="D832" s="33" t="s">
        <v>1</v>
      </c>
      <c r="E832" s="34">
        <v>7</v>
      </c>
      <c r="F832" s="34">
        <v>2090</v>
      </c>
      <c r="G832" s="34" t="s">
        <v>201</v>
      </c>
      <c r="H832" s="35" t="s">
        <v>194</v>
      </c>
      <c r="I832" s="43" t="s">
        <v>406</v>
      </c>
    </row>
    <row r="833" spans="1:16" hidden="1" x14ac:dyDescent="0.35">
      <c r="A833" s="3">
        <f xml:space="preserve"> ROW( data_scaledImpacts[[#This Row],[row_id]] ) - ROW( data_scaledImpacts[[#Headers],[row_id]] )</f>
        <v>832</v>
      </c>
      <c r="B833" s="41" t="str">
        <f xml:space="preserve"> _xlfn.TEXTJOIN( "", , data_scaledImpacts[[#This Row],[sector]:[impactType]] )</f>
        <v>SouthwestDustGISS-E2-R72090N/AAllCardiovasc</v>
      </c>
      <c r="C833" s="33" t="s">
        <v>85</v>
      </c>
      <c r="D833" s="33" t="s">
        <v>2</v>
      </c>
      <c r="E833" s="34">
        <v>7</v>
      </c>
      <c r="F833" s="34">
        <v>2090</v>
      </c>
      <c r="G833" s="34" t="s">
        <v>201</v>
      </c>
      <c r="H833" s="35" t="s">
        <v>194</v>
      </c>
      <c r="I833" s="43" t="s">
        <v>407</v>
      </c>
    </row>
    <row r="834" spans="1:16" hidden="1" x14ac:dyDescent="0.35">
      <c r="A834" s="3">
        <f xml:space="preserve"> ROW( data_scaledImpacts[[#This Row],[row_id]] ) - ROW( data_scaledImpacts[[#Headers],[row_id]] )</f>
        <v>833</v>
      </c>
      <c r="B834" s="41" t="str">
        <f xml:space="preserve"> _xlfn.TEXTJOIN( "", , data_scaledImpacts[[#This Row],[sector]:[impactType]] )</f>
        <v>SouthwestDustHadGEM2-ES72090N/AAllCardiovasc</v>
      </c>
      <c r="C834" s="33" t="s">
        <v>85</v>
      </c>
      <c r="D834" s="33" t="s">
        <v>3</v>
      </c>
      <c r="E834" s="34">
        <v>7</v>
      </c>
      <c r="F834" s="34">
        <v>2090</v>
      </c>
      <c r="G834" s="34" t="s">
        <v>201</v>
      </c>
      <c r="H834" s="35" t="s">
        <v>194</v>
      </c>
      <c r="I834" s="43" t="s">
        <v>408</v>
      </c>
    </row>
    <row r="835" spans="1:16" hidden="1" x14ac:dyDescent="0.35">
      <c r="A835" s="3">
        <f xml:space="preserve"> ROW( data_scaledImpacts[[#This Row],[row_id]] ) - ROW( data_scaledImpacts[[#Headers],[row_id]] )</f>
        <v>834</v>
      </c>
      <c r="B835" s="41" t="str">
        <f xml:space="preserve"> _xlfn.TEXTJOIN( "", , data_scaledImpacts[[#This Row],[sector]:[impactType]] )</f>
        <v>SouthwestDustMIROC572090N/AAllCardiovasc</v>
      </c>
      <c r="C835" s="33" t="s">
        <v>85</v>
      </c>
      <c r="D835" s="33" t="s">
        <v>4</v>
      </c>
      <c r="E835" s="34">
        <v>7</v>
      </c>
      <c r="F835" s="34">
        <v>2090</v>
      </c>
      <c r="G835" s="34" t="s">
        <v>201</v>
      </c>
      <c r="H835" s="35" t="s">
        <v>194</v>
      </c>
      <c r="I835" s="43" t="s">
        <v>409</v>
      </c>
    </row>
    <row r="836" spans="1:16" hidden="1" x14ac:dyDescent="0.35">
      <c r="A836" s="3">
        <f xml:space="preserve"> ROW( data_scaledImpacts[[#This Row],[row_id]] ) - ROW( data_scaledImpacts[[#Headers],[row_id]] )</f>
        <v>835</v>
      </c>
      <c r="B836" s="41" t="str">
        <f xml:space="preserve"> _xlfn.TEXTJOIN( "", , data_scaledImpacts[[#This Row],[sector]:[impactType]] )</f>
        <v>SouthwestDustGFDL-CM372090N/AAllCardiovasc</v>
      </c>
      <c r="C836" s="33" t="s">
        <v>85</v>
      </c>
      <c r="D836" s="33" t="s">
        <v>5</v>
      </c>
      <c r="E836" s="34">
        <v>7</v>
      </c>
      <c r="F836" s="34">
        <v>2090</v>
      </c>
      <c r="G836" s="34" t="s">
        <v>201</v>
      </c>
      <c r="H836" s="35" t="s">
        <v>194</v>
      </c>
      <c r="I836" s="43" t="s">
        <v>410</v>
      </c>
    </row>
    <row r="837" spans="1:16" hidden="1" x14ac:dyDescent="0.35">
      <c r="A837" s="3">
        <f xml:space="preserve"> ROW( data_scaledImpacts[[#This Row],[row_id]] ) - ROW( data_scaledImpacts[[#Headers],[row_id]] )</f>
        <v>836</v>
      </c>
      <c r="B837" s="41" t="str">
        <f xml:space="preserve"> _xlfn.TEXTJOIN( "", , data_scaledImpacts[[#This Row],[sector]:[impactType]] )</f>
        <v>SouthwestDustGCM Average72090N/AAllCardiovasc</v>
      </c>
      <c r="C837" s="33" t="s">
        <v>85</v>
      </c>
      <c r="D837" s="33" t="s">
        <v>15</v>
      </c>
      <c r="E837" s="34">
        <v>7</v>
      </c>
      <c r="F837" s="34">
        <v>2090</v>
      </c>
      <c r="G837" s="34" t="s">
        <v>201</v>
      </c>
      <c r="H837" s="35" t="s">
        <v>194</v>
      </c>
      <c r="I837" s="43" t="s">
        <v>411</v>
      </c>
      <c r="P837" t="s">
        <v>26</v>
      </c>
    </row>
    <row r="838" spans="1:16" hidden="1" x14ac:dyDescent="0.35">
      <c r="A838" s="3">
        <f xml:space="preserve"> ROW( data_scaledImpacts[[#This Row],[row_id]] ) - ROW( data_scaledImpacts[[#Headers],[row_id]] )</f>
        <v>837</v>
      </c>
      <c r="B838" s="41" t="str">
        <f xml:space="preserve"> _xlfn.TEXTJOIN( "", , data_scaledImpacts[[#This Row],[sector]:[impactType]] )</f>
        <v>SouthwestDustCanESM212090N/AACMI</v>
      </c>
      <c r="C838" s="33" t="s">
        <v>85</v>
      </c>
      <c r="D838" s="33" t="s">
        <v>0</v>
      </c>
      <c r="E838" s="34">
        <v>1</v>
      </c>
      <c r="F838" s="34">
        <v>2090</v>
      </c>
      <c r="G838" s="34" t="s">
        <v>201</v>
      </c>
      <c r="H838" s="35" t="s">
        <v>195</v>
      </c>
      <c r="I838" s="43" t="s">
        <v>412</v>
      </c>
      <c r="P838">
        <v>1.9750654660165339E-6</v>
      </c>
    </row>
    <row r="839" spans="1:16" hidden="1" x14ac:dyDescent="0.35">
      <c r="A839" s="3">
        <f xml:space="preserve"> ROW( data_scaledImpacts[[#This Row],[row_id]] ) - ROW( data_scaledImpacts[[#Headers],[row_id]] )</f>
        <v>838</v>
      </c>
      <c r="B839" s="41" t="str">
        <f xml:space="preserve"> _xlfn.TEXTJOIN( "", , data_scaledImpacts[[#This Row],[sector]:[impactType]] )</f>
        <v>SouthwestDustCCSM412090N/AACMI</v>
      </c>
      <c r="C839" s="33" t="s">
        <v>85</v>
      </c>
      <c r="D839" s="33" t="s">
        <v>1</v>
      </c>
      <c r="E839" s="34">
        <v>1</v>
      </c>
      <c r="F839" s="34">
        <v>2090</v>
      </c>
      <c r="G839" s="34" t="s">
        <v>201</v>
      </c>
      <c r="H839" s="35" t="s">
        <v>195</v>
      </c>
      <c r="I839" s="43" t="s">
        <v>413</v>
      </c>
      <c r="P839">
        <v>6.063115684551538E-6</v>
      </c>
    </row>
    <row r="840" spans="1:16" hidden="1" x14ac:dyDescent="0.35">
      <c r="A840" s="3">
        <f xml:space="preserve"> ROW( data_scaledImpacts[[#This Row],[row_id]] ) - ROW( data_scaledImpacts[[#Headers],[row_id]] )</f>
        <v>839</v>
      </c>
      <c r="B840" s="41" t="str">
        <f xml:space="preserve"> _xlfn.TEXTJOIN( "", , data_scaledImpacts[[#This Row],[sector]:[impactType]] )</f>
        <v>SouthwestDustGISS-E2-R12090N/AACMI</v>
      </c>
      <c r="C840" s="33" t="s">
        <v>85</v>
      </c>
      <c r="D840" s="33" t="s">
        <v>2</v>
      </c>
      <c r="E840" s="34">
        <v>1</v>
      </c>
      <c r="F840" s="34">
        <v>2090</v>
      </c>
      <c r="G840" s="34" t="s">
        <v>201</v>
      </c>
      <c r="H840" s="35" t="s">
        <v>195</v>
      </c>
      <c r="I840" s="43" t="s">
        <v>414</v>
      </c>
      <c r="P840">
        <v>7.1284502232881896E-7</v>
      </c>
    </row>
    <row r="841" spans="1:16" hidden="1" x14ac:dyDescent="0.35">
      <c r="A841" s="3">
        <f xml:space="preserve"> ROW( data_scaledImpacts[[#This Row],[row_id]] ) - ROW( data_scaledImpacts[[#Headers],[row_id]] )</f>
        <v>840</v>
      </c>
      <c r="B841" s="41" t="str">
        <f xml:space="preserve"> _xlfn.TEXTJOIN( "", , data_scaledImpacts[[#This Row],[sector]:[impactType]] )</f>
        <v>SouthwestDustHadGEM2-ES12090N/AACMI</v>
      </c>
      <c r="C841" s="33" t="s">
        <v>85</v>
      </c>
      <c r="D841" s="33" t="s">
        <v>3</v>
      </c>
      <c r="E841" s="34">
        <v>1</v>
      </c>
      <c r="F841" s="34">
        <v>2090</v>
      </c>
      <c r="G841" s="34" t="s">
        <v>201</v>
      </c>
      <c r="H841" s="35" t="s">
        <v>195</v>
      </c>
      <c r="I841" s="43" t="s">
        <v>415</v>
      </c>
      <c r="P841">
        <v>2.630455760464108E-7</v>
      </c>
    </row>
    <row r="842" spans="1:16" hidden="1" x14ac:dyDescent="0.35">
      <c r="A842" s="3">
        <f xml:space="preserve"> ROW( data_scaledImpacts[[#This Row],[row_id]] ) - ROW( data_scaledImpacts[[#Headers],[row_id]] )</f>
        <v>841</v>
      </c>
      <c r="B842" s="41" t="str">
        <f xml:space="preserve"> _xlfn.TEXTJOIN( "", , data_scaledImpacts[[#This Row],[sector]:[impactType]] )</f>
        <v>SouthwestDustMIROC512090N/AACMI</v>
      </c>
      <c r="C842" s="33" t="s">
        <v>85</v>
      </c>
      <c r="D842" s="33" t="s">
        <v>4</v>
      </c>
      <c r="E842" s="34">
        <v>1</v>
      </c>
      <c r="F842" s="34">
        <v>2090</v>
      </c>
      <c r="G842" s="34" t="s">
        <v>201</v>
      </c>
      <c r="H842" s="35" t="s">
        <v>195</v>
      </c>
      <c r="I842" s="43" t="s">
        <v>416</v>
      </c>
      <c r="P842">
        <v>2.8299582341573613E-6</v>
      </c>
    </row>
    <row r="843" spans="1:16" hidden="1" x14ac:dyDescent="0.35">
      <c r="A843" s="3">
        <f xml:space="preserve"> ROW( data_scaledImpacts[[#This Row],[row_id]] ) - ROW( data_scaledImpacts[[#Headers],[row_id]] )</f>
        <v>842</v>
      </c>
      <c r="B843" s="41" t="str">
        <f xml:space="preserve"> _xlfn.TEXTJOIN( "", , data_scaledImpacts[[#This Row],[sector]:[impactType]] )</f>
        <v>SouthwestDustGFDL-CM312090N/AACMI</v>
      </c>
      <c r="C843" s="33" t="s">
        <v>85</v>
      </c>
      <c r="D843" s="33" t="s">
        <v>5</v>
      </c>
      <c r="E843" s="34">
        <v>1</v>
      </c>
      <c r="F843" s="34">
        <v>2090</v>
      </c>
      <c r="G843" s="34" t="s">
        <v>201</v>
      </c>
      <c r="H843" s="35" t="s">
        <v>195</v>
      </c>
      <c r="I843" s="43" t="s">
        <v>417</v>
      </c>
      <c r="P843">
        <v>6.1480072167786784E-6</v>
      </c>
    </row>
    <row r="844" spans="1:16" hidden="1" x14ac:dyDescent="0.35">
      <c r="A844" s="3">
        <f xml:space="preserve"> ROW( data_scaledImpacts[[#This Row],[row_id]] ) - ROW( data_scaledImpacts[[#Headers],[row_id]] )</f>
        <v>843</v>
      </c>
      <c r="B844" s="41" t="str">
        <f xml:space="preserve"> _xlfn.TEXTJOIN( "", , data_scaledImpacts[[#This Row],[sector]:[impactType]] )</f>
        <v>SouthwestDustGCM Average12090N/AACMI</v>
      </c>
      <c r="C844" s="33" t="s">
        <v>85</v>
      </c>
      <c r="D844" s="33" t="s">
        <v>15</v>
      </c>
      <c r="E844" s="34">
        <v>1</v>
      </c>
      <c r="F844" s="34">
        <v>2090</v>
      </c>
      <c r="G844" s="34" t="s">
        <v>201</v>
      </c>
      <c r="H844" s="35" t="s">
        <v>195</v>
      </c>
      <c r="I844" s="43" t="s">
        <v>418</v>
      </c>
      <c r="P844">
        <v>2.998672866646557E-6</v>
      </c>
    </row>
    <row r="845" spans="1:16" hidden="1" x14ac:dyDescent="0.35">
      <c r="A845" s="3">
        <f xml:space="preserve"> ROW( data_scaledImpacts[[#This Row],[row_id]] ) - ROW( data_scaledImpacts[[#Headers],[row_id]] )</f>
        <v>844</v>
      </c>
      <c r="B845" s="41" t="str">
        <f xml:space="preserve"> _xlfn.TEXTJOIN( "", , data_scaledImpacts[[#This Row],[sector]:[impactType]] )</f>
        <v>SouthwestDustCanESM222090N/AACMI</v>
      </c>
      <c r="C845" s="33" t="s">
        <v>85</v>
      </c>
      <c r="D845" s="33" t="s">
        <v>0</v>
      </c>
      <c r="E845" s="34">
        <v>2</v>
      </c>
      <c r="F845" s="34">
        <v>2090</v>
      </c>
      <c r="G845" s="34" t="s">
        <v>201</v>
      </c>
      <c r="H845" s="35" t="s">
        <v>195</v>
      </c>
      <c r="I845" s="43" t="s">
        <v>419</v>
      </c>
      <c r="P845">
        <v>5.5214010907365541E-6</v>
      </c>
    </row>
    <row r="846" spans="1:16" hidden="1" x14ac:dyDescent="0.35">
      <c r="A846" s="3">
        <f xml:space="preserve"> ROW( data_scaledImpacts[[#This Row],[row_id]] ) - ROW( data_scaledImpacts[[#Headers],[row_id]] )</f>
        <v>845</v>
      </c>
      <c r="B846" s="41" t="str">
        <f xml:space="preserve"> _xlfn.TEXTJOIN( "", , data_scaledImpacts[[#This Row],[sector]:[impactType]] )</f>
        <v>SouthwestDustCCSM422090N/AACMI</v>
      </c>
      <c r="C846" s="33" t="s">
        <v>85</v>
      </c>
      <c r="D846" s="33" t="s">
        <v>1</v>
      </c>
      <c r="E846" s="34">
        <v>2</v>
      </c>
      <c r="F846" s="34">
        <v>2090</v>
      </c>
      <c r="G846" s="34" t="s">
        <v>201</v>
      </c>
      <c r="H846" s="35" t="s">
        <v>195</v>
      </c>
      <c r="I846" s="43" t="s">
        <v>420</v>
      </c>
      <c r="P846">
        <v>8.3140500556532127E-6</v>
      </c>
    </row>
    <row r="847" spans="1:16" hidden="1" x14ac:dyDescent="0.35">
      <c r="A847" s="3">
        <f xml:space="preserve"> ROW( data_scaledImpacts[[#This Row],[row_id]] ) - ROW( data_scaledImpacts[[#Headers],[row_id]] )</f>
        <v>846</v>
      </c>
      <c r="B847" s="41" t="str">
        <f xml:space="preserve"> _xlfn.TEXTJOIN( "", , data_scaledImpacts[[#This Row],[sector]:[impactType]] )</f>
        <v>SouthwestDustGISS-E2-R22090N/AACMI</v>
      </c>
      <c r="C847" s="33" t="s">
        <v>85</v>
      </c>
      <c r="D847" s="33" t="s">
        <v>2</v>
      </c>
      <c r="E847" s="34">
        <v>2</v>
      </c>
      <c r="F847" s="34">
        <v>2090</v>
      </c>
      <c r="G847" s="34" t="s">
        <v>201</v>
      </c>
      <c r="H847" s="35" t="s">
        <v>195</v>
      </c>
      <c r="I847" s="43" t="s">
        <v>421</v>
      </c>
      <c r="P847">
        <v>3.8688528981015672E-6</v>
      </c>
    </row>
    <row r="848" spans="1:16" hidden="1" x14ac:dyDescent="0.35">
      <c r="A848" s="3">
        <f xml:space="preserve"> ROW( data_scaledImpacts[[#This Row],[row_id]] ) - ROW( data_scaledImpacts[[#Headers],[row_id]] )</f>
        <v>847</v>
      </c>
      <c r="B848" s="41" t="str">
        <f xml:space="preserve"> _xlfn.TEXTJOIN( "", , data_scaledImpacts[[#This Row],[sector]:[impactType]] )</f>
        <v>SouthwestDustHadGEM2-ES22090N/AACMI</v>
      </c>
      <c r="C848" s="33" t="s">
        <v>85</v>
      </c>
      <c r="D848" s="33" t="s">
        <v>3</v>
      </c>
      <c r="E848" s="34">
        <v>2</v>
      </c>
      <c r="F848" s="34">
        <v>2090</v>
      </c>
      <c r="G848" s="34" t="s">
        <v>201</v>
      </c>
      <c r="H848" s="35" t="s">
        <v>195</v>
      </c>
      <c r="I848" s="43" t="s">
        <v>422</v>
      </c>
      <c r="P848">
        <v>7.9697731706747746E-6</v>
      </c>
    </row>
    <row r="849" spans="1:16" hidden="1" x14ac:dyDescent="0.35">
      <c r="A849" s="3">
        <f xml:space="preserve"> ROW( data_scaledImpacts[[#This Row],[row_id]] ) - ROW( data_scaledImpacts[[#Headers],[row_id]] )</f>
        <v>848</v>
      </c>
      <c r="B849" s="41" t="str">
        <f xml:space="preserve"> _xlfn.TEXTJOIN( "", , data_scaledImpacts[[#This Row],[sector]:[impactType]] )</f>
        <v>SouthwestDustMIROC522090N/AACMI</v>
      </c>
      <c r="C849" s="33" t="s">
        <v>85</v>
      </c>
      <c r="D849" s="33" t="s">
        <v>4</v>
      </c>
      <c r="E849" s="34">
        <v>2</v>
      </c>
      <c r="F849" s="34">
        <v>2090</v>
      </c>
      <c r="G849" s="34" t="s">
        <v>201</v>
      </c>
      <c r="H849" s="35" t="s">
        <v>195</v>
      </c>
      <c r="I849" s="43" t="s">
        <v>423</v>
      </c>
      <c r="P849">
        <v>5.7728705609534179E-6</v>
      </c>
    </row>
    <row r="850" spans="1:16" hidden="1" x14ac:dyDescent="0.35">
      <c r="A850" s="3">
        <f xml:space="preserve"> ROW( data_scaledImpacts[[#This Row],[row_id]] ) - ROW( data_scaledImpacts[[#Headers],[row_id]] )</f>
        <v>849</v>
      </c>
      <c r="B850" s="41" t="str">
        <f xml:space="preserve"> _xlfn.TEXTJOIN( "", , data_scaledImpacts[[#This Row],[sector]:[impactType]] )</f>
        <v>SouthwestDustGFDL-CM322090N/AACMI</v>
      </c>
      <c r="C850" s="33" t="s">
        <v>85</v>
      </c>
      <c r="D850" s="33" t="s">
        <v>5</v>
      </c>
      <c r="E850" s="34">
        <v>2</v>
      </c>
      <c r="F850" s="34">
        <v>2090</v>
      </c>
      <c r="G850" s="34" t="s">
        <v>201</v>
      </c>
      <c r="H850" s="35" t="s">
        <v>195</v>
      </c>
      <c r="I850" s="43" t="s">
        <v>424</v>
      </c>
      <c r="P850">
        <v>8.7681533472650091E-6</v>
      </c>
    </row>
    <row r="851" spans="1:16" hidden="1" x14ac:dyDescent="0.35">
      <c r="A851" s="3">
        <f xml:space="preserve"> ROW( data_scaledImpacts[[#This Row],[row_id]] ) - ROW( data_scaledImpacts[[#Headers],[row_id]] )</f>
        <v>850</v>
      </c>
      <c r="B851" s="41" t="str">
        <f xml:space="preserve"> _xlfn.TEXTJOIN( "", , data_scaledImpacts[[#This Row],[sector]:[impactType]] )</f>
        <v>SouthwestDustGCM Average22090N/AACMI</v>
      </c>
      <c r="C851" s="33" t="s">
        <v>85</v>
      </c>
      <c r="D851" s="33" t="s">
        <v>15</v>
      </c>
      <c r="E851" s="34">
        <v>2</v>
      </c>
      <c r="F851" s="34">
        <v>2090</v>
      </c>
      <c r="G851" s="34" t="s">
        <v>201</v>
      </c>
      <c r="H851" s="35" t="s">
        <v>195</v>
      </c>
      <c r="I851" s="43" t="s">
        <v>425</v>
      </c>
      <c r="P851">
        <v>6.7025168538974228E-6</v>
      </c>
    </row>
    <row r="852" spans="1:16" hidden="1" x14ac:dyDescent="0.35">
      <c r="A852" s="3">
        <f xml:space="preserve"> ROW( data_scaledImpacts[[#This Row],[row_id]] ) - ROW( data_scaledImpacts[[#Headers],[row_id]] )</f>
        <v>851</v>
      </c>
      <c r="B852" s="41" t="str">
        <f xml:space="preserve"> _xlfn.TEXTJOIN( "", , data_scaledImpacts[[#This Row],[sector]:[impactType]] )</f>
        <v>SouthwestDustCanESM232090N/AACMI</v>
      </c>
      <c r="C852" s="33" t="s">
        <v>85</v>
      </c>
      <c r="D852" s="33" t="s">
        <v>0</v>
      </c>
      <c r="E852" s="34">
        <v>3</v>
      </c>
      <c r="F852" s="34">
        <v>2090</v>
      </c>
      <c r="G852" s="34" t="s">
        <v>201</v>
      </c>
      <c r="H852" s="35" t="s">
        <v>195</v>
      </c>
      <c r="I852" s="43" t="s">
        <v>426</v>
      </c>
      <c r="P852">
        <v>7.7150276582770323E-6</v>
      </c>
    </row>
    <row r="853" spans="1:16" hidden="1" x14ac:dyDescent="0.35">
      <c r="A853" s="3">
        <f xml:space="preserve"> ROW( data_scaledImpacts[[#This Row],[row_id]] ) - ROW( data_scaledImpacts[[#Headers],[row_id]] )</f>
        <v>852</v>
      </c>
      <c r="B853" s="41" t="str">
        <f xml:space="preserve"> _xlfn.TEXTJOIN( "", , data_scaledImpacts[[#This Row],[sector]:[impactType]] )</f>
        <v>SouthwestDustCCSM432090N/AACMI</v>
      </c>
      <c r="C853" s="33" t="s">
        <v>85</v>
      </c>
      <c r="D853" s="33" t="s">
        <v>1</v>
      </c>
      <c r="E853" s="34">
        <v>3</v>
      </c>
      <c r="F853" s="34">
        <v>2090</v>
      </c>
      <c r="G853" s="34" t="s">
        <v>201</v>
      </c>
      <c r="H853" s="35" t="s">
        <v>195</v>
      </c>
      <c r="I853" s="43" t="s">
        <v>427</v>
      </c>
      <c r="P853">
        <v>9.1614409906801055E-6</v>
      </c>
    </row>
    <row r="854" spans="1:16" hidden="1" x14ac:dyDescent="0.35">
      <c r="A854" s="3">
        <f xml:space="preserve"> ROW( data_scaledImpacts[[#This Row],[row_id]] ) - ROW( data_scaledImpacts[[#Headers],[row_id]] )</f>
        <v>853</v>
      </c>
      <c r="B854" s="41" t="str">
        <f xml:space="preserve"> _xlfn.TEXTJOIN( "", , data_scaledImpacts[[#This Row],[sector]:[impactType]] )</f>
        <v>SouthwestDustGISS-E2-R32090N/AACMI</v>
      </c>
      <c r="C854" s="33" t="s">
        <v>85</v>
      </c>
      <c r="D854" s="33" t="s">
        <v>2</v>
      </c>
      <c r="E854" s="34">
        <v>3</v>
      </c>
      <c r="F854" s="34">
        <v>2090</v>
      </c>
      <c r="G854" s="34" t="s">
        <v>201</v>
      </c>
      <c r="H854" s="35" t="s">
        <v>195</v>
      </c>
      <c r="I854" s="43" t="s">
        <v>428</v>
      </c>
      <c r="P854">
        <v>1.0161587920099658E-5</v>
      </c>
    </row>
    <row r="855" spans="1:16" hidden="1" x14ac:dyDescent="0.35">
      <c r="A855" s="3">
        <f xml:space="preserve"> ROW( data_scaledImpacts[[#This Row],[row_id]] ) - ROW( data_scaledImpacts[[#Headers],[row_id]] )</f>
        <v>854</v>
      </c>
      <c r="B855" s="41" t="str">
        <f xml:space="preserve"> _xlfn.TEXTJOIN( "", , data_scaledImpacts[[#This Row],[sector]:[impactType]] )</f>
        <v>SouthwestDustHadGEM2-ES32090N/AACMI</v>
      </c>
      <c r="C855" s="33" t="s">
        <v>85</v>
      </c>
      <c r="D855" s="33" t="s">
        <v>3</v>
      </c>
      <c r="E855" s="34">
        <v>3</v>
      </c>
      <c r="F855" s="34">
        <v>2090</v>
      </c>
      <c r="G855" s="34" t="s">
        <v>201</v>
      </c>
      <c r="H855" s="35" t="s">
        <v>195</v>
      </c>
      <c r="I855" s="43" t="s">
        <v>429</v>
      </c>
      <c r="P855">
        <v>9.7973131532750188E-6</v>
      </c>
    </row>
    <row r="856" spans="1:16" hidden="1" x14ac:dyDescent="0.35">
      <c r="A856" s="3">
        <f xml:space="preserve"> ROW( data_scaledImpacts[[#This Row],[row_id]] ) - ROW( data_scaledImpacts[[#Headers],[row_id]] )</f>
        <v>855</v>
      </c>
      <c r="B856" s="41" t="str">
        <f xml:space="preserve"> _xlfn.TEXTJOIN( "", , data_scaledImpacts[[#This Row],[sector]:[impactType]] )</f>
        <v>SouthwestDustMIROC532090N/AACMI</v>
      </c>
      <c r="C856" s="33" t="s">
        <v>85</v>
      </c>
      <c r="D856" s="33" t="s">
        <v>4</v>
      </c>
      <c r="E856" s="34">
        <v>3</v>
      </c>
      <c r="F856" s="34">
        <v>2090</v>
      </c>
      <c r="G856" s="34" t="s">
        <v>201</v>
      </c>
      <c r="H856" s="35" t="s">
        <v>195</v>
      </c>
      <c r="I856" s="43" t="s">
        <v>430</v>
      </c>
      <c r="P856">
        <v>1.1394216472741582E-5</v>
      </c>
    </row>
    <row r="857" spans="1:16" hidden="1" x14ac:dyDescent="0.35">
      <c r="A857" s="3">
        <f xml:space="preserve"> ROW( data_scaledImpacts[[#This Row],[row_id]] ) - ROW( data_scaledImpacts[[#Headers],[row_id]] )</f>
        <v>856</v>
      </c>
      <c r="B857" s="41" t="str">
        <f xml:space="preserve"> _xlfn.TEXTJOIN( "", , data_scaledImpacts[[#This Row],[sector]:[impactType]] )</f>
        <v>SouthwestDustGFDL-CM332090N/AACMI</v>
      </c>
      <c r="C857" s="33" t="s">
        <v>85</v>
      </c>
      <c r="D857" s="33" t="s">
        <v>5</v>
      </c>
      <c r="E857" s="34">
        <v>3</v>
      </c>
      <c r="F857" s="34">
        <v>2090</v>
      </c>
      <c r="G857" s="34" t="s">
        <v>201</v>
      </c>
      <c r="H857" s="35" t="s">
        <v>195</v>
      </c>
      <c r="I857" s="43" t="s">
        <v>431</v>
      </c>
      <c r="P857">
        <v>1.3045357439126438E-5</v>
      </c>
    </row>
    <row r="858" spans="1:16" hidden="1" x14ac:dyDescent="0.35">
      <c r="A858" s="3">
        <f xml:space="preserve"> ROW( data_scaledImpacts[[#This Row],[row_id]] ) - ROW( data_scaledImpacts[[#Headers],[row_id]] )</f>
        <v>857</v>
      </c>
      <c r="B858" s="41" t="str">
        <f xml:space="preserve"> _xlfn.TEXTJOIN( "", , data_scaledImpacts[[#This Row],[sector]:[impactType]] )</f>
        <v>SouthwestDustGCM Average32090N/AACMI</v>
      </c>
      <c r="C858" s="33" t="s">
        <v>85</v>
      </c>
      <c r="D858" s="33" t="s">
        <v>15</v>
      </c>
      <c r="E858" s="34">
        <v>3</v>
      </c>
      <c r="F858" s="34">
        <v>2090</v>
      </c>
      <c r="G858" s="34" t="s">
        <v>201</v>
      </c>
      <c r="H858" s="35" t="s">
        <v>195</v>
      </c>
      <c r="I858" s="43" t="s">
        <v>432</v>
      </c>
      <c r="P858">
        <v>1.0212490605699971E-5</v>
      </c>
    </row>
    <row r="859" spans="1:16" hidden="1" x14ac:dyDescent="0.35">
      <c r="A859" s="3">
        <f xml:space="preserve"> ROW( data_scaledImpacts[[#This Row],[row_id]] ) - ROW( data_scaledImpacts[[#Headers],[row_id]] )</f>
        <v>858</v>
      </c>
      <c r="B859" s="41" t="str">
        <f xml:space="preserve"> _xlfn.TEXTJOIN( "", , data_scaledImpacts[[#This Row],[sector]:[impactType]] )</f>
        <v>SouthwestDustCanESM242090N/AACMI</v>
      </c>
      <c r="C859" s="33" t="s">
        <v>85</v>
      </c>
      <c r="D859" s="33" t="s">
        <v>0</v>
      </c>
      <c r="E859" s="34">
        <v>4</v>
      </c>
      <c r="F859" s="34">
        <v>2090</v>
      </c>
      <c r="G859" s="34" t="s">
        <v>201</v>
      </c>
      <c r="H859" s="35" t="s">
        <v>195</v>
      </c>
      <c r="I859" s="43" t="s">
        <v>433</v>
      </c>
      <c r="P859">
        <v>7.4186884135164377E-6</v>
      </c>
    </row>
    <row r="860" spans="1:16" hidden="1" x14ac:dyDescent="0.35">
      <c r="A860" s="3">
        <f xml:space="preserve"> ROW( data_scaledImpacts[[#This Row],[row_id]] ) - ROW( data_scaledImpacts[[#Headers],[row_id]] )</f>
        <v>859</v>
      </c>
      <c r="B860" s="41" t="str">
        <f xml:space="preserve"> _xlfn.TEXTJOIN( "", , data_scaledImpacts[[#This Row],[sector]:[impactType]] )</f>
        <v>SouthwestDustCCSM442090N/AACMI</v>
      </c>
      <c r="C860" s="33" t="s">
        <v>85</v>
      </c>
      <c r="D860" s="33" t="s">
        <v>1</v>
      </c>
      <c r="E860" s="34">
        <v>4</v>
      </c>
      <c r="F860" s="34">
        <v>2090</v>
      </c>
      <c r="G860" s="34" t="s">
        <v>201</v>
      </c>
      <c r="H860" s="35" t="s">
        <v>195</v>
      </c>
      <c r="I860" s="43" t="s">
        <v>434</v>
      </c>
      <c r="P860">
        <v>1.2454793503167084E-5</v>
      </c>
    </row>
    <row r="861" spans="1:16" hidden="1" x14ac:dyDescent="0.35">
      <c r="A861" s="3">
        <f xml:space="preserve"> ROW( data_scaledImpacts[[#This Row],[row_id]] ) - ROW( data_scaledImpacts[[#Headers],[row_id]] )</f>
        <v>860</v>
      </c>
      <c r="B861" s="41" t="str">
        <f xml:space="preserve"> _xlfn.TEXTJOIN( "", , data_scaledImpacts[[#This Row],[sector]:[impactType]] )</f>
        <v>SouthwestDustGISS-E2-R42090N/AACMI</v>
      </c>
      <c r="C861" s="33" t="s">
        <v>85</v>
      </c>
      <c r="D861" s="33" t="s">
        <v>2</v>
      </c>
      <c r="E861" s="34">
        <v>4</v>
      </c>
      <c r="F861" s="34">
        <v>2090</v>
      </c>
      <c r="G861" s="34" t="s">
        <v>201</v>
      </c>
      <c r="H861" s="35" t="s">
        <v>195</v>
      </c>
      <c r="I861" s="43" t="s">
        <v>435</v>
      </c>
    </row>
    <row r="862" spans="1:16" hidden="1" x14ac:dyDescent="0.35">
      <c r="A862" s="3">
        <f xml:space="preserve"> ROW( data_scaledImpacts[[#This Row],[row_id]] ) - ROW( data_scaledImpacts[[#Headers],[row_id]] )</f>
        <v>861</v>
      </c>
      <c r="B862" s="41" t="str">
        <f xml:space="preserve"> _xlfn.TEXTJOIN( "", , data_scaledImpacts[[#This Row],[sector]:[impactType]] )</f>
        <v>SouthwestDustHadGEM2-ES42090N/AACMI</v>
      </c>
      <c r="C862" s="33" t="s">
        <v>85</v>
      </c>
      <c r="D862" s="33" t="s">
        <v>3</v>
      </c>
      <c r="E862" s="34">
        <v>4</v>
      </c>
      <c r="F862" s="34">
        <v>2090</v>
      </c>
      <c r="G862" s="34" t="s">
        <v>201</v>
      </c>
      <c r="H862" s="35" t="s">
        <v>195</v>
      </c>
      <c r="I862" s="43" t="s">
        <v>436</v>
      </c>
      <c r="P862">
        <v>9.9730680052779015E-6</v>
      </c>
    </row>
    <row r="863" spans="1:16" hidden="1" x14ac:dyDescent="0.35">
      <c r="A863" s="3">
        <f xml:space="preserve"> ROW( data_scaledImpacts[[#This Row],[row_id]] ) - ROW( data_scaledImpacts[[#Headers],[row_id]] )</f>
        <v>862</v>
      </c>
      <c r="B863" s="41" t="str">
        <f xml:space="preserve"> _xlfn.TEXTJOIN( "", , data_scaledImpacts[[#This Row],[sector]:[impactType]] )</f>
        <v>SouthwestDustMIROC542090N/AACMI</v>
      </c>
      <c r="C863" s="33" t="s">
        <v>85</v>
      </c>
      <c r="D863" s="33" t="s">
        <v>4</v>
      </c>
      <c r="E863" s="34">
        <v>4</v>
      </c>
      <c r="F863" s="34">
        <v>2090</v>
      </c>
      <c r="G863" s="34" t="s">
        <v>201</v>
      </c>
      <c r="H863" s="35" t="s">
        <v>195</v>
      </c>
      <c r="I863" s="43" t="s">
        <v>437</v>
      </c>
      <c r="P863">
        <v>1.4088883517070897E-5</v>
      </c>
    </row>
    <row r="864" spans="1:16" hidden="1" x14ac:dyDescent="0.35">
      <c r="A864" s="3">
        <f xml:space="preserve"> ROW( data_scaledImpacts[[#This Row],[row_id]] ) - ROW( data_scaledImpacts[[#Headers],[row_id]] )</f>
        <v>863</v>
      </c>
      <c r="B864" s="41" t="str">
        <f xml:space="preserve"> _xlfn.TEXTJOIN( "", , data_scaledImpacts[[#This Row],[sector]:[impactType]] )</f>
        <v>SouthwestDustGFDL-CM342090N/AACMI</v>
      </c>
      <c r="C864" s="33" t="s">
        <v>85</v>
      </c>
      <c r="D864" s="33" t="s">
        <v>5</v>
      </c>
      <c r="E864" s="34">
        <v>4</v>
      </c>
      <c r="F864" s="34">
        <v>2090</v>
      </c>
      <c r="G864" s="34" t="s">
        <v>201</v>
      </c>
      <c r="H864" s="35" t="s">
        <v>195</v>
      </c>
      <c r="I864" s="43" t="s">
        <v>438</v>
      </c>
      <c r="P864">
        <v>1.7828960719320083E-5</v>
      </c>
    </row>
    <row r="865" spans="1:16" hidden="1" x14ac:dyDescent="0.35">
      <c r="A865" s="3">
        <f xml:space="preserve"> ROW( data_scaledImpacts[[#This Row],[row_id]] ) - ROW( data_scaledImpacts[[#Headers],[row_id]] )</f>
        <v>864</v>
      </c>
      <c r="B865" s="41" t="str">
        <f xml:space="preserve"> _xlfn.TEXTJOIN( "", , data_scaledImpacts[[#This Row],[sector]:[impactType]] )</f>
        <v>SouthwestDustGCM Average42090N/AACMI</v>
      </c>
      <c r="C865" s="33" t="s">
        <v>85</v>
      </c>
      <c r="D865" s="33" t="s">
        <v>15</v>
      </c>
      <c r="E865" s="34">
        <v>4</v>
      </c>
      <c r="F865" s="34">
        <v>2090</v>
      </c>
      <c r="G865" s="34" t="s">
        <v>201</v>
      </c>
      <c r="H865" s="35" t="s">
        <v>195</v>
      </c>
      <c r="I865" s="43" t="s">
        <v>439</v>
      </c>
      <c r="P865">
        <v>1.235287883167048E-5</v>
      </c>
    </row>
    <row r="866" spans="1:16" hidden="1" x14ac:dyDescent="0.35">
      <c r="A866" s="3">
        <f xml:space="preserve"> ROW( data_scaledImpacts[[#This Row],[row_id]] ) - ROW( data_scaledImpacts[[#Headers],[row_id]] )</f>
        <v>865</v>
      </c>
      <c r="B866" s="41" t="str">
        <f xml:space="preserve"> _xlfn.TEXTJOIN( "", , data_scaledImpacts[[#This Row],[sector]:[impactType]] )</f>
        <v>SouthwestDustCanESM252090N/AACMI</v>
      </c>
      <c r="C866" s="33" t="s">
        <v>85</v>
      </c>
      <c r="D866" s="33" t="s">
        <v>0</v>
      </c>
      <c r="E866" s="34">
        <v>5</v>
      </c>
      <c r="F866" s="34">
        <v>2090</v>
      </c>
      <c r="G866" s="34" t="s">
        <v>201</v>
      </c>
      <c r="H866" s="35" t="s">
        <v>195</v>
      </c>
      <c r="I866" s="43" t="s">
        <v>440</v>
      </c>
      <c r="P866">
        <v>9.2835459063335747E-6</v>
      </c>
    </row>
    <row r="867" spans="1:16" hidden="1" x14ac:dyDescent="0.35">
      <c r="A867" s="3">
        <f xml:space="preserve"> ROW( data_scaledImpacts[[#This Row],[row_id]] ) - ROW( data_scaledImpacts[[#Headers],[row_id]] )</f>
        <v>866</v>
      </c>
      <c r="B867" s="41" t="str">
        <f xml:space="preserve"> _xlfn.TEXTJOIN( "", , data_scaledImpacts[[#This Row],[sector]:[impactType]] )</f>
        <v>SouthwestDustCCSM452090N/AACMI</v>
      </c>
      <c r="C867" s="33" t="s">
        <v>85</v>
      </c>
      <c r="D867" s="33" t="s">
        <v>1</v>
      </c>
      <c r="E867" s="34">
        <v>5</v>
      </c>
      <c r="F867" s="34">
        <v>2090</v>
      </c>
      <c r="G867" s="34" t="s">
        <v>201</v>
      </c>
      <c r="H867" s="35" t="s">
        <v>195</v>
      </c>
      <c r="I867" s="43" t="s">
        <v>441</v>
      </c>
      <c r="P867">
        <v>1.9528107060328617E-5</v>
      </c>
    </row>
    <row r="868" spans="1:16" hidden="1" x14ac:dyDescent="0.35">
      <c r="A868" s="3">
        <f xml:space="preserve"> ROW( data_scaledImpacts[[#This Row],[row_id]] ) - ROW( data_scaledImpacts[[#Headers],[row_id]] )</f>
        <v>867</v>
      </c>
      <c r="B868" s="41" t="str">
        <f xml:space="preserve"> _xlfn.TEXTJOIN( "", , data_scaledImpacts[[#This Row],[sector]:[impactType]] )</f>
        <v>SouthwestDustGISS-E2-R52090N/AACMI</v>
      </c>
      <c r="C868" s="33" t="s">
        <v>85</v>
      </c>
      <c r="D868" s="33" t="s">
        <v>2</v>
      </c>
      <c r="E868" s="34">
        <v>5</v>
      </c>
      <c r="F868" s="34">
        <v>2090</v>
      </c>
      <c r="G868" s="34" t="s">
        <v>201</v>
      </c>
      <c r="H868" s="35" t="s">
        <v>195</v>
      </c>
      <c r="I868" s="43" t="s">
        <v>442</v>
      </c>
    </row>
    <row r="869" spans="1:16" hidden="1" x14ac:dyDescent="0.35">
      <c r="A869" s="3">
        <f xml:space="preserve"> ROW( data_scaledImpacts[[#This Row],[row_id]] ) - ROW( data_scaledImpacts[[#Headers],[row_id]] )</f>
        <v>868</v>
      </c>
      <c r="B869" s="41" t="str">
        <f xml:space="preserve"> _xlfn.TEXTJOIN( "", , data_scaledImpacts[[#This Row],[sector]:[impactType]] )</f>
        <v>SouthwestDustHadGEM2-ES52090N/AACMI</v>
      </c>
      <c r="C869" s="33" t="s">
        <v>85</v>
      </c>
      <c r="D869" s="33" t="s">
        <v>3</v>
      </c>
      <c r="E869" s="34">
        <v>5</v>
      </c>
      <c r="F869" s="34">
        <v>2090</v>
      </c>
      <c r="G869" s="34" t="s">
        <v>201</v>
      </c>
      <c r="H869" s="35" t="s">
        <v>195</v>
      </c>
      <c r="I869" s="43" t="s">
        <v>443</v>
      </c>
      <c r="P869">
        <v>1.6441819025801258E-5</v>
      </c>
    </row>
    <row r="870" spans="1:16" hidden="1" x14ac:dyDescent="0.35">
      <c r="A870" s="3">
        <f xml:space="preserve"> ROW( data_scaledImpacts[[#This Row],[row_id]] ) - ROW( data_scaledImpacts[[#Headers],[row_id]] )</f>
        <v>869</v>
      </c>
      <c r="B870" s="41" t="str">
        <f xml:space="preserve"> _xlfn.TEXTJOIN( "", , data_scaledImpacts[[#This Row],[sector]:[impactType]] )</f>
        <v>SouthwestDustMIROC552090N/AACMI</v>
      </c>
      <c r="C870" s="33" t="s">
        <v>85</v>
      </c>
      <c r="D870" s="33" t="s">
        <v>4</v>
      </c>
      <c r="E870" s="34">
        <v>5</v>
      </c>
      <c r="F870" s="34">
        <v>2090</v>
      </c>
      <c r="G870" s="34" t="s">
        <v>201</v>
      </c>
      <c r="H870" s="35" t="s">
        <v>195</v>
      </c>
      <c r="I870" s="43" t="s">
        <v>444</v>
      </c>
      <c r="P870">
        <v>1.7741222801889661E-5</v>
      </c>
    </row>
    <row r="871" spans="1:16" hidden="1" x14ac:dyDescent="0.35">
      <c r="A871" s="3">
        <f xml:space="preserve"> ROW( data_scaledImpacts[[#This Row],[row_id]] ) - ROW( data_scaledImpacts[[#Headers],[row_id]] )</f>
        <v>870</v>
      </c>
      <c r="B871" s="41" t="str">
        <f xml:space="preserve"> _xlfn.TEXTJOIN( "", , data_scaledImpacts[[#This Row],[sector]:[impactType]] )</f>
        <v>SouthwestDustGFDL-CM352090N/AACMI</v>
      </c>
      <c r="C871" s="33" t="s">
        <v>85</v>
      </c>
      <c r="D871" s="33" t="s">
        <v>5</v>
      </c>
      <c r="E871" s="34">
        <v>5</v>
      </c>
      <c r="F871" s="34">
        <v>2090</v>
      </c>
      <c r="G871" s="34" t="s">
        <v>201</v>
      </c>
      <c r="H871" s="35" t="s">
        <v>195</v>
      </c>
      <c r="I871" s="43" t="s">
        <v>445</v>
      </c>
      <c r="P871">
        <v>2.2208532634710051E-5</v>
      </c>
    </row>
    <row r="872" spans="1:16" hidden="1" x14ac:dyDescent="0.35">
      <c r="A872" s="3">
        <f xml:space="preserve"> ROW( data_scaledImpacts[[#This Row],[row_id]] ) - ROW( data_scaledImpacts[[#Headers],[row_id]] )</f>
        <v>871</v>
      </c>
      <c r="B872" s="41" t="str">
        <f xml:space="preserve"> _xlfn.TEXTJOIN( "", , data_scaledImpacts[[#This Row],[sector]:[impactType]] )</f>
        <v>SouthwestDustGCM Average52090N/AACMI</v>
      </c>
      <c r="C872" s="33" t="s">
        <v>85</v>
      </c>
      <c r="D872" s="33" t="s">
        <v>15</v>
      </c>
      <c r="E872" s="34">
        <v>5</v>
      </c>
      <c r="F872" s="34">
        <v>2090</v>
      </c>
      <c r="G872" s="34" t="s">
        <v>201</v>
      </c>
      <c r="H872" s="35" t="s">
        <v>195</v>
      </c>
      <c r="I872" s="43" t="s">
        <v>446</v>
      </c>
      <c r="P872">
        <v>1.704064548581263E-5</v>
      </c>
    </row>
    <row r="873" spans="1:16" hidden="1" x14ac:dyDescent="0.35">
      <c r="A873" s="3">
        <f xml:space="preserve"> ROW( data_scaledImpacts[[#This Row],[row_id]] ) - ROW( data_scaledImpacts[[#Headers],[row_id]] )</f>
        <v>872</v>
      </c>
      <c r="B873" s="41" t="str">
        <f xml:space="preserve"> _xlfn.TEXTJOIN( "", , data_scaledImpacts[[#This Row],[sector]:[impactType]] )</f>
        <v>SouthwestDustCanESM262090N/AACMI</v>
      </c>
      <c r="C873" s="33" t="s">
        <v>85</v>
      </c>
      <c r="D873" s="33" t="s">
        <v>0</v>
      </c>
      <c r="E873" s="34">
        <v>6</v>
      </c>
      <c r="F873" s="34">
        <v>2090</v>
      </c>
      <c r="G873" s="34" t="s">
        <v>201</v>
      </c>
      <c r="H873" s="35" t="s">
        <v>195</v>
      </c>
      <c r="I873" s="43" t="s">
        <v>447</v>
      </c>
      <c r="P873">
        <v>1.1902065506785072E-5</v>
      </c>
    </row>
    <row r="874" spans="1:16" hidden="1" x14ac:dyDescent="0.35">
      <c r="A874" s="3">
        <f xml:space="preserve"> ROW( data_scaledImpacts[[#This Row],[row_id]] ) - ROW( data_scaledImpacts[[#Headers],[row_id]] )</f>
        <v>873</v>
      </c>
      <c r="B874" s="41" t="str">
        <f xml:space="preserve"> _xlfn.TEXTJOIN( "", , data_scaledImpacts[[#This Row],[sector]:[impactType]] )</f>
        <v>SouthwestDustCCSM462090N/AACMI</v>
      </c>
      <c r="C874" s="33" t="s">
        <v>85</v>
      </c>
      <c r="D874" s="33" t="s">
        <v>1</v>
      </c>
      <c r="E874" s="34">
        <v>6</v>
      </c>
      <c r="F874" s="34">
        <v>2090</v>
      </c>
      <c r="G874" s="34" t="s">
        <v>201</v>
      </c>
      <c r="H874" s="35" t="s">
        <v>195</v>
      </c>
      <c r="I874" s="43" t="s">
        <v>448</v>
      </c>
    </row>
    <row r="875" spans="1:16" hidden="1" x14ac:dyDescent="0.35">
      <c r="A875" s="3">
        <f xml:space="preserve"> ROW( data_scaledImpacts[[#This Row],[row_id]] ) - ROW( data_scaledImpacts[[#Headers],[row_id]] )</f>
        <v>874</v>
      </c>
      <c r="B875" s="41" t="str">
        <f xml:space="preserve"> _xlfn.TEXTJOIN( "", , data_scaledImpacts[[#This Row],[sector]:[impactType]] )</f>
        <v>SouthwestDustGISS-E2-R62090N/AACMI</v>
      </c>
      <c r="C875" s="33" t="s">
        <v>85</v>
      </c>
      <c r="D875" s="33" t="s">
        <v>2</v>
      </c>
      <c r="E875" s="34">
        <v>6</v>
      </c>
      <c r="F875" s="34">
        <v>2090</v>
      </c>
      <c r="G875" s="34" t="s">
        <v>201</v>
      </c>
      <c r="H875" s="35" t="s">
        <v>195</v>
      </c>
      <c r="I875" s="43" t="s">
        <v>449</v>
      </c>
    </row>
    <row r="876" spans="1:16" hidden="1" x14ac:dyDescent="0.35">
      <c r="A876" s="3">
        <f xml:space="preserve"> ROW( data_scaledImpacts[[#This Row],[row_id]] ) - ROW( data_scaledImpacts[[#Headers],[row_id]] )</f>
        <v>875</v>
      </c>
      <c r="B876" s="41" t="str">
        <f xml:space="preserve"> _xlfn.TEXTJOIN( "", , data_scaledImpacts[[#This Row],[sector]:[impactType]] )</f>
        <v>SouthwestDustHadGEM2-ES62090N/AACMI</v>
      </c>
      <c r="C876" s="33" t="s">
        <v>85</v>
      </c>
      <c r="D876" s="33" t="s">
        <v>3</v>
      </c>
      <c r="E876" s="34">
        <v>6</v>
      </c>
      <c r="F876" s="34">
        <v>2090</v>
      </c>
      <c r="G876" s="34" t="s">
        <v>201</v>
      </c>
      <c r="H876" s="35" t="s">
        <v>195</v>
      </c>
      <c r="I876" s="43" t="s">
        <v>450</v>
      </c>
      <c r="P876">
        <v>1.574913093024561E-5</v>
      </c>
    </row>
    <row r="877" spans="1:16" hidden="1" x14ac:dyDescent="0.35">
      <c r="A877" s="3">
        <f xml:space="preserve"> ROW( data_scaledImpacts[[#This Row],[row_id]] ) - ROW( data_scaledImpacts[[#Headers],[row_id]] )</f>
        <v>876</v>
      </c>
      <c r="B877" s="41" t="str">
        <f xml:space="preserve"> _xlfn.TEXTJOIN( "", , data_scaledImpacts[[#This Row],[sector]:[impactType]] )</f>
        <v>SouthwestDustMIROC562090N/AACMI</v>
      </c>
      <c r="C877" s="33" t="s">
        <v>85</v>
      </c>
      <c r="D877" s="33" t="s">
        <v>4</v>
      </c>
      <c r="E877" s="34">
        <v>6</v>
      </c>
      <c r="F877" s="34">
        <v>2090</v>
      </c>
      <c r="G877" s="34" t="s">
        <v>201</v>
      </c>
      <c r="H877" s="35" t="s">
        <v>195</v>
      </c>
      <c r="I877" s="43" t="s">
        <v>451</v>
      </c>
    </row>
    <row r="878" spans="1:16" hidden="1" x14ac:dyDescent="0.35">
      <c r="A878" s="3">
        <f xml:space="preserve"> ROW( data_scaledImpacts[[#This Row],[row_id]] ) - ROW( data_scaledImpacts[[#Headers],[row_id]] )</f>
        <v>877</v>
      </c>
      <c r="B878" s="41" t="str">
        <f xml:space="preserve"> _xlfn.TEXTJOIN( "", , data_scaledImpacts[[#This Row],[sector]:[impactType]] )</f>
        <v>SouthwestDustGFDL-CM362090N/AACMI</v>
      </c>
      <c r="C878" s="33" t="s">
        <v>85</v>
      </c>
      <c r="D878" s="33" t="s">
        <v>5</v>
      </c>
      <c r="E878" s="34">
        <v>6</v>
      </c>
      <c r="F878" s="34">
        <v>2090</v>
      </c>
      <c r="G878" s="34" t="s">
        <v>201</v>
      </c>
      <c r="H878" s="35" t="s">
        <v>195</v>
      </c>
      <c r="I878" s="43" t="s">
        <v>452</v>
      </c>
      <c r="P878">
        <v>2.5469180084708901E-5</v>
      </c>
    </row>
    <row r="879" spans="1:16" hidden="1" x14ac:dyDescent="0.35">
      <c r="A879" s="3">
        <f xml:space="preserve"> ROW( data_scaledImpacts[[#This Row],[row_id]] ) - ROW( data_scaledImpacts[[#Headers],[row_id]] )</f>
        <v>878</v>
      </c>
      <c r="B879" s="41" t="str">
        <f xml:space="preserve"> _xlfn.TEXTJOIN( "", , data_scaledImpacts[[#This Row],[sector]:[impactType]] )</f>
        <v>SouthwestDustGCM Average62090N/AACMI</v>
      </c>
      <c r="C879" s="33" t="s">
        <v>85</v>
      </c>
      <c r="D879" s="33" t="s">
        <v>15</v>
      </c>
      <c r="E879" s="34">
        <v>6</v>
      </c>
      <c r="F879" s="34">
        <v>2090</v>
      </c>
      <c r="G879" s="34" t="s">
        <v>201</v>
      </c>
      <c r="H879" s="35" t="s">
        <v>195</v>
      </c>
      <c r="I879" s="43" t="s">
        <v>453</v>
      </c>
      <c r="P879">
        <v>1.7706792173913194E-5</v>
      </c>
    </row>
    <row r="880" spans="1:16" hidden="1" x14ac:dyDescent="0.35">
      <c r="A880" s="3">
        <f xml:space="preserve"> ROW( data_scaledImpacts[[#This Row],[row_id]] ) - ROW( data_scaledImpacts[[#Headers],[row_id]] )</f>
        <v>879</v>
      </c>
      <c r="B880" s="41" t="str">
        <f xml:space="preserve"> _xlfn.TEXTJOIN( "", , data_scaledImpacts[[#This Row],[sector]:[impactType]] )</f>
        <v>SouthwestDustCanESM272090N/AACMI</v>
      </c>
      <c r="C880" s="33" t="s">
        <v>85</v>
      </c>
      <c r="D880" s="33" t="s">
        <v>0</v>
      </c>
      <c r="E880" s="34">
        <v>7</v>
      </c>
      <c r="F880" s="34">
        <v>2090</v>
      </c>
      <c r="G880" s="34" t="s">
        <v>201</v>
      </c>
      <c r="H880" s="35" t="s">
        <v>195</v>
      </c>
      <c r="I880" s="43" t="s">
        <v>454</v>
      </c>
    </row>
    <row r="881" spans="1:16" hidden="1" x14ac:dyDescent="0.35">
      <c r="A881" s="3">
        <f xml:space="preserve"> ROW( data_scaledImpacts[[#This Row],[row_id]] ) - ROW( data_scaledImpacts[[#Headers],[row_id]] )</f>
        <v>880</v>
      </c>
      <c r="B881" s="41" t="str">
        <f xml:space="preserve"> _xlfn.TEXTJOIN( "", , data_scaledImpacts[[#This Row],[sector]:[impactType]] )</f>
        <v>SouthwestDustCCSM472090N/AACMI</v>
      </c>
      <c r="C881" s="33" t="s">
        <v>85</v>
      </c>
      <c r="D881" s="33" t="s">
        <v>1</v>
      </c>
      <c r="E881" s="34">
        <v>7</v>
      </c>
      <c r="F881" s="34">
        <v>2090</v>
      </c>
      <c r="G881" s="34" t="s">
        <v>201</v>
      </c>
      <c r="H881" s="35" t="s">
        <v>195</v>
      </c>
      <c r="I881" s="43" t="s">
        <v>455</v>
      </c>
    </row>
    <row r="882" spans="1:16" hidden="1" x14ac:dyDescent="0.35">
      <c r="A882" s="3">
        <f xml:space="preserve"> ROW( data_scaledImpacts[[#This Row],[row_id]] ) - ROW( data_scaledImpacts[[#Headers],[row_id]] )</f>
        <v>881</v>
      </c>
      <c r="B882" s="41" t="str">
        <f xml:space="preserve"> _xlfn.TEXTJOIN( "", , data_scaledImpacts[[#This Row],[sector]:[impactType]] )</f>
        <v>SouthwestDustGISS-E2-R72090N/AACMI</v>
      </c>
      <c r="C882" s="33" t="s">
        <v>85</v>
      </c>
      <c r="D882" s="33" t="s">
        <v>2</v>
      </c>
      <c r="E882" s="34">
        <v>7</v>
      </c>
      <c r="F882" s="34">
        <v>2090</v>
      </c>
      <c r="G882" s="34" t="s">
        <v>201</v>
      </c>
      <c r="H882" s="35" t="s">
        <v>195</v>
      </c>
      <c r="I882" s="43" t="s">
        <v>456</v>
      </c>
    </row>
    <row r="883" spans="1:16" hidden="1" x14ac:dyDescent="0.35">
      <c r="A883" s="3">
        <f xml:space="preserve"> ROW( data_scaledImpacts[[#This Row],[row_id]] ) - ROW( data_scaledImpacts[[#Headers],[row_id]] )</f>
        <v>882</v>
      </c>
      <c r="B883" s="41" t="str">
        <f xml:space="preserve"> _xlfn.TEXTJOIN( "", , data_scaledImpacts[[#This Row],[sector]:[impactType]] )</f>
        <v>SouthwestDustHadGEM2-ES72090N/AACMI</v>
      </c>
      <c r="C883" s="33" t="s">
        <v>85</v>
      </c>
      <c r="D883" s="33" t="s">
        <v>3</v>
      </c>
      <c r="E883" s="34">
        <v>7</v>
      </c>
      <c r="F883" s="34">
        <v>2090</v>
      </c>
      <c r="G883" s="34" t="s">
        <v>201</v>
      </c>
      <c r="H883" s="35" t="s">
        <v>195</v>
      </c>
      <c r="I883" s="43" t="s">
        <v>457</v>
      </c>
    </row>
    <row r="884" spans="1:16" hidden="1" x14ac:dyDescent="0.35">
      <c r="A884" s="3">
        <f xml:space="preserve"> ROW( data_scaledImpacts[[#This Row],[row_id]] ) - ROW( data_scaledImpacts[[#Headers],[row_id]] )</f>
        <v>883</v>
      </c>
      <c r="B884" s="41" t="str">
        <f xml:space="preserve"> _xlfn.TEXTJOIN( "", , data_scaledImpacts[[#This Row],[sector]:[impactType]] )</f>
        <v>SouthwestDustMIROC572090N/AACMI</v>
      </c>
      <c r="C884" s="33" t="s">
        <v>85</v>
      </c>
      <c r="D884" s="33" t="s">
        <v>4</v>
      </c>
      <c r="E884" s="34">
        <v>7</v>
      </c>
      <c r="F884" s="34">
        <v>2090</v>
      </c>
      <c r="G884" s="34" t="s">
        <v>201</v>
      </c>
      <c r="H884" s="35" t="s">
        <v>195</v>
      </c>
      <c r="I884" s="43" t="s">
        <v>458</v>
      </c>
    </row>
    <row r="885" spans="1:16" hidden="1" x14ac:dyDescent="0.35">
      <c r="A885" s="3">
        <f xml:space="preserve"> ROW( data_scaledImpacts[[#This Row],[row_id]] ) - ROW( data_scaledImpacts[[#Headers],[row_id]] )</f>
        <v>884</v>
      </c>
      <c r="B885" s="41" t="str">
        <f xml:space="preserve"> _xlfn.TEXTJOIN( "", , data_scaledImpacts[[#This Row],[sector]:[impactType]] )</f>
        <v>SouthwestDustGFDL-CM372090N/AACMI</v>
      </c>
      <c r="C885" s="33" t="s">
        <v>85</v>
      </c>
      <c r="D885" s="33" t="s">
        <v>5</v>
      </c>
      <c r="E885" s="34">
        <v>7</v>
      </c>
      <c r="F885" s="34">
        <v>2090</v>
      </c>
      <c r="G885" s="34" t="s">
        <v>201</v>
      </c>
      <c r="H885" s="35" t="s">
        <v>195</v>
      </c>
      <c r="I885" s="43" t="s">
        <v>459</v>
      </c>
    </row>
    <row r="886" spans="1:16" hidden="1" x14ac:dyDescent="0.35">
      <c r="A886" s="3">
        <f xml:space="preserve"> ROW( data_scaledImpacts[[#This Row],[row_id]] ) - ROW( data_scaledImpacts[[#Headers],[row_id]] )</f>
        <v>885</v>
      </c>
      <c r="B886" s="41" t="str">
        <f xml:space="preserve"> _xlfn.TEXTJOIN( "", , data_scaledImpacts[[#This Row],[sector]:[impactType]] )</f>
        <v>SouthwestDustGCM Average72090N/AACMI</v>
      </c>
      <c r="C886" s="33" t="s">
        <v>85</v>
      </c>
      <c r="D886" s="33" t="s">
        <v>15</v>
      </c>
      <c r="E886" s="34">
        <v>7</v>
      </c>
      <c r="F886" s="34">
        <v>2090</v>
      </c>
      <c r="G886" s="34" t="s">
        <v>201</v>
      </c>
      <c r="H886" s="35" t="s">
        <v>195</v>
      </c>
      <c r="I886" s="43" t="s">
        <v>460</v>
      </c>
      <c r="P886" t="s">
        <v>26</v>
      </c>
    </row>
    <row r="887" spans="1:16" hidden="1" x14ac:dyDescent="0.35">
      <c r="A887" s="3">
        <f xml:space="preserve"> ROW( data_scaledImpacts[[#This Row],[row_id]] ) - ROW( data_scaledImpacts[[#Headers],[row_id]] )</f>
        <v>886</v>
      </c>
      <c r="B887" s="41" t="str">
        <f xml:space="preserve"> _xlfn.TEXTJOIN( "", , data_scaledImpacts[[#This Row],[sector]:[impactType]] )</f>
        <v/>
      </c>
      <c r="C887" s="33"/>
      <c r="D887" s="33"/>
      <c r="E887" s="34"/>
      <c r="F887" s="34"/>
      <c r="G887" s="34"/>
      <c r="H887" s="35"/>
      <c r="I887" s="43"/>
      <c r="J887" s="36"/>
      <c r="K887" s="36"/>
      <c r="L887" s="37"/>
      <c r="M887" s="36"/>
      <c r="N887" s="36"/>
      <c r="O887" s="36"/>
    </row>
    <row r="888" spans="1:16" hidden="1" x14ac:dyDescent="0.35">
      <c r="A888" s="3">
        <f xml:space="preserve"> ROW( data_scaledImpacts[[#This Row],[row_id]] ) - ROW( data_scaledImpacts[[#Headers],[row_id]] )</f>
        <v>887</v>
      </c>
      <c r="B888" s="41" t="str">
        <f xml:space="preserve"> _xlfn.TEXTJOIN( "", , data_scaledImpacts[[#This Row],[sector]:[impactType]] )</f>
        <v>WinterRecCanESM212010N/ASnowmobiling</v>
      </c>
      <c r="C888" s="33" t="s">
        <v>89</v>
      </c>
      <c r="D888" s="33" t="s">
        <v>0</v>
      </c>
      <c r="E888" s="34">
        <v>1</v>
      </c>
      <c r="F888" s="34">
        <v>2010</v>
      </c>
      <c r="G888" s="34" t="s">
        <v>201</v>
      </c>
      <c r="H888" s="35" t="s">
        <v>92</v>
      </c>
      <c r="I888" s="43" t="s">
        <v>93</v>
      </c>
      <c r="J888" s="36">
        <v>2.0898639970534798E-4</v>
      </c>
      <c r="K888" s="36">
        <v>6.9143690915469532E-3</v>
      </c>
      <c r="L888" s="37">
        <v>1.8671890221141071E-2</v>
      </c>
      <c r="M888" s="36">
        <v>-1.6402344957931669E-3</v>
      </c>
      <c r="N888" s="36">
        <v>1.6796244816034313E-5</v>
      </c>
      <c r="O888" s="36"/>
      <c r="P888">
        <v>3.1527897324424474E-4</v>
      </c>
    </row>
    <row r="889" spans="1:16" hidden="1" x14ac:dyDescent="0.35">
      <c r="A889" s="3">
        <f xml:space="preserve"> ROW( data_scaledImpacts[[#This Row],[row_id]] ) - ROW( data_scaledImpacts[[#Headers],[row_id]] )</f>
        <v>888</v>
      </c>
      <c r="B889" s="41" t="str">
        <f xml:space="preserve"> _xlfn.TEXTJOIN( "", , data_scaledImpacts[[#This Row],[sector]:[impactType]] )</f>
        <v>WinterRecCCSM412010N/ASnowmobiling</v>
      </c>
      <c r="C889" s="33" t="s">
        <v>89</v>
      </c>
      <c r="D889" s="33" t="s">
        <v>1</v>
      </c>
      <c r="E889" s="34">
        <v>1</v>
      </c>
      <c r="F889" s="34">
        <v>2010</v>
      </c>
      <c r="G889" s="34" t="s">
        <v>201</v>
      </c>
      <c r="H889" s="35" t="s">
        <v>92</v>
      </c>
      <c r="I889" s="43" t="s">
        <v>94</v>
      </c>
      <c r="J889" s="36">
        <v>6.7215013841021966E-3</v>
      </c>
      <c r="K889" s="36">
        <v>2.6315063109060149E-3</v>
      </c>
      <c r="L889" s="37">
        <v>1.9418344482621943E-2</v>
      </c>
      <c r="M889" s="36">
        <v>1.3459291419521367E-2</v>
      </c>
      <c r="N889" s="36">
        <v>3.359248963206866E-6</v>
      </c>
      <c r="O889" s="36"/>
      <c r="P889">
        <v>2.7618713213728909E-3</v>
      </c>
    </row>
    <row r="890" spans="1:16" hidden="1" x14ac:dyDescent="0.35">
      <c r="A890" s="3">
        <f xml:space="preserve"> ROW( data_scaledImpacts[[#This Row],[row_id]] ) - ROW( data_scaledImpacts[[#Headers],[row_id]] )</f>
        <v>889</v>
      </c>
      <c r="B890" s="41" t="str">
        <f xml:space="preserve"> _xlfn.TEXTJOIN( "", , data_scaledImpacts[[#This Row],[sector]:[impactType]] )</f>
        <v>WinterRecGISS-E2-R12010N/ASnowmobiling</v>
      </c>
      <c r="C890" s="33" t="s">
        <v>89</v>
      </c>
      <c r="D890" s="33" t="s">
        <v>2</v>
      </c>
      <c r="E890" s="34">
        <v>1</v>
      </c>
      <c r="F890" s="34">
        <v>2010</v>
      </c>
      <c r="G890" s="34" t="s">
        <v>201</v>
      </c>
      <c r="H890" s="35" t="s">
        <v>92</v>
      </c>
      <c r="I890" s="43" t="s">
        <v>95</v>
      </c>
      <c r="J890" s="36">
        <v>2.5253036770354807E-2</v>
      </c>
      <c r="K890" s="36">
        <v>7.2083636304955904E-3</v>
      </c>
      <c r="L890" s="37">
        <v>2.2539676423740256E-2</v>
      </c>
      <c r="M890" s="36">
        <v>1.8845101430017178E-2</v>
      </c>
      <c r="N890" s="36">
        <v>1.217727749162487E-5</v>
      </c>
      <c r="O890" s="36"/>
      <c r="P890">
        <v>1.8242571258061536E-3</v>
      </c>
    </row>
    <row r="891" spans="1:16" hidden="1" x14ac:dyDescent="0.35">
      <c r="A891" s="3">
        <f xml:space="preserve"> ROW( data_scaledImpacts[[#This Row],[row_id]] ) - ROW( data_scaledImpacts[[#Headers],[row_id]] )</f>
        <v>890</v>
      </c>
      <c r="B891" s="41" t="str">
        <f xml:space="preserve"> _xlfn.TEXTJOIN( "", , data_scaledImpacts[[#This Row],[sector]:[impactType]] )</f>
        <v>WinterRecHadGEM2-ES12010N/ASnowmobiling</v>
      </c>
      <c r="C891" s="33" t="s">
        <v>89</v>
      </c>
      <c r="D891" s="33" t="s">
        <v>3</v>
      </c>
      <c r="E891" s="34">
        <v>1</v>
      </c>
      <c r="F891" s="34">
        <v>2010</v>
      </c>
      <c r="G891" s="34" t="s">
        <v>201</v>
      </c>
      <c r="H891" s="35" t="s">
        <v>92</v>
      </c>
      <c r="I891" s="43" t="s">
        <v>96</v>
      </c>
      <c r="J891" s="36">
        <v>1.7747480106921173E-2</v>
      </c>
      <c r="K891" s="36">
        <v>5.1173458557920515E-3</v>
      </c>
      <c r="L891" s="37">
        <v>-2.709138294652974E-4</v>
      </c>
      <c r="M891" s="36">
        <v>1.9581574924484566E-2</v>
      </c>
      <c r="N891" s="36">
        <v>1.7636057056836027E-5</v>
      </c>
      <c r="O891" s="36"/>
      <c r="P891">
        <v>-6.1915951159503008E-3</v>
      </c>
    </row>
    <row r="892" spans="1:16" hidden="1" x14ac:dyDescent="0.35">
      <c r="A892" s="3">
        <f xml:space="preserve"> ROW( data_scaledImpacts[[#This Row],[row_id]] ) - ROW( data_scaledImpacts[[#Headers],[row_id]] )</f>
        <v>891</v>
      </c>
      <c r="B892" s="41" t="str">
        <f xml:space="preserve"> _xlfn.TEXTJOIN( "", , data_scaledImpacts[[#This Row],[sector]:[impactType]] )</f>
        <v>WinterRecMIROC512010N/ASnowmobiling</v>
      </c>
      <c r="C892" s="33" t="s">
        <v>89</v>
      </c>
      <c r="D892" s="33" t="s">
        <v>4</v>
      </c>
      <c r="E892" s="34">
        <v>1</v>
      </c>
      <c r="F892" s="34">
        <v>2010</v>
      </c>
      <c r="G892" s="34" t="s">
        <v>201</v>
      </c>
      <c r="H892" s="35" t="s">
        <v>92</v>
      </c>
      <c r="I892" s="43" t="s">
        <v>97</v>
      </c>
      <c r="J892" s="36">
        <v>1.2304824246285354E-2</v>
      </c>
      <c r="K892" s="36">
        <v>4.646216732990479E-3</v>
      </c>
      <c r="L892" s="37">
        <v>5.3548913678604572E-2</v>
      </c>
      <c r="M892" s="36">
        <v>3.0435566911718767E-2</v>
      </c>
      <c r="N892" s="36">
        <v>2.561427334445233E-5</v>
      </c>
      <c r="O892" s="36"/>
      <c r="P892">
        <v>3.0410425645591103E-3</v>
      </c>
    </row>
    <row r="893" spans="1:16" hidden="1" x14ac:dyDescent="0.35">
      <c r="A893" s="3">
        <f xml:space="preserve"> ROW( data_scaledImpacts[[#This Row],[row_id]] ) - ROW( data_scaledImpacts[[#Headers],[row_id]] )</f>
        <v>892</v>
      </c>
      <c r="B893" s="41" t="str">
        <f xml:space="preserve"> _xlfn.TEXTJOIN( "", , data_scaledImpacts[[#This Row],[sector]:[impactType]] )</f>
        <v>WinterRecGFDL-CM312010N/ASnowmobiling</v>
      </c>
      <c r="C893" s="33" t="s">
        <v>89</v>
      </c>
      <c r="D893" s="33" t="s">
        <v>5</v>
      </c>
      <c r="E893" s="34">
        <v>1</v>
      </c>
      <c r="F893" s="34">
        <v>2010</v>
      </c>
      <c r="G893" s="34" t="s">
        <v>201</v>
      </c>
      <c r="H893" s="35" t="s">
        <v>92</v>
      </c>
      <c r="I893" s="43" t="s">
        <v>98</v>
      </c>
      <c r="J893" s="36">
        <v>4.7188233114577819E-3</v>
      </c>
      <c r="K893" s="36">
        <v>4.9887934808556409E-3</v>
      </c>
      <c r="L893" s="37">
        <v>-2.7999858614374158E-2</v>
      </c>
      <c r="M893" s="36">
        <v>6.1548622487966219E-3</v>
      </c>
      <c r="N893" s="36">
        <v>1.3436995852827459E-5</v>
      </c>
      <c r="O893" s="36"/>
      <c r="P893">
        <v>-3.6225169684846566E-4</v>
      </c>
    </row>
    <row r="894" spans="1:16" hidden="1" x14ac:dyDescent="0.35">
      <c r="A894" s="3">
        <f xml:space="preserve"> ROW( data_scaledImpacts[[#This Row],[row_id]] ) - ROW( data_scaledImpacts[[#Headers],[row_id]] )</f>
        <v>893</v>
      </c>
      <c r="B894" s="41" t="str">
        <f xml:space="preserve"> _xlfn.TEXTJOIN( "", , data_scaledImpacts[[#This Row],[sector]:[impactType]] )</f>
        <v>WinterRecGCM Average12010N/ASnowmobiling</v>
      </c>
      <c r="C894" s="33" t="s">
        <v>89</v>
      </c>
      <c r="D894" s="33" t="s">
        <v>15</v>
      </c>
      <c r="E894" s="34">
        <v>1</v>
      </c>
      <c r="F894" s="34">
        <v>2010</v>
      </c>
      <c r="G894" s="34" t="s">
        <v>201</v>
      </c>
      <c r="H894" s="35" t="s">
        <v>92</v>
      </c>
      <c r="I894" s="43" t="s">
        <v>99</v>
      </c>
      <c r="J894" s="36">
        <v>1.1159108703137776E-2</v>
      </c>
      <c r="K894" s="36">
        <v>5.2510991837644546E-3</v>
      </c>
      <c r="L894" s="37">
        <v>1.4318008727044732E-2</v>
      </c>
      <c r="M894" s="36">
        <v>1.4472693739790888E-2</v>
      </c>
      <c r="N894" s="36">
        <v>1.483668292083031E-5</v>
      </c>
      <c r="O894" s="36"/>
      <c r="P894">
        <v>2.3143386203060547E-4</v>
      </c>
    </row>
    <row r="895" spans="1:16" hidden="1" x14ac:dyDescent="0.35">
      <c r="A895" s="3">
        <f xml:space="preserve"> ROW( data_scaledImpacts[[#This Row],[row_id]] ) - ROW( data_scaledImpacts[[#Headers],[row_id]] )</f>
        <v>894</v>
      </c>
      <c r="B895" s="41" t="str">
        <f xml:space="preserve"> _xlfn.TEXTJOIN( "", , data_scaledImpacts[[#This Row],[sector]:[impactType]] )</f>
        <v>WinterRecCanESM222010N/ASnowmobiling</v>
      </c>
      <c r="C895" s="33" t="s">
        <v>89</v>
      </c>
      <c r="D895" s="33" t="s">
        <v>0</v>
      </c>
      <c r="E895" s="34">
        <v>2</v>
      </c>
      <c r="F895" s="34">
        <v>2010</v>
      </c>
      <c r="G895" s="34" t="s">
        <v>201</v>
      </c>
      <c r="H895" s="35" t="s">
        <v>92</v>
      </c>
      <c r="I895" s="43" t="s">
        <v>100</v>
      </c>
      <c r="J895" s="36">
        <v>1.369727543549821E-2</v>
      </c>
      <c r="K895" s="36">
        <v>8.9631836985492892E-3</v>
      </c>
      <c r="L895" s="37">
        <v>4.9302517550471922E-2</v>
      </c>
      <c r="M895" s="36">
        <v>6.1925948643574126E-2</v>
      </c>
      <c r="N895" s="36">
        <v>2.561427334445233E-5</v>
      </c>
      <c r="O895" s="36"/>
      <c r="P895">
        <v>8.0039374022203968E-3</v>
      </c>
    </row>
    <row r="896" spans="1:16" hidden="1" x14ac:dyDescent="0.35">
      <c r="A896" s="3">
        <f xml:space="preserve"> ROW( data_scaledImpacts[[#This Row],[row_id]] ) - ROW( data_scaledImpacts[[#Headers],[row_id]] )</f>
        <v>895</v>
      </c>
      <c r="B896" s="41" t="str">
        <f xml:space="preserve"> _xlfn.TEXTJOIN( "", , data_scaledImpacts[[#This Row],[sector]:[impactType]] )</f>
        <v>WinterRecCCSM422010N/ASnowmobiling</v>
      </c>
      <c r="C896" s="33" t="s">
        <v>89</v>
      </c>
      <c r="D896" s="33" t="s">
        <v>1</v>
      </c>
      <c r="E896" s="34">
        <v>2</v>
      </c>
      <c r="F896" s="34">
        <v>2010</v>
      </c>
      <c r="G896" s="34" t="s">
        <v>201</v>
      </c>
      <c r="H896" s="35" t="s">
        <v>92</v>
      </c>
      <c r="I896" s="43" t="s">
        <v>101</v>
      </c>
      <c r="J896" s="36">
        <v>1.1731037101111423E-2</v>
      </c>
      <c r="K896" s="36">
        <v>4.3345962641272197E-3</v>
      </c>
      <c r="L896" s="37">
        <v>9.3077954938008495E-2</v>
      </c>
      <c r="M896" s="36">
        <v>6.0398393807064743E-2</v>
      </c>
      <c r="N896" s="36">
        <v>2.0575399899642028E-5</v>
      </c>
      <c r="O896" s="36"/>
      <c r="P896">
        <v>1.158144959457238E-2</v>
      </c>
    </row>
    <row r="897" spans="1:16" hidden="1" x14ac:dyDescent="0.35">
      <c r="A897" s="3">
        <f xml:space="preserve"> ROW( data_scaledImpacts[[#This Row],[row_id]] ) - ROW( data_scaledImpacts[[#Headers],[row_id]] )</f>
        <v>896</v>
      </c>
      <c r="B897" s="41" t="str">
        <f xml:space="preserve"> _xlfn.TEXTJOIN( "", , data_scaledImpacts[[#This Row],[sector]:[impactType]] )</f>
        <v>WinterRecGISS-E2-R22010N/ASnowmobiling</v>
      </c>
      <c r="C897" s="33" t="s">
        <v>89</v>
      </c>
      <c r="D897" s="33" t="s">
        <v>2</v>
      </c>
      <c r="E897" s="34">
        <v>2</v>
      </c>
      <c r="F897" s="34">
        <v>2010</v>
      </c>
      <c r="G897" s="34" t="s">
        <v>201</v>
      </c>
      <c r="H897" s="35" t="s">
        <v>92</v>
      </c>
      <c r="I897" s="43" t="s">
        <v>102</v>
      </c>
      <c r="J897" s="36">
        <v>2.7328574402551535E-2</v>
      </c>
      <c r="K897" s="36">
        <v>1.2152676345960296E-2</v>
      </c>
      <c r="L897" s="37">
        <v>3.62213670666734E-2</v>
      </c>
      <c r="M897" s="36">
        <v>3.2878408914709167E-2</v>
      </c>
      <c r="N897" s="36">
        <v>2.5194367224051477E-6</v>
      </c>
      <c r="O897" s="36"/>
      <c r="P897">
        <v>3.4477229221078973E-3</v>
      </c>
    </row>
    <row r="898" spans="1:16" hidden="1" x14ac:dyDescent="0.35">
      <c r="A898" s="3">
        <f xml:space="preserve"> ROW( data_scaledImpacts[[#This Row],[row_id]] ) - ROW( data_scaledImpacts[[#Headers],[row_id]] )</f>
        <v>897</v>
      </c>
      <c r="B898" s="41" t="str">
        <f xml:space="preserve"> _xlfn.TEXTJOIN( "", , data_scaledImpacts[[#This Row],[sector]:[impactType]] )</f>
        <v>WinterRecHadGEM2-ES22010N/ASnowmobiling</v>
      </c>
      <c r="C898" s="33" t="s">
        <v>89</v>
      </c>
      <c r="D898" s="33" t="s">
        <v>3</v>
      </c>
      <c r="E898" s="34">
        <v>2</v>
      </c>
      <c r="F898" s="34">
        <v>2010</v>
      </c>
      <c r="G898" s="34" t="s">
        <v>201</v>
      </c>
      <c r="H898" s="35" t="s">
        <v>92</v>
      </c>
      <c r="I898" s="43" t="s">
        <v>103</v>
      </c>
      <c r="J898" s="36">
        <v>1.4333092441165591E-2</v>
      </c>
      <c r="K898" s="36">
        <v>5.9333816973282487E-3</v>
      </c>
      <c r="L898" s="37">
        <v>4.4744046272643535E-2</v>
      </c>
      <c r="M898" s="36">
        <v>5.0088335508680901E-2</v>
      </c>
      <c r="N898" s="36">
        <v>2.2255024381245466E-5</v>
      </c>
      <c r="O898" s="36"/>
      <c r="P898">
        <v>4.3603222823435268E-3</v>
      </c>
    </row>
    <row r="899" spans="1:16" hidden="1" x14ac:dyDescent="0.35">
      <c r="A899" s="3">
        <f xml:space="preserve"> ROW( data_scaledImpacts[[#This Row],[row_id]] ) - ROW( data_scaledImpacts[[#Headers],[row_id]] )</f>
        <v>898</v>
      </c>
      <c r="B899" s="41" t="str">
        <f xml:space="preserve"> _xlfn.TEXTJOIN( "", , data_scaledImpacts[[#This Row],[sector]:[impactType]] )</f>
        <v>WinterRecMIROC522010N/ASnowmobiling</v>
      </c>
      <c r="C899" s="33" t="s">
        <v>89</v>
      </c>
      <c r="D899" s="33" t="s">
        <v>4</v>
      </c>
      <c r="E899" s="34">
        <v>2</v>
      </c>
      <c r="F899" s="34">
        <v>2010</v>
      </c>
      <c r="G899" s="34" t="s">
        <v>201</v>
      </c>
      <c r="H899" s="35" t="s">
        <v>92</v>
      </c>
      <c r="I899" s="43" t="s">
        <v>104</v>
      </c>
      <c r="J899" s="36">
        <v>2.5790163332614507E-2</v>
      </c>
      <c r="K899" s="36">
        <v>8.8380440634093504E-3</v>
      </c>
      <c r="L899" s="37">
        <v>0.13068729305379576</v>
      </c>
      <c r="M899" s="36">
        <v>5.5448849346116595E-2</v>
      </c>
      <c r="N899" s="36">
        <v>1.8055963177236891E-5</v>
      </c>
      <c r="O899" s="36"/>
      <c r="P899">
        <v>1.1147835556387403E-2</v>
      </c>
    </row>
    <row r="900" spans="1:16" hidden="1" x14ac:dyDescent="0.35">
      <c r="A900" s="3">
        <f xml:space="preserve"> ROW( data_scaledImpacts[[#This Row],[row_id]] ) - ROW( data_scaledImpacts[[#Headers],[row_id]] )</f>
        <v>899</v>
      </c>
      <c r="B900" s="41" t="str">
        <f xml:space="preserve"> _xlfn.TEXTJOIN( "", , data_scaledImpacts[[#This Row],[sector]:[impactType]] )</f>
        <v>WinterRecGFDL-CM322010N/ASnowmobiling</v>
      </c>
      <c r="C900" s="33" t="s">
        <v>89</v>
      </c>
      <c r="D900" s="33" t="s">
        <v>5</v>
      </c>
      <c r="E900" s="34">
        <v>2</v>
      </c>
      <c r="F900" s="34">
        <v>2010</v>
      </c>
      <c r="G900" s="34" t="s">
        <v>201</v>
      </c>
      <c r="H900" s="35" t="s">
        <v>92</v>
      </c>
      <c r="I900" s="43" t="s">
        <v>105</v>
      </c>
      <c r="J900" s="36">
        <v>1.7147138689021488E-2</v>
      </c>
      <c r="K900" s="36">
        <v>9.325117514498096E-3</v>
      </c>
      <c r="L900" s="37">
        <v>2.0924584716180649E-2</v>
      </c>
      <c r="M900" s="36">
        <v>1.0138278494945675E-2</v>
      </c>
      <c r="N900" s="36">
        <v>2.5194367224051474E-5</v>
      </c>
      <c r="O900" s="36"/>
      <c r="P900">
        <v>2.1496558475992723E-3</v>
      </c>
    </row>
    <row r="901" spans="1:16" hidden="1" x14ac:dyDescent="0.35">
      <c r="A901" s="3">
        <f xml:space="preserve"> ROW( data_scaledImpacts[[#This Row],[row_id]] ) - ROW( data_scaledImpacts[[#Headers],[row_id]] )</f>
        <v>900</v>
      </c>
      <c r="B901" s="41" t="str">
        <f xml:space="preserve"> _xlfn.TEXTJOIN( "", , data_scaledImpacts[[#This Row],[sector]:[impactType]] )</f>
        <v>WinterRecGCM Average22010N/ASnowmobiling</v>
      </c>
      <c r="C901" s="33" t="s">
        <v>89</v>
      </c>
      <c r="D901" s="33" t="s">
        <v>15</v>
      </c>
      <c r="E901" s="34">
        <v>2</v>
      </c>
      <c r="F901" s="34">
        <v>2010</v>
      </c>
      <c r="G901" s="34" t="s">
        <v>201</v>
      </c>
      <c r="H901" s="35" t="s">
        <v>92</v>
      </c>
      <c r="I901" s="43" t="s">
        <v>106</v>
      </c>
      <c r="J901" s="36">
        <v>1.833788023366046E-2</v>
      </c>
      <c r="K901" s="36">
        <v>8.2578332639787512E-3</v>
      </c>
      <c r="L901" s="37">
        <v>6.2492960599628951E-2</v>
      </c>
      <c r="M901" s="36">
        <v>4.5146369119181871E-2</v>
      </c>
      <c r="N901" s="36">
        <v>1.9035744124838889E-5</v>
      </c>
      <c r="O901" s="36"/>
      <c r="P901">
        <v>6.7818206008718115E-3</v>
      </c>
    </row>
    <row r="902" spans="1:16" hidden="1" x14ac:dyDescent="0.35">
      <c r="A902" s="3">
        <f xml:space="preserve"> ROW( data_scaledImpacts[[#This Row],[row_id]] ) - ROW( data_scaledImpacts[[#Headers],[row_id]] )</f>
        <v>901</v>
      </c>
      <c r="B902" s="41" t="str">
        <f xml:space="preserve"> _xlfn.TEXTJOIN( "", , data_scaledImpacts[[#This Row],[sector]:[impactType]] )</f>
        <v>WinterRecCanESM232010N/ASnowmobiling</v>
      </c>
      <c r="C902" s="33" t="s">
        <v>89</v>
      </c>
      <c r="D902" s="33" t="s">
        <v>0</v>
      </c>
      <c r="E902" s="34">
        <v>3</v>
      </c>
      <c r="F902" s="34">
        <v>2010</v>
      </c>
      <c r="G902" s="34" t="s">
        <v>201</v>
      </c>
      <c r="H902" s="35" t="s">
        <v>92</v>
      </c>
      <c r="I902" s="43" t="s">
        <v>107</v>
      </c>
      <c r="J902" s="36">
        <v>2.4048672064324237E-2</v>
      </c>
      <c r="K902" s="36">
        <v>1.0090406532284525E-2</v>
      </c>
      <c r="L902" s="37">
        <v>0.11411281261067512</v>
      </c>
      <c r="M902" s="36">
        <v>8.7096235868495422E-2</v>
      </c>
      <c r="N902" s="36">
        <v>1.4696714214030024E-5</v>
      </c>
      <c r="O902" s="36"/>
      <c r="P902">
        <v>1.1272331333289327E-2</v>
      </c>
    </row>
    <row r="903" spans="1:16" hidden="1" x14ac:dyDescent="0.35">
      <c r="A903" s="3">
        <f xml:space="preserve"> ROW( data_scaledImpacts[[#This Row],[row_id]] ) - ROW( data_scaledImpacts[[#Headers],[row_id]] )</f>
        <v>902</v>
      </c>
      <c r="B903" s="41" t="str">
        <f xml:space="preserve"> _xlfn.TEXTJOIN( "", , data_scaledImpacts[[#This Row],[sector]:[impactType]] )</f>
        <v>WinterRecCCSM432010N/ASnowmobiling</v>
      </c>
      <c r="C903" s="33" t="s">
        <v>89</v>
      </c>
      <c r="D903" s="33" t="s">
        <v>1</v>
      </c>
      <c r="E903" s="34">
        <v>3</v>
      </c>
      <c r="F903" s="34">
        <v>2010</v>
      </c>
      <c r="G903" s="34" t="s">
        <v>201</v>
      </c>
      <c r="H903" s="35" t="s">
        <v>92</v>
      </c>
      <c r="I903" s="43" t="s">
        <v>108</v>
      </c>
      <c r="J903" s="36">
        <v>3.1634756376757091E-2</v>
      </c>
      <c r="K903" s="36">
        <v>1.1151238124827037E-2</v>
      </c>
      <c r="L903" s="37">
        <v>0.12302388326879393</v>
      </c>
      <c r="M903" s="36">
        <v>8.916201984522118E-2</v>
      </c>
      <c r="N903" s="36">
        <v>2.39346488628489E-5</v>
      </c>
      <c r="O903" s="36"/>
      <c r="P903">
        <v>1.1715715614737972E-2</v>
      </c>
    </row>
    <row r="904" spans="1:16" hidden="1" x14ac:dyDescent="0.35">
      <c r="A904" s="3">
        <f xml:space="preserve"> ROW( data_scaledImpacts[[#This Row],[row_id]] ) - ROW( data_scaledImpacts[[#Headers],[row_id]] )</f>
        <v>903</v>
      </c>
      <c r="B904" s="41" t="str">
        <f xml:space="preserve"> _xlfn.TEXTJOIN( "", , data_scaledImpacts[[#This Row],[sector]:[impactType]] )</f>
        <v>WinterRecGISS-E2-R32010N/ASnowmobiling</v>
      </c>
      <c r="C904" s="33" t="s">
        <v>89</v>
      </c>
      <c r="D904" s="33" t="s">
        <v>2</v>
      </c>
      <c r="E904" s="34">
        <v>3</v>
      </c>
      <c r="F904" s="34">
        <v>2010</v>
      </c>
      <c r="G904" s="34" t="s">
        <v>201</v>
      </c>
      <c r="H904" s="35" t="s">
        <v>92</v>
      </c>
      <c r="I904" s="43" t="s">
        <v>109</v>
      </c>
      <c r="J904" s="36">
        <v>2.9391110284513172E-2</v>
      </c>
      <c r="K904" s="36">
        <v>1.224332323969687E-2</v>
      </c>
      <c r="L904" s="37">
        <v>5.1240510794418791E-2</v>
      </c>
      <c r="M904" s="36">
        <v>4.5159946544010218E-2</v>
      </c>
      <c r="N904" s="36">
        <v>1.8895775418038601E-5</v>
      </c>
      <c r="O904" s="36"/>
      <c r="P904">
        <v>5.8655855628428994E-3</v>
      </c>
    </row>
    <row r="905" spans="1:16" hidden="1" x14ac:dyDescent="0.35">
      <c r="A905" s="3">
        <f xml:space="preserve"> ROW( data_scaledImpacts[[#This Row],[row_id]] ) - ROW( data_scaledImpacts[[#Headers],[row_id]] )</f>
        <v>904</v>
      </c>
      <c r="B905" s="41" t="str">
        <f xml:space="preserve"> _xlfn.TEXTJOIN( "", , data_scaledImpacts[[#This Row],[sector]:[impactType]] )</f>
        <v>WinterRecHadGEM2-ES32010N/ASnowmobiling</v>
      </c>
      <c r="C905" s="33" t="s">
        <v>89</v>
      </c>
      <c r="D905" s="33" t="s">
        <v>3</v>
      </c>
      <c r="E905" s="34">
        <v>3</v>
      </c>
      <c r="F905" s="34">
        <v>2010</v>
      </c>
      <c r="G905" s="34" t="s">
        <v>201</v>
      </c>
      <c r="H905" s="35" t="s">
        <v>92</v>
      </c>
      <c r="I905" s="43" t="s">
        <v>110</v>
      </c>
      <c r="J905" s="36">
        <v>2.9880414370569958E-2</v>
      </c>
      <c r="K905" s="36">
        <v>1.2399677299758138E-2</v>
      </c>
      <c r="L905" s="37">
        <v>9.8256036885658093E-2</v>
      </c>
      <c r="M905" s="36">
        <v>8.3876535659712245E-2</v>
      </c>
      <c r="N905" s="36">
        <v>3.8211456956478059E-5</v>
      </c>
      <c r="O905" s="36"/>
      <c r="P905">
        <v>1.0660970861630174E-2</v>
      </c>
    </row>
    <row r="906" spans="1:16" hidden="1" x14ac:dyDescent="0.35">
      <c r="A906" s="3">
        <f xml:space="preserve"> ROW( data_scaledImpacts[[#This Row],[row_id]] ) - ROW( data_scaledImpacts[[#Headers],[row_id]] )</f>
        <v>905</v>
      </c>
      <c r="B906" s="41" t="str">
        <f xml:space="preserve"> _xlfn.TEXTJOIN( "", , data_scaledImpacts[[#This Row],[sector]:[impactType]] )</f>
        <v>WinterRecMIROC532010N/ASnowmobiling</v>
      </c>
      <c r="C906" s="33" t="s">
        <v>89</v>
      </c>
      <c r="D906" s="33" t="s">
        <v>4</v>
      </c>
      <c r="E906" s="34">
        <v>3</v>
      </c>
      <c r="F906" s="34">
        <v>2010</v>
      </c>
      <c r="G906" s="34" t="s">
        <v>201</v>
      </c>
      <c r="H906" s="35" t="s">
        <v>92</v>
      </c>
      <c r="I906" s="43" t="s">
        <v>111</v>
      </c>
      <c r="J906" s="36">
        <v>3.0028688018205373E-2</v>
      </c>
      <c r="K906" s="36">
        <v>1.5136217193103971E-2</v>
      </c>
      <c r="L906" s="37">
        <v>0.14649623030151185</v>
      </c>
      <c r="M906" s="36">
        <v>6.4158974732621235E-2</v>
      </c>
      <c r="N906" s="36">
        <v>4.828920384609865E-5</v>
      </c>
      <c r="O906" s="36"/>
      <c r="P906">
        <v>1.9628527205806122E-2</v>
      </c>
    </row>
    <row r="907" spans="1:16" hidden="1" x14ac:dyDescent="0.35">
      <c r="A907" s="3">
        <f xml:space="preserve"> ROW( data_scaledImpacts[[#This Row],[row_id]] ) - ROW( data_scaledImpacts[[#Headers],[row_id]] )</f>
        <v>906</v>
      </c>
      <c r="B907" s="41" t="str">
        <f xml:space="preserve"> _xlfn.TEXTJOIN( "", , data_scaledImpacts[[#This Row],[sector]:[impactType]] )</f>
        <v>WinterRecGFDL-CM332010N/ASnowmobiling</v>
      </c>
      <c r="C907" s="33" t="s">
        <v>89</v>
      </c>
      <c r="D907" s="33" t="s">
        <v>5</v>
      </c>
      <c r="E907" s="34">
        <v>3</v>
      </c>
      <c r="F907" s="34">
        <v>2010</v>
      </c>
      <c r="G907" s="34" t="s">
        <v>201</v>
      </c>
      <c r="H907" s="35" t="s">
        <v>92</v>
      </c>
      <c r="I907" s="43" t="s">
        <v>112</v>
      </c>
      <c r="J907" s="36">
        <v>1.9817764335892812E-2</v>
      </c>
      <c r="K907" s="36">
        <v>1.3235331589386839E-2</v>
      </c>
      <c r="L907" s="37">
        <v>0.1242108449149117</v>
      </c>
      <c r="M907" s="36">
        <v>7.417810537897572E-2</v>
      </c>
      <c r="N907" s="36">
        <v>1.1757371371224013E-5</v>
      </c>
      <c r="O907" s="36"/>
      <c r="P907">
        <v>1.4126345166407997E-2</v>
      </c>
    </row>
    <row r="908" spans="1:16" hidden="1" x14ac:dyDescent="0.35">
      <c r="A908" s="3">
        <f xml:space="preserve"> ROW( data_scaledImpacts[[#This Row],[row_id]] ) - ROW( data_scaledImpacts[[#Headers],[row_id]] )</f>
        <v>907</v>
      </c>
      <c r="B908" s="41" t="str">
        <f xml:space="preserve"> _xlfn.TEXTJOIN( "", , data_scaledImpacts[[#This Row],[sector]:[impactType]] )</f>
        <v>WinterRecGCM Average32010N/ASnowmobiling</v>
      </c>
      <c r="C908" s="33" t="s">
        <v>89</v>
      </c>
      <c r="D908" s="33" t="s">
        <v>15</v>
      </c>
      <c r="E908" s="34">
        <v>3</v>
      </c>
      <c r="F908" s="34">
        <v>2010</v>
      </c>
      <c r="G908" s="34" t="s">
        <v>201</v>
      </c>
      <c r="H908" s="35" t="s">
        <v>92</v>
      </c>
      <c r="I908" s="43" t="s">
        <v>113</v>
      </c>
      <c r="J908" s="36">
        <v>2.7466900908377109E-2</v>
      </c>
      <c r="K908" s="36">
        <v>1.2376032329842898E-2</v>
      </c>
      <c r="L908" s="37">
        <v>0.10955671979599492</v>
      </c>
      <c r="M908" s="36">
        <v>7.3938636338172672E-2</v>
      </c>
      <c r="N908" s="36">
        <v>2.5964195111453043E-5</v>
      </c>
      <c r="O908" s="36"/>
      <c r="P908">
        <v>1.2211579290785748E-2</v>
      </c>
    </row>
    <row r="909" spans="1:16" hidden="1" x14ac:dyDescent="0.35">
      <c r="A909" s="3">
        <f xml:space="preserve"> ROW( data_scaledImpacts[[#This Row],[row_id]] ) - ROW( data_scaledImpacts[[#Headers],[row_id]] )</f>
        <v>908</v>
      </c>
      <c r="B909" s="41" t="str">
        <f xml:space="preserve"> _xlfn.TEXTJOIN( "", , data_scaledImpacts[[#This Row],[sector]:[impactType]] )</f>
        <v>WinterRecCanESM242010N/ASnowmobiling</v>
      </c>
      <c r="C909" s="33" t="s">
        <v>89</v>
      </c>
      <c r="D909" s="33" t="s">
        <v>0</v>
      </c>
      <c r="E909" s="34">
        <v>4</v>
      </c>
      <c r="F909" s="34">
        <v>2010</v>
      </c>
      <c r="G909" s="34" t="s">
        <v>201</v>
      </c>
      <c r="H909" s="35" t="s">
        <v>92</v>
      </c>
      <c r="I909" s="43" t="s">
        <v>114</v>
      </c>
      <c r="J909" s="36">
        <v>1.6287628015048423E-2</v>
      </c>
      <c r="K909" s="36">
        <v>1.3607426323287332E-2</v>
      </c>
      <c r="L909" s="37">
        <v>0.14575355128291961</v>
      </c>
      <c r="M909" s="36">
        <v>0.11278688261047704</v>
      </c>
      <c r="N909" s="36">
        <v>1.0497653010021446E-5</v>
      </c>
      <c r="O909" s="36"/>
      <c r="P909">
        <v>1.825956824646343E-2</v>
      </c>
    </row>
    <row r="910" spans="1:16" hidden="1" x14ac:dyDescent="0.35">
      <c r="A910" s="3">
        <f xml:space="preserve"> ROW( data_scaledImpacts[[#This Row],[row_id]] ) - ROW( data_scaledImpacts[[#Headers],[row_id]] )</f>
        <v>909</v>
      </c>
      <c r="B910" s="41" t="str">
        <f xml:space="preserve"> _xlfn.TEXTJOIN( "", , data_scaledImpacts[[#This Row],[sector]:[impactType]] )</f>
        <v>WinterRecCCSM442010N/ASnowmobiling</v>
      </c>
      <c r="C910" s="33" t="s">
        <v>89</v>
      </c>
      <c r="D910" s="33" t="s">
        <v>1</v>
      </c>
      <c r="E910" s="34">
        <v>4</v>
      </c>
      <c r="F910" s="34">
        <v>2010</v>
      </c>
      <c r="G910" s="34" t="s">
        <v>201</v>
      </c>
      <c r="H910" s="35" t="s">
        <v>92</v>
      </c>
      <c r="I910" s="43" t="s">
        <v>115</v>
      </c>
      <c r="J910" s="36">
        <v>4.4709345073190077E-2</v>
      </c>
      <c r="K910" s="36">
        <v>1.6417834394606552E-2</v>
      </c>
      <c r="L910" s="37">
        <v>0.21253879674096463</v>
      </c>
      <c r="M910" s="36">
        <v>0.12982748837134225</v>
      </c>
      <c r="N910" s="36">
        <v>1.0497653010021446E-5</v>
      </c>
      <c r="O910" s="36"/>
      <c r="P910">
        <v>2.1210088186625085E-2</v>
      </c>
    </row>
    <row r="911" spans="1:16" hidden="1" x14ac:dyDescent="0.35">
      <c r="A911" s="3">
        <f xml:space="preserve"> ROW( data_scaledImpacts[[#This Row],[row_id]] ) - ROW( data_scaledImpacts[[#Headers],[row_id]] )</f>
        <v>910</v>
      </c>
      <c r="B911" s="41" t="str">
        <f xml:space="preserve"> _xlfn.TEXTJOIN( "", , data_scaledImpacts[[#This Row],[sector]:[impactType]] )</f>
        <v>WinterRecGISS-E2-R42010N/ASnowmobiling</v>
      </c>
      <c r="C911" s="33" t="s">
        <v>89</v>
      </c>
      <c r="D911" s="33" t="s">
        <v>2</v>
      </c>
      <c r="E911" s="34">
        <v>4</v>
      </c>
      <c r="F911" s="34">
        <v>2010</v>
      </c>
      <c r="G911" s="34" t="s">
        <v>201</v>
      </c>
      <c r="H911" s="35" t="s">
        <v>92</v>
      </c>
      <c r="I911" s="43" t="s">
        <v>116</v>
      </c>
      <c r="J911" s="36"/>
      <c r="K911" s="36"/>
      <c r="L911" s="37"/>
      <c r="M911" s="36"/>
      <c r="N911" s="36"/>
      <c r="O911" s="36"/>
    </row>
    <row r="912" spans="1:16" hidden="1" x14ac:dyDescent="0.35">
      <c r="A912" s="3">
        <f xml:space="preserve"> ROW( data_scaledImpacts[[#This Row],[row_id]] ) - ROW( data_scaledImpacts[[#Headers],[row_id]] )</f>
        <v>911</v>
      </c>
      <c r="B912" s="41" t="str">
        <f xml:space="preserve"> _xlfn.TEXTJOIN( "", , data_scaledImpacts[[#This Row],[sector]:[impactType]] )</f>
        <v>WinterRecHadGEM2-ES42010N/ASnowmobiling</v>
      </c>
      <c r="C912" s="33" t="s">
        <v>89</v>
      </c>
      <c r="D912" s="33" t="s">
        <v>3</v>
      </c>
      <c r="E912" s="34">
        <v>4</v>
      </c>
      <c r="F912" s="34">
        <v>2010</v>
      </c>
      <c r="G912" s="34" t="s">
        <v>201</v>
      </c>
      <c r="H912" s="35" t="s">
        <v>92</v>
      </c>
      <c r="I912" s="43" t="s">
        <v>117</v>
      </c>
      <c r="J912" s="36">
        <v>4.1934071905613143E-2</v>
      </c>
      <c r="K912" s="36">
        <v>1.6861704549273059E-2</v>
      </c>
      <c r="L912" s="37">
        <v>0.16354946946869137</v>
      </c>
      <c r="M912" s="36">
        <v>0.12060598548279926</v>
      </c>
      <c r="N912" s="36">
        <v>3.4852207993271197E-5</v>
      </c>
      <c r="O912" s="36"/>
      <c r="P912">
        <v>2.2713332682551896E-2</v>
      </c>
    </row>
    <row r="913" spans="1:16" hidden="1" x14ac:dyDescent="0.35">
      <c r="A913" s="3">
        <f xml:space="preserve"> ROW( data_scaledImpacts[[#This Row],[row_id]] ) - ROW( data_scaledImpacts[[#Headers],[row_id]] )</f>
        <v>912</v>
      </c>
      <c r="B913" s="41" t="str">
        <f xml:space="preserve"> _xlfn.TEXTJOIN( "", , data_scaledImpacts[[#This Row],[sector]:[impactType]] )</f>
        <v>WinterRecMIROC542010N/ASnowmobiling</v>
      </c>
      <c r="C913" s="33" t="s">
        <v>89</v>
      </c>
      <c r="D913" s="33" t="s">
        <v>4</v>
      </c>
      <c r="E913" s="34">
        <v>4</v>
      </c>
      <c r="F913" s="34">
        <v>2010</v>
      </c>
      <c r="G913" s="34" t="s">
        <v>201</v>
      </c>
      <c r="H913" s="35" t="s">
        <v>92</v>
      </c>
      <c r="I913" s="43" t="s">
        <v>118</v>
      </c>
      <c r="J913" s="36">
        <v>4.1961064798214223E-2</v>
      </c>
      <c r="K913" s="36">
        <v>1.9317641286141076E-2</v>
      </c>
      <c r="L913" s="37">
        <v>0.16922755829140751</v>
      </c>
      <c r="M913" s="36">
        <v>8.7426491165852896E-2</v>
      </c>
      <c r="N913" s="36">
        <v>4.1150799799284056E-5</v>
      </c>
      <c r="O913" s="36"/>
      <c r="P913">
        <v>2.5755918389151006E-2</v>
      </c>
    </row>
    <row r="914" spans="1:16" hidden="1" x14ac:dyDescent="0.35">
      <c r="A914" s="3">
        <f xml:space="preserve"> ROW( data_scaledImpacts[[#This Row],[row_id]] ) - ROW( data_scaledImpacts[[#Headers],[row_id]] )</f>
        <v>913</v>
      </c>
      <c r="B914" s="41" t="str">
        <f xml:space="preserve"> _xlfn.TEXTJOIN( "", , data_scaledImpacts[[#This Row],[sector]:[impactType]] )</f>
        <v>WinterRecGFDL-CM342010N/ASnowmobiling</v>
      </c>
      <c r="C914" s="33" t="s">
        <v>89</v>
      </c>
      <c r="D914" s="33" t="s">
        <v>5</v>
      </c>
      <c r="E914" s="34">
        <v>4</v>
      </c>
      <c r="F914" s="34">
        <v>2010</v>
      </c>
      <c r="G914" s="34" t="s">
        <v>201</v>
      </c>
      <c r="H914" s="35" t="s">
        <v>92</v>
      </c>
      <c r="I914" s="43" t="s">
        <v>119</v>
      </c>
      <c r="J914" s="36">
        <v>3.2595733008069193E-2</v>
      </c>
      <c r="K914" s="36">
        <v>1.6096143008551229E-2</v>
      </c>
      <c r="L914" s="37">
        <v>9.6760657563548833E-2</v>
      </c>
      <c r="M914" s="36">
        <v>9.2111575107462179E-2</v>
      </c>
      <c r="N914" s="36">
        <v>3.2752677391266913E-5</v>
      </c>
      <c r="O914" s="36"/>
      <c r="P914">
        <v>1.7256641676464797E-2</v>
      </c>
    </row>
    <row r="915" spans="1:16" hidden="1" x14ac:dyDescent="0.35">
      <c r="A915" s="3">
        <f xml:space="preserve"> ROW( data_scaledImpacts[[#This Row],[row_id]] ) - ROW( data_scaledImpacts[[#Headers],[row_id]] )</f>
        <v>914</v>
      </c>
      <c r="B915" s="41" t="str">
        <f xml:space="preserve"> _xlfn.TEXTJOIN( "", , data_scaledImpacts[[#This Row],[sector]:[impactType]] )</f>
        <v>WinterRecGCM Average42010N/ASnowmobiling</v>
      </c>
      <c r="C915" s="33" t="s">
        <v>89</v>
      </c>
      <c r="D915" s="33" t="s">
        <v>15</v>
      </c>
      <c r="E915" s="34">
        <v>4</v>
      </c>
      <c r="F915" s="34">
        <v>2010</v>
      </c>
      <c r="G915" s="34" t="s">
        <v>201</v>
      </c>
      <c r="H915" s="35" t="s">
        <v>92</v>
      </c>
      <c r="I915" s="43" t="s">
        <v>120</v>
      </c>
      <c r="J915" s="36">
        <v>3.5497568560027011E-2</v>
      </c>
      <c r="K915" s="36">
        <v>1.6460149912371852E-2</v>
      </c>
      <c r="L915" s="37">
        <v>0.1575660066695064</v>
      </c>
      <c r="M915" s="36">
        <v>0.10855168454758672</v>
      </c>
      <c r="N915" s="36">
        <v>2.5950198240773014E-5</v>
      </c>
      <c r="O915" s="36"/>
      <c r="P915">
        <v>2.1039109836251242E-2</v>
      </c>
    </row>
    <row r="916" spans="1:16" hidden="1" x14ac:dyDescent="0.35">
      <c r="A916" s="3">
        <f xml:space="preserve"> ROW( data_scaledImpacts[[#This Row],[row_id]] ) - ROW( data_scaledImpacts[[#Headers],[row_id]] )</f>
        <v>915</v>
      </c>
      <c r="B916" s="41" t="str">
        <f xml:space="preserve"> _xlfn.TEXTJOIN( "", , data_scaledImpacts[[#This Row],[sector]:[impactType]] )</f>
        <v>WinterRecCanESM252010N/ASnowmobiling</v>
      </c>
      <c r="C916" s="33" t="s">
        <v>89</v>
      </c>
      <c r="D916" s="33" t="s">
        <v>0</v>
      </c>
      <c r="E916" s="34">
        <v>5</v>
      </c>
      <c r="F916" s="34">
        <v>2010</v>
      </c>
      <c r="G916" s="34" t="s">
        <v>201</v>
      </c>
      <c r="H916" s="35" t="s">
        <v>92</v>
      </c>
      <c r="I916" s="43" t="s">
        <v>121</v>
      </c>
      <c r="J916" s="36">
        <v>4.2185164889626606E-2</v>
      </c>
      <c r="K916" s="36">
        <v>1.7972261523677063E-2</v>
      </c>
      <c r="L916" s="37">
        <v>0.22828418509372481</v>
      </c>
      <c r="M916" s="36">
        <v>0.13366022075801448</v>
      </c>
      <c r="N916" s="36">
        <v>4.5349861003292645E-5</v>
      </c>
      <c r="O916" s="36"/>
      <c r="P916">
        <v>3.0559582968719419E-2</v>
      </c>
    </row>
    <row r="917" spans="1:16" hidden="1" x14ac:dyDescent="0.35">
      <c r="A917" s="3">
        <f xml:space="preserve"> ROW( data_scaledImpacts[[#This Row],[row_id]] ) - ROW( data_scaledImpacts[[#Headers],[row_id]] )</f>
        <v>916</v>
      </c>
      <c r="B917" s="41" t="str">
        <f xml:space="preserve"> _xlfn.TEXTJOIN( "", , data_scaledImpacts[[#This Row],[sector]:[impactType]] )</f>
        <v>WinterRecCCSM452010N/ASnowmobiling</v>
      </c>
      <c r="C917" s="33" t="s">
        <v>89</v>
      </c>
      <c r="D917" s="33" t="s">
        <v>1</v>
      </c>
      <c r="E917" s="34">
        <v>5</v>
      </c>
      <c r="F917" s="34">
        <v>2010</v>
      </c>
      <c r="G917" s="34" t="s">
        <v>201</v>
      </c>
      <c r="H917" s="35" t="s">
        <v>92</v>
      </c>
      <c r="I917" s="43" t="s">
        <v>122</v>
      </c>
      <c r="J917" s="36">
        <v>4.5737224650579993E-2</v>
      </c>
      <c r="K917" s="36">
        <v>1.7767288689126651E-2</v>
      </c>
      <c r="L917" s="37">
        <v>0.27207927701783696</v>
      </c>
      <c r="M917" s="36">
        <v>0.14010242884208104</v>
      </c>
      <c r="N917" s="36">
        <v>2.8973522307659192E-5</v>
      </c>
      <c r="O917" s="36"/>
      <c r="P917">
        <v>3.3828423695640847E-2</v>
      </c>
    </row>
    <row r="918" spans="1:16" hidden="1" x14ac:dyDescent="0.35">
      <c r="A918" s="3">
        <f xml:space="preserve"> ROW( data_scaledImpacts[[#This Row],[row_id]] ) - ROW( data_scaledImpacts[[#Headers],[row_id]] )</f>
        <v>917</v>
      </c>
      <c r="B918" s="41" t="str">
        <f xml:space="preserve"> _xlfn.TEXTJOIN( "", , data_scaledImpacts[[#This Row],[sector]:[impactType]] )</f>
        <v>WinterRecGISS-E2-R52010N/ASnowmobiling</v>
      </c>
      <c r="C918" s="33" t="s">
        <v>89</v>
      </c>
      <c r="D918" s="33" t="s">
        <v>2</v>
      </c>
      <c r="E918" s="34">
        <v>5</v>
      </c>
      <c r="F918" s="34">
        <v>2010</v>
      </c>
      <c r="G918" s="34" t="s">
        <v>201</v>
      </c>
      <c r="H918" s="35" t="s">
        <v>92</v>
      </c>
      <c r="I918" s="43" t="s">
        <v>123</v>
      </c>
      <c r="J918" s="36"/>
      <c r="K918" s="36"/>
      <c r="L918" s="37"/>
      <c r="M918" s="36"/>
      <c r="N918" s="36"/>
      <c r="O918" s="36"/>
    </row>
    <row r="919" spans="1:16" hidden="1" x14ac:dyDescent="0.35">
      <c r="A919" s="3">
        <f xml:space="preserve"> ROW( data_scaledImpacts[[#This Row],[row_id]] ) - ROW( data_scaledImpacts[[#Headers],[row_id]] )</f>
        <v>918</v>
      </c>
      <c r="B919" s="41" t="str">
        <f xml:space="preserve"> _xlfn.TEXTJOIN( "", , data_scaledImpacts[[#This Row],[sector]:[impactType]] )</f>
        <v>WinterRecHadGEM2-ES52010N/ASnowmobiling</v>
      </c>
      <c r="C919" s="33" t="s">
        <v>89</v>
      </c>
      <c r="D919" s="33" t="s">
        <v>3</v>
      </c>
      <c r="E919" s="34">
        <v>5</v>
      </c>
      <c r="F919" s="34">
        <v>2010</v>
      </c>
      <c r="G919" s="34" t="s">
        <v>201</v>
      </c>
      <c r="H919" s="35" t="s">
        <v>92</v>
      </c>
      <c r="I919" s="43" t="s">
        <v>124</v>
      </c>
      <c r="J919" s="36">
        <v>4.552637144946154E-2</v>
      </c>
      <c r="K919" s="36">
        <v>1.9102936729338032E-2</v>
      </c>
      <c r="L919" s="37">
        <v>0.22684020548426703</v>
      </c>
      <c r="M919" s="36">
        <v>0.14443885667407949</v>
      </c>
      <c r="N919" s="36">
        <v>3.9891081438081493E-5</v>
      </c>
      <c r="O919" s="36"/>
      <c r="P919">
        <v>3.0833468760980705E-2</v>
      </c>
    </row>
    <row r="920" spans="1:16" hidden="1" x14ac:dyDescent="0.35">
      <c r="A920" s="3">
        <f xml:space="preserve"> ROW( data_scaledImpacts[[#This Row],[row_id]] ) - ROW( data_scaledImpacts[[#Headers],[row_id]] )</f>
        <v>919</v>
      </c>
      <c r="B920" s="41" t="str">
        <f xml:space="preserve"> _xlfn.TEXTJOIN( "", , data_scaledImpacts[[#This Row],[sector]:[impactType]] )</f>
        <v>WinterRecMIROC552010N/ASnowmobiling</v>
      </c>
      <c r="C920" s="33" t="s">
        <v>89</v>
      </c>
      <c r="D920" s="33" t="s">
        <v>4</v>
      </c>
      <c r="E920" s="34">
        <v>5</v>
      </c>
      <c r="F920" s="34">
        <v>2010</v>
      </c>
      <c r="G920" s="34" t="s">
        <v>201</v>
      </c>
      <c r="H920" s="35" t="s">
        <v>92</v>
      </c>
      <c r="I920" s="43" t="s">
        <v>125</v>
      </c>
      <c r="J920" s="36">
        <v>4.7178483157813395E-2</v>
      </c>
      <c r="K920" s="36">
        <v>2.0373709419256144E-2</v>
      </c>
      <c r="L920" s="37">
        <v>0.27403451204937601</v>
      </c>
      <c r="M920" s="36">
        <v>0.11588827699205724</v>
      </c>
      <c r="N920" s="36">
        <v>4.5349861003292645E-5</v>
      </c>
      <c r="O920" s="36"/>
      <c r="P920">
        <v>3.9337734555840415E-2</v>
      </c>
    </row>
    <row r="921" spans="1:16" hidden="1" x14ac:dyDescent="0.35">
      <c r="A921" s="3">
        <f xml:space="preserve"> ROW( data_scaledImpacts[[#This Row],[row_id]] ) - ROW( data_scaledImpacts[[#Headers],[row_id]] )</f>
        <v>920</v>
      </c>
      <c r="B921" s="41" t="str">
        <f xml:space="preserve"> _xlfn.TEXTJOIN( "", , data_scaledImpacts[[#This Row],[sector]:[impactType]] )</f>
        <v>WinterRecGFDL-CM352010N/ASnowmobiling</v>
      </c>
      <c r="C921" s="33" t="s">
        <v>89</v>
      </c>
      <c r="D921" s="33" t="s">
        <v>5</v>
      </c>
      <c r="E921" s="34">
        <v>5</v>
      </c>
      <c r="F921" s="34">
        <v>2010</v>
      </c>
      <c r="G921" s="34" t="s">
        <v>201</v>
      </c>
      <c r="H921" s="35" t="s">
        <v>92</v>
      </c>
      <c r="I921" s="43" t="s">
        <v>126</v>
      </c>
      <c r="J921" s="36">
        <v>3.8365281754579615E-2</v>
      </c>
      <c r="K921" s="36">
        <v>1.9099501031800425E-2</v>
      </c>
      <c r="L921" s="37">
        <v>0.15016745693532599</v>
      </c>
      <c r="M921" s="36">
        <v>0.10715892719968081</v>
      </c>
      <c r="N921" s="36">
        <v>4.1990612040085784E-5</v>
      </c>
      <c r="O921" s="36"/>
      <c r="P921">
        <v>2.4879661130586862E-2</v>
      </c>
    </row>
    <row r="922" spans="1:16" hidden="1" x14ac:dyDescent="0.35">
      <c r="A922" s="3">
        <f xml:space="preserve"> ROW( data_scaledImpacts[[#This Row],[row_id]] ) - ROW( data_scaledImpacts[[#Headers],[row_id]] )</f>
        <v>921</v>
      </c>
      <c r="B922" s="41" t="str">
        <f xml:space="preserve"> _xlfn.TEXTJOIN( "", , data_scaledImpacts[[#This Row],[sector]:[impactType]] )</f>
        <v>WinterRecGCM Average52010N/ASnowmobiling</v>
      </c>
      <c r="C922" s="33" t="s">
        <v>89</v>
      </c>
      <c r="D922" s="33" t="s">
        <v>15</v>
      </c>
      <c r="E922" s="34">
        <v>5</v>
      </c>
      <c r="F922" s="34">
        <v>2010</v>
      </c>
      <c r="G922" s="34" t="s">
        <v>201</v>
      </c>
      <c r="H922" s="35" t="s">
        <v>92</v>
      </c>
      <c r="I922" s="43" t="s">
        <v>127</v>
      </c>
      <c r="J922" s="36">
        <v>4.3798505180412228E-2</v>
      </c>
      <c r="K922" s="36">
        <v>1.8863139478639664E-2</v>
      </c>
      <c r="L922" s="37">
        <v>0.23028112731610614</v>
      </c>
      <c r="M922" s="36">
        <v>0.12824974209318263</v>
      </c>
      <c r="N922" s="36">
        <v>4.031098755848235E-5</v>
      </c>
      <c r="O922" s="36"/>
      <c r="P922">
        <v>3.188777422235365E-2</v>
      </c>
    </row>
    <row r="923" spans="1:16" hidden="1" x14ac:dyDescent="0.35">
      <c r="A923" s="3">
        <f xml:space="preserve"> ROW( data_scaledImpacts[[#This Row],[row_id]] ) - ROW( data_scaledImpacts[[#Headers],[row_id]] )</f>
        <v>922</v>
      </c>
      <c r="B923" s="41" t="str">
        <f xml:space="preserve"> _xlfn.TEXTJOIN( "", , data_scaledImpacts[[#This Row],[sector]:[impactType]] )</f>
        <v>WinterRecCanESM262010N/ASnowmobiling</v>
      </c>
      <c r="C923" s="33" t="s">
        <v>89</v>
      </c>
      <c r="D923" s="33" t="s">
        <v>0</v>
      </c>
      <c r="E923" s="34">
        <v>6</v>
      </c>
      <c r="F923" s="34">
        <v>2010</v>
      </c>
      <c r="G923" s="34" t="s">
        <v>201</v>
      </c>
      <c r="H923" s="35" t="s">
        <v>92</v>
      </c>
      <c r="I923" s="43" t="s">
        <v>128</v>
      </c>
      <c r="J923" s="36">
        <v>4.2756445345665077E-2</v>
      </c>
      <c r="K923" s="36">
        <v>1.9535533945863489E-2</v>
      </c>
      <c r="L923" s="37">
        <v>0.2649271260432241</v>
      </c>
      <c r="M923" s="36">
        <v>0.14192492047164701</v>
      </c>
      <c r="N923" s="36">
        <v>3.8211456956478059E-5</v>
      </c>
      <c r="O923" s="36"/>
      <c r="P923">
        <v>3.785072404991522E-2</v>
      </c>
    </row>
    <row r="924" spans="1:16" hidden="1" x14ac:dyDescent="0.35">
      <c r="A924" s="3">
        <f xml:space="preserve"> ROW( data_scaledImpacts[[#This Row],[row_id]] ) - ROW( data_scaledImpacts[[#Headers],[row_id]] )</f>
        <v>923</v>
      </c>
      <c r="B924" s="41" t="str">
        <f xml:space="preserve"> _xlfn.TEXTJOIN( "", , data_scaledImpacts[[#This Row],[sector]:[impactType]] )</f>
        <v>WinterRecCCSM462010N/ASnowmobiling</v>
      </c>
      <c r="C924" s="33" t="s">
        <v>89</v>
      </c>
      <c r="D924" s="33" t="s">
        <v>1</v>
      </c>
      <c r="E924" s="34">
        <v>6</v>
      </c>
      <c r="F924" s="34">
        <v>2010</v>
      </c>
      <c r="G924" s="34" t="s">
        <v>201</v>
      </c>
      <c r="H924" s="35" t="s">
        <v>92</v>
      </c>
      <c r="I924" s="43" t="s">
        <v>129</v>
      </c>
      <c r="J924" s="36"/>
      <c r="K924" s="36"/>
      <c r="L924" s="37"/>
      <c r="M924" s="36"/>
      <c r="N924" s="36"/>
      <c r="O924" s="36"/>
    </row>
    <row r="925" spans="1:16" hidden="1" x14ac:dyDescent="0.35">
      <c r="A925" s="3">
        <f xml:space="preserve"> ROW( data_scaledImpacts[[#This Row],[row_id]] ) - ROW( data_scaledImpacts[[#Headers],[row_id]] )</f>
        <v>924</v>
      </c>
      <c r="B925" s="41" t="str">
        <f xml:space="preserve"> _xlfn.TEXTJOIN( "", , data_scaledImpacts[[#This Row],[sector]:[impactType]] )</f>
        <v>WinterRecGISS-E2-R62010N/ASnowmobiling</v>
      </c>
      <c r="C925" s="33" t="s">
        <v>89</v>
      </c>
      <c r="D925" s="33" t="s">
        <v>2</v>
      </c>
      <c r="E925" s="34">
        <v>6</v>
      </c>
      <c r="F925" s="34">
        <v>2010</v>
      </c>
      <c r="G925" s="34" t="s">
        <v>201</v>
      </c>
      <c r="H925" s="35" t="s">
        <v>92</v>
      </c>
      <c r="I925" s="43" t="s">
        <v>130</v>
      </c>
      <c r="J925" s="36"/>
      <c r="K925" s="36"/>
      <c r="L925" s="37"/>
      <c r="M925" s="36"/>
      <c r="N925" s="36"/>
      <c r="O925" s="36"/>
    </row>
    <row r="926" spans="1:16" hidden="1" x14ac:dyDescent="0.35">
      <c r="A926" s="3">
        <f xml:space="preserve"> ROW( data_scaledImpacts[[#This Row],[row_id]] ) - ROW( data_scaledImpacts[[#Headers],[row_id]] )</f>
        <v>925</v>
      </c>
      <c r="B926" s="41" t="str">
        <f xml:space="preserve"> _xlfn.TEXTJOIN( "", , data_scaledImpacts[[#This Row],[sector]:[impactType]] )</f>
        <v>WinterRecHadGEM2-ES62010N/ASnowmobiling</v>
      </c>
      <c r="C926" s="33" t="s">
        <v>89</v>
      </c>
      <c r="D926" s="33" t="s">
        <v>3</v>
      </c>
      <c r="E926" s="34">
        <v>6</v>
      </c>
      <c r="F926" s="34">
        <v>2010</v>
      </c>
      <c r="G926" s="34" t="s">
        <v>201</v>
      </c>
      <c r="H926" s="35" t="s">
        <v>92</v>
      </c>
      <c r="I926" s="43" t="s">
        <v>131</v>
      </c>
      <c r="J926" s="36">
        <v>4.8310298118813266E-2</v>
      </c>
      <c r="K926" s="36">
        <v>2.0451553441369334E-2</v>
      </c>
      <c r="L926" s="37">
        <v>0.27242256052333441</v>
      </c>
      <c r="M926" s="36">
        <v>0.14432219906460164</v>
      </c>
      <c r="N926" s="36">
        <v>4.5769767123693509E-5</v>
      </c>
      <c r="O926" s="36"/>
      <c r="P926">
        <v>2.8744462695734101E-2</v>
      </c>
    </row>
    <row r="927" spans="1:16" hidden="1" x14ac:dyDescent="0.35">
      <c r="A927" s="3">
        <f xml:space="preserve"> ROW( data_scaledImpacts[[#This Row],[row_id]] ) - ROW( data_scaledImpacts[[#Headers],[row_id]] )</f>
        <v>926</v>
      </c>
      <c r="B927" s="41" t="str">
        <f xml:space="preserve"> _xlfn.TEXTJOIN( "", , data_scaledImpacts[[#This Row],[sector]:[impactType]] )</f>
        <v>WinterRecMIROC562010N/ASnowmobiling</v>
      </c>
      <c r="C927" s="33" t="s">
        <v>89</v>
      </c>
      <c r="D927" s="33" t="s">
        <v>4</v>
      </c>
      <c r="E927" s="34">
        <v>6</v>
      </c>
      <c r="F927" s="34">
        <v>2010</v>
      </c>
      <c r="G927" s="34" t="s">
        <v>201</v>
      </c>
      <c r="H927" s="35" t="s">
        <v>92</v>
      </c>
      <c r="I927" s="43" t="s">
        <v>132</v>
      </c>
      <c r="J927" s="36"/>
      <c r="K927" s="36"/>
      <c r="L927" s="37"/>
      <c r="M927" s="36"/>
      <c r="N927" s="36"/>
      <c r="O927" s="36"/>
    </row>
    <row r="928" spans="1:16" hidden="1" x14ac:dyDescent="0.35">
      <c r="A928" s="3">
        <f xml:space="preserve"> ROW( data_scaledImpacts[[#This Row],[row_id]] ) - ROW( data_scaledImpacts[[#Headers],[row_id]] )</f>
        <v>927</v>
      </c>
      <c r="B928" s="41" t="str">
        <f xml:space="preserve"> _xlfn.TEXTJOIN( "", , data_scaledImpacts[[#This Row],[sector]:[impactType]] )</f>
        <v>WinterRecGFDL-CM362010N/ASnowmobiling</v>
      </c>
      <c r="C928" s="33" t="s">
        <v>89</v>
      </c>
      <c r="D928" s="33" t="s">
        <v>5</v>
      </c>
      <c r="E928" s="34">
        <v>6</v>
      </c>
      <c r="F928" s="34">
        <v>2010</v>
      </c>
      <c r="G928" s="34" t="s">
        <v>201</v>
      </c>
      <c r="H928" s="35" t="s">
        <v>92</v>
      </c>
      <c r="I928" s="43" t="s">
        <v>133</v>
      </c>
      <c r="J928" s="36">
        <v>4.5441805741562369E-2</v>
      </c>
      <c r="K928" s="36">
        <v>2.0188395787306999E-2</v>
      </c>
      <c r="L928" s="37">
        <v>0.24073181394677615</v>
      </c>
      <c r="M928" s="36">
        <v>0.11865785188113893</v>
      </c>
      <c r="N928" s="36">
        <v>4.2410518160486647E-5</v>
      </c>
      <c r="O928" s="36"/>
      <c r="P928">
        <v>3.78437140561034E-2</v>
      </c>
    </row>
    <row r="929" spans="1:16" hidden="1" x14ac:dyDescent="0.35">
      <c r="A929" s="3">
        <f xml:space="preserve"> ROW( data_scaledImpacts[[#This Row],[row_id]] ) - ROW( data_scaledImpacts[[#Headers],[row_id]] )</f>
        <v>928</v>
      </c>
      <c r="B929" s="41" t="str">
        <f xml:space="preserve"> _xlfn.TEXTJOIN( "", , data_scaledImpacts[[#This Row],[sector]:[impactType]] )</f>
        <v>WinterRecGCM Average62010N/ASnowmobiling</v>
      </c>
      <c r="C929" s="33" t="s">
        <v>89</v>
      </c>
      <c r="D929" s="33" t="s">
        <v>15</v>
      </c>
      <c r="E929" s="34">
        <v>6</v>
      </c>
      <c r="F929" s="34">
        <v>2010</v>
      </c>
      <c r="G929" s="34" t="s">
        <v>201</v>
      </c>
      <c r="H929" s="35" t="s">
        <v>92</v>
      </c>
      <c r="I929" s="43" t="s">
        <v>134</v>
      </c>
      <c r="J929" s="36">
        <v>4.5502849735346906E-2</v>
      </c>
      <c r="K929" s="36">
        <v>2.0058494391513273E-2</v>
      </c>
      <c r="L929" s="37">
        <v>0.25936050017111156</v>
      </c>
      <c r="M929" s="36">
        <v>0.13496832380579585</v>
      </c>
      <c r="N929" s="36">
        <v>4.2130580746886072E-5</v>
      </c>
      <c r="O929" s="36"/>
      <c r="P929">
        <v>3.4812966933917576E-2</v>
      </c>
    </row>
    <row r="930" spans="1:16" hidden="1" x14ac:dyDescent="0.35">
      <c r="A930" s="3">
        <f xml:space="preserve"> ROW( data_scaledImpacts[[#This Row],[row_id]] ) - ROW( data_scaledImpacts[[#Headers],[row_id]] )</f>
        <v>929</v>
      </c>
      <c r="B930" s="41" t="str">
        <f xml:space="preserve"> _xlfn.TEXTJOIN( "", , data_scaledImpacts[[#This Row],[sector]:[impactType]] )</f>
        <v>WinterRecCanESM272010N/ASnowmobiling</v>
      </c>
      <c r="C930" s="33" t="s">
        <v>89</v>
      </c>
      <c r="D930" s="33" t="s">
        <v>0</v>
      </c>
      <c r="E930" s="34">
        <v>7</v>
      </c>
      <c r="F930" s="34">
        <v>2010</v>
      </c>
      <c r="G930" s="34" t="s">
        <v>201</v>
      </c>
      <c r="H930" s="35" t="s">
        <v>92</v>
      </c>
      <c r="I930" s="43" t="s">
        <v>135</v>
      </c>
      <c r="J930" s="36"/>
      <c r="K930" s="36"/>
      <c r="L930" s="37"/>
      <c r="M930" s="36"/>
      <c r="N930" s="36"/>
      <c r="O930" s="36"/>
    </row>
    <row r="931" spans="1:16" hidden="1" x14ac:dyDescent="0.35">
      <c r="A931" s="3">
        <f xml:space="preserve"> ROW( data_scaledImpacts[[#This Row],[row_id]] ) - ROW( data_scaledImpacts[[#Headers],[row_id]] )</f>
        <v>930</v>
      </c>
      <c r="B931" s="41" t="str">
        <f xml:space="preserve"> _xlfn.TEXTJOIN( "", , data_scaledImpacts[[#This Row],[sector]:[impactType]] )</f>
        <v>WinterRecCCSM472010N/ASnowmobiling</v>
      </c>
      <c r="C931" s="33" t="s">
        <v>89</v>
      </c>
      <c r="D931" s="33" t="s">
        <v>1</v>
      </c>
      <c r="E931" s="34">
        <v>7</v>
      </c>
      <c r="F931" s="34">
        <v>2010</v>
      </c>
      <c r="G931" s="34" t="s">
        <v>201</v>
      </c>
      <c r="H931" s="35" t="s">
        <v>92</v>
      </c>
      <c r="I931" s="43" t="s">
        <v>136</v>
      </c>
      <c r="J931" s="36"/>
      <c r="K931" s="36"/>
      <c r="L931" s="37"/>
      <c r="M931" s="36"/>
      <c r="N931" s="36"/>
      <c r="O931" s="36"/>
    </row>
    <row r="932" spans="1:16" hidden="1" x14ac:dyDescent="0.35">
      <c r="A932" s="3">
        <f xml:space="preserve"> ROW( data_scaledImpacts[[#This Row],[row_id]] ) - ROW( data_scaledImpacts[[#Headers],[row_id]] )</f>
        <v>931</v>
      </c>
      <c r="B932" s="41" t="str">
        <f xml:space="preserve"> _xlfn.TEXTJOIN( "", , data_scaledImpacts[[#This Row],[sector]:[impactType]] )</f>
        <v>WinterRecGISS-E2-R72010N/ASnowmobiling</v>
      </c>
      <c r="C932" s="33" t="s">
        <v>89</v>
      </c>
      <c r="D932" s="33" t="s">
        <v>2</v>
      </c>
      <c r="E932" s="34">
        <v>7</v>
      </c>
      <c r="F932" s="34">
        <v>2010</v>
      </c>
      <c r="G932" s="34" t="s">
        <v>201</v>
      </c>
      <c r="H932" s="35" t="s">
        <v>92</v>
      </c>
      <c r="I932" s="43" t="s">
        <v>137</v>
      </c>
      <c r="J932" s="36"/>
      <c r="K932" s="36"/>
      <c r="L932" s="37"/>
      <c r="M932" s="36"/>
      <c r="N932" s="36"/>
      <c r="O932" s="36"/>
    </row>
    <row r="933" spans="1:16" hidden="1" x14ac:dyDescent="0.35">
      <c r="A933" s="3">
        <f xml:space="preserve"> ROW( data_scaledImpacts[[#This Row],[row_id]] ) - ROW( data_scaledImpacts[[#Headers],[row_id]] )</f>
        <v>932</v>
      </c>
      <c r="B933" s="41" t="str">
        <f xml:space="preserve"> _xlfn.TEXTJOIN( "", , data_scaledImpacts[[#This Row],[sector]:[impactType]] )</f>
        <v>WinterRecHadGEM2-ES72010N/ASnowmobiling</v>
      </c>
      <c r="C933" s="33" t="s">
        <v>89</v>
      </c>
      <c r="D933" s="33" t="s">
        <v>3</v>
      </c>
      <c r="E933" s="34">
        <v>7</v>
      </c>
      <c r="F933" s="34">
        <v>2010</v>
      </c>
      <c r="G933" s="34" t="s">
        <v>201</v>
      </c>
      <c r="H933" s="35" t="s">
        <v>92</v>
      </c>
      <c r="I933" s="43" t="s">
        <v>138</v>
      </c>
      <c r="J933" s="36"/>
      <c r="K933" s="36"/>
      <c r="L933" s="37"/>
      <c r="M933" s="36"/>
      <c r="N933" s="36"/>
      <c r="O933" s="36"/>
    </row>
    <row r="934" spans="1:16" hidden="1" x14ac:dyDescent="0.35">
      <c r="A934" s="3">
        <f xml:space="preserve"> ROW( data_scaledImpacts[[#This Row],[row_id]] ) - ROW( data_scaledImpacts[[#Headers],[row_id]] )</f>
        <v>933</v>
      </c>
      <c r="B934" s="41" t="str">
        <f xml:space="preserve"> _xlfn.TEXTJOIN( "", , data_scaledImpacts[[#This Row],[sector]:[impactType]] )</f>
        <v>WinterRecMIROC572010N/ASnowmobiling</v>
      </c>
      <c r="C934" s="33" t="s">
        <v>89</v>
      </c>
      <c r="D934" s="33" t="s">
        <v>4</v>
      </c>
      <c r="E934" s="34">
        <v>7</v>
      </c>
      <c r="F934" s="34">
        <v>2010</v>
      </c>
      <c r="G934" s="34" t="s">
        <v>201</v>
      </c>
      <c r="H934" s="35" t="s">
        <v>92</v>
      </c>
      <c r="I934" s="43" t="s">
        <v>139</v>
      </c>
      <c r="J934" s="36"/>
      <c r="K934" s="36"/>
      <c r="L934" s="37"/>
      <c r="M934" s="36"/>
      <c r="N934" s="36"/>
      <c r="O934" s="36"/>
    </row>
    <row r="935" spans="1:16" hidden="1" x14ac:dyDescent="0.35">
      <c r="A935" s="3">
        <f xml:space="preserve"> ROW( data_scaledImpacts[[#This Row],[row_id]] ) - ROW( data_scaledImpacts[[#Headers],[row_id]] )</f>
        <v>934</v>
      </c>
      <c r="B935" s="41" t="str">
        <f xml:space="preserve"> _xlfn.TEXTJOIN( "", , data_scaledImpacts[[#This Row],[sector]:[impactType]] )</f>
        <v>WinterRecGFDL-CM372010N/ASnowmobiling</v>
      </c>
      <c r="C935" s="33" t="s">
        <v>89</v>
      </c>
      <c r="D935" s="33" t="s">
        <v>5</v>
      </c>
      <c r="E935" s="34">
        <v>7</v>
      </c>
      <c r="F935" s="34">
        <v>2010</v>
      </c>
      <c r="G935" s="34" t="s">
        <v>201</v>
      </c>
      <c r="H935" s="35" t="s">
        <v>92</v>
      </c>
      <c r="I935" s="43" t="s">
        <v>140</v>
      </c>
      <c r="J935" s="36"/>
      <c r="K935" s="36"/>
      <c r="L935" s="37"/>
      <c r="M935" s="36"/>
      <c r="N935" s="36"/>
      <c r="O935" s="36"/>
    </row>
    <row r="936" spans="1:16" hidden="1" x14ac:dyDescent="0.35">
      <c r="A936" s="3">
        <f xml:space="preserve"> ROW( data_scaledImpacts[[#This Row],[row_id]] ) - ROW( data_scaledImpacts[[#Headers],[row_id]] )</f>
        <v>935</v>
      </c>
      <c r="B936" s="41" t="str">
        <f xml:space="preserve"> _xlfn.TEXTJOIN( "", , data_scaledImpacts[[#This Row],[sector]:[impactType]] )</f>
        <v>WinterRecGCM Average72010N/ASnowmobiling</v>
      </c>
      <c r="C936" s="33" t="s">
        <v>89</v>
      </c>
      <c r="D936" s="33" t="s">
        <v>15</v>
      </c>
      <c r="E936" s="34">
        <v>7</v>
      </c>
      <c r="F936" s="34">
        <v>2010</v>
      </c>
      <c r="G936" s="34" t="s">
        <v>201</v>
      </c>
      <c r="H936" s="35" t="s">
        <v>92</v>
      </c>
      <c r="I936" s="43" t="s">
        <v>141</v>
      </c>
      <c r="J936" s="36" t="s">
        <v>26</v>
      </c>
      <c r="K936" s="36" t="s">
        <v>26</v>
      </c>
      <c r="L936" s="37" t="s">
        <v>26</v>
      </c>
      <c r="M936" s="36" t="s">
        <v>26</v>
      </c>
      <c r="N936" s="36" t="s">
        <v>26</v>
      </c>
      <c r="O936" s="36"/>
      <c r="P936" t="s">
        <v>26</v>
      </c>
    </row>
    <row r="937" spans="1:16" hidden="1" x14ac:dyDescent="0.35">
      <c r="A937" s="3">
        <f xml:space="preserve"> ROW( data_scaledImpacts[[#This Row],[row_id]] ) - ROW( data_scaledImpacts[[#Headers],[row_id]] )</f>
        <v>936</v>
      </c>
      <c r="B937" s="41" t="str">
        <f xml:space="preserve"> _xlfn.TEXTJOIN( "", , data_scaledImpacts[[#This Row],[sector]:[impactType]] )</f>
        <v>WinterRecCanESM212090N/ASnowmobiling</v>
      </c>
      <c r="C937" s="33" t="s">
        <v>89</v>
      </c>
      <c r="D937" s="33" t="s">
        <v>0</v>
      </c>
      <c r="E937" s="34">
        <v>1</v>
      </c>
      <c r="F937" s="34">
        <v>2090</v>
      </c>
      <c r="G937" s="34" t="s">
        <v>201</v>
      </c>
      <c r="H937" s="35" t="s">
        <v>92</v>
      </c>
      <c r="I937" s="43" t="s">
        <v>142</v>
      </c>
      <c r="J937" s="36">
        <v>1.3923421647362076E-4</v>
      </c>
      <c r="K937" s="36">
        <v>4.5774587646709285E-3</v>
      </c>
      <c r="L937" s="37">
        <v>2.1454565605411653E-2</v>
      </c>
      <c r="M937" s="36">
        <v>-2.4723404065696828E-3</v>
      </c>
      <c r="N937" s="36">
        <v>1.6645059141855131E-5</v>
      </c>
      <c r="O937" s="36"/>
      <c r="P937">
        <v>2.1100354166542776E-4</v>
      </c>
    </row>
    <row r="938" spans="1:16" hidden="1" x14ac:dyDescent="0.35">
      <c r="A938" s="3">
        <f xml:space="preserve"> ROW( data_scaledImpacts[[#This Row],[row_id]] ) - ROW( data_scaledImpacts[[#Headers],[row_id]] )</f>
        <v>937</v>
      </c>
      <c r="B938" s="41" t="str">
        <f xml:space="preserve"> _xlfn.TEXTJOIN( "", , data_scaledImpacts[[#This Row],[sector]:[impactType]] )</f>
        <v>WinterRecCCSM412090N/ASnowmobiling</v>
      </c>
      <c r="C938" s="33" t="s">
        <v>89</v>
      </c>
      <c r="D938" s="33" t="s">
        <v>1</v>
      </c>
      <c r="E938" s="34">
        <v>1</v>
      </c>
      <c r="F938" s="34">
        <v>2090</v>
      </c>
      <c r="G938" s="34" t="s">
        <v>201</v>
      </c>
      <c r="H938" s="35" t="s">
        <v>92</v>
      </c>
      <c r="I938" s="43" t="s">
        <v>143</v>
      </c>
      <c r="J938" s="36">
        <v>6.4335886862611734E-3</v>
      </c>
      <c r="K938" s="36">
        <v>1.7237072699680077E-3</v>
      </c>
      <c r="L938" s="37">
        <v>2.1536961326076305E-2</v>
      </c>
      <c r="M938" s="36">
        <v>1.4153594461900669E-2</v>
      </c>
      <c r="N938" s="36">
        <v>3.3290118283710283E-6</v>
      </c>
      <c r="O938" s="36"/>
      <c r="P938">
        <v>2.5185924695386029E-3</v>
      </c>
    </row>
    <row r="939" spans="1:16" hidden="1" x14ac:dyDescent="0.35">
      <c r="A939" s="3">
        <f xml:space="preserve"> ROW( data_scaledImpacts[[#This Row],[row_id]] ) - ROW( data_scaledImpacts[[#Headers],[row_id]] )</f>
        <v>938</v>
      </c>
      <c r="B939" s="41" t="str">
        <f xml:space="preserve"> _xlfn.TEXTJOIN( "", , data_scaledImpacts[[#This Row],[sector]:[impactType]] )</f>
        <v>WinterRecGISS-E2-R12090N/ASnowmobiling</v>
      </c>
      <c r="C939" s="33" t="s">
        <v>89</v>
      </c>
      <c r="D939" s="33" t="s">
        <v>2</v>
      </c>
      <c r="E939" s="34">
        <v>1</v>
      </c>
      <c r="F939" s="34">
        <v>2090</v>
      </c>
      <c r="G939" s="34" t="s">
        <v>201</v>
      </c>
      <c r="H939" s="35" t="s">
        <v>92</v>
      </c>
      <c r="I939" s="43" t="s">
        <v>144</v>
      </c>
      <c r="J939" s="36">
        <v>2.411084310955031E-2</v>
      </c>
      <c r="K939" s="36">
        <v>4.8537676533939389E-3</v>
      </c>
      <c r="L939" s="37">
        <v>2.7932464427192716E-2</v>
      </c>
      <c r="M939" s="36">
        <v>2.0160571635263708E-2</v>
      </c>
      <c r="N939" s="36">
        <v>1.2067667877844966E-5</v>
      </c>
      <c r="O939" s="36"/>
      <c r="P939">
        <v>1.465552470715694E-3</v>
      </c>
    </row>
    <row r="940" spans="1:16" hidden="1" x14ac:dyDescent="0.35">
      <c r="A940" s="3">
        <f xml:space="preserve"> ROW( data_scaledImpacts[[#This Row],[row_id]] ) - ROW( data_scaledImpacts[[#Headers],[row_id]] )</f>
        <v>939</v>
      </c>
      <c r="B940" s="41" t="str">
        <f xml:space="preserve"> _xlfn.TEXTJOIN( "", , data_scaledImpacts[[#This Row],[sector]:[impactType]] )</f>
        <v>WinterRecHadGEM2-ES12090N/ASnowmobiling</v>
      </c>
      <c r="C940" s="33" t="s">
        <v>89</v>
      </c>
      <c r="D940" s="33" t="s">
        <v>3</v>
      </c>
      <c r="E940" s="34">
        <v>1</v>
      </c>
      <c r="F940" s="34">
        <v>2090</v>
      </c>
      <c r="G940" s="34" t="s">
        <v>201</v>
      </c>
      <c r="H940" s="35" t="s">
        <v>92</v>
      </c>
      <c r="I940" s="43" t="s">
        <v>145</v>
      </c>
      <c r="J940" s="36">
        <v>1.6921200947655451E-2</v>
      </c>
      <c r="K940" s="36">
        <v>3.4260066501706696E-3</v>
      </c>
      <c r="L940" s="37">
        <v>-3.1789092438905871E-4</v>
      </c>
      <c r="M940" s="36">
        <v>2.0531686063218486E-2</v>
      </c>
      <c r="N940" s="36">
        <v>1.7477312098947891E-5</v>
      </c>
      <c r="O940" s="36"/>
      <c r="P940">
        <v>-5.5418123843802821E-3</v>
      </c>
    </row>
    <row r="941" spans="1:16" hidden="1" x14ac:dyDescent="0.35">
      <c r="A941" s="3">
        <f xml:space="preserve"> ROW( data_scaledImpacts[[#This Row],[row_id]] ) - ROW( data_scaledImpacts[[#Headers],[row_id]] )</f>
        <v>940</v>
      </c>
      <c r="B941" s="41" t="str">
        <f xml:space="preserve"> _xlfn.TEXTJOIN( "", , data_scaledImpacts[[#This Row],[sector]:[impactType]] )</f>
        <v>WinterRecMIROC512090N/ASnowmobiling</v>
      </c>
      <c r="C941" s="33" t="s">
        <v>89</v>
      </c>
      <c r="D941" s="33" t="s">
        <v>4</v>
      </c>
      <c r="E941" s="34">
        <v>1</v>
      </c>
      <c r="F941" s="34">
        <v>2090</v>
      </c>
      <c r="G941" s="34" t="s">
        <v>201</v>
      </c>
      <c r="H941" s="35" t="s">
        <v>92</v>
      </c>
      <c r="I941" s="43" t="s">
        <v>146</v>
      </c>
      <c r="J941" s="36">
        <v>1.1790938217798853E-2</v>
      </c>
      <c r="K941" s="36">
        <v>3.1491532836973833E-3</v>
      </c>
      <c r="L941" s="37">
        <v>6.079724113383983E-2</v>
      </c>
      <c r="M941" s="36">
        <v>3.2776513435274046E-2</v>
      </c>
      <c r="N941" s="36">
        <v>2.5383715191329083E-5</v>
      </c>
      <c r="O941" s="36"/>
      <c r="P941">
        <v>2.6065819670586859E-3</v>
      </c>
    </row>
    <row r="942" spans="1:16" hidden="1" x14ac:dyDescent="0.35">
      <c r="A942" s="3">
        <f xml:space="preserve"> ROW( data_scaledImpacts[[#This Row],[row_id]] ) - ROW( data_scaledImpacts[[#Headers],[row_id]] )</f>
        <v>941</v>
      </c>
      <c r="B942" s="41" t="str">
        <f xml:space="preserve"> _xlfn.TEXTJOIN( "", , data_scaledImpacts[[#This Row],[sector]:[impactType]] )</f>
        <v>WinterRecGFDL-CM312090N/ASnowmobiling</v>
      </c>
      <c r="C942" s="33" t="s">
        <v>89</v>
      </c>
      <c r="D942" s="33" t="s">
        <v>5</v>
      </c>
      <c r="E942" s="34">
        <v>1</v>
      </c>
      <c r="F942" s="34">
        <v>2090</v>
      </c>
      <c r="G942" s="34" t="s">
        <v>201</v>
      </c>
      <c r="H942" s="35" t="s">
        <v>92</v>
      </c>
      <c r="I942" s="43" t="s">
        <v>147</v>
      </c>
      <c r="J942" s="36">
        <v>4.4313155361981136E-3</v>
      </c>
      <c r="K942" s="36">
        <v>3.3377162375725833E-3</v>
      </c>
      <c r="L942" s="37">
        <v>-2.7939556576882497E-2</v>
      </c>
      <c r="M942" s="36">
        <v>6.312028129470881E-3</v>
      </c>
      <c r="N942" s="36">
        <v>1.3316047313484113E-5</v>
      </c>
      <c r="O942" s="36"/>
      <c r="P942">
        <v>-3.819880933316099E-4</v>
      </c>
    </row>
    <row r="943" spans="1:16" hidden="1" x14ac:dyDescent="0.35">
      <c r="A943" s="3">
        <f xml:space="preserve"> ROW( data_scaledImpacts[[#This Row],[row_id]] ) - ROW( data_scaledImpacts[[#Headers],[row_id]] )</f>
        <v>942</v>
      </c>
      <c r="B943" s="41" t="str">
        <f xml:space="preserve"> _xlfn.TEXTJOIN( "", , data_scaledImpacts[[#This Row],[sector]:[impactType]] )</f>
        <v>WinterRecGCM Average12090N/ASnowmobiling</v>
      </c>
      <c r="C943" s="33" t="s">
        <v>89</v>
      </c>
      <c r="D943" s="33" t="s">
        <v>15</v>
      </c>
      <c r="E943" s="34">
        <v>1</v>
      </c>
      <c r="F943" s="34">
        <v>2090</v>
      </c>
      <c r="G943" s="34" t="s">
        <v>201</v>
      </c>
      <c r="H943" s="35" t="s">
        <v>92</v>
      </c>
      <c r="I943" s="43" t="s">
        <v>148</v>
      </c>
      <c r="J943" s="36">
        <v>1.063785345232292E-2</v>
      </c>
      <c r="K943" s="36">
        <v>3.5113016432455854E-3</v>
      </c>
      <c r="L943" s="37">
        <v>1.7243964165208157E-2</v>
      </c>
      <c r="M943" s="36">
        <v>1.5243675553093019E-2</v>
      </c>
      <c r="N943" s="36">
        <v>1.4703135575305368E-5</v>
      </c>
      <c r="O943" s="36"/>
      <c r="P943">
        <v>1.4632166187775311E-4</v>
      </c>
    </row>
    <row r="944" spans="1:16" hidden="1" x14ac:dyDescent="0.35">
      <c r="A944" s="3">
        <f xml:space="preserve"> ROW( data_scaledImpacts[[#This Row],[row_id]] ) - ROW( data_scaledImpacts[[#Headers],[row_id]] )</f>
        <v>943</v>
      </c>
      <c r="B944" s="41" t="str">
        <f xml:space="preserve"> _xlfn.TEXTJOIN( "", , data_scaledImpacts[[#This Row],[sector]:[impactType]] )</f>
        <v>WinterRecCanESM222090N/ASnowmobiling</v>
      </c>
      <c r="C944" s="33" t="s">
        <v>89</v>
      </c>
      <c r="D944" s="33" t="s">
        <v>0</v>
      </c>
      <c r="E944" s="34">
        <v>2</v>
      </c>
      <c r="F944" s="34">
        <v>2090</v>
      </c>
      <c r="G944" s="34" t="s">
        <v>201</v>
      </c>
      <c r="H944" s="35" t="s">
        <v>92</v>
      </c>
      <c r="I944" s="43" t="s">
        <v>149</v>
      </c>
      <c r="J944" s="36">
        <v>1.3083432327052561E-2</v>
      </c>
      <c r="K944" s="36">
        <v>5.993701529609932E-3</v>
      </c>
      <c r="L944" s="37">
        <v>5.2723402488938108E-2</v>
      </c>
      <c r="M944" s="36">
        <v>6.5073342317825578E-2</v>
      </c>
      <c r="N944" s="36">
        <v>2.5383715191329083E-5</v>
      </c>
      <c r="O944" s="36"/>
      <c r="P944">
        <v>7.4674558380604973E-3</v>
      </c>
    </row>
    <row r="945" spans="1:16" hidden="1" x14ac:dyDescent="0.35">
      <c r="A945" s="3">
        <f xml:space="preserve"> ROW( data_scaledImpacts[[#This Row],[row_id]] ) - ROW( data_scaledImpacts[[#Headers],[row_id]] )</f>
        <v>944</v>
      </c>
      <c r="B945" s="41" t="str">
        <f xml:space="preserve"> _xlfn.TEXTJOIN( "", , data_scaledImpacts[[#This Row],[sector]:[impactType]] )</f>
        <v>WinterRecCCSM422090N/ASnowmobiling</v>
      </c>
      <c r="C945" s="33" t="s">
        <v>89</v>
      </c>
      <c r="D945" s="33" t="s">
        <v>1</v>
      </c>
      <c r="E945" s="34">
        <v>2</v>
      </c>
      <c r="F945" s="34">
        <v>2090</v>
      </c>
      <c r="G945" s="34" t="s">
        <v>201</v>
      </c>
      <c r="H945" s="35" t="s">
        <v>92</v>
      </c>
      <c r="I945" s="43" t="s">
        <v>150</v>
      </c>
      <c r="J945" s="36">
        <v>1.1166037587377204E-2</v>
      </c>
      <c r="K945" s="36">
        <v>2.8991808412658989E-3</v>
      </c>
      <c r="L945" s="37">
        <v>0.10069323055977079</v>
      </c>
      <c r="M945" s="36">
        <v>6.4240816837823123E-2</v>
      </c>
      <c r="N945" s="36">
        <v>2.0390197448772535E-5</v>
      </c>
      <c r="O945" s="36"/>
      <c r="P945">
        <v>1.0559031649195099E-2</v>
      </c>
    </row>
    <row r="946" spans="1:16" hidden="1" x14ac:dyDescent="0.35">
      <c r="A946" s="3">
        <f xml:space="preserve"> ROW( data_scaledImpacts[[#This Row],[row_id]] ) - ROW( data_scaledImpacts[[#Headers],[row_id]] )</f>
        <v>945</v>
      </c>
      <c r="B946" s="41" t="str">
        <f xml:space="preserve"> _xlfn.TEXTJOIN( "", , data_scaledImpacts[[#This Row],[sector]:[impactType]] )</f>
        <v>WinterRecGISS-E2-R22090N/ASnowmobiling</v>
      </c>
      <c r="C946" s="33" t="s">
        <v>89</v>
      </c>
      <c r="D946" s="33" t="s">
        <v>2</v>
      </c>
      <c r="E946" s="34">
        <v>2</v>
      </c>
      <c r="F946" s="34">
        <v>2090</v>
      </c>
      <c r="G946" s="34" t="s">
        <v>201</v>
      </c>
      <c r="H946" s="35" t="s">
        <v>92</v>
      </c>
      <c r="I946" s="43" t="s">
        <v>151</v>
      </c>
      <c r="J946" s="36">
        <v>2.6020768908059218E-2</v>
      </c>
      <c r="K946" s="36">
        <v>8.0491077907839052E-3</v>
      </c>
      <c r="L946" s="37">
        <v>4.3146358238610648E-2</v>
      </c>
      <c r="M946" s="36">
        <v>3.507449735374954E-2</v>
      </c>
      <c r="N946" s="36">
        <v>2.4967588712782761E-6</v>
      </c>
      <c r="O946" s="36"/>
      <c r="P946">
        <v>2.9970851342440985E-3</v>
      </c>
    </row>
    <row r="947" spans="1:16" hidden="1" x14ac:dyDescent="0.35">
      <c r="A947" s="3">
        <f xml:space="preserve"> ROW( data_scaledImpacts[[#This Row],[row_id]] ) - ROW( data_scaledImpacts[[#Headers],[row_id]] )</f>
        <v>946</v>
      </c>
      <c r="B947" s="41" t="str">
        <f xml:space="preserve"> _xlfn.TEXTJOIN( "", , data_scaledImpacts[[#This Row],[sector]:[impactType]] )</f>
        <v>WinterRecHadGEM2-ES22090N/ASnowmobiling</v>
      </c>
      <c r="C947" s="33" t="s">
        <v>89</v>
      </c>
      <c r="D947" s="33" t="s">
        <v>3</v>
      </c>
      <c r="E947" s="34">
        <v>2</v>
      </c>
      <c r="F947" s="34">
        <v>2090</v>
      </c>
      <c r="G947" s="34" t="s">
        <v>201</v>
      </c>
      <c r="H947" s="35" t="s">
        <v>92</v>
      </c>
      <c r="I947" s="43" t="s">
        <v>152</v>
      </c>
      <c r="J947" s="36">
        <v>1.3596776571567309E-2</v>
      </c>
      <c r="K947" s="36">
        <v>3.9473266910181543E-3</v>
      </c>
      <c r="L947" s="37">
        <v>5.2600810044314959E-2</v>
      </c>
      <c r="M947" s="36">
        <v>5.2934631421609084E-2</v>
      </c>
      <c r="N947" s="36">
        <v>2.2054703362958049E-5</v>
      </c>
      <c r="O947" s="36"/>
      <c r="P947">
        <v>3.9750332126101719E-3</v>
      </c>
    </row>
    <row r="948" spans="1:16" hidden="1" x14ac:dyDescent="0.35">
      <c r="A948" s="3">
        <f xml:space="preserve"> ROW( data_scaledImpacts[[#This Row],[row_id]] ) - ROW( data_scaledImpacts[[#Headers],[row_id]] )</f>
        <v>947</v>
      </c>
      <c r="B948" s="41" t="str">
        <f xml:space="preserve"> _xlfn.TEXTJOIN( "", , data_scaledImpacts[[#This Row],[sector]:[impactType]] )</f>
        <v>WinterRecMIROC522090N/ASnowmobiling</v>
      </c>
      <c r="C948" s="33" t="s">
        <v>89</v>
      </c>
      <c r="D948" s="33" t="s">
        <v>4</v>
      </c>
      <c r="E948" s="34">
        <v>2</v>
      </c>
      <c r="F948" s="34">
        <v>2090</v>
      </c>
      <c r="G948" s="34" t="s">
        <v>201</v>
      </c>
      <c r="H948" s="35" t="s">
        <v>92</v>
      </c>
      <c r="I948" s="43" t="s">
        <v>153</v>
      </c>
      <c r="J948" s="36">
        <v>2.4661537867190986E-2</v>
      </c>
      <c r="K948" s="36">
        <v>5.9235470443774708E-3</v>
      </c>
      <c r="L948" s="37">
        <v>0.14535846171430511</v>
      </c>
      <c r="M948" s="36">
        <v>5.9904373129289708E-2</v>
      </c>
      <c r="N948" s="36">
        <v>1.7893438577494271E-5</v>
      </c>
      <c r="O948" s="36"/>
      <c r="P948">
        <v>9.9101367953891746E-3</v>
      </c>
    </row>
    <row r="949" spans="1:16" hidden="1" x14ac:dyDescent="0.35">
      <c r="A949" s="3">
        <f xml:space="preserve"> ROW( data_scaledImpacts[[#This Row],[row_id]] ) - ROW( data_scaledImpacts[[#Headers],[row_id]] )</f>
        <v>948</v>
      </c>
      <c r="B949" s="41" t="str">
        <f xml:space="preserve"> _xlfn.TEXTJOIN( "", , data_scaledImpacts[[#This Row],[sector]:[impactType]] )</f>
        <v>WinterRecGFDL-CM322090N/ASnowmobiling</v>
      </c>
      <c r="C949" s="33" t="s">
        <v>89</v>
      </c>
      <c r="D949" s="33" t="s">
        <v>5</v>
      </c>
      <c r="E949" s="34">
        <v>2</v>
      </c>
      <c r="F949" s="34">
        <v>2090</v>
      </c>
      <c r="G949" s="34" t="s">
        <v>201</v>
      </c>
      <c r="H949" s="35" t="s">
        <v>92</v>
      </c>
      <c r="I949" s="43" t="s">
        <v>154</v>
      </c>
      <c r="J949" s="36">
        <v>1.6264635664380873E-2</v>
      </c>
      <c r="K949" s="36">
        <v>6.2045200626441553E-3</v>
      </c>
      <c r="L949" s="37">
        <v>2.4921957331987255E-2</v>
      </c>
      <c r="M949" s="36">
        <v>1.0573855250737233E-2</v>
      </c>
      <c r="N949" s="36">
        <v>2.4967588712782706E-5</v>
      </c>
      <c r="O949" s="36"/>
      <c r="P949">
        <v>2.0015690315343493E-3</v>
      </c>
    </row>
    <row r="950" spans="1:16" hidden="1" x14ac:dyDescent="0.35">
      <c r="A950" s="3">
        <f xml:space="preserve"> ROW( data_scaledImpacts[[#This Row],[row_id]] ) - ROW( data_scaledImpacts[[#Headers],[row_id]] )</f>
        <v>949</v>
      </c>
      <c r="B950" s="41" t="str">
        <f xml:space="preserve"> _xlfn.TEXTJOIN( "", , data_scaledImpacts[[#This Row],[sector]:[impactType]] )</f>
        <v>WinterRecGCM Average22090N/ASnowmobiling</v>
      </c>
      <c r="C950" s="33" t="s">
        <v>89</v>
      </c>
      <c r="D950" s="33" t="s">
        <v>15</v>
      </c>
      <c r="E950" s="34">
        <v>2</v>
      </c>
      <c r="F950" s="34">
        <v>2090</v>
      </c>
      <c r="G950" s="34" t="s">
        <v>201</v>
      </c>
      <c r="H950" s="35" t="s">
        <v>92</v>
      </c>
      <c r="I950" s="43" t="s">
        <v>155</v>
      </c>
      <c r="J950" s="36">
        <v>1.7465531487604689E-2</v>
      </c>
      <c r="K950" s="36">
        <v>5.5028973266165867E-3</v>
      </c>
      <c r="L950" s="37">
        <v>6.990737006298782E-2</v>
      </c>
      <c r="M950" s="36">
        <v>4.7966919385172384E-2</v>
      </c>
      <c r="N950" s="36">
        <v>1.8864400360769152E-5</v>
      </c>
      <c r="O950" s="36"/>
      <c r="P950">
        <v>6.1517186101722318E-3</v>
      </c>
    </row>
    <row r="951" spans="1:16" hidden="1" x14ac:dyDescent="0.35">
      <c r="A951" s="3">
        <f xml:space="preserve"> ROW( data_scaledImpacts[[#This Row],[row_id]] ) - ROW( data_scaledImpacts[[#Headers],[row_id]] )</f>
        <v>950</v>
      </c>
      <c r="B951" s="41" t="str">
        <f xml:space="preserve"> _xlfn.TEXTJOIN( "", , data_scaledImpacts[[#This Row],[sector]:[impactType]] )</f>
        <v>WinterRecCanESM232090N/ASnowmobiling</v>
      </c>
      <c r="C951" s="33" t="s">
        <v>89</v>
      </c>
      <c r="D951" s="33" t="s">
        <v>0</v>
      </c>
      <c r="E951" s="34">
        <v>3</v>
      </c>
      <c r="F951" s="34">
        <v>2090</v>
      </c>
      <c r="G951" s="34" t="s">
        <v>201</v>
      </c>
      <c r="H951" s="35" t="s">
        <v>92</v>
      </c>
      <c r="I951" s="43" t="s">
        <v>156</v>
      </c>
      <c r="J951" s="36">
        <v>2.2945121732278664E-2</v>
      </c>
      <c r="K951" s="36">
        <v>6.718477551187825E-3</v>
      </c>
      <c r="L951" s="37">
        <v>0.11782182822632462</v>
      </c>
      <c r="M951" s="36">
        <v>9.1695030337025765E-2</v>
      </c>
      <c r="N951" s="36">
        <v>1.4564426749123242E-5</v>
      </c>
      <c r="O951" s="36"/>
      <c r="P951">
        <v>1.0353726030190127E-2</v>
      </c>
    </row>
    <row r="952" spans="1:16" hidden="1" x14ac:dyDescent="0.35">
      <c r="A952" s="3">
        <f xml:space="preserve"> ROW( data_scaledImpacts[[#This Row],[row_id]] ) - ROW( data_scaledImpacts[[#Headers],[row_id]] )</f>
        <v>951</v>
      </c>
      <c r="B952" s="41" t="str">
        <f xml:space="preserve"> _xlfn.TEXTJOIN( "", , data_scaledImpacts[[#This Row],[sector]:[impactType]] )</f>
        <v>WinterRecCCSM432090N/ASnowmobiling</v>
      </c>
      <c r="C952" s="33" t="s">
        <v>89</v>
      </c>
      <c r="D952" s="33" t="s">
        <v>1</v>
      </c>
      <c r="E952" s="34">
        <v>3</v>
      </c>
      <c r="F952" s="34">
        <v>2090</v>
      </c>
      <c r="G952" s="34" t="s">
        <v>201</v>
      </c>
      <c r="H952" s="35" t="s">
        <v>92</v>
      </c>
      <c r="I952" s="43" t="s">
        <v>157</v>
      </c>
      <c r="J952" s="36">
        <v>3.0198309705658663E-2</v>
      </c>
      <c r="K952" s="36">
        <v>7.3923599304428827E-3</v>
      </c>
      <c r="L952" s="37">
        <v>0.13006649072353538</v>
      </c>
      <c r="M952" s="36">
        <v>9.4079371373925941E-2</v>
      </c>
      <c r="N952" s="36">
        <v>2.3719209277143569E-5</v>
      </c>
      <c r="O952" s="36"/>
      <c r="P952">
        <v>1.0650882259088159E-2</v>
      </c>
    </row>
    <row r="953" spans="1:16" hidden="1" x14ac:dyDescent="0.35">
      <c r="A953" s="3">
        <f xml:space="preserve"> ROW( data_scaledImpacts[[#This Row],[row_id]] ) - ROW( data_scaledImpacts[[#Headers],[row_id]] )</f>
        <v>952</v>
      </c>
      <c r="B953" s="41" t="str">
        <f xml:space="preserve"> _xlfn.TEXTJOIN( "", , data_scaledImpacts[[#This Row],[sector]:[impactType]] )</f>
        <v>WinterRecGISS-E2-R32090N/ASnowmobiling</v>
      </c>
      <c r="C953" s="33" t="s">
        <v>89</v>
      </c>
      <c r="D953" s="33" t="s">
        <v>2</v>
      </c>
      <c r="E953" s="34">
        <v>3</v>
      </c>
      <c r="F953" s="34">
        <v>2090</v>
      </c>
      <c r="G953" s="34" t="s">
        <v>201</v>
      </c>
      <c r="H953" s="35" t="s">
        <v>92</v>
      </c>
      <c r="I953" s="43" t="s">
        <v>158</v>
      </c>
      <c r="J953" s="36">
        <v>2.8019120269154308E-2</v>
      </c>
      <c r="K953" s="36">
        <v>8.0985555522300329E-3</v>
      </c>
      <c r="L953" s="37">
        <v>6.0799000558012357E-2</v>
      </c>
      <c r="M953" s="36">
        <v>4.7627300760967897E-2</v>
      </c>
      <c r="N953" s="36">
        <v>1.8725691534587024E-5</v>
      </c>
      <c r="O953" s="36"/>
      <c r="P953">
        <v>5.41331034577653E-3</v>
      </c>
    </row>
    <row r="954" spans="1:16" hidden="1" x14ac:dyDescent="0.35">
      <c r="A954" s="3">
        <f xml:space="preserve"> ROW( data_scaledImpacts[[#This Row],[row_id]] ) - ROW( data_scaledImpacts[[#Headers],[row_id]] )</f>
        <v>953</v>
      </c>
      <c r="B954" s="41" t="str">
        <f xml:space="preserve"> _xlfn.TEXTJOIN( "", , data_scaledImpacts[[#This Row],[sector]:[impactType]] )</f>
        <v>WinterRecHadGEM2-ES32090N/ASnowmobiling</v>
      </c>
      <c r="C954" s="33" t="s">
        <v>89</v>
      </c>
      <c r="D954" s="33" t="s">
        <v>3</v>
      </c>
      <c r="E954" s="34">
        <v>3</v>
      </c>
      <c r="F954" s="34">
        <v>2090</v>
      </c>
      <c r="G954" s="34" t="s">
        <v>201</v>
      </c>
      <c r="H954" s="35" t="s">
        <v>92</v>
      </c>
      <c r="I954" s="43" t="s">
        <v>159</v>
      </c>
      <c r="J954" s="36">
        <v>2.8462619041465759E-2</v>
      </c>
      <c r="K954" s="36">
        <v>8.2355746909339392E-3</v>
      </c>
      <c r="L954" s="37">
        <v>0.10384352767348398</v>
      </c>
      <c r="M954" s="36">
        <v>8.8299598342954283E-2</v>
      </c>
      <c r="N954" s="36">
        <v>3.7867509547720432E-5</v>
      </c>
      <c r="O954" s="36"/>
      <c r="P954">
        <v>9.6423410864579211E-3</v>
      </c>
    </row>
    <row r="955" spans="1:16" hidden="1" x14ac:dyDescent="0.35">
      <c r="A955" s="3">
        <f xml:space="preserve"> ROW( data_scaledImpacts[[#This Row],[row_id]] ) - ROW( data_scaledImpacts[[#Headers],[row_id]] )</f>
        <v>954</v>
      </c>
      <c r="B955" s="41" t="str">
        <f xml:space="preserve"> _xlfn.TEXTJOIN( "", , data_scaledImpacts[[#This Row],[sector]:[impactType]] )</f>
        <v>WinterRecMIROC532090N/ASnowmobiling</v>
      </c>
      <c r="C955" s="33" t="s">
        <v>89</v>
      </c>
      <c r="D955" s="33" t="s">
        <v>4</v>
      </c>
      <c r="E955" s="34">
        <v>3</v>
      </c>
      <c r="F955" s="34">
        <v>2090</v>
      </c>
      <c r="G955" s="34" t="s">
        <v>201</v>
      </c>
      <c r="H955" s="35" t="s">
        <v>92</v>
      </c>
      <c r="I955" s="43" t="s">
        <v>160</v>
      </c>
      <c r="J955" s="36">
        <v>2.8646173233494356E-2</v>
      </c>
      <c r="K955" s="36">
        <v>1.0014219775011171E-2</v>
      </c>
      <c r="L955" s="37">
        <v>0.16141126049265217</v>
      </c>
      <c r="M955" s="36">
        <v>6.8927801144475428E-2</v>
      </c>
      <c r="N955" s="36">
        <v>4.7854545032833508E-5</v>
      </c>
      <c r="O955" s="36"/>
      <c r="P955">
        <v>1.7544050859954516E-2</v>
      </c>
    </row>
    <row r="956" spans="1:16" hidden="1" x14ac:dyDescent="0.35">
      <c r="A956" s="3">
        <f xml:space="preserve"> ROW( data_scaledImpacts[[#This Row],[row_id]] ) - ROW( data_scaledImpacts[[#Headers],[row_id]] )</f>
        <v>955</v>
      </c>
      <c r="B956" s="41" t="str">
        <f xml:space="preserve"> _xlfn.TEXTJOIN( "", , data_scaledImpacts[[#This Row],[sector]:[impactType]] )</f>
        <v>WinterRecGFDL-CM332090N/ASnowmobiling</v>
      </c>
      <c r="C956" s="33" t="s">
        <v>89</v>
      </c>
      <c r="D956" s="33" t="s">
        <v>5</v>
      </c>
      <c r="E956" s="34">
        <v>3</v>
      </c>
      <c r="F956" s="34">
        <v>2090</v>
      </c>
      <c r="G956" s="34" t="s">
        <v>201</v>
      </c>
      <c r="H956" s="35" t="s">
        <v>92</v>
      </c>
      <c r="I956" s="43" t="s">
        <v>161</v>
      </c>
      <c r="J956" s="36">
        <v>1.8869554112229025E-2</v>
      </c>
      <c r="K956" s="36">
        <v>8.709753168742302E-3</v>
      </c>
      <c r="L956" s="37">
        <v>0.13522371093878094</v>
      </c>
      <c r="M956" s="36">
        <v>7.8952299641197335E-2</v>
      </c>
      <c r="N956" s="36">
        <v>1.1651541399298589E-5</v>
      </c>
      <c r="O956" s="36"/>
      <c r="P956">
        <v>1.2779143944958219E-2</v>
      </c>
    </row>
    <row r="957" spans="1:16" hidden="1" x14ac:dyDescent="0.35">
      <c r="A957" s="3">
        <f xml:space="preserve"> ROW( data_scaledImpacts[[#This Row],[row_id]] ) - ROW( data_scaledImpacts[[#Headers],[row_id]] )</f>
        <v>956</v>
      </c>
      <c r="B957" s="41" t="str">
        <f xml:space="preserve"> _xlfn.TEXTJOIN( "", , data_scaledImpacts[[#This Row],[sector]:[impactType]] )</f>
        <v>WinterRecGCM Average32090N/ASnowmobiling</v>
      </c>
      <c r="C957" s="33" t="s">
        <v>89</v>
      </c>
      <c r="D957" s="33" t="s">
        <v>15</v>
      </c>
      <c r="E957" s="34">
        <v>3</v>
      </c>
      <c r="F957" s="34">
        <v>2090</v>
      </c>
      <c r="G957" s="34" t="s">
        <v>201</v>
      </c>
      <c r="H957" s="35" t="s">
        <v>92</v>
      </c>
      <c r="I957" s="43" t="s">
        <v>162</v>
      </c>
      <c r="J957" s="36">
        <v>2.6190149682380124E-2</v>
      </c>
      <c r="K957" s="36">
        <v>8.1948234447580259E-3</v>
      </c>
      <c r="L957" s="37">
        <v>0.11819430310213158</v>
      </c>
      <c r="M957" s="36">
        <v>7.8263566933424442E-2</v>
      </c>
      <c r="N957" s="36">
        <v>2.5730487256784396E-5</v>
      </c>
      <c r="O957" s="36"/>
      <c r="P957">
        <v>1.1063909087737578E-2</v>
      </c>
    </row>
    <row r="958" spans="1:16" hidden="1" x14ac:dyDescent="0.35">
      <c r="A958" s="3">
        <f xml:space="preserve"> ROW( data_scaledImpacts[[#This Row],[row_id]] ) - ROW( data_scaledImpacts[[#Headers],[row_id]] )</f>
        <v>957</v>
      </c>
      <c r="B958" s="41" t="str">
        <f xml:space="preserve"> _xlfn.TEXTJOIN( "", , data_scaledImpacts[[#This Row],[sector]:[impactType]] )</f>
        <v>WinterRecCanESM242090N/ASnowmobiling</v>
      </c>
      <c r="C958" s="33" t="s">
        <v>89</v>
      </c>
      <c r="D958" s="33" t="s">
        <v>0</v>
      </c>
      <c r="E958" s="34">
        <v>4</v>
      </c>
      <c r="F958" s="34">
        <v>2090</v>
      </c>
      <c r="G958" s="34" t="s">
        <v>201</v>
      </c>
      <c r="H958" s="35" t="s">
        <v>92</v>
      </c>
      <c r="I958" s="43" t="s">
        <v>163</v>
      </c>
      <c r="J958" s="36">
        <v>1.5558866370516509E-2</v>
      </c>
      <c r="K958" s="36">
        <v>8.982641381951359E-3</v>
      </c>
      <c r="L958" s="37">
        <v>0.15367761819240969</v>
      </c>
      <c r="M958" s="36">
        <v>0.11843873377093685</v>
      </c>
      <c r="N958" s="36">
        <v>1.0403161963659463E-5</v>
      </c>
      <c r="O958" s="36"/>
      <c r="P958">
        <v>1.6496808348129006E-2</v>
      </c>
    </row>
    <row r="959" spans="1:16" hidden="1" x14ac:dyDescent="0.35">
      <c r="A959" s="3">
        <f xml:space="preserve"> ROW( data_scaledImpacts[[#This Row],[row_id]] ) - ROW( data_scaledImpacts[[#Headers],[row_id]] )</f>
        <v>958</v>
      </c>
      <c r="B959" s="41" t="str">
        <f xml:space="preserve"> _xlfn.TEXTJOIN( "", , data_scaledImpacts[[#This Row],[sector]:[impactType]] )</f>
        <v>WinterRecCCSM442090N/ASnowmobiling</v>
      </c>
      <c r="C959" s="33" t="s">
        <v>89</v>
      </c>
      <c r="D959" s="33" t="s">
        <v>1</v>
      </c>
      <c r="E959" s="34">
        <v>4</v>
      </c>
      <c r="F959" s="34">
        <v>2090</v>
      </c>
      <c r="G959" s="34" t="s">
        <v>201</v>
      </c>
      <c r="H959" s="35" t="s">
        <v>92</v>
      </c>
      <c r="I959" s="43" t="s">
        <v>164</v>
      </c>
      <c r="J959" s="36">
        <v>4.2757441244959997E-2</v>
      </c>
      <c r="K959" s="36">
        <v>1.0793221199165263E-2</v>
      </c>
      <c r="L959" s="37">
        <v>0.22354493356580662</v>
      </c>
      <c r="M959" s="36">
        <v>0.13691562052780812</v>
      </c>
      <c r="N959" s="36">
        <v>1.0403161963659463E-5</v>
      </c>
      <c r="O959" s="36"/>
      <c r="P959">
        <v>1.9428962320291798E-2</v>
      </c>
    </row>
    <row r="960" spans="1:16" hidden="1" x14ac:dyDescent="0.35">
      <c r="A960" s="3">
        <f xml:space="preserve"> ROW( data_scaledImpacts[[#This Row],[row_id]] ) - ROW( data_scaledImpacts[[#Headers],[row_id]] )</f>
        <v>959</v>
      </c>
      <c r="B960" s="41" t="str">
        <f xml:space="preserve"> _xlfn.TEXTJOIN( "", , data_scaledImpacts[[#This Row],[sector]:[impactType]] )</f>
        <v>WinterRecGISS-E2-R42090N/ASnowmobiling</v>
      </c>
      <c r="C960" s="33" t="s">
        <v>89</v>
      </c>
      <c r="D960" s="33" t="s">
        <v>2</v>
      </c>
      <c r="E960" s="34">
        <v>4</v>
      </c>
      <c r="F960" s="34">
        <v>2090</v>
      </c>
      <c r="G960" s="34" t="s">
        <v>201</v>
      </c>
      <c r="H960" s="35" t="s">
        <v>92</v>
      </c>
      <c r="I960" s="43" t="s">
        <v>165</v>
      </c>
      <c r="J960" s="36"/>
      <c r="K960" s="36"/>
      <c r="L960" s="37"/>
      <c r="M960" s="36"/>
      <c r="N960" s="36"/>
      <c r="O960" s="36"/>
    </row>
    <row r="961" spans="1:16" hidden="1" x14ac:dyDescent="0.35">
      <c r="A961" s="3">
        <f xml:space="preserve"> ROW( data_scaledImpacts[[#This Row],[row_id]] ) - ROW( data_scaledImpacts[[#Headers],[row_id]] )</f>
        <v>960</v>
      </c>
      <c r="B961" s="41" t="str">
        <f xml:space="preserve"> _xlfn.TEXTJOIN( "", , data_scaledImpacts[[#This Row],[sector]:[impactType]] )</f>
        <v>WinterRecHadGEM2-ES42090N/ASnowmobiling</v>
      </c>
      <c r="C961" s="33" t="s">
        <v>89</v>
      </c>
      <c r="D961" s="33" t="s">
        <v>3</v>
      </c>
      <c r="E961" s="34">
        <v>4</v>
      </c>
      <c r="F961" s="34">
        <v>2090</v>
      </c>
      <c r="G961" s="34" t="s">
        <v>201</v>
      </c>
      <c r="H961" s="35" t="s">
        <v>92</v>
      </c>
      <c r="I961" s="43" t="s">
        <v>166</v>
      </c>
      <c r="J961" s="36">
        <v>4.0080473879776507E-2</v>
      </c>
      <c r="K961" s="36">
        <v>1.1096242658260655E-2</v>
      </c>
      <c r="L961" s="37">
        <v>0.17291450158108179</v>
      </c>
      <c r="M961" s="36">
        <v>0.12679229494235666</v>
      </c>
      <c r="N961" s="36">
        <v>3.4538497719349405E-5</v>
      </c>
      <c r="O961" s="36"/>
      <c r="P961">
        <v>2.0781680312263504E-2</v>
      </c>
    </row>
    <row r="962" spans="1:16" hidden="1" x14ac:dyDescent="0.35">
      <c r="A962" s="3">
        <f xml:space="preserve"> ROW( data_scaledImpacts[[#This Row],[row_id]] ) - ROW( data_scaledImpacts[[#Headers],[row_id]] )</f>
        <v>961</v>
      </c>
      <c r="B962" s="41" t="str">
        <f xml:space="preserve"> _xlfn.TEXTJOIN( "", , data_scaledImpacts[[#This Row],[sector]:[impactType]] )</f>
        <v>WinterRecMIROC542090N/ASnowmobiling</v>
      </c>
      <c r="C962" s="33" t="s">
        <v>89</v>
      </c>
      <c r="D962" s="33" t="s">
        <v>4</v>
      </c>
      <c r="E962" s="34">
        <v>4</v>
      </c>
      <c r="F962" s="34">
        <v>2090</v>
      </c>
      <c r="G962" s="34" t="s">
        <v>201</v>
      </c>
      <c r="H962" s="35" t="s">
        <v>92</v>
      </c>
      <c r="I962" s="43" t="s">
        <v>167</v>
      </c>
      <c r="J962" s="36">
        <v>4.0127664084388025E-2</v>
      </c>
      <c r="K962" s="36">
        <v>1.2690412479680616E-2</v>
      </c>
      <c r="L962" s="37">
        <v>0.18403081364535967</v>
      </c>
      <c r="M962" s="36">
        <v>9.3797266298728768E-2</v>
      </c>
      <c r="N962" s="36">
        <v>4.0780394897545076E-5</v>
      </c>
      <c r="O962" s="36"/>
      <c r="P962">
        <v>2.2914193041263024E-2</v>
      </c>
    </row>
    <row r="963" spans="1:16" hidden="1" x14ac:dyDescent="0.35">
      <c r="A963" s="3">
        <f xml:space="preserve"> ROW( data_scaledImpacts[[#This Row],[row_id]] ) - ROW( data_scaledImpacts[[#Headers],[row_id]] )</f>
        <v>962</v>
      </c>
      <c r="B963" s="41" t="str">
        <f xml:space="preserve"> _xlfn.TEXTJOIN( "", , data_scaledImpacts[[#This Row],[sector]:[impactType]] )</f>
        <v>WinterRecGFDL-CM342090N/ASnowmobiling</v>
      </c>
      <c r="C963" s="33" t="s">
        <v>89</v>
      </c>
      <c r="D963" s="33" t="s">
        <v>5</v>
      </c>
      <c r="E963" s="34">
        <v>4</v>
      </c>
      <c r="F963" s="34">
        <v>2090</v>
      </c>
      <c r="G963" s="34" t="s">
        <v>201</v>
      </c>
      <c r="H963" s="35" t="s">
        <v>92</v>
      </c>
      <c r="I963" s="43" t="s">
        <v>168</v>
      </c>
      <c r="J963" s="36">
        <v>3.1094209135117672E-2</v>
      </c>
      <c r="K963" s="36">
        <v>1.0621074460843734E-2</v>
      </c>
      <c r="L963" s="37">
        <v>0.10436504751110136</v>
      </c>
      <c r="M963" s="36">
        <v>9.736050277178164E-2</v>
      </c>
      <c r="N963" s="36">
        <v>3.2457865326617514E-5</v>
      </c>
      <c r="O963" s="36"/>
      <c r="P963">
        <v>1.5786894045981867E-2</v>
      </c>
    </row>
    <row r="964" spans="1:16" hidden="1" x14ac:dyDescent="0.35">
      <c r="A964" s="3">
        <f xml:space="preserve"> ROW( data_scaledImpacts[[#This Row],[row_id]] ) - ROW( data_scaledImpacts[[#Headers],[row_id]] )</f>
        <v>963</v>
      </c>
      <c r="B964" s="41" t="str">
        <f xml:space="preserve"> _xlfn.TEXTJOIN( "", , data_scaledImpacts[[#This Row],[sector]:[impactType]] )</f>
        <v>WinterRecGCM Average42090N/ASnowmobiling</v>
      </c>
      <c r="C964" s="33" t="s">
        <v>89</v>
      </c>
      <c r="D964" s="33" t="s">
        <v>15</v>
      </c>
      <c r="E964" s="34">
        <v>4</v>
      </c>
      <c r="F964" s="34">
        <v>2090</v>
      </c>
      <c r="G964" s="34" t="s">
        <v>201</v>
      </c>
      <c r="H964" s="35" t="s">
        <v>92</v>
      </c>
      <c r="I964" s="43" t="s">
        <v>169</v>
      </c>
      <c r="J964" s="36">
        <v>3.3923730942951744E-2</v>
      </c>
      <c r="K964" s="36">
        <v>1.0836718435980325E-2</v>
      </c>
      <c r="L964" s="37">
        <v>0.1677065828991518</v>
      </c>
      <c r="M964" s="36">
        <v>0.11466088366232241</v>
      </c>
      <c r="N964" s="36">
        <v>2.5716616374166187E-5</v>
      </c>
      <c r="O964" s="36"/>
      <c r="P964">
        <v>1.9081707613585838E-2</v>
      </c>
    </row>
    <row r="965" spans="1:16" hidden="1" x14ac:dyDescent="0.35">
      <c r="A965" s="3">
        <f xml:space="preserve"> ROW( data_scaledImpacts[[#This Row],[row_id]] ) - ROW( data_scaledImpacts[[#Headers],[row_id]] )</f>
        <v>964</v>
      </c>
      <c r="B965" s="41" t="str">
        <f xml:space="preserve"> _xlfn.TEXTJOIN( "", , data_scaledImpacts[[#This Row],[sector]:[impactType]] )</f>
        <v>WinterRecCanESM252090N/ASnowmobiling</v>
      </c>
      <c r="C965" s="33" t="s">
        <v>89</v>
      </c>
      <c r="D965" s="33" t="s">
        <v>0</v>
      </c>
      <c r="E965" s="34">
        <v>5</v>
      </c>
      <c r="F965" s="34">
        <v>2090</v>
      </c>
      <c r="G965" s="34" t="s">
        <v>201</v>
      </c>
      <c r="H965" s="35" t="s">
        <v>92</v>
      </c>
      <c r="I965" s="43" t="s">
        <v>170</v>
      </c>
      <c r="J965" s="36">
        <v>4.0339879665295633E-2</v>
      </c>
      <c r="K965" s="36">
        <v>1.1831662729797939E-2</v>
      </c>
      <c r="L965" s="37">
        <v>0.23877579150395198</v>
      </c>
      <c r="M965" s="36">
        <v>0.14037279382188098</v>
      </c>
      <c r="N965" s="36">
        <v>4.4941659683008864E-5</v>
      </c>
      <c r="O965" s="36"/>
      <c r="P965">
        <v>2.7540802225032097E-2</v>
      </c>
    </row>
    <row r="966" spans="1:16" hidden="1" x14ac:dyDescent="0.35">
      <c r="A966" s="3">
        <f xml:space="preserve"> ROW( data_scaledImpacts[[#This Row],[row_id]] ) - ROW( data_scaledImpacts[[#Headers],[row_id]] )</f>
        <v>965</v>
      </c>
      <c r="B966" s="41" t="str">
        <f xml:space="preserve"> _xlfn.TEXTJOIN( "", , data_scaledImpacts[[#This Row],[sector]:[impactType]] )</f>
        <v>WinterRecCCSM452090N/ASnowmobiling</v>
      </c>
      <c r="C966" s="33" t="s">
        <v>89</v>
      </c>
      <c r="D966" s="33" t="s">
        <v>1</v>
      </c>
      <c r="E966" s="34">
        <v>5</v>
      </c>
      <c r="F966" s="34">
        <v>2090</v>
      </c>
      <c r="G966" s="34" t="s">
        <v>201</v>
      </c>
      <c r="H966" s="35" t="s">
        <v>92</v>
      </c>
      <c r="I966" s="43" t="s">
        <v>171</v>
      </c>
      <c r="J966" s="36">
        <v>4.3748087991819749E-2</v>
      </c>
      <c r="K966" s="36">
        <v>1.1692720075183289E-2</v>
      </c>
      <c r="L966" s="37">
        <v>0.2884393207125529</v>
      </c>
      <c r="M966" s="36">
        <v>0.14762632830629654</v>
      </c>
      <c r="N966" s="36">
        <v>2.8712727019700114E-5</v>
      </c>
      <c r="O966" s="36"/>
      <c r="P966">
        <v>3.0513739703528376E-2</v>
      </c>
    </row>
    <row r="967" spans="1:16" hidden="1" x14ac:dyDescent="0.35">
      <c r="A967" s="3">
        <f xml:space="preserve"> ROW( data_scaledImpacts[[#This Row],[row_id]] ) - ROW( data_scaledImpacts[[#Headers],[row_id]] )</f>
        <v>966</v>
      </c>
      <c r="B967" s="41" t="str">
        <f xml:space="preserve"> _xlfn.TEXTJOIN( "", , data_scaledImpacts[[#This Row],[sector]:[impactType]] )</f>
        <v>WinterRecGISS-E2-R52090N/ASnowmobiling</v>
      </c>
      <c r="C967" s="33" t="s">
        <v>89</v>
      </c>
      <c r="D967" s="33" t="s">
        <v>2</v>
      </c>
      <c r="E967" s="34">
        <v>5</v>
      </c>
      <c r="F967" s="34">
        <v>2090</v>
      </c>
      <c r="G967" s="34" t="s">
        <v>201</v>
      </c>
      <c r="H967" s="35" t="s">
        <v>92</v>
      </c>
      <c r="I967" s="43" t="s">
        <v>172</v>
      </c>
      <c r="J967" s="36"/>
      <c r="K967" s="36"/>
      <c r="L967" s="37"/>
      <c r="M967" s="36"/>
      <c r="N967" s="36"/>
      <c r="O967" s="36"/>
    </row>
    <row r="968" spans="1:16" hidden="1" x14ac:dyDescent="0.35">
      <c r="A968" s="3">
        <f xml:space="preserve"> ROW( data_scaledImpacts[[#This Row],[row_id]] ) - ROW( data_scaledImpacts[[#Headers],[row_id]] )</f>
        <v>967</v>
      </c>
      <c r="B968" s="41" t="str">
        <f xml:space="preserve"> _xlfn.TEXTJOIN( "", , data_scaledImpacts[[#This Row],[sector]:[impactType]] )</f>
        <v>WinterRecHadGEM2-ES52090N/ASnowmobiling</v>
      </c>
      <c r="C968" s="33" t="s">
        <v>89</v>
      </c>
      <c r="D968" s="33" t="s">
        <v>3</v>
      </c>
      <c r="E968" s="34">
        <v>5</v>
      </c>
      <c r="F968" s="34">
        <v>2090</v>
      </c>
      <c r="G968" s="34" t="s">
        <v>201</v>
      </c>
      <c r="H968" s="35" t="s">
        <v>92</v>
      </c>
      <c r="I968" s="43" t="s">
        <v>173</v>
      </c>
      <c r="J968" s="36">
        <v>4.3532694719344608E-2</v>
      </c>
      <c r="K968" s="36">
        <v>1.2563290349113444E-2</v>
      </c>
      <c r="L968" s="37">
        <v>0.23957997642538728</v>
      </c>
      <c r="M968" s="36">
        <v>0.15147789674337211</v>
      </c>
      <c r="N968" s="36">
        <v>3.9532015461905946E-5</v>
      </c>
      <c r="O968" s="36"/>
      <c r="P968">
        <v>2.8220525743435212E-2</v>
      </c>
    </row>
    <row r="969" spans="1:16" hidden="1" x14ac:dyDescent="0.35">
      <c r="A969" s="3">
        <f xml:space="preserve"> ROW( data_scaledImpacts[[#This Row],[row_id]] ) - ROW( data_scaledImpacts[[#Headers],[row_id]] )</f>
        <v>968</v>
      </c>
      <c r="B969" s="41" t="str">
        <f xml:space="preserve"> _xlfn.TEXTJOIN( "", , data_scaledImpacts[[#This Row],[sector]:[impactType]] )</f>
        <v>WinterRecMIROC552090N/ASnowmobiling</v>
      </c>
      <c r="C969" s="33" t="s">
        <v>89</v>
      </c>
      <c r="D969" s="33" t="s">
        <v>4</v>
      </c>
      <c r="E969" s="34">
        <v>5</v>
      </c>
      <c r="F969" s="34">
        <v>2090</v>
      </c>
      <c r="G969" s="34" t="s">
        <v>201</v>
      </c>
      <c r="H969" s="35" t="s">
        <v>92</v>
      </c>
      <c r="I969" s="43" t="s">
        <v>174</v>
      </c>
      <c r="J969" s="36">
        <v>4.5131083178613127E-2</v>
      </c>
      <c r="K969" s="36">
        <v>1.3377581760570051E-2</v>
      </c>
      <c r="L969" s="37">
        <v>0.29795924635489329</v>
      </c>
      <c r="M969" s="36">
        <v>0.1231912766082299</v>
      </c>
      <c r="N969" s="36">
        <v>4.4941659683008864E-5</v>
      </c>
      <c r="O969" s="36"/>
      <c r="P969">
        <v>3.4714947349826476E-2</v>
      </c>
    </row>
    <row r="970" spans="1:16" hidden="1" x14ac:dyDescent="0.35">
      <c r="A970" s="3">
        <f xml:space="preserve"> ROW( data_scaledImpacts[[#This Row],[row_id]] ) - ROW( data_scaledImpacts[[#Headers],[row_id]] )</f>
        <v>969</v>
      </c>
      <c r="B970" s="41" t="str">
        <f xml:space="preserve"> _xlfn.TEXTJOIN( "", , data_scaledImpacts[[#This Row],[sector]:[impactType]] )</f>
        <v>WinterRecGFDL-CM352090N/ASnowmobiling</v>
      </c>
      <c r="C970" s="33" t="s">
        <v>89</v>
      </c>
      <c r="D970" s="33" t="s">
        <v>5</v>
      </c>
      <c r="E970" s="34">
        <v>5</v>
      </c>
      <c r="F970" s="34">
        <v>2090</v>
      </c>
      <c r="G970" s="34" t="s">
        <v>201</v>
      </c>
      <c r="H970" s="35" t="s">
        <v>92</v>
      </c>
      <c r="I970" s="43" t="s">
        <v>175</v>
      </c>
      <c r="J970" s="36">
        <v>3.6599134460637082E-2</v>
      </c>
      <c r="K970" s="36">
        <v>1.2545888799368257E-2</v>
      </c>
      <c r="L970" s="37">
        <v>0.15713376341752641</v>
      </c>
      <c r="M970" s="36">
        <v>0.11298219033263221</v>
      </c>
      <c r="N970" s="36">
        <v>4.1612647854637837E-5</v>
      </c>
      <c r="O970" s="36"/>
      <c r="P970">
        <v>2.2645896190247709E-2</v>
      </c>
    </row>
    <row r="971" spans="1:16" hidden="1" x14ac:dyDescent="0.35">
      <c r="A971" s="3">
        <f xml:space="preserve"> ROW( data_scaledImpacts[[#This Row],[row_id]] ) - ROW( data_scaledImpacts[[#Headers],[row_id]] )</f>
        <v>970</v>
      </c>
      <c r="B971" s="41" t="str">
        <f xml:space="preserve"> _xlfn.TEXTJOIN( "", , data_scaledImpacts[[#This Row],[sector]:[impactType]] )</f>
        <v>WinterRecGCM Average52090N/ASnowmobiling</v>
      </c>
      <c r="C971" s="33" t="s">
        <v>89</v>
      </c>
      <c r="D971" s="33" t="s">
        <v>15</v>
      </c>
      <c r="E971" s="34">
        <v>5</v>
      </c>
      <c r="F971" s="34">
        <v>2090</v>
      </c>
      <c r="G971" s="34" t="s">
        <v>201</v>
      </c>
      <c r="H971" s="35" t="s">
        <v>92</v>
      </c>
      <c r="I971" s="43" t="s">
        <v>176</v>
      </c>
      <c r="J971" s="36">
        <v>4.1870176003142037E-2</v>
      </c>
      <c r="K971" s="36">
        <v>1.2402228742806595E-2</v>
      </c>
      <c r="L971" s="37">
        <v>0.24437761968286237</v>
      </c>
      <c r="M971" s="36">
        <v>0.13513009716248237</v>
      </c>
      <c r="N971" s="36">
        <v>3.994814194045233E-5</v>
      </c>
      <c r="O971" s="36"/>
      <c r="P971">
        <v>2.8727182242413975E-2</v>
      </c>
    </row>
    <row r="972" spans="1:16" hidden="1" x14ac:dyDescent="0.35">
      <c r="A972" s="3">
        <f xml:space="preserve"> ROW( data_scaledImpacts[[#This Row],[row_id]] ) - ROW( data_scaledImpacts[[#Headers],[row_id]] )</f>
        <v>971</v>
      </c>
      <c r="B972" s="41" t="str">
        <f xml:space="preserve"> _xlfn.TEXTJOIN( "", , data_scaledImpacts[[#This Row],[sector]:[impactType]] )</f>
        <v>WinterRecCanESM262090N/ASnowmobiling</v>
      </c>
      <c r="C972" s="33" t="s">
        <v>89</v>
      </c>
      <c r="D972" s="33" t="s">
        <v>0</v>
      </c>
      <c r="E972" s="34">
        <v>6</v>
      </c>
      <c r="F972" s="34">
        <v>2090</v>
      </c>
      <c r="G972" s="34" t="s">
        <v>201</v>
      </c>
      <c r="H972" s="35" t="s">
        <v>92</v>
      </c>
      <c r="I972" s="43" t="s">
        <v>177</v>
      </c>
      <c r="J972" s="36">
        <v>4.0881020636740754E-2</v>
      </c>
      <c r="K972" s="36">
        <v>1.2832547037072021E-2</v>
      </c>
      <c r="L972" s="37">
        <v>0.27829470280383967</v>
      </c>
      <c r="M972" s="36">
        <v>0.14874879282700473</v>
      </c>
      <c r="N972" s="36">
        <v>3.7867509547720432E-5</v>
      </c>
      <c r="O972" s="36"/>
      <c r="P972">
        <v>3.4008239065788169E-2</v>
      </c>
    </row>
    <row r="973" spans="1:16" hidden="1" x14ac:dyDescent="0.35">
      <c r="A973" s="3">
        <f xml:space="preserve"> ROW( data_scaledImpacts[[#This Row],[row_id]] ) - ROW( data_scaledImpacts[[#Headers],[row_id]] )</f>
        <v>972</v>
      </c>
      <c r="B973" s="41" t="str">
        <f xml:space="preserve"> _xlfn.TEXTJOIN( "", , data_scaledImpacts[[#This Row],[sector]:[impactType]] )</f>
        <v>WinterRecCCSM462090N/ASnowmobiling</v>
      </c>
      <c r="C973" s="33" t="s">
        <v>89</v>
      </c>
      <c r="D973" s="33" t="s">
        <v>1</v>
      </c>
      <c r="E973" s="34">
        <v>6</v>
      </c>
      <c r="F973" s="34">
        <v>2090</v>
      </c>
      <c r="G973" s="34" t="s">
        <v>201</v>
      </c>
      <c r="H973" s="35" t="s">
        <v>92</v>
      </c>
      <c r="I973" s="43" t="s">
        <v>178</v>
      </c>
      <c r="J973" s="36"/>
      <c r="K973" s="36"/>
      <c r="L973" s="37"/>
      <c r="M973" s="36"/>
      <c r="N973" s="36"/>
      <c r="O973" s="36"/>
    </row>
    <row r="974" spans="1:16" hidden="1" x14ac:dyDescent="0.35">
      <c r="A974" s="3">
        <f xml:space="preserve"> ROW( data_scaledImpacts[[#This Row],[row_id]] ) - ROW( data_scaledImpacts[[#Headers],[row_id]] )</f>
        <v>973</v>
      </c>
      <c r="B974" s="41" t="str">
        <f xml:space="preserve"> _xlfn.TEXTJOIN( "", , data_scaledImpacts[[#This Row],[sector]:[impactType]] )</f>
        <v>WinterRecGISS-E2-R62090N/ASnowmobiling</v>
      </c>
      <c r="C974" s="33" t="s">
        <v>89</v>
      </c>
      <c r="D974" s="33" t="s">
        <v>2</v>
      </c>
      <c r="E974" s="34">
        <v>6</v>
      </c>
      <c r="F974" s="34">
        <v>2090</v>
      </c>
      <c r="G974" s="34" t="s">
        <v>201</v>
      </c>
      <c r="H974" s="35" t="s">
        <v>92</v>
      </c>
      <c r="I974" s="43" t="s">
        <v>179</v>
      </c>
      <c r="J974" s="36"/>
      <c r="K974" s="36"/>
      <c r="L974" s="37"/>
      <c r="M974" s="36"/>
      <c r="N974" s="36"/>
      <c r="O974" s="36"/>
    </row>
    <row r="975" spans="1:16" hidden="1" x14ac:dyDescent="0.35">
      <c r="A975" s="3">
        <f xml:space="preserve"> ROW( data_scaledImpacts[[#This Row],[row_id]] ) - ROW( data_scaledImpacts[[#Headers],[row_id]] )</f>
        <v>974</v>
      </c>
      <c r="B975" s="41" t="str">
        <f xml:space="preserve"> _xlfn.TEXTJOIN( "", , data_scaledImpacts[[#This Row],[sector]:[impactType]] )</f>
        <v>WinterRecHadGEM2-ES62090N/ASnowmobiling</v>
      </c>
      <c r="C975" s="33" t="s">
        <v>89</v>
      </c>
      <c r="D975" s="33" t="s">
        <v>3</v>
      </c>
      <c r="E975" s="34">
        <v>6</v>
      </c>
      <c r="F975" s="34">
        <v>2090</v>
      </c>
      <c r="G975" s="34" t="s">
        <v>201</v>
      </c>
      <c r="H975" s="35" t="s">
        <v>92</v>
      </c>
      <c r="I975" s="43" t="s">
        <v>180</v>
      </c>
      <c r="J975" s="36">
        <v>4.6202181179123399E-2</v>
      </c>
      <c r="K975" s="36">
        <v>1.343127870570531E-2</v>
      </c>
      <c r="L975" s="37">
        <v>0.29069010756464342</v>
      </c>
      <c r="M975" s="36">
        <v>0.15133925550663641</v>
      </c>
      <c r="N975" s="36">
        <v>4.5357786161555241E-5</v>
      </c>
      <c r="O975" s="36"/>
      <c r="P975">
        <v>2.5891462927454204E-2</v>
      </c>
    </row>
    <row r="976" spans="1:16" hidden="1" x14ac:dyDescent="0.35">
      <c r="A976" s="3">
        <f xml:space="preserve"> ROW( data_scaledImpacts[[#This Row],[row_id]] ) - ROW( data_scaledImpacts[[#Headers],[row_id]] )</f>
        <v>975</v>
      </c>
      <c r="B976" s="41" t="str">
        <f xml:space="preserve"> _xlfn.TEXTJOIN( "", , data_scaledImpacts[[#This Row],[sector]:[impactType]] )</f>
        <v>WinterRecMIROC562090N/ASnowmobiling</v>
      </c>
      <c r="C976" s="33" t="s">
        <v>89</v>
      </c>
      <c r="D976" s="33" t="s">
        <v>4</v>
      </c>
      <c r="E976" s="34">
        <v>6</v>
      </c>
      <c r="F976" s="34">
        <v>2090</v>
      </c>
      <c r="G976" s="34" t="s">
        <v>201</v>
      </c>
      <c r="H976" s="35" t="s">
        <v>92</v>
      </c>
      <c r="I976" s="43" t="s">
        <v>181</v>
      </c>
      <c r="J976" s="36"/>
      <c r="K976" s="36"/>
      <c r="L976" s="37"/>
      <c r="M976" s="36"/>
      <c r="N976" s="36"/>
      <c r="O976" s="36"/>
    </row>
    <row r="977" spans="1:16" hidden="1" x14ac:dyDescent="0.35">
      <c r="A977" s="3">
        <f xml:space="preserve"> ROW( data_scaledImpacts[[#This Row],[row_id]] ) - ROW( data_scaledImpacts[[#Headers],[row_id]] )</f>
        <v>976</v>
      </c>
      <c r="B977" s="41" t="str">
        <f xml:space="preserve"> _xlfn.TEXTJOIN( "", , data_scaledImpacts[[#This Row],[sector]:[impactType]] )</f>
        <v>WinterRecGFDL-CM362090N/ASnowmobiling</v>
      </c>
      <c r="C977" s="33" t="s">
        <v>89</v>
      </c>
      <c r="D977" s="33" t="s">
        <v>5</v>
      </c>
      <c r="E977" s="34">
        <v>6</v>
      </c>
      <c r="F977" s="34">
        <v>2090</v>
      </c>
      <c r="G977" s="34" t="s">
        <v>201</v>
      </c>
      <c r="H977" s="35" t="s">
        <v>92</v>
      </c>
      <c r="I977" s="43" t="s">
        <v>182</v>
      </c>
      <c r="J977" s="36">
        <v>4.3450185828681626E-2</v>
      </c>
      <c r="K977" s="36">
        <v>1.3253507971996864E-2</v>
      </c>
      <c r="L977" s="37">
        <v>0.25699343907489036</v>
      </c>
      <c r="M977" s="36">
        <v>0.12512907167241227</v>
      </c>
      <c r="N977" s="36">
        <v>4.2028774333184213E-5</v>
      </c>
      <c r="O977" s="36"/>
      <c r="P977">
        <v>3.406925613168308E-2</v>
      </c>
    </row>
    <row r="978" spans="1:16" hidden="1" x14ac:dyDescent="0.35">
      <c r="A978" s="3">
        <f xml:space="preserve"> ROW( data_scaledImpacts[[#This Row],[row_id]] ) - ROW( data_scaledImpacts[[#Headers],[row_id]] )</f>
        <v>977</v>
      </c>
      <c r="B978" s="41" t="str">
        <f xml:space="preserve"> _xlfn.TEXTJOIN( "", , data_scaledImpacts[[#This Row],[sector]:[impactType]] )</f>
        <v>WinterRecGCM Average62090N/ASnowmobiling</v>
      </c>
      <c r="C978" s="33" t="s">
        <v>89</v>
      </c>
      <c r="D978" s="33" t="s">
        <v>15</v>
      </c>
      <c r="E978" s="34">
        <v>6</v>
      </c>
      <c r="F978" s="34">
        <v>2090</v>
      </c>
      <c r="G978" s="34" t="s">
        <v>201</v>
      </c>
      <c r="H978" s="35" t="s">
        <v>92</v>
      </c>
      <c r="I978" s="43" t="s">
        <v>183</v>
      </c>
      <c r="J978" s="36">
        <v>4.3511129214848593E-2</v>
      </c>
      <c r="K978" s="36">
        <v>1.3172444571591398E-2</v>
      </c>
      <c r="L978" s="37">
        <v>0.27532608314779117</v>
      </c>
      <c r="M978" s="36">
        <v>0.14173904000201779</v>
      </c>
      <c r="N978" s="36">
        <v>4.1751356680819964E-5</v>
      </c>
      <c r="O978" s="36"/>
      <c r="P978">
        <v>3.1322986041641819E-2</v>
      </c>
    </row>
    <row r="979" spans="1:16" hidden="1" x14ac:dyDescent="0.35">
      <c r="A979" s="3">
        <f xml:space="preserve"> ROW( data_scaledImpacts[[#This Row],[row_id]] ) - ROW( data_scaledImpacts[[#Headers],[row_id]] )</f>
        <v>978</v>
      </c>
      <c r="B979" s="41" t="str">
        <f xml:space="preserve"> _xlfn.TEXTJOIN( "", , data_scaledImpacts[[#This Row],[sector]:[impactType]] )</f>
        <v>WinterRecCanESM272090N/ASnowmobiling</v>
      </c>
      <c r="C979" s="33" t="s">
        <v>89</v>
      </c>
      <c r="D979" s="33" t="s">
        <v>0</v>
      </c>
      <c r="E979" s="34">
        <v>7</v>
      </c>
      <c r="F979" s="34">
        <v>2090</v>
      </c>
      <c r="G979" s="34" t="s">
        <v>201</v>
      </c>
      <c r="H979" s="35" t="s">
        <v>92</v>
      </c>
      <c r="I979" s="43" t="s">
        <v>184</v>
      </c>
      <c r="J979" s="36"/>
      <c r="K979" s="36"/>
      <c r="L979" s="37"/>
      <c r="M979" s="36"/>
      <c r="N979" s="36"/>
      <c r="O979" s="36"/>
    </row>
    <row r="980" spans="1:16" hidden="1" x14ac:dyDescent="0.35">
      <c r="A980" s="3">
        <f xml:space="preserve"> ROW( data_scaledImpacts[[#This Row],[row_id]] ) - ROW( data_scaledImpacts[[#Headers],[row_id]] )</f>
        <v>979</v>
      </c>
      <c r="B980" s="41" t="str">
        <f xml:space="preserve"> _xlfn.TEXTJOIN( "", , data_scaledImpacts[[#This Row],[sector]:[impactType]] )</f>
        <v>WinterRecCCSM472090N/ASnowmobiling</v>
      </c>
      <c r="C980" s="33" t="s">
        <v>89</v>
      </c>
      <c r="D980" s="33" t="s">
        <v>1</v>
      </c>
      <c r="E980" s="34">
        <v>7</v>
      </c>
      <c r="F980" s="34">
        <v>2090</v>
      </c>
      <c r="G980" s="34" t="s">
        <v>201</v>
      </c>
      <c r="H980" s="35" t="s">
        <v>92</v>
      </c>
      <c r="I980" s="43" t="s">
        <v>185</v>
      </c>
      <c r="J980" s="36"/>
      <c r="K980" s="36"/>
      <c r="L980" s="37"/>
      <c r="M980" s="36"/>
      <c r="N980" s="36"/>
      <c r="O980" s="36"/>
    </row>
    <row r="981" spans="1:16" hidden="1" x14ac:dyDescent="0.35">
      <c r="A981" s="3">
        <f xml:space="preserve"> ROW( data_scaledImpacts[[#This Row],[row_id]] ) - ROW( data_scaledImpacts[[#Headers],[row_id]] )</f>
        <v>980</v>
      </c>
      <c r="B981" s="41" t="str">
        <f xml:space="preserve"> _xlfn.TEXTJOIN( "", , data_scaledImpacts[[#This Row],[sector]:[impactType]] )</f>
        <v>WinterRecGISS-E2-R72090N/ASnowmobiling</v>
      </c>
      <c r="C981" s="33" t="s">
        <v>89</v>
      </c>
      <c r="D981" s="33" t="s">
        <v>2</v>
      </c>
      <c r="E981" s="34">
        <v>7</v>
      </c>
      <c r="F981" s="34">
        <v>2090</v>
      </c>
      <c r="G981" s="34" t="s">
        <v>201</v>
      </c>
      <c r="H981" s="35" t="s">
        <v>92</v>
      </c>
      <c r="I981" s="43" t="s">
        <v>186</v>
      </c>
      <c r="J981" s="36"/>
      <c r="K981" s="36"/>
      <c r="L981" s="37"/>
      <c r="M981" s="36"/>
      <c r="N981" s="36"/>
      <c r="O981" s="36"/>
    </row>
    <row r="982" spans="1:16" hidden="1" x14ac:dyDescent="0.35">
      <c r="A982" s="3">
        <f xml:space="preserve"> ROW( data_scaledImpacts[[#This Row],[row_id]] ) - ROW( data_scaledImpacts[[#Headers],[row_id]] )</f>
        <v>981</v>
      </c>
      <c r="B982" s="41" t="str">
        <f xml:space="preserve"> _xlfn.TEXTJOIN( "", , data_scaledImpacts[[#This Row],[sector]:[impactType]] )</f>
        <v>WinterRecHadGEM2-ES72090N/ASnowmobiling</v>
      </c>
      <c r="C982" s="33" t="s">
        <v>89</v>
      </c>
      <c r="D982" s="33" t="s">
        <v>3</v>
      </c>
      <c r="E982" s="34">
        <v>7</v>
      </c>
      <c r="F982" s="34">
        <v>2090</v>
      </c>
      <c r="G982" s="34" t="s">
        <v>201</v>
      </c>
      <c r="H982" s="35" t="s">
        <v>92</v>
      </c>
      <c r="I982" s="43" t="s">
        <v>187</v>
      </c>
      <c r="J982" s="36"/>
      <c r="K982" s="36"/>
      <c r="L982" s="37"/>
      <c r="M982" s="36"/>
      <c r="N982" s="36"/>
      <c r="O982" s="36"/>
    </row>
    <row r="983" spans="1:16" hidden="1" x14ac:dyDescent="0.35">
      <c r="A983" s="3">
        <f xml:space="preserve"> ROW( data_scaledImpacts[[#This Row],[row_id]] ) - ROW( data_scaledImpacts[[#Headers],[row_id]] )</f>
        <v>982</v>
      </c>
      <c r="B983" s="41" t="str">
        <f xml:space="preserve"> _xlfn.TEXTJOIN( "", , data_scaledImpacts[[#This Row],[sector]:[impactType]] )</f>
        <v>WinterRecMIROC572090N/ASnowmobiling</v>
      </c>
      <c r="C983" s="33" t="s">
        <v>89</v>
      </c>
      <c r="D983" s="33" t="s">
        <v>4</v>
      </c>
      <c r="E983" s="34">
        <v>7</v>
      </c>
      <c r="F983" s="34">
        <v>2090</v>
      </c>
      <c r="G983" s="34" t="s">
        <v>201</v>
      </c>
      <c r="H983" s="35" t="s">
        <v>92</v>
      </c>
      <c r="I983" s="43" t="s">
        <v>188</v>
      </c>
      <c r="J983" s="36"/>
      <c r="K983" s="36"/>
      <c r="L983" s="37"/>
      <c r="M983" s="36"/>
      <c r="N983" s="36"/>
      <c r="O983" s="36"/>
    </row>
    <row r="984" spans="1:16" hidden="1" x14ac:dyDescent="0.35">
      <c r="A984" s="3">
        <f xml:space="preserve"> ROW( data_scaledImpacts[[#This Row],[row_id]] ) - ROW( data_scaledImpacts[[#Headers],[row_id]] )</f>
        <v>983</v>
      </c>
      <c r="B984" s="41" t="str">
        <f xml:space="preserve"> _xlfn.TEXTJOIN( "", , data_scaledImpacts[[#This Row],[sector]:[impactType]] )</f>
        <v>WinterRecGFDL-CM372090N/ASnowmobiling</v>
      </c>
      <c r="C984" s="33" t="s">
        <v>89</v>
      </c>
      <c r="D984" s="33" t="s">
        <v>5</v>
      </c>
      <c r="E984" s="34">
        <v>7</v>
      </c>
      <c r="F984" s="34">
        <v>2090</v>
      </c>
      <c r="G984" s="34" t="s">
        <v>201</v>
      </c>
      <c r="H984" s="35" t="s">
        <v>92</v>
      </c>
      <c r="I984" s="43" t="s">
        <v>189</v>
      </c>
      <c r="J984" s="36"/>
      <c r="K984" s="36"/>
      <c r="L984" s="37"/>
      <c r="M984" s="36"/>
      <c r="N984" s="36"/>
      <c r="O984" s="36"/>
    </row>
    <row r="985" spans="1:16" hidden="1" x14ac:dyDescent="0.35">
      <c r="A985" s="3">
        <f xml:space="preserve"> ROW( data_scaledImpacts[[#This Row],[row_id]] ) - ROW( data_scaledImpacts[[#Headers],[row_id]] )</f>
        <v>984</v>
      </c>
      <c r="B985" s="41" t="str">
        <f xml:space="preserve"> _xlfn.TEXTJOIN( "", , data_scaledImpacts[[#This Row],[sector]:[impactType]] )</f>
        <v>WinterRecGCM Average72090N/ASnowmobiling</v>
      </c>
      <c r="C985" s="33" t="s">
        <v>89</v>
      </c>
      <c r="D985" s="33" t="s">
        <v>15</v>
      </c>
      <c r="E985" s="34">
        <v>7</v>
      </c>
      <c r="F985" s="34">
        <v>2090</v>
      </c>
      <c r="G985" s="34" t="s">
        <v>201</v>
      </c>
      <c r="H985" s="35" t="s">
        <v>92</v>
      </c>
      <c r="I985" s="43" t="s">
        <v>190</v>
      </c>
      <c r="J985" s="36" t="s">
        <v>26</v>
      </c>
      <c r="K985" s="36" t="s">
        <v>26</v>
      </c>
      <c r="L985" s="37" t="s">
        <v>26</v>
      </c>
      <c r="M985" s="36" t="s">
        <v>26</v>
      </c>
      <c r="N985" s="36" t="s">
        <v>26</v>
      </c>
      <c r="O985" s="36"/>
      <c r="P985" t="s">
        <v>26</v>
      </c>
    </row>
    <row r="986" spans="1:16" hidden="1" x14ac:dyDescent="0.35">
      <c r="A986" s="3">
        <f xml:space="preserve"> ROW( data_scaledImpacts[[#This Row],[row_id]] ) - ROW( data_scaledImpacts[[#Headers],[row_id]] )</f>
        <v>985</v>
      </c>
      <c r="B986" s="41" t="str">
        <f xml:space="preserve"> _xlfn.TEXTJOIN( "", , data_scaledImpacts[[#This Row],[sector]:[impactType]] )</f>
        <v>WinterRecCanESM212010N/AAlpine</v>
      </c>
      <c r="C986" s="33" t="s">
        <v>89</v>
      </c>
      <c r="D986" s="33" t="s">
        <v>0</v>
      </c>
      <c r="E986" s="34">
        <v>1</v>
      </c>
      <c r="F986" s="34">
        <v>2010</v>
      </c>
      <c r="G986" s="34" t="s">
        <v>201</v>
      </c>
      <c r="H986" s="35" t="s">
        <v>90</v>
      </c>
      <c r="I986" s="43" t="s">
        <v>93</v>
      </c>
      <c r="J986" s="36">
        <v>0.38946467853545602</v>
      </c>
      <c r="K986" s="36">
        <v>7.3889440618606832</v>
      </c>
      <c r="L986" s="37">
        <v>4.7617566826914803</v>
      </c>
      <c r="M986" s="36">
        <v>1.6529426266897365</v>
      </c>
      <c r="N986" s="36">
        <v>7.2013221587270942E-2</v>
      </c>
      <c r="O986" s="36"/>
      <c r="P986">
        <v>1.3820513481683798</v>
      </c>
    </row>
    <row r="987" spans="1:16" hidden="1" x14ac:dyDescent="0.35">
      <c r="A987" s="3">
        <f xml:space="preserve"> ROW( data_scaledImpacts[[#This Row],[row_id]] ) - ROW( data_scaledImpacts[[#Headers],[row_id]] )</f>
        <v>986</v>
      </c>
      <c r="B987" s="41" t="str">
        <f xml:space="preserve"> _xlfn.TEXTJOIN( "", , data_scaledImpacts[[#This Row],[sector]:[impactType]] )</f>
        <v>WinterRecCCSM412010N/AAlpine</v>
      </c>
      <c r="C987" s="33" t="s">
        <v>89</v>
      </c>
      <c r="D987" s="33" t="s">
        <v>1</v>
      </c>
      <c r="E987" s="34">
        <v>1</v>
      </c>
      <c r="F987" s="34">
        <v>2010</v>
      </c>
      <c r="G987" s="34" t="s">
        <v>201</v>
      </c>
      <c r="H987" s="35" t="s">
        <v>90</v>
      </c>
      <c r="I987" s="43" t="s">
        <v>94</v>
      </c>
      <c r="J987" s="36">
        <v>0.95280557299704827</v>
      </c>
      <c r="K987" s="36">
        <v>2.2826702615795513</v>
      </c>
      <c r="L987" s="37">
        <v>3.3283611594571654</v>
      </c>
      <c r="M987" s="36">
        <v>2.2084127828734892</v>
      </c>
      <c r="N987" s="36">
        <v>-1.6984697328170734E-2</v>
      </c>
      <c r="O987" s="36"/>
      <c r="P987">
        <v>2.4120964031029604</v>
      </c>
    </row>
    <row r="988" spans="1:16" hidden="1" x14ac:dyDescent="0.35">
      <c r="A988" s="3">
        <f xml:space="preserve"> ROW( data_scaledImpacts[[#This Row],[row_id]] ) - ROW( data_scaledImpacts[[#Headers],[row_id]] )</f>
        <v>987</v>
      </c>
      <c r="B988" s="41" t="str">
        <f xml:space="preserve"> _xlfn.TEXTJOIN( "", , data_scaledImpacts[[#This Row],[sector]:[impactType]] )</f>
        <v>WinterRecGISS-E2-R12010N/AAlpine</v>
      </c>
      <c r="C988" s="33" t="s">
        <v>89</v>
      </c>
      <c r="D988" s="33" t="s">
        <v>2</v>
      </c>
      <c r="E988" s="34">
        <v>1</v>
      </c>
      <c r="F988" s="34">
        <v>2010</v>
      </c>
      <c r="G988" s="34" t="s">
        <v>201</v>
      </c>
      <c r="H988" s="35" t="s">
        <v>90</v>
      </c>
      <c r="I988" s="43" t="s">
        <v>95</v>
      </c>
      <c r="J988" s="36">
        <v>2.6843506203560059</v>
      </c>
      <c r="K988" s="36">
        <v>8.7793202824553394</v>
      </c>
      <c r="L988" s="37">
        <v>4.0284999218921591</v>
      </c>
      <c r="M988" s="36">
        <v>3.6744043718501205</v>
      </c>
      <c r="N988" s="36">
        <v>8.7008079898032192E-2</v>
      </c>
      <c r="O988" s="36"/>
      <c r="P988">
        <v>1.5917750234976928</v>
      </c>
    </row>
    <row r="989" spans="1:16" hidden="1" x14ac:dyDescent="0.35">
      <c r="A989" s="3">
        <f xml:space="preserve"> ROW( data_scaledImpacts[[#This Row],[row_id]] ) - ROW( data_scaledImpacts[[#Headers],[row_id]] )</f>
        <v>988</v>
      </c>
      <c r="B989" s="41" t="str">
        <f xml:space="preserve"> _xlfn.TEXTJOIN( "", , data_scaledImpacts[[#This Row],[sector]:[impactType]] )</f>
        <v>WinterRecHadGEM2-ES12010N/AAlpine</v>
      </c>
      <c r="C989" s="33" t="s">
        <v>89</v>
      </c>
      <c r="D989" s="33" t="s">
        <v>3</v>
      </c>
      <c r="E989" s="34">
        <v>1</v>
      </c>
      <c r="F989" s="34">
        <v>2010</v>
      </c>
      <c r="G989" s="34" t="s">
        <v>201</v>
      </c>
      <c r="H989" s="35" t="s">
        <v>90</v>
      </c>
      <c r="I989" s="43" t="s">
        <v>96</v>
      </c>
      <c r="J989" s="36">
        <v>2.0512364778460368</v>
      </c>
      <c r="K989" s="36">
        <v>7.0988974816096349</v>
      </c>
      <c r="L989" s="37">
        <v>4.0659290366382868</v>
      </c>
      <c r="M989" s="36">
        <v>4.572492701793597</v>
      </c>
      <c r="N989" s="36">
        <v>0.20803293157215816</v>
      </c>
      <c r="O989" s="36"/>
      <c r="P989">
        <v>-1.0488021712459878</v>
      </c>
    </row>
    <row r="990" spans="1:16" hidden="1" x14ac:dyDescent="0.35">
      <c r="A990" s="3">
        <f xml:space="preserve"> ROW( data_scaledImpacts[[#This Row],[row_id]] ) - ROW( data_scaledImpacts[[#Headers],[row_id]] )</f>
        <v>989</v>
      </c>
      <c r="B990" s="41" t="str">
        <f xml:space="preserve"> _xlfn.TEXTJOIN( "", , data_scaledImpacts[[#This Row],[sector]:[impactType]] )</f>
        <v>WinterRecMIROC512010N/AAlpine</v>
      </c>
      <c r="C990" s="33" t="s">
        <v>89</v>
      </c>
      <c r="D990" s="33" t="s">
        <v>4</v>
      </c>
      <c r="E990" s="34">
        <v>1</v>
      </c>
      <c r="F990" s="34">
        <v>2010</v>
      </c>
      <c r="G990" s="34" t="s">
        <v>201</v>
      </c>
      <c r="H990" s="35" t="s">
        <v>90</v>
      </c>
      <c r="I990" s="43" t="s">
        <v>97</v>
      </c>
      <c r="J990" s="36">
        <v>1.7901048454027662</v>
      </c>
      <c r="K990" s="36">
        <v>7.4185924559735534</v>
      </c>
      <c r="L990" s="37">
        <v>6.9038072535492425</v>
      </c>
      <c r="M990" s="36">
        <v>5.1085028998241535</v>
      </c>
      <c r="N990" s="36">
        <v>0.20144751196646205</v>
      </c>
      <c r="O990" s="36"/>
      <c r="P990">
        <v>3.0003995959974499</v>
      </c>
    </row>
    <row r="991" spans="1:16" hidden="1" x14ac:dyDescent="0.35">
      <c r="A991" s="3">
        <f xml:space="preserve"> ROW( data_scaledImpacts[[#This Row],[row_id]] ) - ROW( data_scaledImpacts[[#Headers],[row_id]] )</f>
        <v>990</v>
      </c>
      <c r="B991" s="41" t="str">
        <f xml:space="preserve"> _xlfn.TEXTJOIN( "", , data_scaledImpacts[[#This Row],[sector]:[impactType]] )</f>
        <v>WinterRecGFDL-CM312010N/AAlpine</v>
      </c>
      <c r="C991" s="33" t="s">
        <v>89</v>
      </c>
      <c r="D991" s="33" t="s">
        <v>5</v>
      </c>
      <c r="E991" s="34">
        <v>1</v>
      </c>
      <c r="F991" s="34">
        <v>2010</v>
      </c>
      <c r="G991" s="34" t="s">
        <v>201</v>
      </c>
      <c r="H991" s="35" t="s">
        <v>90</v>
      </c>
      <c r="I991" s="43" t="s">
        <v>98</v>
      </c>
      <c r="J991" s="36">
        <v>0.54945015683158982</v>
      </c>
      <c r="K991" s="36">
        <v>5.6980888587670595</v>
      </c>
      <c r="L991" s="37">
        <v>-0.9195289704524382</v>
      </c>
      <c r="M991" s="36">
        <v>1.6022282431552697</v>
      </c>
      <c r="N991" s="36">
        <v>0.10316367763567096</v>
      </c>
      <c r="O991" s="36"/>
      <c r="P991">
        <v>1.5166147968185353</v>
      </c>
    </row>
    <row r="992" spans="1:16" hidden="1" x14ac:dyDescent="0.35">
      <c r="A992" s="3">
        <f xml:space="preserve"> ROW( data_scaledImpacts[[#This Row],[row_id]] ) - ROW( data_scaledImpacts[[#Headers],[row_id]] )</f>
        <v>991</v>
      </c>
      <c r="B992" s="41" t="str">
        <f xml:space="preserve"> _xlfn.TEXTJOIN( "", , data_scaledImpacts[[#This Row],[sector]:[impactType]] )</f>
        <v>WinterRecGCM Average12010N/AAlpine</v>
      </c>
      <c r="C992" s="33" t="s">
        <v>89</v>
      </c>
      <c r="D992" s="33" t="s">
        <v>15</v>
      </c>
      <c r="E992" s="34">
        <v>1</v>
      </c>
      <c r="F992" s="34">
        <v>2010</v>
      </c>
      <c r="G992" s="34" t="s">
        <v>201</v>
      </c>
      <c r="H992" s="35" t="s">
        <v>90</v>
      </c>
      <c r="I992" s="43" t="s">
        <v>99</v>
      </c>
      <c r="J992" s="36">
        <v>1.4029020586614838</v>
      </c>
      <c r="K992" s="36">
        <v>6.4444189003743029</v>
      </c>
      <c r="L992" s="37">
        <v>3.6948041806293155</v>
      </c>
      <c r="M992" s="36">
        <v>3.136497271031061</v>
      </c>
      <c r="N992" s="36">
        <v>0.10911345422190392</v>
      </c>
      <c r="O992" s="36"/>
      <c r="P992">
        <v>1.4756891660565052</v>
      </c>
    </row>
    <row r="993" spans="1:16" hidden="1" x14ac:dyDescent="0.35">
      <c r="A993" s="3">
        <f xml:space="preserve"> ROW( data_scaledImpacts[[#This Row],[row_id]] ) - ROW( data_scaledImpacts[[#Headers],[row_id]] )</f>
        <v>992</v>
      </c>
      <c r="B993" s="41" t="str">
        <f xml:space="preserve"> _xlfn.TEXTJOIN( "", , data_scaledImpacts[[#This Row],[sector]:[impactType]] )</f>
        <v>WinterRecCanESM222010N/AAlpine</v>
      </c>
      <c r="C993" s="33" t="s">
        <v>89</v>
      </c>
      <c r="D993" s="33" t="s">
        <v>0</v>
      </c>
      <c r="E993" s="34">
        <v>2</v>
      </c>
      <c r="F993" s="34">
        <v>2010</v>
      </c>
      <c r="G993" s="34" t="s">
        <v>201</v>
      </c>
      <c r="H993" s="35" t="s">
        <v>90</v>
      </c>
      <c r="I993" s="43" t="s">
        <v>100</v>
      </c>
      <c r="J993" s="36">
        <v>1.9740194383905436</v>
      </c>
      <c r="K993" s="36">
        <v>10.835860520877802</v>
      </c>
      <c r="L993" s="37">
        <v>7.7295031319840399</v>
      </c>
      <c r="M993" s="36">
        <v>11.475635476595201</v>
      </c>
      <c r="N993" s="36">
        <v>0.21355236598968683</v>
      </c>
      <c r="O993" s="36"/>
      <c r="P993">
        <v>6.2791599433823198</v>
      </c>
    </row>
    <row r="994" spans="1:16" hidden="1" x14ac:dyDescent="0.35">
      <c r="A994" s="3">
        <f xml:space="preserve"> ROW( data_scaledImpacts[[#This Row],[row_id]] ) - ROW( data_scaledImpacts[[#Headers],[row_id]] )</f>
        <v>993</v>
      </c>
      <c r="B994" s="41" t="str">
        <f xml:space="preserve"> _xlfn.TEXTJOIN( "", , data_scaledImpacts[[#This Row],[sector]:[impactType]] )</f>
        <v>WinterRecCCSM422010N/AAlpine</v>
      </c>
      <c r="C994" s="33" t="s">
        <v>89</v>
      </c>
      <c r="D994" s="33" t="s">
        <v>1</v>
      </c>
      <c r="E994" s="34">
        <v>2</v>
      </c>
      <c r="F994" s="34">
        <v>2010</v>
      </c>
      <c r="G994" s="34" t="s">
        <v>201</v>
      </c>
      <c r="H994" s="35" t="s">
        <v>90</v>
      </c>
      <c r="I994" s="43" t="s">
        <v>101</v>
      </c>
      <c r="J994" s="36">
        <v>1.5010769965594082</v>
      </c>
      <c r="K994" s="36">
        <v>6.0660580591927724</v>
      </c>
      <c r="L994" s="37">
        <v>11.445179672668157</v>
      </c>
      <c r="M994" s="36">
        <v>11.901501627091255</v>
      </c>
      <c r="N994" s="36">
        <v>0.16214819137007785</v>
      </c>
      <c r="O994" s="36"/>
      <c r="P994">
        <v>7.7657652537880706</v>
      </c>
    </row>
    <row r="995" spans="1:16" hidden="1" x14ac:dyDescent="0.35">
      <c r="A995" s="3">
        <f xml:space="preserve"> ROW( data_scaledImpacts[[#This Row],[row_id]] ) - ROW( data_scaledImpacts[[#Headers],[row_id]] )</f>
        <v>994</v>
      </c>
      <c r="B995" s="41" t="str">
        <f xml:space="preserve"> _xlfn.TEXTJOIN( "", , data_scaledImpacts[[#This Row],[sector]:[impactType]] )</f>
        <v>WinterRecGISS-E2-R22010N/AAlpine</v>
      </c>
      <c r="C995" s="33" t="s">
        <v>89</v>
      </c>
      <c r="D995" s="33" t="s">
        <v>2</v>
      </c>
      <c r="E995" s="34">
        <v>2</v>
      </c>
      <c r="F995" s="34">
        <v>2010</v>
      </c>
      <c r="G995" s="34" t="s">
        <v>201</v>
      </c>
      <c r="H995" s="35" t="s">
        <v>90</v>
      </c>
      <c r="I995" s="43" t="s">
        <v>102</v>
      </c>
      <c r="J995" s="36">
        <v>3.1013658457065634</v>
      </c>
      <c r="K995" s="36">
        <v>13.651316799142483</v>
      </c>
      <c r="L995" s="37">
        <v>5.6291502703132164</v>
      </c>
      <c r="M995" s="36">
        <v>5.7457484635740981</v>
      </c>
      <c r="N995" s="36">
        <v>0.19261167918607686</v>
      </c>
      <c r="O995" s="36"/>
      <c r="P995">
        <v>3.9756619725546067</v>
      </c>
    </row>
    <row r="996" spans="1:16" hidden="1" x14ac:dyDescent="0.35">
      <c r="A996" s="3">
        <f xml:space="preserve"> ROW( data_scaledImpacts[[#This Row],[row_id]] ) - ROW( data_scaledImpacts[[#Headers],[row_id]] )</f>
        <v>995</v>
      </c>
      <c r="B996" s="41" t="str">
        <f xml:space="preserve"> _xlfn.TEXTJOIN( "", , data_scaledImpacts[[#This Row],[sector]:[impactType]] )</f>
        <v>WinterRecHadGEM2-ES22010N/AAlpine</v>
      </c>
      <c r="C996" s="33" t="s">
        <v>89</v>
      </c>
      <c r="D996" s="33" t="s">
        <v>3</v>
      </c>
      <c r="E996" s="34">
        <v>2</v>
      </c>
      <c r="F996" s="34">
        <v>2010</v>
      </c>
      <c r="G996" s="34" t="s">
        <v>201</v>
      </c>
      <c r="H996" s="35" t="s">
        <v>90</v>
      </c>
      <c r="I996" s="43" t="s">
        <v>103</v>
      </c>
      <c r="J996" s="36">
        <v>1.9356627436302021</v>
      </c>
      <c r="K996" s="36">
        <v>7.9928482573415565</v>
      </c>
      <c r="L996" s="37">
        <v>7.5957407615238033</v>
      </c>
      <c r="M996" s="36">
        <v>10.078655711515427</v>
      </c>
      <c r="N996" s="36">
        <v>0.20803293157209199</v>
      </c>
      <c r="O996" s="36"/>
      <c r="P996">
        <v>4.6593577948722826</v>
      </c>
    </row>
    <row r="997" spans="1:16" hidden="1" x14ac:dyDescent="0.35">
      <c r="A997" s="3">
        <f xml:space="preserve"> ROW( data_scaledImpacts[[#This Row],[row_id]] ) - ROW( data_scaledImpacts[[#Headers],[row_id]] )</f>
        <v>996</v>
      </c>
      <c r="B997" s="41" t="str">
        <f xml:space="preserve"> _xlfn.TEXTJOIN( "", , data_scaledImpacts[[#This Row],[sector]:[impactType]] )</f>
        <v>WinterRecMIROC522010N/AAlpine</v>
      </c>
      <c r="C997" s="33" t="s">
        <v>89</v>
      </c>
      <c r="D997" s="33" t="s">
        <v>4</v>
      </c>
      <c r="E997" s="34">
        <v>2</v>
      </c>
      <c r="F997" s="34">
        <v>2010</v>
      </c>
      <c r="G997" s="34" t="s">
        <v>201</v>
      </c>
      <c r="H997" s="35" t="s">
        <v>90</v>
      </c>
      <c r="I997" s="43" t="s">
        <v>104</v>
      </c>
      <c r="J997" s="36">
        <v>3.2236291592848194</v>
      </c>
      <c r="K997" s="36">
        <v>11.89439108356339</v>
      </c>
      <c r="L997" s="37">
        <v>14.797163767850876</v>
      </c>
      <c r="M997" s="36">
        <v>9.5074371002012175</v>
      </c>
      <c r="N997" s="36">
        <v>0.24820872887869416</v>
      </c>
      <c r="O997" s="36"/>
      <c r="P997">
        <v>7.3185315851178432</v>
      </c>
    </row>
    <row r="998" spans="1:16" hidden="1" x14ac:dyDescent="0.35">
      <c r="A998" s="3">
        <f xml:space="preserve"> ROW( data_scaledImpacts[[#This Row],[row_id]] ) - ROW( data_scaledImpacts[[#Headers],[row_id]] )</f>
        <v>997</v>
      </c>
      <c r="B998" s="41" t="str">
        <f xml:space="preserve"> _xlfn.TEXTJOIN( "", , data_scaledImpacts[[#This Row],[sector]:[impactType]] )</f>
        <v>WinterRecGFDL-CM322010N/AAlpine</v>
      </c>
      <c r="C998" s="33" t="s">
        <v>89</v>
      </c>
      <c r="D998" s="33" t="s">
        <v>5</v>
      </c>
      <c r="E998" s="34">
        <v>2</v>
      </c>
      <c r="F998" s="34">
        <v>2010</v>
      </c>
      <c r="G998" s="34" t="s">
        <v>201</v>
      </c>
      <c r="H998" s="35" t="s">
        <v>90</v>
      </c>
      <c r="I998" s="43" t="s">
        <v>105</v>
      </c>
      <c r="J998" s="36">
        <v>1.6937517280437004</v>
      </c>
      <c r="K998" s="36">
        <v>11.375099124219958</v>
      </c>
      <c r="L998" s="37">
        <v>4.2938914567616866</v>
      </c>
      <c r="M998" s="36">
        <v>3.382098843101021</v>
      </c>
      <c r="N998" s="36">
        <v>0.28828977194632172</v>
      </c>
      <c r="O998" s="36"/>
      <c r="P998">
        <v>3.7648464739617626</v>
      </c>
    </row>
    <row r="999" spans="1:16" hidden="1" x14ac:dyDescent="0.35">
      <c r="A999" s="3">
        <f xml:space="preserve"> ROW( data_scaledImpacts[[#This Row],[row_id]] ) - ROW( data_scaledImpacts[[#Headers],[row_id]] )</f>
        <v>998</v>
      </c>
      <c r="B999" s="41" t="str">
        <f xml:space="preserve"> _xlfn.TEXTJOIN( "", , data_scaledImpacts[[#This Row],[sector]:[impactType]] )</f>
        <v>WinterRecGCM Average22010N/AAlpine</v>
      </c>
      <c r="C999" s="33" t="s">
        <v>89</v>
      </c>
      <c r="D999" s="33" t="s">
        <v>15</v>
      </c>
      <c r="E999" s="34">
        <v>2</v>
      </c>
      <c r="F999" s="34">
        <v>2010</v>
      </c>
      <c r="G999" s="34" t="s">
        <v>201</v>
      </c>
      <c r="H999" s="35" t="s">
        <v>90</v>
      </c>
      <c r="I999" s="43" t="s">
        <v>106</v>
      </c>
      <c r="J999" s="36">
        <v>2.2382509852692061</v>
      </c>
      <c r="K999" s="36">
        <v>10.302595640722993</v>
      </c>
      <c r="L999" s="37">
        <v>8.5817715101836285</v>
      </c>
      <c r="M999" s="36">
        <v>8.6818462036797026</v>
      </c>
      <c r="N999" s="36">
        <v>0.21880727815715825</v>
      </c>
      <c r="O999" s="36"/>
      <c r="P999">
        <v>5.6272205039461474</v>
      </c>
    </row>
    <row r="1000" spans="1:16" hidden="1" x14ac:dyDescent="0.35">
      <c r="A1000" s="3">
        <f xml:space="preserve"> ROW( data_scaledImpacts[[#This Row],[row_id]] ) - ROW( data_scaledImpacts[[#Headers],[row_id]] )</f>
        <v>999</v>
      </c>
      <c r="B1000" s="41" t="str">
        <f xml:space="preserve"> _xlfn.TEXTJOIN( "", , data_scaledImpacts[[#This Row],[sector]:[impactType]] )</f>
        <v>WinterRecCanESM232010N/AAlpine</v>
      </c>
      <c r="C1000" s="33" t="s">
        <v>89</v>
      </c>
      <c r="D1000" s="33" t="s">
        <v>0</v>
      </c>
      <c r="E1000" s="34">
        <v>3</v>
      </c>
      <c r="F1000" s="34">
        <v>2010</v>
      </c>
      <c r="G1000" s="34" t="s">
        <v>201</v>
      </c>
      <c r="H1000" s="35" t="s">
        <v>90</v>
      </c>
      <c r="I1000" s="43" t="s">
        <v>107</v>
      </c>
      <c r="J1000" s="36">
        <v>3.0114876869259315</v>
      </c>
      <c r="K1000" s="36">
        <v>12.256281774035301</v>
      </c>
      <c r="L1000" s="37">
        <v>14.880485235736844</v>
      </c>
      <c r="M1000" s="36">
        <v>16.647538075387356</v>
      </c>
      <c r="N1000" s="36">
        <v>0.22279090428554899</v>
      </c>
      <c r="O1000" s="36"/>
      <c r="P1000">
        <v>8.9314859469616028</v>
      </c>
    </row>
    <row r="1001" spans="1:16" hidden="1" x14ac:dyDescent="0.35">
      <c r="A1001" s="3">
        <f xml:space="preserve"> ROW( data_scaledImpacts[[#This Row],[row_id]] ) - ROW( data_scaledImpacts[[#Headers],[row_id]] )</f>
        <v>1000</v>
      </c>
      <c r="B1001" s="41" t="str">
        <f xml:space="preserve"> _xlfn.TEXTJOIN( "", , data_scaledImpacts[[#This Row],[sector]:[impactType]] )</f>
        <v>WinterRecCCSM432010N/AAlpine</v>
      </c>
      <c r="C1001" s="33" t="s">
        <v>89</v>
      </c>
      <c r="D1001" s="33" t="s">
        <v>1</v>
      </c>
      <c r="E1001" s="34">
        <v>3</v>
      </c>
      <c r="F1001" s="34">
        <v>2010</v>
      </c>
      <c r="G1001" s="34" t="s">
        <v>201</v>
      </c>
      <c r="H1001" s="35" t="s">
        <v>90</v>
      </c>
      <c r="I1001" s="43" t="s">
        <v>108</v>
      </c>
      <c r="J1001" s="36">
        <v>3.7654608365247717</v>
      </c>
      <c r="K1001" s="36">
        <v>12.639871406916571</v>
      </c>
      <c r="L1001" s="37">
        <v>15.795929306754978</v>
      </c>
      <c r="M1001" s="36">
        <v>16.47590184207154</v>
      </c>
      <c r="N1001" s="36">
        <v>0.31309169398639614</v>
      </c>
      <c r="O1001" s="36"/>
      <c r="P1001">
        <v>8.9324786962540497</v>
      </c>
    </row>
    <row r="1002" spans="1:16" hidden="1" x14ac:dyDescent="0.35">
      <c r="A1002" s="3">
        <f xml:space="preserve"> ROW( data_scaledImpacts[[#This Row],[row_id]] ) - ROW( data_scaledImpacts[[#Headers],[row_id]] )</f>
        <v>1001</v>
      </c>
      <c r="B1002" s="41" t="str">
        <f xml:space="preserve"> _xlfn.TEXTJOIN( "", , data_scaledImpacts[[#This Row],[sector]:[impactType]] )</f>
        <v>WinterRecGISS-E2-R32010N/AAlpine</v>
      </c>
      <c r="C1002" s="33" t="s">
        <v>89</v>
      </c>
      <c r="D1002" s="33" t="s">
        <v>2</v>
      </c>
      <c r="E1002" s="34">
        <v>3</v>
      </c>
      <c r="F1002" s="34">
        <v>2010</v>
      </c>
      <c r="G1002" s="34" t="s">
        <v>201</v>
      </c>
      <c r="H1002" s="35" t="s">
        <v>90</v>
      </c>
      <c r="I1002" s="43" t="s">
        <v>109</v>
      </c>
      <c r="J1002" s="36">
        <v>3.4044686167895137</v>
      </c>
      <c r="K1002" s="36">
        <v>14.030541457067132</v>
      </c>
      <c r="L1002" s="37">
        <v>8.8016574257392044</v>
      </c>
      <c r="M1002" s="36">
        <v>8.7627677579539078</v>
      </c>
      <c r="N1002" s="36">
        <v>0.25827636676502219</v>
      </c>
      <c r="O1002" s="36"/>
      <c r="P1002">
        <v>5.6901161545352092</v>
      </c>
    </row>
    <row r="1003" spans="1:16" hidden="1" x14ac:dyDescent="0.35">
      <c r="A1003" s="3">
        <f xml:space="preserve"> ROW( data_scaledImpacts[[#This Row],[row_id]] ) - ROW( data_scaledImpacts[[#Headers],[row_id]] )</f>
        <v>1002</v>
      </c>
      <c r="B1003" s="41" t="str">
        <f xml:space="preserve"> _xlfn.TEXTJOIN( "", , data_scaledImpacts[[#This Row],[sector]:[impactType]] )</f>
        <v>WinterRecHadGEM2-ES32010N/AAlpine</v>
      </c>
      <c r="C1003" s="33" t="s">
        <v>89</v>
      </c>
      <c r="D1003" s="33" t="s">
        <v>3</v>
      </c>
      <c r="E1003" s="34">
        <v>3</v>
      </c>
      <c r="F1003" s="34">
        <v>2010</v>
      </c>
      <c r="G1003" s="34" t="s">
        <v>201</v>
      </c>
      <c r="H1003" s="35" t="s">
        <v>90</v>
      </c>
      <c r="I1003" s="43" t="s">
        <v>110</v>
      </c>
      <c r="J1003" s="36">
        <v>3.6306242992469469</v>
      </c>
      <c r="K1003" s="36">
        <v>14.175249735529034</v>
      </c>
      <c r="L1003" s="37">
        <v>13.453799702922153</v>
      </c>
      <c r="M1003" s="36">
        <v>15.798708659104658</v>
      </c>
      <c r="N1003" s="36">
        <v>0.29890224670658866</v>
      </c>
      <c r="O1003" s="36"/>
      <c r="P1003">
        <v>7.8342388706200667</v>
      </c>
    </row>
    <row r="1004" spans="1:16" hidden="1" x14ac:dyDescent="0.35">
      <c r="A1004" s="3">
        <f xml:space="preserve"> ROW( data_scaledImpacts[[#This Row],[row_id]] ) - ROW( data_scaledImpacts[[#Headers],[row_id]] )</f>
        <v>1003</v>
      </c>
      <c r="B1004" s="41" t="str">
        <f xml:space="preserve"> _xlfn.TEXTJOIN( "", , data_scaledImpacts[[#This Row],[sector]:[impactType]] )</f>
        <v>WinterRecMIROC532010N/AAlpine</v>
      </c>
      <c r="C1004" s="33" t="s">
        <v>89</v>
      </c>
      <c r="D1004" s="33" t="s">
        <v>4</v>
      </c>
      <c r="E1004" s="34">
        <v>3</v>
      </c>
      <c r="F1004" s="34">
        <v>2010</v>
      </c>
      <c r="G1004" s="34" t="s">
        <v>201</v>
      </c>
      <c r="H1004" s="35" t="s">
        <v>90</v>
      </c>
      <c r="I1004" s="43" t="s">
        <v>111</v>
      </c>
      <c r="J1004" s="36">
        <v>3.5306927816672533</v>
      </c>
      <c r="K1004" s="36">
        <v>17.464665748737058</v>
      </c>
      <c r="L1004" s="37">
        <v>16.515958424865318</v>
      </c>
      <c r="M1004" s="36">
        <v>11.630843042591094</v>
      </c>
      <c r="N1004" s="36">
        <v>0.43871212624854405</v>
      </c>
      <c r="O1004" s="36"/>
      <c r="P1004">
        <v>12.294921487574348</v>
      </c>
    </row>
    <row r="1005" spans="1:16" hidden="1" x14ac:dyDescent="0.35">
      <c r="A1005" s="3">
        <f xml:space="preserve"> ROW( data_scaledImpacts[[#This Row],[row_id]] ) - ROW( data_scaledImpacts[[#Headers],[row_id]] )</f>
        <v>1004</v>
      </c>
      <c r="B1005" s="41" t="str">
        <f xml:space="preserve"> _xlfn.TEXTJOIN( "", , data_scaledImpacts[[#This Row],[sector]:[impactType]] )</f>
        <v>WinterRecGFDL-CM332010N/AAlpine</v>
      </c>
      <c r="C1005" s="33" t="s">
        <v>89</v>
      </c>
      <c r="D1005" s="33" t="s">
        <v>5</v>
      </c>
      <c r="E1005" s="34">
        <v>3</v>
      </c>
      <c r="F1005" s="34">
        <v>2010</v>
      </c>
      <c r="G1005" s="34" t="s">
        <v>201</v>
      </c>
      <c r="H1005" s="35" t="s">
        <v>90</v>
      </c>
      <c r="I1005" s="43" t="s">
        <v>112</v>
      </c>
      <c r="J1005" s="36">
        <v>2.2195517297725087</v>
      </c>
      <c r="K1005" s="36">
        <v>13.773673281931728</v>
      </c>
      <c r="L1005" s="37">
        <v>14.909803367467857</v>
      </c>
      <c r="M1005" s="36">
        <v>13.965540321811913</v>
      </c>
      <c r="N1005" s="36">
        <v>0.20466915609007907</v>
      </c>
      <c r="O1005" s="36"/>
      <c r="P1005">
        <v>9.880429427930574</v>
      </c>
    </row>
    <row r="1006" spans="1:16" hidden="1" x14ac:dyDescent="0.35">
      <c r="A1006" s="3">
        <f xml:space="preserve"> ROW( data_scaledImpacts[[#This Row],[row_id]] ) - ROW( data_scaledImpacts[[#Headers],[row_id]] )</f>
        <v>1005</v>
      </c>
      <c r="B1006" s="41" t="str">
        <f xml:space="preserve"> _xlfn.TEXTJOIN( "", , data_scaledImpacts[[#This Row],[sector]:[impactType]] )</f>
        <v>WinterRecGCM Average32010N/AAlpine</v>
      </c>
      <c r="C1006" s="33" t="s">
        <v>89</v>
      </c>
      <c r="D1006" s="33" t="s">
        <v>15</v>
      </c>
      <c r="E1006" s="34">
        <v>3</v>
      </c>
      <c r="F1006" s="34">
        <v>2010</v>
      </c>
      <c r="G1006" s="34" t="s">
        <v>201</v>
      </c>
      <c r="H1006" s="35" t="s">
        <v>90</v>
      </c>
      <c r="I1006" s="43" t="s">
        <v>113</v>
      </c>
      <c r="J1006" s="36">
        <v>3.2603809918211542</v>
      </c>
      <c r="K1006" s="36">
        <v>14.056713900702803</v>
      </c>
      <c r="L1006" s="37">
        <v>14.059605577247725</v>
      </c>
      <c r="M1006" s="36">
        <v>13.880216616486747</v>
      </c>
      <c r="N1006" s="36">
        <v>0.28940708234702983</v>
      </c>
      <c r="O1006" s="36"/>
      <c r="P1006">
        <v>8.9272784306459751</v>
      </c>
    </row>
    <row r="1007" spans="1:16" hidden="1" x14ac:dyDescent="0.35">
      <c r="A1007" s="3">
        <f xml:space="preserve"> ROW( data_scaledImpacts[[#This Row],[row_id]] ) - ROW( data_scaledImpacts[[#Headers],[row_id]] )</f>
        <v>1006</v>
      </c>
      <c r="B1007" s="41" t="str">
        <f xml:space="preserve"> _xlfn.TEXTJOIN( "", , data_scaledImpacts[[#This Row],[sector]:[impactType]] )</f>
        <v>WinterRecCanESM242010N/AAlpine</v>
      </c>
      <c r="C1007" s="33" t="s">
        <v>89</v>
      </c>
      <c r="D1007" s="33" t="s">
        <v>0</v>
      </c>
      <c r="E1007" s="34">
        <v>4</v>
      </c>
      <c r="F1007" s="34">
        <v>2010</v>
      </c>
      <c r="G1007" s="34" t="s">
        <v>201</v>
      </c>
      <c r="H1007" s="35" t="s">
        <v>90</v>
      </c>
      <c r="I1007" s="43" t="s">
        <v>114</v>
      </c>
      <c r="J1007" s="36">
        <v>2.497987445428075</v>
      </c>
      <c r="K1007" s="36">
        <v>14.76215905492592</v>
      </c>
      <c r="L1007" s="37">
        <v>18.848507436255929</v>
      </c>
      <c r="M1007" s="36">
        <v>22.730450214052347</v>
      </c>
      <c r="N1007" s="36">
        <v>0.21258113504062656</v>
      </c>
      <c r="O1007" s="36"/>
      <c r="P1007">
        <v>13.730503402071022</v>
      </c>
    </row>
    <row r="1008" spans="1:16" hidden="1" x14ac:dyDescent="0.35">
      <c r="A1008" s="3">
        <f xml:space="preserve"> ROW( data_scaledImpacts[[#This Row],[row_id]] ) - ROW( data_scaledImpacts[[#Headers],[row_id]] )</f>
        <v>1007</v>
      </c>
      <c r="B1008" s="41" t="str">
        <f xml:space="preserve"> _xlfn.TEXTJOIN( "", , data_scaledImpacts[[#This Row],[sector]:[impactType]] )</f>
        <v>WinterRecCCSM442010N/AAlpine</v>
      </c>
      <c r="C1008" s="33" t="s">
        <v>89</v>
      </c>
      <c r="D1008" s="33" t="s">
        <v>1</v>
      </c>
      <c r="E1008" s="34">
        <v>4</v>
      </c>
      <c r="F1008" s="34">
        <v>2010</v>
      </c>
      <c r="G1008" s="34" t="s">
        <v>201</v>
      </c>
      <c r="H1008" s="35" t="s">
        <v>90</v>
      </c>
      <c r="I1008" s="43" t="s">
        <v>115</v>
      </c>
      <c r="J1008" s="36">
        <v>5.4497293614833575</v>
      </c>
      <c r="K1008" s="36">
        <v>17.269405226071541</v>
      </c>
      <c r="L1008" s="37">
        <v>23.724007868162865</v>
      </c>
      <c r="M1008" s="36">
        <v>24.692533361418182</v>
      </c>
      <c r="N1008" s="36">
        <v>0.27410032466651424</v>
      </c>
      <c r="O1008" s="36"/>
      <c r="P1008">
        <v>14.870354481674342</v>
      </c>
    </row>
    <row r="1009" spans="1:16" hidden="1" x14ac:dyDescent="0.35">
      <c r="A1009" s="3">
        <f xml:space="preserve"> ROW( data_scaledImpacts[[#This Row],[row_id]] ) - ROW( data_scaledImpacts[[#Headers],[row_id]] )</f>
        <v>1008</v>
      </c>
      <c r="B1009" s="41" t="str">
        <f xml:space="preserve"> _xlfn.TEXTJOIN( "", , data_scaledImpacts[[#This Row],[sector]:[impactType]] )</f>
        <v>WinterRecGISS-E2-R42010N/AAlpine</v>
      </c>
      <c r="C1009" s="33" t="s">
        <v>89</v>
      </c>
      <c r="D1009" s="33" t="s">
        <v>2</v>
      </c>
      <c r="E1009" s="34">
        <v>4</v>
      </c>
      <c r="F1009" s="34">
        <v>2010</v>
      </c>
      <c r="G1009" s="34" t="s">
        <v>201</v>
      </c>
      <c r="H1009" s="35" t="s">
        <v>90</v>
      </c>
      <c r="I1009" s="43" t="s">
        <v>116</v>
      </c>
      <c r="J1009" s="36"/>
      <c r="K1009" s="36"/>
      <c r="L1009" s="37"/>
      <c r="M1009" s="36"/>
      <c r="N1009" s="36"/>
      <c r="O1009" s="36"/>
    </row>
    <row r="1010" spans="1:16" hidden="1" x14ac:dyDescent="0.35">
      <c r="A1010" s="3">
        <f xml:space="preserve"> ROW( data_scaledImpacts[[#This Row],[row_id]] ) - ROW( data_scaledImpacts[[#Headers],[row_id]] )</f>
        <v>1009</v>
      </c>
      <c r="B1010" s="41" t="str">
        <f xml:space="preserve"> _xlfn.TEXTJOIN( "", , data_scaledImpacts[[#This Row],[sector]:[impactType]] )</f>
        <v>WinterRecHadGEM2-ES42010N/AAlpine</v>
      </c>
      <c r="C1010" s="33" t="s">
        <v>89</v>
      </c>
      <c r="D1010" s="33" t="s">
        <v>3</v>
      </c>
      <c r="E1010" s="34">
        <v>4</v>
      </c>
      <c r="F1010" s="34">
        <v>2010</v>
      </c>
      <c r="G1010" s="34" t="s">
        <v>201</v>
      </c>
      <c r="H1010" s="35" t="s">
        <v>90</v>
      </c>
      <c r="I1010" s="43" t="s">
        <v>117</v>
      </c>
      <c r="J1010" s="36">
        <v>5.0479025033624474</v>
      </c>
      <c r="K1010" s="36">
        <v>17.795087881076565</v>
      </c>
      <c r="L1010" s="37">
        <v>19.410405044627911</v>
      </c>
      <c r="M1010" s="36">
        <v>24.568616222390055</v>
      </c>
      <c r="N1010" s="36">
        <v>0.38013031802968017</v>
      </c>
      <c r="O1010" s="36"/>
      <c r="P1010">
        <v>13.735080900644826</v>
      </c>
    </row>
    <row r="1011" spans="1:16" hidden="1" x14ac:dyDescent="0.35">
      <c r="A1011" s="3">
        <f xml:space="preserve"> ROW( data_scaledImpacts[[#This Row],[row_id]] ) - ROW( data_scaledImpacts[[#Headers],[row_id]] )</f>
        <v>1010</v>
      </c>
      <c r="B1011" s="41" t="str">
        <f xml:space="preserve"> _xlfn.TEXTJOIN( "", , data_scaledImpacts[[#This Row],[sector]:[impactType]] )</f>
        <v>WinterRecMIROC542010N/AAlpine</v>
      </c>
      <c r="C1011" s="33" t="s">
        <v>89</v>
      </c>
      <c r="D1011" s="33" t="s">
        <v>4</v>
      </c>
      <c r="E1011" s="34">
        <v>4</v>
      </c>
      <c r="F1011" s="34">
        <v>2010</v>
      </c>
      <c r="G1011" s="34" t="s">
        <v>201</v>
      </c>
      <c r="H1011" s="35" t="s">
        <v>90</v>
      </c>
      <c r="I1011" s="43" t="s">
        <v>118</v>
      </c>
      <c r="J1011" s="36">
        <v>5.2304303178827665</v>
      </c>
      <c r="K1011" s="36">
        <v>20.543277048862755</v>
      </c>
      <c r="L1011" s="37">
        <v>20.08282053454128</v>
      </c>
      <c r="M1011" s="36">
        <v>16.060372142345205</v>
      </c>
      <c r="N1011" s="36">
        <v>0.4176056195267614</v>
      </c>
      <c r="O1011" s="36"/>
      <c r="P1011">
        <v>16.337222746133712</v>
      </c>
    </row>
    <row r="1012" spans="1:16" hidden="1" x14ac:dyDescent="0.35">
      <c r="A1012" s="3">
        <f xml:space="preserve"> ROW( data_scaledImpacts[[#This Row],[row_id]] ) - ROW( data_scaledImpacts[[#Headers],[row_id]] )</f>
        <v>1011</v>
      </c>
      <c r="B1012" s="41" t="str">
        <f xml:space="preserve"> _xlfn.TEXTJOIN( "", , data_scaledImpacts[[#This Row],[sector]:[impactType]] )</f>
        <v>WinterRecGFDL-CM342010N/AAlpine</v>
      </c>
      <c r="C1012" s="33" t="s">
        <v>89</v>
      </c>
      <c r="D1012" s="33" t="s">
        <v>5</v>
      </c>
      <c r="E1012" s="34">
        <v>4</v>
      </c>
      <c r="F1012" s="34">
        <v>2010</v>
      </c>
      <c r="G1012" s="34" t="s">
        <v>201</v>
      </c>
      <c r="H1012" s="35" t="s">
        <v>90</v>
      </c>
      <c r="I1012" s="43" t="s">
        <v>119</v>
      </c>
      <c r="J1012" s="36">
        <v>3.741670516376443</v>
      </c>
      <c r="K1012" s="36">
        <v>17.702328937843582</v>
      </c>
      <c r="L1012" s="37">
        <v>14.21607604293515</v>
      </c>
      <c r="M1012" s="36">
        <v>17.849784288888944</v>
      </c>
      <c r="N1012" s="36">
        <v>0.3529358514567193</v>
      </c>
      <c r="O1012" s="36"/>
      <c r="P1012">
        <v>12.57723975430301</v>
      </c>
    </row>
    <row r="1013" spans="1:16" hidden="1" x14ac:dyDescent="0.35">
      <c r="A1013" s="3">
        <f xml:space="preserve"> ROW( data_scaledImpacts[[#This Row],[row_id]] ) - ROW( data_scaledImpacts[[#Headers],[row_id]] )</f>
        <v>1012</v>
      </c>
      <c r="B1013" s="41" t="str">
        <f xml:space="preserve"> _xlfn.TEXTJOIN( "", , data_scaledImpacts[[#This Row],[sector]:[impactType]] )</f>
        <v>WinterRecGCM Average42010N/AAlpine</v>
      </c>
      <c r="C1013" s="33" t="s">
        <v>89</v>
      </c>
      <c r="D1013" s="33" t="s">
        <v>15</v>
      </c>
      <c r="E1013" s="34">
        <v>4</v>
      </c>
      <c r="F1013" s="34">
        <v>2010</v>
      </c>
      <c r="G1013" s="34" t="s">
        <v>201</v>
      </c>
      <c r="H1013" s="35" t="s">
        <v>90</v>
      </c>
      <c r="I1013" s="43" t="s">
        <v>120</v>
      </c>
      <c r="J1013" s="36">
        <v>4.3935440289066179</v>
      </c>
      <c r="K1013" s="36">
        <v>17.614451629756076</v>
      </c>
      <c r="L1013" s="37">
        <v>19.256363385304628</v>
      </c>
      <c r="M1013" s="36">
        <v>21.180351245818944</v>
      </c>
      <c r="N1013" s="36">
        <v>0.32747064974406037</v>
      </c>
      <c r="O1013" s="36"/>
      <c r="P1013">
        <v>14.250080256965381</v>
      </c>
    </row>
    <row r="1014" spans="1:16" hidden="1" x14ac:dyDescent="0.35">
      <c r="A1014" s="3">
        <f xml:space="preserve"> ROW( data_scaledImpacts[[#This Row],[row_id]] ) - ROW( data_scaledImpacts[[#Headers],[row_id]] )</f>
        <v>1013</v>
      </c>
      <c r="B1014" s="41" t="str">
        <f xml:space="preserve"> _xlfn.TEXTJOIN( "", , data_scaledImpacts[[#This Row],[sector]:[impactType]] )</f>
        <v>WinterRecCanESM252010N/AAlpine</v>
      </c>
      <c r="C1014" s="33" t="s">
        <v>89</v>
      </c>
      <c r="D1014" s="33" t="s">
        <v>0</v>
      </c>
      <c r="E1014" s="34">
        <v>5</v>
      </c>
      <c r="F1014" s="34">
        <v>2010</v>
      </c>
      <c r="G1014" s="34" t="s">
        <v>201</v>
      </c>
      <c r="H1014" s="35" t="s">
        <v>90</v>
      </c>
      <c r="I1014" s="43" t="s">
        <v>121</v>
      </c>
      <c r="J1014" s="36">
        <v>5.231595433926862</v>
      </c>
      <c r="K1014" s="36">
        <v>19.459599999996776</v>
      </c>
      <c r="L1014" s="37">
        <v>28.119652158389719</v>
      </c>
      <c r="M1014" s="36">
        <v>27.061158471207289</v>
      </c>
      <c r="N1014" s="36">
        <v>0.42696260062117641</v>
      </c>
      <c r="O1014" s="36"/>
      <c r="P1014">
        <v>20.59027925822382</v>
      </c>
    </row>
    <row r="1015" spans="1:16" hidden="1" x14ac:dyDescent="0.35">
      <c r="A1015" s="3">
        <f xml:space="preserve"> ROW( data_scaledImpacts[[#This Row],[row_id]] ) - ROW( data_scaledImpacts[[#Headers],[row_id]] )</f>
        <v>1014</v>
      </c>
      <c r="B1015" s="41" t="str">
        <f xml:space="preserve"> _xlfn.TEXTJOIN( "", , data_scaledImpacts[[#This Row],[sector]:[impactType]] )</f>
        <v>WinterRecCCSM452010N/AAlpine</v>
      </c>
      <c r="C1015" s="33" t="s">
        <v>89</v>
      </c>
      <c r="D1015" s="33" t="s">
        <v>1</v>
      </c>
      <c r="E1015" s="34">
        <v>5</v>
      </c>
      <c r="F1015" s="34">
        <v>2010</v>
      </c>
      <c r="G1015" s="34" t="s">
        <v>201</v>
      </c>
      <c r="H1015" s="35" t="s">
        <v>90</v>
      </c>
      <c r="I1015" s="43" t="s">
        <v>122</v>
      </c>
      <c r="J1015" s="36">
        <v>5.6243182769917484</v>
      </c>
      <c r="K1015" s="36">
        <v>19.079316103083535</v>
      </c>
      <c r="L1015" s="37">
        <v>29.838050860217955</v>
      </c>
      <c r="M1015" s="36">
        <v>27.920648531768482</v>
      </c>
      <c r="N1015" s="36">
        <v>0.39396443691356425</v>
      </c>
      <c r="O1015" s="36"/>
      <c r="P1015">
        <v>21.207395174397018</v>
      </c>
    </row>
    <row r="1016" spans="1:16" hidden="1" x14ac:dyDescent="0.35">
      <c r="A1016" s="3">
        <f xml:space="preserve"> ROW( data_scaledImpacts[[#This Row],[row_id]] ) - ROW( data_scaledImpacts[[#Headers],[row_id]] )</f>
        <v>1015</v>
      </c>
      <c r="B1016" s="41" t="str">
        <f xml:space="preserve"> _xlfn.TEXTJOIN( "", , data_scaledImpacts[[#This Row],[sector]:[impactType]] )</f>
        <v>WinterRecGISS-E2-R52010N/AAlpine</v>
      </c>
      <c r="C1016" s="33" t="s">
        <v>89</v>
      </c>
      <c r="D1016" s="33" t="s">
        <v>2</v>
      </c>
      <c r="E1016" s="34">
        <v>5</v>
      </c>
      <c r="F1016" s="34">
        <v>2010</v>
      </c>
      <c r="G1016" s="34" t="s">
        <v>201</v>
      </c>
      <c r="H1016" s="35" t="s">
        <v>90</v>
      </c>
      <c r="I1016" s="43" t="s">
        <v>123</v>
      </c>
      <c r="J1016" s="36"/>
      <c r="K1016" s="36"/>
      <c r="L1016" s="37"/>
      <c r="M1016" s="36"/>
      <c r="N1016" s="36"/>
      <c r="O1016" s="36"/>
    </row>
    <row r="1017" spans="1:16" hidden="1" x14ac:dyDescent="0.35">
      <c r="A1017" s="3">
        <f xml:space="preserve"> ROW( data_scaledImpacts[[#This Row],[row_id]] ) - ROW( data_scaledImpacts[[#Headers],[row_id]] )</f>
        <v>1016</v>
      </c>
      <c r="B1017" s="41" t="str">
        <f xml:space="preserve"> _xlfn.TEXTJOIN( "", , data_scaledImpacts[[#This Row],[sector]:[impactType]] )</f>
        <v>WinterRecHadGEM2-ES52010N/AAlpine</v>
      </c>
      <c r="C1017" s="33" t="s">
        <v>89</v>
      </c>
      <c r="D1017" s="33" t="s">
        <v>3</v>
      </c>
      <c r="E1017" s="34">
        <v>5</v>
      </c>
      <c r="F1017" s="34">
        <v>2010</v>
      </c>
      <c r="G1017" s="34" t="s">
        <v>201</v>
      </c>
      <c r="H1017" s="35" t="s">
        <v>90</v>
      </c>
      <c r="I1017" s="43" t="s">
        <v>124</v>
      </c>
      <c r="J1017" s="36">
        <v>5.5696963230033436</v>
      </c>
      <c r="K1017" s="36">
        <v>20.233666353549062</v>
      </c>
      <c r="L1017" s="37">
        <v>25.831396363220492</v>
      </c>
      <c r="M1017" s="36">
        <v>30.134016428195473</v>
      </c>
      <c r="N1017" s="36">
        <v>0.39683075264125778</v>
      </c>
      <c r="O1017" s="36"/>
      <c r="P1017">
        <v>19.53402461888858</v>
      </c>
    </row>
    <row r="1018" spans="1:16" hidden="1" x14ac:dyDescent="0.35">
      <c r="A1018" s="3">
        <f xml:space="preserve"> ROW( data_scaledImpacts[[#This Row],[row_id]] ) - ROW( data_scaledImpacts[[#Headers],[row_id]] )</f>
        <v>1017</v>
      </c>
      <c r="B1018" s="41" t="str">
        <f xml:space="preserve"> _xlfn.TEXTJOIN( "", , data_scaledImpacts[[#This Row],[sector]:[impactType]] )</f>
        <v>WinterRecMIROC552010N/AAlpine</v>
      </c>
      <c r="C1018" s="33" t="s">
        <v>89</v>
      </c>
      <c r="D1018" s="33" t="s">
        <v>4</v>
      </c>
      <c r="E1018" s="34">
        <v>5</v>
      </c>
      <c r="F1018" s="34">
        <v>2010</v>
      </c>
      <c r="G1018" s="34" t="s">
        <v>201</v>
      </c>
      <c r="H1018" s="35" t="s">
        <v>90</v>
      </c>
      <c r="I1018" s="43" t="s">
        <v>125</v>
      </c>
      <c r="J1018" s="36">
        <v>5.8085229930176858</v>
      </c>
      <c r="K1018" s="36">
        <v>21.620033079645054</v>
      </c>
      <c r="L1018" s="37">
        <v>29.436267821018792</v>
      </c>
      <c r="M1018" s="36">
        <v>22.284929578880213</v>
      </c>
      <c r="N1018" s="36">
        <v>0.44108098222178593</v>
      </c>
      <c r="O1018" s="36"/>
      <c r="P1018">
        <v>22.685339531712422</v>
      </c>
    </row>
    <row r="1019" spans="1:16" hidden="1" x14ac:dyDescent="0.35">
      <c r="A1019" s="3">
        <f xml:space="preserve"> ROW( data_scaledImpacts[[#This Row],[row_id]] ) - ROW( data_scaledImpacts[[#Headers],[row_id]] )</f>
        <v>1018</v>
      </c>
      <c r="B1019" s="41" t="str">
        <f xml:space="preserve"> _xlfn.TEXTJOIN( "", , data_scaledImpacts[[#This Row],[sector]:[impactType]] )</f>
        <v>WinterRecGFDL-CM352010N/AAlpine</v>
      </c>
      <c r="C1019" s="33" t="s">
        <v>89</v>
      </c>
      <c r="D1019" s="33" t="s">
        <v>5</v>
      </c>
      <c r="E1019" s="34">
        <v>5</v>
      </c>
      <c r="F1019" s="34">
        <v>2010</v>
      </c>
      <c r="G1019" s="34" t="s">
        <v>201</v>
      </c>
      <c r="H1019" s="35" t="s">
        <v>90</v>
      </c>
      <c r="I1019" s="43" t="s">
        <v>126</v>
      </c>
      <c r="J1019" s="36">
        <v>4.7009750656424627</v>
      </c>
      <c r="K1019" s="36">
        <v>20.22688431592902</v>
      </c>
      <c r="L1019" s="37">
        <v>20.185505554395611</v>
      </c>
      <c r="M1019" s="36">
        <v>20.731245824491367</v>
      </c>
      <c r="N1019" s="36">
        <v>0.40576133966048533</v>
      </c>
      <c r="O1019" s="36"/>
      <c r="P1019">
        <v>16.91824726229855</v>
      </c>
    </row>
    <row r="1020" spans="1:16" hidden="1" x14ac:dyDescent="0.35">
      <c r="A1020" s="3">
        <f xml:space="preserve"> ROW( data_scaledImpacts[[#This Row],[row_id]] ) - ROW( data_scaledImpacts[[#Headers],[row_id]] )</f>
        <v>1019</v>
      </c>
      <c r="B1020" s="41" t="str">
        <f xml:space="preserve"> _xlfn.TEXTJOIN( "", , data_scaledImpacts[[#This Row],[sector]:[impactType]] )</f>
        <v>WinterRecGCM Average52010N/AAlpine</v>
      </c>
      <c r="C1020" s="33" t="s">
        <v>89</v>
      </c>
      <c r="D1020" s="33" t="s">
        <v>15</v>
      </c>
      <c r="E1020" s="34">
        <v>5</v>
      </c>
      <c r="F1020" s="34">
        <v>2010</v>
      </c>
      <c r="G1020" s="34" t="s">
        <v>201</v>
      </c>
      <c r="H1020" s="35" t="s">
        <v>90</v>
      </c>
      <c r="I1020" s="43" t="s">
        <v>127</v>
      </c>
      <c r="J1020" s="36">
        <v>5.387021618516421</v>
      </c>
      <c r="K1020" s="36">
        <v>20.123899970440693</v>
      </c>
      <c r="L1020" s="37">
        <v>26.682174551448515</v>
      </c>
      <c r="M1020" s="36">
        <v>25.626399766908559</v>
      </c>
      <c r="N1020" s="36">
        <v>0.41292002241165393</v>
      </c>
      <c r="O1020" s="36"/>
      <c r="P1020">
        <v>20.187057169104079</v>
      </c>
    </row>
    <row r="1021" spans="1:16" hidden="1" x14ac:dyDescent="0.35">
      <c r="A1021" s="3">
        <f xml:space="preserve"> ROW( data_scaledImpacts[[#This Row],[row_id]] ) - ROW( data_scaledImpacts[[#Headers],[row_id]] )</f>
        <v>1020</v>
      </c>
      <c r="B1021" s="41" t="str">
        <f xml:space="preserve"> _xlfn.TEXTJOIN( "", , data_scaledImpacts[[#This Row],[sector]:[impactType]] )</f>
        <v>WinterRecCanESM262010N/AAlpine</v>
      </c>
      <c r="C1021" s="33" t="s">
        <v>89</v>
      </c>
      <c r="D1021" s="33" t="s">
        <v>0</v>
      </c>
      <c r="E1021" s="34">
        <v>6</v>
      </c>
      <c r="F1021" s="34">
        <v>2010</v>
      </c>
      <c r="G1021" s="34" t="s">
        <v>201</v>
      </c>
      <c r="H1021" s="35" t="s">
        <v>90</v>
      </c>
      <c r="I1021" s="43" t="s">
        <v>128</v>
      </c>
      <c r="J1021" s="36">
        <v>5.2826127555568867</v>
      </c>
      <c r="K1021" s="36">
        <v>20.971244343705234</v>
      </c>
      <c r="L1021" s="37">
        <v>31.243395021095139</v>
      </c>
      <c r="M1021" s="36">
        <v>29.372304300484554</v>
      </c>
      <c r="N1021" s="36">
        <v>0.37525047472480033</v>
      </c>
      <c r="O1021" s="36"/>
      <c r="P1021">
        <v>24.967910526576333</v>
      </c>
    </row>
    <row r="1022" spans="1:16" hidden="1" x14ac:dyDescent="0.35">
      <c r="A1022" s="3">
        <f xml:space="preserve"> ROW( data_scaledImpacts[[#This Row],[row_id]] ) - ROW( data_scaledImpacts[[#Headers],[row_id]] )</f>
        <v>1021</v>
      </c>
      <c r="B1022" s="41" t="str">
        <f xml:space="preserve"> _xlfn.TEXTJOIN( "", , data_scaledImpacts[[#This Row],[sector]:[impactType]] )</f>
        <v>WinterRecCCSM462010N/AAlpine</v>
      </c>
      <c r="C1022" s="33" t="s">
        <v>89</v>
      </c>
      <c r="D1022" s="33" t="s">
        <v>1</v>
      </c>
      <c r="E1022" s="34">
        <v>6</v>
      </c>
      <c r="F1022" s="34">
        <v>2010</v>
      </c>
      <c r="G1022" s="34" t="s">
        <v>201</v>
      </c>
      <c r="H1022" s="35" t="s">
        <v>90</v>
      </c>
      <c r="I1022" s="43" t="s">
        <v>129</v>
      </c>
      <c r="J1022" s="36"/>
      <c r="K1022" s="36"/>
      <c r="L1022" s="37"/>
      <c r="M1022" s="36"/>
      <c r="N1022" s="36"/>
      <c r="O1022" s="36"/>
    </row>
    <row r="1023" spans="1:16" hidden="1" x14ac:dyDescent="0.35">
      <c r="A1023" s="3">
        <f xml:space="preserve"> ROW( data_scaledImpacts[[#This Row],[row_id]] ) - ROW( data_scaledImpacts[[#Headers],[row_id]] )</f>
        <v>1022</v>
      </c>
      <c r="B1023" s="41" t="str">
        <f xml:space="preserve"> _xlfn.TEXTJOIN( "", , data_scaledImpacts[[#This Row],[sector]:[impactType]] )</f>
        <v>WinterRecGISS-E2-R62010N/AAlpine</v>
      </c>
      <c r="C1023" s="33" t="s">
        <v>89</v>
      </c>
      <c r="D1023" s="33" t="s">
        <v>2</v>
      </c>
      <c r="E1023" s="34">
        <v>6</v>
      </c>
      <c r="F1023" s="34">
        <v>2010</v>
      </c>
      <c r="G1023" s="34" t="s">
        <v>201</v>
      </c>
      <c r="H1023" s="35" t="s">
        <v>90</v>
      </c>
      <c r="I1023" s="43" t="s">
        <v>130</v>
      </c>
      <c r="J1023" s="36"/>
      <c r="K1023" s="36"/>
      <c r="L1023" s="37"/>
      <c r="M1023" s="36"/>
      <c r="N1023" s="36"/>
      <c r="O1023" s="36"/>
    </row>
    <row r="1024" spans="1:16" hidden="1" x14ac:dyDescent="0.35">
      <c r="A1024" s="3">
        <f xml:space="preserve"> ROW( data_scaledImpacts[[#This Row],[row_id]] ) - ROW( data_scaledImpacts[[#Headers],[row_id]] )</f>
        <v>1023</v>
      </c>
      <c r="B1024" s="41" t="str">
        <f xml:space="preserve"> _xlfn.TEXTJOIN( "", , data_scaledImpacts[[#This Row],[sector]:[impactType]] )</f>
        <v>WinterRecHadGEM2-ES62010N/AAlpine</v>
      </c>
      <c r="C1024" s="33" t="s">
        <v>89</v>
      </c>
      <c r="D1024" s="33" t="s">
        <v>3</v>
      </c>
      <c r="E1024" s="34">
        <v>6</v>
      </c>
      <c r="F1024" s="34">
        <v>2010</v>
      </c>
      <c r="G1024" s="34" t="s">
        <v>201</v>
      </c>
      <c r="H1024" s="35" t="s">
        <v>90</v>
      </c>
      <c r="I1024" s="43" t="s">
        <v>131</v>
      </c>
      <c r="J1024" s="36">
        <v>5.9281979680219612</v>
      </c>
      <c r="K1024" s="36">
        <v>21.617384086726972</v>
      </c>
      <c r="L1024" s="37">
        <v>30.570066300083898</v>
      </c>
      <c r="M1024" s="36">
        <v>30.017894904879462</v>
      </c>
      <c r="N1024" s="36">
        <v>0.45576788925604506</v>
      </c>
      <c r="O1024" s="36"/>
      <c r="P1024">
        <v>19.035081640932702</v>
      </c>
    </row>
    <row r="1025" spans="1:16" hidden="1" x14ac:dyDescent="0.35">
      <c r="A1025" s="3">
        <f xml:space="preserve"> ROW( data_scaledImpacts[[#This Row],[row_id]] ) - ROW( data_scaledImpacts[[#Headers],[row_id]] )</f>
        <v>1024</v>
      </c>
      <c r="B1025" s="41" t="str">
        <f xml:space="preserve"> _xlfn.TEXTJOIN( "", , data_scaledImpacts[[#This Row],[sector]:[impactType]] )</f>
        <v>WinterRecMIROC562010N/AAlpine</v>
      </c>
      <c r="C1025" s="33" t="s">
        <v>89</v>
      </c>
      <c r="D1025" s="33" t="s">
        <v>4</v>
      </c>
      <c r="E1025" s="34">
        <v>6</v>
      </c>
      <c r="F1025" s="34">
        <v>2010</v>
      </c>
      <c r="G1025" s="34" t="s">
        <v>201</v>
      </c>
      <c r="H1025" s="35" t="s">
        <v>90</v>
      </c>
      <c r="I1025" s="43" t="s">
        <v>132</v>
      </c>
      <c r="J1025" s="36"/>
      <c r="K1025" s="36"/>
      <c r="L1025" s="37"/>
      <c r="M1025" s="36"/>
      <c r="N1025" s="36"/>
      <c r="O1025" s="36"/>
    </row>
    <row r="1026" spans="1:16" hidden="1" x14ac:dyDescent="0.35">
      <c r="A1026" s="3">
        <f xml:space="preserve"> ROW( data_scaledImpacts[[#This Row],[row_id]] ) - ROW( data_scaledImpacts[[#Headers],[row_id]] )</f>
        <v>1025</v>
      </c>
      <c r="B1026" s="41" t="str">
        <f xml:space="preserve"> _xlfn.TEXTJOIN( "", , data_scaledImpacts[[#This Row],[sector]:[impactType]] )</f>
        <v>WinterRecGFDL-CM362010N/AAlpine</v>
      </c>
      <c r="C1026" s="33" t="s">
        <v>89</v>
      </c>
      <c r="D1026" s="33" t="s">
        <v>5</v>
      </c>
      <c r="E1026" s="34">
        <v>6</v>
      </c>
      <c r="F1026" s="34">
        <v>2010</v>
      </c>
      <c r="G1026" s="34" t="s">
        <v>201</v>
      </c>
      <c r="H1026" s="35" t="s">
        <v>90</v>
      </c>
      <c r="I1026" s="43" t="s">
        <v>133</v>
      </c>
      <c r="J1026" s="36">
        <v>5.5361396427593519</v>
      </c>
      <c r="K1026" s="36">
        <v>21.189616143174653</v>
      </c>
      <c r="L1026" s="37">
        <v>27.182678889932447</v>
      </c>
      <c r="M1026" s="36">
        <v>23.099556767906833</v>
      </c>
      <c r="N1026" s="36">
        <v>0.41672914281667572</v>
      </c>
      <c r="O1026" s="36"/>
      <c r="P1026">
        <v>23.684481694446802</v>
      </c>
    </row>
    <row r="1027" spans="1:16" hidden="1" x14ac:dyDescent="0.35">
      <c r="A1027" s="3">
        <f xml:space="preserve"> ROW( data_scaledImpacts[[#This Row],[row_id]] ) - ROW( data_scaledImpacts[[#Headers],[row_id]] )</f>
        <v>1026</v>
      </c>
      <c r="B1027" s="41" t="str">
        <f xml:space="preserve"> _xlfn.TEXTJOIN( "", , data_scaledImpacts[[#This Row],[sector]:[impactType]] )</f>
        <v>WinterRecGCM Average62010N/AAlpine</v>
      </c>
      <c r="C1027" s="33" t="s">
        <v>89</v>
      </c>
      <c r="D1027" s="33" t="s">
        <v>15</v>
      </c>
      <c r="E1027" s="34">
        <v>6</v>
      </c>
      <c r="F1027" s="34">
        <v>2010</v>
      </c>
      <c r="G1027" s="34" t="s">
        <v>201</v>
      </c>
      <c r="H1027" s="35" t="s">
        <v>90</v>
      </c>
      <c r="I1027" s="43" t="s">
        <v>134</v>
      </c>
      <c r="J1027" s="36">
        <v>5.5823167887794005</v>
      </c>
      <c r="K1027" s="36">
        <v>21.259414857868954</v>
      </c>
      <c r="L1027" s="37">
        <v>29.665380070370492</v>
      </c>
      <c r="M1027" s="36">
        <v>27.496585324423616</v>
      </c>
      <c r="N1027" s="36">
        <v>0.41591583559917372</v>
      </c>
      <c r="O1027" s="36"/>
      <c r="P1027">
        <v>22.562491287318611</v>
      </c>
    </row>
    <row r="1028" spans="1:16" hidden="1" x14ac:dyDescent="0.35">
      <c r="A1028" s="3">
        <f xml:space="preserve"> ROW( data_scaledImpacts[[#This Row],[row_id]] ) - ROW( data_scaledImpacts[[#Headers],[row_id]] )</f>
        <v>1027</v>
      </c>
      <c r="B1028" s="41" t="str">
        <f xml:space="preserve"> _xlfn.TEXTJOIN( "", , data_scaledImpacts[[#This Row],[sector]:[impactType]] )</f>
        <v>WinterRecCanESM272010N/AAlpine</v>
      </c>
      <c r="C1028" s="33" t="s">
        <v>89</v>
      </c>
      <c r="D1028" s="33" t="s">
        <v>0</v>
      </c>
      <c r="E1028" s="34">
        <v>7</v>
      </c>
      <c r="F1028" s="34">
        <v>2010</v>
      </c>
      <c r="G1028" s="34" t="s">
        <v>201</v>
      </c>
      <c r="H1028" s="35" t="s">
        <v>90</v>
      </c>
      <c r="I1028" s="43" t="s">
        <v>135</v>
      </c>
      <c r="J1028" s="36"/>
      <c r="K1028" s="36"/>
      <c r="L1028" s="37"/>
      <c r="M1028" s="36"/>
      <c r="N1028" s="36"/>
      <c r="O1028" s="36"/>
    </row>
    <row r="1029" spans="1:16" hidden="1" x14ac:dyDescent="0.35">
      <c r="A1029" s="3">
        <f xml:space="preserve"> ROW( data_scaledImpacts[[#This Row],[row_id]] ) - ROW( data_scaledImpacts[[#Headers],[row_id]] )</f>
        <v>1028</v>
      </c>
      <c r="B1029" s="41" t="str">
        <f xml:space="preserve"> _xlfn.TEXTJOIN( "", , data_scaledImpacts[[#This Row],[sector]:[impactType]] )</f>
        <v>WinterRecCCSM472010N/AAlpine</v>
      </c>
      <c r="C1029" s="33" t="s">
        <v>89</v>
      </c>
      <c r="D1029" s="33" t="s">
        <v>1</v>
      </c>
      <c r="E1029" s="34">
        <v>7</v>
      </c>
      <c r="F1029" s="34">
        <v>2010</v>
      </c>
      <c r="G1029" s="34" t="s">
        <v>201</v>
      </c>
      <c r="H1029" s="35" t="s">
        <v>90</v>
      </c>
      <c r="I1029" s="43" t="s">
        <v>136</v>
      </c>
      <c r="J1029" s="36"/>
      <c r="K1029" s="36"/>
      <c r="L1029" s="37"/>
      <c r="M1029" s="36"/>
      <c r="N1029" s="36"/>
      <c r="O1029" s="36"/>
    </row>
    <row r="1030" spans="1:16" hidden="1" x14ac:dyDescent="0.35">
      <c r="A1030" s="3">
        <f xml:space="preserve"> ROW( data_scaledImpacts[[#This Row],[row_id]] ) - ROW( data_scaledImpacts[[#Headers],[row_id]] )</f>
        <v>1029</v>
      </c>
      <c r="B1030" s="41" t="str">
        <f xml:space="preserve"> _xlfn.TEXTJOIN( "", , data_scaledImpacts[[#This Row],[sector]:[impactType]] )</f>
        <v>WinterRecGISS-E2-R72010N/AAlpine</v>
      </c>
      <c r="C1030" s="33" t="s">
        <v>89</v>
      </c>
      <c r="D1030" s="33" t="s">
        <v>2</v>
      </c>
      <c r="E1030" s="34">
        <v>7</v>
      </c>
      <c r="F1030" s="34">
        <v>2010</v>
      </c>
      <c r="G1030" s="34" t="s">
        <v>201</v>
      </c>
      <c r="H1030" s="35" t="s">
        <v>90</v>
      </c>
      <c r="I1030" s="43" t="s">
        <v>137</v>
      </c>
      <c r="J1030" s="36"/>
      <c r="K1030" s="36"/>
      <c r="L1030" s="37"/>
      <c r="M1030" s="36"/>
      <c r="N1030" s="36"/>
      <c r="O1030" s="36"/>
    </row>
    <row r="1031" spans="1:16" hidden="1" x14ac:dyDescent="0.35">
      <c r="A1031" s="3">
        <f xml:space="preserve"> ROW( data_scaledImpacts[[#This Row],[row_id]] ) - ROW( data_scaledImpacts[[#Headers],[row_id]] )</f>
        <v>1030</v>
      </c>
      <c r="B1031" s="41" t="str">
        <f xml:space="preserve"> _xlfn.TEXTJOIN( "", , data_scaledImpacts[[#This Row],[sector]:[impactType]] )</f>
        <v>WinterRecHadGEM2-ES72010N/AAlpine</v>
      </c>
      <c r="C1031" s="33" t="s">
        <v>89</v>
      </c>
      <c r="D1031" s="33" t="s">
        <v>3</v>
      </c>
      <c r="E1031" s="34">
        <v>7</v>
      </c>
      <c r="F1031" s="34">
        <v>2010</v>
      </c>
      <c r="G1031" s="34" t="s">
        <v>201</v>
      </c>
      <c r="H1031" s="35" t="s">
        <v>90</v>
      </c>
      <c r="I1031" s="43" t="s">
        <v>138</v>
      </c>
      <c r="J1031" s="36"/>
      <c r="K1031" s="36"/>
      <c r="L1031" s="37"/>
      <c r="M1031" s="36"/>
      <c r="N1031" s="36"/>
      <c r="O1031" s="36"/>
    </row>
    <row r="1032" spans="1:16" hidden="1" x14ac:dyDescent="0.35">
      <c r="A1032" s="3">
        <f xml:space="preserve"> ROW( data_scaledImpacts[[#This Row],[row_id]] ) - ROW( data_scaledImpacts[[#Headers],[row_id]] )</f>
        <v>1031</v>
      </c>
      <c r="B1032" s="41" t="str">
        <f xml:space="preserve"> _xlfn.TEXTJOIN( "", , data_scaledImpacts[[#This Row],[sector]:[impactType]] )</f>
        <v>WinterRecMIROC572010N/AAlpine</v>
      </c>
      <c r="C1032" s="33" t="s">
        <v>89</v>
      </c>
      <c r="D1032" s="33" t="s">
        <v>4</v>
      </c>
      <c r="E1032" s="34">
        <v>7</v>
      </c>
      <c r="F1032" s="34">
        <v>2010</v>
      </c>
      <c r="G1032" s="34" t="s">
        <v>201</v>
      </c>
      <c r="H1032" s="35" t="s">
        <v>90</v>
      </c>
      <c r="I1032" s="43" t="s">
        <v>139</v>
      </c>
      <c r="J1032" s="36"/>
      <c r="K1032" s="36"/>
      <c r="L1032" s="37"/>
      <c r="M1032" s="36"/>
      <c r="N1032" s="36"/>
      <c r="O1032" s="36"/>
    </row>
    <row r="1033" spans="1:16" hidden="1" x14ac:dyDescent="0.35">
      <c r="A1033" s="3">
        <f xml:space="preserve"> ROW( data_scaledImpacts[[#This Row],[row_id]] ) - ROW( data_scaledImpacts[[#Headers],[row_id]] )</f>
        <v>1032</v>
      </c>
      <c r="B1033" s="41" t="str">
        <f xml:space="preserve"> _xlfn.TEXTJOIN( "", , data_scaledImpacts[[#This Row],[sector]:[impactType]] )</f>
        <v>WinterRecGFDL-CM372010N/AAlpine</v>
      </c>
      <c r="C1033" s="33" t="s">
        <v>89</v>
      </c>
      <c r="D1033" s="33" t="s">
        <v>5</v>
      </c>
      <c r="E1033" s="34">
        <v>7</v>
      </c>
      <c r="F1033" s="34">
        <v>2010</v>
      </c>
      <c r="G1033" s="34" t="s">
        <v>201</v>
      </c>
      <c r="H1033" s="35" t="s">
        <v>90</v>
      </c>
      <c r="I1033" s="43" t="s">
        <v>140</v>
      </c>
      <c r="J1033" s="36"/>
      <c r="K1033" s="36"/>
      <c r="L1033" s="37"/>
      <c r="M1033" s="36"/>
      <c r="N1033" s="36"/>
      <c r="O1033" s="36"/>
    </row>
    <row r="1034" spans="1:16" hidden="1" x14ac:dyDescent="0.35">
      <c r="A1034" s="3">
        <f xml:space="preserve"> ROW( data_scaledImpacts[[#This Row],[row_id]] ) - ROW( data_scaledImpacts[[#Headers],[row_id]] )</f>
        <v>1033</v>
      </c>
      <c r="B1034" s="41" t="str">
        <f xml:space="preserve"> _xlfn.TEXTJOIN( "", , data_scaledImpacts[[#This Row],[sector]:[impactType]] )</f>
        <v>WinterRecGCM Average72010N/AAlpine</v>
      </c>
      <c r="C1034" s="33" t="s">
        <v>89</v>
      </c>
      <c r="D1034" s="33" t="s">
        <v>15</v>
      </c>
      <c r="E1034" s="34">
        <v>7</v>
      </c>
      <c r="F1034" s="34">
        <v>2010</v>
      </c>
      <c r="G1034" s="34" t="s">
        <v>201</v>
      </c>
      <c r="H1034" s="35" t="s">
        <v>90</v>
      </c>
      <c r="I1034" s="43" t="s">
        <v>141</v>
      </c>
      <c r="J1034" s="36" t="s">
        <v>26</v>
      </c>
      <c r="K1034" s="36" t="s">
        <v>26</v>
      </c>
      <c r="L1034" s="37" t="s">
        <v>26</v>
      </c>
      <c r="M1034" s="36" t="s">
        <v>26</v>
      </c>
      <c r="N1034" s="36" t="s">
        <v>26</v>
      </c>
      <c r="O1034" s="36"/>
      <c r="P1034" t="s">
        <v>26</v>
      </c>
    </row>
    <row r="1035" spans="1:16" hidden="1" x14ac:dyDescent="0.35">
      <c r="A1035" s="3">
        <f xml:space="preserve"> ROW( data_scaledImpacts[[#This Row],[row_id]] ) - ROW( data_scaledImpacts[[#Headers],[row_id]] )</f>
        <v>1034</v>
      </c>
      <c r="B1035" s="41" t="str">
        <f xml:space="preserve"> _xlfn.TEXTJOIN( "", , data_scaledImpacts[[#This Row],[sector]:[impactType]] )</f>
        <v>WinterRecCanESM212090N/AAlpine</v>
      </c>
      <c r="C1035" s="33" t="s">
        <v>89</v>
      </c>
      <c r="D1035" s="33" t="s">
        <v>0</v>
      </c>
      <c r="E1035" s="34">
        <v>1</v>
      </c>
      <c r="F1035" s="34">
        <v>2090</v>
      </c>
      <c r="G1035" s="34" t="s">
        <v>201</v>
      </c>
      <c r="H1035" s="35" t="s">
        <v>90</v>
      </c>
      <c r="I1035" s="43" t="s">
        <v>142</v>
      </c>
      <c r="J1035" s="36">
        <v>0.36256387514272448</v>
      </c>
      <c r="K1035" s="36">
        <v>6.5547136982088334</v>
      </c>
      <c r="L1035" s="37">
        <v>5.2899837345901846</v>
      </c>
      <c r="M1035" s="36">
        <v>1.6404124743072768</v>
      </c>
      <c r="N1035" s="36">
        <v>6.9326328485722497E-2</v>
      </c>
      <c r="O1035" s="36"/>
      <c r="P1035">
        <v>1.1681216991619556</v>
      </c>
    </row>
    <row r="1036" spans="1:16" hidden="1" x14ac:dyDescent="0.35">
      <c r="A1036" s="3">
        <f xml:space="preserve"> ROW( data_scaledImpacts[[#This Row],[row_id]] ) - ROW( data_scaledImpacts[[#Headers],[row_id]] )</f>
        <v>1035</v>
      </c>
      <c r="B1036" s="41" t="str">
        <f xml:space="preserve"> _xlfn.TEXTJOIN( "", , data_scaledImpacts[[#This Row],[sector]:[impactType]] )</f>
        <v>WinterRecCCSM412090N/AAlpine</v>
      </c>
      <c r="C1036" s="33" t="s">
        <v>89</v>
      </c>
      <c r="D1036" s="33" t="s">
        <v>1</v>
      </c>
      <c r="E1036" s="34">
        <v>1</v>
      </c>
      <c r="F1036" s="34">
        <v>2090</v>
      </c>
      <c r="G1036" s="34" t="s">
        <v>201</v>
      </c>
      <c r="H1036" s="35" t="s">
        <v>90</v>
      </c>
      <c r="I1036" s="43" t="s">
        <v>143</v>
      </c>
      <c r="J1036" s="36">
        <v>0.94246493901391559</v>
      </c>
      <c r="K1036" s="36">
        <v>1.9478667070282294</v>
      </c>
      <c r="L1036" s="37">
        <v>3.6851069054247092</v>
      </c>
      <c r="M1036" s="36">
        <v>2.2850262820678071</v>
      </c>
      <c r="N1036" s="36">
        <v>-1.6350979448633233E-2</v>
      </c>
      <c r="O1036" s="36"/>
      <c r="P1036">
        <v>2.175126957566107</v>
      </c>
    </row>
    <row r="1037" spans="1:16" hidden="1" x14ac:dyDescent="0.35">
      <c r="A1037" s="3">
        <f xml:space="preserve"> ROW( data_scaledImpacts[[#This Row],[row_id]] ) - ROW( data_scaledImpacts[[#Headers],[row_id]] )</f>
        <v>1036</v>
      </c>
      <c r="B1037" s="41" t="str">
        <f xml:space="preserve"> _xlfn.TEXTJOIN( "", , data_scaledImpacts[[#This Row],[sector]:[impactType]] )</f>
        <v>WinterRecGISS-E2-R12090N/AAlpine</v>
      </c>
      <c r="C1037" s="33" t="s">
        <v>89</v>
      </c>
      <c r="D1037" s="33" t="s">
        <v>2</v>
      </c>
      <c r="E1037" s="34">
        <v>1</v>
      </c>
      <c r="F1037" s="34">
        <v>2090</v>
      </c>
      <c r="G1037" s="34" t="s">
        <v>201</v>
      </c>
      <c r="H1037" s="35" t="s">
        <v>90</v>
      </c>
      <c r="I1037" s="43" t="s">
        <v>144</v>
      </c>
      <c r="J1037" s="36">
        <v>2.6544183042576743</v>
      </c>
      <c r="K1037" s="36">
        <v>8.001146927222603</v>
      </c>
      <c r="L1037" s="37">
        <v>4.6652586321208789</v>
      </c>
      <c r="M1037" s="36">
        <v>3.8851967753492103</v>
      </c>
      <c r="N1037" s="36">
        <v>8.3761712015799891E-2</v>
      </c>
      <c r="O1037" s="36"/>
      <c r="P1037">
        <v>1.283678079260933</v>
      </c>
    </row>
    <row r="1038" spans="1:16" hidden="1" x14ac:dyDescent="0.35">
      <c r="A1038" s="3">
        <f xml:space="preserve"> ROW( data_scaledImpacts[[#This Row],[row_id]] ) - ROW( data_scaledImpacts[[#Headers],[row_id]] )</f>
        <v>1037</v>
      </c>
      <c r="B1038" s="41" t="str">
        <f xml:space="preserve"> _xlfn.TEXTJOIN( "", , data_scaledImpacts[[#This Row],[sector]:[impactType]] )</f>
        <v>WinterRecHadGEM2-ES12090N/AAlpine</v>
      </c>
      <c r="C1038" s="33" t="s">
        <v>89</v>
      </c>
      <c r="D1038" s="33" t="s">
        <v>3</v>
      </c>
      <c r="E1038" s="34">
        <v>1</v>
      </c>
      <c r="F1038" s="34">
        <v>2090</v>
      </c>
      <c r="G1038" s="34" t="s">
        <v>201</v>
      </c>
      <c r="H1038" s="35" t="s">
        <v>90</v>
      </c>
      <c r="I1038" s="43" t="s">
        <v>145</v>
      </c>
      <c r="J1038" s="36">
        <v>2.0107497315070328</v>
      </c>
      <c r="K1038" s="36">
        <v>6.5837143027938296</v>
      </c>
      <c r="L1038" s="37">
        <v>4.4908980601093687</v>
      </c>
      <c r="M1038" s="36">
        <v>4.7453248067866252</v>
      </c>
      <c r="N1038" s="36">
        <v>0.20027099235577775</v>
      </c>
      <c r="O1038" s="36"/>
      <c r="P1038">
        <v>-1.0816665583492666</v>
      </c>
    </row>
    <row r="1039" spans="1:16" hidden="1" x14ac:dyDescent="0.35">
      <c r="A1039" s="3">
        <f xml:space="preserve"> ROW( data_scaledImpacts[[#This Row],[row_id]] ) - ROW( data_scaledImpacts[[#Headers],[row_id]] )</f>
        <v>1038</v>
      </c>
      <c r="B1039" s="41" t="str">
        <f xml:space="preserve"> _xlfn.TEXTJOIN( "", , data_scaledImpacts[[#This Row],[sector]:[impactType]] )</f>
        <v>WinterRecMIROC512090N/AAlpine</v>
      </c>
      <c r="C1039" s="33" t="s">
        <v>89</v>
      </c>
      <c r="D1039" s="33" t="s">
        <v>4</v>
      </c>
      <c r="E1039" s="34">
        <v>1</v>
      </c>
      <c r="F1039" s="34">
        <v>2090</v>
      </c>
      <c r="G1039" s="34" t="s">
        <v>201</v>
      </c>
      <c r="H1039" s="35" t="s">
        <v>90</v>
      </c>
      <c r="I1039" s="43" t="s">
        <v>146</v>
      </c>
      <c r="J1039" s="36">
        <v>1.7843750501890396</v>
      </c>
      <c r="K1039" s="36">
        <v>6.7815555205658002</v>
      </c>
      <c r="L1039" s="37">
        <v>7.7254864092880968</v>
      </c>
      <c r="M1039" s="36">
        <v>5.4266796498062924</v>
      </c>
      <c r="N1039" s="36">
        <v>0.19393128205344753</v>
      </c>
      <c r="O1039" s="36"/>
      <c r="P1039">
        <v>2.6195901891882181</v>
      </c>
    </row>
    <row r="1040" spans="1:16" hidden="1" x14ac:dyDescent="0.35">
      <c r="A1040" s="3">
        <f xml:space="preserve"> ROW( data_scaledImpacts[[#This Row],[row_id]] ) - ROW( data_scaledImpacts[[#Headers],[row_id]] )</f>
        <v>1039</v>
      </c>
      <c r="B1040" s="41" t="str">
        <f xml:space="preserve"> _xlfn.TEXTJOIN( "", , data_scaledImpacts[[#This Row],[sector]:[impactType]] )</f>
        <v>WinterRecGFDL-CM312090N/AAlpine</v>
      </c>
      <c r="C1040" s="33" t="s">
        <v>89</v>
      </c>
      <c r="D1040" s="33" t="s">
        <v>5</v>
      </c>
      <c r="E1040" s="34">
        <v>1</v>
      </c>
      <c r="F1040" s="34">
        <v>2090</v>
      </c>
      <c r="G1040" s="34" t="s">
        <v>201</v>
      </c>
      <c r="H1040" s="35" t="s">
        <v>90</v>
      </c>
      <c r="I1040" s="43" t="s">
        <v>147</v>
      </c>
      <c r="J1040" s="36">
        <v>0.51545166214685501</v>
      </c>
      <c r="K1040" s="36">
        <v>5.1343749808365375</v>
      </c>
      <c r="L1040" s="37">
        <v>-0.62478739910957493</v>
      </c>
      <c r="M1040" s="36">
        <v>1.6357867864035818</v>
      </c>
      <c r="N1040" s="36">
        <v>9.9314526498421332E-2</v>
      </c>
      <c r="O1040" s="36"/>
      <c r="P1040">
        <v>1.2652759171194166</v>
      </c>
    </row>
    <row r="1041" spans="1:16" hidden="1" x14ac:dyDescent="0.35">
      <c r="A1041" s="3">
        <f xml:space="preserve"> ROW( data_scaledImpacts[[#This Row],[row_id]] ) - ROW( data_scaledImpacts[[#Headers],[row_id]] )</f>
        <v>1040</v>
      </c>
      <c r="B1041" s="41" t="str">
        <f xml:space="preserve"> _xlfn.TEXTJOIN( "", , data_scaledImpacts[[#This Row],[sector]:[impactType]] )</f>
        <v>WinterRecGCM Average12090N/AAlpine</v>
      </c>
      <c r="C1041" s="33" t="s">
        <v>89</v>
      </c>
      <c r="D1041" s="33" t="s">
        <v>15</v>
      </c>
      <c r="E1041" s="34">
        <v>1</v>
      </c>
      <c r="F1041" s="34">
        <v>2090</v>
      </c>
      <c r="G1041" s="34" t="s">
        <v>201</v>
      </c>
      <c r="H1041" s="35" t="s">
        <v>90</v>
      </c>
      <c r="I1041" s="43" t="s">
        <v>148</v>
      </c>
      <c r="J1041" s="36">
        <v>1.378337260376207</v>
      </c>
      <c r="K1041" s="36">
        <v>5.8338953561093057</v>
      </c>
      <c r="L1041" s="37">
        <v>4.2053243904039439</v>
      </c>
      <c r="M1041" s="36">
        <v>3.2697377957867988</v>
      </c>
      <c r="N1041" s="36">
        <v>0.10504231032675597</v>
      </c>
      <c r="O1041" s="36"/>
      <c r="P1041">
        <v>1.238354380657894</v>
      </c>
    </row>
    <row r="1042" spans="1:16" hidden="1" x14ac:dyDescent="0.35">
      <c r="A1042" s="3">
        <f xml:space="preserve"> ROW( data_scaledImpacts[[#This Row],[row_id]] ) - ROW( data_scaledImpacts[[#Headers],[row_id]] )</f>
        <v>1041</v>
      </c>
      <c r="B1042" s="41" t="str">
        <f xml:space="preserve"> _xlfn.TEXTJOIN( "", , data_scaledImpacts[[#This Row],[sector]:[impactType]] )</f>
        <v>WinterRecCanESM222090N/AAlpine</v>
      </c>
      <c r="C1042" s="33" t="s">
        <v>89</v>
      </c>
      <c r="D1042" s="33" t="s">
        <v>0</v>
      </c>
      <c r="E1042" s="34">
        <v>2</v>
      </c>
      <c r="F1042" s="34">
        <v>2090</v>
      </c>
      <c r="G1042" s="34" t="s">
        <v>201</v>
      </c>
      <c r="H1042" s="35" t="s">
        <v>90</v>
      </c>
      <c r="I1042" s="43" t="s">
        <v>149</v>
      </c>
      <c r="J1042" s="36">
        <v>1.959844586942816</v>
      </c>
      <c r="K1042" s="36">
        <v>9.742153402490219</v>
      </c>
      <c r="L1042" s="37">
        <v>8.4900169635230167</v>
      </c>
      <c r="M1042" s="36">
        <v>11.869635351742685</v>
      </c>
      <c r="N1042" s="36">
        <v>0.20558449055862213</v>
      </c>
      <c r="O1042" s="36"/>
      <c r="P1042">
        <v>5.8288179107971834</v>
      </c>
    </row>
    <row r="1043" spans="1:16" hidden="1" x14ac:dyDescent="0.35">
      <c r="A1043" s="3">
        <f xml:space="preserve"> ROW( data_scaledImpacts[[#This Row],[row_id]] ) - ROW( data_scaledImpacts[[#Headers],[row_id]] )</f>
        <v>1042</v>
      </c>
      <c r="B1043" s="41" t="str">
        <f xml:space="preserve"> _xlfn.TEXTJOIN( "", , data_scaledImpacts[[#This Row],[sector]:[impactType]] )</f>
        <v>WinterRecCCSM422090N/AAlpine</v>
      </c>
      <c r="C1043" s="33" t="s">
        <v>89</v>
      </c>
      <c r="D1043" s="33" t="s">
        <v>1</v>
      </c>
      <c r="E1043" s="34">
        <v>2</v>
      </c>
      <c r="F1043" s="34">
        <v>2090</v>
      </c>
      <c r="G1043" s="34" t="s">
        <v>201</v>
      </c>
      <c r="H1043" s="35" t="s">
        <v>90</v>
      </c>
      <c r="I1043" s="43" t="s">
        <v>150</v>
      </c>
      <c r="J1043" s="36">
        <v>1.4918222724088079</v>
      </c>
      <c r="K1043" s="36">
        <v>5.5311143139527301</v>
      </c>
      <c r="L1043" s="37">
        <v>12.216632940039579</v>
      </c>
      <c r="M1043" s="36">
        <v>12.492293114591474</v>
      </c>
      <c r="N1043" s="36">
        <v>0.15609826265951687</v>
      </c>
      <c r="O1043" s="36"/>
      <c r="P1043">
        <v>7.1434195275266923</v>
      </c>
    </row>
    <row r="1044" spans="1:16" hidden="1" x14ac:dyDescent="0.35">
      <c r="A1044" s="3">
        <f xml:space="preserve"> ROW( data_scaledImpacts[[#This Row],[row_id]] ) - ROW( data_scaledImpacts[[#Headers],[row_id]] )</f>
        <v>1043</v>
      </c>
      <c r="B1044" s="41" t="str">
        <f xml:space="preserve"> _xlfn.TEXTJOIN( "", , data_scaledImpacts[[#This Row],[sector]:[impactType]] )</f>
        <v>WinterRecGISS-E2-R22090N/AAlpine</v>
      </c>
      <c r="C1044" s="33" t="s">
        <v>89</v>
      </c>
      <c r="D1044" s="33" t="s">
        <v>2</v>
      </c>
      <c r="E1044" s="34">
        <v>2</v>
      </c>
      <c r="F1044" s="34">
        <v>2090</v>
      </c>
      <c r="G1044" s="34" t="s">
        <v>201</v>
      </c>
      <c r="H1044" s="35" t="s">
        <v>90</v>
      </c>
      <c r="I1044" s="43" t="s">
        <v>151</v>
      </c>
      <c r="J1044" s="36">
        <v>3.0543893395799611</v>
      </c>
      <c r="K1044" s="36">
        <v>12.228226003007823</v>
      </c>
      <c r="L1044" s="37">
        <v>6.3169690556598876</v>
      </c>
      <c r="M1044" s="36">
        <v>6.0068927201594677</v>
      </c>
      <c r="N1044" s="36">
        <v>0.18542512398585501</v>
      </c>
      <c r="O1044" s="36"/>
      <c r="P1044">
        <v>3.4953716460471536</v>
      </c>
    </row>
    <row r="1045" spans="1:16" hidden="1" x14ac:dyDescent="0.35">
      <c r="A1045" s="3">
        <f xml:space="preserve"> ROW( data_scaledImpacts[[#This Row],[row_id]] ) - ROW( data_scaledImpacts[[#Headers],[row_id]] )</f>
        <v>1044</v>
      </c>
      <c r="B1045" s="41" t="str">
        <f xml:space="preserve"> _xlfn.TEXTJOIN( "", , data_scaledImpacts[[#This Row],[sector]:[impactType]] )</f>
        <v>WinterRecHadGEM2-ES22090N/AAlpine</v>
      </c>
      <c r="C1045" s="33" t="s">
        <v>89</v>
      </c>
      <c r="D1045" s="33" t="s">
        <v>3</v>
      </c>
      <c r="E1045" s="34">
        <v>2</v>
      </c>
      <c r="F1045" s="34">
        <v>2090</v>
      </c>
      <c r="G1045" s="34" t="s">
        <v>201</v>
      </c>
      <c r="H1045" s="35" t="s">
        <v>90</v>
      </c>
      <c r="I1045" s="43" t="s">
        <v>152</v>
      </c>
      <c r="J1045" s="36">
        <v>1.9140917669141861</v>
      </c>
      <c r="K1045" s="36">
        <v>7.2526499097982686</v>
      </c>
      <c r="L1045" s="37">
        <v>8.3414206574227734</v>
      </c>
      <c r="M1045" s="36">
        <v>10.475208061824167</v>
      </c>
      <c r="N1045" s="36">
        <v>0.20027099235571402</v>
      </c>
      <c r="O1045" s="36"/>
      <c r="P1045">
        <v>4.2068400682614753</v>
      </c>
    </row>
    <row r="1046" spans="1:16" hidden="1" x14ac:dyDescent="0.35">
      <c r="A1046" s="3">
        <f xml:space="preserve"> ROW( data_scaledImpacts[[#This Row],[row_id]] ) - ROW( data_scaledImpacts[[#Headers],[row_id]] )</f>
        <v>1045</v>
      </c>
      <c r="B1046" s="41" t="str">
        <f xml:space="preserve"> _xlfn.TEXTJOIN( "", , data_scaledImpacts[[#This Row],[sector]:[impactType]] )</f>
        <v>WinterRecMIROC522090N/AAlpine</v>
      </c>
      <c r="C1046" s="33" t="s">
        <v>89</v>
      </c>
      <c r="D1046" s="33" t="s">
        <v>4</v>
      </c>
      <c r="E1046" s="34">
        <v>2</v>
      </c>
      <c r="F1046" s="34">
        <v>2090</v>
      </c>
      <c r="G1046" s="34" t="s">
        <v>201</v>
      </c>
      <c r="H1046" s="35" t="s">
        <v>90</v>
      </c>
      <c r="I1046" s="43" t="s">
        <v>153</v>
      </c>
      <c r="J1046" s="36">
        <v>3.1888917983786591</v>
      </c>
      <c r="K1046" s="36">
        <v>10.570350742831899</v>
      </c>
      <c r="L1046" s="37">
        <v>15.95785295594124</v>
      </c>
      <c r="M1046" s="36">
        <v>10.12484082194873</v>
      </c>
      <c r="N1046" s="36">
        <v>0.23894778614250425</v>
      </c>
      <c r="O1046" s="36"/>
      <c r="P1046">
        <v>6.5383155743650461</v>
      </c>
    </row>
    <row r="1047" spans="1:16" hidden="1" x14ac:dyDescent="0.35">
      <c r="A1047" s="3">
        <f xml:space="preserve"> ROW( data_scaledImpacts[[#This Row],[row_id]] ) - ROW( data_scaledImpacts[[#Headers],[row_id]] )</f>
        <v>1046</v>
      </c>
      <c r="B1047" s="41" t="str">
        <f xml:space="preserve"> _xlfn.TEXTJOIN( "", , data_scaledImpacts[[#This Row],[sector]:[impactType]] )</f>
        <v>WinterRecGFDL-CM322090N/AAlpine</v>
      </c>
      <c r="C1047" s="33" t="s">
        <v>89</v>
      </c>
      <c r="D1047" s="33" t="s">
        <v>5</v>
      </c>
      <c r="E1047" s="34">
        <v>2</v>
      </c>
      <c r="F1047" s="34">
        <v>2090</v>
      </c>
      <c r="G1047" s="34" t="s">
        <v>201</v>
      </c>
      <c r="H1047" s="35" t="s">
        <v>90</v>
      </c>
      <c r="I1047" s="43" t="s">
        <v>154</v>
      </c>
      <c r="J1047" s="36">
        <v>1.6679814224198408</v>
      </c>
      <c r="K1047" s="36">
        <v>10.199214448278914</v>
      </c>
      <c r="L1047" s="37">
        <v>4.7931728009046939</v>
      </c>
      <c r="M1047" s="36">
        <v>3.5329254776310046</v>
      </c>
      <c r="N1047" s="36">
        <v>0.27753336107598137</v>
      </c>
      <c r="O1047" s="36"/>
      <c r="P1047">
        <v>3.3975914704093246</v>
      </c>
    </row>
    <row r="1048" spans="1:16" hidden="1" x14ac:dyDescent="0.35">
      <c r="A1048" s="3">
        <f xml:space="preserve"> ROW( data_scaledImpacts[[#This Row],[row_id]] ) - ROW( data_scaledImpacts[[#Headers],[row_id]] )</f>
        <v>1047</v>
      </c>
      <c r="B1048" s="41" t="str">
        <f xml:space="preserve"> _xlfn.TEXTJOIN( "", , data_scaledImpacts[[#This Row],[sector]:[impactType]] )</f>
        <v>WinterRecGCM Average22090N/AAlpine</v>
      </c>
      <c r="C1048" s="33" t="s">
        <v>89</v>
      </c>
      <c r="D1048" s="33" t="s">
        <v>15</v>
      </c>
      <c r="E1048" s="34">
        <v>2</v>
      </c>
      <c r="F1048" s="34">
        <v>2090</v>
      </c>
      <c r="G1048" s="34" t="s">
        <v>201</v>
      </c>
      <c r="H1048" s="35" t="s">
        <v>90</v>
      </c>
      <c r="I1048" s="43" t="s">
        <v>155</v>
      </c>
      <c r="J1048" s="36">
        <v>2.2128368644407117</v>
      </c>
      <c r="K1048" s="36">
        <v>9.2539514700599756</v>
      </c>
      <c r="L1048" s="37">
        <v>9.3526775622485321</v>
      </c>
      <c r="M1048" s="36">
        <v>9.0836325913162543</v>
      </c>
      <c r="N1048" s="36">
        <v>0.21064333612969896</v>
      </c>
      <c r="O1048" s="36"/>
      <c r="P1048">
        <v>5.101726032901146</v>
      </c>
    </row>
    <row r="1049" spans="1:16" hidden="1" x14ac:dyDescent="0.35">
      <c r="A1049" s="3">
        <f xml:space="preserve"> ROW( data_scaledImpacts[[#This Row],[row_id]] ) - ROW( data_scaledImpacts[[#Headers],[row_id]] )</f>
        <v>1048</v>
      </c>
      <c r="B1049" s="41" t="str">
        <f xml:space="preserve"> _xlfn.TEXTJOIN( "", , data_scaledImpacts[[#This Row],[sector]:[impactType]] )</f>
        <v>WinterRecCanESM232090N/AAlpine</v>
      </c>
      <c r="C1049" s="33" t="s">
        <v>89</v>
      </c>
      <c r="D1049" s="33" t="s">
        <v>0</v>
      </c>
      <c r="E1049" s="34">
        <v>3</v>
      </c>
      <c r="F1049" s="34">
        <v>2090</v>
      </c>
      <c r="G1049" s="34" t="s">
        <v>201</v>
      </c>
      <c r="H1049" s="35" t="s">
        <v>90</v>
      </c>
      <c r="I1049" s="43" t="s">
        <v>156</v>
      </c>
      <c r="J1049" s="36">
        <v>2.9795313518855409</v>
      </c>
      <c r="K1049" s="36">
        <v>10.921090029594971</v>
      </c>
      <c r="L1049" s="37">
        <v>15.358704185845298</v>
      </c>
      <c r="M1049" s="36">
        <v>17.244821769607441</v>
      </c>
      <c r="N1049" s="36">
        <v>0.21447832875263612</v>
      </c>
      <c r="O1049" s="36"/>
      <c r="P1049">
        <v>8.2140616889281102</v>
      </c>
    </row>
    <row r="1050" spans="1:16" hidden="1" x14ac:dyDescent="0.35">
      <c r="A1050" s="3">
        <f xml:space="preserve"> ROW( data_scaledImpacts[[#This Row],[row_id]] ) - ROW( data_scaledImpacts[[#Headers],[row_id]] )</f>
        <v>1049</v>
      </c>
      <c r="B1050" s="41" t="str">
        <f xml:space="preserve"> _xlfn.TEXTJOIN( "", , data_scaledImpacts[[#This Row],[sector]:[impactType]] )</f>
        <v>WinterRecCCSM432090N/AAlpine</v>
      </c>
      <c r="C1050" s="33" t="s">
        <v>89</v>
      </c>
      <c r="D1050" s="33" t="s">
        <v>1</v>
      </c>
      <c r="E1050" s="34">
        <v>3</v>
      </c>
      <c r="F1050" s="34">
        <v>2090</v>
      </c>
      <c r="G1050" s="34" t="s">
        <v>201</v>
      </c>
      <c r="H1050" s="35" t="s">
        <v>90</v>
      </c>
      <c r="I1050" s="43" t="s">
        <v>157</v>
      </c>
      <c r="J1050" s="36">
        <v>3.7104876221095515</v>
      </c>
      <c r="K1050" s="36">
        <v>11.224838318699856</v>
      </c>
      <c r="L1050" s="37">
        <v>16.681174891314576</v>
      </c>
      <c r="M1050" s="36">
        <v>17.123299237267172</v>
      </c>
      <c r="N1050" s="36">
        <v>0.30140989591956918</v>
      </c>
      <c r="O1050" s="36"/>
      <c r="P1050">
        <v>8.1248255737288435</v>
      </c>
    </row>
    <row r="1051" spans="1:16" hidden="1" x14ac:dyDescent="0.35">
      <c r="A1051" s="3">
        <f xml:space="preserve"> ROW( data_scaledImpacts[[#This Row],[row_id]] ) - ROW( data_scaledImpacts[[#Headers],[row_id]] )</f>
        <v>1050</v>
      </c>
      <c r="B1051" s="41" t="str">
        <f xml:space="preserve"> _xlfn.TEXTJOIN( "", , data_scaledImpacts[[#This Row],[sector]:[impactType]] )</f>
        <v>WinterRecGISS-E2-R32090N/AAlpine</v>
      </c>
      <c r="C1051" s="33" t="s">
        <v>89</v>
      </c>
      <c r="D1051" s="33" t="s">
        <v>2</v>
      </c>
      <c r="E1051" s="34">
        <v>3</v>
      </c>
      <c r="F1051" s="34">
        <v>2090</v>
      </c>
      <c r="G1051" s="34" t="s">
        <v>201</v>
      </c>
      <c r="H1051" s="35" t="s">
        <v>90</v>
      </c>
      <c r="I1051" s="43" t="s">
        <v>158</v>
      </c>
      <c r="J1051" s="36">
        <v>3.354351823694218</v>
      </c>
      <c r="K1051" s="36">
        <v>12.517140229491288</v>
      </c>
      <c r="L1051" s="37">
        <v>9.9222804471920849</v>
      </c>
      <c r="M1051" s="36">
        <v>9.0991981175081307</v>
      </c>
      <c r="N1051" s="36">
        <v>0.24863978930246641</v>
      </c>
      <c r="O1051" s="36"/>
      <c r="P1051">
        <v>5.169329599257992</v>
      </c>
    </row>
    <row r="1052" spans="1:16" hidden="1" x14ac:dyDescent="0.35">
      <c r="A1052" s="3">
        <f xml:space="preserve"> ROW( data_scaledImpacts[[#This Row],[row_id]] ) - ROW( data_scaledImpacts[[#Headers],[row_id]] )</f>
        <v>1051</v>
      </c>
      <c r="B1052" s="41" t="str">
        <f xml:space="preserve"> _xlfn.TEXTJOIN( "", , data_scaledImpacts[[#This Row],[sector]:[impactType]] )</f>
        <v>WinterRecHadGEM2-ES32090N/AAlpine</v>
      </c>
      <c r="C1052" s="33" t="s">
        <v>89</v>
      </c>
      <c r="D1052" s="33" t="s">
        <v>3</v>
      </c>
      <c r="E1052" s="34">
        <v>3</v>
      </c>
      <c r="F1052" s="34">
        <v>2090</v>
      </c>
      <c r="G1052" s="34" t="s">
        <v>201</v>
      </c>
      <c r="H1052" s="35" t="s">
        <v>90</v>
      </c>
      <c r="I1052" s="43" t="s">
        <v>159</v>
      </c>
      <c r="J1052" s="36">
        <v>3.578585321994689</v>
      </c>
      <c r="K1052" s="36">
        <v>12.622276924580184</v>
      </c>
      <c r="L1052" s="37">
        <v>14.22447619345898</v>
      </c>
      <c r="M1052" s="36">
        <v>16.326003111025379</v>
      </c>
      <c r="N1052" s="36">
        <v>0.28774987264233459</v>
      </c>
      <c r="O1052" s="36"/>
      <c r="P1052">
        <v>7.114169081623877</v>
      </c>
    </row>
    <row r="1053" spans="1:16" hidden="1" x14ac:dyDescent="0.35">
      <c r="A1053" s="3">
        <f xml:space="preserve"> ROW( data_scaledImpacts[[#This Row],[row_id]] ) - ROW( data_scaledImpacts[[#Headers],[row_id]] )</f>
        <v>1052</v>
      </c>
      <c r="B1053" s="41" t="str">
        <f xml:space="preserve"> _xlfn.TEXTJOIN( "", , data_scaledImpacts[[#This Row],[sector]:[impactType]] )</f>
        <v>WinterRecMIROC532090N/AAlpine</v>
      </c>
      <c r="C1053" s="33" t="s">
        <v>89</v>
      </c>
      <c r="D1053" s="33" t="s">
        <v>4</v>
      </c>
      <c r="E1053" s="34">
        <v>3</v>
      </c>
      <c r="F1053" s="34">
        <v>2090</v>
      </c>
      <c r="G1053" s="34" t="s">
        <v>201</v>
      </c>
      <c r="H1053" s="35" t="s">
        <v>90</v>
      </c>
      <c r="I1053" s="43" t="s">
        <v>160</v>
      </c>
      <c r="J1053" s="36">
        <v>3.4754046730535371</v>
      </c>
      <c r="K1053" s="36">
        <v>15.375909309776393</v>
      </c>
      <c r="L1053" s="37">
        <v>17.622111235243075</v>
      </c>
      <c r="M1053" s="36">
        <v>12.318673493732339</v>
      </c>
      <c r="N1053" s="36">
        <v>0.42234329064306653</v>
      </c>
      <c r="O1053" s="36"/>
      <c r="P1053">
        <v>11.093436495500919</v>
      </c>
    </row>
    <row r="1054" spans="1:16" hidden="1" x14ac:dyDescent="0.35">
      <c r="A1054" s="3">
        <f xml:space="preserve"> ROW( data_scaledImpacts[[#This Row],[row_id]] ) - ROW( data_scaledImpacts[[#Headers],[row_id]] )</f>
        <v>1053</v>
      </c>
      <c r="B1054" s="41" t="str">
        <f xml:space="preserve"> _xlfn.TEXTJOIN( "", , data_scaledImpacts[[#This Row],[sector]:[impactType]] )</f>
        <v>WinterRecGFDL-CM332090N/AAlpine</v>
      </c>
      <c r="C1054" s="33" t="s">
        <v>89</v>
      </c>
      <c r="D1054" s="33" t="s">
        <v>5</v>
      </c>
      <c r="E1054" s="34">
        <v>3</v>
      </c>
      <c r="F1054" s="34">
        <v>2090</v>
      </c>
      <c r="G1054" s="34" t="s">
        <v>201</v>
      </c>
      <c r="H1054" s="35" t="s">
        <v>90</v>
      </c>
      <c r="I1054" s="43" t="s">
        <v>161</v>
      </c>
      <c r="J1054" s="36">
        <v>2.2075368575784338</v>
      </c>
      <c r="K1054" s="36">
        <v>12.010466815782305</v>
      </c>
      <c r="L1054" s="37">
        <v>16.008499794871305</v>
      </c>
      <c r="M1054" s="36">
        <v>14.594343220962577</v>
      </c>
      <c r="N1054" s="36">
        <v>0.19703272306462782</v>
      </c>
      <c r="O1054" s="36"/>
      <c r="P1054">
        <v>9.0071060293197611</v>
      </c>
    </row>
    <row r="1055" spans="1:16" hidden="1" x14ac:dyDescent="0.35">
      <c r="A1055" s="3">
        <f xml:space="preserve"> ROW( data_scaledImpacts[[#This Row],[row_id]] ) - ROW( data_scaledImpacts[[#Headers],[row_id]] )</f>
        <v>1054</v>
      </c>
      <c r="B1055" s="41" t="str">
        <f xml:space="preserve"> _xlfn.TEXTJOIN( "", , data_scaledImpacts[[#This Row],[sector]:[impactType]] )</f>
        <v>WinterRecGCM Average32090N/AAlpine</v>
      </c>
      <c r="C1055" s="33" t="s">
        <v>89</v>
      </c>
      <c r="D1055" s="33" t="s">
        <v>15</v>
      </c>
      <c r="E1055" s="34">
        <v>3</v>
      </c>
      <c r="F1055" s="34">
        <v>2090</v>
      </c>
      <c r="G1055" s="34" t="s">
        <v>201</v>
      </c>
      <c r="H1055" s="35" t="s">
        <v>90</v>
      </c>
      <c r="I1055" s="43" t="s">
        <v>162</v>
      </c>
      <c r="J1055" s="36">
        <v>3.2176496083859951</v>
      </c>
      <c r="K1055" s="36">
        <v>12.445286937987499</v>
      </c>
      <c r="L1055" s="37">
        <v>14.969541124654222</v>
      </c>
      <c r="M1055" s="36">
        <v>14.451056491683838</v>
      </c>
      <c r="N1055" s="36">
        <v>0.2786089833874501</v>
      </c>
      <c r="O1055" s="36"/>
      <c r="P1055">
        <v>8.1204880780599158</v>
      </c>
    </row>
    <row r="1056" spans="1:16" hidden="1" x14ac:dyDescent="0.35">
      <c r="A1056" s="3">
        <f xml:space="preserve"> ROW( data_scaledImpacts[[#This Row],[row_id]] ) - ROW( data_scaledImpacts[[#Headers],[row_id]] )</f>
        <v>1055</v>
      </c>
      <c r="B1056" s="41" t="str">
        <f xml:space="preserve"> _xlfn.TEXTJOIN( "", , data_scaledImpacts[[#This Row],[sector]:[impactType]] )</f>
        <v>WinterRecCanESM242090N/AAlpine</v>
      </c>
      <c r="C1056" s="33" t="s">
        <v>89</v>
      </c>
      <c r="D1056" s="33" t="s">
        <v>0</v>
      </c>
      <c r="E1056" s="34">
        <v>4</v>
      </c>
      <c r="F1056" s="34">
        <v>2090</v>
      </c>
      <c r="G1056" s="34" t="s">
        <v>201</v>
      </c>
      <c r="H1056" s="35" t="s">
        <v>90</v>
      </c>
      <c r="I1056" s="43" t="s">
        <v>163</v>
      </c>
      <c r="J1056" s="36">
        <v>2.4795752515046416</v>
      </c>
      <c r="K1056" s="36">
        <v>12.914334543404159</v>
      </c>
      <c r="L1056" s="37">
        <v>19.642500788322845</v>
      </c>
      <c r="M1056" s="36">
        <v>23.478041620716169</v>
      </c>
      <c r="N1056" s="36">
        <v>0.20464949731257689</v>
      </c>
      <c r="O1056" s="36"/>
      <c r="P1056">
        <v>12.457495655746266</v>
      </c>
    </row>
    <row r="1057" spans="1:16" hidden="1" x14ac:dyDescent="0.35">
      <c r="A1057" s="3">
        <f xml:space="preserve"> ROW( data_scaledImpacts[[#This Row],[row_id]] ) - ROW( data_scaledImpacts[[#Headers],[row_id]] )</f>
        <v>1056</v>
      </c>
      <c r="B1057" s="41" t="str">
        <f xml:space="preserve"> _xlfn.TEXTJOIN( "", , data_scaledImpacts[[#This Row],[sector]:[impactType]] )</f>
        <v>WinterRecCCSM442090N/AAlpine</v>
      </c>
      <c r="C1057" s="33" t="s">
        <v>89</v>
      </c>
      <c r="D1057" s="33" t="s">
        <v>1</v>
      </c>
      <c r="E1057" s="34">
        <v>4</v>
      </c>
      <c r="F1057" s="34">
        <v>2090</v>
      </c>
      <c r="G1057" s="34" t="s">
        <v>201</v>
      </c>
      <c r="H1057" s="35" t="s">
        <v>90</v>
      </c>
      <c r="I1057" s="43" t="s">
        <v>164</v>
      </c>
      <c r="J1057" s="36">
        <v>5.3411667377130057</v>
      </c>
      <c r="K1057" s="36">
        <v>14.986448119926745</v>
      </c>
      <c r="L1057" s="37">
        <v>24.490350144766616</v>
      </c>
      <c r="M1057" s="36">
        <v>25.640884724056161</v>
      </c>
      <c r="N1057" s="36">
        <v>0.26387333779874683</v>
      </c>
      <c r="O1057" s="36"/>
      <c r="P1057">
        <v>13.687520078279437</v>
      </c>
    </row>
    <row r="1058" spans="1:16" hidden="1" x14ac:dyDescent="0.35">
      <c r="A1058" s="3">
        <f xml:space="preserve"> ROW( data_scaledImpacts[[#This Row],[row_id]] ) - ROW( data_scaledImpacts[[#Headers],[row_id]] )</f>
        <v>1057</v>
      </c>
      <c r="B1058" s="41" t="str">
        <f xml:space="preserve"> _xlfn.TEXTJOIN( "", , data_scaledImpacts[[#This Row],[sector]:[impactType]] )</f>
        <v>WinterRecGISS-E2-R42090N/AAlpine</v>
      </c>
      <c r="C1058" s="33" t="s">
        <v>89</v>
      </c>
      <c r="D1058" s="33" t="s">
        <v>2</v>
      </c>
      <c r="E1058" s="34">
        <v>4</v>
      </c>
      <c r="F1058" s="34">
        <v>2090</v>
      </c>
      <c r="G1058" s="34" t="s">
        <v>201</v>
      </c>
      <c r="H1058" s="35" t="s">
        <v>90</v>
      </c>
      <c r="I1058" s="43" t="s">
        <v>165</v>
      </c>
      <c r="J1058" s="36"/>
      <c r="K1058" s="36"/>
      <c r="L1058" s="37"/>
      <c r="M1058" s="36"/>
      <c r="N1058" s="36"/>
      <c r="O1058" s="36"/>
    </row>
    <row r="1059" spans="1:16" hidden="1" x14ac:dyDescent="0.35">
      <c r="A1059" s="3">
        <f xml:space="preserve"> ROW( data_scaledImpacts[[#This Row],[row_id]] ) - ROW( data_scaledImpacts[[#Headers],[row_id]] )</f>
        <v>1058</v>
      </c>
      <c r="B1059" s="41" t="str">
        <f xml:space="preserve"> _xlfn.TEXTJOIN( "", , data_scaledImpacts[[#This Row],[sector]:[impactType]] )</f>
        <v>WinterRecHadGEM2-ES42090N/AAlpine</v>
      </c>
      <c r="C1059" s="33" t="s">
        <v>89</v>
      </c>
      <c r="D1059" s="33" t="s">
        <v>3</v>
      </c>
      <c r="E1059" s="34">
        <v>4</v>
      </c>
      <c r="F1059" s="34">
        <v>2090</v>
      </c>
      <c r="G1059" s="34" t="s">
        <v>201</v>
      </c>
      <c r="H1059" s="35" t="s">
        <v>90</v>
      </c>
      <c r="I1059" s="43" t="s">
        <v>166</v>
      </c>
      <c r="J1059" s="36">
        <v>4.9516183056604604</v>
      </c>
      <c r="K1059" s="36">
        <v>15.5300316413985</v>
      </c>
      <c r="L1059" s="37">
        <v>20.254284476343411</v>
      </c>
      <c r="M1059" s="36">
        <v>25.409775407507656</v>
      </c>
      <c r="N1059" s="36">
        <v>0.36594723460845607</v>
      </c>
      <c r="O1059" s="36"/>
      <c r="P1059">
        <v>12.636645665725753</v>
      </c>
    </row>
    <row r="1060" spans="1:16" hidden="1" x14ac:dyDescent="0.35">
      <c r="A1060" s="3">
        <f xml:space="preserve"> ROW( data_scaledImpacts[[#This Row],[row_id]] ) - ROW( data_scaledImpacts[[#Headers],[row_id]] )</f>
        <v>1059</v>
      </c>
      <c r="B1060" s="41" t="str">
        <f xml:space="preserve"> _xlfn.TEXTJOIN( "", , data_scaledImpacts[[#This Row],[sector]:[impactType]] )</f>
        <v>WinterRecMIROC542090N/AAlpine</v>
      </c>
      <c r="C1060" s="33" t="s">
        <v>89</v>
      </c>
      <c r="D1060" s="33" t="s">
        <v>4</v>
      </c>
      <c r="E1060" s="34">
        <v>4</v>
      </c>
      <c r="F1060" s="34">
        <v>2090</v>
      </c>
      <c r="G1060" s="34" t="s">
        <v>201</v>
      </c>
      <c r="H1060" s="35" t="s">
        <v>90</v>
      </c>
      <c r="I1060" s="43" t="s">
        <v>167</v>
      </c>
      <c r="J1060" s="36">
        <v>5.129988882148246</v>
      </c>
      <c r="K1060" s="36">
        <v>17.697538670277741</v>
      </c>
      <c r="L1060" s="37">
        <v>21.349545111044137</v>
      </c>
      <c r="M1060" s="36">
        <v>16.99134157203757</v>
      </c>
      <c r="N1060" s="36">
        <v>0.4020242910770333</v>
      </c>
      <c r="O1060" s="36"/>
      <c r="P1060">
        <v>14.672634736677338</v>
      </c>
    </row>
    <row r="1061" spans="1:16" hidden="1" x14ac:dyDescent="0.35">
      <c r="A1061" s="3">
        <f xml:space="preserve"> ROW( data_scaledImpacts[[#This Row],[row_id]] ) - ROW( data_scaledImpacts[[#Headers],[row_id]] )</f>
        <v>1060</v>
      </c>
      <c r="B1061" s="41" t="str">
        <f xml:space="preserve"> _xlfn.TEXTJOIN( "", , data_scaledImpacts[[#This Row],[sector]:[impactType]] )</f>
        <v>WinterRecGFDL-CM342090N/AAlpine</v>
      </c>
      <c r="C1061" s="33" t="s">
        <v>89</v>
      </c>
      <c r="D1061" s="33" t="s">
        <v>5</v>
      </c>
      <c r="E1061" s="34">
        <v>4</v>
      </c>
      <c r="F1061" s="34">
        <v>2090</v>
      </c>
      <c r="G1061" s="34" t="s">
        <v>201</v>
      </c>
      <c r="H1061" s="35" t="s">
        <v>90</v>
      </c>
      <c r="I1061" s="43" t="s">
        <v>168</v>
      </c>
      <c r="J1061" s="36">
        <v>3.6755363775508312</v>
      </c>
      <c r="K1061" s="36">
        <v>15.443748509417347</v>
      </c>
      <c r="L1061" s="37">
        <v>15.247918953312601</v>
      </c>
      <c r="M1061" s="36">
        <v>18.579450157558416</v>
      </c>
      <c r="N1061" s="36">
        <v>0.33976742371989099</v>
      </c>
      <c r="O1061" s="36"/>
      <c r="P1061">
        <v>11.495170007013657</v>
      </c>
    </row>
    <row r="1062" spans="1:16" hidden="1" x14ac:dyDescent="0.35">
      <c r="A1062" s="3">
        <f xml:space="preserve"> ROW( data_scaledImpacts[[#This Row],[row_id]] ) - ROW( data_scaledImpacts[[#Headers],[row_id]] )</f>
        <v>1061</v>
      </c>
      <c r="B1062" s="41" t="str">
        <f xml:space="preserve"> _xlfn.TEXTJOIN( "", , data_scaledImpacts[[#This Row],[sector]:[impactType]] )</f>
        <v>WinterRecGCM Average42090N/AAlpine</v>
      </c>
      <c r="C1062" s="33" t="s">
        <v>89</v>
      </c>
      <c r="D1062" s="33" t="s">
        <v>15</v>
      </c>
      <c r="E1062" s="34">
        <v>4</v>
      </c>
      <c r="F1062" s="34">
        <v>2090</v>
      </c>
      <c r="G1062" s="34" t="s">
        <v>201</v>
      </c>
      <c r="H1062" s="35" t="s">
        <v>90</v>
      </c>
      <c r="I1062" s="43" t="s">
        <v>169</v>
      </c>
      <c r="J1062" s="36">
        <v>4.3155771109154371</v>
      </c>
      <c r="K1062" s="36">
        <v>15.314420296884899</v>
      </c>
      <c r="L1062" s="37">
        <v>20.196919894757922</v>
      </c>
      <c r="M1062" s="36">
        <v>22.019898696375193</v>
      </c>
      <c r="N1062" s="36">
        <v>0.31525235690334086</v>
      </c>
      <c r="O1062" s="36"/>
      <c r="P1062">
        <v>12.989893228688491</v>
      </c>
    </row>
    <row r="1063" spans="1:16" hidden="1" x14ac:dyDescent="0.35">
      <c r="A1063" s="3">
        <f xml:space="preserve"> ROW( data_scaledImpacts[[#This Row],[row_id]] ) - ROW( data_scaledImpacts[[#Headers],[row_id]] )</f>
        <v>1062</v>
      </c>
      <c r="B1063" s="41" t="str">
        <f xml:space="preserve"> _xlfn.TEXTJOIN( "", , data_scaledImpacts[[#This Row],[sector]:[impactType]] )</f>
        <v>WinterRecCanESM252090N/AAlpine</v>
      </c>
      <c r="C1063" s="33" t="s">
        <v>89</v>
      </c>
      <c r="D1063" s="33" t="s">
        <v>0</v>
      </c>
      <c r="E1063" s="34">
        <v>5</v>
      </c>
      <c r="F1063" s="34">
        <v>2090</v>
      </c>
      <c r="G1063" s="34" t="s">
        <v>201</v>
      </c>
      <c r="H1063" s="35" t="s">
        <v>90</v>
      </c>
      <c r="I1063" s="43" t="s">
        <v>170</v>
      </c>
      <c r="J1063" s="36">
        <v>5.131384049129923</v>
      </c>
      <c r="K1063" s="36">
        <v>16.874080984052807</v>
      </c>
      <c r="L1063" s="37">
        <v>28.792230959283941</v>
      </c>
      <c r="M1063" s="36">
        <v>27.961844727785149</v>
      </c>
      <c r="N1063" s="36">
        <v>0.41103215283752931</v>
      </c>
      <c r="O1063" s="36"/>
      <c r="P1063">
        <v>18.750381076098201</v>
      </c>
    </row>
    <row r="1064" spans="1:16" hidden="1" x14ac:dyDescent="0.35">
      <c r="A1064" s="3">
        <f xml:space="preserve"> ROW( data_scaledImpacts[[#This Row],[row_id]] ) - ROW( data_scaledImpacts[[#Headers],[row_id]] )</f>
        <v>1063</v>
      </c>
      <c r="B1064" s="41" t="str">
        <f xml:space="preserve"> _xlfn.TEXTJOIN( "", , data_scaledImpacts[[#This Row],[sector]:[impactType]] )</f>
        <v>WinterRecCCSM452090N/AAlpine</v>
      </c>
      <c r="C1064" s="33" t="s">
        <v>89</v>
      </c>
      <c r="D1064" s="33" t="s">
        <v>1</v>
      </c>
      <c r="E1064" s="34">
        <v>5</v>
      </c>
      <c r="F1064" s="34">
        <v>2090</v>
      </c>
      <c r="G1064" s="34" t="s">
        <v>201</v>
      </c>
      <c r="H1064" s="35" t="s">
        <v>90</v>
      </c>
      <c r="I1064" s="43" t="s">
        <v>171</v>
      </c>
      <c r="J1064" s="36">
        <v>5.5103306185488332</v>
      </c>
      <c r="K1064" s="36">
        <v>16.5725681247384</v>
      </c>
      <c r="L1064" s="37">
        <v>30.630824286482504</v>
      </c>
      <c r="M1064" s="36">
        <v>28.962959713521936</v>
      </c>
      <c r="N1064" s="36">
        <v>0.37926518718598951</v>
      </c>
      <c r="O1064" s="36"/>
      <c r="P1064">
        <v>19.416110646862467</v>
      </c>
    </row>
    <row r="1065" spans="1:16" hidden="1" x14ac:dyDescent="0.35">
      <c r="A1065" s="3">
        <f xml:space="preserve"> ROW( data_scaledImpacts[[#This Row],[row_id]] ) - ROW( data_scaledImpacts[[#Headers],[row_id]] )</f>
        <v>1064</v>
      </c>
      <c r="B1065" s="41" t="str">
        <f xml:space="preserve"> _xlfn.TEXTJOIN( "", , data_scaledImpacts[[#This Row],[sector]:[impactType]] )</f>
        <v>WinterRecGISS-E2-R52090N/AAlpine</v>
      </c>
      <c r="C1065" s="33" t="s">
        <v>89</v>
      </c>
      <c r="D1065" s="33" t="s">
        <v>2</v>
      </c>
      <c r="E1065" s="34">
        <v>5</v>
      </c>
      <c r="F1065" s="34">
        <v>2090</v>
      </c>
      <c r="G1065" s="34" t="s">
        <v>201</v>
      </c>
      <c r="H1065" s="35" t="s">
        <v>90</v>
      </c>
      <c r="I1065" s="43" t="s">
        <v>172</v>
      </c>
      <c r="J1065" s="36"/>
      <c r="K1065" s="36"/>
      <c r="L1065" s="37"/>
      <c r="M1065" s="36"/>
      <c r="N1065" s="36"/>
      <c r="O1065" s="36"/>
    </row>
    <row r="1066" spans="1:16" hidden="1" x14ac:dyDescent="0.35">
      <c r="A1066" s="3">
        <f xml:space="preserve"> ROW( data_scaledImpacts[[#This Row],[row_id]] ) - ROW( data_scaledImpacts[[#Headers],[row_id]] )</f>
        <v>1065</v>
      </c>
      <c r="B1066" s="41" t="str">
        <f xml:space="preserve"> _xlfn.TEXTJOIN( "", , data_scaledImpacts[[#This Row],[sector]:[impactType]] )</f>
        <v>WinterRecHadGEM2-ES52090N/AAlpine</v>
      </c>
      <c r="C1066" s="33" t="s">
        <v>89</v>
      </c>
      <c r="D1066" s="33" t="s">
        <v>3</v>
      </c>
      <c r="E1066" s="34">
        <v>5</v>
      </c>
      <c r="F1066" s="34">
        <v>2090</v>
      </c>
      <c r="G1066" s="34" t="s">
        <v>201</v>
      </c>
      <c r="H1066" s="35" t="s">
        <v>90</v>
      </c>
      <c r="I1066" s="43" t="s">
        <v>173</v>
      </c>
      <c r="J1066" s="36">
        <v>5.456570659441323</v>
      </c>
      <c r="K1066" s="36">
        <v>17.477663611610296</v>
      </c>
      <c r="L1066" s="37">
        <v>26.60219866072244</v>
      </c>
      <c r="M1066" s="36">
        <v>31.08495591828154</v>
      </c>
      <c r="N1066" s="36">
        <v>0.38202455749746855</v>
      </c>
      <c r="O1066" s="36"/>
      <c r="P1066">
        <v>18.057885018249163</v>
      </c>
    </row>
    <row r="1067" spans="1:16" hidden="1" x14ac:dyDescent="0.35">
      <c r="A1067" s="3">
        <f xml:space="preserve"> ROW( data_scaledImpacts[[#This Row],[row_id]] ) - ROW( data_scaledImpacts[[#Headers],[row_id]] )</f>
        <v>1066</v>
      </c>
      <c r="B1067" s="41" t="str">
        <f xml:space="preserve"> _xlfn.TEXTJOIN( "", , data_scaledImpacts[[#This Row],[sector]:[impactType]] )</f>
        <v>WinterRecMIROC552090N/AAlpine</v>
      </c>
      <c r="C1067" s="33" t="s">
        <v>89</v>
      </c>
      <c r="D1067" s="33" t="s">
        <v>4</v>
      </c>
      <c r="E1067" s="34">
        <v>5</v>
      </c>
      <c r="F1067" s="34">
        <v>2090</v>
      </c>
      <c r="G1067" s="34" t="s">
        <v>201</v>
      </c>
      <c r="H1067" s="35" t="s">
        <v>90</v>
      </c>
      <c r="I1067" s="43" t="s">
        <v>174</v>
      </c>
      <c r="J1067" s="36">
        <v>5.688786519701539</v>
      </c>
      <c r="K1067" s="36">
        <v>18.554895231942712</v>
      </c>
      <c r="L1067" s="37">
        <v>30.938165982645977</v>
      </c>
      <c r="M1067" s="36">
        <v>23.334505211935063</v>
      </c>
      <c r="N1067" s="36">
        <v>0.424623761974811</v>
      </c>
      <c r="O1067" s="36"/>
      <c r="P1067">
        <v>20.260270921165446</v>
      </c>
    </row>
    <row r="1068" spans="1:16" hidden="1" x14ac:dyDescent="0.35">
      <c r="A1068" s="3">
        <f xml:space="preserve"> ROW( data_scaledImpacts[[#This Row],[row_id]] ) - ROW( data_scaledImpacts[[#Headers],[row_id]] )</f>
        <v>1067</v>
      </c>
      <c r="B1068" s="41" t="str">
        <f xml:space="preserve"> _xlfn.TEXTJOIN( "", , data_scaledImpacts[[#This Row],[sector]:[impactType]] )</f>
        <v>WinterRecGFDL-CM352090N/AAlpine</v>
      </c>
      <c r="C1068" s="33" t="s">
        <v>89</v>
      </c>
      <c r="D1068" s="33" t="s">
        <v>5</v>
      </c>
      <c r="E1068" s="34">
        <v>5</v>
      </c>
      <c r="F1068" s="34">
        <v>2090</v>
      </c>
      <c r="G1068" s="34" t="s">
        <v>201</v>
      </c>
      <c r="H1068" s="35" t="s">
        <v>90</v>
      </c>
      <c r="I1068" s="43" t="s">
        <v>175</v>
      </c>
      <c r="J1068" s="36">
        <v>4.6115879110763967</v>
      </c>
      <c r="K1068" s="36">
        <v>17.393715721546489</v>
      </c>
      <c r="L1068" s="37">
        <v>20.91991159322675</v>
      </c>
      <c r="M1068" s="36">
        <v>21.52256286445715</v>
      </c>
      <c r="N1068" s="36">
        <v>0.39062193441824689</v>
      </c>
      <c r="O1068" s="36"/>
      <c r="P1068">
        <v>15.499457467140436</v>
      </c>
    </row>
    <row r="1069" spans="1:16" hidden="1" x14ac:dyDescent="0.35">
      <c r="A1069" s="3">
        <f xml:space="preserve"> ROW( data_scaledImpacts[[#This Row],[row_id]] ) - ROW( data_scaledImpacts[[#Headers],[row_id]] )</f>
        <v>1068</v>
      </c>
      <c r="B1069" s="41" t="str">
        <f xml:space="preserve"> _xlfn.TEXTJOIN( "", , data_scaledImpacts[[#This Row],[sector]:[impactType]] )</f>
        <v>WinterRecGCM Average52090N/AAlpine</v>
      </c>
      <c r="C1069" s="33" t="s">
        <v>89</v>
      </c>
      <c r="D1069" s="33" t="s">
        <v>15</v>
      </c>
      <c r="E1069" s="34">
        <v>5</v>
      </c>
      <c r="F1069" s="34">
        <v>2090</v>
      </c>
      <c r="G1069" s="34" t="s">
        <v>201</v>
      </c>
      <c r="H1069" s="35" t="s">
        <v>90</v>
      </c>
      <c r="I1069" s="43" t="s">
        <v>176</v>
      </c>
      <c r="J1069" s="36">
        <v>5.2797319515796035</v>
      </c>
      <c r="K1069" s="36">
        <v>17.374584734778139</v>
      </c>
      <c r="L1069" s="37">
        <v>27.576666296472318</v>
      </c>
      <c r="M1069" s="36">
        <v>26.573365687196166</v>
      </c>
      <c r="N1069" s="36">
        <v>0.39751351878280905</v>
      </c>
      <c r="O1069" s="36"/>
      <c r="P1069">
        <v>18.396821025903144</v>
      </c>
    </row>
    <row r="1070" spans="1:16" hidden="1" x14ac:dyDescent="0.35">
      <c r="A1070" s="3">
        <f xml:space="preserve"> ROW( data_scaledImpacts[[#This Row],[row_id]] ) - ROW( data_scaledImpacts[[#Headers],[row_id]] )</f>
        <v>1069</v>
      </c>
      <c r="B1070" s="41" t="str">
        <f xml:space="preserve"> _xlfn.TEXTJOIN( "", , data_scaledImpacts[[#This Row],[sector]:[impactType]] )</f>
        <v>WinterRecCanESM262090N/AAlpine</v>
      </c>
      <c r="C1070" s="33" t="s">
        <v>89</v>
      </c>
      <c r="D1070" s="33" t="s">
        <v>0</v>
      </c>
      <c r="E1070" s="34">
        <v>6</v>
      </c>
      <c r="F1070" s="34">
        <v>2090</v>
      </c>
      <c r="G1070" s="34" t="s">
        <v>201</v>
      </c>
      <c r="H1070" s="35" t="s">
        <v>90</v>
      </c>
      <c r="I1070" s="43" t="s">
        <v>177</v>
      </c>
      <c r="J1070" s="36">
        <v>5.1793358429181557</v>
      </c>
      <c r="K1070" s="36">
        <v>18.031690960383592</v>
      </c>
      <c r="L1070" s="37">
        <v>31.905703912835008</v>
      </c>
      <c r="M1070" s="36">
        <v>30.289080427578082</v>
      </c>
      <c r="N1070" s="36">
        <v>0.36124946366506094</v>
      </c>
      <c r="O1070" s="36"/>
      <c r="P1070">
        <v>22.689863350722195</v>
      </c>
    </row>
    <row r="1071" spans="1:16" hidden="1" x14ac:dyDescent="0.35">
      <c r="A1071" s="3">
        <f xml:space="preserve"> ROW( data_scaledImpacts[[#This Row],[row_id]] ) - ROW( data_scaledImpacts[[#Headers],[row_id]] )</f>
        <v>1070</v>
      </c>
      <c r="B1071" s="41" t="str">
        <f xml:space="preserve"> _xlfn.TEXTJOIN( "", , data_scaledImpacts[[#This Row],[sector]:[impactType]] )</f>
        <v>WinterRecCCSM462090N/AAlpine</v>
      </c>
      <c r="C1071" s="33" t="s">
        <v>89</v>
      </c>
      <c r="D1071" s="33" t="s">
        <v>1</v>
      </c>
      <c r="E1071" s="34">
        <v>6</v>
      </c>
      <c r="F1071" s="34">
        <v>2090</v>
      </c>
      <c r="G1071" s="34" t="s">
        <v>201</v>
      </c>
      <c r="H1071" s="35" t="s">
        <v>90</v>
      </c>
      <c r="I1071" s="43" t="s">
        <v>178</v>
      </c>
      <c r="J1071" s="36"/>
      <c r="K1071" s="36"/>
      <c r="L1071" s="37"/>
      <c r="M1071" s="36"/>
      <c r="N1071" s="36"/>
      <c r="O1071" s="36"/>
    </row>
    <row r="1072" spans="1:16" hidden="1" x14ac:dyDescent="0.35">
      <c r="A1072" s="3">
        <f xml:space="preserve"> ROW( data_scaledImpacts[[#This Row],[row_id]] ) - ROW( data_scaledImpacts[[#Headers],[row_id]] )</f>
        <v>1071</v>
      </c>
      <c r="B1072" s="41" t="str">
        <f xml:space="preserve"> _xlfn.TEXTJOIN( "", , data_scaledImpacts[[#This Row],[sector]:[impactType]] )</f>
        <v>WinterRecGISS-E2-R62090N/AAlpine</v>
      </c>
      <c r="C1072" s="33" t="s">
        <v>89</v>
      </c>
      <c r="D1072" s="33" t="s">
        <v>2</v>
      </c>
      <c r="E1072" s="34">
        <v>6</v>
      </c>
      <c r="F1072" s="34">
        <v>2090</v>
      </c>
      <c r="G1072" s="34" t="s">
        <v>201</v>
      </c>
      <c r="H1072" s="35" t="s">
        <v>90</v>
      </c>
      <c r="I1072" s="43" t="s">
        <v>179</v>
      </c>
      <c r="J1072" s="36"/>
      <c r="K1072" s="36"/>
      <c r="L1072" s="37"/>
      <c r="M1072" s="36"/>
      <c r="N1072" s="36"/>
      <c r="O1072" s="36"/>
    </row>
    <row r="1073" spans="1:16" hidden="1" x14ac:dyDescent="0.35">
      <c r="A1073" s="3">
        <f xml:space="preserve"> ROW( data_scaledImpacts[[#This Row],[row_id]] ) - ROW( data_scaledImpacts[[#Headers],[row_id]] )</f>
        <v>1072</v>
      </c>
      <c r="B1073" s="41" t="str">
        <f xml:space="preserve"> _xlfn.TEXTJOIN( "", , data_scaledImpacts[[#This Row],[sector]:[impactType]] )</f>
        <v>WinterRecHadGEM2-ES62090N/AAlpine</v>
      </c>
      <c r="C1073" s="33" t="s">
        <v>89</v>
      </c>
      <c r="D1073" s="33" t="s">
        <v>3</v>
      </c>
      <c r="E1073" s="34">
        <v>6</v>
      </c>
      <c r="F1073" s="34">
        <v>2090</v>
      </c>
      <c r="G1073" s="34" t="s">
        <v>201</v>
      </c>
      <c r="H1073" s="35" t="s">
        <v>90</v>
      </c>
      <c r="I1073" s="43" t="s">
        <v>180</v>
      </c>
      <c r="J1073" s="36">
        <v>5.8026147467047409</v>
      </c>
      <c r="K1073" s="36">
        <v>18.566158473043785</v>
      </c>
      <c r="L1073" s="37">
        <v>31.603409444106152</v>
      </c>
      <c r="M1073" s="36">
        <v>30.963577375533003</v>
      </c>
      <c r="N1073" s="36">
        <v>0.43876268423178005</v>
      </c>
      <c r="O1073" s="36"/>
      <c r="P1073">
        <v>17.309361956223206</v>
      </c>
    </row>
    <row r="1074" spans="1:16" hidden="1" x14ac:dyDescent="0.35">
      <c r="A1074" s="3">
        <f xml:space="preserve"> ROW( data_scaledImpacts[[#This Row],[row_id]] ) - ROW( data_scaledImpacts[[#Headers],[row_id]] )</f>
        <v>1073</v>
      </c>
      <c r="B1074" s="41" t="str">
        <f xml:space="preserve"> _xlfn.TEXTJOIN( "", , data_scaledImpacts[[#This Row],[sector]:[impactType]] )</f>
        <v>WinterRecMIROC562090N/AAlpine</v>
      </c>
      <c r="C1074" s="33" t="s">
        <v>89</v>
      </c>
      <c r="D1074" s="33" t="s">
        <v>4</v>
      </c>
      <c r="E1074" s="34">
        <v>6</v>
      </c>
      <c r="F1074" s="34">
        <v>2090</v>
      </c>
      <c r="G1074" s="34" t="s">
        <v>201</v>
      </c>
      <c r="H1074" s="35" t="s">
        <v>90</v>
      </c>
      <c r="I1074" s="43" t="s">
        <v>181</v>
      </c>
      <c r="J1074" s="36"/>
      <c r="K1074" s="36"/>
      <c r="L1074" s="37"/>
      <c r="M1074" s="36"/>
      <c r="N1074" s="36"/>
      <c r="O1074" s="36"/>
    </row>
    <row r="1075" spans="1:16" hidden="1" x14ac:dyDescent="0.35">
      <c r="A1075" s="3">
        <f xml:space="preserve"> ROW( data_scaledImpacts[[#This Row],[row_id]] ) - ROW( data_scaledImpacts[[#Headers],[row_id]] )</f>
        <v>1074</v>
      </c>
      <c r="B1075" s="41" t="str">
        <f xml:space="preserve"> _xlfn.TEXTJOIN( "", , data_scaledImpacts[[#This Row],[sector]:[impactType]] )</f>
        <v>WinterRecGFDL-CM362090N/AAlpine</v>
      </c>
      <c r="C1075" s="33" t="s">
        <v>89</v>
      </c>
      <c r="D1075" s="33" t="s">
        <v>5</v>
      </c>
      <c r="E1075" s="34">
        <v>6</v>
      </c>
      <c r="F1075" s="34">
        <v>2090</v>
      </c>
      <c r="G1075" s="34" t="s">
        <v>201</v>
      </c>
      <c r="H1075" s="35" t="s">
        <v>90</v>
      </c>
      <c r="I1075" s="43" t="s">
        <v>182</v>
      </c>
      <c r="J1075" s="36">
        <v>5.4231600027188689</v>
      </c>
      <c r="K1075" s="36">
        <v>18.189872300754416</v>
      </c>
      <c r="L1075" s="37">
        <v>28.190453923019941</v>
      </c>
      <c r="M1075" s="36">
        <v>23.98472735732572</v>
      </c>
      <c r="N1075" s="36">
        <v>0.40118051668430116</v>
      </c>
      <c r="O1075" s="36"/>
      <c r="P1075">
        <v>21.529339096800321</v>
      </c>
    </row>
    <row r="1076" spans="1:16" hidden="1" x14ac:dyDescent="0.35">
      <c r="A1076" s="3">
        <f xml:space="preserve"> ROW( data_scaledImpacts[[#This Row],[row_id]] ) - ROW( data_scaledImpacts[[#Headers],[row_id]] )</f>
        <v>1075</v>
      </c>
      <c r="B1076" s="41" t="str">
        <f xml:space="preserve"> _xlfn.TEXTJOIN( "", , data_scaledImpacts[[#This Row],[sector]:[impactType]] )</f>
        <v>WinterRecGCM Average62090N/AAlpine</v>
      </c>
      <c r="C1076" s="33" t="s">
        <v>89</v>
      </c>
      <c r="D1076" s="33" t="s">
        <v>15</v>
      </c>
      <c r="E1076" s="34">
        <v>6</v>
      </c>
      <c r="F1076" s="34">
        <v>2090</v>
      </c>
      <c r="G1076" s="34" t="s">
        <v>201</v>
      </c>
      <c r="H1076" s="35" t="s">
        <v>90</v>
      </c>
      <c r="I1076" s="43" t="s">
        <v>183</v>
      </c>
      <c r="J1076" s="36">
        <v>5.4683701974472561</v>
      </c>
      <c r="K1076" s="36">
        <v>18.262573911393932</v>
      </c>
      <c r="L1076" s="37">
        <v>30.566522426653702</v>
      </c>
      <c r="M1076" s="36">
        <v>28.4124617201456</v>
      </c>
      <c r="N1076" s="36">
        <v>0.4003975548603807</v>
      </c>
      <c r="O1076" s="36"/>
      <c r="P1076">
        <v>20.509521467915242</v>
      </c>
    </row>
    <row r="1077" spans="1:16" hidden="1" x14ac:dyDescent="0.35">
      <c r="A1077" s="3">
        <f xml:space="preserve"> ROW( data_scaledImpacts[[#This Row],[row_id]] ) - ROW( data_scaledImpacts[[#Headers],[row_id]] )</f>
        <v>1076</v>
      </c>
      <c r="B1077" s="41" t="str">
        <f xml:space="preserve"> _xlfn.TEXTJOIN( "", , data_scaledImpacts[[#This Row],[sector]:[impactType]] )</f>
        <v>WinterRecCanESM272090N/AAlpine</v>
      </c>
      <c r="C1077" s="33" t="s">
        <v>89</v>
      </c>
      <c r="D1077" s="33" t="s">
        <v>0</v>
      </c>
      <c r="E1077" s="34">
        <v>7</v>
      </c>
      <c r="F1077" s="34">
        <v>2090</v>
      </c>
      <c r="G1077" s="34" t="s">
        <v>201</v>
      </c>
      <c r="H1077" s="35" t="s">
        <v>90</v>
      </c>
      <c r="I1077" s="43" t="s">
        <v>184</v>
      </c>
      <c r="J1077" s="36"/>
      <c r="K1077" s="36"/>
      <c r="L1077" s="37"/>
      <c r="M1077" s="36"/>
      <c r="N1077" s="36"/>
      <c r="O1077" s="36"/>
    </row>
    <row r="1078" spans="1:16" hidden="1" x14ac:dyDescent="0.35">
      <c r="A1078" s="3">
        <f xml:space="preserve"> ROW( data_scaledImpacts[[#This Row],[row_id]] ) - ROW( data_scaledImpacts[[#Headers],[row_id]] )</f>
        <v>1077</v>
      </c>
      <c r="B1078" s="41" t="str">
        <f xml:space="preserve"> _xlfn.TEXTJOIN( "", , data_scaledImpacts[[#This Row],[sector]:[impactType]] )</f>
        <v>WinterRecCCSM472090N/AAlpine</v>
      </c>
      <c r="C1078" s="33" t="s">
        <v>89</v>
      </c>
      <c r="D1078" s="33" t="s">
        <v>1</v>
      </c>
      <c r="E1078" s="34">
        <v>7</v>
      </c>
      <c r="F1078" s="34">
        <v>2090</v>
      </c>
      <c r="G1078" s="34" t="s">
        <v>201</v>
      </c>
      <c r="H1078" s="35" t="s">
        <v>90</v>
      </c>
      <c r="I1078" s="43" t="s">
        <v>185</v>
      </c>
      <c r="J1078" s="36"/>
      <c r="K1078" s="36"/>
      <c r="L1078" s="37"/>
      <c r="M1078" s="36"/>
      <c r="N1078" s="36"/>
      <c r="O1078" s="36"/>
    </row>
    <row r="1079" spans="1:16" hidden="1" x14ac:dyDescent="0.35">
      <c r="A1079" s="3">
        <f xml:space="preserve"> ROW( data_scaledImpacts[[#This Row],[row_id]] ) - ROW( data_scaledImpacts[[#Headers],[row_id]] )</f>
        <v>1078</v>
      </c>
      <c r="B1079" s="41" t="str">
        <f xml:space="preserve"> _xlfn.TEXTJOIN( "", , data_scaledImpacts[[#This Row],[sector]:[impactType]] )</f>
        <v>WinterRecGISS-E2-R72090N/AAlpine</v>
      </c>
      <c r="C1079" s="33" t="s">
        <v>89</v>
      </c>
      <c r="D1079" s="33" t="s">
        <v>2</v>
      </c>
      <c r="E1079" s="34">
        <v>7</v>
      </c>
      <c r="F1079" s="34">
        <v>2090</v>
      </c>
      <c r="G1079" s="34" t="s">
        <v>201</v>
      </c>
      <c r="H1079" s="35" t="s">
        <v>90</v>
      </c>
      <c r="I1079" s="43" t="s">
        <v>186</v>
      </c>
      <c r="J1079" s="36"/>
      <c r="K1079" s="36"/>
      <c r="L1079" s="37"/>
      <c r="M1079" s="36"/>
      <c r="N1079" s="36"/>
      <c r="O1079" s="36"/>
    </row>
    <row r="1080" spans="1:16" hidden="1" x14ac:dyDescent="0.35">
      <c r="A1080" s="3">
        <f xml:space="preserve"> ROW( data_scaledImpacts[[#This Row],[row_id]] ) - ROW( data_scaledImpacts[[#Headers],[row_id]] )</f>
        <v>1079</v>
      </c>
      <c r="B1080" s="41" t="str">
        <f xml:space="preserve"> _xlfn.TEXTJOIN( "", , data_scaledImpacts[[#This Row],[sector]:[impactType]] )</f>
        <v>WinterRecHadGEM2-ES72090N/AAlpine</v>
      </c>
      <c r="C1080" s="33" t="s">
        <v>89</v>
      </c>
      <c r="D1080" s="33" t="s">
        <v>3</v>
      </c>
      <c r="E1080" s="34">
        <v>7</v>
      </c>
      <c r="F1080" s="34">
        <v>2090</v>
      </c>
      <c r="G1080" s="34" t="s">
        <v>201</v>
      </c>
      <c r="H1080" s="35" t="s">
        <v>90</v>
      </c>
      <c r="I1080" s="43" t="s">
        <v>187</v>
      </c>
      <c r="J1080" s="36"/>
      <c r="K1080" s="36"/>
      <c r="L1080" s="37"/>
      <c r="M1080" s="36"/>
      <c r="N1080" s="36"/>
      <c r="O1080" s="36"/>
    </row>
    <row r="1081" spans="1:16" hidden="1" x14ac:dyDescent="0.35">
      <c r="A1081" s="3">
        <f xml:space="preserve"> ROW( data_scaledImpacts[[#This Row],[row_id]] ) - ROW( data_scaledImpacts[[#Headers],[row_id]] )</f>
        <v>1080</v>
      </c>
      <c r="B1081" s="41" t="str">
        <f xml:space="preserve"> _xlfn.TEXTJOIN( "", , data_scaledImpacts[[#This Row],[sector]:[impactType]] )</f>
        <v>WinterRecMIROC572090N/AAlpine</v>
      </c>
      <c r="C1081" s="33" t="s">
        <v>89</v>
      </c>
      <c r="D1081" s="33" t="s">
        <v>4</v>
      </c>
      <c r="E1081" s="34">
        <v>7</v>
      </c>
      <c r="F1081" s="34">
        <v>2090</v>
      </c>
      <c r="G1081" s="34" t="s">
        <v>201</v>
      </c>
      <c r="H1081" s="35" t="s">
        <v>90</v>
      </c>
      <c r="I1081" s="43" t="s">
        <v>188</v>
      </c>
      <c r="J1081" s="36"/>
      <c r="K1081" s="36"/>
      <c r="L1081" s="37"/>
      <c r="M1081" s="36"/>
      <c r="N1081" s="36"/>
      <c r="O1081" s="36"/>
    </row>
    <row r="1082" spans="1:16" hidden="1" x14ac:dyDescent="0.35">
      <c r="A1082" s="3">
        <f xml:space="preserve"> ROW( data_scaledImpacts[[#This Row],[row_id]] ) - ROW( data_scaledImpacts[[#Headers],[row_id]] )</f>
        <v>1081</v>
      </c>
      <c r="B1082" s="41" t="str">
        <f xml:space="preserve"> _xlfn.TEXTJOIN( "", , data_scaledImpacts[[#This Row],[sector]:[impactType]] )</f>
        <v>WinterRecGFDL-CM372090N/AAlpine</v>
      </c>
      <c r="C1082" s="33" t="s">
        <v>89</v>
      </c>
      <c r="D1082" s="33" t="s">
        <v>5</v>
      </c>
      <c r="E1082" s="34">
        <v>7</v>
      </c>
      <c r="F1082" s="34">
        <v>2090</v>
      </c>
      <c r="G1082" s="34" t="s">
        <v>201</v>
      </c>
      <c r="H1082" s="35" t="s">
        <v>90</v>
      </c>
      <c r="I1082" s="43" t="s">
        <v>189</v>
      </c>
      <c r="J1082" s="36"/>
      <c r="K1082" s="36"/>
      <c r="L1082" s="37"/>
      <c r="M1082" s="36"/>
      <c r="N1082" s="36"/>
      <c r="O1082" s="36"/>
    </row>
    <row r="1083" spans="1:16" hidden="1" x14ac:dyDescent="0.35">
      <c r="A1083" s="3">
        <f xml:space="preserve"> ROW( data_scaledImpacts[[#This Row],[row_id]] ) - ROW( data_scaledImpacts[[#Headers],[row_id]] )</f>
        <v>1082</v>
      </c>
      <c r="B1083" s="41" t="str">
        <f xml:space="preserve"> _xlfn.TEXTJOIN( "", , data_scaledImpacts[[#This Row],[sector]:[impactType]] )</f>
        <v>WinterRecGCM Average72090N/AAlpine</v>
      </c>
      <c r="C1083" s="33" t="s">
        <v>89</v>
      </c>
      <c r="D1083" s="33" t="s">
        <v>15</v>
      </c>
      <c r="E1083" s="34">
        <v>7</v>
      </c>
      <c r="F1083" s="34">
        <v>2090</v>
      </c>
      <c r="G1083" s="34" t="s">
        <v>201</v>
      </c>
      <c r="H1083" s="35" t="s">
        <v>90</v>
      </c>
      <c r="I1083" s="43" t="s">
        <v>190</v>
      </c>
      <c r="J1083" s="36" t="s">
        <v>26</v>
      </c>
      <c r="K1083" s="36" t="s">
        <v>26</v>
      </c>
      <c r="L1083" s="37" t="s">
        <v>26</v>
      </c>
      <c r="M1083" s="36" t="s">
        <v>26</v>
      </c>
      <c r="N1083" s="36" t="s">
        <v>26</v>
      </c>
      <c r="O1083" s="36"/>
      <c r="P1083" t="s">
        <v>26</v>
      </c>
    </row>
    <row r="1084" spans="1:16" hidden="1" x14ac:dyDescent="0.35">
      <c r="A1084" s="3">
        <f xml:space="preserve"> ROW( data_scaledImpacts[[#This Row],[row_id]] ) - ROW( data_scaledImpacts[[#Headers],[row_id]] )</f>
        <v>1083</v>
      </c>
      <c r="B1084" s="41" t="str">
        <f xml:space="preserve"> _xlfn.TEXTJOIN( "", , data_scaledImpacts[[#This Row],[sector]:[impactType]] )</f>
        <v>WinterRecCanESM212010N/AXC</v>
      </c>
      <c r="C1084" s="33" t="s">
        <v>89</v>
      </c>
      <c r="D1084" s="33" t="s">
        <v>0</v>
      </c>
      <c r="E1084" s="34">
        <v>1</v>
      </c>
      <c r="F1084" s="34">
        <v>2010</v>
      </c>
      <c r="G1084" s="34" t="s">
        <v>201</v>
      </c>
      <c r="H1084" s="35" t="s">
        <v>91</v>
      </c>
      <c r="I1084" s="43" t="s">
        <v>93</v>
      </c>
      <c r="J1084" s="36">
        <v>-2.9878508774801361E-3</v>
      </c>
      <c r="K1084" s="36">
        <v>1.7465515605919489E-2</v>
      </c>
      <c r="L1084" s="37">
        <v>2.548338869961431E-2</v>
      </c>
      <c r="M1084" s="36">
        <v>1.4999576232847107E-2</v>
      </c>
      <c r="N1084" s="36"/>
      <c r="O1084" s="36"/>
      <c r="P1084">
        <v>1.1885749288394437E-3</v>
      </c>
    </row>
    <row r="1085" spans="1:16" hidden="1" x14ac:dyDescent="0.35">
      <c r="A1085" s="3">
        <f xml:space="preserve"> ROW( data_scaledImpacts[[#This Row],[row_id]] ) - ROW( data_scaledImpacts[[#Headers],[row_id]] )</f>
        <v>1084</v>
      </c>
      <c r="B1085" s="41" t="str">
        <f xml:space="preserve"> _xlfn.TEXTJOIN( "", , data_scaledImpacts[[#This Row],[sector]:[impactType]] )</f>
        <v>WinterRecCCSM412010N/AXC</v>
      </c>
      <c r="C1085" s="33" t="s">
        <v>89</v>
      </c>
      <c r="D1085" s="33" t="s">
        <v>1</v>
      </c>
      <c r="E1085" s="34">
        <v>1</v>
      </c>
      <c r="F1085" s="34">
        <v>2010</v>
      </c>
      <c r="G1085" s="34" t="s">
        <v>201</v>
      </c>
      <c r="H1085" s="35" t="s">
        <v>91</v>
      </c>
      <c r="I1085" s="43" t="s">
        <v>94</v>
      </c>
      <c r="J1085" s="36">
        <v>4.1399578243916796E-3</v>
      </c>
      <c r="K1085" s="36">
        <v>6.6559257494496005E-3</v>
      </c>
      <c r="L1085" s="37">
        <v>3.5779715798566203E-2</v>
      </c>
      <c r="M1085" s="36">
        <v>4.4045915879599294E-2</v>
      </c>
      <c r="N1085" s="36"/>
      <c r="O1085" s="36"/>
      <c r="P1085">
        <v>4.5206692941834768E-3</v>
      </c>
    </row>
    <row r="1086" spans="1:16" hidden="1" x14ac:dyDescent="0.35">
      <c r="A1086" s="3">
        <f xml:space="preserve"> ROW( data_scaledImpacts[[#This Row],[row_id]] ) - ROW( data_scaledImpacts[[#Headers],[row_id]] )</f>
        <v>1085</v>
      </c>
      <c r="B1086" s="41" t="str">
        <f xml:space="preserve"> _xlfn.TEXTJOIN( "", , data_scaledImpacts[[#This Row],[sector]:[impactType]] )</f>
        <v>WinterRecGISS-E2-R12010N/AXC</v>
      </c>
      <c r="C1086" s="33" t="s">
        <v>89</v>
      </c>
      <c r="D1086" s="33" t="s">
        <v>2</v>
      </c>
      <c r="E1086" s="34">
        <v>1</v>
      </c>
      <c r="F1086" s="34">
        <v>2010</v>
      </c>
      <c r="G1086" s="34" t="s">
        <v>201</v>
      </c>
      <c r="H1086" s="35" t="s">
        <v>91</v>
      </c>
      <c r="I1086" s="43" t="s">
        <v>95</v>
      </c>
      <c r="J1086" s="36">
        <v>1.3328288159247997E-2</v>
      </c>
      <c r="K1086" s="36">
        <v>2.0005800826287699E-2</v>
      </c>
      <c r="L1086" s="37">
        <v>3.4694060497903474E-2</v>
      </c>
      <c r="M1086" s="36">
        <v>5.3478972834520598E-2</v>
      </c>
      <c r="N1086" s="36"/>
      <c r="O1086" s="36"/>
      <c r="P1086">
        <v>2.2304260691807403E-3</v>
      </c>
    </row>
    <row r="1087" spans="1:16" hidden="1" x14ac:dyDescent="0.35">
      <c r="A1087" s="3">
        <f xml:space="preserve"> ROW( data_scaledImpacts[[#This Row],[row_id]] ) - ROW( data_scaledImpacts[[#Headers],[row_id]] )</f>
        <v>1086</v>
      </c>
      <c r="B1087" s="41" t="str">
        <f xml:space="preserve"> _xlfn.TEXTJOIN( "", , data_scaledImpacts[[#This Row],[sector]:[impactType]] )</f>
        <v>WinterRecHadGEM2-ES12010N/AXC</v>
      </c>
      <c r="C1087" s="33" t="s">
        <v>89</v>
      </c>
      <c r="D1087" s="33" t="s">
        <v>3</v>
      </c>
      <c r="E1087" s="34">
        <v>1</v>
      </c>
      <c r="F1087" s="34">
        <v>2010</v>
      </c>
      <c r="G1087" s="34" t="s">
        <v>201</v>
      </c>
      <c r="H1087" s="35" t="s">
        <v>91</v>
      </c>
      <c r="I1087" s="43" t="s">
        <v>96</v>
      </c>
      <c r="J1087" s="36">
        <v>8.1192012720136316E-3</v>
      </c>
      <c r="K1087" s="36">
        <v>1.308322570556541E-2</v>
      </c>
      <c r="L1087" s="37">
        <v>-3.3329012491655082E-3</v>
      </c>
      <c r="M1087" s="36">
        <v>6.4553611651274906E-2</v>
      </c>
      <c r="N1087" s="36"/>
      <c r="O1087" s="36"/>
      <c r="P1087">
        <v>-2.9721226727348837E-2</v>
      </c>
    </row>
    <row r="1088" spans="1:16" hidden="1" x14ac:dyDescent="0.35">
      <c r="A1088" s="3">
        <f xml:space="preserve"> ROW( data_scaledImpacts[[#This Row],[row_id]] ) - ROW( data_scaledImpacts[[#Headers],[row_id]] )</f>
        <v>1087</v>
      </c>
      <c r="B1088" s="41" t="str">
        <f xml:space="preserve"> _xlfn.TEXTJOIN( "", , data_scaledImpacts[[#This Row],[sector]:[impactType]] )</f>
        <v>WinterRecMIROC512010N/AXC</v>
      </c>
      <c r="C1088" s="33" t="s">
        <v>89</v>
      </c>
      <c r="D1088" s="33" t="s">
        <v>4</v>
      </c>
      <c r="E1088" s="34">
        <v>1</v>
      </c>
      <c r="F1088" s="34">
        <v>2010</v>
      </c>
      <c r="G1088" s="34" t="s">
        <v>201</v>
      </c>
      <c r="H1088" s="35" t="s">
        <v>91</v>
      </c>
      <c r="I1088" s="43" t="s">
        <v>97</v>
      </c>
      <c r="J1088" s="36">
        <v>7.8429367116574326E-3</v>
      </c>
      <c r="K1088" s="36">
        <v>1.1938167872278428E-2</v>
      </c>
      <c r="L1088" s="37">
        <v>9.7155184624785951E-2</v>
      </c>
      <c r="M1088" s="36">
        <v>8.0419453817109673E-2</v>
      </c>
      <c r="N1088" s="36"/>
      <c r="O1088" s="36"/>
      <c r="P1088">
        <v>1.2479840430918687E-2</v>
      </c>
    </row>
    <row r="1089" spans="1:16" hidden="1" x14ac:dyDescent="0.35">
      <c r="A1089" s="3">
        <f xml:space="preserve"> ROW( data_scaledImpacts[[#This Row],[row_id]] ) - ROW( data_scaledImpacts[[#Headers],[row_id]] )</f>
        <v>1088</v>
      </c>
      <c r="B1089" s="41" t="str">
        <f xml:space="preserve"> _xlfn.TEXTJOIN( "", , data_scaledImpacts[[#This Row],[sector]:[impactType]] )</f>
        <v>WinterRecGFDL-CM312010N/AXC</v>
      </c>
      <c r="C1089" s="33" t="s">
        <v>89</v>
      </c>
      <c r="D1089" s="33" t="s">
        <v>5</v>
      </c>
      <c r="E1089" s="34">
        <v>1</v>
      </c>
      <c r="F1089" s="34">
        <v>2010</v>
      </c>
      <c r="G1089" s="34" t="s">
        <v>201</v>
      </c>
      <c r="H1089" s="35" t="s">
        <v>91</v>
      </c>
      <c r="I1089" s="43" t="s">
        <v>98</v>
      </c>
      <c r="J1089" s="36">
        <v>-1.5479944465031001E-3</v>
      </c>
      <c r="K1089" s="36">
        <v>1.3088405257312488E-2</v>
      </c>
      <c r="L1089" s="37">
        <v>-5.2250958040338753E-2</v>
      </c>
      <c r="M1089" s="36">
        <v>2.4121349513047851E-2</v>
      </c>
      <c r="N1089" s="36"/>
      <c r="O1089" s="36"/>
      <c r="P1089">
        <v>-4.1197469811120411E-3</v>
      </c>
    </row>
    <row r="1090" spans="1:16" hidden="1" x14ac:dyDescent="0.35">
      <c r="A1090" s="3">
        <f xml:space="preserve"> ROW( data_scaledImpacts[[#This Row],[row_id]] ) - ROW( data_scaledImpacts[[#Headers],[row_id]] )</f>
        <v>1089</v>
      </c>
      <c r="B1090" s="41" t="str">
        <f xml:space="preserve"> _xlfn.TEXTJOIN( "", , data_scaledImpacts[[#This Row],[sector]:[impactType]] )</f>
        <v>WinterRecGCM Average12010N/AXC</v>
      </c>
      <c r="C1090" s="33" t="s">
        <v>89</v>
      </c>
      <c r="D1090" s="33" t="s">
        <v>15</v>
      </c>
      <c r="E1090" s="34">
        <v>1</v>
      </c>
      <c r="F1090" s="34">
        <v>2010</v>
      </c>
      <c r="G1090" s="34" t="s">
        <v>201</v>
      </c>
      <c r="H1090" s="35" t="s">
        <v>91</v>
      </c>
      <c r="I1090" s="43" t="s">
        <v>99</v>
      </c>
      <c r="J1090" s="36">
        <v>4.8157564405545842E-3</v>
      </c>
      <c r="K1090" s="36">
        <v>1.3706173502802184E-2</v>
      </c>
      <c r="L1090" s="37">
        <v>2.2921415055227611E-2</v>
      </c>
      <c r="M1090" s="36">
        <v>4.6936479988066569E-2</v>
      </c>
      <c r="N1090" s="36" t="s">
        <v>26</v>
      </c>
      <c r="O1090" s="36"/>
      <c r="P1090">
        <v>-2.2369104975564218E-3</v>
      </c>
    </row>
    <row r="1091" spans="1:16" hidden="1" x14ac:dyDescent="0.35">
      <c r="A1091" s="3">
        <f xml:space="preserve"> ROW( data_scaledImpacts[[#This Row],[row_id]] ) - ROW( data_scaledImpacts[[#Headers],[row_id]] )</f>
        <v>1090</v>
      </c>
      <c r="B1091" s="41" t="str">
        <f xml:space="preserve"> _xlfn.TEXTJOIN( "", , data_scaledImpacts[[#This Row],[sector]:[impactType]] )</f>
        <v>WinterRecCanESM222010N/AXC</v>
      </c>
      <c r="C1091" s="33" t="s">
        <v>89</v>
      </c>
      <c r="D1091" s="33" t="s">
        <v>0</v>
      </c>
      <c r="E1091" s="34">
        <v>2</v>
      </c>
      <c r="F1091" s="34">
        <v>2010</v>
      </c>
      <c r="G1091" s="34" t="s">
        <v>201</v>
      </c>
      <c r="H1091" s="35" t="s">
        <v>91</v>
      </c>
      <c r="I1091" s="43" t="s">
        <v>100</v>
      </c>
      <c r="J1091" s="36">
        <v>7.2996856033242449E-3</v>
      </c>
      <c r="K1091" s="36">
        <v>2.3982726693693196E-2</v>
      </c>
      <c r="L1091" s="37">
        <v>9.4566970890877219E-2</v>
      </c>
      <c r="M1091" s="36">
        <v>0.2007462212151733</v>
      </c>
      <c r="N1091" s="36"/>
      <c r="O1091" s="36"/>
      <c r="P1091">
        <v>3.5487005809621205E-2</v>
      </c>
    </row>
    <row r="1092" spans="1:16" hidden="1" x14ac:dyDescent="0.35">
      <c r="A1092" s="3">
        <f xml:space="preserve"> ROW( data_scaledImpacts[[#This Row],[row_id]] ) - ROW( data_scaledImpacts[[#Headers],[row_id]] )</f>
        <v>1091</v>
      </c>
      <c r="B1092" s="41" t="str">
        <f xml:space="preserve"> _xlfn.TEXTJOIN( "", , data_scaledImpacts[[#This Row],[sector]:[impactType]] )</f>
        <v>WinterRecCCSM422010N/AXC</v>
      </c>
      <c r="C1092" s="33" t="s">
        <v>89</v>
      </c>
      <c r="D1092" s="33" t="s">
        <v>1</v>
      </c>
      <c r="E1092" s="34">
        <v>2</v>
      </c>
      <c r="F1092" s="34">
        <v>2010</v>
      </c>
      <c r="G1092" s="34" t="s">
        <v>201</v>
      </c>
      <c r="H1092" s="35" t="s">
        <v>91</v>
      </c>
      <c r="I1092" s="43" t="s">
        <v>101</v>
      </c>
      <c r="J1092" s="36">
        <v>3.6586137589339363E-3</v>
      </c>
      <c r="K1092" s="36">
        <v>1.120901302365746E-2</v>
      </c>
      <c r="L1092" s="37">
        <v>0.16980741155655346</v>
      </c>
      <c r="M1092" s="36">
        <v>0.17888877365298456</v>
      </c>
      <c r="N1092" s="36"/>
      <c r="O1092" s="36"/>
      <c r="P1092">
        <v>5.0136388015774712E-2</v>
      </c>
    </row>
    <row r="1093" spans="1:16" hidden="1" x14ac:dyDescent="0.35">
      <c r="A1093" s="3">
        <f xml:space="preserve"> ROW( data_scaledImpacts[[#This Row],[row_id]] ) - ROW( data_scaledImpacts[[#Headers],[row_id]] )</f>
        <v>1092</v>
      </c>
      <c r="B1093" s="41" t="str">
        <f xml:space="preserve"> _xlfn.TEXTJOIN( "", , data_scaledImpacts[[#This Row],[sector]:[impactType]] )</f>
        <v>WinterRecGISS-E2-R22010N/AXC</v>
      </c>
      <c r="C1093" s="33" t="s">
        <v>89</v>
      </c>
      <c r="D1093" s="33" t="s">
        <v>2</v>
      </c>
      <c r="E1093" s="34">
        <v>2</v>
      </c>
      <c r="F1093" s="34">
        <v>2010</v>
      </c>
      <c r="G1093" s="34" t="s">
        <v>201</v>
      </c>
      <c r="H1093" s="35" t="s">
        <v>91</v>
      </c>
      <c r="I1093" s="43" t="s">
        <v>102</v>
      </c>
      <c r="J1093" s="36">
        <v>1.0329736704461068E-2</v>
      </c>
      <c r="K1093" s="36">
        <v>3.1130312453366366E-2</v>
      </c>
      <c r="L1093" s="37">
        <v>5.9217194442147882E-2</v>
      </c>
      <c r="M1093" s="36">
        <v>9.4595314291883739E-2</v>
      </c>
      <c r="N1093" s="36"/>
      <c r="O1093" s="36"/>
      <c r="P1093">
        <v>9.1366244297195441E-3</v>
      </c>
    </row>
    <row r="1094" spans="1:16" hidden="1" x14ac:dyDescent="0.35">
      <c r="A1094" s="3">
        <f xml:space="preserve"> ROW( data_scaledImpacts[[#This Row],[row_id]] ) - ROW( data_scaledImpacts[[#Headers],[row_id]] )</f>
        <v>1093</v>
      </c>
      <c r="B1094" s="41" t="str">
        <f xml:space="preserve"> _xlfn.TEXTJOIN( "", , data_scaledImpacts[[#This Row],[sector]:[impactType]] )</f>
        <v>WinterRecHadGEM2-ES22010N/AXC</v>
      </c>
      <c r="C1094" s="33" t="s">
        <v>89</v>
      </c>
      <c r="D1094" s="33" t="s">
        <v>3</v>
      </c>
      <c r="E1094" s="34">
        <v>2</v>
      </c>
      <c r="F1094" s="34">
        <v>2010</v>
      </c>
      <c r="G1094" s="34" t="s">
        <v>201</v>
      </c>
      <c r="H1094" s="35" t="s">
        <v>91</v>
      </c>
      <c r="I1094" s="43" t="s">
        <v>103</v>
      </c>
      <c r="J1094" s="36">
        <v>2.679103181739158E-3</v>
      </c>
      <c r="K1094" s="36">
        <v>1.614178017512868E-2</v>
      </c>
      <c r="L1094" s="37">
        <v>6.6736756943777162E-2</v>
      </c>
      <c r="M1094" s="36">
        <v>0.15477939863738263</v>
      </c>
      <c r="N1094" s="36"/>
      <c r="O1094" s="36"/>
      <c r="P1094">
        <v>1.850193912350637E-2</v>
      </c>
    </row>
    <row r="1095" spans="1:16" hidden="1" x14ac:dyDescent="0.35">
      <c r="A1095" s="3">
        <f xml:space="preserve"> ROW( data_scaledImpacts[[#This Row],[row_id]] ) - ROW( data_scaledImpacts[[#Headers],[row_id]] )</f>
        <v>1094</v>
      </c>
      <c r="B1095" s="41" t="str">
        <f xml:space="preserve"> _xlfn.TEXTJOIN( "", , data_scaledImpacts[[#This Row],[sector]:[impactType]] )</f>
        <v>WinterRecMIROC522010N/AXC</v>
      </c>
      <c r="C1095" s="33" t="s">
        <v>89</v>
      </c>
      <c r="D1095" s="33" t="s">
        <v>4</v>
      </c>
      <c r="E1095" s="34">
        <v>2</v>
      </c>
      <c r="F1095" s="34">
        <v>2010</v>
      </c>
      <c r="G1095" s="34" t="s">
        <v>201</v>
      </c>
      <c r="H1095" s="35" t="s">
        <v>91</v>
      </c>
      <c r="I1095" s="43" t="s">
        <v>104</v>
      </c>
      <c r="J1095" s="36">
        <v>1.5105987616587192E-2</v>
      </c>
      <c r="K1095" s="36">
        <v>2.5658839517985699E-2</v>
      </c>
      <c r="L1095" s="37">
        <v>0.24187168443471624</v>
      </c>
      <c r="M1095" s="36">
        <v>0.14013387800288538</v>
      </c>
      <c r="N1095" s="36"/>
      <c r="O1095" s="36"/>
      <c r="P1095">
        <v>4.1629678058459338E-2</v>
      </c>
    </row>
    <row r="1096" spans="1:16" hidden="1" x14ac:dyDescent="0.35">
      <c r="A1096" s="3">
        <f xml:space="preserve"> ROW( data_scaledImpacts[[#This Row],[row_id]] ) - ROW( data_scaledImpacts[[#Headers],[row_id]] )</f>
        <v>1095</v>
      </c>
      <c r="B1096" s="41" t="str">
        <f xml:space="preserve"> _xlfn.TEXTJOIN( "", , data_scaledImpacts[[#This Row],[sector]:[impactType]] )</f>
        <v>WinterRecGFDL-CM322010N/AXC</v>
      </c>
      <c r="C1096" s="33" t="s">
        <v>89</v>
      </c>
      <c r="D1096" s="33" t="s">
        <v>5</v>
      </c>
      <c r="E1096" s="34">
        <v>2</v>
      </c>
      <c r="F1096" s="34">
        <v>2010</v>
      </c>
      <c r="G1096" s="34" t="s">
        <v>201</v>
      </c>
      <c r="H1096" s="35" t="s">
        <v>91</v>
      </c>
      <c r="I1096" s="43" t="s">
        <v>105</v>
      </c>
      <c r="J1096" s="36">
        <v>3.6242686731816701E-3</v>
      </c>
      <c r="K1096" s="36">
        <v>2.49312569168465E-2</v>
      </c>
      <c r="L1096" s="37">
        <v>3.6862683373862538E-2</v>
      </c>
      <c r="M1096" s="36">
        <v>3.7251585237019047E-2</v>
      </c>
      <c r="N1096" s="36"/>
      <c r="O1096" s="36"/>
      <c r="P1096">
        <v>1.0781543435992386E-2</v>
      </c>
    </row>
    <row r="1097" spans="1:16" hidden="1" x14ac:dyDescent="0.35">
      <c r="A1097" s="3">
        <f xml:space="preserve"> ROW( data_scaledImpacts[[#This Row],[row_id]] ) - ROW( data_scaledImpacts[[#Headers],[row_id]] )</f>
        <v>1096</v>
      </c>
      <c r="B1097" s="41" t="str">
        <f xml:space="preserve"> _xlfn.TEXTJOIN( "", , data_scaledImpacts[[#This Row],[sector]:[impactType]] )</f>
        <v>WinterRecGCM Average22010N/AXC</v>
      </c>
      <c r="C1097" s="33" t="s">
        <v>89</v>
      </c>
      <c r="D1097" s="33" t="s">
        <v>15</v>
      </c>
      <c r="E1097" s="34">
        <v>2</v>
      </c>
      <c r="F1097" s="34">
        <v>2010</v>
      </c>
      <c r="G1097" s="34" t="s">
        <v>201</v>
      </c>
      <c r="H1097" s="35" t="s">
        <v>91</v>
      </c>
      <c r="I1097" s="43" t="s">
        <v>106</v>
      </c>
      <c r="J1097" s="36">
        <v>7.1162325897045457E-3</v>
      </c>
      <c r="K1097" s="36">
        <v>2.2175654796779649E-2</v>
      </c>
      <c r="L1097" s="37">
        <v>0.11151045027365576</v>
      </c>
      <c r="M1097" s="36">
        <v>0.13439919517288812</v>
      </c>
      <c r="N1097" s="36" t="s">
        <v>26</v>
      </c>
      <c r="O1097" s="36"/>
      <c r="P1097">
        <v>2.7612196478845594E-2</v>
      </c>
    </row>
    <row r="1098" spans="1:16" hidden="1" x14ac:dyDescent="0.35">
      <c r="A1098" s="3">
        <f xml:space="preserve"> ROW( data_scaledImpacts[[#This Row],[row_id]] ) - ROW( data_scaledImpacts[[#Headers],[row_id]] )</f>
        <v>1097</v>
      </c>
      <c r="B1098" s="41" t="str">
        <f xml:space="preserve"> _xlfn.TEXTJOIN( "", , data_scaledImpacts[[#This Row],[sector]:[impactType]] )</f>
        <v>WinterRecCanESM232010N/AXC</v>
      </c>
      <c r="C1098" s="33" t="s">
        <v>89</v>
      </c>
      <c r="D1098" s="33" t="s">
        <v>0</v>
      </c>
      <c r="E1098" s="34">
        <v>3</v>
      </c>
      <c r="F1098" s="34">
        <v>2010</v>
      </c>
      <c r="G1098" s="34" t="s">
        <v>201</v>
      </c>
      <c r="H1098" s="35" t="s">
        <v>91</v>
      </c>
      <c r="I1098" s="43" t="s">
        <v>107</v>
      </c>
      <c r="J1098" s="36">
        <v>1.1579237002416953E-2</v>
      </c>
      <c r="K1098" s="36">
        <v>2.7534913472555916E-2</v>
      </c>
      <c r="L1098" s="37">
        <v>0.22864451101400607</v>
      </c>
      <c r="M1098" s="36">
        <v>0.2767719607642587</v>
      </c>
      <c r="N1098" s="36"/>
      <c r="O1098" s="36"/>
      <c r="P1098">
        <v>5.0624685694272815E-2</v>
      </c>
    </row>
    <row r="1099" spans="1:16" hidden="1" x14ac:dyDescent="0.35">
      <c r="A1099" s="3">
        <f xml:space="preserve"> ROW( data_scaledImpacts[[#This Row],[row_id]] ) - ROW( data_scaledImpacts[[#Headers],[row_id]] )</f>
        <v>1098</v>
      </c>
      <c r="B1099" s="41" t="str">
        <f xml:space="preserve"> _xlfn.TEXTJOIN( "", , data_scaledImpacts[[#This Row],[sector]:[impactType]] )</f>
        <v>WinterRecCCSM432010N/AXC</v>
      </c>
      <c r="C1099" s="33" t="s">
        <v>89</v>
      </c>
      <c r="D1099" s="33" t="s">
        <v>1</v>
      </c>
      <c r="E1099" s="34">
        <v>3</v>
      </c>
      <c r="F1099" s="34">
        <v>2010</v>
      </c>
      <c r="G1099" s="34" t="s">
        <v>201</v>
      </c>
      <c r="H1099" s="35" t="s">
        <v>91</v>
      </c>
      <c r="I1099" s="43" t="s">
        <v>108</v>
      </c>
      <c r="J1099" s="36">
        <v>1.6049174054105112E-2</v>
      </c>
      <c r="K1099" s="36">
        <v>2.9593877644952415E-2</v>
      </c>
      <c r="L1099" s="37">
        <v>0.24530502985123934</v>
      </c>
      <c r="M1099" s="36">
        <v>0.27738576158132011</v>
      </c>
      <c r="N1099" s="36"/>
      <c r="O1099" s="36"/>
      <c r="P1099">
        <v>4.6950654662053157E-2</v>
      </c>
    </row>
    <row r="1100" spans="1:16" hidden="1" x14ac:dyDescent="0.35">
      <c r="A1100" s="3">
        <f xml:space="preserve"> ROW( data_scaledImpacts[[#This Row],[row_id]] ) - ROW( data_scaledImpacts[[#Headers],[row_id]] )</f>
        <v>1099</v>
      </c>
      <c r="B1100" s="41" t="str">
        <f xml:space="preserve"> _xlfn.TEXTJOIN( "", , data_scaledImpacts[[#This Row],[sector]:[impactType]] )</f>
        <v>WinterRecGISS-E2-R32010N/AXC</v>
      </c>
      <c r="C1100" s="33" t="s">
        <v>89</v>
      </c>
      <c r="D1100" s="33" t="s">
        <v>2</v>
      </c>
      <c r="E1100" s="34">
        <v>3</v>
      </c>
      <c r="F1100" s="34">
        <v>2010</v>
      </c>
      <c r="G1100" s="34" t="s">
        <v>201</v>
      </c>
      <c r="H1100" s="35" t="s">
        <v>91</v>
      </c>
      <c r="I1100" s="43" t="s">
        <v>109</v>
      </c>
      <c r="J1100" s="36">
        <v>1.2797627781659294E-2</v>
      </c>
      <c r="K1100" s="36">
        <v>3.0492843858094643E-2</v>
      </c>
      <c r="L1100" s="37">
        <v>7.7009142060148431E-2</v>
      </c>
      <c r="M1100" s="36">
        <v>0.14275970683400913</v>
      </c>
      <c r="N1100" s="36"/>
      <c r="O1100" s="36"/>
      <c r="P1100">
        <v>2.0396796178008415E-2</v>
      </c>
    </row>
    <row r="1101" spans="1:16" hidden="1" x14ac:dyDescent="0.35">
      <c r="A1101" s="3">
        <f xml:space="preserve"> ROW( data_scaledImpacts[[#This Row],[row_id]] ) - ROW( data_scaledImpacts[[#Headers],[row_id]] )</f>
        <v>1100</v>
      </c>
      <c r="B1101" s="41" t="str">
        <f xml:space="preserve"> _xlfn.TEXTJOIN( "", , data_scaledImpacts[[#This Row],[sector]:[impactType]] )</f>
        <v>WinterRecHadGEM2-ES32010N/AXC</v>
      </c>
      <c r="C1101" s="33" t="s">
        <v>89</v>
      </c>
      <c r="D1101" s="33" t="s">
        <v>3</v>
      </c>
      <c r="E1101" s="34">
        <v>3</v>
      </c>
      <c r="F1101" s="34">
        <v>2010</v>
      </c>
      <c r="G1101" s="34" t="s">
        <v>201</v>
      </c>
      <c r="H1101" s="35" t="s">
        <v>91</v>
      </c>
      <c r="I1101" s="43" t="s">
        <v>110</v>
      </c>
      <c r="J1101" s="36">
        <v>1.1950588079532616E-2</v>
      </c>
      <c r="K1101" s="36">
        <v>3.2167709898205749E-2</v>
      </c>
      <c r="L1101" s="37">
        <v>0.19007391348052194</v>
      </c>
      <c r="M1101" s="36">
        <v>0.26609825023124251</v>
      </c>
      <c r="N1101" s="36"/>
      <c r="O1101" s="36"/>
      <c r="P1101">
        <v>4.443774150537446E-2</v>
      </c>
    </row>
    <row r="1102" spans="1:16" hidden="1" x14ac:dyDescent="0.35">
      <c r="A1102" s="3">
        <f xml:space="preserve"> ROW( data_scaledImpacts[[#This Row],[row_id]] ) - ROW( data_scaledImpacts[[#Headers],[row_id]] )</f>
        <v>1101</v>
      </c>
      <c r="B1102" s="41" t="str">
        <f xml:space="preserve"> _xlfn.TEXTJOIN( "", , data_scaledImpacts[[#This Row],[sector]:[impactType]] )</f>
        <v>WinterRecMIROC532010N/AXC</v>
      </c>
      <c r="C1102" s="33" t="s">
        <v>89</v>
      </c>
      <c r="D1102" s="33" t="s">
        <v>4</v>
      </c>
      <c r="E1102" s="34">
        <v>3</v>
      </c>
      <c r="F1102" s="34">
        <v>2010</v>
      </c>
      <c r="G1102" s="34" t="s">
        <v>201</v>
      </c>
      <c r="H1102" s="35" t="s">
        <v>91</v>
      </c>
      <c r="I1102" s="43" t="s">
        <v>111</v>
      </c>
      <c r="J1102" s="36">
        <v>1.3974346958746834E-2</v>
      </c>
      <c r="K1102" s="36">
        <v>3.7680187381978952E-2</v>
      </c>
      <c r="L1102" s="37">
        <v>0.27540389222878497</v>
      </c>
      <c r="M1102" s="36">
        <v>0.1721387770500063</v>
      </c>
      <c r="N1102" s="36"/>
      <c r="O1102" s="36"/>
      <c r="P1102">
        <v>7.8848601603413768E-2</v>
      </c>
    </row>
    <row r="1103" spans="1:16" hidden="1" x14ac:dyDescent="0.35">
      <c r="A1103" s="3">
        <f xml:space="preserve"> ROW( data_scaledImpacts[[#This Row],[row_id]] ) - ROW( data_scaledImpacts[[#Headers],[row_id]] )</f>
        <v>1102</v>
      </c>
      <c r="B1103" s="41" t="str">
        <f xml:space="preserve"> _xlfn.TEXTJOIN( "", , data_scaledImpacts[[#This Row],[sector]:[impactType]] )</f>
        <v>WinterRecGFDL-CM332010N/AXC</v>
      </c>
      <c r="C1103" s="33" t="s">
        <v>89</v>
      </c>
      <c r="D1103" s="33" t="s">
        <v>5</v>
      </c>
      <c r="E1103" s="34">
        <v>3</v>
      </c>
      <c r="F1103" s="34">
        <v>2010</v>
      </c>
      <c r="G1103" s="34" t="s">
        <v>201</v>
      </c>
      <c r="H1103" s="35" t="s">
        <v>91</v>
      </c>
      <c r="I1103" s="43" t="s">
        <v>112</v>
      </c>
      <c r="J1103" s="36">
        <v>7.3772667251991025E-3</v>
      </c>
      <c r="K1103" s="36">
        <v>3.4292240863029941E-2</v>
      </c>
      <c r="L1103" s="37">
        <v>0.23840958907493384</v>
      </c>
      <c r="M1103" s="36">
        <v>0.21649505934853674</v>
      </c>
      <c r="N1103" s="36"/>
      <c r="O1103" s="36"/>
      <c r="P1103">
        <v>5.9025196442668862E-2</v>
      </c>
    </row>
    <row r="1104" spans="1:16" hidden="1" x14ac:dyDescent="0.35">
      <c r="A1104" s="3">
        <f xml:space="preserve"> ROW( data_scaledImpacts[[#This Row],[row_id]] ) - ROW( data_scaledImpacts[[#Headers],[row_id]] )</f>
        <v>1103</v>
      </c>
      <c r="B1104" s="41" t="str">
        <f xml:space="preserve"> _xlfn.TEXTJOIN( "", , data_scaledImpacts[[#This Row],[sector]:[impactType]] )</f>
        <v>WinterRecGCM Average32010N/AXC</v>
      </c>
      <c r="C1104" s="33" t="s">
        <v>89</v>
      </c>
      <c r="D1104" s="33" t="s">
        <v>15</v>
      </c>
      <c r="E1104" s="34">
        <v>3</v>
      </c>
      <c r="F1104" s="34">
        <v>2010</v>
      </c>
      <c r="G1104" s="34" t="s">
        <v>201</v>
      </c>
      <c r="H1104" s="35" t="s">
        <v>91</v>
      </c>
      <c r="I1104" s="43" t="s">
        <v>113</v>
      </c>
      <c r="J1104" s="36">
        <v>1.228804010027665E-2</v>
      </c>
      <c r="K1104" s="36">
        <v>3.1960295519802943E-2</v>
      </c>
      <c r="L1104" s="37">
        <v>0.20914101295160578</v>
      </c>
      <c r="M1104" s="36">
        <v>0.22527491930156227</v>
      </c>
      <c r="N1104" s="36" t="s">
        <v>26</v>
      </c>
      <c r="O1104" s="36"/>
      <c r="P1104">
        <v>5.0047279347631916E-2</v>
      </c>
    </row>
    <row r="1105" spans="1:16" hidden="1" x14ac:dyDescent="0.35">
      <c r="A1105" s="3">
        <f xml:space="preserve"> ROW( data_scaledImpacts[[#This Row],[row_id]] ) - ROW( data_scaledImpacts[[#Headers],[row_id]] )</f>
        <v>1104</v>
      </c>
      <c r="B1105" s="41" t="str">
        <f xml:space="preserve"> _xlfn.TEXTJOIN( "", , data_scaledImpacts[[#This Row],[sector]:[impactType]] )</f>
        <v>WinterRecCanESM242010N/AXC</v>
      </c>
      <c r="C1105" s="33" t="s">
        <v>89</v>
      </c>
      <c r="D1105" s="33" t="s">
        <v>0</v>
      </c>
      <c r="E1105" s="34">
        <v>4</v>
      </c>
      <c r="F1105" s="34">
        <v>2010</v>
      </c>
      <c r="G1105" s="34" t="s">
        <v>201</v>
      </c>
      <c r="H1105" s="35" t="s">
        <v>91</v>
      </c>
      <c r="I1105" s="43" t="s">
        <v>114</v>
      </c>
      <c r="J1105" s="36">
        <v>8.4966763402530548E-3</v>
      </c>
      <c r="K1105" s="36">
        <v>3.5073249054433452E-2</v>
      </c>
      <c r="L1105" s="37">
        <v>0.29134373908556727</v>
      </c>
      <c r="M1105" s="36">
        <v>0.36399038280750584</v>
      </c>
      <c r="N1105" s="36"/>
      <c r="O1105" s="36"/>
      <c r="P1105">
        <v>7.7135716084728148E-2</v>
      </c>
    </row>
    <row r="1106" spans="1:16" hidden="1" x14ac:dyDescent="0.35">
      <c r="A1106" s="3">
        <f xml:space="preserve"> ROW( data_scaledImpacts[[#This Row],[row_id]] ) - ROW( data_scaledImpacts[[#Headers],[row_id]] )</f>
        <v>1105</v>
      </c>
      <c r="B1106" s="41" t="str">
        <f xml:space="preserve"> _xlfn.TEXTJOIN( "", , data_scaledImpacts[[#This Row],[sector]:[impactType]] )</f>
        <v>WinterRecCCSM442010N/AXC</v>
      </c>
      <c r="C1106" s="33" t="s">
        <v>89</v>
      </c>
      <c r="D1106" s="33" t="s">
        <v>1</v>
      </c>
      <c r="E1106" s="34">
        <v>4</v>
      </c>
      <c r="F1106" s="34">
        <v>2010</v>
      </c>
      <c r="G1106" s="34" t="s">
        <v>201</v>
      </c>
      <c r="H1106" s="35" t="s">
        <v>91</v>
      </c>
      <c r="I1106" s="43" t="s">
        <v>115</v>
      </c>
      <c r="J1106" s="36">
        <v>2.7686906277399278E-2</v>
      </c>
      <c r="K1106" s="36">
        <v>4.0406731697458481E-2</v>
      </c>
      <c r="L1106" s="37">
        <v>0.41748812322321133</v>
      </c>
      <c r="M1106" s="36">
        <v>0.40376990875910473</v>
      </c>
      <c r="N1106" s="36"/>
      <c r="O1106" s="36"/>
      <c r="P1106">
        <v>8.7411281244331854E-2</v>
      </c>
    </row>
    <row r="1107" spans="1:16" hidden="1" x14ac:dyDescent="0.35">
      <c r="A1107" s="3">
        <f xml:space="preserve"> ROW( data_scaledImpacts[[#This Row],[row_id]] ) - ROW( data_scaledImpacts[[#Headers],[row_id]] )</f>
        <v>1106</v>
      </c>
      <c r="B1107" s="41" t="str">
        <f xml:space="preserve"> _xlfn.TEXTJOIN( "", , data_scaledImpacts[[#This Row],[sector]:[impactType]] )</f>
        <v>WinterRecGISS-E2-R42010N/AXC</v>
      </c>
      <c r="C1107" s="33" t="s">
        <v>89</v>
      </c>
      <c r="D1107" s="33" t="s">
        <v>2</v>
      </c>
      <c r="E1107" s="34">
        <v>4</v>
      </c>
      <c r="F1107" s="34">
        <v>2010</v>
      </c>
      <c r="G1107" s="34" t="s">
        <v>201</v>
      </c>
      <c r="H1107" s="35" t="s">
        <v>91</v>
      </c>
      <c r="I1107" s="43" t="s">
        <v>116</v>
      </c>
      <c r="J1107" s="36"/>
      <c r="K1107" s="36"/>
      <c r="L1107" s="37"/>
      <c r="M1107" s="36"/>
      <c r="N1107" s="36"/>
      <c r="O1107" s="36"/>
    </row>
    <row r="1108" spans="1:16" hidden="1" x14ac:dyDescent="0.35">
      <c r="A1108" s="3">
        <f xml:space="preserve"> ROW( data_scaledImpacts[[#This Row],[row_id]] ) - ROW( data_scaledImpacts[[#Headers],[row_id]] )</f>
        <v>1107</v>
      </c>
      <c r="B1108" s="41" t="str">
        <f xml:space="preserve"> _xlfn.TEXTJOIN( "", , data_scaledImpacts[[#This Row],[sector]:[impactType]] )</f>
        <v>WinterRecHadGEM2-ES42010N/AXC</v>
      </c>
      <c r="C1108" s="33" t="s">
        <v>89</v>
      </c>
      <c r="D1108" s="33" t="s">
        <v>3</v>
      </c>
      <c r="E1108" s="34">
        <v>4</v>
      </c>
      <c r="F1108" s="34">
        <v>2010</v>
      </c>
      <c r="G1108" s="34" t="s">
        <v>201</v>
      </c>
      <c r="H1108" s="35" t="s">
        <v>91</v>
      </c>
      <c r="I1108" s="43" t="s">
        <v>117</v>
      </c>
      <c r="J1108" s="36">
        <v>2.4655329052413119E-2</v>
      </c>
      <c r="K1108" s="36">
        <v>4.0611842396413425E-2</v>
      </c>
      <c r="L1108" s="37">
        <v>0.30846513585391971</v>
      </c>
      <c r="M1108" s="36">
        <v>0.38553379574589913</v>
      </c>
      <c r="N1108" s="36"/>
      <c r="O1108" s="36"/>
      <c r="P1108">
        <v>9.2055997346941837E-2</v>
      </c>
    </row>
    <row r="1109" spans="1:16" hidden="1" x14ac:dyDescent="0.35">
      <c r="A1109" s="3">
        <f xml:space="preserve"> ROW( data_scaledImpacts[[#This Row],[row_id]] ) - ROW( data_scaledImpacts[[#Headers],[row_id]] )</f>
        <v>1108</v>
      </c>
      <c r="B1109" s="41" t="str">
        <f xml:space="preserve"> _xlfn.TEXTJOIN( "", , data_scaledImpacts[[#This Row],[sector]:[impactType]] )</f>
        <v>WinterRecMIROC542010N/AXC</v>
      </c>
      <c r="C1109" s="33" t="s">
        <v>89</v>
      </c>
      <c r="D1109" s="33" t="s">
        <v>4</v>
      </c>
      <c r="E1109" s="34">
        <v>4</v>
      </c>
      <c r="F1109" s="34">
        <v>2010</v>
      </c>
      <c r="G1109" s="34" t="s">
        <v>201</v>
      </c>
      <c r="H1109" s="35" t="s">
        <v>91</v>
      </c>
      <c r="I1109" s="43" t="s">
        <v>118</v>
      </c>
      <c r="J1109" s="36">
        <v>2.5892603098005482E-2</v>
      </c>
      <c r="K1109" s="36">
        <v>4.6903136667537024E-2</v>
      </c>
      <c r="L1109" s="37">
        <v>0.31162723156698136</v>
      </c>
      <c r="M1109" s="36">
        <v>0.23566827255612083</v>
      </c>
      <c r="N1109" s="36"/>
      <c r="O1109" s="36"/>
      <c r="P1109">
        <v>0.10438006824132832</v>
      </c>
    </row>
    <row r="1110" spans="1:16" hidden="1" x14ac:dyDescent="0.35">
      <c r="A1110" s="3">
        <f xml:space="preserve"> ROW( data_scaledImpacts[[#This Row],[row_id]] ) - ROW( data_scaledImpacts[[#Headers],[row_id]] )</f>
        <v>1109</v>
      </c>
      <c r="B1110" s="41" t="str">
        <f xml:space="preserve"> _xlfn.TEXTJOIN( "", , data_scaledImpacts[[#This Row],[sector]:[impactType]] )</f>
        <v>WinterRecGFDL-CM342010N/AXC</v>
      </c>
      <c r="C1110" s="33" t="s">
        <v>89</v>
      </c>
      <c r="D1110" s="33" t="s">
        <v>5</v>
      </c>
      <c r="E1110" s="34">
        <v>4</v>
      </c>
      <c r="F1110" s="34">
        <v>2010</v>
      </c>
      <c r="G1110" s="34" t="s">
        <v>201</v>
      </c>
      <c r="H1110" s="35" t="s">
        <v>91</v>
      </c>
      <c r="I1110" s="43" t="s">
        <v>119</v>
      </c>
      <c r="J1110" s="36">
        <v>1.6076692570141191E-2</v>
      </c>
      <c r="K1110" s="36">
        <v>4.078303902854901E-2</v>
      </c>
      <c r="L1110" s="37">
        <v>0.20238384444269503</v>
      </c>
      <c r="M1110" s="36">
        <v>0.28449246657447319</v>
      </c>
      <c r="N1110" s="36"/>
      <c r="O1110" s="36"/>
      <c r="P1110">
        <v>7.1796547272374708E-2</v>
      </c>
    </row>
    <row r="1111" spans="1:16" hidden="1" x14ac:dyDescent="0.35">
      <c r="A1111" s="3">
        <f xml:space="preserve"> ROW( data_scaledImpacts[[#This Row],[row_id]] ) - ROW( data_scaledImpacts[[#Headers],[row_id]] )</f>
        <v>1110</v>
      </c>
      <c r="B1111" s="41" t="str">
        <f xml:space="preserve"> _xlfn.TEXTJOIN( "", , data_scaledImpacts[[#This Row],[sector]:[impactType]] )</f>
        <v>WinterRecGCM Average42010N/AXC</v>
      </c>
      <c r="C1111" s="33" t="s">
        <v>89</v>
      </c>
      <c r="D1111" s="33" t="s">
        <v>15</v>
      </c>
      <c r="E1111" s="34">
        <v>4</v>
      </c>
      <c r="F1111" s="34">
        <v>2010</v>
      </c>
      <c r="G1111" s="34" t="s">
        <v>201</v>
      </c>
      <c r="H1111" s="35" t="s">
        <v>91</v>
      </c>
      <c r="I1111" s="43" t="s">
        <v>120</v>
      </c>
      <c r="J1111" s="36">
        <v>2.0561641467642423E-2</v>
      </c>
      <c r="K1111" s="36">
        <v>4.0755599768878284E-2</v>
      </c>
      <c r="L1111" s="37">
        <v>0.30626161483447489</v>
      </c>
      <c r="M1111" s="36">
        <v>0.33469096528862075</v>
      </c>
      <c r="N1111" s="36" t="s">
        <v>26</v>
      </c>
      <c r="O1111" s="36"/>
      <c r="P1111">
        <v>8.6555922037940977E-2</v>
      </c>
    </row>
    <row r="1112" spans="1:16" hidden="1" x14ac:dyDescent="0.35">
      <c r="A1112" s="3">
        <f xml:space="preserve"> ROW( data_scaledImpacts[[#This Row],[row_id]] ) - ROW( data_scaledImpacts[[#Headers],[row_id]] )</f>
        <v>1111</v>
      </c>
      <c r="B1112" s="41" t="str">
        <f xml:space="preserve"> _xlfn.TEXTJOIN( "", , data_scaledImpacts[[#This Row],[sector]:[impactType]] )</f>
        <v>WinterRecCanESM252010N/AXC</v>
      </c>
      <c r="C1112" s="33" t="s">
        <v>89</v>
      </c>
      <c r="D1112" s="33" t="s">
        <v>0</v>
      </c>
      <c r="E1112" s="34">
        <v>5</v>
      </c>
      <c r="F1112" s="34">
        <v>2010</v>
      </c>
      <c r="G1112" s="34" t="s">
        <v>201</v>
      </c>
      <c r="H1112" s="35" t="s">
        <v>91</v>
      </c>
      <c r="I1112" s="43" t="s">
        <v>121</v>
      </c>
      <c r="J1112" s="36">
        <v>2.5714512447038707E-2</v>
      </c>
      <c r="K1112" s="36">
        <v>4.4314384531020053E-2</v>
      </c>
      <c r="L1112" s="37">
        <v>0.47063325005891099</v>
      </c>
      <c r="M1112" s="36">
        <v>0.43021922655145772</v>
      </c>
      <c r="N1112" s="36"/>
      <c r="O1112" s="36"/>
      <c r="P1112">
        <v>0.12877677581524463</v>
      </c>
    </row>
    <row r="1113" spans="1:16" hidden="1" x14ac:dyDescent="0.35">
      <c r="A1113" s="3">
        <f xml:space="preserve"> ROW( data_scaledImpacts[[#This Row],[row_id]] ) - ROW( data_scaledImpacts[[#Headers],[row_id]] )</f>
        <v>1112</v>
      </c>
      <c r="B1113" s="41" t="str">
        <f xml:space="preserve"> _xlfn.TEXTJOIN( "", , data_scaledImpacts[[#This Row],[sector]:[impactType]] )</f>
        <v>WinterRecCCSM452010N/AXC</v>
      </c>
      <c r="C1113" s="33" t="s">
        <v>89</v>
      </c>
      <c r="D1113" s="33" t="s">
        <v>1</v>
      </c>
      <c r="E1113" s="34">
        <v>5</v>
      </c>
      <c r="F1113" s="34">
        <v>2010</v>
      </c>
      <c r="G1113" s="34" t="s">
        <v>201</v>
      </c>
      <c r="H1113" s="35" t="s">
        <v>91</v>
      </c>
      <c r="I1113" s="43" t="s">
        <v>122</v>
      </c>
      <c r="J1113" s="36">
        <v>2.8726253866247956E-2</v>
      </c>
      <c r="K1113" s="36">
        <v>4.3518490450451031E-2</v>
      </c>
      <c r="L1113" s="37">
        <v>0.53918416950759018</v>
      </c>
      <c r="M1113" s="36">
        <v>0.43829110921028092</v>
      </c>
      <c r="N1113" s="36"/>
      <c r="O1113" s="36"/>
      <c r="P1113">
        <v>0.14167720970483316</v>
      </c>
    </row>
    <row r="1114" spans="1:16" hidden="1" x14ac:dyDescent="0.35">
      <c r="A1114" s="3">
        <f xml:space="preserve"> ROW( data_scaledImpacts[[#This Row],[row_id]] ) - ROW( data_scaledImpacts[[#Headers],[row_id]] )</f>
        <v>1113</v>
      </c>
      <c r="B1114" s="41" t="str">
        <f xml:space="preserve"> _xlfn.TEXTJOIN( "", , data_scaledImpacts[[#This Row],[sector]:[impactType]] )</f>
        <v>WinterRecGISS-E2-R52010N/AXC</v>
      </c>
      <c r="C1114" s="33" t="s">
        <v>89</v>
      </c>
      <c r="D1114" s="33" t="s">
        <v>2</v>
      </c>
      <c r="E1114" s="34">
        <v>5</v>
      </c>
      <c r="F1114" s="34">
        <v>2010</v>
      </c>
      <c r="G1114" s="34" t="s">
        <v>201</v>
      </c>
      <c r="H1114" s="35" t="s">
        <v>91</v>
      </c>
      <c r="I1114" s="43" t="s">
        <v>123</v>
      </c>
      <c r="J1114" s="36"/>
      <c r="K1114" s="36"/>
      <c r="L1114" s="37"/>
      <c r="M1114" s="36"/>
      <c r="N1114" s="36"/>
      <c r="O1114" s="36"/>
    </row>
    <row r="1115" spans="1:16" hidden="1" x14ac:dyDescent="0.35">
      <c r="A1115" s="3">
        <f xml:space="preserve"> ROW( data_scaledImpacts[[#This Row],[row_id]] ) - ROW( data_scaledImpacts[[#Headers],[row_id]] )</f>
        <v>1114</v>
      </c>
      <c r="B1115" s="41" t="str">
        <f xml:space="preserve"> _xlfn.TEXTJOIN( "", , data_scaledImpacts[[#This Row],[sector]:[impactType]] )</f>
        <v>WinterRecHadGEM2-ES52010N/AXC</v>
      </c>
      <c r="C1115" s="33" t="s">
        <v>89</v>
      </c>
      <c r="D1115" s="33" t="s">
        <v>3</v>
      </c>
      <c r="E1115" s="34">
        <v>5</v>
      </c>
      <c r="F1115" s="34">
        <v>2010</v>
      </c>
      <c r="G1115" s="34" t="s">
        <v>201</v>
      </c>
      <c r="H1115" s="35" t="s">
        <v>91</v>
      </c>
      <c r="I1115" s="43" t="s">
        <v>124</v>
      </c>
      <c r="J1115" s="36">
        <v>2.7889507975879212E-2</v>
      </c>
      <c r="K1115" s="36">
        <v>4.6636700288647248E-2</v>
      </c>
      <c r="L1115" s="37">
        <v>0.4397933135665536</v>
      </c>
      <c r="M1115" s="36">
        <v>0.46971417876886634</v>
      </c>
      <c r="N1115" s="36"/>
      <c r="O1115" s="36"/>
      <c r="P1115">
        <v>0.12506662545621272</v>
      </c>
    </row>
    <row r="1116" spans="1:16" hidden="1" x14ac:dyDescent="0.35">
      <c r="A1116" s="3">
        <f xml:space="preserve"> ROW( data_scaledImpacts[[#This Row],[row_id]] ) - ROW( data_scaledImpacts[[#Headers],[row_id]] )</f>
        <v>1115</v>
      </c>
      <c r="B1116" s="41" t="str">
        <f xml:space="preserve"> _xlfn.TEXTJOIN( "", , data_scaledImpacts[[#This Row],[sector]:[impactType]] )</f>
        <v>WinterRecMIROC552010N/AXC</v>
      </c>
      <c r="C1116" s="33" t="s">
        <v>89</v>
      </c>
      <c r="D1116" s="33" t="s">
        <v>4</v>
      </c>
      <c r="E1116" s="34">
        <v>5</v>
      </c>
      <c r="F1116" s="34">
        <v>2010</v>
      </c>
      <c r="G1116" s="34" t="s">
        <v>201</v>
      </c>
      <c r="H1116" s="35" t="s">
        <v>91</v>
      </c>
      <c r="I1116" s="43" t="s">
        <v>125</v>
      </c>
      <c r="J1116" s="36">
        <v>3.0031008041410002E-2</v>
      </c>
      <c r="K1116" s="36">
        <v>4.9214998259755442E-2</v>
      </c>
      <c r="L1116" s="37">
        <v>0.52974126858176551</v>
      </c>
      <c r="M1116" s="36">
        <v>0.33851467380821854</v>
      </c>
      <c r="N1116" s="36"/>
      <c r="O1116" s="36"/>
      <c r="P1116">
        <v>0.15904075102537502</v>
      </c>
    </row>
    <row r="1117" spans="1:16" hidden="1" x14ac:dyDescent="0.35">
      <c r="A1117" s="3">
        <f xml:space="preserve"> ROW( data_scaledImpacts[[#This Row],[row_id]] ) - ROW( data_scaledImpacts[[#Headers],[row_id]] )</f>
        <v>1116</v>
      </c>
      <c r="B1117" s="41" t="str">
        <f xml:space="preserve"> _xlfn.TEXTJOIN( "", , data_scaledImpacts[[#This Row],[sector]:[impactType]] )</f>
        <v>WinterRecGFDL-CM352010N/AXC</v>
      </c>
      <c r="C1117" s="33" t="s">
        <v>89</v>
      </c>
      <c r="D1117" s="33" t="s">
        <v>5</v>
      </c>
      <c r="E1117" s="34">
        <v>5</v>
      </c>
      <c r="F1117" s="34">
        <v>2010</v>
      </c>
      <c r="G1117" s="34" t="s">
        <v>201</v>
      </c>
      <c r="H1117" s="35" t="s">
        <v>91</v>
      </c>
      <c r="I1117" s="43" t="s">
        <v>126</v>
      </c>
      <c r="J1117" s="36">
        <v>1.8637957289987871E-2</v>
      </c>
      <c r="K1117" s="36">
        <v>4.6840892545119493E-2</v>
      </c>
      <c r="L1117" s="37">
        <v>0.31329119079252665</v>
      </c>
      <c r="M1117" s="36">
        <v>0.33539496099853611</v>
      </c>
      <c r="N1117" s="36"/>
      <c r="O1117" s="36"/>
      <c r="P1117">
        <v>0.10374776656447285</v>
      </c>
    </row>
    <row r="1118" spans="1:16" hidden="1" x14ac:dyDescent="0.35">
      <c r="A1118" s="3">
        <f xml:space="preserve"> ROW( data_scaledImpacts[[#This Row],[row_id]] ) - ROW( data_scaledImpacts[[#Headers],[row_id]] )</f>
        <v>1117</v>
      </c>
      <c r="B1118" s="41" t="str">
        <f xml:space="preserve"> _xlfn.TEXTJOIN( "", , data_scaledImpacts[[#This Row],[sector]:[impactType]] )</f>
        <v>WinterRecGCM Average52010N/AXC</v>
      </c>
      <c r="C1118" s="33" t="s">
        <v>89</v>
      </c>
      <c r="D1118" s="33" t="s">
        <v>15</v>
      </c>
      <c r="E1118" s="34">
        <v>5</v>
      </c>
      <c r="F1118" s="34">
        <v>2010</v>
      </c>
      <c r="G1118" s="34" t="s">
        <v>201</v>
      </c>
      <c r="H1118" s="35" t="s">
        <v>91</v>
      </c>
      <c r="I1118" s="43" t="s">
        <v>127</v>
      </c>
      <c r="J1118" s="36">
        <v>2.6199847924112746E-2</v>
      </c>
      <c r="K1118" s="36">
        <v>4.6105093214998658E-2</v>
      </c>
      <c r="L1118" s="37">
        <v>0.45852863850146941</v>
      </c>
      <c r="M1118" s="36">
        <v>0.40242682986747197</v>
      </c>
      <c r="N1118" s="36" t="s">
        <v>26</v>
      </c>
      <c r="O1118" s="36"/>
      <c r="P1118">
        <v>0.13166182571322768</v>
      </c>
    </row>
    <row r="1119" spans="1:16" hidden="1" x14ac:dyDescent="0.35">
      <c r="A1119" s="3">
        <f xml:space="preserve"> ROW( data_scaledImpacts[[#This Row],[row_id]] ) - ROW( data_scaledImpacts[[#Headers],[row_id]] )</f>
        <v>1118</v>
      </c>
      <c r="B1119" s="41" t="str">
        <f xml:space="preserve"> _xlfn.TEXTJOIN( "", , data_scaledImpacts[[#This Row],[sector]:[impactType]] )</f>
        <v>WinterRecCanESM262010N/AXC</v>
      </c>
      <c r="C1119" s="33" t="s">
        <v>89</v>
      </c>
      <c r="D1119" s="33" t="s">
        <v>0</v>
      </c>
      <c r="E1119" s="34">
        <v>6</v>
      </c>
      <c r="F1119" s="34">
        <v>2010</v>
      </c>
      <c r="G1119" s="34" t="s">
        <v>201</v>
      </c>
      <c r="H1119" s="35" t="s">
        <v>91</v>
      </c>
      <c r="I1119" s="43" t="s">
        <v>128</v>
      </c>
      <c r="J1119" s="36">
        <v>2.584624220207889E-2</v>
      </c>
      <c r="K1119" s="36">
        <v>4.7396437635724917E-2</v>
      </c>
      <c r="L1119" s="37">
        <v>0.53908746671677188</v>
      </c>
      <c r="M1119" s="36">
        <v>0.46368986118957528</v>
      </c>
      <c r="N1119" s="36"/>
      <c r="O1119" s="36"/>
      <c r="P1119">
        <v>0.1557492143053264</v>
      </c>
    </row>
    <row r="1120" spans="1:16" hidden="1" x14ac:dyDescent="0.35">
      <c r="A1120" s="3">
        <f xml:space="preserve"> ROW( data_scaledImpacts[[#This Row],[row_id]] ) - ROW( data_scaledImpacts[[#Headers],[row_id]] )</f>
        <v>1119</v>
      </c>
      <c r="B1120" s="41" t="str">
        <f xml:space="preserve"> _xlfn.TEXTJOIN( "", , data_scaledImpacts[[#This Row],[sector]:[impactType]] )</f>
        <v>WinterRecCCSM462010N/AXC</v>
      </c>
      <c r="C1120" s="33" t="s">
        <v>89</v>
      </c>
      <c r="D1120" s="33" t="s">
        <v>1</v>
      </c>
      <c r="E1120" s="34">
        <v>6</v>
      </c>
      <c r="F1120" s="34">
        <v>2010</v>
      </c>
      <c r="G1120" s="34" t="s">
        <v>201</v>
      </c>
      <c r="H1120" s="35" t="s">
        <v>91</v>
      </c>
      <c r="I1120" s="43" t="s">
        <v>129</v>
      </c>
      <c r="J1120" s="36"/>
      <c r="K1120" s="36"/>
      <c r="L1120" s="37"/>
      <c r="M1120" s="36"/>
      <c r="N1120" s="36"/>
      <c r="O1120" s="36"/>
    </row>
    <row r="1121" spans="1:16" hidden="1" x14ac:dyDescent="0.35">
      <c r="A1121" s="3">
        <f xml:space="preserve"> ROW( data_scaledImpacts[[#This Row],[row_id]] ) - ROW( data_scaledImpacts[[#Headers],[row_id]] )</f>
        <v>1120</v>
      </c>
      <c r="B1121" s="41" t="str">
        <f xml:space="preserve"> _xlfn.TEXTJOIN( "", , data_scaledImpacts[[#This Row],[sector]:[impactType]] )</f>
        <v>WinterRecGISS-E2-R62010N/AXC</v>
      </c>
      <c r="C1121" s="33" t="s">
        <v>89</v>
      </c>
      <c r="D1121" s="33" t="s">
        <v>2</v>
      </c>
      <c r="E1121" s="34">
        <v>6</v>
      </c>
      <c r="F1121" s="34">
        <v>2010</v>
      </c>
      <c r="G1121" s="34" t="s">
        <v>201</v>
      </c>
      <c r="H1121" s="35" t="s">
        <v>91</v>
      </c>
      <c r="I1121" s="43" t="s">
        <v>130</v>
      </c>
      <c r="J1121" s="36"/>
      <c r="K1121" s="36"/>
      <c r="L1121" s="37"/>
      <c r="M1121" s="36"/>
      <c r="N1121" s="36"/>
      <c r="O1121" s="36"/>
    </row>
    <row r="1122" spans="1:16" hidden="1" x14ac:dyDescent="0.35">
      <c r="A1122" s="3">
        <f xml:space="preserve"> ROW( data_scaledImpacts[[#This Row],[row_id]] ) - ROW( data_scaledImpacts[[#Headers],[row_id]] )</f>
        <v>1121</v>
      </c>
      <c r="B1122" s="41" t="str">
        <f xml:space="preserve"> _xlfn.TEXTJOIN( "", , data_scaledImpacts[[#This Row],[sector]:[impactType]] )</f>
        <v>WinterRecHadGEM2-ES62010N/AXC</v>
      </c>
      <c r="C1122" s="33" t="s">
        <v>89</v>
      </c>
      <c r="D1122" s="33" t="s">
        <v>3</v>
      </c>
      <c r="E1122" s="34">
        <v>6</v>
      </c>
      <c r="F1122" s="34">
        <v>2010</v>
      </c>
      <c r="G1122" s="34" t="s">
        <v>201</v>
      </c>
      <c r="H1122" s="35" t="s">
        <v>91</v>
      </c>
      <c r="I1122" s="43" t="s">
        <v>131</v>
      </c>
      <c r="J1122" s="36">
        <v>3.0319128285962539E-2</v>
      </c>
      <c r="K1122" s="36">
        <v>4.9615677634354781E-2</v>
      </c>
      <c r="L1122" s="37">
        <v>0.53305889964145725</v>
      </c>
      <c r="M1122" s="36">
        <v>0.4694172596628543</v>
      </c>
      <c r="N1122" s="36"/>
      <c r="O1122" s="36"/>
      <c r="P1122">
        <v>0.11594238756380802</v>
      </c>
    </row>
    <row r="1123" spans="1:16" hidden="1" x14ac:dyDescent="0.35">
      <c r="A1123" s="3">
        <f xml:space="preserve"> ROW( data_scaledImpacts[[#This Row],[row_id]] ) - ROW( data_scaledImpacts[[#Headers],[row_id]] )</f>
        <v>1122</v>
      </c>
      <c r="B1123" s="41" t="str">
        <f xml:space="preserve"> _xlfn.TEXTJOIN( "", , data_scaledImpacts[[#This Row],[sector]:[impactType]] )</f>
        <v>WinterRecMIROC562010N/AXC</v>
      </c>
      <c r="C1123" s="33" t="s">
        <v>89</v>
      </c>
      <c r="D1123" s="33" t="s">
        <v>4</v>
      </c>
      <c r="E1123" s="34">
        <v>6</v>
      </c>
      <c r="F1123" s="34">
        <v>2010</v>
      </c>
      <c r="G1123" s="34" t="s">
        <v>201</v>
      </c>
      <c r="H1123" s="35" t="s">
        <v>91</v>
      </c>
      <c r="I1123" s="43" t="s">
        <v>132</v>
      </c>
      <c r="J1123" s="36"/>
      <c r="K1123" s="36"/>
      <c r="L1123" s="37"/>
      <c r="M1123" s="36"/>
      <c r="N1123" s="36"/>
      <c r="O1123" s="36"/>
    </row>
    <row r="1124" spans="1:16" hidden="1" x14ac:dyDescent="0.35">
      <c r="A1124" s="3">
        <f xml:space="preserve"> ROW( data_scaledImpacts[[#This Row],[row_id]] ) - ROW( data_scaledImpacts[[#Headers],[row_id]] )</f>
        <v>1123</v>
      </c>
      <c r="B1124" s="41" t="str">
        <f xml:space="preserve"> _xlfn.TEXTJOIN( "", , data_scaledImpacts[[#This Row],[sector]:[impactType]] )</f>
        <v>WinterRecGFDL-CM362010N/AXC</v>
      </c>
      <c r="C1124" s="33" t="s">
        <v>89</v>
      </c>
      <c r="D1124" s="33" t="s">
        <v>5</v>
      </c>
      <c r="E1124" s="34">
        <v>6</v>
      </c>
      <c r="F1124" s="34">
        <v>2010</v>
      </c>
      <c r="G1124" s="34" t="s">
        <v>201</v>
      </c>
      <c r="H1124" s="35" t="s">
        <v>91</v>
      </c>
      <c r="I1124" s="43" t="s">
        <v>133</v>
      </c>
      <c r="J1124" s="36">
        <v>2.7707934062562493E-2</v>
      </c>
      <c r="K1124" s="36">
        <v>4.8976188119355314E-2</v>
      </c>
      <c r="L1124" s="37">
        <v>0.46818672277478895</v>
      </c>
      <c r="M1124" s="36">
        <v>0.37164190611825343</v>
      </c>
      <c r="N1124" s="36"/>
      <c r="O1124" s="36"/>
      <c r="P1124">
        <v>0.15279976263272732</v>
      </c>
    </row>
    <row r="1125" spans="1:16" hidden="1" x14ac:dyDescent="0.35">
      <c r="A1125" s="3">
        <f xml:space="preserve"> ROW( data_scaledImpacts[[#This Row],[row_id]] ) - ROW( data_scaledImpacts[[#Headers],[row_id]] )</f>
        <v>1124</v>
      </c>
      <c r="B1125" s="41" t="str">
        <f xml:space="preserve"> _xlfn.TEXTJOIN( "", , data_scaledImpacts[[#This Row],[sector]:[impactType]] )</f>
        <v>WinterRecGCM Average62010N/AXC</v>
      </c>
      <c r="C1125" s="33" t="s">
        <v>89</v>
      </c>
      <c r="D1125" s="33" t="s">
        <v>15</v>
      </c>
      <c r="E1125" s="34">
        <v>6</v>
      </c>
      <c r="F1125" s="34">
        <v>2010</v>
      </c>
      <c r="G1125" s="34" t="s">
        <v>201</v>
      </c>
      <c r="H1125" s="35" t="s">
        <v>91</v>
      </c>
      <c r="I1125" s="43" t="s">
        <v>134</v>
      </c>
      <c r="J1125" s="36">
        <v>2.7957768183534643E-2</v>
      </c>
      <c r="K1125" s="36">
        <v>4.866276779647833E-2</v>
      </c>
      <c r="L1125" s="37">
        <v>0.51344436304433938</v>
      </c>
      <c r="M1125" s="36">
        <v>0.43491634232356097</v>
      </c>
      <c r="N1125" s="36" t="s">
        <v>26</v>
      </c>
      <c r="O1125" s="36"/>
      <c r="P1125">
        <v>0.14149712150062058</v>
      </c>
    </row>
    <row r="1126" spans="1:16" hidden="1" x14ac:dyDescent="0.35">
      <c r="A1126" s="3">
        <f xml:space="preserve"> ROW( data_scaledImpacts[[#This Row],[row_id]] ) - ROW( data_scaledImpacts[[#Headers],[row_id]] )</f>
        <v>1125</v>
      </c>
      <c r="B1126" s="41" t="str">
        <f xml:space="preserve"> _xlfn.TEXTJOIN( "", , data_scaledImpacts[[#This Row],[sector]:[impactType]] )</f>
        <v>WinterRecCanESM272010N/AXC</v>
      </c>
      <c r="C1126" s="33" t="s">
        <v>89</v>
      </c>
      <c r="D1126" s="33" t="s">
        <v>0</v>
      </c>
      <c r="E1126" s="34">
        <v>7</v>
      </c>
      <c r="F1126" s="34">
        <v>2010</v>
      </c>
      <c r="G1126" s="34" t="s">
        <v>201</v>
      </c>
      <c r="H1126" s="35" t="s">
        <v>91</v>
      </c>
      <c r="I1126" s="43" t="s">
        <v>135</v>
      </c>
      <c r="J1126" s="36"/>
      <c r="K1126" s="36"/>
      <c r="L1126" s="37"/>
      <c r="M1126" s="36"/>
      <c r="N1126" s="36"/>
      <c r="O1126" s="36"/>
    </row>
    <row r="1127" spans="1:16" hidden="1" x14ac:dyDescent="0.35">
      <c r="A1127" s="3">
        <f xml:space="preserve"> ROW( data_scaledImpacts[[#This Row],[row_id]] ) - ROW( data_scaledImpacts[[#Headers],[row_id]] )</f>
        <v>1126</v>
      </c>
      <c r="B1127" s="41" t="str">
        <f xml:space="preserve"> _xlfn.TEXTJOIN( "", , data_scaledImpacts[[#This Row],[sector]:[impactType]] )</f>
        <v>WinterRecCCSM472010N/AXC</v>
      </c>
      <c r="C1127" s="33" t="s">
        <v>89</v>
      </c>
      <c r="D1127" s="33" t="s">
        <v>1</v>
      </c>
      <c r="E1127" s="34">
        <v>7</v>
      </c>
      <c r="F1127" s="34">
        <v>2010</v>
      </c>
      <c r="G1127" s="34" t="s">
        <v>201</v>
      </c>
      <c r="H1127" s="35" t="s">
        <v>91</v>
      </c>
      <c r="I1127" s="43" t="s">
        <v>136</v>
      </c>
      <c r="J1127" s="36"/>
      <c r="K1127" s="36"/>
      <c r="L1127" s="37"/>
      <c r="M1127" s="36"/>
      <c r="N1127" s="36"/>
      <c r="O1127" s="36"/>
    </row>
    <row r="1128" spans="1:16" hidden="1" x14ac:dyDescent="0.35">
      <c r="A1128" s="3">
        <f xml:space="preserve"> ROW( data_scaledImpacts[[#This Row],[row_id]] ) - ROW( data_scaledImpacts[[#Headers],[row_id]] )</f>
        <v>1127</v>
      </c>
      <c r="B1128" s="41" t="str">
        <f xml:space="preserve"> _xlfn.TEXTJOIN( "", , data_scaledImpacts[[#This Row],[sector]:[impactType]] )</f>
        <v>WinterRecGISS-E2-R72010N/AXC</v>
      </c>
      <c r="C1128" s="33" t="s">
        <v>89</v>
      </c>
      <c r="D1128" s="33" t="s">
        <v>2</v>
      </c>
      <c r="E1128" s="34">
        <v>7</v>
      </c>
      <c r="F1128" s="34">
        <v>2010</v>
      </c>
      <c r="G1128" s="34" t="s">
        <v>201</v>
      </c>
      <c r="H1128" s="35" t="s">
        <v>91</v>
      </c>
      <c r="I1128" s="43" t="s">
        <v>137</v>
      </c>
      <c r="J1128" s="36"/>
      <c r="K1128" s="36"/>
      <c r="L1128" s="37"/>
      <c r="M1128" s="36"/>
      <c r="N1128" s="36"/>
      <c r="O1128" s="36"/>
    </row>
    <row r="1129" spans="1:16" hidden="1" x14ac:dyDescent="0.35">
      <c r="A1129" s="3">
        <f xml:space="preserve"> ROW( data_scaledImpacts[[#This Row],[row_id]] ) - ROW( data_scaledImpacts[[#Headers],[row_id]] )</f>
        <v>1128</v>
      </c>
      <c r="B1129" s="41" t="str">
        <f xml:space="preserve"> _xlfn.TEXTJOIN( "", , data_scaledImpacts[[#This Row],[sector]:[impactType]] )</f>
        <v>WinterRecHadGEM2-ES72010N/AXC</v>
      </c>
      <c r="C1129" s="33" t="s">
        <v>89</v>
      </c>
      <c r="D1129" s="33" t="s">
        <v>3</v>
      </c>
      <c r="E1129" s="34">
        <v>7</v>
      </c>
      <c r="F1129" s="34">
        <v>2010</v>
      </c>
      <c r="G1129" s="34" t="s">
        <v>201</v>
      </c>
      <c r="H1129" s="35" t="s">
        <v>91</v>
      </c>
      <c r="I1129" s="43" t="s">
        <v>138</v>
      </c>
      <c r="J1129" s="36"/>
      <c r="K1129" s="36"/>
      <c r="L1129" s="37"/>
      <c r="M1129" s="36"/>
      <c r="N1129" s="36"/>
      <c r="O1129" s="36"/>
    </row>
    <row r="1130" spans="1:16" hidden="1" x14ac:dyDescent="0.35">
      <c r="A1130" s="3">
        <f xml:space="preserve"> ROW( data_scaledImpacts[[#This Row],[row_id]] ) - ROW( data_scaledImpacts[[#Headers],[row_id]] )</f>
        <v>1129</v>
      </c>
      <c r="B1130" s="41" t="str">
        <f xml:space="preserve"> _xlfn.TEXTJOIN( "", , data_scaledImpacts[[#This Row],[sector]:[impactType]] )</f>
        <v>WinterRecMIROC572010N/AXC</v>
      </c>
      <c r="C1130" s="33" t="s">
        <v>89</v>
      </c>
      <c r="D1130" s="33" t="s">
        <v>4</v>
      </c>
      <c r="E1130" s="34">
        <v>7</v>
      </c>
      <c r="F1130" s="34">
        <v>2010</v>
      </c>
      <c r="G1130" s="34" t="s">
        <v>201</v>
      </c>
      <c r="H1130" s="35" t="s">
        <v>91</v>
      </c>
      <c r="I1130" s="43" t="s">
        <v>139</v>
      </c>
      <c r="J1130" s="36"/>
      <c r="K1130" s="36"/>
      <c r="L1130" s="37"/>
      <c r="M1130" s="36"/>
      <c r="N1130" s="36"/>
      <c r="O1130" s="36"/>
    </row>
    <row r="1131" spans="1:16" hidden="1" x14ac:dyDescent="0.35">
      <c r="A1131" s="3">
        <f xml:space="preserve"> ROW( data_scaledImpacts[[#This Row],[row_id]] ) - ROW( data_scaledImpacts[[#Headers],[row_id]] )</f>
        <v>1130</v>
      </c>
      <c r="B1131" s="41" t="str">
        <f xml:space="preserve"> _xlfn.TEXTJOIN( "", , data_scaledImpacts[[#This Row],[sector]:[impactType]] )</f>
        <v>WinterRecGFDL-CM372010N/AXC</v>
      </c>
      <c r="C1131" s="33" t="s">
        <v>89</v>
      </c>
      <c r="D1131" s="33" t="s">
        <v>5</v>
      </c>
      <c r="E1131" s="34">
        <v>7</v>
      </c>
      <c r="F1131" s="34">
        <v>2010</v>
      </c>
      <c r="G1131" s="34" t="s">
        <v>201</v>
      </c>
      <c r="H1131" s="35" t="s">
        <v>91</v>
      </c>
      <c r="I1131" s="43" t="s">
        <v>140</v>
      </c>
      <c r="J1131" s="36"/>
      <c r="K1131" s="36"/>
      <c r="L1131" s="37"/>
      <c r="M1131" s="36"/>
      <c r="N1131" s="36"/>
      <c r="O1131" s="36"/>
    </row>
    <row r="1132" spans="1:16" hidden="1" x14ac:dyDescent="0.35">
      <c r="A1132" s="3">
        <f xml:space="preserve"> ROW( data_scaledImpacts[[#This Row],[row_id]] ) - ROW( data_scaledImpacts[[#Headers],[row_id]] )</f>
        <v>1131</v>
      </c>
      <c r="B1132" s="41" t="str">
        <f xml:space="preserve"> _xlfn.TEXTJOIN( "", , data_scaledImpacts[[#This Row],[sector]:[impactType]] )</f>
        <v>WinterRecGCM Average72010N/AXC</v>
      </c>
      <c r="C1132" s="33" t="s">
        <v>89</v>
      </c>
      <c r="D1132" s="33" t="s">
        <v>15</v>
      </c>
      <c r="E1132" s="34">
        <v>7</v>
      </c>
      <c r="F1132" s="34">
        <v>2010</v>
      </c>
      <c r="G1132" s="34" t="s">
        <v>201</v>
      </c>
      <c r="H1132" s="35" t="s">
        <v>91</v>
      </c>
      <c r="I1132" s="43" t="s">
        <v>141</v>
      </c>
      <c r="J1132" s="36" t="s">
        <v>26</v>
      </c>
      <c r="K1132" s="36" t="s">
        <v>26</v>
      </c>
      <c r="L1132" s="37" t="s">
        <v>26</v>
      </c>
      <c r="M1132" s="36" t="s">
        <v>26</v>
      </c>
      <c r="N1132" s="36" t="s">
        <v>26</v>
      </c>
      <c r="O1132" s="36"/>
      <c r="P1132" t="s">
        <v>26</v>
      </c>
    </row>
    <row r="1133" spans="1:16" hidden="1" x14ac:dyDescent="0.35">
      <c r="A1133" s="3">
        <f xml:space="preserve"> ROW( data_scaledImpacts[[#This Row],[row_id]] ) - ROW( data_scaledImpacts[[#Headers],[row_id]] )</f>
        <v>1132</v>
      </c>
      <c r="B1133" s="41" t="str">
        <f xml:space="preserve"> _xlfn.TEXTJOIN( "", , data_scaledImpacts[[#This Row],[sector]:[impactType]] )</f>
        <v>WinterRecCanESM212090N/AXC</v>
      </c>
      <c r="C1133" s="33" t="s">
        <v>89</v>
      </c>
      <c r="D1133" s="33" t="s">
        <v>0</v>
      </c>
      <c r="E1133" s="34">
        <v>1</v>
      </c>
      <c r="F1133" s="34">
        <v>2090</v>
      </c>
      <c r="G1133" s="34" t="s">
        <v>201</v>
      </c>
      <c r="H1133" s="35" t="s">
        <v>91</v>
      </c>
      <c r="I1133" s="43" t="s">
        <v>142</v>
      </c>
      <c r="J1133" s="36">
        <v>-2.9503831961882254E-3</v>
      </c>
      <c r="K1133" s="36">
        <v>1.2205864351233407E-2</v>
      </c>
      <c r="L1133" s="37">
        <v>2.9170280871074785E-2</v>
      </c>
      <c r="M1133" s="36">
        <v>1.2675336401243424E-2</v>
      </c>
      <c r="N1133" s="36"/>
      <c r="O1133" s="36"/>
      <c r="P1133">
        <v>6.9836720028566563E-4</v>
      </c>
    </row>
    <row r="1134" spans="1:16" hidden="1" x14ac:dyDescent="0.35">
      <c r="A1134" s="3">
        <f xml:space="preserve"> ROW( data_scaledImpacts[[#This Row],[row_id]] ) - ROW( data_scaledImpacts[[#Headers],[row_id]] )</f>
        <v>1133</v>
      </c>
      <c r="B1134" s="41" t="str">
        <f xml:space="preserve"> _xlfn.TEXTJOIN( "", , data_scaledImpacts[[#This Row],[sector]:[impactType]] )</f>
        <v>WinterRecCCSM412090N/AXC</v>
      </c>
      <c r="C1134" s="33" t="s">
        <v>89</v>
      </c>
      <c r="D1134" s="33" t="s">
        <v>1</v>
      </c>
      <c r="E1134" s="34">
        <v>1</v>
      </c>
      <c r="F1134" s="34">
        <v>2090</v>
      </c>
      <c r="G1134" s="34" t="s">
        <v>201</v>
      </c>
      <c r="H1134" s="35" t="s">
        <v>91</v>
      </c>
      <c r="I1134" s="43" t="s">
        <v>143</v>
      </c>
      <c r="J1134" s="36">
        <v>4.0255468313090941E-3</v>
      </c>
      <c r="K1134" s="36">
        <v>4.6210566087916726E-3</v>
      </c>
      <c r="L1134" s="37">
        <v>3.8597197155370883E-2</v>
      </c>
      <c r="M1134" s="36">
        <v>4.4874349738940715E-2</v>
      </c>
      <c r="N1134" s="36"/>
      <c r="O1134" s="36"/>
      <c r="P1134">
        <v>4.4749934717263646E-3</v>
      </c>
    </row>
    <row r="1135" spans="1:16" hidden="1" x14ac:dyDescent="0.35">
      <c r="A1135" s="3">
        <f xml:space="preserve"> ROW( data_scaledImpacts[[#This Row],[row_id]] ) - ROW( data_scaledImpacts[[#Headers],[row_id]] )</f>
        <v>1134</v>
      </c>
      <c r="B1135" s="41" t="str">
        <f xml:space="preserve"> _xlfn.TEXTJOIN( "", , data_scaledImpacts[[#This Row],[sector]:[impactType]] )</f>
        <v>WinterRecGISS-E2-R12090N/AXC</v>
      </c>
      <c r="C1135" s="33" t="s">
        <v>89</v>
      </c>
      <c r="D1135" s="33" t="s">
        <v>2</v>
      </c>
      <c r="E1135" s="34">
        <v>1</v>
      </c>
      <c r="F1135" s="34">
        <v>2090</v>
      </c>
      <c r="G1135" s="34" t="s">
        <v>201</v>
      </c>
      <c r="H1135" s="35" t="s">
        <v>91</v>
      </c>
      <c r="I1135" s="43" t="s">
        <v>144</v>
      </c>
      <c r="J1135" s="36">
        <v>1.2927717623100155E-2</v>
      </c>
      <c r="K1135" s="36">
        <v>1.4117119368744241E-2</v>
      </c>
      <c r="L1135" s="37">
        <v>4.3464926999208273E-2</v>
      </c>
      <c r="M1135" s="36">
        <v>5.5512882129942917E-2</v>
      </c>
      <c r="N1135" s="36"/>
      <c r="O1135" s="36"/>
      <c r="P1135">
        <v>1.2601508908979449E-3</v>
      </c>
    </row>
    <row r="1136" spans="1:16" hidden="1" x14ac:dyDescent="0.35">
      <c r="A1136" s="3">
        <f xml:space="preserve"> ROW( data_scaledImpacts[[#This Row],[row_id]] ) - ROW( data_scaledImpacts[[#Headers],[row_id]] )</f>
        <v>1135</v>
      </c>
      <c r="B1136" s="41" t="str">
        <f xml:space="preserve"> _xlfn.TEXTJOIN( "", , data_scaledImpacts[[#This Row],[sector]:[impactType]] )</f>
        <v>WinterRecHadGEM2-ES12090N/AXC</v>
      </c>
      <c r="C1136" s="33" t="s">
        <v>89</v>
      </c>
      <c r="D1136" s="33" t="s">
        <v>3</v>
      </c>
      <c r="E1136" s="34">
        <v>1</v>
      </c>
      <c r="F1136" s="34">
        <v>2090</v>
      </c>
      <c r="G1136" s="34" t="s">
        <v>201</v>
      </c>
      <c r="H1136" s="35" t="s">
        <v>91</v>
      </c>
      <c r="I1136" s="43" t="s">
        <v>145</v>
      </c>
      <c r="J1136" s="36">
        <v>7.8541114035197007E-3</v>
      </c>
      <c r="K1136" s="36">
        <v>9.2061764420784658E-3</v>
      </c>
      <c r="L1136" s="37">
        <v>-3.5729575108832058E-3</v>
      </c>
      <c r="M1136" s="36">
        <v>6.5727594378018353E-2</v>
      </c>
      <c r="N1136" s="36"/>
      <c r="O1136" s="36"/>
      <c r="P1136">
        <v>-2.7350766908567876E-2</v>
      </c>
    </row>
    <row r="1137" spans="1:16" hidden="1" x14ac:dyDescent="0.35">
      <c r="A1137" s="3">
        <f xml:space="preserve"> ROW( data_scaledImpacts[[#This Row],[row_id]] ) - ROW( data_scaledImpacts[[#Headers],[row_id]] )</f>
        <v>1136</v>
      </c>
      <c r="B1137" s="41" t="str">
        <f xml:space="preserve"> _xlfn.TEXTJOIN( "", , data_scaledImpacts[[#This Row],[sector]:[impactType]] )</f>
        <v>WinterRecMIROC512090N/AXC</v>
      </c>
      <c r="C1137" s="33" t="s">
        <v>89</v>
      </c>
      <c r="D1137" s="33" t="s">
        <v>4</v>
      </c>
      <c r="E1137" s="34">
        <v>1</v>
      </c>
      <c r="F1137" s="34">
        <v>2090</v>
      </c>
      <c r="G1137" s="34" t="s">
        <v>201</v>
      </c>
      <c r="H1137" s="35" t="s">
        <v>91</v>
      </c>
      <c r="I1137" s="43" t="s">
        <v>146</v>
      </c>
      <c r="J1137" s="36">
        <v>7.6300223991733031E-3</v>
      </c>
      <c r="K1137" s="36">
        <v>8.452561214510464E-3</v>
      </c>
      <c r="L1137" s="37">
        <v>0.10766406088324704</v>
      </c>
      <c r="M1137" s="36">
        <v>8.435487071619549E-2</v>
      </c>
      <c r="N1137" s="36"/>
      <c r="O1137" s="36"/>
      <c r="P1137">
        <v>1.1265829446668429E-2</v>
      </c>
    </row>
    <row r="1138" spans="1:16" hidden="1" x14ac:dyDescent="0.35">
      <c r="A1138" s="3">
        <f xml:space="preserve"> ROW( data_scaledImpacts[[#This Row],[row_id]] ) - ROW( data_scaledImpacts[[#Headers],[row_id]] )</f>
        <v>1137</v>
      </c>
      <c r="B1138" s="41" t="str">
        <f xml:space="preserve"> _xlfn.TEXTJOIN( "", , data_scaledImpacts[[#This Row],[sector]:[impactType]] )</f>
        <v>WinterRecGFDL-CM312090N/AXC</v>
      </c>
      <c r="C1138" s="33" t="s">
        <v>89</v>
      </c>
      <c r="D1138" s="33" t="s">
        <v>5</v>
      </c>
      <c r="E1138" s="34">
        <v>1</v>
      </c>
      <c r="F1138" s="34">
        <v>2090</v>
      </c>
      <c r="G1138" s="34" t="s">
        <v>201</v>
      </c>
      <c r="H1138" s="35" t="s">
        <v>91</v>
      </c>
      <c r="I1138" s="43" t="s">
        <v>147</v>
      </c>
      <c r="J1138" s="36">
        <v>-1.5696785899628589E-3</v>
      </c>
      <c r="K1138" s="36">
        <v>9.2113073771910251E-3</v>
      </c>
      <c r="L1138" s="37">
        <v>-5.0086600948501724E-2</v>
      </c>
      <c r="M1138" s="36">
        <v>2.4072589400856083E-2</v>
      </c>
      <c r="N1138" s="36"/>
      <c r="O1138" s="36"/>
      <c r="P1138">
        <v>-4.2521398572287934E-3</v>
      </c>
    </row>
    <row r="1139" spans="1:16" hidden="1" x14ac:dyDescent="0.35">
      <c r="A1139" s="3">
        <f xml:space="preserve"> ROW( data_scaledImpacts[[#This Row],[row_id]] ) - ROW( data_scaledImpacts[[#Headers],[row_id]] )</f>
        <v>1138</v>
      </c>
      <c r="B1139" s="41" t="str">
        <f xml:space="preserve"> _xlfn.TEXTJOIN( "", , data_scaledImpacts[[#This Row],[sector]:[impactType]] )</f>
        <v>WinterRecGCM Average12090N/AXC</v>
      </c>
      <c r="C1139" s="33" t="s">
        <v>89</v>
      </c>
      <c r="D1139" s="33" t="s">
        <v>15</v>
      </c>
      <c r="E1139" s="34">
        <v>1</v>
      </c>
      <c r="F1139" s="34">
        <v>2090</v>
      </c>
      <c r="G1139" s="34" t="s">
        <v>201</v>
      </c>
      <c r="H1139" s="35" t="s">
        <v>91</v>
      </c>
      <c r="I1139" s="43" t="s">
        <v>148</v>
      </c>
      <c r="J1139" s="36">
        <v>4.6528894118251949E-3</v>
      </c>
      <c r="K1139" s="36">
        <v>9.6356808937582122E-3</v>
      </c>
      <c r="L1139" s="37">
        <v>2.7539484574919341E-2</v>
      </c>
      <c r="M1139" s="36">
        <v>4.7869603794199501E-2</v>
      </c>
      <c r="N1139" s="36" t="s">
        <v>26</v>
      </c>
      <c r="O1139" s="36"/>
      <c r="P1139">
        <v>-2.3172609593697106E-3</v>
      </c>
    </row>
    <row r="1140" spans="1:16" hidden="1" x14ac:dyDescent="0.35">
      <c r="A1140" s="3">
        <f xml:space="preserve"> ROW( data_scaledImpacts[[#This Row],[row_id]] ) - ROW( data_scaledImpacts[[#Headers],[row_id]] )</f>
        <v>1139</v>
      </c>
      <c r="B1140" s="41" t="str">
        <f xml:space="preserve"> _xlfn.TEXTJOIN( "", , data_scaledImpacts[[#This Row],[sector]:[impactType]] )</f>
        <v>WinterRecCanESM222090N/AXC</v>
      </c>
      <c r="C1140" s="33" t="s">
        <v>89</v>
      </c>
      <c r="D1140" s="33" t="s">
        <v>0</v>
      </c>
      <c r="E1140" s="34">
        <v>2</v>
      </c>
      <c r="F1140" s="34">
        <v>2090</v>
      </c>
      <c r="G1140" s="34" t="s">
        <v>201</v>
      </c>
      <c r="H1140" s="35" t="s">
        <v>91</v>
      </c>
      <c r="I1140" s="43" t="s">
        <v>149</v>
      </c>
      <c r="J1140" s="36">
        <v>7.0814942095869075E-3</v>
      </c>
      <c r="K1140" s="36">
        <v>1.6858968057402331E-2</v>
      </c>
      <c r="L1140" s="37">
        <v>9.79997071091845E-2</v>
      </c>
      <c r="M1140" s="36">
        <v>0.20482177400110504</v>
      </c>
      <c r="N1140" s="36"/>
      <c r="O1140" s="36"/>
      <c r="P1140">
        <v>3.3956362791133413E-2</v>
      </c>
    </row>
    <row r="1141" spans="1:16" hidden="1" x14ac:dyDescent="0.35">
      <c r="A1141" s="3">
        <f xml:space="preserve"> ROW( data_scaledImpacts[[#This Row],[row_id]] ) - ROW( data_scaledImpacts[[#Headers],[row_id]] )</f>
        <v>1140</v>
      </c>
      <c r="B1141" s="41" t="str">
        <f xml:space="preserve"> _xlfn.TEXTJOIN( "", , data_scaledImpacts[[#This Row],[sector]:[impactType]] )</f>
        <v>WinterRecCCSM422090N/AXC</v>
      </c>
      <c r="C1141" s="33" t="s">
        <v>89</v>
      </c>
      <c r="D1141" s="33" t="s">
        <v>1</v>
      </c>
      <c r="E1141" s="34">
        <v>2</v>
      </c>
      <c r="F1141" s="34">
        <v>2090</v>
      </c>
      <c r="G1141" s="34" t="s">
        <v>201</v>
      </c>
      <c r="H1141" s="35" t="s">
        <v>91</v>
      </c>
      <c r="I1141" s="43" t="s">
        <v>150</v>
      </c>
      <c r="J1141" s="36">
        <v>3.5058932557555048E-3</v>
      </c>
      <c r="K1141" s="36">
        <v>7.8836901260360224E-3</v>
      </c>
      <c r="L1141" s="37">
        <v>0.17810487780269871</v>
      </c>
      <c r="M1141" s="36">
        <v>0.18463686831561738</v>
      </c>
      <c r="N1141" s="36"/>
      <c r="O1141" s="36"/>
      <c r="P1141">
        <v>4.6852581121190916E-2</v>
      </c>
    </row>
    <row r="1142" spans="1:16" hidden="1" x14ac:dyDescent="0.35">
      <c r="A1142" s="3">
        <f xml:space="preserve"> ROW( data_scaledImpacts[[#This Row],[row_id]] ) - ROW( data_scaledImpacts[[#Headers],[row_id]] )</f>
        <v>1141</v>
      </c>
      <c r="B1142" s="41" t="str">
        <f xml:space="preserve"> _xlfn.TEXTJOIN( "", , data_scaledImpacts[[#This Row],[sector]:[impactType]] )</f>
        <v>WinterRecGISS-E2-R22090N/AXC</v>
      </c>
      <c r="C1142" s="33" t="s">
        <v>89</v>
      </c>
      <c r="D1142" s="33" t="s">
        <v>2</v>
      </c>
      <c r="E1142" s="34">
        <v>2</v>
      </c>
      <c r="F1142" s="34">
        <v>2090</v>
      </c>
      <c r="G1142" s="34" t="s">
        <v>201</v>
      </c>
      <c r="H1142" s="35" t="s">
        <v>91</v>
      </c>
      <c r="I1142" s="43" t="s">
        <v>151</v>
      </c>
      <c r="J1142" s="36">
        <v>9.9501447915250601E-3</v>
      </c>
      <c r="K1142" s="36">
        <v>2.1798808641355926E-2</v>
      </c>
      <c r="L1142" s="37">
        <v>7.00124508238473E-2</v>
      </c>
      <c r="M1142" s="36">
        <v>9.802721965062447E-2</v>
      </c>
      <c r="N1142" s="36"/>
      <c r="O1142" s="36"/>
      <c r="P1142">
        <v>8.0058745722721009E-3</v>
      </c>
    </row>
    <row r="1143" spans="1:16" hidden="1" x14ac:dyDescent="0.35">
      <c r="A1143" s="3">
        <f xml:space="preserve"> ROW( data_scaledImpacts[[#This Row],[row_id]] ) - ROW( data_scaledImpacts[[#Headers],[row_id]] )</f>
        <v>1142</v>
      </c>
      <c r="B1143" s="41" t="str">
        <f xml:space="preserve"> _xlfn.TEXTJOIN( "", , data_scaledImpacts[[#This Row],[sector]:[impactType]] )</f>
        <v>WinterRecHadGEM2-ES22090N/AXC</v>
      </c>
      <c r="C1143" s="33" t="s">
        <v>89</v>
      </c>
      <c r="D1143" s="33" t="s">
        <v>3</v>
      </c>
      <c r="E1143" s="34">
        <v>2</v>
      </c>
      <c r="F1143" s="34">
        <v>2090</v>
      </c>
      <c r="G1143" s="34" t="s">
        <v>201</v>
      </c>
      <c r="H1143" s="35" t="s">
        <v>91</v>
      </c>
      <c r="I1143" s="43" t="s">
        <v>152</v>
      </c>
      <c r="J1143" s="36">
        <v>2.5160703441982164E-3</v>
      </c>
      <c r="K1143" s="36">
        <v>1.1354223716542428E-2</v>
      </c>
      <c r="L1143" s="37">
        <v>7.829385544524832E-2</v>
      </c>
      <c r="M1143" s="36">
        <v>0.15889428707654069</v>
      </c>
      <c r="N1143" s="36"/>
      <c r="O1143" s="36"/>
      <c r="P1143">
        <v>1.7262149078395871E-2</v>
      </c>
    </row>
    <row r="1144" spans="1:16" hidden="1" x14ac:dyDescent="0.35">
      <c r="A1144" s="3">
        <f xml:space="preserve"> ROW( data_scaledImpacts[[#This Row],[row_id]] ) - ROW( data_scaledImpacts[[#Headers],[row_id]] )</f>
        <v>1143</v>
      </c>
      <c r="B1144" s="41" t="str">
        <f xml:space="preserve"> _xlfn.TEXTJOIN( "", , data_scaledImpacts[[#This Row],[sector]:[impactType]] )</f>
        <v>WinterRecMIROC522090N/AXC</v>
      </c>
      <c r="C1144" s="33" t="s">
        <v>89</v>
      </c>
      <c r="D1144" s="33" t="s">
        <v>4</v>
      </c>
      <c r="E1144" s="34">
        <v>2</v>
      </c>
      <c r="F1144" s="34">
        <v>2090</v>
      </c>
      <c r="G1144" s="34" t="s">
        <v>201</v>
      </c>
      <c r="H1144" s="35" t="s">
        <v>91</v>
      </c>
      <c r="I1144" s="43" t="s">
        <v>153</v>
      </c>
      <c r="J1144" s="36">
        <v>1.4677238759773214E-2</v>
      </c>
      <c r="K1144" s="36">
        <v>1.8134499206032412E-2</v>
      </c>
      <c r="L1144" s="37">
        <v>0.26172622715414545</v>
      </c>
      <c r="M1144" s="36">
        <v>0.1480204040716615</v>
      </c>
      <c r="N1144" s="36"/>
      <c r="O1144" s="36"/>
      <c r="P1144">
        <v>3.8219183254238058E-2</v>
      </c>
    </row>
    <row r="1145" spans="1:16" hidden="1" x14ac:dyDescent="0.35">
      <c r="A1145" s="3">
        <f xml:space="preserve"> ROW( data_scaledImpacts[[#This Row],[row_id]] ) - ROW( data_scaledImpacts[[#Headers],[row_id]] )</f>
        <v>1144</v>
      </c>
      <c r="B1145" s="41" t="str">
        <f xml:space="preserve"> _xlfn.TEXTJOIN( "", , data_scaledImpacts[[#This Row],[sector]:[impactType]] )</f>
        <v>WinterRecGFDL-CM322090N/AXC</v>
      </c>
      <c r="C1145" s="33" t="s">
        <v>89</v>
      </c>
      <c r="D1145" s="33" t="s">
        <v>5</v>
      </c>
      <c r="E1145" s="34">
        <v>2</v>
      </c>
      <c r="F1145" s="34">
        <v>2090</v>
      </c>
      <c r="G1145" s="34" t="s">
        <v>201</v>
      </c>
      <c r="H1145" s="35" t="s">
        <v>91</v>
      </c>
      <c r="I1145" s="43" t="s">
        <v>154</v>
      </c>
      <c r="J1145" s="36">
        <v>3.4236973984382493E-3</v>
      </c>
      <c r="K1145" s="36">
        <v>1.7500463733864616E-2</v>
      </c>
      <c r="L1145" s="37">
        <v>4.3247907807693428E-2</v>
      </c>
      <c r="M1145" s="36">
        <v>3.7401410370579695E-2</v>
      </c>
      <c r="N1145" s="36"/>
      <c r="O1145" s="36"/>
      <c r="P1145">
        <v>9.957538785474139E-3</v>
      </c>
    </row>
    <row r="1146" spans="1:16" hidden="1" x14ac:dyDescent="0.35">
      <c r="A1146" s="3">
        <f xml:space="preserve"> ROW( data_scaledImpacts[[#This Row],[row_id]] ) - ROW( data_scaledImpacts[[#Headers],[row_id]] )</f>
        <v>1145</v>
      </c>
      <c r="B1146" s="41" t="str">
        <f xml:space="preserve"> _xlfn.TEXTJOIN( "", , data_scaledImpacts[[#This Row],[sector]:[impactType]] )</f>
        <v>WinterRecGCM Average22090N/AXC</v>
      </c>
      <c r="C1146" s="33" t="s">
        <v>89</v>
      </c>
      <c r="D1146" s="33" t="s">
        <v>15</v>
      </c>
      <c r="E1146" s="34">
        <v>2</v>
      </c>
      <c r="F1146" s="34">
        <v>2090</v>
      </c>
      <c r="G1146" s="34" t="s">
        <v>201</v>
      </c>
      <c r="H1146" s="35" t="s">
        <v>91</v>
      </c>
      <c r="I1146" s="43" t="s">
        <v>155</v>
      </c>
      <c r="J1146" s="36">
        <v>6.8590897932128587E-3</v>
      </c>
      <c r="K1146" s="36">
        <v>1.5588442246872287E-2</v>
      </c>
      <c r="L1146" s="37">
        <v>0.12156417102380294</v>
      </c>
      <c r="M1146" s="36">
        <v>0.13863366058102147</v>
      </c>
      <c r="N1146" s="36" t="s">
        <v>26</v>
      </c>
      <c r="O1146" s="36"/>
      <c r="P1146">
        <v>2.5708948267117417E-2</v>
      </c>
    </row>
    <row r="1147" spans="1:16" hidden="1" x14ac:dyDescent="0.35">
      <c r="A1147" s="3">
        <f xml:space="preserve"> ROW( data_scaledImpacts[[#This Row],[row_id]] ) - ROW( data_scaledImpacts[[#Headers],[row_id]] )</f>
        <v>1146</v>
      </c>
      <c r="B1147" s="41" t="str">
        <f xml:space="preserve"> _xlfn.TEXTJOIN( "", , data_scaledImpacts[[#This Row],[sector]:[impactType]] )</f>
        <v>WinterRecCanESM232090N/AXC</v>
      </c>
      <c r="C1147" s="33" t="s">
        <v>89</v>
      </c>
      <c r="D1147" s="33" t="s">
        <v>0</v>
      </c>
      <c r="E1147" s="34">
        <v>3</v>
      </c>
      <c r="F1147" s="34">
        <v>2090</v>
      </c>
      <c r="G1147" s="34" t="s">
        <v>201</v>
      </c>
      <c r="H1147" s="35" t="s">
        <v>91</v>
      </c>
      <c r="I1147" s="43" t="s">
        <v>156</v>
      </c>
      <c r="J1147" s="36">
        <v>1.1212433932216454E-2</v>
      </c>
      <c r="K1147" s="36">
        <v>1.9321763439191297E-2</v>
      </c>
      <c r="L1147" s="37">
        <v>0.22869579416291039</v>
      </c>
      <c r="M1147" s="36">
        <v>0.28312731142227632</v>
      </c>
      <c r="N1147" s="36"/>
      <c r="O1147" s="36"/>
      <c r="P1147">
        <v>4.733504701479218E-2</v>
      </c>
    </row>
    <row r="1148" spans="1:16" hidden="1" x14ac:dyDescent="0.35">
      <c r="A1148" s="3">
        <f xml:space="preserve"> ROW( data_scaledImpacts[[#This Row],[row_id]] ) - ROW( data_scaledImpacts[[#Headers],[row_id]] )</f>
        <v>1147</v>
      </c>
      <c r="B1148" s="41" t="str">
        <f xml:space="preserve"> _xlfn.TEXTJOIN( "", , data_scaledImpacts[[#This Row],[sector]:[impactType]] )</f>
        <v>WinterRecCCSM432090N/AXC</v>
      </c>
      <c r="C1148" s="33" t="s">
        <v>89</v>
      </c>
      <c r="D1148" s="33" t="s">
        <v>1</v>
      </c>
      <c r="E1148" s="34">
        <v>3</v>
      </c>
      <c r="F1148" s="34">
        <v>2090</v>
      </c>
      <c r="G1148" s="34" t="s">
        <v>201</v>
      </c>
      <c r="H1148" s="35" t="s">
        <v>91</v>
      </c>
      <c r="I1148" s="43" t="s">
        <v>157</v>
      </c>
      <c r="J1148" s="36">
        <v>1.5555904586519669E-2</v>
      </c>
      <c r="K1148" s="36">
        <v>2.0740683726932666E-2</v>
      </c>
      <c r="L1148" s="37">
        <v>0.25141270075766736</v>
      </c>
      <c r="M1148" s="36">
        <v>0.28454567251009194</v>
      </c>
      <c r="N1148" s="36"/>
      <c r="O1148" s="36"/>
      <c r="P1148">
        <v>4.3766943425163414E-2</v>
      </c>
    </row>
    <row r="1149" spans="1:16" hidden="1" x14ac:dyDescent="0.35">
      <c r="A1149" s="3">
        <f xml:space="preserve"> ROW( data_scaledImpacts[[#This Row],[row_id]] ) - ROW( data_scaledImpacts[[#Headers],[row_id]] )</f>
        <v>1148</v>
      </c>
      <c r="B1149" s="41" t="str">
        <f xml:space="preserve"> _xlfn.TEXTJOIN( "", , data_scaledImpacts[[#This Row],[sector]:[impactType]] )</f>
        <v>WinterRecGISS-E2-R32090N/AXC</v>
      </c>
      <c r="C1149" s="33" t="s">
        <v>89</v>
      </c>
      <c r="D1149" s="33" t="s">
        <v>2</v>
      </c>
      <c r="E1149" s="34">
        <v>3</v>
      </c>
      <c r="F1149" s="34">
        <v>2090</v>
      </c>
      <c r="G1149" s="34" t="s">
        <v>201</v>
      </c>
      <c r="H1149" s="35" t="s">
        <v>91</v>
      </c>
      <c r="I1149" s="43" t="s">
        <v>158</v>
      </c>
      <c r="J1149" s="36">
        <v>1.2367165580738596E-2</v>
      </c>
      <c r="K1149" s="36">
        <v>2.1303328679656976E-2</v>
      </c>
      <c r="L1149" s="37">
        <v>9.1406617290054823E-2</v>
      </c>
      <c r="M1149" s="36">
        <v>0.14611036378566555</v>
      </c>
      <c r="N1149" s="36"/>
      <c r="O1149" s="36"/>
      <c r="P1149">
        <v>1.935060698889254E-2</v>
      </c>
    </row>
    <row r="1150" spans="1:16" hidden="1" x14ac:dyDescent="0.35">
      <c r="A1150" s="3">
        <f xml:space="preserve"> ROW( data_scaledImpacts[[#This Row],[row_id]] ) - ROW( data_scaledImpacts[[#Headers],[row_id]] )</f>
        <v>1149</v>
      </c>
      <c r="B1150" s="41" t="str">
        <f xml:space="preserve"> _xlfn.TEXTJOIN( "", , data_scaledImpacts[[#This Row],[sector]:[impactType]] )</f>
        <v>WinterRecHadGEM2-ES32090N/AXC</v>
      </c>
      <c r="C1150" s="33" t="s">
        <v>89</v>
      </c>
      <c r="D1150" s="33" t="s">
        <v>3</v>
      </c>
      <c r="E1150" s="34">
        <v>3</v>
      </c>
      <c r="F1150" s="34">
        <v>2090</v>
      </c>
      <c r="G1150" s="34" t="s">
        <v>201</v>
      </c>
      <c r="H1150" s="35" t="s">
        <v>91</v>
      </c>
      <c r="I1150" s="43" t="s">
        <v>159</v>
      </c>
      <c r="J1150" s="36">
        <v>1.1526911269491187E-2</v>
      </c>
      <c r="K1150" s="36">
        <v>2.2561634235774064E-2</v>
      </c>
      <c r="L1150" s="37">
        <v>0.1945352069715244</v>
      </c>
      <c r="M1150" s="36">
        <v>0.27227736888610193</v>
      </c>
      <c r="N1150" s="36"/>
      <c r="O1150" s="36"/>
      <c r="P1150">
        <v>4.0979698213362024E-2</v>
      </c>
    </row>
    <row r="1151" spans="1:16" hidden="1" x14ac:dyDescent="0.35">
      <c r="A1151" s="3">
        <f xml:space="preserve"> ROW( data_scaledImpacts[[#This Row],[row_id]] ) - ROW( data_scaledImpacts[[#Headers],[row_id]] )</f>
        <v>1150</v>
      </c>
      <c r="B1151" s="41" t="str">
        <f xml:space="preserve"> _xlfn.TEXTJOIN( "", , data_scaledImpacts[[#This Row],[sector]:[impactType]] )</f>
        <v>WinterRecMIROC532090N/AXC</v>
      </c>
      <c r="C1151" s="33" t="s">
        <v>89</v>
      </c>
      <c r="D1151" s="33" t="s">
        <v>4</v>
      </c>
      <c r="E1151" s="34">
        <v>3</v>
      </c>
      <c r="F1151" s="34">
        <v>2090</v>
      </c>
      <c r="G1151" s="34" t="s">
        <v>201</v>
      </c>
      <c r="H1151" s="35" t="s">
        <v>91</v>
      </c>
      <c r="I1151" s="43" t="s">
        <v>160</v>
      </c>
      <c r="J1151" s="36">
        <v>1.3522713565829632E-2</v>
      </c>
      <c r="K1151" s="36">
        <v>2.6358332083729966E-2</v>
      </c>
      <c r="L1151" s="37">
        <v>0.29483109599111007</v>
      </c>
      <c r="M1151" s="36">
        <v>0.18018285802398426</v>
      </c>
      <c r="N1151" s="36"/>
      <c r="O1151" s="36"/>
      <c r="P1151">
        <v>7.2215973206165324E-2</v>
      </c>
    </row>
    <row r="1152" spans="1:16" hidden="1" x14ac:dyDescent="0.35">
      <c r="A1152" s="3">
        <f xml:space="preserve"> ROW( data_scaledImpacts[[#This Row],[row_id]] ) - ROW( data_scaledImpacts[[#Headers],[row_id]] )</f>
        <v>1151</v>
      </c>
      <c r="B1152" s="41" t="str">
        <f xml:space="preserve"> _xlfn.TEXTJOIN( "", , data_scaledImpacts[[#This Row],[sector]:[impactType]] )</f>
        <v>WinterRecGFDL-CM332090N/AXC</v>
      </c>
      <c r="C1152" s="33" t="s">
        <v>89</v>
      </c>
      <c r="D1152" s="33" t="s">
        <v>5</v>
      </c>
      <c r="E1152" s="34">
        <v>3</v>
      </c>
      <c r="F1152" s="34">
        <v>2090</v>
      </c>
      <c r="G1152" s="34" t="s">
        <v>201</v>
      </c>
      <c r="H1152" s="35" t="s">
        <v>91</v>
      </c>
      <c r="I1152" s="43" t="s">
        <v>161</v>
      </c>
      <c r="J1152" s="36">
        <v>7.1034965629336103E-3</v>
      </c>
      <c r="K1152" s="36">
        <v>2.3940634741258078E-2</v>
      </c>
      <c r="L1152" s="37">
        <v>0.25188315777212172</v>
      </c>
      <c r="M1152" s="36">
        <v>0.22393432074302791</v>
      </c>
      <c r="N1152" s="36"/>
      <c r="O1152" s="36"/>
      <c r="P1152">
        <v>5.4605905851256402E-2</v>
      </c>
    </row>
    <row r="1153" spans="1:16" hidden="1" x14ac:dyDescent="0.35">
      <c r="A1153" s="3">
        <f xml:space="preserve"> ROW( data_scaledImpacts[[#This Row],[row_id]] ) - ROW( data_scaledImpacts[[#Headers],[row_id]] )</f>
        <v>1152</v>
      </c>
      <c r="B1153" s="41" t="str">
        <f xml:space="preserve"> _xlfn.TEXTJOIN( "", , data_scaledImpacts[[#This Row],[sector]:[impactType]] )</f>
        <v>WinterRecGCM Average32090N/AXC</v>
      </c>
      <c r="C1153" s="33" t="s">
        <v>89</v>
      </c>
      <c r="D1153" s="33" t="s">
        <v>15</v>
      </c>
      <c r="E1153" s="34">
        <v>3</v>
      </c>
      <c r="F1153" s="34">
        <v>2090</v>
      </c>
      <c r="G1153" s="34" t="s">
        <v>201</v>
      </c>
      <c r="H1153" s="35" t="s">
        <v>91</v>
      </c>
      <c r="I1153" s="43" t="s">
        <v>162</v>
      </c>
      <c r="J1153" s="36">
        <v>1.188143758295486E-2</v>
      </c>
      <c r="K1153" s="36">
        <v>2.2371062817757175E-2</v>
      </c>
      <c r="L1153" s="37">
        <v>0.21879409549089812</v>
      </c>
      <c r="M1153" s="36">
        <v>0.23169631589519132</v>
      </c>
      <c r="N1153" s="36" t="s">
        <v>26</v>
      </c>
      <c r="O1153" s="36"/>
      <c r="P1153">
        <v>4.6375695783271977E-2</v>
      </c>
    </row>
    <row r="1154" spans="1:16" hidden="1" x14ac:dyDescent="0.35">
      <c r="A1154" s="3">
        <f xml:space="preserve"> ROW( data_scaledImpacts[[#This Row],[row_id]] ) - ROW( data_scaledImpacts[[#Headers],[row_id]] )</f>
        <v>1153</v>
      </c>
      <c r="B1154" s="41" t="str">
        <f xml:space="preserve"> _xlfn.TEXTJOIN( "", , data_scaledImpacts[[#This Row],[sector]:[impactType]] )</f>
        <v>WinterRecCanESM242090N/AXC</v>
      </c>
      <c r="C1154" s="33" t="s">
        <v>89</v>
      </c>
      <c r="D1154" s="33" t="s">
        <v>0</v>
      </c>
      <c r="E1154" s="34">
        <v>4</v>
      </c>
      <c r="F1154" s="34">
        <v>2090</v>
      </c>
      <c r="G1154" s="34" t="s">
        <v>201</v>
      </c>
      <c r="H1154" s="35" t="s">
        <v>91</v>
      </c>
      <c r="I1154" s="43" t="s">
        <v>163</v>
      </c>
      <c r="J1154" s="36">
        <v>8.239642967801785E-3</v>
      </c>
      <c r="K1154" s="36">
        <v>2.4508217132806518E-2</v>
      </c>
      <c r="L1154" s="37">
        <v>0.29777758664872828</v>
      </c>
      <c r="M1154" s="36">
        <v>0.371658199665927</v>
      </c>
      <c r="N1154" s="36"/>
      <c r="O1154" s="36"/>
      <c r="P1154">
        <v>7.1102723935331485E-2</v>
      </c>
    </row>
    <row r="1155" spans="1:16" hidden="1" x14ac:dyDescent="0.35">
      <c r="A1155" s="3">
        <f xml:space="preserve"> ROW( data_scaledImpacts[[#This Row],[row_id]] ) - ROW( data_scaledImpacts[[#Headers],[row_id]] )</f>
        <v>1154</v>
      </c>
      <c r="B1155" s="41" t="str">
        <f xml:space="preserve"> _xlfn.TEXTJOIN( "", , data_scaledImpacts[[#This Row],[sector]:[impactType]] )</f>
        <v>WinterRecCCSM442090N/AXC</v>
      </c>
      <c r="C1155" s="33" t="s">
        <v>89</v>
      </c>
      <c r="D1155" s="33" t="s">
        <v>1</v>
      </c>
      <c r="E1155" s="34">
        <v>4</v>
      </c>
      <c r="F1155" s="34">
        <v>2090</v>
      </c>
      <c r="G1155" s="34" t="s">
        <v>201</v>
      </c>
      <c r="H1155" s="35" t="s">
        <v>91</v>
      </c>
      <c r="I1155" s="43" t="s">
        <v>164</v>
      </c>
      <c r="J1155" s="36">
        <v>2.692386694741164E-2</v>
      </c>
      <c r="K1155" s="36">
        <v>2.8147649651326805E-2</v>
      </c>
      <c r="L1155" s="37">
        <v>0.42533634126011788</v>
      </c>
      <c r="M1155" s="36">
        <v>0.41424565786431405</v>
      </c>
      <c r="N1155" s="36"/>
      <c r="O1155" s="36"/>
      <c r="P1155">
        <v>8.223372825366386E-2</v>
      </c>
    </row>
    <row r="1156" spans="1:16" hidden="1" x14ac:dyDescent="0.35">
      <c r="A1156" s="3">
        <f xml:space="preserve"> ROW( data_scaledImpacts[[#This Row],[row_id]] ) - ROW( data_scaledImpacts[[#Headers],[row_id]] )</f>
        <v>1155</v>
      </c>
      <c r="B1156" s="41" t="str">
        <f xml:space="preserve"> _xlfn.TEXTJOIN( "", , data_scaledImpacts[[#This Row],[sector]:[impactType]] )</f>
        <v>WinterRecGISS-E2-R42090N/AXC</v>
      </c>
      <c r="C1156" s="33" t="s">
        <v>89</v>
      </c>
      <c r="D1156" s="33" t="s">
        <v>2</v>
      </c>
      <c r="E1156" s="34">
        <v>4</v>
      </c>
      <c r="F1156" s="34">
        <v>2090</v>
      </c>
      <c r="G1156" s="34" t="s">
        <v>201</v>
      </c>
      <c r="H1156" s="35" t="s">
        <v>91</v>
      </c>
      <c r="I1156" s="43" t="s">
        <v>165</v>
      </c>
      <c r="J1156" s="36"/>
      <c r="K1156" s="36"/>
      <c r="L1156" s="37"/>
      <c r="M1156" s="36"/>
      <c r="N1156" s="36"/>
      <c r="O1156" s="36"/>
    </row>
    <row r="1157" spans="1:16" hidden="1" x14ac:dyDescent="0.35">
      <c r="A1157" s="3">
        <f xml:space="preserve"> ROW( data_scaledImpacts[[#This Row],[row_id]] ) - ROW( data_scaledImpacts[[#Headers],[row_id]] )</f>
        <v>1156</v>
      </c>
      <c r="B1157" s="41" t="str">
        <f xml:space="preserve"> _xlfn.TEXTJOIN( "", , data_scaledImpacts[[#This Row],[sector]:[impactType]] )</f>
        <v>WinterRecHadGEM2-ES42090N/AXC</v>
      </c>
      <c r="C1157" s="33" t="s">
        <v>89</v>
      </c>
      <c r="D1157" s="33" t="s">
        <v>3</v>
      </c>
      <c r="E1157" s="34">
        <v>4</v>
      </c>
      <c r="F1157" s="34">
        <v>2090</v>
      </c>
      <c r="G1157" s="34" t="s">
        <v>201</v>
      </c>
      <c r="H1157" s="35" t="s">
        <v>91</v>
      </c>
      <c r="I1157" s="43" t="s">
        <v>166</v>
      </c>
      <c r="J1157" s="36">
        <v>2.3956940779877419E-2</v>
      </c>
      <c r="K1157" s="36">
        <v>2.8286340560612452E-2</v>
      </c>
      <c r="L1157" s="37">
        <v>0.31555783896328188</v>
      </c>
      <c r="M1157" s="36">
        <v>0.39413265679690335</v>
      </c>
      <c r="N1157" s="36"/>
      <c r="O1157" s="36"/>
      <c r="P1157">
        <v>8.6126593621363198E-2</v>
      </c>
    </row>
    <row r="1158" spans="1:16" hidden="1" x14ac:dyDescent="0.35">
      <c r="A1158" s="3">
        <f xml:space="preserve"> ROW( data_scaledImpacts[[#This Row],[row_id]] ) - ROW( data_scaledImpacts[[#Headers],[row_id]] )</f>
        <v>1157</v>
      </c>
      <c r="B1158" s="41" t="str">
        <f xml:space="preserve"> _xlfn.TEXTJOIN( "", , data_scaledImpacts[[#This Row],[sector]:[impactType]] )</f>
        <v>WinterRecMIROC542090N/AXC</v>
      </c>
      <c r="C1158" s="33" t="s">
        <v>89</v>
      </c>
      <c r="D1158" s="33" t="s">
        <v>4</v>
      </c>
      <c r="E1158" s="34">
        <v>4</v>
      </c>
      <c r="F1158" s="34">
        <v>2090</v>
      </c>
      <c r="G1158" s="34" t="s">
        <v>201</v>
      </c>
      <c r="H1158" s="35" t="s">
        <v>91</v>
      </c>
      <c r="I1158" s="43" t="s">
        <v>167</v>
      </c>
      <c r="J1158" s="36">
        <v>2.5177684327736136E-2</v>
      </c>
      <c r="K1158" s="36">
        <v>3.2673290005151061E-2</v>
      </c>
      <c r="L1158" s="37">
        <v>0.32880865057987624</v>
      </c>
      <c r="M1158" s="36">
        <v>0.24655055139869239</v>
      </c>
      <c r="N1158" s="36"/>
      <c r="O1158" s="36"/>
      <c r="P1158">
        <v>9.5103348668895943E-2</v>
      </c>
    </row>
    <row r="1159" spans="1:16" hidden="1" x14ac:dyDescent="0.35">
      <c r="A1159" s="3">
        <f xml:space="preserve"> ROW( data_scaledImpacts[[#This Row],[row_id]] ) - ROW( data_scaledImpacts[[#Headers],[row_id]] )</f>
        <v>1158</v>
      </c>
      <c r="B1159" s="41" t="str">
        <f xml:space="preserve"> _xlfn.TEXTJOIN( "", , data_scaledImpacts[[#This Row],[sector]:[impactType]] )</f>
        <v>WinterRecGFDL-CM342090N/AXC</v>
      </c>
      <c r="C1159" s="33" t="s">
        <v>89</v>
      </c>
      <c r="D1159" s="33" t="s">
        <v>5</v>
      </c>
      <c r="E1159" s="34">
        <v>4</v>
      </c>
      <c r="F1159" s="34">
        <v>2090</v>
      </c>
      <c r="G1159" s="34" t="s">
        <v>201</v>
      </c>
      <c r="H1159" s="35" t="s">
        <v>91</v>
      </c>
      <c r="I1159" s="43" t="s">
        <v>168</v>
      </c>
      <c r="J1159" s="36">
        <v>1.5574478908216666E-2</v>
      </c>
      <c r="K1159" s="36">
        <v>2.849148763051303E-2</v>
      </c>
      <c r="L1159" s="37">
        <v>0.21189384914247739</v>
      </c>
      <c r="M1159" s="36">
        <v>0.29207096774073743</v>
      </c>
      <c r="N1159" s="36"/>
      <c r="O1159" s="36"/>
      <c r="P1159">
        <v>6.7041014681617717E-2</v>
      </c>
    </row>
    <row r="1160" spans="1:16" hidden="1" x14ac:dyDescent="0.35">
      <c r="A1160" s="3">
        <f xml:space="preserve"> ROW( data_scaledImpacts[[#This Row],[row_id]] ) - ROW( data_scaledImpacts[[#Headers],[row_id]] )</f>
        <v>1159</v>
      </c>
      <c r="B1160" s="41" t="str">
        <f xml:space="preserve"> _xlfn.TEXTJOIN( "", , data_scaledImpacts[[#This Row],[sector]:[impactType]] )</f>
        <v>WinterRecGCM Average42090N/AXC</v>
      </c>
      <c r="C1160" s="33" t="s">
        <v>89</v>
      </c>
      <c r="D1160" s="33" t="s">
        <v>15</v>
      </c>
      <c r="E1160" s="34">
        <v>4</v>
      </c>
      <c r="F1160" s="34">
        <v>2090</v>
      </c>
      <c r="G1160" s="34" t="s">
        <v>201</v>
      </c>
      <c r="H1160" s="35" t="s">
        <v>91</v>
      </c>
      <c r="I1160" s="43" t="s">
        <v>169</v>
      </c>
      <c r="J1160" s="36">
        <v>1.9974522786208732E-2</v>
      </c>
      <c r="K1160" s="36">
        <v>2.8421396996081975E-2</v>
      </c>
      <c r="L1160" s="37">
        <v>0.31587485331889631</v>
      </c>
      <c r="M1160" s="36">
        <v>0.34373160669331482</v>
      </c>
      <c r="N1160" s="36" t="s">
        <v>26</v>
      </c>
      <c r="O1160" s="36"/>
      <c r="P1160">
        <v>8.0321481832174441E-2</v>
      </c>
    </row>
    <row r="1161" spans="1:16" hidden="1" x14ac:dyDescent="0.35">
      <c r="A1161" s="3">
        <f xml:space="preserve"> ROW( data_scaledImpacts[[#This Row],[row_id]] ) - ROW( data_scaledImpacts[[#Headers],[row_id]] )</f>
        <v>1160</v>
      </c>
      <c r="B1161" s="41" t="str">
        <f xml:space="preserve"> _xlfn.TEXTJOIN( "", , data_scaledImpacts[[#This Row],[sector]:[impactType]] )</f>
        <v>WinterRecCanESM252090N/AXC</v>
      </c>
      <c r="C1161" s="33" t="s">
        <v>89</v>
      </c>
      <c r="D1161" s="33" t="s">
        <v>0</v>
      </c>
      <c r="E1161" s="34">
        <v>5</v>
      </c>
      <c r="F1161" s="34">
        <v>2090</v>
      </c>
      <c r="G1161" s="34" t="s">
        <v>201</v>
      </c>
      <c r="H1161" s="35" t="s">
        <v>91</v>
      </c>
      <c r="I1161" s="43" t="s">
        <v>170</v>
      </c>
      <c r="J1161" s="36">
        <v>2.4999945159750021E-2</v>
      </c>
      <c r="K1161" s="36">
        <v>3.0888470046466367E-2</v>
      </c>
      <c r="L1161" s="37">
        <v>0.47768731119281016</v>
      </c>
      <c r="M1161" s="36">
        <v>0.43944273002235273</v>
      </c>
      <c r="N1161" s="36"/>
      <c r="O1161" s="36"/>
      <c r="P1161">
        <v>0.11852428012570812</v>
      </c>
    </row>
    <row r="1162" spans="1:16" hidden="1" x14ac:dyDescent="0.35">
      <c r="A1162" s="3">
        <f xml:space="preserve"> ROW( data_scaledImpacts[[#This Row],[row_id]] ) - ROW( data_scaledImpacts[[#Headers],[row_id]] )</f>
        <v>1161</v>
      </c>
      <c r="B1162" s="41" t="str">
        <f xml:space="preserve"> _xlfn.TEXTJOIN( "", , data_scaledImpacts[[#This Row],[sector]:[impactType]] )</f>
        <v>WinterRecCCSM452090N/AXC</v>
      </c>
      <c r="C1162" s="33" t="s">
        <v>89</v>
      </c>
      <c r="D1162" s="33" t="s">
        <v>1</v>
      </c>
      <c r="E1162" s="34">
        <v>5</v>
      </c>
      <c r="F1162" s="34">
        <v>2090</v>
      </c>
      <c r="G1162" s="34" t="s">
        <v>201</v>
      </c>
      <c r="H1162" s="35" t="s">
        <v>91</v>
      </c>
      <c r="I1162" s="43" t="s">
        <v>171</v>
      </c>
      <c r="J1162" s="36">
        <v>2.7940369297149294E-2</v>
      </c>
      <c r="K1162" s="36">
        <v>3.0344508313799708E-2</v>
      </c>
      <c r="L1162" s="37">
        <v>0.5540751512051274</v>
      </c>
      <c r="M1162" s="36">
        <v>0.44933063045468774</v>
      </c>
      <c r="N1162" s="36"/>
      <c r="O1162" s="36"/>
      <c r="P1162">
        <v>0.13110097284245975</v>
      </c>
    </row>
    <row r="1163" spans="1:16" hidden="1" x14ac:dyDescent="0.35">
      <c r="A1163" s="3">
        <f xml:space="preserve"> ROW( data_scaledImpacts[[#This Row],[row_id]] ) - ROW( data_scaledImpacts[[#Headers],[row_id]] )</f>
        <v>1162</v>
      </c>
      <c r="B1163" s="41" t="str">
        <f xml:space="preserve"> _xlfn.TEXTJOIN( "", , data_scaledImpacts[[#This Row],[sector]:[impactType]] )</f>
        <v>WinterRecGISS-E2-R52090N/AXC</v>
      </c>
      <c r="C1163" s="33" t="s">
        <v>89</v>
      </c>
      <c r="D1163" s="33" t="s">
        <v>2</v>
      </c>
      <c r="E1163" s="34">
        <v>5</v>
      </c>
      <c r="F1163" s="34">
        <v>2090</v>
      </c>
      <c r="G1163" s="34" t="s">
        <v>201</v>
      </c>
      <c r="H1163" s="35" t="s">
        <v>91</v>
      </c>
      <c r="I1163" s="43" t="s">
        <v>172</v>
      </c>
      <c r="J1163" s="36"/>
      <c r="K1163" s="36"/>
      <c r="L1163" s="37"/>
      <c r="M1163" s="36"/>
      <c r="N1163" s="36"/>
      <c r="O1163" s="36"/>
    </row>
    <row r="1164" spans="1:16" hidden="1" x14ac:dyDescent="0.35">
      <c r="A1164" s="3">
        <f xml:space="preserve"> ROW( data_scaledImpacts[[#This Row],[row_id]] ) - ROW( data_scaledImpacts[[#Headers],[row_id]] )</f>
        <v>1163</v>
      </c>
      <c r="B1164" s="41" t="str">
        <f xml:space="preserve"> _xlfn.TEXTJOIN( "", , data_scaledImpacts[[#This Row],[sector]:[impactType]] )</f>
        <v>WinterRecHadGEM2-ES52090N/AXC</v>
      </c>
      <c r="C1164" s="33" t="s">
        <v>89</v>
      </c>
      <c r="D1164" s="33" t="s">
        <v>3</v>
      </c>
      <c r="E1164" s="34">
        <v>5</v>
      </c>
      <c r="F1164" s="34">
        <v>2090</v>
      </c>
      <c r="G1164" s="34" t="s">
        <v>201</v>
      </c>
      <c r="H1164" s="35" t="s">
        <v>91</v>
      </c>
      <c r="I1164" s="43" t="s">
        <v>173</v>
      </c>
      <c r="J1164" s="36">
        <v>2.7116517697734325E-2</v>
      </c>
      <c r="K1164" s="36">
        <v>3.2502682380411929E-2</v>
      </c>
      <c r="L1164" s="37">
        <v>0.449828503073534</v>
      </c>
      <c r="M1164" s="36">
        <v>0.47917574967481669</v>
      </c>
      <c r="N1164" s="36"/>
      <c r="O1164" s="36"/>
      <c r="P1164">
        <v>0.11744379070598975</v>
      </c>
    </row>
    <row r="1165" spans="1:16" hidden="1" x14ac:dyDescent="0.35">
      <c r="A1165" s="3">
        <f xml:space="preserve"> ROW( data_scaledImpacts[[#This Row],[row_id]] ) - ROW( data_scaledImpacts[[#Headers],[row_id]] )</f>
        <v>1164</v>
      </c>
      <c r="B1165" s="41" t="str">
        <f xml:space="preserve"> _xlfn.TEXTJOIN( "", , data_scaledImpacts[[#This Row],[sector]:[impactType]] )</f>
        <v>WinterRecMIROC552090N/AXC</v>
      </c>
      <c r="C1165" s="33" t="s">
        <v>89</v>
      </c>
      <c r="D1165" s="33" t="s">
        <v>4</v>
      </c>
      <c r="E1165" s="34">
        <v>5</v>
      </c>
      <c r="F1165" s="34">
        <v>2090</v>
      </c>
      <c r="G1165" s="34" t="s">
        <v>201</v>
      </c>
      <c r="H1165" s="35" t="s">
        <v>91</v>
      </c>
      <c r="I1165" s="43" t="s">
        <v>174</v>
      </c>
      <c r="J1165" s="36">
        <v>2.9215095382828904E-2</v>
      </c>
      <c r="K1165" s="36">
        <v>3.4268297821324969E-2</v>
      </c>
      <c r="L1165" s="37">
        <v>0.55893866275698145</v>
      </c>
      <c r="M1165" s="36">
        <v>0.35017492254299076</v>
      </c>
      <c r="N1165" s="36"/>
      <c r="O1165" s="36"/>
      <c r="P1165">
        <v>0.14363528924808822</v>
      </c>
    </row>
    <row r="1166" spans="1:16" hidden="1" x14ac:dyDescent="0.35">
      <c r="A1166" s="3">
        <f xml:space="preserve"> ROW( data_scaledImpacts[[#This Row],[row_id]] ) - ROW( data_scaledImpacts[[#Headers],[row_id]] )</f>
        <v>1165</v>
      </c>
      <c r="B1166" s="41" t="str">
        <f xml:space="preserve"> _xlfn.TEXTJOIN( "", , data_scaledImpacts[[#This Row],[sector]:[impactType]] )</f>
        <v>WinterRecGFDL-CM352090N/AXC</v>
      </c>
      <c r="C1166" s="33" t="s">
        <v>89</v>
      </c>
      <c r="D1166" s="33" t="s">
        <v>5</v>
      </c>
      <c r="E1166" s="34">
        <v>5</v>
      </c>
      <c r="F1166" s="34">
        <v>2090</v>
      </c>
      <c r="G1166" s="34" t="s">
        <v>201</v>
      </c>
      <c r="H1166" s="35" t="s">
        <v>91</v>
      </c>
      <c r="I1166" s="43" t="s">
        <v>175</v>
      </c>
      <c r="J1166" s="36">
        <v>1.8050601659269853E-2</v>
      </c>
      <c r="K1166" s="36">
        <v>3.2631896710392773E-2</v>
      </c>
      <c r="L1166" s="37">
        <v>0.31827843121889787</v>
      </c>
      <c r="M1166" s="36">
        <v>0.34378546472262961</v>
      </c>
      <c r="N1166" s="36"/>
      <c r="O1166" s="36"/>
      <c r="P1166">
        <v>9.6527053469913401E-2</v>
      </c>
    </row>
    <row r="1167" spans="1:16" hidden="1" x14ac:dyDescent="0.35">
      <c r="A1167" s="3">
        <f xml:space="preserve"> ROW( data_scaledImpacts[[#This Row],[row_id]] ) - ROW( data_scaledImpacts[[#Headers],[row_id]] )</f>
        <v>1166</v>
      </c>
      <c r="B1167" s="41" t="str">
        <f xml:space="preserve"> _xlfn.TEXTJOIN( "", , data_scaledImpacts[[#This Row],[sector]:[impactType]] )</f>
        <v>WinterRecGCM Average52090N/AXC</v>
      </c>
      <c r="C1167" s="33" t="s">
        <v>89</v>
      </c>
      <c r="D1167" s="33" t="s">
        <v>15</v>
      </c>
      <c r="E1167" s="34">
        <v>5</v>
      </c>
      <c r="F1167" s="34">
        <v>2090</v>
      </c>
      <c r="G1167" s="34" t="s">
        <v>201</v>
      </c>
      <c r="H1167" s="35" t="s">
        <v>91</v>
      </c>
      <c r="I1167" s="43" t="s">
        <v>176</v>
      </c>
      <c r="J1167" s="36">
        <v>2.546450583934648E-2</v>
      </c>
      <c r="K1167" s="36">
        <v>3.2127171054479146E-2</v>
      </c>
      <c r="L1167" s="37">
        <v>0.47176161188947019</v>
      </c>
      <c r="M1167" s="36">
        <v>0.41238189948349557</v>
      </c>
      <c r="N1167" s="36" t="s">
        <v>26</v>
      </c>
      <c r="O1167" s="36"/>
      <c r="P1167">
        <v>0.12144627727843185</v>
      </c>
    </row>
    <row r="1168" spans="1:16" hidden="1" x14ac:dyDescent="0.35">
      <c r="A1168" s="3">
        <f xml:space="preserve"> ROW( data_scaledImpacts[[#This Row],[row_id]] ) - ROW( data_scaledImpacts[[#Headers],[row_id]] )</f>
        <v>1167</v>
      </c>
      <c r="B1168" s="41" t="str">
        <f xml:space="preserve"> _xlfn.TEXTJOIN( "", , data_scaledImpacts[[#This Row],[sector]:[impactType]] )</f>
        <v>WinterRecCanESM262090N/AXC</v>
      </c>
      <c r="C1168" s="33" t="s">
        <v>89</v>
      </c>
      <c r="D1168" s="33" t="s">
        <v>0</v>
      </c>
      <c r="E1168" s="34">
        <v>6</v>
      </c>
      <c r="F1168" s="34">
        <v>2090</v>
      </c>
      <c r="G1168" s="34" t="s">
        <v>201</v>
      </c>
      <c r="H1168" s="35" t="s">
        <v>91</v>
      </c>
      <c r="I1168" s="43" t="s">
        <v>177</v>
      </c>
      <c r="J1168" s="36">
        <v>2.5124846867940451E-2</v>
      </c>
      <c r="K1168" s="36">
        <v>3.3001141753437761E-2</v>
      </c>
      <c r="L1168" s="37">
        <v>0.54925649974598378</v>
      </c>
      <c r="M1168" s="36">
        <v>0.47275846930157445</v>
      </c>
      <c r="N1168" s="36"/>
      <c r="O1168" s="36"/>
      <c r="P1168">
        <v>0.14298094085871885</v>
      </c>
    </row>
    <row r="1169" spans="1:16" hidden="1" x14ac:dyDescent="0.35">
      <c r="A1169" s="3">
        <f xml:space="preserve"> ROW( data_scaledImpacts[[#This Row],[row_id]] ) - ROW( data_scaledImpacts[[#Headers],[row_id]] )</f>
        <v>1168</v>
      </c>
      <c r="B1169" s="41" t="str">
        <f xml:space="preserve"> _xlfn.TEXTJOIN( "", , data_scaledImpacts[[#This Row],[sector]:[impactType]] )</f>
        <v>WinterRecCCSM462090N/AXC</v>
      </c>
      <c r="C1169" s="33" t="s">
        <v>89</v>
      </c>
      <c r="D1169" s="33" t="s">
        <v>1</v>
      </c>
      <c r="E1169" s="34">
        <v>6</v>
      </c>
      <c r="F1169" s="34">
        <v>2090</v>
      </c>
      <c r="G1169" s="34" t="s">
        <v>201</v>
      </c>
      <c r="H1169" s="35" t="s">
        <v>91</v>
      </c>
      <c r="I1169" s="43" t="s">
        <v>178</v>
      </c>
      <c r="J1169" s="36"/>
      <c r="K1169" s="36"/>
      <c r="L1169" s="37"/>
      <c r="M1169" s="36"/>
      <c r="N1169" s="36"/>
      <c r="O1169" s="36"/>
    </row>
    <row r="1170" spans="1:16" hidden="1" x14ac:dyDescent="0.35">
      <c r="A1170" s="3">
        <f xml:space="preserve"> ROW( data_scaledImpacts[[#This Row],[row_id]] ) - ROW( data_scaledImpacts[[#Headers],[row_id]] )</f>
        <v>1169</v>
      </c>
      <c r="B1170" s="41" t="str">
        <f xml:space="preserve"> _xlfn.TEXTJOIN( "", , data_scaledImpacts[[#This Row],[sector]:[impactType]] )</f>
        <v>WinterRecGISS-E2-R62090N/AXC</v>
      </c>
      <c r="C1170" s="33" t="s">
        <v>89</v>
      </c>
      <c r="D1170" s="33" t="s">
        <v>2</v>
      </c>
      <c r="E1170" s="34">
        <v>6</v>
      </c>
      <c r="F1170" s="34">
        <v>2090</v>
      </c>
      <c r="G1170" s="34" t="s">
        <v>201</v>
      </c>
      <c r="H1170" s="35" t="s">
        <v>91</v>
      </c>
      <c r="I1170" s="43" t="s">
        <v>179</v>
      </c>
      <c r="J1170" s="36"/>
      <c r="K1170" s="36"/>
      <c r="L1170" s="37"/>
      <c r="M1170" s="36"/>
      <c r="N1170" s="36"/>
      <c r="O1170" s="36"/>
    </row>
    <row r="1171" spans="1:16" hidden="1" x14ac:dyDescent="0.35">
      <c r="A1171" s="3">
        <f xml:space="preserve"> ROW( data_scaledImpacts[[#This Row],[row_id]] ) - ROW( data_scaledImpacts[[#Headers],[row_id]] )</f>
        <v>1170</v>
      </c>
      <c r="B1171" s="41" t="str">
        <f xml:space="preserve"> _xlfn.TEXTJOIN( "", , data_scaledImpacts[[#This Row],[sector]:[impactType]] )</f>
        <v>WinterRecHadGEM2-ES62090N/AXC</v>
      </c>
      <c r="C1171" s="33" t="s">
        <v>89</v>
      </c>
      <c r="D1171" s="33" t="s">
        <v>3</v>
      </c>
      <c r="E1171" s="34">
        <v>6</v>
      </c>
      <c r="F1171" s="34">
        <v>2090</v>
      </c>
      <c r="G1171" s="34" t="s">
        <v>201</v>
      </c>
      <c r="H1171" s="35" t="s">
        <v>91</v>
      </c>
      <c r="I1171" s="43" t="s">
        <v>180</v>
      </c>
      <c r="J1171" s="36">
        <v>2.9489328839125376E-2</v>
      </c>
      <c r="K1171" s="36">
        <v>3.455152404193465E-2</v>
      </c>
      <c r="L1171" s="37">
        <v>0.55136568268458885</v>
      </c>
      <c r="M1171" s="36">
        <v>0.47886849468175646</v>
      </c>
      <c r="N1171" s="36"/>
      <c r="O1171" s="36"/>
      <c r="P1171">
        <v>0.10717313861103507</v>
      </c>
    </row>
    <row r="1172" spans="1:16" hidden="1" x14ac:dyDescent="0.35">
      <c r="A1172" s="3">
        <f xml:space="preserve"> ROW( data_scaledImpacts[[#This Row],[row_id]] ) - ROW( data_scaledImpacts[[#Headers],[row_id]] )</f>
        <v>1171</v>
      </c>
      <c r="B1172" s="41" t="str">
        <f xml:space="preserve"> _xlfn.TEXTJOIN( "", , data_scaledImpacts[[#This Row],[sector]:[impactType]] )</f>
        <v>WinterRecMIROC562090N/AXC</v>
      </c>
      <c r="C1172" s="33" t="s">
        <v>89</v>
      </c>
      <c r="D1172" s="33" t="s">
        <v>4</v>
      </c>
      <c r="E1172" s="34">
        <v>6</v>
      </c>
      <c r="F1172" s="34">
        <v>2090</v>
      </c>
      <c r="G1172" s="34" t="s">
        <v>201</v>
      </c>
      <c r="H1172" s="35" t="s">
        <v>91</v>
      </c>
      <c r="I1172" s="43" t="s">
        <v>181</v>
      </c>
      <c r="J1172" s="36"/>
      <c r="K1172" s="36"/>
      <c r="L1172" s="37"/>
      <c r="M1172" s="36"/>
      <c r="N1172" s="36"/>
      <c r="O1172" s="36"/>
    </row>
    <row r="1173" spans="1:16" hidden="1" x14ac:dyDescent="0.35">
      <c r="A1173" s="3">
        <f xml:space="preserve"> ROW( data_scaledImpacts[[#This Row],[row_id]] ) - ROW( data_scaledImpacts[[#Headers],[row_id]] )</f>
        <v>1172</v>
      </c>
      <c r="B1173" s="41" t="str">
        <f xml:space="preserve"> _xlfn.TEXTJOIN( "", , data_scaledImpacts[[#This Row],[sector]:[impactType]] )</f>
        <v>WinterRecGFDL-CM362090N/AXC</v>
      </c>
      <c r="C1173" s="33" t="s">
        <v>89</v>
      </c>
      <c r="D1173" s="33" t="s">
        <v>5</v>
      </c>
      <c r="E1173" s="34">
        <v>6</v>
      </c>
      <c r="F1173" s="34">
        <v>2090</v>
      </c>
      <c r="G1173" s="34" t="s">
        <v>201</v>
      </c>
      <c r="H1173" s="35" t="s">
        <v>91</v>
      </c>
      <c r="I1173" s="43" t="s">
        <v>182</v>
      </c>
      <c r="J1173" s="36">
        <v>2.6938088925869515E-2</v>
      </c>
      <c r="K1173" s="36">
        <v>3.4110307145657458E-2</v>
      </c>
      <c r="L1173" s="37">
        <v>0.48443613979488503</v>
      </c>
      <c r="M1173" s="36">
        <v>0.38088931492644029</v>
      </c>
      <c r="N1173" s="36"/>
      <c r="O1173" s="36"/>
      <c r="P1173">
        <v>0.14046235976417124</v>
      </c>
    </row>
    <row r="1174" spans="1:16" hidden="1" x14ac:dyDescent="0.35">
      <c r="A1174" s="3">
        <f xml:space="preserve"> ROW( data_scaledImpacts[[#This Row],[row_id]] ) - ROW( data_scaledImpacts[[#Headers],[row_id]] )</f>
        <v>1173</v>
      </c>
      <c r="B1174" s="41" t="str">
        <f xml:space="preserve"> _xlfn.TEXTJOIN( "", , data_scaledImpacts[[#This Row],[sector]:[impactType]] )</f>
        <v>WinterRecGCM Average62090N/AXC</v>
      </c>
      <c r="C1174" s="33" t="s">
        <v>89</v>
      </c>
      <c r="D1174" s="33" t="s">
        <v>15</v>
      </c>
      <c r="E1174" s="34">
        <v>6</v>
      </c>
      <c r="F1174" s="34">
        <v>2090</v>
      </c>
      <c r="G1174" s="34" t="s">
        <v>201</v>
      </c>
      <c r="H1174" s="35" t="s">
        <v>91</v>
      </c>
      <c r="I1174" s="43" t="s">
        <v>183</v>
      </c>
      <c r="J1174" s="36">
        <v>2.7184088210978449E-2</v>
      </c>
      <c r="K1174" s="36">
        <v>3.3887657647009961E-2</v>
      </c>
      <c r="L1174" s="37">
        <v>0.52835277407515258</v>
      </c>
      <c r="M1174" s="36">
        <v>0.44417209296992377</v>
      </c>
      <c r="N1174" s="36" t="s">
        <v>26</v>
      </c>
      <c r="O1174" s="36"/>
      <c r="P1174">
        <v>0.13020547974464172</v>
      </c>
    </row>
    <row r="1175" spans="1:16" hidden="1" x14ac:dyDescent="0.35">
      <c r="A1175" s="3">
        <f xml:space="preserve"> ROW( data_scaledImpacts[[#This Row],[row_id]] ) - ROW( data_scaledImpacts[[#Headers],[row_id]] )</f>
        <v>1174</v>
      </c>
      <c r="B1175" s="41" t="str">
        <f xml:space="preserve"> _xlfn.TEXTJOIN( "", , data_scaledImpacts[[#This Row],[sector]:[impactType]] )</f>
        <v>WinterRecCanESM272090N/AXC</v>
      </c>
      <c r="C1175" s="33" t="s">
        <v>89</v>
      </c>
      <c r="D1175" s="33" t="s">
        <v>0</v>
      </c>
      <c r="E1175" s="34">
        <v>7</v>
      </c>
      <c r="F1175" s="34">
        <v>2090</v>
      </c>
      <c r="G1175" s="34" t="s">
        <v>201</v>
      </c>
      <c r="H1175" s="35" t="s">
        <v>91</v>
      </c>
      <c r="I1175" s="43" t="s">
        <v>184</v>
      </c>
      <c r="J1175" s="36"/>
      <c r="K1175" s="36"/>
      <c r="L1175" s="37"/>
      <c r="M1175" s="36"/>
      <c r="N1175" s="36"/>
      <c r="O1175" s="36"/>
    </row>
    <row r="1176" spans="1:16" hidden="1" x14ac:dyDescent="0.35">
      <c r="A1176" s="3">
        <f xml:space="preserve"> ROW( data_scaledImpacts[[#This Row],[row_id]] ) - ROW( data_scaledImpacts[[#Headers],[row_id]] )</f>
        <v>1175</v>
      </c>
      <c r="B1176" s="41" t="str">
        <f xml:space="preserve"> _xlfn.TEXTJOIN( "", , data_scaledImpacts[[#This Row],[sector]:[impactType]] )</f>
        <v>WinterRecCCSM472090N/AXC</v>
      </c>
      <c r="C1176" s="33" t="s">
        <v>89</v>
      </c>
      <c r="D1176" s="33" t="s">
        <v>1</v>
      </c>
      <c r="E1176" s="34">
        <v>7</v>
      </c>
      <c r="F1176" s="34">
        <v>2090</v>
      </c>
      <c r="G1176" s="34" t="s">
        <v>201</v>
      </c>
      <c r="H1176" s="35" t="s">
        <v>91</v>
      </c>
      <c r="I1176" s="43" t="s">
        <v>185</v>
      </c>
      <c r="J1176" s="36"/>
      <c r="K1176" s="36"/>
      <c r="L1176" s="37"/>
      <c r="M1176" s="36"/>
      <c r="N1176" s="36"/>
      <c r="O1176" s="36"/>
    </row>
    <row r="1177" spans="1:16" hidden="1" x14ac:dyDescent="0.35">
      <c r="A1177" s="3">
        <f xml:space="preserve"> ROW( data_scaledImpacts[[#This Row],[row_id]] ) - ROW( data_scaledImpacts[[#Headers],[row_id]] )</f>
        <v>1176</v>
      </c>
      <c r="B1177" s="41" t="str">
        <f xml:space="preserve"> _xlfn.TEXTJOIN( "", , data_scaledImpacts[[#This Row],[sector]:[impactType]] )</f>
        <v>WinterRecGISS-E2-R72090N/AXC</v>
      </c>
      <c r="C1177" s="33" t="s">
        <v>89</v>
      </c>
      <c r="D1177" s="33" t="s">
        <v>2</v>
      </c>
      <c r="E1177" s="34">
        <v>7</v>
      </c>
      <c r="F1177" s="34">
        <v>2090</v>
      </c>
      <c r="G1177" s="34" t="s">
        <v>201</v>
      </c>
      <c r="H1177" s="35" t="s">
        <v>91</v>
      </c>
      <c r="I1177" s="43" t="s">
        <v>186</v>
      </c>
      <c r="J1177" s="36"/>
      <c r="K1177" s="36"/>
      <c r="L1177" s="37"/>
      <c r="M1177" s="36"/>
      <c r="N1177" s="36"/>
      <c r="O1177" s="36"/>
    </row>
    <row r="1178" spans="1:16" hidden="1" x14ac:dyDescent="0.35">
      <c r="A1178" s="3">
        <f xml:space="preserve"> ROW( data_scaledImpacts[[#This Row],[row_id]] ) - ROW( data_scaledImpacts[[#Headers],[row_id]] )</f>
        <v>1177</v>
      </c>
      <c r="B1178" s="41" t="str">
        <f xml:space="preserve"> _xlfn.TEXTJOIN( "", , data_scaledImpacts[[#This Row],[sector]:[impactType]] )</f>
        <v>WinterRecHadGEM2-ES72090N/AXC</v>
      </c>
      <c r="C1178" s="33" t="s">
        <v>89</v>
      </c>
      <c r="D1178" s="33" t="s">
        <v>3</v>
      </c>
      <c r="E1178" s="34">
        <v>7</v>
      </c>
      <c r="F1178" s="34">
        <v>2090</v>
      </c>
      <c r="G1178" s="34" t="s">
        <v>201</v>
      </c>
      <c r="H1178" s="35" t="s">
        <v>91</v>
      </c>
      <c r="I1178" s="43" t="s">
        <v>187</v>
      </c>
      <c r="J1178" s="36"/>
      <c r="K1178" s="36"/>
      <c r="L1178" s="37"/>
      <c r="M1178" s="36"/>
      <c r="N1178" s="36"/>
      <c r="O1178" s="36"/>
    </row>
    <row r="1179" spans="1:16" hidden="1" x14ac:dyDescent="0.35">
      <c r="A1179" s="3">
        <f xml:space="preserve"> ROW( data_scaledImpacts[[#This Row],[row_id]] ) - ROW( data_scaledImpacts[[#Headers],[row_id]] )</f>
        <v>1178</v>
      </c>
      <c r="B1179" s="41" t="str">
        <f xml:space="preserve"> _xlfn.TEXTJOIN( "", , data_scaledImpacts[[#This Row],[sector]:[impactType]] )</f>
        <v>WinterRecMIROC572090N/AXC</v>
      </c>
      <c r="C1179" s="33" t="s">
        <v>89</v>
      </c>
      <c r="D1179" s="33" t="s">
        <v>4</v>
      </c>
      <c r="E1179" s="34">
        <v>7</v>
      </c>
      <c r="F1179" s="34">
        <v>2090</v>
      </c>
      <c r="G1179" s="34" t="s">
        <v>201</v>
      </c>
      <c r="H1179" s="35" t="s">
        <v>91</v>
      </c>
      <c r="I1179" s="43" t="s">
        <v>188</v>
      </c>
      <c r="J1179" s="36"/>
      <c r="K1179" s="36"/>
      <c r="L1179" s="37"/>
      <c r="M1179" s="36"/>
      <c r="N1179" s="36"/>
      <c r="O1179" s="36"/>
    </row>
    <row r="1180" spans="1:16" hidden="1" x14ac:dyDescent="0.35">
      <c r="A1180" s="3">
        <f xml:space="preserve"> ROW( data_scaledImpacts[[#This Row],[row_id]] ) - ROW( data_scaledImpacts[[#Headers],[row_id]] )</f>
        <v>1179</v>
      </c>
      <c r="B1180" s="41" t="str">
        <f xml:space="preserve"> _xlfn.TEXTJOIN( "", , data_scaledImpacts[[#This Row],[sector]:[impactType]] )</f>
        <v>WinterRecGFDL-CM372090N/AXC</v>
      </c>
      <c r="C1180" s="33" t="s">
        <v>89</v>
      </c>
      <c r="D1180" s="33" t="s">
        <v>5</v>
      </c>
      <c r="E1180" s="34">
        <v>7</v>
      </c>
      <c r="F1180" s="34">
        <v>2090</v>
      </c>
      <c r="G1180" s="34" t="s">
        <v>201</v>
      </c>
      <c r="H1180" s="35" t="s">
        <v>91</v>
      </c>
      <c r="I1180" s="43" t="s">
        <v>189</v>
      </c>
      <c r="J1180" s="36"/>
      <c r="K1180" s="36"/>
      <c r="L1180" s="37"/>
      <c r="M1180" s="36"/>
      <c r="N1180" s="36"/>
      <c r="O1180" s="36"/>
    </row>
    <row r="1181" spans="1:16" hidden="1" x14ac:dyDescent="0.35">
      <c r="A1181" s="3">
        <f xml:space="preserve"> ROW( data_scaledImpacts[[#This Row],[row_id]] ) - ROW( data_scaledImpacts[[#Headers],[row_id]] )</f>
        <v>1180</v>
      </c>
      <c r="B1181" s="41" t="str">
        <f xml:space="preserve"> _xlfn.TEXTJOIN( "", , data_scaledImpacts[[#This Row],[sector]:[impactType]] )</f>
        <v>WinterRecGCM Average72090N/AXC</v>
      </c>
      <c r="C1181" s="33" t="s">
        <v>89</v>
      </c>
      <c r="D1181" s="33" t="s">
        <v>15</v>
      </c>
      <c r="E1181" s="34">
        <v>7</v>
      </c>
      <c r="F1181" s="34">
        <v>2090</v>
      </c>
      <c r="G1181" s="34" t="s">
        <v>201</v>
      </c>
      <c r="H1181" s="35" t="s">
        <v>91</v>
      </c>
      <c r="I1181" s="43" t="s">
        <v>190</v>
      </c>
      <c r="J1181" s="36" t="s">
        <v>26</v>
      </c>
      <c r="K1181" s="36" t="s">
        <v>26</v>
      </c>
      <c r="L1181" s="37" t="s">
        <v>26</v>
      </c>
      <c r="M1181" s="36" t="s">
        <v>26</v>
      </c>
      <c r="N1181" s="36" t="s">
        <v>26</v>
      </c>
      <c r="O1181" s="36"/>
      <c r="P1181" t="s">
        <v>26</v>
      </c>
    </row>
    <row r="1182" spans="1:16" hidden="1" x14ac:dyDescent="0.35">
      <c r="A1182" s="3">
        <f xml:space="preserve"> ROW( data_scaledImpacts[[#This Row],[row_id]] ) - ROW( data_scaledImpacts[[#Headers],[row_id]] )</f>
        <v>1181</v>
      </c>
      <c r="B1182" s="41" t="str">
        <f xml:space="preserve"> _xlfn.TEXTJOIN( "", , data_scaledImpacts[[#This Row],[sector]:[impactType]] )</f>
        <v/>
      </c>
      <c r="C1182" s="33"/>
      <c r="D1182" s="33"/>
      <c r="E1182" s="34"/>
      <c r="F1182" s="34"/>
      <c r="G1182" s="34"/>
      <c r="H1182" s="35"/>
      <c r="I1182" s="43"/>
      <c r="J1182" s="36"/>
      <c r="K1182" s="36"/>
      <c r="L1182" s="37"/>
      <c r="M1182" s="36"/>
      <c r="N1182" s="36"/>
      <c r="O1182" s="36"/>
    </row>
    <row r="1183" spans="1:16" hidden="1" x14ac:dyDescent="0.35">
      <c r="A1183" s="3">
        <f xml:space="preserve"> ROW( data_scaledImpacts[[#This Row],[row_id]] ) - ROW( data_scaledImpacts[[#Headers],[row_id]] )</f>
        <v>1182</v>
      </c>
      <c r="B1183" s="41" t="str">
        <f xml:space="preserve"> _xlfn.TEXTJOIN( "", , data_scaledImpacts[[#This Row],[sector]:[impactType]] )</f>
        <v>RailCanESM21NoAdapt</v>
      </c>
      <c r="C1183" s="33" t="s">
        <v>209</v>
      </c>
      <c r="D1183" s="33" t="s">
        <v>0</v>
      </c>
      <c r="E1183" s="34">
        <v>1</v>
      </c>
      <c r="F1183" s="34"/>
      <c r="G1183" s="34" t="s">
        <v>87</v>
      </c>
      <c r="H1183" s="35"/>
      <c r="I1183" s="43" t="s">
        <v>840</v>
      </c>
      <c r="J1183" s="36">
        <v>2278.2139293164159</v>
      </c>
      <c r="K1183" s="36">
        <v>1267.6370223949534</v>
      </c>
      <c r="L1183" s="37">
        <v>5443.977685504763</v>
      </c>
      <c r="M1183" s="36">
        <v>2399.6561146859904</v>
      </c>
      <c r="N1183" s="36">
        <v>1000.587570587796</v>
      </c>
      <c r="O1183" s="36">
        <v>4570.6207664133108</v>
      </c>
      <c r="P1183">
        <v>17134.029166619173</v>
      </c>
    </row>
    <row r="1184" spans="1:16" hidden="1" x14ac:dyDescent="0.35">
      <c r="A1184" s="3">
        <f xml:space="preserve"> ROW( data_scaledImpacts[[#This Row],[row_id]] ) - ROW( data_scaledImpacts[[#Headers],[row_id]] )</f>
        <v>1183</v>
      </c>
      <c r="B1184" s="41" t="str">
        <f xml:space="preserve"> _xlfn.TEXTJOIN( "", , data_scaledImpacts[[#This Row],[sector]:[impactType]] )</f>
        <v>RailCCSM41NoAdapt</v>
      </c>
      <c r="C1184" s="33" t="s">
        <v>209</v>
      </c>
      <c r="D1184" s="33" t="s">
        <v>1</v>
      </c>
      <c r="E1184" s="34">
        <v>1</v>
      </c>
      <c r="F1184" s="34"/>
      <c r="G1184" s="34" t="s">
        <v>87</v>
      </c>
      <c r="H1184" s="35"/>
      <c r="I1184" s="43" t="s">
        <v>841</v>
      </c>
      <c r="J1184" s="36">
        <v>8900.8656069782737</v>
      </c>
      <c r="K1184" s="36">
        <v>2205.5341656437281</v>
      </c>
      <c r="L1184" s="37">
        <v>31314.717519558446</v>
      </c>
      <c r="M1184" s="36">
        <v>2737.9779776432219</v>
      </c>
      <c r="N1184" s="36">
        <v>2399.6591650954424</v>
      </c>
      <c r="O1184" s="36">
        <v>26229.768393206574</v>
      </c>
      <c r="P1184">
        <v>21801.842946378511</v>
      </c>
    </row>
    <row r="1185" spans="1:16" hidden="1" x14ac:dyDescent="0.35">
      <c r="A1185" s="3">
        <f xml:space="preserve"> ROW( data_scaledImpacts[[#This Row],[row_id]] ) - ROW( data_scaledImpacts[[#Headers],[row_id]] )</f>
        <v>1184</v>
      </c>
      <c r="B1185" s="41" t="str">
        <f xml:space="preserve"> _xlfn.TEXTJOIN( "", , data_scaledImpacts[[#This Row],[sector]:[impactType]] )</f>
        <v>RailGISS-E2-R1NoAdapt</v>
      </c>
      <c r="C1185" s="33" t="s">
        <v>209</v>
      </c>
      <c r="D1185" s="33" t="s">
        <v>2</v>
      </c>
      <c r="E1185" s="34">
        <v>1</v>
      </c>
      <c r="F1185" s="34"/>
      <c r="G1185" s="34" t="s">
        <v>87</v>
      </c>
      <c r="H1185" s="35"/>
      <c r="I1185" s="43" t="s">
        <v>842</v>
      </c>
      <c r="J1185" s="36">
        <v>379.78368301898564</v>
      </c>
      <c r="K1185" s="36">
        <v>862.01530780430824</v>
      </c>
      <c r="L1185" s="37">
        <v>1090.0653415070558</v>
      </c>
      <c r="M1185" s="36">
        <v>5385.9816481137223</v>
      </c>
      <c r="N1185" s="36">
        <v>-5.6819101536942673</v>
      </c>
      <c r="O1185" s="36">
        <v>409.78796468002014</v>
      </c>
      <c r="P1185">
        <v>12705.59358375227</v>
      </c>
    </row>
    <row r="1186" spans="1:16" hidden="1" x14ac:dyDescent="0.35">
      <c r="A1186" s="3">
        <f xml:space="preserve"> ROW( data_scaledImpacts[[#This Row],[row_id]] ) - ROW( data_scaledImpacts[[#Headers],[row_id]] )</f>
        <v>1185</v>
      </c>
      <c r="B1186" s="41" t="str">
        <f xml:space="preserve"> _xlfn.TEXTJOIN( "", , data_scaledImpacts[[#This Row],[sector]:[impactType]] )</f>
        <v>RailHadGEM2-ES1NoAdapt</v>
      </c>
      <c r="C1186" s="33" t="s">
        <v>209</v>
      </c>
      <c r="D1186" s="33" t="s">
        <v>3</v>
      </c>
      <c r="E1186" s="34">
        <v>1</v>
      </c>
      <c r="F1186" s="34"/>
      <c r="G1186" s="34" t="s">
        <v>87</v>
      </c>
      <c r="H1186" s="35"/>
      <c r="I1186" s="43" t="s">
        <v>843</v>
      </c>
      <c r="J1186" s="36">
        <v>14273.640918669276</v>
      </c>
      <c r="K1186" s="36">
        <v>7753.1064651926645</v>
      </c>
      <c r="L1186" s="37">
        <v>11571.771277110243</v>
      </c>
      <c r="M1186" s="36">
        <v>5253.1342798765427</v>
      </c>
      <c r="N1186" s="36">
        <v>19466.001071436243</v>
      </c>
      <c r="O1186" s="36">
        <v>13418.351217520991</v>
      </c>
      <c r="P1186">
        <v>11651.515494947091</v>
      </c>
    </row>
    <row r="1187" spans="1:16" hidden="1" x14ac:dyDescent="0.35">
      <c r="A1187" s="3">
        <f xml:space="preserve"> ROW( data_scaledImpacts[[#This Row],[row_id]] ) - ROW( data_scaledImpacts[[#Headers],[row_id]] )</f>
        <v>1186</v>
      </c>
      <c r="B1187" s="41" t="str">
        <f xml:space="preserve"> _xlfn.TEXTJOIN( "", , data_scaledImpacts[[#This Row],[sector]:[impactType]] )</f>
        <v>RailMIROC51NoAdapt</v>
      </c>
      <c r="C1187" s="33" t="s">
        <v>209</v>
      </c>
      <c r="D1187" s="33" t="s">
        <v>4</v>
      </c>
      <c r="E1187" s="34">
        <v>1</v>
      </c>
      <c r="F1187" s="34"/>
      <c r="G1187" s="34" t="s">
        <v>87</v>
      </c>
      <c r="H1187" s="35"/>
      <c r="I1187" s="43" t="s">
        <v>844</v>
      </c>
      <c r="J1187" s="36">
        <v>4208.6809344423536</v>
      </c>
      <c r="K1187" s="36">
        <v>244.3717442620875</v>
      </c>
      <c r="L1187" s="37">
        <v>7713.4060145665962</v>
      </c>
      <c r="M1187" s="36">
        <v>2820.7968676275323</v>
      </c>
      <c r="N1187" s="36">
        <v>1125.7419335239067</v>
      </c>
      <c r="O1187" s="36">
        <v>11403.41305148732</v>
      </c>
      <c r="P1187">
        <v>12223.552328687561</v>
      </c>
    </row>
    <row r="1188" spans="1:16" hidden="1" x14ac:dyDescent="0.35">
      <c r="A1188" s="3">
        <f xml:space="preserve"> ROW( data_scaledImpacts[[#This Row],[row_id]] ) - ROW( data_scaledImpacts[[#Headers],[row_id]] )</f>
        <v>1187</v>
      </c>
      <c r="B1188" s="41" t="str">
        <f xml:space="preserve"> _xlfn.TEXTJOIN( "", , data_scaledImpacts[[#This Row],[sector]:[impactType]] )</f>
        <v>RailGFDL-CM31NoAdapt</v>
      </c>
      <c r="C1188" s="33" t="s">
        <v>209</v>
      </c>
      <c r="D1188" s="33" t="s">
        <v>5</v>
      </c>
      <c r="E1188" s="34">
        <v>1</v>
      </c>
      <c r="F1188" s="34"/>
      <c r="G1188" s="34" t="s">
        <v>87</v>
      </c>
      <c r="H1188" s="35"/>
      <c r="I1188" s="43" t="s">
        <v>845</v>
      </c>
      <c r="J1188" s="36">
        <v>4881.1891291705606</v>
      </c>
      <c r="K1188" s="36">
        <v>3192.2104621845538</v>
      </c>
      <c r="L1188" s="37">
        <v>15223.410974658103</v>
      </c>
      <c r="M1188" s="36">
        <v>1755.6241603820249</v>
      </c>
      <c r="N1188" s="36">
        <v>3018.6252788181346</v>
      </c>
      <c r="O1188" s="36">
        <v>36346.361363409866</v>
      </c>
      <c r="P1188">
        <v>27471.101860823983</v>
      </c>
    </row>
    <row r="1189" spans="1:16" hidden="1" x14ac:dyDescent="0.35">
      <c r="A1189" s="3">
        <f xml:space="preserve"> ROW( data_scaledImpacts[[#This Row],[row_id]] ) - ROW( data_scaledImpacts[[#Headers],[row_id]] )</f>
        <v>1188</v>
      </c>
      <c r="B1189" s="41" t="str">
        <f xml:space="preserve"> _xlfn.TEXTJOIN( "", , data_scaledImpacts[[#This Row],[sector]:[impactType]] )</f>
        <v>RailGCM Average1NoAdapt</v>
      </c>
      <c r="C1189" s="33" t="s">
        <v>209</v>
      </c>
      <c r="D1189" s="33" t="s">
        <v>15</v>
      </c>
      <c r="E1189" s="34">
        <v>1</v>
      </c>
      <c r="F1189" s="34"/>
      <c r="G1189" s="34" t="s">
        <v>87</v>
      </c>
      <c r="H1189" s="35"/>
      <c r="I1189" s="43" t="s">
        <v>846</v>
      </c>
      <c r="J1189" s="36">
        <v>5820.3957002659772</v>
      </c>
      <c r="K1189" s="36">
        <v>2587.4791945803827</v>
      </c>
      <c r="L1189" s="37">
        <v>12059.558135484202</v>
      </c>
      <c r="M1189" s="36">
        <v>3392.1951747215048</v>
      </c>
      <c r="N1189" s="36">
        <v>4500.8221848846379</v>
      </c>
      <c r="O1189" s="36">
        <v>15396.383792786348</v>
      </c>
      <c r="P1189">
        <v>17164.605896868099</v>
      </c>
    </row>
    <row r="1190" spans="1:16" hidden="1" x14ac:dyDescent="0.35">
      <c r="A1190" s="3">
        <f xml:space="preserve"> ROW( data_scaledImpacts[[#This Row],[row_id]] ) - ROW( data_scaledImpacts[[#Headers],[row_id]] )</f>
        <v>1189</v>
      </c>
      <c r="B1190" s="41" t="str">
        <f xml:space="preserve"> _xlfn.TEXTJOIN( "", , data_scaledImpacts[[#This Row],[sector]:[impactType]] )</f>
        <v>RailCanESM22NoAdapt</v>
      </c>
      <c r="C1190" s="33" t="s">
        <v>209</v>
      </c>
      <c r="D1190" s="33" t="s">
        <v>0</v>
      </c>
      <c r="E1190" s="34">
        <v>2</v>
      </c>
      <c r="F1190" s="34"/>
      <c r="G1190" s="34" t="s">
        <v>87</v>
      </c>
      <c r="H1190" s="35"/>
      <c r="I1190" s="43" t="s">
        <v>847</v>
      </c>
      <c r="J1190" s="36">
        <v>5068.048293259475</v>
      </c>
      <c r="K1190" s="36">
        <v>2893.2986138857727</v>
      </c>
      <c r="L1190" s="37">
        <v>12983.638577619849</v>
      </c>
      <c r="M1190" s="36">
        <v>3746.5764339654443</v>
      </c>
      <c r="N1190" s="36">
        <v>2249.1611198179453</v>
      </c>
      <c r="O1190" s="36">
        <v>8118.85779334784</v>
      </c>
      <c r="P1190">
        <v>27659.782674743863</v>
      </c>
    </row>
    <row r="1191" spans="1:16" hidden="1" x14ac:dyDescent="0.35">
      <c r="A1191" s="3">
        <f xml:space="preserve"> ROW( data_scaledImpacts[[#This Row],[row_id]] ) - ROW( data_scaledImpacts[[#Headers],[row_id]] )</f>
        <v>1190</v>
      </c>
      <c r="B1191" s="41" t="str">
        <f xml:space="preserve"> _xlfn.TEXTJOIN( "", , data_scaledImpacts[[#This Row],[sector]:[impactType]] )</f>
        <v>RailCCSM42NoAdapt</v>
      </c>
      <c r="C1191" s="33" t="s">
        <v>209</v>
      </c>
      <c r="D1191" s="33" t="s">
        <v>1</v>
      </c>
      <c r="E1191" s="34">
        <v>2</v>
      </c>
      <c r="F1191" s="34"/>
      <c r="G1191" s="34" t="s">
        <v>87</v>
      </c>
      <c r="H1191" s="35"/>
      <c r="I1191" s="43" t="s">
        <v>848</v>
      </c>
      <c r="J1191" s="36">
        <v>28124.701106746375</v>
      </c>
      <c r="K1191" s="36">
        <v>6878.0268787522045</v>
      </c>
      <c r="L1191" s="37">
        <v>67231.853597275796</v>
      </c>
      <c r="M1191" s="36">
        <v>9094.0535557990825</v>
      </c>
      <c r="N1191" s="36">
        <v>6676.1883001478882</v>
      </c>
      <c r="O1191" s="36">
        <v>42127.902765366816</v>
      </c>
      <c r="P1191">
        <v>41861.664307820211</v>
      </c>
    </row>
    <row r="1192" spans="1:16" hidden="1" x14ac:dyDescent="0.35">
      <c r="A1192" s="3">
        <f xml:space="preserve"> ROW( data_scaledImpacts[[#This Row],[row_id]] ) - ROW( data_scaledImpacts[[#Headers],[row_id]] )</f>
        <v>1191</v>
      </c>
      <c r="B1192" s="41" t="str">
        <f xml:space="preserve"> _xlfn.TEXTJOIN( "", , data_scaledImpacts[[#This Row],[sector]:[impactType]] )</f>
        <v>RailGISS-E2-R2NoAdapt</v>
      </c>
      <c r="C1192" s="33" t="s">
        <v>209</v>
      </c>
      <c r="D1192" s="33" t="s">
        <v>2</v>
      </c>
      <c r="E1192" s="34">
        <v>2</v>
      </c>
      <c r="F1192" s="34"/>
      <c r="G1192" s="34" t="s">
        <v>87</v>
      </c>
      <c r="H1192" s="35"/>
      <c r="I1192" s="43" t="s">
        <v>849</v>
      </c>
      <c r="J1192" s="36">
        <v>966.37515158889562</v>
      </c>
      <c r="K1192" s="36">
        <v>1123.5050599865549</v>
      </c>
      <c r="L1192" s="37">
        <v>13284.908774090909</v>
      </c>
      <c r="M1192" s="36">
        <v>28253.251199483708</v>
      </c>
      <c r="N1192" s="36">
        <v>457.45342891533323</v>
      </c>
      <c r="O1192" s="36">
        <v>8904.954051529312</v>
      </c>
      <c r="P1192">
        <v>51556.878037828596</v>
      </c>
    </row>
    <row r="1193" spans="1:16" hidden="1" x14ac:dyDescent="0.35">
      <c r="A1193" s="3">
        <f xml:space="preserve"> ROW( data_scaledImpacts[[#This Row],[row_id]] ) - ROW( data_scaledImpacts[[#Headers],[row_id]] )</f>
        <v>1192</v>
      </c>
      <c r="B1193" s="41" t="str">
        <f xml:space="preserve"> _xlfn.TEXTJOIN( "", , data_scaledImpacts[[#This Row],[sector]:[impactType]] )</f>
        <v>RailHadGEM2-ES2NoAdapt</v>
      </c>
      <c r="C1193" s="33" t="s">
        <v>209</v>
      </c>
      <c r="D1193" s="33" t="s">
        <v>3</v>
      </c>
      <c r="E1193" s="34">
        <v>2</v>
      </c>
      <c r="F1193" s="34"/>
      <c r="G1193" s="34" t="s">
        <v>87</v>
      </c>
      <c r="H1193" s="35"/>
      <c r="I1193" s="43" t="s">
        <v>850</v>
      </c>
      <c r="J1193" s="36">
        <v>27229.643843692247</v>
      </c>
      <c r="K1193" s="36">
        <v>16005.137034750082</v>
      </c>
      <c r="L1193" s="37">
        <v>27427.131252844945</v>
      </c>
      <c r="M1193" s="36">
        <v>8884.6501573851965</v>
      </c>
      <c r="N1193" s="36">
        <v>20888.031329405821</v>
      </c>
      <c r="O1193" s="36">
        <v>26604.93824812238</v>
      </c>
      <c r="P1193">
        <v>28409.972764452097</v>
      </c>
    </row>
    <row r="1194" spans="1:16" hidden="1" x14ac:dyDescent="0.35">
      <c r="A1194" s="3">
        <f xml:space="preserve"> ROW( data_scaledImpacts[[#This Row],[row_id]] ) - ROW( data_scaledImpacts[[#Headers],[row_id]] )</f>
        <v>1193</v>
      </c>
      <c r="B1194" s="41" t="str">
        <f xml:space="preserve"> _xlfn.TEXTJOIN( "", , data_scaledImpacts[[#This Row],[sector]:[impactType]] )</f>
        <v>RailMIROC52NoAdapt</v>
      </c>
      <c r="C1194" s="33" t="s">
        <v>209</v>
      </c>
      <c r="D1194" s="33" t="s">
        <v>4</v>
      </c>
      <c r="E1194" s="34">
        <v>2</v>
      </c>
      <c r="F1194" s="34"/>
      <c r="G1194" s="34" t="s">
        <v>87</v>
      </c>
      <c r="H1194" s="35"/>
      <c r="I1194" s="43" t="s">
        <v>851</v>
      </c>
      <c r="J1194" s="36">
        <v>10537.567881030034</v>
      </c>
      <c r="K1194" s="36">
        <v>1554.3894585037817</v>
      </c>
      <c r="L1194" s="37">
        <v>24672.987971401497</v>
      </c>
      <c r="M1194" s="36">
        <v>3662.7699495658312</v>
      </c>
      <c r="N1194" s="36">
        <v>3121.5938944885988</v>
      </c>
      <c r="O1194" s="36">
        <v>31279.750977490916</v>
      </c>
      <c r="P1194">
        <v>22613.334680561729</v>
      </c>
    </row>
    <row r="1195" spans="1:16" hidden="1" x14ac:dyDescent="0.35">
      <c r="A1195" s="3">
        <f xml:space="preserve"> ROW( data_scaledImpacts[[#This Row],[row_id]] ) - ROW( data_scaledImpacts[[#Headers],[row_id]] )</f>
        <v>1194</v>
      </c>
      <c r="B1195" s="41" t="str">
        <f xml:space="preserve"> _xlfn.TEXTJOIN( "", , data_scaledImpacts[[#This Row],[sector]:[impactType]] )</f>
        <v>RailGFDL-CM32NoAdapt</v>
      </c>
      <c r="C1195" s="33" t="s">
        <v>209</v>
      </c>
      <c r="D1195" s="33" t="s">
        <v>5</v>
      </c>
      <c r="E1195" s="34">
        <v>2</v>
      </c>
      <c r="F1195" s="34"/>
      <c r="G1195" s="34" t="s">
        <v>87</v>
      </c>
      <c r="H1195" s="35"/>
      <c r="I1195" s="43" t="s">
        <v>852</v>
      </c>
      <c r="J1195" s="36">
        <v>10275.875479111291</v>
      </c>
      <c r="K1195" s="36">
        <v>3083.6092807840159</v>
      </c>
      <c r="L1195" s="37">
        <v>39385.722203000652</v>
      </c>
      <c r="M1195" s="36">
        <v>14727.481676389736</v>
      </c>
      <c r="N1195" s="36">
        <v>2341.4647721085335</v>
      </c>
      <c r="O1195" s="36">
        <v>31860.17897347426</v>
      </c>
      <c r="P1195">
        <v>72743.288899287363</v>
      </c>
    </row>
    <row r="1196" spans="1:16" hidden="1" x14ac:dyDescent="0.35">
      <c r="A1196" s="3">
        <f xml:space="preserve"> ROW( data_scaledImpacts[[#This Row],[row_id]] ) - ROW( data_scaledImpacts[[#Headers],[row_id]] )</f>
        <v>1195</v>
      </c>
      <c r="B1196" s="41" t="str">
        <f xml:space="preserve"> _xlfn.TEXTJOIN( "", , data_scaledImpacts[[#This Row],[sector]:[impactType]] )</f>
        <v>RailGCM Average2NoAdapt</v>
      </c>
      <c r="C1196" s="33" t="s">
        <v>209</v>
      </c>
      <c r="D1196" s="33" t="s">
        <v>15</v>
      </c>
      <c r="E1196" s="34">
        <v>2</v>
      </c>
      <c r="F1196" s="34"/>
      <c r="G1196" s="34" t="s">
        <v>87</v>
      </c>
      <c r="H1196" s="35"/>
      <c r="I1196" s="43" t="s">
        <v>853</v>
      </c>
      <c r="J1196" s="36">
        <v>13700.368625904719</v>
      </c>
      <c r="K1196" s="36">
        <v>5256.3277211104023</v>
      </c>
      <c r="L1196" s="37">
        <v>30831.040396038941</v>
      </c>
      <c r="M1196" s="36">
        <v>11394.797162098168</v>
      </c>
      <c r="N1196" s="36">
        <v>5955.6488074806875</v>
      </c>
      <c r="O1196" s="36">
        <v>24816.097134888583</v>
      </c>
      <c r="P1196">
        <v>40807.486894115638</v>
      </c>
    </row>
    <row r="1197" spans="1:16" hidden="1" x14ac:dyDescent="0.35">
      <c r="A1197" s="3">
        <f xml:space="preserve"> ROW( data_scaledImpacts[[#This Row],[row_id]] ) - ROW( data_scaledImpacts[[#Headers],[row_id]] )</f>
        <v>1196</v>
      </c>
      <c r="B1197" s="41" t="str">
        <f xml:space="preserve"> _xlfn.TEXTJOIN( "", , data_scaledImpacts[[#This Row],[sector]:[impactType]] )</f>
        <v>RailCanESM23NoAdapt</v>
      </c>
      <c r="C1197" s="33" t="s">
        <v>209</v>
      </c>
      <c r="D1197" s="33" t="s">
        <v>0</v>
      </c>
      <c r="E1197" s="34">
        <v>3</v>
      </c>
      <c r="F1197" s="34"/>
      <c r="G1197" s="34" t="s">
        <v>87</v>
      </c>
      <c r="H1197" s="35"/>
      <c r="I1197" s="43" t="s">
        <v>854</v>
      </c>
      <c r="J1197" s="36">
        <v>6771.6270729872349</v>
      </c>
      <c r="K1197" s="36">
        <v>3575.7635459838143</v>
      </c>
      <c r="L1197" s="37">
        <v>34263.245778186072</v>
      </c>
      <c r="M1197" s="36">
        <v>20343.785852953581</v>
      </c>
      <c r="N1197" s="36">
        <v>3173.1256619116475</v>
      </c>
      <c r="O1197" s="36">
        <v>20621.932882212946</v>
      </c>
      <c r="P1197">
        <v>80877.366997836376</v>
      </c>
    </row>
    <row r="1198" spans="1:16" hidden="1" x14ac:dyDescent="0.35">
      <c r="A1198" s="3">
        <f xml:space="preserve"> ROW( data_scaledImpacts[[#This Row],[row_id]] ) - ROW( data_scaledImpacts[[#Headers],[row_id]] )</f>
        <v>1197</v>
      </c>
      <c r="B1198" s="41" t="str">
        <f xml:space="preserve"> _xlfn.TEXTJOIN( "", , data_scaledImpacts[[#This Row],[sector]:[impactType]] )</f>
        <v>RailCCSM43NoAdapt</v>
      </c>
      <c r="C1198" s="33" t="s">
        <v>209</v>
      </c>
      <c r="D1198" s="33" t="s">
        <v>1</v>
      </c>
      <c r="E1198" s="34">
        <v>3</v>
      </c>
      <c r="F1198" s="34"/>
      <c r="G1198" s="34" t="s">
        <v>87</v>
      </c>
      <c r="H1198" s="35"/>
      <c r="I1198" s="43" t="s">
        <v>855</v>
      </c>
      <c r="J1198" s="36">
        <v>30185.127557998559</v>
      </c>
      <c r="K1198" s="36">
        <v>7802.9885792677915</v>
      </c>
      <c r="L1198" s="37">
        <v>75014.848428395155</v>
      </c>
      <c r="M1198" s="36">
        <v>10958.587818082153</v>
      </c>
      <c r="N1198" s="36">
        <v>8990.1174938713666</v>
      </c>
      <c r="O1198" s="36">
        <v>45822.912417729145</v>
      </c>
      <c r="P1198">
        <v>65441.717748828109</v>
      </c>
    </row>
    <row r="1199" spans="1:16" hidden="1" x14ac:dyDescent="0.35">
      <c r="A1199" s="3">
        <f xml:space="preserve"> ROW( data_scaledImpacts[[#This Row],[row_id]] ) - ROW( data_scaledImpacts[[#Headers],[row_id]] )</f>
        <v>1198</v>
      </c>
      <c r="B1199" s="41" t="str">
        <f xml:space="preserve"> _xlfn.TEXTJOIN( "", , data_scaledImpacts[[#This Row],[sector]:[impactType]] )</f>
        <v>RailGISS-E2-R3NoAdapt</v>
      </c>
      <c r="C1199" s="33" t="s">
        <v>209</v>
      </c>
      <c r="D1199" s="33" t="s">
        <v>2</v>
      </c>
      <c r="E1199" s="34">
        <v>3</v>
      </c>
      <c r="F1199" s="34"/>
      <c r="G1199" s="34" t="s">
        <v>87</v>
      </c>
      <c r="H1199" s="35"/>
      <c r="I1199" s="43" t="s">
        <v>856</v>
      </c>
      <c r="J1199" s="36">
        <v>4702.1880610339167</v>
      </c>
      <c r="K1199" s="36">
        <v>2166.6348912834819</v>
      </c>
      <c r="L1199" s="37">
        <v>41928.853968368509</v>
      </c>
      <c r="M1199" s="36">
        <v>16782.502331816777</v>
      </c>
      <c r="N1199" s="36">
        <v>1681.448387455313</v>
      </c>
      <c r="O1199" s="36">
        <v>27508.217059030885</v>
      </c>
      <c r="P1199">
        <v>73616.005687702491</v>
      </c>
    </row>
    <row r="1200" spans="1:16" hidden="1" x14ac:dyDescent="0.35">
      <c r="A1200" s="3">
        <f xml:space="preserve"> ROW( data_scaledImpacts[[#This Row],[row_id]] ) - ROW( data_scaledImpacts[[#Headers],[row_id]] )</f>
        <v>1199</v>
      </c>
      <c r="B1200" s="41" t="str">
        <f xml:space="preserve"> _xlfn.TEXTJOIN( "", , data_scaledImpacts[[#This Row],[sector]:[impactType]] )</f>
        <v>RailHadGEM2-ES3NoAdapt</v>
      </c>
      <c r="C1200" s="33" t="s">
        <v>209</v>
      </c>
      <c r="D1200" s="33" t="s">
        <v>3</v>
      </c>
      <c r="E1200" s="34">
        <v>3</v>
      </c>
      <c r="F1200" s="34"/>
      <c r="G1200" s="34" t="s">
        <v>87</v>
      </c>
      <c r="H1200" s="35"/>
      <c r="I1200" s="43" t="s">
        <v>857</v>
      </c>
      <c r="J1200" s="36">
        <v>114002.50313543782</v>
      </c>
      <c r="K1200" s="36">
        <v>76610.573453451667</v>
      </c>
      <c r="L1200" s="37">
        <v>82824.748988960986</v>
      </c>
      <c r="M1200" s="36">
        <v>24399.071381705133</v>
      </c>
      <c r="N1200" s="36">
        <v>87297.387277043148</v>
      </c>
      <c r="O1200" s="36">
        <v>47363.218697729477</v>
      </c>
      <c r="P1200">
        <v>53450.800434986471</v>
      </c>
    </row>
    <row r="1201" spans="1:16" hidden="1" x14ac:dyDescent="0.35">
      <c r="A1201" s="3">
        <f xml:space="preserve"> ROW( data_scaledImpacts[[#This Row],[row_id]] ) - ROW( data_scaledImpacts[[#Headers],[row_id]] )</f>
        <v>1200</v>
      </c>
      <c r="B1201" s="41" t="str">
        <f xml:space="preserve"> _xlfn.TEXTJOIN( "", , data_scaledImpacts[[#This Row],[sector]:[impactType]] )</f>
        <v>RailMIROC53NoAdapt</v>
      </c>
      <c r="C1201" s="33" t="s">
        <v>209</v>
      </c>
      <c r="D1201" s="33" t="s">
        <v>4</v>
      </c>
      <c r="E1201" s="34">
        <v>3</v>
      </c>
      <c r="F1201" s="34"/>
      <c r="G1201" s="34" t="s">
        <v>87</v>
      </c>
      <c r="H1201" s="35"/>
      <c r="I1201" s="43" t="s">
        <v>858</v>
      </c>
      <c r="J1201" s="36">
        <v>6337.3546478662465</v>
      </c>
      <c r="K1201" s="36">
        <v>3330.1266464287778</v>
      </c>
      <c r="L1201" s="37">
        <v>21401.076368385817</v>
      </c>
      <c r="M1201" s="36">
        <v>3901.5679837531497</v>
      </c>
      <c r="N1201" s="36">
        <v>3284.2128546276108</v>
      </c>
      <c r="O1201" s="36">
        <v>21252.303134683745</v>
      </c>
      <c r="P1201">
        <v>25237.000075957621</v>
      </c>
    </row>
    <row r="1202" spans="1:16" hidden="1" x14ac:dyDescent="0.35">
      <c r="A1202" s="3">
        <f xml:space="preserve"> ROW( data_scaledImpacts[[#This Row],[row_id]] ) - ROW( data_scaledImpacts[[#Headers],[row_id]] )</f>
        <v>1201</v>
      </c>
      <c r="B1202" s="41" t="str">
        <f xml:space="preserve"> _xlfn.TEXTJOIN( "", , data_scaledImpacts[[#This Row],[sector]:[impactType]] )</f>
        <v>RailGFDL-CM33NoAdapt</v>
      </c>
      <c r="C1202" s="33" t="s">
        <v>209</v>
      </c>
      <c r="D1202" s="33" t="s">
        <v>5</v>
      </c>
      <c r="E1202" s="34">
        <v>3</v>
      </c>
      <c r="F1202" s="34"/>
      <c r="G1202" s="34" t="s">
        <v>87</v>
      </c>
      <c r="H1202" s="35"/>
      <c r="I1202" s="43" t="s">
        <v>859</v>
      </c>
      <c r="J1202" s="36">
        <v>10667.072894746676</v>
      </c>
      <c r="K1202" s="36">
        <v>7878.968160814351</v>
      </c>
      <c r="L1202" s="37">
        <v>16951.94492259248</v>
      </c>
      <c r="M1202" s="36">
        <v>14700.67969649224</v>
      </c>
      <c r="N1202" s="36">
        <v>4641.9854061184542</v>
      </c>
      <c r="O1202" s="36">
        <v>55618.024368485691</v>
      </c>
      <c r="P1202">
        <v>137116.05481458516</v>
      </c>
    </row>
    <row r="1203" spans="1:16" hidden="1" x14ac:dyDescent="0.35">
      <c r="A1203" s="3">
        <f xml:space="preserve"> ROW( data_scaledImpacts[[#This Row],[row_id]] ) - ROW( data_scaledImpacts[[#Headers],[row_id]] )</f>
        <v>1202</v>
      </c>
      <c r="B1203" s="41" t="str">
        <f xml:space="preserve"> _xlfn.TEXTJOIN( "", , data_scaledImpacts[[#This Row],[sector]:[impactType]] )</f>
        <v>RailGCM Average3NoAdapt</v>
      </c>
      <c r="C1203" s="33" t="s">
        <v>209</v>
      </c>
      <c r="D1203" s="33" t="s">
        <v>15</v>
      </c>
      <c r="E1203" s="34">
        <v>3</v>
      </c>
      <c r="F1203" s="34"/>
      <c r="G1203" s="34" t="s">
        <v>87</v>
      </c>
      <c r="H1203" s="35"/>
      <c r="I1203" s="43" t="s">
        <v>860</v>
      </c>
      <c r="J1203" s="36">
        <v>28777.645561678408</v>
      </c>
      <c r="K1203" s="36">
        <v>16894.17587953831</v>
      </c>
      <c r="L1203" s="37">
        <v>45397.453075814839</v>
      </c>
      <c r="M1203" s="36">
        <v>15181.032510800505</v>
      </c>
      <c r="N1203" s="36">
        <v>18178.046180171255</v>
      </c>
      <c r="O1203" s="36">
        <v>36364.434759978649</v>
      </c>
      <c r="P1203">
        <v>72623.157626649365</v>
      </c>
    </row>
    <row r="1204" spans="1:16" hidden="1" x14ac:dyDescent="0.35">
      <c r="A1204" s="3">
        <f xml:space="preserve"> ROW( data_scaledImpacts[[#This Row],[row_id]] ) - ROW( data_scaledImpacts[[#Headers],[row_id]] )</f>
        <v>1203</v>
      </c>
      <c r="B1204" s="41" t="str">
        <f xml:space="preserve"> _xlfn.TEXTJOIN( "", , data_scaledImpacts[[#This Row],[sector]:[impactType]] )</f>
        <v>RailCanESM24NoAdapt</v>
      </c>
      <c r="C1204" s="33" t="s">
        <v>209</v>
      </c>
      <c r="D1204" s="33" t="s">
        <v>0</v>
      </c>
      <c r="E1204" s="34">
        <v>4</v>
      </c>
      <c r="F1204" s="34"/>
      <c r="G1204" s="34" t="s">
        <v>87</v>
      </c>
      <c r="H1204" s="35"/>
      <c r="I1204" s="43" t="s">
        <v>861</v>
      </c>
      <c r="J1204" s="36">
        <v>8646.8433205711335</v>
      </c>
      <c r="K1204" s="36">
        <v>4370.1246178888814</v>
      </c>
      <c r="L1204" s="37">
        <v>51373.93299078806</v>
      </c>
      <c r="M1204" s="36">
        <v>29967.900580217796</v>
      </c>
      <c r="N1204" s="36">
        <v>2729.9660704193193</v>
      </c>
      <c r="O1204" s="36">
        <v>17407.019756442965</v>
      </c>
      <c r="P1204">
        <v>74723.944827549931</v>
      </c>
    </row>
    <row r="1205" spans="1:16" hidden="1" x14ac:dyDescent="0.35">
      <c r="A1205" s="3">
        <f xml:space="preserve"> ROW( data_scaledImpacts[[#This Row],[row_id]] ) - ROW( data_scaledImpacts[[#Headers],[row_id]] )</f>
        <v>1204</v>
      </c>
      <c r="B1205" s="41" t="str">
        <f xml:space="preserve"> _xlfn.TEXTJOIN( "", , data_scaledImpacts[[#This Row],[sector]:[impactType]] )</f>
        <v>RailCCSM44NoAdapt</v>
      </c>
      <c r="C1205" s="33" t="s">
        <v>209</v>
      </c>
      <c r="D1205" s="33" t="s">
        <v>1</v>
      </c>
      <c r="E1205" s="34">
        <v>4</v>
      </c>
      <c r="F1205" s="34"/>
      <c r="G1205" s="34" t="s">
        <v>87</v>
      </c>
      <c r="H1205" s="35"/>
      <c r="I1205" s="43" t="s">
        <v>862</v>
      </c>
      <c r="J1205" s="36">
        <v>40418.948269088338</v>
      </c>
      <c r="K1205" s="36">
        <v>19035.492887763114</v>
      </c>
      <c r="L1205" s="37">
        <v>114368.74990725545</v>
      </c>
      <c r="M1205" s="36">
        <v>31230.027937206334</v>
      </c>
      <c r="N1205" s="36">
        <v>24805.259361263121</v>
      </c>
      <c r="O1205" s="36">
        <v>39979.205714290649</v>
      </c>
      <c r="P1205">
        <v>82582.603280141484</v>
      </c>
    </row>
    <row r="1206" spans="1:16" hidden="1" x14ac:dyDescent="0.35">
      <c r="A1206" s="3">
        <f xml:space="preserve"> ROW( data_scaledImpacts[[#This Row],[row_id]] ) - ROW( data_scaledImpacts[[#Headers],[row_id]] )</f>
        <v>1205</v>
      </c>
      <c r="B1206" s="41" t="str">
        <f xml:space="preserve"> _xlfn.TEXTJOIN( "", , data_scaledImpacts[[#This Row],[sector]:[impactType]] )</f>
        <v>RailGISS-E2-R4NoAdapt</v>
      </c>
      <c r="C1206" s="33" t="s">
        <v>209</v>
      </c>
      <c r="D1206" s="33" t="s">
        <v>2</v>
      </c>
      <c r="E1206" s="34">
        <v>4</v>
      </c>
      <c r="F1206" s="34"/>
      <c r="G1206" s="34" t="s">
        <v>87</v>
      </c>
      <c r="H1206" s="35"/>
      <c r="I1206" s="43" t="s">
        <v>863</v>
      </c>
      <c r="J1206" s="36"/>
      <c r="K1206" s="36"/>
      <c r="L1206" s="37"/>
      <c r="M1206" s="36"/>
      <c r="N1206" s="36"/>
      <c r="O1206" s="36"/>
    </row>
    <row r="1207" spans="1:16" hidden="1" x14ac:dyDescent="0.35">
      <c r="A1207" s="3">
        <f xml:space="preserve"> ROW( data_scaledImpacts[[#This Row],[row_id]] ) - ROW( data_scaledImpacts[[#Headers],[row_id]] )</f>
        <v>1206</v>
      </c>
      <c r="B1207" s="41" t="str">
        <f xml:space="preserve"> _xlfn.TEXTJOIN( "", , data_scaledImpacts[[#This Row],[sector]:[impactType]] )</f>
        <v>RailHadGEM2-ES4NoAdapt</v>
      </c>
      <c r="C1207" s="33" t="s">
        <v>209</v>
      </c>
      <c r="D1207" s="33" t="s">
        <v>3</v>
      </c>
      <c r="E1207" s="34">
        <v>4</v>
      </c>
      <c r="F1207" s="34"/>
      <c r="G1207" s="34" t="s">
        <v>87</v>
      </c>
      <c r="H1207" s="35"/>
      <c r="I1207" s="43" t="s">
        <v>864</v>
      </c>
      <c r="J1207" s="36">
        <v>86258.165627353737</v>
      </c>
      <c r="K1207" s="36">
        <v>61953.747054997308</v>
      </c>
      <c r="L1207" s="37">
        <v>91851.355537248004</v>
      </c>
      <c r="M1207" s="36">
        <v>75541.444752411058</v>
      </c>
      <c r="N1207" s="36">
        <v>80712.291896168128</v>
      </c>
      <c r="O1207" s="36">
        <v>70369.940922951646</v>
      </c>
      <c r="P1207">
        <v>55755.572780418726</v>
      </c>
    </row>
    <row r="1208" spans="1:16" hidden="1" x14ac:dyDescent="0.35">
      <c r="A1208" s="3">
        <f xml:space="preserve"> ROW( data_scaledImpacts[[#This Row],[row_id]] ) - ROW( data_scaledImpacts[[#Headers],[row_id]] )</f>
        <v>1207</v>
      </c>
      <c r="B1208" s="41" t="str">
        <f xml:space="preserve"> _xlfn.TEXTJOIN( "", , data_scaledImpacts[[#This Row],[sector]:[impactType]] )</f>
        <v>RailMIROC54NoAdapt</v>
      </c>
      <c r="C1208" s="33" t="s">
        <v>209</v>
      </c>
      <c r="D1208" s="33" t="s">
        <v>4</v>
      </c>
      <c r="E1208" s="34">
        <v>4</v>
      </c>
      <c r="F1208" s="34"/>
      <c r="G1208" s="34" t="s">
        <v>87</v>
      </c>
      <c r="H1208" s="35"/>
      <c r="I1208" s="43" t="s">
        <v>865</v>
      </c>
      <c r="J1208" s="36">
        <v>25112.72196271627</v>
      </c>
      <c r="K1208" s="36">
        <v>4743.8471327250973</v>
      </c>
      <c r="L1208" s="37">
        <v>53055.548405417685</v>
      </c>
      <c r="M1208" s="36">
        <v>11561.263659114373</v>
      </c>
      <c r="N1208" s="36">
        <v>8141.7752523746394</v>
      </c>
      <c r="O1208" s="36">
        <v>61108.633371934571</v>
      </c>
      <c r="P1208">
        <v>44323.3733271932</v>
      </c>
    </row>
    <row r="1209" spans="1:16" hidden="1" x14ac:dyDescent="0.35">
      <c r="A1209" s="3">
        <f xml:space="preserve"> ROW( data_scaledImpacts[[#This Row],[row_id]] ) - ROW( data_scaledImpacts[[#Headers],[row_id]] )</f>
        <v>1208</v>
      </c>
      <c r="B1209" s="41" t="str">
        <f xml:space="preserve"> _xlfn.TEXTJOIN( "", , data_scaledImpacts[[#This Row],[sector]:[impactType]] )</f>
        <v>RailGFDL-CM34NoAdapt</v>
      </c>
      <c r="C1209" s="33" t="s">
        <v>209</v>
      </c>
      <c r="D1209" s="33" t="s">
        <v>5</v>
      </c>
      <c r="E1209" s="34">
        <v>4</v>
      </c>
      <c r="F1209" s="34"/>
      <c r="G1209" s="34" t="s">
        <v>87</v>
      </c>
      <c r="H1209" s="35"/>
      <c r="I1209" s="43" t="s">
        <v>866</v>
      </c>
      <c r="J1209" s="36">
        <v>34853.917898732645</v>
      </c>
      <c r="K1209" s="36">
        <v>13725.197121899315</v>
      </c>
      <c r="L1209" s="37">
        <v>65597.108020922955</v>
      </c>
      <c r="M1209" s="36">
        <v>20709.278536155227</v>
      </c>
      <c r="N1209" s="36">
        <v>12392.182044444984</v>
      </c>
      <c r="O1209" s="36">
        <v>173168.91659193384</v>
      </c>
      <c r="P1209">
        <v>271489.08298019739</v>
      </c>
    </row>
    <row r="1210" spans="1:16" hidden="1" x14ac:dyDescent="0.35">
      <c r="A1210" s="3">
        <f xml:space="preserve"> ROW( data_scaledImpacts[[#This Row],[row_id]] ) - ROW( data_scaledImpacts[[#Headers],[row_id]] )</f>
        <v>1209</v>
      </c>
      <c r="B1210" s="41" t="str">
        <f xml:space="preserve"> _xlfn.TEXTJOIN( "", , data_scaledImpacts[[#This Row],[sector]:[impactType]] )</f>
        <v>RailGCM Average4NoAdapt</v>
      </c>
      <c r="C1210" s="33" t="s">
        <v>209</v>
      </c>
      <c r="D1210" s="33" t="s">
        <v>15</v>
      </c>
      <c r="E1210" s="34">
        <v>4</v>
      </c>
      <c r="F1210" s="34"/>
      <c r="G1210" s="34" t="s">
        <v>87</v>
      </c>
      <c r="H1210" s="35"/>
      <c r="I1210" s="43" t="s">
        <v>867</v>
      </c>
      <c r="J1210" s="36">
        <v>39058.119415692425</v>
      </c>
      <c r="K1210" s="36">
        <v>20765.681763054741</v>
      </c>
      <c r="L1210" s="37">
        <v>75249.338972326441</v>
      </c>
      <c r="M1210" s="36">
        <v>33801.983093020957</v>
      </c>
      <c r="N1210" s="36">
        <v>25756.294924934038</v>
      </c>
      <c r="O1210" s="36">
        <v>72406.743271510728</v>
      </c>
      <c r="P1210">
        <v>105774.91543910015</v>
      </c>
    </row>
    <row r="1211" spans="1:16" hidden="1" x14ac:dyDescent="0.35">
      <c r="A1211" s="3">
        <f xml:space="preserve"> ROW( data_scaledImpacts[[#This Row],[row_id]] ) - ROW( data_scaledImpacts[[#Headers],[row_id]] )</f>
        <v>1210</v>
      </c>
      <c r="B1211" s="41" t="str">
        <f xml:space="preserve"> _xlfn.TEXTJOIN( "", , data_scaledImpacts[[#This Row],[sector]:[impactType]] )</f>
        <v>RailCanESM25NoAdapt</v>
      </c>
      <c r="C1211" s="33" t="s">
        <v>209</v>
      </c>
      <c r="D1211" s="33" t="s">
        <v>0</v>
      </c>
      <c r="E1211" s="34">
        <v>5</v>
      </c>
      <c r="F1211" s="34"/>
      <c r="G1211" s="34" t="s">
        <v>87</v>
      </c>
      <c r="H1211" s="35"/>
      <c r="I1211" s="43" t="s">
        <v>868</v>
      </c>
      <c r="J1211" s="36">
        <v>16143.170944927757</v>
      </c>
      <c r="K1211" s="36">
        <v>10548.629039435009</v>
      </c>
      <c r="L1211" s="37">
        <v>74016.159354103904</v>
      </c>
      <c r="M1211" s="36">
        <v>68008.294410288305</v>
      </c>
      <c r="N1211" s="36">
        <v>8642.2660502292656</v>
      </c>
      <c r="O1211" s="36">
        <v>28673.436599396151</v>
      </c>
      <c r="P1211">
        <v>142408.54696346892</v>
      </c>
    </row>
    <row r="1212" spans="1:16" hidden="1" x14ac:dyDescent="0.35">
      <c r="A1212" s="3">
        <f xml:space="preserve"> ROW( data_scaledImpacts[[#This Row],[row_id]] ) - ROW( data_scaledImpacts[[#Headers],[row_id]] )</f>
        <v>1211</v>
      </c>
      <c r="B1212" s="41" t="str">
        <f xml:space="preserve"> _xlfn.TEXTJOIN( "", , data_scaledImpacts[[#This Row],[sector]:[impactType]] )</f>
        <v>RailCCSM45NoAdapt</v>
      </c>
      <c r="C1212" s="33" t="s">
        <v>209</v>
      </c>
      <c r="D1212" s="33" t="s">
        <v>1</v>
      </c>
      <c r="E1212" s="34">
        <v>5</v>
      </c>
      <c r="F1212" s="34"/>
      <c r="G1212" s="34" t="s">
        <v>87</v>
      </c>
      <c r="H1212" s="35"/>
      <c r="I1212" s="43" t="s">
        <v>869</v>
      </c>
      <c r="J1212" s="36">
        <v>46714.433011058623</v>
      </c>
      <c r="K1212" s="36">
        <v>27913.024983284926</v>
      </c>
      <c r="L1212" s="37">
        <v>125472.0509445746</v>
      </c>
      <c r="M1212" s="36">
        <v>64292.580221623488</v>
      </c>
      <c r="N1212" s="36">
        <v>18997.031371213441</v>
      </c>
      <c r="O1212" s="36">
        <v>101061.5511088521</v>
      </c>
      <c r="P1212">
        <v>146285.92245891658</v>
      </c>
    </row>
    <row r="1213" spans="1:16" hidden="1" x14ac:dyDescent="0.35">
      <c r="A1213" s="3">
        <f xml:space="preserve"> ROW( data_scaledImpacts[[#This Row],[row_id]] ) - ROW( data_scaledImpacts[[#Headers],[row_id]] )</f>
        <v>1212</v>
      </c>
      <c r="B1213" s="41" t="str">
        <f xml:space="preserve"> _xlfn.TEXTJOIN( "", , data_scaledImpacts[[#This Row],[sector]:[impactType]] )</f>
        <v>RailGISS-E2-R5NoAdapt</v>
      </c>
      <c r="C1213" s="33" t="s">
        <v>209</v>
      </c>
      <c r="D1213" s="33" t="s">
        <v>2</v>
      </c>
      <c r="E1213" s="34">
        <v>5</v>
      </c>
      <c r="F1213" s="34"/>
      <c r="G1213" s="34" t="s">
        <v>87</v>
      </c>
      <c r="H1213" s="35"/>
      <c r="I1213" s="43" t="s">
        <v>870</v>
      </c>
      <c r="J1213" s="36"/>
      <c r="K1213" s="36"/>
      <c r="L1213" s="37"/>
      <c r="M1213" s="36"/>
      <c r="N1213" s="36"/>
      <c r="O1213" s="36"/>
    </row>
    <row r="1214" spans="1:16" hidden="1" x14ac:dyDescent="0.35">
      <c r="A1214" s="3">
        <f xml:space="preserve"> ROW( data_scaledImpacts[[#This Row],[row_id]] ) - ROW( data_scaledImpacts[[#Headers],[row_id]] )</f>
        <v>1213</v>
      </c>
      <c r="B1214" s="41" t="str">
        <f xml:space="preserve"> _xlfn.TEXTJOIN( "", , data_scaledImpacts[[#This Row],[sector]:[impactType]] )</f>
        <v>RailHadGEM2-ES5NoAdapt</v>
      </c>
      <c r="C1214" s="33" t="s">
        <v>209</v>
      </c>
      <c r="D1214" s="33" t="s">
        <v>3</v>
      </c>
      <c r="E1214" s="34">
        <v>5</v>
      </c>
      <c r="F1214" s="34"/>
      <c r="G1214" s="34" t="s">
        <v>87</v>
      </c>
      <c r="H1214" s="35"/>
      <c r="I1214" s="43" t="s">
        <v>871</v>
      </c>
      <c r="J1214" s="36">
        <v>77976.989199663702</v>
      </c>
      <c r="K1214" s="36">
        <v>105058.73900531368</v>
      </c>
      <c r="L1214" s="37">
        <v>133032.92522512792</v>
      </c>
      <c r="M1214" s="36">
        <v>79717.370257422386</v>
      </c>
      <c r="N1214" s="36">
        <v>58580.887028883313</v>
      </c>
      <c r="O1214" s="36">
        <v>69791.977366872219</v>
      </c>
      <c r="P1214">
        <v>75048.368986741334</v>
      </c>
    </row>
    <row r="1215" spans="1:16" hidden="1" x14ac:dyDescent="0.35">
      <c r="A1215" s="3">
        <f xml:space="preserve"> ROW( data_scaledImpacts[[#This Row],[row_id]] ) - ROW( data_scaledImpacts[[#Headers],[row_id]] )</f>
        <v>1214</v>
      </c>
      <c r="B1215" s="41" t="str">
        <f xml:space="preserve"> _xlfn.TEXTJOIN( "", , data_scaledImpacts[[#This Row],[sector]:[impactType]] )</f>
        <v>RailMIROC55NoAdapt</v>
      </c>
      <c r="C1215" s="33" t="s">
        <v>209</v>
      </c>
      <c r="D1215" s="33" t="s">
        <v>4</v>
      </c>
      <c r="E1215" s="34">
        <v>5</v>
      </c>
      <c r="F1215" s="34"/>
      <c r="G1215" s="34" t="s">
        <v>87</v>
      </c>
      <c r="H1215" s="35"/>
      <c r="I1215" s="43" t="s">
        <v>872</v>
      </c>
      <c r="J1215" s="36">
        <v>32322.643208207886</v>
      </c>
      <c r="K1215" s="36">
        <v>4260.1499809921288</v>
      </c>
      <c r="L1215" s="37">
        <v>87562.615955377201</v>
      </c>
      <c r="M1215" s="36">
        <v>11603.516896317184</v>
      </c>
      <c r="N1215" s="36">
        <v>15288.41616123158</v>
      </c>
      <c r="O1215" s="36">
        <v>96352.657353054936</v>
      </c>
      <c r="P1215">
        <v>68454.450614072193</v>
      </c>
    </row>
    <row r="1216" spans="1:16" hidden="1" x14ac:dyDescent="0.35">
      <c r="A1216" s="3">
        <f xml:space="preserve"> ROW( data_scaledImpacts[[#This Row],[row_id]] ) - ROW( data_scaledImpacts[[#Headers],[row_id]] )</f>
        <v>1215</v>
      </c>
      <c r="B1216" s="41" t="str">
        <f xml:space="preserve"> _xlfn.TEXTJOIN( "", , data_scaledImpacts[[#This Row],[sector]:[impactType]] )</f>
        <v>RailGFDL-CM35NoAdapt</v>
      </c>
      <c r="C1216" s="33" t="s">
        <v>209</v>
      </c>
      <c r="D1216" s="33" t="s">
        <v>5</v>
      </c>
      <c r="E1216" s="34">
        <v>5</v>
      </c>
      <c r="F1216" s="34"/>
      <c r="G1216" s="34" t="s">
        <v>87</v>
      </c>
      <c r="H1216" s="35"/>
      <c r="I1216" s="43" t="s">
        <v>873</v>
      </c>
      <c r="J1216" s="36">
        <v>217020.90472575591</v>
      </c>
      <c r="K1216" s="36">
        <v>23990.34484498798</v>
      </c>
      <c r="L1216" s="37">
        <v>684823.33584361908</v>
      </c>
      <c r="M1216" s="36">
        <v>34480.125391455826</v>
      </c>
      <c r="N1216" s="36">
        <v>31407.852094424648</v>
      </c>
      <c r="O1216" s="36">
        <v>666740.15325324982</v>
      </c>
      <c r="P1216">
        <v>399550.98951535835</v>
      </c>
    </row>
    <row r="1217" spans="1:16" hidden="1" x14ac:dyDescent="0.35">
      <c r="A1217" s="3">
        <f xml:space="preserve"> ROW( data_scaledImpacts[[#This Row],[row_id]] ) - ROW( data_scaledImpacts[[#Headers],[row_id]] )</f>
        <v>1216</v>
      </c>
      <c r="B1217" s="41" t="str">
        <f xml:space="preserve"> _xlfn.TEXTJOIN( "", , data_scaledImpacts[[#This Row],[sector]:[impactType]] )</f>
        <v>RailGCM Average5NoAdapt</v>
      </c>
      <c r="C1217" s="33" t="s">
        <v>209</v>
      </c>
      <c r="D1217" s="33" t="s">
        <v>15</v>
      </c>
      <c r="E1217" s="34">
        <v>5</v>
      </c>
      <c r="F1217" s="34"/>
      <c r="G1217" s="34" t="s">
        <v>87</v>
      </c>
      <c r="H1217" s="35"/>
      <c r="I1217" s="43" t="s">
        <v>874</v>
      </c>
      <c r="J1217" s="36">
        <v>78035.628217922786</v>
      </c>
      <c r="K1217" s="36">
        <v>34354.177570802742</v>
      </c>
      <c r="L1217" s="37">
        <v>220981.41746456054</v>
      </c>
      <c r="M1217" s="36">
        <v>51620.37743542144</v>
      </c>
      <c r="N1217" s="36">
        <v>26583.290541196453</v>
      </c>
      <c r="O1217" s="36">
        <v>192523.95513628505</v>
      </c>
      <c r="P1217">
        <v>166349.6557077115</v>
      </c>
    </row>
    <row r="1218" spans="1:16" hidden="1" x14ac:dyDescent="0.35">
      <c r="A1218" s="3">
        <f xml:space="preserve"> ROW( data_scaledImpacts[[#This Row],[row_id]] ) - ROW( data_scaledImpacts[[#Headers],[row_id]] )</f>
        <v>1217</v>
      </c>
      <c r="B1218" s="41" t="str">
        <f xml:space="preserve"> _xlfn.TEXTJOIN( "", , data_scaledImpacts[[#This Row],[sector]:[impactType]] )</f>
        <v>RailCanESM26NoAdapt</v>
      </c>
      <c r="C1218" s="33" t="s">
        <v>209</v>
      </c>
      <c r="D1218" s="33" t="s">
        <v>0</v>
      </c>
      <c r="E1218" s="34">
        <v>6</v>
      </c>
      <c r="F1218" s="34"/>
      <c r="G1218" s="34" t="s">
        <v>87</v>
      </c>
      <c r="H1218" s="35"/>
      <c r="I1218" s="43" t="s">
        <v>875</v>
      </c>
      <c r="J1218" s="36">
        <v>20235.105211789672</v>
      </c>
      <c r="K1218" s="36">
        <v>9721.5765601672338</v>
      </c>
      <c r="L1218" s="37">
        <v>124466.75169250058</v>
      </c>
      <c r="M1218" s="36">
        <v>72805.229460567716</v>
      </c>
      <c r="N1218" s="36">
        <v>10195.360832168921</v>
      </c>
      <c r="O1218" s="36">
        <v>41569.588673374972</v>
      </c>
      <c r="P1218">
        <v>182449.2726130136</v>
      </c>
    </row>
    <row r="1219" spans="1:16" hidden="1" x14ac:dyDescent="0.35">
      <c r="A1219" s="3">
        <f xml:space="preserve"> ROW( data_scaledImpacts[[#This Row],[row_id]] ) - ROW( data_scaledImpacts[[#Headers],[row_id]] )</f>
        <v>1218</v>
      </c>
      <c r="B1219" s="41" t="str">
        <f xml:space="preserve"> _xlfn.TEXTJOIN( "", , data_scaledImpacts[[#This Row],[sector]:[impactType]] )</f>
        <v>RailCCSM46NoAdapt</v>
      </c>
      <c r="C1219" s="33" t="s">
        <v>209</v>
      </c>
      <c r="D1219" s="33" t="s">
        <v>1</v>
      </c>
      <c r="E1219" s="34">
        <v>6</v>
      </c>
      <c r="F1219" s="34"/>
      <c r="G1219" s="34" t="s">
        <v>87</v>
      </c>
      <c r="H1219" s="35"/>
      <c r="I1219" s="43" t="s">
        <v>876</v>
      </c>
      <c r="J1219" s="36"/>
      <c r="K1219" s="36"/>
      <c r="L1219" s="37"/>
      <c r="M1219" s="36"/>
      <c r="N1219" s="36"/>
      <c r="O1219" s="36"/>
    </row>
    <row r="1220" spans="1:16" hidden="1" x14ac:dyDescent="0.35">
      <c r="A1220" s="3">
        <f xml:space="preserve"> ROW( data_scaledImpacts[[#This Row],[row_id]] ) - ROW( data_scaledImpacts[[#Headers],[row_id]] )</f>
        <v>1219</v>
      </c>
      <c r="B1220" s="41" t="str">
        <f xml:space="preserve"> _xlfn.TEXTJOIN( "", , data_scaledImpacts[[#This Row],[sector]:[impactType]] )</f>
        <v>RailGISS-E2-R6NoAdapt</v>
      </c>
      <c r="C1220" s="33" t="s">
        <v>209</v>
      </c>
      <c r="D1220" s="33" t="s">
        <v>2</v>
      </c>
      <c r="E1220" s="34">
        <v>6</v>
      </c>
      <c r="F1220" s="34"/>
      <c r="G1220" s="34" t="s">
        <v>87</v>
      </c>
      <c r="H1220" s="35"/>
      <c r="I1220" s="43" t="s">
        <v>877</v>
      </c>
      <c r="J1220" s="36"/>
      <c r="K1220" s="36"/>
      <c r="L1220" s="37"/>
      <c r="M1220" s="36"/>
      <c r="N1220" s="36"/>
      <c r="O1220" s="36"/>
    </row>
    <row r="1221" spans="1:16" hidden="1" x14ac:dyDescent="0.35">
      <c r="A1221" s="3">
        <f xml:space="preserve"> ROW( data_scaledImpacts[[#This Row],[row_id]] ) - ROW( data_scaledImpacts[[#Headers],[row_id]] )</f>
        <v>1220</v>
      </c>
      <c r="B1221" s="41" t="str">
        <f xml:space="preserve"> _xlfn.TEXTJOIN( "", , data_scaledImpacts[[#This Row],[sector]:[impactType]] )</f>
        <v>RailHadGEM2-ES6NoAdapt</v>
      </c>
      <c r="C1221" s="33" t="s">
        <v>209</v>
      </c>
      <c r="D1221" s="33" t="s">
        <v>3</v>
      </c>
      <c r="E1221" s="34">
        <v>6</v>
      </c>
      <c r="F1221" s="34"/>
      <c r="G1221" s="34" t="s">
        <v>87</v>
      </c>
      <c r="H1221" s="35"/>
      <c r="I1221" s="43" t="s">
        <v>878</v>
      </c>
      <c r="J1221" s="36">
        <v>208553.75515510366</v>
      </c>
      <c r="K1221" s="36">
        <v>195467.03026379825</v>
      </c>
      <c r="L1221" s="37">
        <v>250740.88698085787</v>
      </c>
      <c r="M1221" s="36">
        <v>163156.75470653921</v>
      </c>
      <c r="N1221" s="36">
        <v>139662.72064502229</v>
      </c>
      <c r="O1221" s="36">
        <v>63222.413253724088</v>
      </c>
      <c r="P1221">
        <v>117503.40865061861</v>
      </c>
    </row>
    <row r="1222" spans="1:16" hidden="1" x14ac:dyDescent="0.35">
      <c r="A1222" s="3">
        <f xml:space="preserve"> ROW( data_scaledImpacts[[#This Row],[row_id]] ) - ROW( data_scaledImpacts[[#Headers],[row_id]] )</f>
        <v>1221</v>
      </c>
      <c r="B1222" s="41" t="str">
        <f xml:space="preserve"> _xlfn.TEXTJOIN( "", , data_scaledImpacts[[#This Row],[sector]:[impactType]] )</f>
        <v>RailMIROC56NoAdapt</v>
      </c>
      <c r="C1222" s="33" t="s">
        <v>209</v>
      </c>
      <c r="D1222" s="33" t="s">
        <v>4</v>
      </c>
      <c r="E1222" s="34">
        <v>6</v>
      </c>
      <c r="F1222" s="34"/>
      <c r="G1222" s="34" t="s">
        <v>87</v>
      </c>
      <c r="H1222" s="35"/>
      <c r="I1222" s="43" t="s">
        <v>879</v>
      </c>
      <c r="J1222" s="36"/>
      <c r="K1222" s="36"/>
      <c r="L1222" s="37"/>
      <c r="M1222" s="36"/>
      <c r="N1222" s="36"/>
      <c r="O1222" s="36"/>
    </row>
    <row r="1223" spans="1:16" hidden="1" x14ac:dyDescent="0.35">
      <c r="A1223" s="3">
        <f xml:space="preserve"> ROW( data_scaledImpacts[[#This Row],[row_id]] ) - ROW( data_scaledImpacts[[#Headers],[row_id]] )</f>
        <v>1222</v>
      </c>
      <c r="B1223" s="41" t="str">
        <f xml:space="preserve"> _xlfn.TEXTJOIN( "", , data_scaledImpacts[[#This Row],[sector]:[impactType]] )</f>
        <v>RailGFDL-CM36NoAdapt</v>
      </c>
      <c r="C1223" s="33" t="s">
        <v>209</v>
      </c>
      <c r="D1223" s="33" t="s">
        <v>5</v>
      </c>
      <c r="E1223" s="34">
        <v>6</v>
      </c>
      <c r="F1223" s="34"/>
      <c r="G1223" s="34" t="s">
        <v>87</v>
      </c>
      <c r="H1223" s="35"/>
      <c r="I1223" s="43" t="s">
        <v>880</v>
      </c>
      <c r="J1223" s="36">
        <v>190361.59351728621</v>
      </c>
      <c r="K1223" s="36">
        <v>31348.664761651868</v>
      </c>
      <c r="L1223" s="37">
        <v>974416.85256935656</v>
      </c>
      <c r="M1223" s="36">
        <v>110109.85790855193</v>
      </c>
      <c r="N1223" s="36">
        <v>35489.366356354512</v>
      </c>
      <c r="O1223" s="36">
        <v>761786.5039804345</v>
      </c>
      <c r="P1223">
        <v>584322.38310611737</v>
      </c>
    </row>
    <row r="1224" spans="1:16" hidden="1" x14ac:dyDescent="0.35">
      <c r="A1224" s="3">
        <f xml:space="preserve"> ROW( data_scaledImpacts[[#This Row],[row_id]] ) - ROW( data_scaledImpacts[[#Headers],[row_id]] )</f>
        <v>1223</v>
      </c>
      <c r="B1224" s="41" t="str">
        <f xml:space="preserve"> _xlfn.TEXTJOIN( "", , data_scaledImpacts[[#This Row],[sector]:[impactType]] )</f>
        <v>RailGCM Average6NoAdapt</v>
      </c>
      <c r="C1224" s="33" t="s">
        <v>209</v>
      </c>
      <c r="D1224" s="33" t="s">
        <v>15</v>
      </c>
      <c r="E1224" s="34">
        <v>6</v>
      </c>
      <c r="F1224" s="34"/>
      <c r="G1224" s="34" t="s">
        <v>87</v>
      </c>
      <c r="H1224" s="35"/>
      <c r="I1224" s="43" t="s">
        <v>881</v>
      </c>
      <c r="J1224" s="36">
        <v>139716.81796139319</v>
      </c>
      <c r="K1224" s="36">
        <v>78845.757195205792</v>
      </c>
      <c r="L1224" s="37">
        <v>449874.83041423839</v>
      </c>
      <c r="M1224" s="36">
        <v>115357.28069188628</v>
      </c>
      <c r="N1224" s="36">
        <v>61782.482611181913</v>
      </c>
      <c r="O1224" s="36">
        <v>288859.50196917786</v>
      </c>
      <c r="P1224">
        <v>294758.35478991648</v>
      </c>
    </row>
    <row r="1225" spans="1:16" hidden="1" x14ac:dyDescent="0.35">
      <c r="A1225" s="3">
        <f xml:space="preserve"> ROW( data_scaledImpacts[[#This Row],[row_id]] ) - ROW( data_scaledImpacts[[#Headers],[row_id]] )</f>
        <v>1224</v>
      </c>
      <c r="B1225" s="41" t="str">
        <f xml:space="preserve"> _xlfn.TEXTJOIN( "", , data_scaledImpacts[[#This Row],[sector]:[impactType]] )</f>
        <v>RailCanESM27NoAdapt</v>
      </c>
      <c r="C1225" s="33" t="s">
        <v>209</v>
      </c>
      <c r="D1225" s="33" t="s">
        <v>0</v>
      </c>
      <c r="E1225" s="34">
        <v>7</v>
      </c>
      <c r="F1225" s="34"/>
      <c r="G1225" s="34" t="s">
        <v>87</v>
      </c>
      <c r="H1225" s="35"/>
      <c r="I1225" s="43" t="s">
        <v>882</v>
      </c>
      <c r="J1225" s="36"/>
      <c r="K1225" s="36"/>
      <c r="L1225" s="37"/>
      <c r="M1225" s="36"/>
      <c r="N1225" s="36"/>
      <c r="O1225" s="36"/>
    </row>
    <row r="1226" spans="1:16" hidden="1" x14ac:dyDescent="0.35">
      <c r="A1226" s="3">
        <f xml:space="preserve"> ROW( data_scaledImpacts[[#This Row],[row_id]] ) - ROW( data_scaledImpacts[[#Headers],[row_id]] )</f>
        <v>1225</v>
      </c>
      <c r="B1226" s="41" t="str">
        <f xml:space="preserve"> _xlfn.TEXTJOIN( "", , data_scaledImpacts[[#This Row],[sector]:[impactType]] )</f>
        <v>RailCCSM47NoAdapt</v>
      </c>
      <c r="C1226" s="33" t="s">
        <v>209</v>
      </c>
      <c r="D1226" s="33" t="s">
        <v>1</v>
      </c>
      <c r="E1226" s="34">
        <v>7</v>
      </c>
      <c r="F1226" s="34"/>
      <c r="G1226" s="34" t="s">
        <v>87</v>
      </c>
      <c r="H1226" s="35"/>
      <c r="I1226" s="43" t="s">
        <v>883</v>
      </c>
      <c r="J1226" s="36"/>
      <c r="K1226" s="36"/>
      <c r="L1226" s="37"/>
      <c r="M1226" s="36"/>
      <c r="N1226" s="36"/>
      <c r="O1226" s="36"/>
    </row>
    <row r="1227" spans="1:16" hidden="1" x14ac:dyDescent="0.35">
      <c r="A1227" s="3">
        <f xml:space="preserve"> ROW( data_scaledImpacts[[#This Row],[row_id]] ) - ROW( data_scaledImpacts[[#Headers],[row_id]] )</f>
        <v>1226</v>
      </c>
      <c r="B1227" s="41" t="str">
        <f xml:space="preserve"> _xlfn.TEXTJOIN( "", , data_scaledImpacts[[#This Row],[sector]:[impactType]] )</f>
        <v>RailGISS-E2-R7NoAdapt</v>
      </c>
      <c r="C1227" s="33" t="s">
        <v>209</v>
      </c>
      <c r="D1227" s="33" t="s">
        <v>2</v>
      </c>
      <c r="E1227" s="34">
        <v>7</v>
      </c>
      <c r="F1227" s="34"/>
      <c r="G1227" s="34" t="s">
        <v>87</v>
      </c>
      <c r="H1227" s="35"/>
      <c r="I1227" s="43" t="s">
        <v>884</v>
      </c>
      <c r="J1227" s="36"/>
      <c r="K1227" s="36"/>
      <c r="L1227" s="37"/>
      <c r="M1227" s="36"/>
      <c r="N1227" s="36"/>
      <c r="O1227" s="36"/>
    </row>
    <row r="1228" spans="1:16" hidden="1" x14ac:dyDescent="0.35">
      <c r="A1228" s="3">
        <f xml:space="preserve"> ROW( data_scaledImpacts[[#This Row],[row_id]] ) - ROW( data_scaledImpacts[[#Headers],[row_id]] )</f>
        <v>1227</v>
      </c>
      <c r="B1228" s="41" t="str">
        <f xml:space="preserve"> _xlfn.TEXTJOIN( "", , data_scaledImpacts[[#This Row],[sector]:[impactType]] )</f>
        <v>RailHadGEM2-ES7NoAdapt</v>
      </c>
      <c r="C1228" s="33" t="s">
        <v>209</v>
      </c>
      <c r="D1228" s="33" t="s">
        <v>3</v>
      </c>
      <c r="E1228" s="34">
        <v>7</v>
      </c>
      <c r="F1228" s="34"/>
      <c r="G1228" s="34" t="s">
        <v>87</v>
      </c>
      <c r="H1228" s="35"/>
      <c r="I1228" s="43" t="s">
        <v>885</v>
      </c>
      <c r="J1228" s="36"/>
      <c r="K1228" s="36"/>
      <c r="L1228" s="37"/>
      <c r="M1228" s="36"/>
      <c r="N1228" s="36"/>
      <c r="O1228" s="36"/>
    </row>
    <row r="1229" spans="1:16" hidden="1" x14ac:dyDescent="0.35">
      <c r="A1229" s="3">
        <f xml:space="preserve"> ROW( data_scaledImpacts[[#This Row],[row_id]] ) - ROW( data_scaledImpacts[[#Headers],[row_id]] )</f>
        <v>1228</v>
      </c>
      <c r="B1229" s="41" t="str">
        <f xml:space="preserve"> _xlfn.TEXTJOIN( "", , data_scaledImpacts[[#This Row],[sector]:[impactType]] )</f>
        <v>RailMIROC57NoAdapt</v>
      </c>
      <c r="C1229" s="33" t="s">
        <v>209</v>
      </c>
      <c r="D1229" s="33" t="s">
        <v>4</v>
      </c>
      <c r="E1229" s="34">
        <v>7</v>
      </c>
      <c r="F1229" s="34"/>
      <c r="G1229" s="34" t="s">
        <v>87</v>
      </c>
      <c r="H1229" s="35"/>
      <c r="I1229" s="43" t="s">
        <v>886</v>
      </c>
      <c r="J1229" s="36"/>
      <c r="K1229" s="36"/>
      <c r="L1229" s="37"/>
      <c r="M1229" s="36"/>
      <c r="N1229" s="36"/>
      <c r="O1229" s="36"/>
    </row>
    <row r="1230" spans="1:16" hidden="1" x14ac:dyDescent="0.35">
      <c r="A1230" s="3">
        <f xml:space="preserve"> ROW( data_scaledImpacts[[#This Row],[row_id]] ) - ROW( data_scaledImpacts[[#Headers],[row_id]] )</f>
        <v>1229</v>
      </c>
      <c r="B1230" s="41" t="str">
        <f xml:space="preserve"> _xlfn.TEXTJOIN( "", , data_scaledImpacts[[#This Row],[sector]:[impactType]] )</f>
        <v>RailGFDL-CM37NoAdapt</v>
      </c>
      <c r="C1230" s="33" t="s">
        <v>209</v>
      </c>
      <c r="D1230" s="33" t="s">
        <v>5</v>
      </c>
      <c r="E1230" s="34">
        <v>7</v>
      </c>
      <c r="F1230" s="34"/>
      <c r="G1230" s="34" t="s">
        <v>87</v>
      </c>
      <c r="H1230" s="35"/>
      <c r="I1230" s="43" t="s">
        <v>887</v>
      </c>
      <c r="J1230" s="36"/>
      <c r="K1230" s="36"/>
      <c r="L1230" s="37"/>
      <c r="M1230" s="36"/>
      <c r="N1230" s="36"/>
      <c r="O1230" s="36"/>
    </row>
    <row r="1231" spans="1:16" hidden="1" x14ac:dyDescent="0.35">
      <c r="A1231" s="3">
        <f xml:space="preserve"> ROW( data_scaledImpacts[[#This Row],[row_id]] ) - ROW( data_scaledImpacts[[#Headers],[row_id]] )</f>
        <v>1230</v>
      </c>
      <c r="B1231" s="41" t="str">
        <f xml:space="preserve"> _xlfn.TEXTJOIN( "", , data_scaledImpacts[[#This Row],[sector]:[impactType]] )</f>
        <v>RailGCM Average7NoAdapt</v>
      </c>
      <c r="C1231" s="33" t="s">
        <v>209</v>
      </c>
      <c r="D1231" s="33" t="s">
        <v>15</v>
      </c>
      <c r="E1231" s="34">
        <v>7</v>
      </c>
      <c r="F1231" s="34"/>
      <c r="G1231" s="34" t="s">
        <v>87</v>
      </c>
      <c r="H1231" s="35"/>
      <c r="I1231" s="43" t="s">
        <v>888</v>
      </c>
      <c r="J1231" s="36" t="s">
        <v>26</v>
      </c>
      <c r="K1231" s="36" t="s">
        <v>26</v>
      </c>
      <c r="L1231" s="37" t="s">
        <v>26</v>
      </c>
      <c r="M1231" s="36" t="s">
        <v>26</v>
      </c>
      <c r="N1231" s="36" t="s">
        <v>26</v>
      </c>
      <c r="O1231" s="36"/>
      <c r="P1231" t="s">
        <v>26</v>
      </c>
    </row>
    <row r="1232" spans="1:16" hidden="1" x14ac:dyDescent="0.35">
      <c r="A1232" s="3">
        <f xml:space="preserve"> ROW( data_scaledImpacts[[#This Row],[row_id]] ) - ROW( data_scaledImpacts[[#Headers],[row_id]] )</f>
        <v>1231</v>
      </c>
      <c r="B1232" s="41" t="str">
        <f xml:space="preserve"> _xlfn.TEXTJOIN( "", , data_scaledImpacts[[#This Row],[sector]:[impactType]] )</f>
        <v>RailCanESM21Proactive</v>
      </c>
      <c r="C1232" s="33" t="s">
        <v>209</v>
      </c>
      <c r="D1232" s="33" t="s">
        <v>0</v>
      </c>
      <c r="E1232" s="34">
        <v>1</v>
      </c>
      <c r="F1232" s="34"/>
      <c r="G1232" s="34" t="s">
        <v>208</v>
      </c>
      <c r="H1232" s="35"/>
      <c r="I1232" s="43" t="s">
        <v>461</v>
      </c>
      <c r="J1232" s="36">
        <v>11.575437807527777</v>
      </c>
      <c r="K1232" s="36">
        <v>28.376401441152399</v>
      </c>
      <c r="L1232" s="37">
        <v>-51.964200747706165</v>
      </c>
      <c r="M1232" s="36">
        <v>96.489265872821377</v>
      </c>
      <c r="N1232" s="36">
        <v>14.310142259457791</v>
      </c>
      <c r="O1232" s="36">
        <v>-2.6580347680605638</v>
      </c>
      <c r="P1232">
        <v>216.21251815647136</v>
      </c>
    </row>
    <row r="1233" spans="1:16" hidden="1" x14ac:dyDescent="0.35">
      <c r="A1233" s="3">
        <f xml:space="preserve"> ROW( data_scaledImpacts[[#This Row],[row_id]] ) - ROW( data_scaledImpacts[[#Headers],[row_id]] )</f>
        <v>1232</v>
      </c>
      <c r="B1233" s="41" t="str">
        <f xml:space="preserve"> _xlfn.TEXTJOIN( "", , data_scaledImpacts[[#This Row],[sector]:[impactType]] )</f>
        <v>RailCCSM41Proactive</v>
      </c>
      <c r="C1233" s="33" t="s">
        <v>209</v>
      </c>
      <c r="D1233" s="33" t="s">
        <v>1</v>
      </c>
      <c r="E1233" s="34">
        <v>1</v>
      </c>
      <c r="F1233" s="34"/>
      <c r="G1233" s="34" t="s">
        <v>208</v>
      </c>
      <c r="H1233" s="35"/>
      <c r="I1233" s="43" t="s">
        <v>462</v>
      </c>
      <c r="J1233" s="36">
        <v>302.42539457258891</v>
      </c>
      <c r="K1233" s="36">
        <v>61.064434916739103</v>
      </c>
      <c r="L1233" s="37">
        <v>1622.2224961464944</v>
      </c>
      <c r="M1233" s="36">
        <v>133.6761322687519</v>
      </c>
      <c r="N1233" s="36">
        <v>117.24768348138345</v>
      </c>
      <c r="O1233" s="36">
        <v>1622.5698092229343</v>
      </c>
      <c r="P1233">
        <v>597.9470323594785</v>
      </c>
    </row>
    <row r="1234" spans="1:16" hidden="1" x14ac:dyDescent="0.35">
      <c r="A1234" s="3">
        <f xml:space="preserve"> ROW( data_scaledImpacts[[#This Row],[row_id]] ) - ROW( data_scaledImpacts[[#Headers],[row_id]] )</f>
        <v>1233</v>
      </c>
      <c r="B1234" s="41" t="str">
        <f xml:space="preserve"> _xlfn.TEXTJOIN( "", , data_scaledImpacts[[#This Row],[sector]:[impactType]] )</f>
        <v>RailGISS-E2-R1Proactive</v>
      </c>
      <c r="C1234" s="33" t="s">
        <v>209</v>
      </c>
      <c r="D1234" s="33" t="s">
        <v>2</v>
      </c>
      <c r="E1234" s="34">
        <v>1</v>
      </c>
      <c r="F1234" s="34"/>
      <c r="G1234" s="34" t="s">
        <v>208</v>
      </c>
      <c r="H1234" s="35"/>
      <c r="I1234" s="43" t="s">
        <v>463</v>
      </c>
      <c r="J1234" s="36">
        <v>-44.293065307793732</v>
      </c>
      <c r="K1234" s="36">
        <v>4.4758226852990246</v>
      </c>
      <c r="L1234" s="37">
        <v>-869.93952140047566</v>
      </c>
      <c r="M1234" s="36">
        <v>786.80867617847809</v>
      </c>
      <c r="N1234" s="36">
        <v>-4.5242766800687599</v>
      </c>
      <c r="O1234" s="36">
        <v>-18.54437991293721</v>
      </c>
      <c r="P1234">
        <v>323.29549532303844</v>
      </c>
    </row>
    <row r="1235" spans="1:16" hidden="1" x14ac:dyDescent="0.35">
      <c r="A1235" s="3">
        <f xml:space="preserve"> ROW( data_scaledImpacts[[#This Row],[row_id]] ) - ROW( data_scaledImpacts[[#Headers],[row_id]] )</f>
        <v>1234</v>
      </c>
      <c r="B1235" s="41" t="str">
        <f xml:space="preserve"> _xlfn.TEXTJOIN( "", , data_scaledImpacts[[#This Row],[sector]:[impactType]] )</f>
        <v>RailHadGEM2-ES1Proactive</v>
      </c>
      <c r="C1235" s="33" t="s">
        <v>209</v>
      </c>
      <c r="D1235" s="33" t="s">
        <v>3</v>
      </c>
      <c r="E1235" s="34">
        <v>1</v>
      </c>
      <c r="F1235" s="34"/>
      <c r="G1235" s="34" t="s">
        <v>208</v>
      </c>
      <c r="H1235" s="35"/>
      <c r="I1235" s="43" t="s">
        <v>464</v>
      </c>
      <c r="J1235" s="36">
        <v>395.28259572824294</v>
      </c>
      <c r="K1235" s="36">
        <v>300.82733479223111</v>
      </c>
      <c r="L1235" s="37">
        <v>281.19724795491197</v>
      </c>
      <c r="M1235" s="36">
        <v>508.26384795128399</v>
      </c>
      <c r="N1235" s="36">
        <v>790.46724084027915</v>
      </c>
      <c r="O1235" s="36">
        <v>336.46659478996543</v>
      </c>
      <c r="P1235">
        <v>196.83684437244165</v>
      </c>
    </row>
    <row r="1236" spans="1:16" hidden="1" x14ac:dyDescent="0.35">
      <c r="A1236" s="3">
        <f xml:space="preserve"> ROW( data_scaledImpacts[[#This Row],[row_id]] ) - ROW( data_scaledImpacts[[#Headers],[row_id]] )</f>
        <v>1235</v>
      </c>
      <c r="B1236" s="41" t="str">
        <f xml:space="preserve"> _xlfn.TEXTJOIN( "", , data_scaledImpacts[[#This Row],[sector]:[impactType]] )</f>
        <v>RailMIROC51Proactive</v>
      </c>
      <c r="C1236" s="33" t="s">
        <v>209</v>
      </c>
      <c r="D1236" s="33" t="s">
        <v>4</v>
      </c>
      <c r="E1236" s="34">
        <v>1</v>
      </c>
      <c r="F1236" s="34"/>
      <c r="G1236" s="34" t="s">
        <v>208</v>
      </c>
      <c r="H1236" s="35"/>
      <c r="I1236" s="43" t="s">
        <v>465</v>
      </c>
      <c r="J1236" s="36">
        <v>78.682598363014577</v>
      </c>
      <c r="K1236" s="36">
        <v>1.2869793845882729</v>
      </c>
      <c r="L1236" s="37">
        <v>-48.036643465022621</v>
      </c>
      <c r="M1236" s="36">
        <v>154.12225502487536</v>
      </c>
      <c r="N1236" s="36">
        <v>31.20906753437615</v>
      </c>
      <c r="O1236" s="36">
        <v>453.00678840002087</v>
      </c>
      <c r="P1236">
        <v>685.89623993318605</v>
      </c>
    </row>
    <row r="1237" spans="1:16" hidden="1" x14ac:dyDescent="0.35">
      <c r="A1237" s="3">
        <f xml:space="preserve"> ROW( data_scaledImpacts[[#This Row],[row_id]] ) - ROW( data_scaledImpacts[[#Headers],[row_id]] )</f>
        <v>1236</v>
      </c>
      <c r="B1237" s="41" t="str">
        <f xml:space="preserve"> _xlfn.TEXTJOIN( "", , data_scaledImpacts[[#This Row],[sector]:[impactType]] )</f>
        <v>RailGFDL-CM31Proactive</v>
      </c>
      <c r="C1237" s="33" t="s">
        <v>209</v>
      </c>
      <c r="D1237" s="33" t="s">
        <v>5</v>
      </c>
      <c r="E1237" s="34">
        <v>1</v>
      </c>
      <c r="F1237" s="34"/>
      <c r="G1237" s="34" t="s">
        <v>208</v>
      </c>
      <c r="H1237" s="35"/>
      <c r="I1237" s="43" t="s">
        <v>466</v>
      </c>
      <c r="J1237" s="36">
        <v>140.60693283842102</v>
      </c>
      <c r="K1237" s="36">
        <v>41.88753027302581</v>
      </c>
      <c r="L1237" s="37">
        <v>203.61545276366257</v>
      </c>
      <c r="M1237" s="36">
        <v>54.80588320910659</v>
      </c>
      <c r="N1237" s="36">
        <v>137.58094453589752</v>
      </c>
      <c r="O1237" s="36">
        <v>1700.045379364414</v>
      </c>
      <c r="P1237">
        <v>530.59314868594288</v>
      </c>
    </row>
    <row r="1238" spans="1:16" hidden="1" x14ac:dyDescent="0.35">
      <c r="A1238" s="3">
        <f xml:space="preserve"> ROW( data_scaledImpacts[[#This Row],[row_id]] ) - ROW( data_scaledImpacts[[#Headers],[row_id]] )</f>
        <v>1237</v>
      </c>
      <c r="B1238" s="41" t="str">
        <f xml:space="preserve"> _xlfn.TEXTJOIN( "", , data_scaledImpacts[[#This Row],[sector]:[impactType]] )</f>
        <v>RailGCM Average1Proactive</v>
      </c>
      <c r="C1238" s="33" t="s">
        <v>209</v>
      </c>
      <c r="D1238" s="33" t="s">
        <v>15</v>
      </c>
      <c r="E1238" s="34">
        <v>1</v>
      </c>
      <c r="F1238" s="34"/>
      <c r="G1238" s="34" t="s">
        <v>208</v>
      </c>
      <c r="H1238" s="35"/>
      <c r="I1238" s="43" t="s">
        <v>467</v>
      </c>
      <c r="J1238" s="36">
        <v>147.3799823336669</v>
      </c>
      <c r="K1238" s="36">
        <v>72.986417248839288</v>
      </c>
      <c r="L1238" s="37">
        <v>189.51580520864408</v>
      </c>
      <c r="M1238" s="36">
        <v>289.0276767508862</v>
      </c>
      <c r="N1238" s="36">
        <v>181.04846699522088</v>
      </c>
      <c r="O1238" s="36">
        <v>681.81435951605602</v>
      </c>
      <c r="P1238">
        <v>425.13021313842654</v>
      </c>
    </row>
    <row r="1239" spans="1:16" hidden="1" x14ac:dyDescent="0.35">
      <c r="A1239" s="3">
        <f xml:space="preserve"> ROW( data_scaledImpacts[[#This Row],[row_id]] ) - ROW( data_scaledImpacts[[#Headers],[row_id]] )</f>
        <v>1238</v>
      </c>
      <c r="B1239" s="41" t="str">
        <f xml:space="preserve"> _xlfn.TEXTJOIN( "", , data_scaledImpacts[[#This Row],[sector]:[impactType]] )</f>
        <v>RailCanESM22Proactive</v>
      </c>
      <c r="C1239" s="33" t="s">
        <v>209</v>
      </c>
      <c r="D1239" s="33" t="s">
        <v>0</v>
      </c>
      <c r="E1239" s="34">
        <v>2</v>
      </c>
      <c r="F1239" s="34"/>
      <c r="G1239" s="34" t="s">
        <v>208</v>
      </c>
      <c r="H1239" s="35"/>
      <c r="I1239" s="43" t="s">
        <v>468</v>
      </c>
      <c r="J1239" s="36">
        <v>117.19579728327483</v>
      </c>
      <c r="K1239" s="36">
        <v>57.853237490578962</v>
      </c>
      <c r="L1239" s="37">
        <v>455.90920580066086</v>
      </c>
      <c r="M1239" s="36">
        <v>169.23078960732065</v>
      </c>
      <c r="N1239" s="36">
        <v>77.089448159744663</v>
      </c>
      <c r="O1239" s="36">
        <v>137.05816735712801</v>
      </c>
      <c r="P1239">
        <v>813.38796376557377</v>
      </c>
    </row>
    <row r="1240" spans="1:16" hidden="1" x14ac:dyDescent="0.35">
      <c r="A1240" s="3">
        <f xml:space="preserve"> ROW( data_scaledImpacts[[#This Row],[row_id]] ) - ROW( data_scaledImpacts[[#Headers],[row_id]] )</f>
        <v>1239</v>
      </c>
      <c r="B1240" s="41" t="str">
        <f xml:space="preserve"> _xlfn.TEXTJOIN( "", , data_scaledImpacts[[#This Row],[sector]:[impactType]] )</f>
        <v>RailCCSM42Proactive</v>
      </c>
      <c r="C1240" s="33" t="s">
        <v>209</v>
      </c>
      <c r="D1240" s="33" t="s">
        <v>1</v>
      </c>
      <c r="E1240" s="34">
        <v>2</v>
      </c>
      <c r="F1240" s="34"/>
      <c r="G1240" s="34" t="s">
        <v>208</v>
      </c>
      <c r="H1240" s="35"/>
      <c r="I1240" s="43" t="s">
        <v>469</v>
      </c>
      <c r="J1240" s="36">
        <v>1376.1034996107926</v>
      </c>
      <c r="K1240" s="36">
        <v>273.93942987167014</v>
      </c>
      <c r="L1240" s="37">
        <v>5672.5377656046348</v>
      </c>
      <c r="M1240" s="36">
        <v>907.86170753247018</v>
      </c>
      <c r="N1240" s="36">
        <v>476.68675573206889</v>
      </c>
      <c r="O1240" s="36">
        <v>3629.070388842149</v>
      </c>
      <c r="P1240">
        <v>2120.2275208876035</v>
      </c>
    </row>
    <row r="1241" spans="1:16" hidden="1" x14ac:dyDescent="0.35">
      <c r="A1241" s="3">
        <f xml:space="preserve"> ROW( data_scaledImpacts[[#This Row],[row_id]] ) - ROW( data_scaledImpacts[[#Headers],[row_id]] )</f>
        <v>1240</v>
      </c>
      <c r="B1241" s="41" t="str">
        <f xml:space="preserve"> _xlfn.TEXTJOIN( "", , data_scaledImpacts[[#This Row],[sector]:[impactType]] )</f>
        <v>RailGISS-E2-R2Proactive</v>
      </c>
      <c r="C1241" s="33" t="s">
        <v>209</v>
      </c>
      <c r="D1241" s="33" t="s">
        <v>2</v>
      </c>
      <c r="E1241" s="34">
        <v>2</v>
      </c>
      <c r="F1241" s="34"/>
      <c r="G1241" s="34" t="s">
        <v>208</v>
      </c>
      <c r="H1241" s="35"/>
      <c r="I1241" s="43" t="s">
        <v>470</v>
      </c>
      <c r="J1241" s="36">
        <v>-37.109224432516811</v>
      </c>
      <c r="K1241" s="36">
        <v>9.8141877419115673</v>
      </c>
      <c r="L1241" s="37">
        <v>1375.1945407260505</v>
      </c>
      <c r="M1241" s="36">
        <v>3575.2676235750791</v>
      </c>
      <c r="N1241" s="36">
        <v>13.593191352558344</v>
      </c>
      <c r="O1241" s="36">
        <v>528.0493853915209</v>
      </c>
      <c r="P1241">
        <v>3425.3191087905279</v>
      </c>
    </row>
    <row r="1242" spans="1:16" hidden="1" x14ac:dyDescent="0.35">
      <c r="A1242" s="3">
        <f xml:space="preserve"> ROW( data_scaledImpacts[[#This Row],[row_id]] ) - ROW( data_scaledImpacts[[#Headers],[row_id]] )</f>
        <v>1241</v>
      </c>
      <c r="B1242" s="41" t="str">
        <f xml:space="preserve"> _xlfn.TEXTJOIN( "", , data_scaledImpacts[[#This Row],[sector]:[impactType]] )</f>
        <v>RailHadGEM2-ES2Proactive</v>
      </c>
      <c r="C1242" s="33" t="s">
        <v>209</v>
      </c>
      <c r="D1242" s="33" t="s">
        <v>3</v>
      </c>
      <c r="E1242" s="34">
        <v>2</v>
      </c>
      <c r="F1242" s="34"/>
      <c r="G1242" s="34" t="s">
        <v>208</v>
      </c>
      <c r="H1242" s="35"/>
      <c r="I1242" s="43" t="s">
        <v>471</v>
      </c>
      <c r="J1242" s="36">
        <v>1009.2659478571717</v>
      </c>
      <c r="K1242" s="36">
        <v>607.71481326091236</v>
      </c>
      <c r="L1242" s="37">
        <v>1961.9378091787078</v>
      </c>
      <c r="M1242" s="36">
        <v>941.91035569586757</v>
      </c>
      <c r="N1242" s="36">
        <v>1142.1894616056886</v>
      </c>
      <c r="O1242" s="36">
        <v>1123.9533758949262</v>
      </c>
      <c r="P1242">
        <v>894.25165189697032</v>
      </c>
    </row>
    <row r="1243" spans="1:16" hidden="1" x14ac:dyDescent="0.35">
      <c r="A1243" s="3">
        <f xml:space="preserve"> ROW( data_scaledImpacts[[#This Row],[row_id]] ) - ROW( data_scaledImpacts[[#Headers],[row_id]] )</f>
        <v>1242</v>
      </c>
      <c r="B1243" s="41" t="str">
        <f xml:space="preserve"> _xlfn.TEXTJOIN( "", , data_scaledImpacts[[#This Row],[sector]:[impactType]] )</f>
        <v>RailMIROC52Proactive</v>
      </c>
      <c r="C1243" s="33" t="s">
        <v>209</v>
      </c>
      <c r="D1243" s="33" t="s">
        <v>4</v>
      </c>
      <c r="E1243" s="34">
        <v>2</v>
      </c>
      <c r="F1243" s="34"/>
      <c r="G1243" s="34" t="s">
        <v>208</v>
      </c>
      <c r="H1243" s="35"/>
      <c r="I1243" s="43" t="s">
        <v>472</v>
      </c>
      <c r="J1243" s="36">
        <v>302.5596608266423</v>
      </c>
      <c r="K1243" s="36">
        <v>11.21299729629324</v>
      </c>
      <c r="L1243" s="37">
        <v>1179.7326302216782</v>
      </c>
      <c r="M1243" s="36">
        <v>278.2775572308783</v>
      </c>
      <c r="N1243" s="36">
        <v>176.73760979843752</v>
      </c>
      <c r="O1243" s="36">
        <v>1663.4134638771914</v>
      </c>
      <c r="P1243">
        <v>1764.3391248434434</v>
      </c>
    </row>
    <row r="1244" spans="1:16" hidden="1" x14ac:dyDescent="0.35">
      <c r="A1244" s="3">
        <f xml:space="preserve"> ROW( data_scaledImpacts[[#This Row],[row_id]] ) - ROW( data_scaledImpacts[[#Headers],[row_id]] )</f>
        <v>1243</v>
      </c>
      <c r="B1244" s="41" t="str">
        <f xml:space="preserve"> _xlfn.TEXTJOIN( "", , data_scaledImpacts[[#This Row],[sector]:[impactType]] )</f>
        <v>RailGFDL-CM32Proactive</v>
      </c>
      <c r="C1244" s="33" t="s">
        <v>209</v>
      </c>
      <c r="D1244" s="33" t="s">
        <v>5</v>
      </c>
      <c r="E1244" s="34">
        <v>2</v>
      </c>
      <c r="F1244" s="34"/>
      <c r="G1244" s="34" t="s">
        <v>208</v>
      </c>
      <c r="H1244" s="35"/>
      <c r="I1244" s="43" t="s">
        <v>473</v>
      </c>
      <c r="J1244" s="36">
        <v>379.01859359871662</v>
      </c>
      <c r="K1244" s="36">
        <v>32.01857654454232</v>
      </c>
      <c r="L1244" s="37">
        <v>1184.77769587439</v>
      </c>
      <c r="M1244" s="36">
        <v>1092.6598728937245</v>
      </c>
      <c r="N1244" s="36">
        <v>67.469755404747275</v>
      </c>
      <c r="O1244" s="36">
        <v>2261.8243309041231</v>
      </c>
      <c r="P1244">
        <v>3744.6641628385792</v>
      </c>
    </row>
    <row r="1245" spans="1:16" hidden="1" x14ac:dyDescent="0.35">
      <c r="A1245" s="3">
        <f xml:space="preserve"> ROW( data_scaledImpacts[[#This Row],[row_id]] ) - ROW( data_scaledImpacts[[#Headers],[row_id]] )</f>
        <v>1244</v>
      </c>
      <c r="B1245" s="41" t="str">
        <f xml:space="preserve"> _xlfn.TEXTJOIN( "", , data_scaledImpacts[[#This Row],[sector]:[impactType]] )</f>
        <v>RailGCM Average2Proactive</v>
      </c>
      <c r="C1245" s="33" t="s">
        <v>209</v>
      </c>
      <c r="D1245" s="33" t="s">
        <v>15</v>
      </c>
      <c r="E1245" s="34">
        <v>2</v>
      </c>
      <c r="F1245" s="34"/>
      <c r="G1245" s="34" t="s">
        <v>208</v>
      </c>
      <c r="H1245" s="35"/>
      <c r="I1245" s="43" t="s">
        <v>474</v>
      </c>
      <c r="J1245" s="36">
        <v>524.50571245734693</v>
      </c>
      <c r="K1245" s="36">
        <v>165.42554036765142</v>
      </c>
      <c r="L1245" s="37">
        <v>1971.6816079010205</v>
      </c>
      <c r="M1245" s="36">
        <v>1160.8679844225564</v>
      </c>
      <c r="N1245" s="36">
        <v>325.62770367554089</v>
      </c>
      <c r="O1245" s="36">
        <v>1557.2281853778397</v>
      </c>
      <c r="P1245">
        <v>2127.0315888371165</v>
      </c>
    </row>
    <row r="1246" spans="1:16" hidden="1" x14ac:dyDescent="0.35">
      <c r="A1246" s="3">
        <f xml:space="preserve"> ROW( data_scaledImpacts[[#This Row],[row_id]] ) - ROW( data_scaledImpacts[[#Headers],[row_id]] )</f>
        <v>1245</v>
      </c>
      <c r="B1246" s="41" t="str">
        <f xml:space="preserve"> _xlfn.TEXTJOIN( "", , data_scaledImpacts[[#This Row],[sector]:[impactType]] )</f>
        <v>RailCanESM23Proactive</v>
      </c>
      <c r="C1246" s="33" t="s">
        <v>209</v>
      </c>
      <c r="D1246" s="33" t="s">
        <v>0</v>
      </c>
      <c r="E1246" s="34">
        <v>3</v>
      </c>
      <c r="F1246" s="34"/>
      <c r="G1246" s="34" t="s">
        <v>208</v>
      </c>
      <c r="H1246" s="35"/>
      <c r="I1246" s="43" t="s">
        <v>475</v>
      </c>
      <c r="J1246" s="36">
        <v>266.55817432864615</v>
      </c>
      <c r="K1246" s="36">
        <v>96.798358749349049</v>
      </c>
      <c r="L1246" s="37">
        <v>3000.2814568243739</v>
      </c>
      <c r="M1246" s="36">
        <v>2458.5998124049802</v>
      </c>
      <c r="N1246" s="36">
        <v>124.70919525092144</v>
      </c>
      <c r="O1246" s="36">
        <v>1184.6915178008026</v>
      </c>
      <c r="P1246">
        <v>5341.8680796739864</v>
      </c>
    </row>
    <row r="1247" spans="1:16" hidden="1" x14ac:dyDescent="0.35">
      <c r="A1247" s="3">
        <f xml:space="preserve"> ROW( data_scaledImpacts[[#This Row],[row_id]] ) - ROW( data_scaledImpacts[[#Headers],[row_id]] )</f>
        <v>1246</v>
      </c>
      <c r="B1247" s="41" t="str">
        <f xml:space="preserve"> _xlfn.TEXTJOIN( "", , data_scaledImpacts[[#This Row],[sector]:[impactType]] )</f>
        <v>RailCCSM43Proactive</v>
      </c>
      <c r="C1247" s="33" t="s">
        <v>209</v>
      </c>
      <c r="D1247" s="33" t="s">
        <v>1</v>
      </c>
      <c r="E1247" s="34">
        <v>3</v>
      </c>
      <c r="F1247" s="34"/>
      <c r="G1247" s="34" t="s">
        <v>208</v>
      </c>
      <c r="H1247" s="35"/>
      <c r="I1247" s="43" t="s">
        <v>476</v>
      </c>
      <c r="J1247" s="36">
        <v>2461.8296175769892</v>
      </c>
      <c r="K1247" s="36">
        <v>434.59150913749102</v>
      </c>
      <c r="L1247" s="37">
        <v>10877.119892530838</v>
      </c>
      <c r="M1247" s="36">
        <v>1765.5232447502524</v>
      </c>
      <c r="N1247" s="36">
        <v>890.91314829032922</v>
      </c>
      <c r="O1247" s="36">
        <v>7232.3292764640237</v>
      </c>
      <c r="P1247">
        <v>5292.1598980696954</v>
      </c>
    </row>
    <row r="1248" spans="1:16" hidden="1" x14ac:dyDescent="0.35">
      <c r="A1248" s="3">
        <f xml:space="preserve"> ROW( data_scaledImpacts[[#This Row],[row_id]] ) - ROW( data_scaledImpacts[[#Headers],[row_id]] )</f>
        <v>1247</v>
      </c>
      <c r="B1248" s="41" t="str">
        <f xml:space="preserve"> _xlfn.TEXTJOIN( "", , data_scaledImpacts[[#This Row],[sector]:[impactType]] )</f>
        <v>RailGISS-E2-R3Proactive</v>
      </c>
      <c r="C1248" s="33" t="s">
        <v>209</v>
      </c>
      <c r="D1248" s="33" t="s">
        <v>2</v>
      </c>
      <c r="E1248" s="34">
        <v>3</v>
      </c>
      <c r="F1248" s="34"/>
      <c r="G1248" s="34" t="s">
        <v>208</v>
      </c>
      <c r="H1248" s="35"/>
      <c r="I1248" s="43" t="s">
        <v>477</v>
      </c>
      <c r="J1248" s="36">
        <v>157.13552179396453</v>
      </c>
      <c r="K1248" s="36">
        <v>39.742751379255203</v>
      </c>
      <c r="L1248" s="37">
        <v>4046.6169710504137</v>
      </c>
      <c r="M1248" s="36">
        <v>2603.5404093583238</v>
      </c>
      <c r="N1248" s="36">
        <v>99.732766796946549</v>
      </c>
      <c r="O1248" s="36">
        <v>2916.4627406938284</v>
      </c>
      <c r="P1248">
        <v>5619.7614100860465</v>
      </c>
    </row>
    <row r="1249" spans="1:16" hidden="1" x14ac:dyDescent="0.35">
      <c r="A1249" s="3">
        <f xml:space="preserve"> ROW( data_scaledImpacts[[#This Row],[row_id]] ) - ROW( data_scaledImpacts[[#Headers],[row_id]] )</f>
        <v>1248</v>
      </c>
      <c r="B1249" s="41" t="str">
        <f xml:space="preserve"> _xlfn.TEXTJOIN( "", , data_scaledImpacts[[#This Row],[sector]:[impactType]] )</f>
        <v>RailHadGEM2-ES3Proactive</v>
      </c>
      <c r="C1249" s="33" t="s">
        <v>209</v>
      </c>
      <c r="D1249" s="33" t="s">
        <v>3</v>
      </c>
      <c r="E1249" s="34">
        <v>3</v>
      </c>
      <c r="F1249" s="34"/>
      <c r="G1249" s="34" t="s">
        <v>208</v>
      </c>
      <c r="H1249" s="35"/>
      <c r="I1249" s="43" t="s">
        <v>478</v>
      </c>
      <c r="J1249" s="36">
        <v>5847.7593432927479</v>
      </c>
      <c r="K1249" s="36">
        <v>2759.7929801868531</v>
      </c>
      <c r="L1249" s="37">
        <v>6079.8743712113646</v>
      </c>
      <c r="M1249" s="36">
        <v>2404.788272719305</v>
      </c>
      <c r="N1249" s="36">
        <v>9109.7214722114295</v>
      </c>
      <c r="O1249" s="36">
        <v>3732.7132351867263</v>
      </c>
      <c r="P1249">
        <v>2957.6370816640911</v>
      </c>
    </row>
    <row r="1250" spans="1:16" hidden="1" x14ac:dyDescent="0.35">
      <c r="A1250" s="3">
        <f xml:space="preserve"> ROW( data_scaledImpacts[[#This Row],[row_id]] ) - ROW( data_scaledImpacts[[#Headers],[row_id]] )</f>
        <v>1249</v>
      </c>
      <c r="B1250" s="41" t="str">
        <f xml:space="preserve"> _xlfn.TEXTJOIN( "", , data_scaledImpacts[[#This Row],[sector]:[impactType]] )</f>
        <v>RailMIROC53Proactive</v>
      </c>
      <c r="C1250" s="33" t="s">
        <v>209</v>
      </c>
      <c r="D1250" s="33" t="s">
        <v>4</v>
      </c>
      <c r="E1250" s="34">
        <v>3</v>
      </c>
      <c r="F1250" s="34"/>
      <c r="G1250" s="34" t="s">
        <v>208</v>
      </c>
      <c r="H1250" s="35"/>
      <c r="I1250" s="43" t="s">
        <v>479</v>
      </c>
      <c r="J1250" s="36">
        <v>244.31619294134379</v>
      </c>
      <c r="K1250" s="36">
        <v>43.509668263992033</v>
      </c>
      <c r="L1250" s="37">
        <v>1796.7158649384514</v>
      </c>
      <c r="M1250" s="36">
        <v>482.96318885142023</v>
      </c>
      <c r="N1250" s="36">
        <v>285.73592482925312</v>
      </c>
      <c r="O1250" s="36">
        <v>2170.39816732077</v>
      </c>
      <c r="P1250">
        <v>2356.1077473586552</v>
      </c>
    </row>
    <row r="1251" spans="1:16" hidden="1" x14ac:dyDescent="0.35">
      <c r="A1251" s="3">
        <f xml:space="preserve"> ROW( data_scaledImpacts[[#This Row],[row_id]] ) - ROW( data_scaledImpacts[[#Headers],[row_id]] )</f>
        <v>1250</v>
      </c>
      <c r="B1251" s="41" t="str">
        <f xml:space="preserve"> _xlfn.TEXTJOIN( "", , data_scaledImpacts[[#This Row],[sector]:[impactType]] )</f>
        <v>RailGFDL-CM33Proactive</v>
      </c>
      <c r="C1251" s="33" t="s">
        <v>209</v>
      </c>
      <c r="D1251" s="33" t="s">
        <v>5</v>
      </c>
      <c r="E1251" s="34">
        <v>3</v>
      </c>
      <c r="F1251" s="34"/>
      <c r="G1251" s="34" t="s">
        <v>208</v>
      </c>
      <c r="H1251" s="35"/>
      <c r="I1251" s="43" t="s">
        <v>480</v>
      </c>
      <c r="J1251" s="36">
        <v>688.84885974653184</v>
      </c>
      <c r="K1251" s="36">
        <v>358.01253616732862</v>
      </c>
      <c r="L1251" s="37">
        <v>1614.2609885682484</v>
      </c>
      <c r="M1251" s="36">
        <v>2438.261103575986</v>
      </c>
      <c r="N1251" s="36">
        <v>446.6898416600435</v>
      </c>
      <c r="O1251" s="36">
        <v>4981.5378541466152</v>
      </c>
      <c r="P1251">
        <v>8606.3533237832708</v>
      </c>
    </row>
    <row r="1252" spans="1:16" hidden="1" x14ac:dyDescent="0.35">
      <c r="A1252" s="3">
        <f xml:space="preserve"> ROW( data_scaledImpacts[[#This Row],[row_id]] ) - ROW( data_scaledImpacts[[#Headers],[row_id]] )</f>
        <v>1251</v>
      </c>
      <c r="B1252" s="41" t="str">
        <f xml:space="preserve"> _xlfn.TEXTJOIN( "", , data_scaledImpacts[[#This Row],[sector]:[impactType]] )</f>
        <v>RailGCM Average3Proactive</v>
      </c>
      <c r="C1252" s="33" t="s">
        <v>209</v>
      </c>
      <c r="D1252" s="33" t="s">
        <v>15</v>
      </c>
      <c r="E1252" s="34">
        <v>3</v>
      </c>
      <c r="F1252" s="34"/>
      <c r="G1252" s="34" t="s">
        <v>208</v>
      </c>
      <c r="H1252" s="35"/>
      <c r="I1252" s="43" t="s">
        <v>481</v>
      </c>
      <c r="J1252" s="36">
        <v>1611.0746182800369</v>
      </c>
      <c r="K1252" s="36">
        <v>622.0746339807115</v>
      </c>
      <c r="L1252" s="37">
        <v>4569.1449241872815</v>
      </c>
      <c r="M1252" s="36">
        <v>2025.6126719433778</v>
      </c>
      <c r="N1252" s="36">
        <v>1826.2503915064872</v>
      </c>
      <c r="O1252" s="36">
        <v>3703.0221319354609</v>
      </c>
      <c r="P1252">
        <v>5028.981256772624</v>
      </c>
    </row>
    <row r="1253" spans="1:16" hidden="1" x14ac:dyDescent="0.35">
      <c r="A1253" s="3">
        <f xml:space="preserve"> ROW( data_scaledImpacts[[#This Row],[row_id]] ) - ROW( data_scaledImpacts[[#Headers],[row_id]] )</f>
        <v>1252</v>
      </c>
      <c r="B1253" s="41" t="str">
        <f xml:space="preserve"> _xlfn.TEXTJOIN( "", , data_scaledImpacts[[#This Row],[sector]:[impactType]] )</f>
        <v>RailCanESM24Proactive</v>
      </c>
      <c r="C1253" s="33" t="s">
        <v>209</v>
      </c>
      <c r="D1253" s="33" t="s">
        <v>0</v>
      </c>
      <c r="E1253" s="34">
        <v>4</v>
      </c>
      <c r="F1253" s="34"/>
      <c r="G1253" s="34" t="s">
        <v>208</v>
      </c>
      <c r="H1253" s="35"/>
      <c r="I1253" s="43" t="s">
        <v>482</v>
      </c>
      <c r="J1253" s="36">
        <v>599.56396300506276</v>
      </c>
      <c r="K1253" s="36">
        <v>235.12581827944081</v>
      </c>
      <c r="L1253" s="37">
        <v>6634.4336249649141</v>
      </c>
      <c r="M1253" s="36">
        <v>4610.1416937451377</v>
      </c>
      <c r="N1253" s="36">
        <v>161.4620644252926</v>
      </c>
      <c r="O1253" s="36">
        <v>1556.5750423571853</v>
      </c>
      <c r="P1253">
        <v>6894.1230998860219</v>
      </c>
    </row>
    <row r="1254" spans="1:16" hidden="1" x14ac:dyDescent="0.35">
      <c r="A1254" s="3">
        <f xml:space="preserve"> ROW( data_scaledImpacts[[#This Row],[row_id]] ) - ROW( data_scaledImpacts[[#Headers],[row_id]] )</f>
        <v>1253</v>
      </c>
      <c r="B1254" s="41" t="str">
        <f xml:space="preserve"> _xlfn.TEXTJOIN( "", , data_scaledImpacts[[#This Row],[sector]:[impactType]] )</f>
        <v>RailCCSM44Proactive</v>
      </c>
      <c r="C1254" s="33" t="s">
        <v>209</v>
      </c>
      <c r="D1254" s="33" t="s">
        <v>1</v>
      </c>
      <c r="E1254" s="34">
        <v>4</v>
      </c>
      <c r="F1254" s="34"/>
      <c r="G1254" s="34" t="s">
        <v>208</v>
      </c>
      <c r="H1254" s="35"/>
      <c r="I1254" s="43" t="s">
        <v>483</v>
      </c>
      <c r="J1254" s="36">
        <v>3035.223398465896</v>
      </c>
      <c r="K1254" s="36">
        <v>1038.7820444274771</v>
      </c>
      <c r="L1254" s="37">
        <v>14033.774230779334</v>
      </c>
      <c r="M1254" s="36">
        <v>3663.4698079368281</v>
      </c>
      <c r="N1254" s="36">
        <v>1860.0886228872064</v>
      </c>
      <c r="O1254" s="36">
        <v>4658.8969165075077</v>
      </c>
      <c r="P1254">
        <v>5800.5829303834416</v>
      </c>
    </row>
    <row r="1255" spans="1:16" hidden="1" x14ac:dyDescent="0.35">
      <c r="A1255" s="3">
        <f xml:space="preserve"> ROW( data_scaledImpacts[[#This Row],[row_id]] ) - ROW( data_scaledImpacts[[#Headers],[row_id]] )</f>
        <v>1254</v>
      </c>
      <c r="B1255" s="41" t="str">
        <f xml:space="preserve"> _xlfn.TEXTJOIN( "", , data_scaledImpacts[[#This Row],[sector]:[impactType]] )</f>
        <v>RailGISS-E2-R4Proactive</v>
      </c>
      <c r="C1255" s="33" t="s">
        <v>209</v>
      </c>
      <c r="D1255" s="33" t="s">
        <v>2</v>
      </c>
      <c r="E1255" s="34">
        <v>4</v>
      </c>
      <c r="F1255" s="34"/>
      <c r="G1255" s="34" t="s">
        <v>208</v>
      </c>
      <c r="H1255" s="35"/>
      <c r="I1255" s="43" t="s">
        <v>484</v>
      </c>
      <c r="J1255" s="36"/>
      <c r="K1255" s="36"/>
      <c r="L1255" s="37"/>
      <c r="M1255" s="36"/>
      <c r="N1255" s="36"/>
      <c r="O1255" s="36"/>
    </row>
    <row r="1256" spans="1:16" hidden="1" x14ac:dyDescent="0.35">
      <c r="A1256" s="3">
        <f xml:space="preserve"> ROW( data_scaledImpacts[[#This Row],[row_id]] ) - ROW( data_scaledImpacts[[#Headers],[row_id]] )</f>
        <v>1255</v>
      </c>
      <c r="B1256" s="41" t="str">
        <f xml:space="preserve"> _xlfn.TEXTJOIN( "", , data_scaledImpacts[[#This Row],[sector]:[impactType]] )</f>
        <v>RailHadGEM2-ES4Proactive</v>
      </c>
      <c r="C1256" s="33" t="s">
        <v>209</v>
      </c>
      <c r="D1256" s="33" t="s">
        <v>3</v>
      </c>
      <c r="E1256" s="34">
        <v>4</v>
      </c>
      <c r="F1256" s="34"/>
      <c r="G1256" s="34" t="s">
        <v>208</v>
      </c>
      <c r="H1256" s="35"/>
      <c r="I1256" s="43" t="s">
        <v>485</v>
      </c>
      <c r="J1256" s="36">
        <v>7064.0450330071317</v>
      </c>
      <c r="K1256" s="36">
        <v>3557.3247112442059</v>
      </c>
      <c r="L1256" s="37">
        <v>13906.792415602844</v>
      </c>
      <c r="M1256" s="36">
        <v>5405.1745752140096</v>
      </c>
      <c r="N1256" s="36">
        <v>10635.175336813594</v>
      </c>
      <c r="O1256" s="36">
        <v>7356.5912425931483</v>
      </c>
      <c r="P1256">
        <v>4265.8570799333238</v>
      </c>
    </row>
    <row r="1257" spans="1:16" hidden="1" x14ac:dyDescent="0.35">
      <c r="A1257" s="3">
        <f xml:space="preserve"> ROW( data_scaledImpacts[[#This Row],[row_id]] ) - ROW( data_scaledImpacts[[#Headers],[row_id]] )</f>
        <v>1256</v>
      </c>
      <c r="B1257" s="41" t="str">
        <f xml:space="preserve"> _xlfn.TEXTJOIN( "", , data_scaledImpacts[[#This Row],[sector]:[impactType]] )</f>
        <v>RailMIROC54Proactive</v>
      </c>
      <c r="C1257" s="33" t="s">
        <v>209</v>
      </c>
      <c r="D1257" s="33" t="s">
        <v>4</v>
      </c>
      <c r="E1257" s="34">
        <v>4</v>
      </c>
      <c r="F1257" s="34"/>
      <c r="G1257" s="34" t="s">
        <v>208</v>
      </c>
      <c r="H1257" s="35"/>
      <c r="I1257" s="43" t="s">
        <v>486</v>
      </c>
      <c r="J1257" s="36">
        <v>1636.1793095589569</v>
      </c>
      <c r="K1257" s="36">
        <v>157.21421840145251</v>
      </c>
      <c r="L1257" s="37">
        <v>6697.9207066102872</v>
      </c>
      <c r="M1257" s="36">
        <v>1547.6730910996584</v>
      </c>
      <c r="N1257" s="36">
        <v>941.81906145888945</v>
      </c>
      <c r="O1257" s="36">
        <v>4975.318188912519</v>
      </c>
      <c r="P1257">
        <v>3716.7556974480676</v>
      </c>
    </row>
    <row r="1258" spans="1:16" hidden="1" x14ac:dyDescent="0.35">
      <c r="A1258" s="3">
        <f xml:space="preserve"> ROW( data_scaledImpacts[[#This Row],[row_id]] ) - ROW( data_scaledImpacts[[#Headers],[row_id]] )</f>
        <v>1257</v>
      </c>
      <c r="B1258" s="41" t="str">
        <f xml:space="preserve"> _xlfn.TEXTJOIN( "", , data_scaledImpacts[[#This Row],[sector]:[impactType]] )</f>
        <v>RailGFDL-CM34Proactive</v>
      </c>
      <c r="C1258" s="33" t="s">
        <v>209</v>
      </c>
      <c r="D1258" s="33" t="s">
        <v>5</v>
      </c>
      <c r="E1258" s="34">
        <v>4</v>
      </c>
      <c r="F1258" s="34"/>
      <c r="G1258" s="34" t="s">
        <v>208</v>
      </c>
      <c r="H1258" s="35"/>
      <c r="I1258" s="43" t="s">
        <v>487</v>
      </c>
      <c r="J1258" s="36">
        <v>2284.7561662752059</v>
      </c>
      <c r="K1258" s="36">
        <v>1305.7338214366177</v>
      </c>
      <c r="L1258" s="37">
        <v>5584.4495513176234</v>
      </c>
      <c r="M1258" s="36">
        <v>4405.2827601242734</v>
      </c>
      <c r="N1258" s="36">
        <v>1652.4714969245474</v>
      </c>
      <c r="O1258" s="36">
        <v>14139.483865190989</v>
      </c>
      <c r="P1258">
        <v>22433.759745198888</v>
      </c>
    </row>
    <row r="1259" spans="1:16" hidden="1" x14ac:dyDescent="0.35">
      <c r="A1259" s="3">
        <f xml:space="preserve"> ROW( data_scaledImpacts[[#This Row],[row_id]] ) - ROW( data_scaledImpacts[[#Headers],[row_id]] )</f>
        <v>1258</v>
      </c>
      <c r="B1259" s="41" t="str">
        <f xml:space="preserve"> _xlfn.TEXTJOIN( "", , data_scaledImpacts[[#This Row],[sector]:[impactType]] )</f>
        <v>RailGCM Average4Proactive</v>
      </c>
      <c r="C1259" s="33" t="s">
        <v>209</v>
      </c>
      <c r="D1259" s="33" t="s">
        <v>15</v>
      </c>
      <c r="E1259" s="34">
        <v>4</v>
      </c>
      <c r="F1259" s="34"/>
      <c r="G1259" s="34" t="s">
        <v>208</v>
      </c>
      <c r="H1259" s="35"/>
      <c r="I1259" s="43" t="s">
        <v>488</v>
      </c>
      <c r="J1259" s="36">
        <v>2923.9535740624501</v>
      </c>
      <c r="K1259" s="36">
        <v>1258.8361227578389</v>
      </c>
      <c r="L1259" s="37">
        <v>9371.4741058550007</v>
      </c>
      <c r="M1259" s="36">
        <v>3926.3483856239823</v>
      </c>
      <c r="N1259" s="36">
        <v>3050.2033165019061</v>
      </c>
      <c r="O1259" s="36">
        <v>6537.3730511122694</v>
      </c>
      <c r="P1259">
        <v>8622.215710569948</v>
      </c>
    </row>
    <row r="1260" spans="1:16" hidden="1" x14ac:dyDescent="0.35">
      <c r="A1260" s="3">
        <f xml:space="preserve"> ROW( data_scaledImpacts[[#This Row],[row_id]] ) - ROW( data_scaledImpacts[[#Headers],[row_id]] )</f>
        <v>1259</v>
      </c>
      <c r="B1260" s="41" t="str">
        <f xml:space="preserve"> _xlfn.TEXTJOIN( "", , data_scaledImpacts[[#This Row],[sector]:[impactType]] )</f>
        <v>RailCanESM25Proactive</v>
      </c>
      <c r="C1260" s="33" t="s">
        <v>209</v>
      </c>
      <c r="D1260" s="33" t="s">
        <v>0</v>
      </c>
      <c r="E1260" s="34">
        <v>5</v>
      </c>
      <c r="F1260" s="34"/>
      <c r="G1260" s="34" t="s">
        <v>208</v>
      </c>
      <c r="H1260" s="35"/>
      <c r="I1260" s="43" t="s">
        <v>489</v>
      </c>
      <c r="J1260" s="36">
        <v>769.6980461352174</v>
      </c>
      <c r="K1260" s="36">
        <v>596.42398939137559</v>
      </c>
      <c r="L1260" s="37">
        <v>7380.2365200500708</v>
      </c>
      <c r="M1260" s="36">
        <v>7235.3606936390406</v>
      </c>
      <c r="N1260" s="36">
        <v>756.69340992336186</v>
      </c>
      <c r="O1260" s="36">
        <v>3077.8843297649323</v>
      </c>
      <c r="P1260">
        <v>8346.2328949982857</v>
      </c>
    </row>
    <row r="1261" spans="1:16" hidden="1" x14ac:dyDescent="0.35">
      <c r="A1261" s="3">
        <f xml:space="preserve"> ROW( data_scaledImpacts[[#This Row],[row_id]] ) - ROW( data_scaledImpacts[[#Headers],[row_id]] )</f>
        <v>1260</v>
      </c>
      <c r="B1261" s="41" t="str">
        <f xml:space="preserve"> _xlfn.TEXTJOIN( "", , data_scaledImpacts[[#This Row],[sector]:[impactType]] )</f>
        <v>RailCCSM45Proactive</v>
      </c>
      <c r="C1261" s="33" t="s">
        <v>209</v>
      </c>
      <c r="D1261" s="33" t="s">
        <v>1</v>
      </c>
      <c r="E1261" s="34">
        <v>5</v>
      </c>
      <c r="F1261" s="34"/>
      <c r="G1261" s="34" t="s">
        <v>208</v>
      </c>
      <c r="H1261" s="35"/>
      <c r="I1261" s="43" t="s">
        <v>490</v>
      </c>
      <c r="J1261" s="36">
        <v>2645.7095551603816</v>
      </c>
      <c r="K1261" s="36">
        <v>1681.4206081846296</v>
      </c>
      <c r="L1261" s="37">
        <v>18810.703546459561</v>
      </c>
      <c r="M1261" s="36">
        <v>6979.4037143784853</v>
      </c>
      <c r="N1261" s="36">
        <v>1981.3530755861123</v>
      </c>
      <c r="O1261" s="36">
        <v>6503.1260628636855</v>
      </c>
      <c r="P1261">
        <v>10621.001032392418</v>
      </c>
    </row>
    <row r="1262" spans="1:16" hidden="1" x14ac:dyDescent="0.35">
      <c r="A1262" s="3">
        <f xml:space="preserve"> ROW( data_scaledImpacts[[#This Row],[row_id]] ) - ROW( data_scaledImpacts[[#Headers],[row_id]] )</f>
        <v>1261</v>
      </c>
      <c r="B1262" s="41" t="str">
        <f xml:space="preserve"> _xlfn.TEXTJOIN( "", , data_scaledImpacts[[#This Row],[sector]:[impactType]] )</f>
        <v>RailGISS-E2-R5Proactive</v>
      </c>
      <c r="C1262" s="33" t="s">
        <v>209</v>
      </c>
      <c r="D1262" s="33" t="s">
        <v>2</v>
      </c>
      <c r="E1262" s="34">
        <v>5</v>
      </c>
      <c r="F1262" s="34"/>
      <c r="G1262" s="34" t="s">
        <v>208</v>
      </c>
      <c r="H1262" s="35"/>
      <c r="I1262" s="43" t="s">
        <v>491</v>
      </c>
      <c r="J1262" s="36"/>
      <c r="K1262" s="36"/>
      <c r="L1262" s="37"/>
      <c r="M1262" s="36"/>
      <c r="N1262" s="36"/>
      <c r="O1262" s="36"/>
    </row>
    <row r="1263" spans="1:16" hidden="1" x14ac:dyDescent="0.35">
      <c r="A1263" s="3">
        <f xml:space="preserve"> ROW( data_scaledImpacts[[#This Row],[row_id]] ) - ROW( data_scaledImpacts[[#Headers],[row_id]] )</f>
        <v>1262</v>
      </c>
      <c r="B1263" s="41" t="str">
        <f xml:space="preserve"> _xlfn.TEXTJOIN( "", , data_scaledImpacts[[#This Row],[sector]:[impactType]] )</f>
        <v>RailHadGEM2-ES5Proactive</v>
      </c>
      <c r="C1263" s="33" t="s">
        <v>209</v>
      </c>
      <c r="D1263" s="33" t="s">
        <v>3</v>
      </c>
      <c r="E1263" s="34">
        <v>5</v>
      </c>
      <c r="F1263" s="34"/>
      <c r="G1263" s="34" t="s">
        <v>208</v>
      </c>
      <c r="H1263" s="35"/>
      <c r="I1263" s="43" t="s">
        <v>492</v>
      </c>
      <c r="J1263" s="36">
        <v>7561.71783786788</v>
      </c>
      <c r="K1263" s="36">
        <v>5858.7612360422618</v>
      </c>
      <c r="L1263" s="37">
        <v>19321.663879873478</v>
      </c>
      <c r="M1263" s="36">
        <v>7235.2123846280037</v>
      </c>
      <c r="N1263" s="36">
        <v>10504.573993762451</v>
      </c>
      <c r="O1263" s="36">
        <v>7216.0916770753129</v>
      </c>
      <c r="P1263">
        <v>6800.2154313671081</v>
      </c>
    </row>
    <row r="1264" spans="1:16" hidden="1" x14ac:dyDescent="0.35">
      <c r="A1264" s="3">
        <f xml:space="preserve"> ROW( data_scaledImpacts[[#This Row],[row_id]] ) - ROW( data_scaledImpacts[[#Headers],[row_id]] )</f>
        <v>1263</v>
      </c>
      <c r="B1264" s="41" t="str">
        <f xml:space="preserve"> _xlfn.TEXTJOIN( "", , data_scaledImpacts[[#This Row],[sector]:[impactType]] )</f>
        <v>RailMIROC55Proactive</v>
      </c>
      <c r="C1264" s="33" t="s">
        <v>209</v>
      </c>
      <c r="D1264" s="33" t="s">
        <v>4</v>
      </c>
      <c r="E1264" s="34">
        <v>5</v>
      </c>
      <c r="F1264" s="34"/>
      <c r="G1264" s="34" t="s">
        <v>208</v>
      </c>
      <c r="H1264" s="35"/>
      <c r="I1264" s="43" t="s">
        <v>493</v>
      </c>
      <c r="J1264" s="36">
        <v>2268.239325080232</v>
      </c>
      <c r="K1264" s="36">
        <v>107.12646469468569</v>
      </c>
      <c r="L1264" s="37">
        <v>9836.7862492209351</v>
      </c>
      <c r="M1264" s="36">
        <v>1287.5102892863824</v>
      </c>
      <c r="N1264" s="36">
        <v>1460.3712903264166</v>
      </c>
      <c r="O1264" s="36">
        <v>8239.0874278152842</v>
      </c>
      <c r="P1264">
        <v>4547.6403945642487</v>
      </c>
    </row>
    <row r="1265" spans="1:16" hidden="1" x14ac:dyDescent="0.35">
      <c r="A1265" s="3">
        <f xml:space="preserve"> ROW( data_scaledImpacts[[#This Row],[row_id]] ) - ROW( data_scaledImpacts[[#Headers],[row_id]] )</f>
        <v>1264</v>
      </c>
      <c r="B1265" s="41" t="str">
        <f xml:space="preserve"> _xlfn.TEXTJOIN( "", , data_scaledImpacts[[#This Row],[sector]:[impactType]] )</f>
        <v>RailGFDL-CM35Proactive</v>
      </c>
      <c r="C1265" s="33" t="s">
        <v>209</v>
      </c>
      <c r="D1265" s="33" t="s">
        <v>5</v>
      </c>
      <c r="E1265" s="34">
        <v>5</v>
      </c>
      <c r="F1265" s="34"/>
      <c r="G1265" s="34" t="s">
        <v>208</v>
      </c>
      <c r="H1265" s="35"/>
      <c r="I1265" s="43" t="s">
        <v>494</v>
      </c>
      <c r="J1265" s="36">
        <v>5613.9405916536989</v>
      </c>
      <c r="K1265" s="36">
        <v>1615.644862323918</v>
      </c>
      <c r="L1265" s="37">
        <v>17170.974903018541</v>
      </c>
      <c r="M1265" s="36">
        <v>5793.3135812493965</v>
      </c>
      <c r="N1265" s="36">
        <v>1851.4162474951227</v>
      </c>
      <c r="O1265" s="36">
        <v>18380.485596539002</v>
      </c>
      <c r="P1265">
        <v>25040.974357105468</v>
      </c>
    </row>
    <row r="1266" spans="1:16" hidden="1" x14ac:dyDescent="0.35">
      <c r="A1266" s="3">
        <f xml:space="preserve"> ROW( data_scaledImpacts[[#This Row],[row_id]] ) - ROW( data_scaledImpacts[[#Headers],[row_id]] )</f>
        <v>1265</v>
      </c>
      <c r="B1266" s="41" t="str">
        <f xml:space="preserve"> _xlfn.TEXTJOIN( "", , data_scaledImpacts[[#This Row],[sector]:[impactType]] )</f>
        <v>RailGCM Average5Proactive</v>
      </c>
      <c r="C1266" s="33" t="s">
        <v>209</v>
      </c>
      <c r="D1266" s="33" t="s">
        <v>15</v>
      </c>
      <c r="E1266" s="34">
        <v>5</v>
      </c>
      <c r="F1266" s="34"/>
      <c r="G1266" s="34" t="s">
        <v>208</v>
      </c>
      <c r="H1266" s="35"/>
      <c r="I1266" s="43" t="s">
        <v>495</v>
      </c>
      <c r="J1266" s="36">
        <v>3771.8610711794818</v>
      </c>
      <c r="K1266" s="36">
        <v>1971.8754321273741</v>
      </c>
      <c r="L1266" s="37">
        <v>14504.073019724519</v>
      </c>
      <c r="M1266" s="36">
        <v>5706.1601326362625</v>
      </c>
      <c r="N1266" s="36">
        <v>3310.881603418693</v>
      </c>
      <c r="O1266" s="36">
        <v>8683.3350188116419</v>
      </c>
      <c r="P1266">
        <v>11071.212822085505</v>
      </c>
    </row>
    <row r="1267" spans="1:16" hidden="1" x14ac:dyDescent="0.35">
      <c r="A1267" s="3">
        <f xml:space="preserve"> ROW( data_scaledImpacts[[#This Row],[row_id]] ) - ROW( data_scaledImpacts[[#Headers],[row_id]] )</f>
        <v>1266</v>
      </c>
      <c r="B1267" s="41" t="str">
        <f xml:space="preserve"> _xlfn.TEXTJOIN( "", , data_scaledImpacts[[#This Row],[sector]:[impactType]] )</f>
        <v>RailCanESM26Proactive</v>
      </c>
      <c r="C1267" s="33" t="s">
        <v>209</v>
      </c>
      <c r="D1267" s="33" t="s">
        <v>0</v>
      </c>
      <c r="E1267" s="34">
        <v>6</v>
      </c>
      <c r="F1267" s="34"/>
      <c r="G1267" s="34" t="s">
        <v>208</v>
      </c>
      <c r="H1267" s="35"/>
      <c r="I1267" s="43" t="s">
        <v>496</v>
      </c>
      <c r="J1267" s="36">
        <v>1278.0271223300751</v>
      </c>
      <c r="K1267" s="36">
        <v>665.18822949047808</v>
      </c>
      <c r="L1267" s="37">
        <v>19812.514074450319</v>
      </c>
      <c r="M1267" s="36">
        <v>10074.284190896016</v>
      </c>
      <c r="N1267" s="36">
        <v>866.56105867850079</v>
      </c>
      <c r="O1267" s="36">
        <v>4379.6596176289495</v>
      </c>
      <c r="P1267">
        <v>14054.523250464626</v>
      </c>
    </row>
    <row r="1268" spans="1:16" hidden="1" x14ac:dyDescent="0.35">
      <c r="A1268" s="3">
        <f xml:space="preserve"> ROW( data_scaledImpacts[[#This Row],[row_id]] ) - ROW( data_scaledImpacts[[#Headers],[row_id]] )</f>
        <v>1267</v>
      </c>
      <c r="B1268" s="41" t="str">
        <f xml:space="preserve"> _xlfn.TEXTJOIN( "", , data_scaledImpacts[[#This Row],[sector]:[impactType]] )</f>
        <v>RailCCSM46Proactive</v>
      </c>
      <c r="C1268" s="33" t="s">
        <v>209</v>
      </c>
      <c r="D1268" s="33" t="s">
        <v>1</v>
      </c>
      <c r="E1268" s="34">
        <v>6</v>
      </c>
      <c r="F1268" s="34"/>
      <c r="G1268" s="34" t="s">
        <v>208</v>
      </c>
      <c r="H1268" s="35"/>
      <c r="I1268" s="43" t="s">
        <v>497</v>
      </c>
      <c r="J1268" s="36"/>
      <c r="K1268" s="36"/>
      <c r="L1268" s="37"/>
      <c r="M1268" s="36"/>
      <c r="N1268" s="36"/>
      <c r="O1268" s="36"/>
    </row>
    <row r="1269" spans="1:16" hidden="1" x14ac:dyDescent="0.35">
      <c r="A1269" s="3">
        <f xml:space="preserve"> ROW( data_scaledImpacts[[#This Row],[row_id]] ) - ROW( data_scaledImpacts[[#Headers],[row_id]] )</f>
        <v>1268</v>
      </c>
      <c r="B1269" s="41" t="str">
        <f xml:space="preserve"> _xlfn.TEXTJOIN( "", , data_scaledImpacts[[#This Row],[sector]:[impactType]] )</f>
        <v>RailGISS-E2-R6Proactive</v>
      </c>
      <c r="C1269" s="33" t="s">
        <v>209</v>
      </c>
      <c r="D1269" s="33" t="s">
        <v>2</v>
      </c>
      <c r="E1269" s="34">
        <v>6</v>
      </c>
      <c r="F1269" s="34"/>
      <c r="G1269" s="34" t="s">
        <v>208</v>
      </c>
      <c r="H1269" s="35"/>
      <c r="I1269" s="43" t="s">
        <v>498</v>
      </c>
      <c r="J1269" s="36"/>
      <c r="K1269" s="36"/>
      <c r="L1269" s="37"/>
      <c r="M1269" s="36"/>
      <c r="N1269" s="36"/>
      <c r="O1269" s="36"/>
    </row>
    <row r="1270" spans="1:16" hidden="1" x14ac:dyDescent="0.35">
      <c r="A1270" s="3">
        <f xml:space="preserve"> ROW( data_scaledImpacts[[#This Row],[row_id]] ) - ROW( data_scaledImpacts[[#Headers],[row_id]] )</f>
        <v>1269</v>
      </c>
      <c r="B1270" s="41" t="str">
        <f xml:space="preserve"> _xlfn.TEXTJOIN( "", , data_scaledImpacts[[#This Row],[sector]:[impactType]] )</f>
        <v>RailHadGEM2-ES6Proactive</v>
      </c>
      <c r="C1270" s="33" t="s">
        <v>209</v>
      </c>
      <c r="D1270" s="33" t="s">
        <v>3</v>
      </c>
      <c r="E1270" s="34">
        <v>6</v>
      </c>
      <c r="F1270" s="34"/>
      <c r="G1270" s="34" t="s">
        <v>208</v>
      </c>
      <c r="H1270" s="35"/>
      <c r="I1270" s="43" t="s">
        <v>499</v>
      </c>
      <c r="J1270" s="36">
        <v>9986.6598734443014</v>
      </c>
      <c r="K1270" s="36">
        <v>7668.9978485265747</v>
      </c>
      <c r="L1270" s="37">
        <v>21875.591453916833</v>
      </c>
      <c r="M1270" s="36">
        <v>9472.4752018910149</v>
      </c>
      <c r="N1270" s="36">
        <v>11317.291680453929</v>
      </c>
      <c r="O1270" s="36">
        <v>5991.6990711245899</v>
      </c>
      <c r="P1270">
        <v>8720.9044861925431</v>
      </c>
    </row>
    <row r="1271" spans="1:16" hidden="1" x14ac:dyDescent="0.35">
      <c r="A1271" s="3">
        <f xml:space="preserve"> ROW( data_scaledImpacts[[#This Row],[row_id]] ) - ROW( data_scaledImpacts[[#Headers],[row_id]] )</f>
        <v>1270</v>
      </c>
      <c r="B1271" s="41" t="str">
        <f xml:space="preserve"> _xlfn.TEXTJOIN( "", , data_scaledImpacts[[#This Row],[sector]:[impactType]] )</f>
        <v>RailMIROC56Proactive</v>
      </c>
      <c r="C1271" s="33" t="s">
        <v>209</v>
      </c>
      <c r="D1271" s="33" t="s">
        <v>4</v>
      </c>
      <c r="E1271" s="34">
        <v>6</v>
      </c>
      <c r="F1271" s="34"/>
      <c r="G1271" s="34" t="s">
        <v>208</v>
      </c>
      <c r="H1271" s="35"/>
      <c r="I1271" s="43" t="s">
        <v>500</v>
      </c>
      <c r="J1271" s="36"/>
      <c r="K1271" s="36"/>
      <c r="L1271" s="37"/>
      <c r="M1271" s="36"/>
      <c r="N1271" s="36"/>
      <c r="O1271" s="36"/>
    </row>
    <row r="1272" spans="1:16" hidden="1" x14ac:dyDescent="0.35">
      <c r="A1272" s="3">
        <f xml:space="preserve"> ROW( data_scaledImpacts[[#This Row],[row_id]] ) - ROW( data_scaledImpacts[[#Headers],[row_id]] )</f>
        <v>1271</v>
      </c>
      <c r="B1272" s="41" t="str">
        <f xml:space="preserve"> _xlfn.TEXTJOIN( "", , data_scaledImpacts[[#This Row],[sector]:[impactType]] )</f>
        <v>RailGFDL-CM36Proactive</v>
      </c>
      <c r="C1272" s="33" t="s">
        <v>209</v>
      </c>
      <c r="D1272" s="33" t="s">
        <v>5</v>
      </c>
      <c r="E1272" s="34">
        <v>6</v>
      </c>
      <c r="F1272" s="34"/>
      <c r="G1272" s="34" t="s">
        <v>208</v>
      </c>
      <c r="H1272" s="35"/>
      <c r="I1272" s="43" t="s">
        <v>501</v>
      </c>
      <c r="J1272" s="36">
        <v>6183.2359765765059</v>
      </c>
      <c r="K1272" s="36">
        <v>2715.0484782404783</v>
      </c>
      <c r="L1272" s="37">
        <v>24235.17994666013</v>
      </c>
      <c r="M1272" s="36">
        <v>10027.202356718168</v>
      </c>
      <c r="N1272" s="36">
        <v>3287.6376665839766</v>
      </c>
      <c r="O1272" s="36">
        <v>23820.490581929531</v>
      </c>
      <c r="P1272">
        <v>43285.152057406063</v>
      </c>
    </row>
    <row r="1273" spans="1:16" hidden="1" x14ac:dyDescent="0.35">
      <c r="A1273" s="3">
        <f xml:space="preserve"> ROW( data_scaledImpacts[[#This Row],[row_id]] ) - ROW( data_scaledImpacts[[#Headers],[row_id]] )</f>
        <v>1272</v>
      </c>
      <c r="B1273" s="41" t="str">
        <f xml:space="preserve"> _xlfn.TEXTJOIN( "", , data_scaledImpacts[[#This Row],[sector]:[impactType]] )</f>
        <v>RailGCM Average6Proactive</v>
      </c>
      <c r="C1273" s="33" t="s">
        <v>209</v>
      </c>
      <c r="D1273" s="33" t="s">
        <v>15</v>
      </c>
      <c r="E1273" s="34">
        <v>6</v>
      </c>
      <c r="F1273" s="34"/>
      <c r="G1273" s="34" t="s">
        <v>208</v>
      </c>
      <c r="H1273" s="35"/>
      <c r="I1273" s="43" t="s">
        <v>502</v>
      </c>
      <c r="J1273" s="36">
        <v>5815.9743241169608</v>
      </c>
      <c r="K1273" s="36">
        <v>3683.0781854191773</v>
      </c>
      <c r="L1273" s="37">
        <v>21974.428491675761</v>
      </c>
      <c r="M1273" s="36">
        <v>9857.9872498350669</v>
      </c>
      <c r="N1273" s="36">
        <v>5157.1634685721356</v>
      </c>
      <c r="O1273" s="36">
        <v>11397.283090227691</v>
      </c>
      <c r="P1273">
        <v>22020.193264687743</v>
      </c>
    </row>
    <row r="1274" spans="1:16" hidden="1" x14ac:dyDescent="0.35">
      <c r="A1274" s="3">
        <f xml:space="preserve"> ROW( data_scaledImpacts[[#This Row],[row_id]] ) - ROW( data_scaledImpacts[[#Headers],[row_id]] )</f>
        <v>1273</v>
      </c>
      <c r="B1274" s="41" t="str">
        <f xml:space="preserve"> _xlfn.TEXTJOIN( "", , data_scaledImpacts[[#This Row],[sector]:[impactType]] )</f>
        <v>RailCanESM27Proactive</v>
      </c>
      <c r="C1274" s="33" t="s">
        <v>209</v>
      </c>
      <c r="D1274" s="33" t="s">
        <v>0</v>
      </c>
      <c r="E1274" s="34">
        <v>7</v>
      </c>
      <c r="F1274" s="34"/>
      <c r="G1274" s="34" t="s">
        <v>208</v>
      </c>
      <c r="H1274" s="35"/>
      <c r="I1274" s="43" t="s">
        <v>503</v>
      </c>
      <c r="J1274" s="36"/>
      <c r="K1274" s="36"/>
      <c r="L1274" s="37"/>
      <c r="M1274" s="36"/>
      <c r="N1274" s="36"/>
      <c r="O1274" s="36"/>
    </row>
    <row r="1275" spans="1:16" hidden="1" x14ac:dyDescent="0.35">
      <c r="A1275" s="3">
        <f xml:space="preserve"> ROW( data_scaledImpacts[[#This Row],[row_id]] ) - ROW( data_scaledImpacts[[#Headers],[row_id]] )</f>
        <v>1274</v>
      </c>
      <c r="B1275" s="41" t="str">
        <f xml:space="preserve"> _xlfn.TEXTJOIN( "", , data_scaledImpacts[[#This Row],[sector]:[impactType]] )</f>
        <v>RailCCSM47Proactive</v>
      </c>
      <c r="C1275" s="33" t="s">
        <v>209</v>
      </c>
      <c r="D1275" s="33" t="s">
        <v>1</v>
      </c>
      <c r="E1275" s="34">
        <v>7</v>
      </c>
      <c r="F1275" s="34"/>
      <c r="G1275" s="34" t="s">
        <v>208</v>
      </c>
      <c r="H1275" s="35"/>
      <c r="I1275" s="43" t="s">
        <v>504</v>
      </c>
      <c r="J1275" s="36"/>
      <c r="K1275" s="36"/>
      <c r="L1275" s="37"/>
      <c r="M1275" s="36"/>
      <c r="N1275" s="36"/>
      <c r="O1275" s="36"/>
    </row>
    <row r="1276" spans="1:16" hidden="1" x14ac:dyDescent="0.35">
      <c r="A1276" s="3">
        <f xml:space="preserve"> ROW( data_scaledImpacts[[#This Row],[row_id]] ) - ROW( data_scaledImpacts[[#Headers],[row_id]] )</f>
        <v>1275</v>
      </c>
      <c r="B1276" s="41" t="str">
        <f xml:space="preserve"> _xlfn.TEXTJOIN( "", , data_scaledImpacts[[#This Row],[sector]:[impactType]] )</f>
        <v>RailGISS-E2-R7Proactive</v>
      </c>
      <c r="C1276" s="33" t="s">
        <v>209</v>
      </c>
      <c r="D1276" s="33" t="s">
        <v>2</v>
      </c>
      <c r="E1276" s="34">
        <v>7</v>
      </c>
      <c r="F1276" s="34"/>
      <c r="G1276" s="34" t="s">
        <v>208</v>
      </c>
      <c r="H1276" s="35"/>
      <c r="I1276" s="43" t="s">
        <v>505</v>
      </c>
      <c r="J1276" s="36"/>
      <c r="K1276" s="36"/>
      <c r="L1276" s="37"/>
      <c r="M1276" s="36"/>
      <c r="N1276" s="36"/>
      <c r="O1276" s="36"/>
    </row>
    <row r="1277" spans="1:16" hidden="1" x14ac:dyDescent="0.35">
      <c r="A1277" s="3">
        <f xml:space="preserve"> ROW( data_scaledImpacts[[#This Row],[row_id]] ) - ROW( data_scaledImpacts[[#Headers],[row_id]] )</f>
        <v>1276</v>
      </c>
      <c r="B1277" s="41" t="str">
        <f xml:space="preserve"> _xlfn.TEXTJOIN( "", , data_scaledImpacts[[#This Row],[sector]:[impactType]] )</f>
        <v>RailHadGEM2-ES7Proactive</v>
      </c>
      <c r="C1277" s="33" t="s">
        <v>209</v>
      </c>
      <c r="D1277" s="33" t="s">
        <v>3</v>
      </c>
      <c r="E1277" s="34">
        <v>7</v>
      </c>
      <c r="F1277" s="34"/>
      <c r="G1277" s="34" t="s">
        <v>208</v>
      </c>
      <c r="H1277" s="35"/>
      <c r="I1277" s="43" t="s">
        <v>506</v>
      </c>
      <c r="J1277" s="36"/>
      <c r="K1277" s="36"/>
      <c r="L1277" s="37"/>
      <c r="M1277" s="36"/>
      <c r="N1277" s="36"/>
      <c r="O1277" s="36"/>
    </row>
    <row r="1278" spans="1:16" hidden="1" x14ac:dyDescent="0.35">
      <c r="A1278" s="3">
        <f xml:space="preserve"> ROW( data_scaledImpacts[[#This Row],[row_id]] ) - ROW( data_scaledImpacts[[#Headers],[row_id]] )</f>
        <v>1277</v>
      </c>
      <c r="B1278" s="41" t="str">
        <f xml:space="preserve"> _xlfn.TEXTJOIN( "", , data_scaledImpacts[[#This Row],[sector]:[impactType]] )</f>
        <v>RailMIROC57Proactive</v>
      </c>
      <c r="C1278" s="33" t="s">
        <v>209</v>
      </c>
      <c r="D1278" s="33" t="s">
        <v>4</v>
      </c>
      <c r="E1278" s="34">
        <v>7</v>
      </c>
      <c r="F1278" s="34"/>
      <c r="G1278" s="34" t="s">
        <v>208</v>
      </c>
      <c r="H1278" s="35"/>
      <c r="I1278" s="43" t="s">
        <v>507</v>
      </c>
      <c r="J1278" s="36"/>
      <c r="K1278" s="36"/>
      <c r="L1278" s="37"/>
      <c r="M1278" s="36"/>
      <c r="N1278" s="36"/>
      <c r="O1278" s="36"/>
    </row>
    <row r="1279" spans="1:16" hidden="1" x14ac:dyDescent="0.35">
      <c r="A1279" s="3">
        <f xml:space="preserve"> ROW( data_scaledImpacts[[#This Row],[row_id]] ) - ROW( data_scaledImpacts[[#Headers],[row_id]] )</f>
        <v>1278</v>
      </c>
      <c r="B1279" s="41" t="str">
        <f xml:space="preserve"> _xlfn.TEXTJOIN( "", , data_scaledImpacts[[#This Row],[sector]:[impactType]] )</f>
        <v>RailGFDL-CM37Proactive</v>
      </c>
      <c r="C1279" s="33" t="s">
        <v>209</v>
      </c>
      <c r="D1279" s="33" t="s">
        <v>5</v>
      </c>
      <c r="E1279" s="34">
        <v>7</v>
      </c>
      <c r="F1279" s="34"/>
      <c r="G1279" s="34" t="s">
        <v>208</v>
      </c>
      <c r="H1279" s="35"/>
      <c r="I1279" s="43" t="s">
        <v>508</v>
      </c>
      <c r="J1279" s="36"/>
      <c r="K1279" s="36"/>
      <c r="L1279" s="37"/>
      <c r="M1279" s="36"/>
      <c r="N1279" s="36"/>
      <c r="O1279" s="36"/>
    </row>
    <row r="1280" spans="1:16" hidden="1" x14ac:dyDescent="0.35">
      <c r="A1280" s="3">
        <f xml:space="preserve"> ROW( data_scaledImpacts[[#This Row],[row_id]] ) - ROW( data_scaledImpacts[[#Headers],[row_id]] )</f>
        <v>1279</v>
      </c>
      <c r="B1280" s="41" t="str">
        <f xml:space="preserve"> _xlfn.TEXTJOIN( "", , data_scaledImpacts[[#This Row],[sector]:[impactType]] )</f>
        <v>RailGCM Average7Proactive</v>
      </c>
      <c r="C1280" s="33" t="s">
        <v>209</v>
      </c>
      <c r="D1280" s="33" t="s">
        <v>15</v>
      </c>
      <c r="E1280" s="34">
        <v>7</v>
      </c>
      <c r="F1280" s="34"/>
      <c r="G1280" s="34" t="s">
        <v>208</v>
      </c>
      <c r="H1280" s="35"/>
      <c r="I1280" s="43" t="s">
        <v>509</v>
      </c>
      <c r="J1280" s="36" t="s">
        <v>26</v>
      </c>
      <c r="K1280" s="36" t="s">
        <v>26</v>
      </c>
      <c r="L1280" s="37" t="s">
        <v>26</v>
      </c>
      <c r="M1280" s="36" t="s">
        <v>26</v>
      </c>
      <c r="N1280" s="36" t="s">
        <v>26</v>
      </c>
      <c r="O1280" s="36"/>
      <c r="P1280" t="s">
        <v>26</v>
      </c>
    </row>
    <row r="1281" spans="1:16" hidden="1" x14ac:dyDescent="0.35">
      <c r="A1281" s="3">
        <f xml:space="preserve"> ROW( data_scaledImpacts[[#This Row],[row_id]] ) - ROW( data_scaledImpacts[[#Headers],[row_id]] )</f>
        <v>1280</v>
      </c>
      <c r="B1281" s="41" t="str">
        <f xml:space="preserve"> _xlfn.TEXTJOIN( "", , data_scaledImpacts[[#This Row],[sector]:[impactType]] )</f>
        <v>RailCanESM21Reactive</v>
      </c>
      <c r="C1281" s="33" t="s">
        <v>209</v>
      </c>
      <c r="D1281" s="33" t="s">
        <v>0</v>
      </c>
      <c r="E1281" s="34">
        <v>1</v>
      </c>
      <c r="F1281" s="34"/>
      <c r="G1281" s="34" t="s">
        <v>88</v>
      </c>
      <c r="H1281" s="35"/>
      <c r="I1281" s="43" t="s">
        <v>510</v>
      </c>
      <c r="J1281" s="36">
        <v>3399.9725102453194</v>
      </c>
      <c r="K1281" s="36">
        <v>1894.8423584600732</v>
      </c>
      <c r="L1281" s="37">
        <v>6637.6739709973199</v>
      </c>
      <c r="M1281" s="36">
        <v>2871.1037660311163</v>
      </c>
      <c r="N1281" s="36">
        <v>1675.2786086019296</v>
      </c>
      <c r="O1281" s="36">
        <v>5594.6037940191027</v>
      </c>
      <c r="P1281">
        <v>17908.854075310112</v>
      </c>
    </row>
    <row r="1282" spans="1:16" hidden="1" x14ac:dyDescent="0.35">
      <c r="A1282" s="3">
        <f xml:space="preserve"> ROW( data_scaledImpacts[[#This Row],[row_id]] ) - ROW( data_scaledImpacts[[#Headers],[row_id]] )</f>
        <v>1281</v>
      </c>
      <c r="B1282" s="41" t="str">
        <f xml:space="preserve"> _xlfn.TEXTJOIN( "", , data_scaledImpacts[[#This Row],[sector]:[impactType]] )</f>
        <v>RailCCSM41Reactive</v>
      </c>
      <c r="C1282" s="33" t="s">
        <v>209</v>
      </c>
      <c r="D1282" s="33" t="s">
        <v>1</v>
      </c>
      <c r="E1282" s="34">
        <v>1</v>
      </c>
      <c r="F1282" s="34"/>
      <c r="G1282" s="34" t="s">
        <v>88</v>
      </c>
      <c r="H1282" s="35"/>
      <c r="I1282" s="43" t="s">
        <v>511</v>
      </c>
      <c r="J1282" s="36">
        <v>9848.7628000074601</v>
      </c>
      <c r="K1282" s="36">
        <v>2732.5412703422016</v>
      </c>
      <c r="L1282" s="37">
        <v>32494.84643118965</v>
      </c>
      <c r="M1282" s="36">
        <v>3153.341561235221</v>
      </c>
      <c r="N1282" s="36">
        <v>2974.7796542832898</v>
      </c>
      <c r="O1282" s="36">
        <v>26731.98273955876</v>
      </c>
      <c r="P1282">
        <v>22992.429462493332</v>
      </c>
    </row>
    <row r="1283" spans="1:16" hidden="1" x14ac:dyDescent="0.35">
      <c r="A1283" s="3">
        <f xml:space="preserve"> ROW( data_scaledImpacts[[#This Row],[row_id]] ) - ROW( data_scaledImpacts[[#Headers],[row_id]] )</f>
        <v>1282</v>
      </c>
      <c r="B1283" s="41" t="str">
        <f xml:space="preserve"> _xlfn.TEXTJOIN( "", , data_scaledImpacts[[#This Row],[sector]:[impactType]] )</f>
        <v>RailGISS-E2-R1Reactive</v>
      </c>
      <c r="C1283" s="33" t="s">
        <v>209</v>
      </c>
      <c r="D1283" s="33" t="s">
        <v>2</v>
      </c>
      <c r="E1283" s="34">
        <v>1</v>
      </c>
      <c r="F1283" s="34"/>
      <c r="G1283" s="34" t="s">
        <v>88</v>
      </c>
      <c r="H1283" s="35"/>
      <c r="I1283" s="43" t="s">
        <v>512</v>
      </c>
      <c r="J1283" s="36">
        <v>1230.8423594426265</v>
      </c>
      <c r="K1283" s="36">
        <v>1201.2701464154634</v>
      </c>
      <c r="L1283" s="37">
        <v>1640.4398626715304</v>
      </c>
      <c r="M1283" s="36">
        <v>5273.7484904322837</v>
      </c>
      <c r="N1283" s="36">
        <v>619.28101812549312</v>
      </c>
      <c r="O1283" s="36">
        <v>1312.3281090092592</v>
      </c>
      <c r="P1283">
        <v>11645.816732876205</v>
      </c>
    </row>
    <row r="1284" spans="1:16" hidden="1" x14ac:dyDescent="0.35">
      <c r="A1284" s="3">
        <f xml:space="preserve"> ROW( data_scaledImpacts[[#This Row],[row_id]] ) - ROW( data_scaledImpacts[[#Headers],[row_id]] )</f>
        <v>1283</v>
      </c>
      <c r="B1284" s="41" t="str">
        <f xml:space="preserve"> _xlfn.TEXTJOIN( "", , data_scaledImpacts[[#This Row],[sector]:[impactType]] )</f>
        <v>RailHadGEM2-ES1Reactive</v>
      </c>
      <c r="C1284" s="33" t="s">
        <v>209</v>
      </c>
      <c r="D1284" s="33" t="s">
        <v>3</v>
      </c>
      <c r="E1284" s="34">
        <v>1</v>
      </c>
      <c r="F1284" s="34"/>
      <c r="G1284" s="34" t="s">
        <v>88</v>
      </c>
      <c r="H1284" s="35"/>
      <c r="I1284" s="43" t="s">
        <v>513</v>
      </c>
      <c r="J1284" s="36">
        <v>15513.028805573123</v>
      </c>
      <c r="K1284" s="36">
        <v>8315.1432403903673</v>
      </c>
      <c r="L1284" s="37">
        <v>12501.554883030261</v>
      </c>
      <c r="M1284" s="36">
        <v>5328.6184522463418</v>
      </c>
      <c r="N1284" s="36">
        <v>20115.105877690323</v>
      </c>
      <c r="O1284" s="36">
        <v>14108.276512202587</v>
      </c>
      <c r="P1284">
        <v>12548.740523504424</v>
      </c>
    </row>
    <row r="1285" spans="1:16" hidden="1" x14ac:dyDescent="0.35">
      <c r="A1285" s="3">
        <f xml:space="preserve"> ROW( data_scaledImpacts[[#This Row],[row_id]] ) - ROW( data_scaledImpacts[[#Headers],[row_id]] )</f>
        <v>1284</v>
      </c>
      <c r="B1285" s="41" t="str">
        <f xml:space="preserve"> _xlfn.TEXTJOIN( "", , data_scaledImpacts[[#This Row],[sector]:[impactType]] )</f>
        <v>RailMIROC51Reactive</v>
      </c>
      <c r="C1285" s="33" t="s">
        <v>209</v>
      </c>
      <c r="D1285" s="33" t="s">
        <v>4</v>
      </c>
      <c r="E1285" s="34">
        <v>1</v>
      </c>
      <c r="F1285" s="34"/>
      <c r="G1285" s="34" t="s">
        <v>88</v>
      </c>
      <c r="H1285" s="35"/>
      <c r="I1285" s="43" t="s">
        <v>514</v>
      </c>
      <c r="J1285" s="36">
        <v>4902.5007561812117</v>
      </c>
      <c r="K1285" s="36">
        <v>678.3955783833128</v>
      </c>
      <c r="L1285" s="37">
        <v>8639.7694189230388</v>
      </c>
      <c r="M1285" s="36">
        <v>3008.3596258973612</v>
      </c>
      <c r="N1285" s="36">
        <v>1813.385999241905</v>
      </c>
      <c r="O1285" s="36">
        <v>11687.989840235001</v>
      </c>
      <c r="P1285">
        <v>12144.100839550738</v>
      </c>
    </row>
    <row r="1286" spans="1:16" hidden="1" x14ac:dyDescent="0.35">
      <c r="A1286" s="3">
        <f xml:space="preserve"> ROW( data_scaledImpacts[[#This Row],[row_id]] ) - ROW( data_scaledImpacts[[#Headers],[row_id]] )</f>
        <v>1285</v>
      </c>
      <c r="B1286" s="41" t="str">
        <f xml:space="preserve"> _xlfn.TEXTJOIN( "", , data_scaledImpacts[[#This Row],[sector]:[impactType]] )</f>
        <v>RailGFDL-CM31Reactive</v>
      </c>
      <c r="C1286" s="33" t="s">
        <v>209</v>
      </c>
      <c r="D1286" s="33" t="s">
        <v>5</v>
      </c>
      <c r="E1286" s="34">
        <v>1</v>
      </c>
      <c r="F1286" s="34"/>
      <c r="G1286" s="34" t="s">
        <v>88</v>
      </c>
      <c r="H1286" s="35"/>
      <c r="I1286" s="43" t="s">
        <v>515</v>
      </c>
      <c r="J1286" s="36">
        <v>5702.5758569495129</v>
      </c>
      <c r="K1286" s="36">
        <v>3828.6266192272951</v>
      </c>
      <c r="L1286" s="37">
        <v>15866.312098944669</v>
      </c>
      <c r="M1286" s="36">
        <v>2126.7616710239004</v>
      </c>
      <c r="N1286" s="36">
        <v>3985.7994030062637</v>
      </c>
      <c r="O1286" s="36">
        <v>36562.014568348539</v>
      </c>
      <c r="P1286">
        <v>28735.429807228258</v>
      </c>
    </row>
    <row r="1287" spans="1:16" hidden="1" x14ac:dyDescent="0.35">
      <c r="A1287" s="3">
        <f xml:space="preserve"> ROW( data_scaledImpacts[[#This Row],[row_id]] ) - ROW( data_scaledImpacts[[#Headers],[row_id]] )</f>
        <v>1286</v>
      </c>
      <c r="B1287" s="41" t="str">
        <f xml:space="preserve"> _xlfn.TEXTJOIN( "", , data_scaledImpacts[[#This Row],[sector]:[impactType]] )</f>
        <v>RailGCM Average1Reactive</v>
      </c>
      <c r="C1287" s="33" t="s">
        <v>209</v>
      </c>
      <c r="D1287" s="33" t="s">
        <v>15</v>
      </c>
      <c r="E1287" s="34">
        <v>1</v>
      </c>
      <c r="F1287" s="34"/>
      <c r="G1287" s="34" t="s">
        <v>88</v>
      </c>
      <c r="H1287" s="35"/>
      <c r="I1287" s="43" t="s">
        <v>516</v>
      </c>
      <c r="J1287" s="36">
        <v>6766.2805147332083</v>
      </c>
      <c r="K1287" s="36">
        <v>3108.4698688697858</v>
      </c>
      <c r="L1287" s="37">
        <v>12963.432777626082</v>
      </c>
      <c r="M1287" s="36">
        <v>3626.9889278110372</v>
      </c>
      <c r="N1287" s="36">
        <v>5197.2717601582008</v>
      </c>
      <c r="O1287" s="36">
        <v>15999.532593895541</v>
      </c>
      <c r="P1287">
        <v>17662.561906827177</v>
      </c>
    </row>
    <row r="1288" spans="1:16" hidden="1" x14ac:dyDescent="0.35">
      <c r="A1288" s="3">
        <f xml:space="preserve"> ROW( data_scaledImpacts[[#This Row],[row_id]] ) - ROW( data_scaledImpacts[[#Headers],[row_id]] )</f>
        <v>1287</v>
      </c>
      <c r="B1288" s="41" t="str">
        <f xml:space="preserve"> _xlfn.TEXTJOIN( "", , data_scaledImpacts[[#This Row],[sector]:[impactType]] )</f>
        <v>RailCanESM22Reactive</v>
      </c>
      <c r="C1288" s="33" t="s">
        <v>209</v>
      </c>
      <c r="D1288" s="33" t="s">
        <v>0</v>
      </c>
      <c r="E1288" s="34">
        <v>2</v>
      </c>
      <c r="F1288" s="34"/>
      <c r="G1288" s="34" t="s">
        <v>88</v>
      </c>
      <c r="H1288" s="35"/>
      <c r="I1288" s="43" t="s">
        <v>517</v>
      </c>
      <c r="J1288" s="36">
        <v>6309.5487110283411</v>
      </c>
      <c r="K1288" s="36">
        <v>3618.8674824633699</v>
      </c>
      <c r="L1288" s="37">
        <v>14269.59623349665</v>
      </c>
      <c r="M1288" s="36">
        <v>4182.301599443841</v>
      </c>
      <c r="N1288" s="36">
        <v>3146.1161000383386</v>
      </c>
      <c r="O1288" s="36">
        <v>8035.7357553020374</v>
      </c>
      <c r="P1288">
        <v>26186.491641477143</v>
      </c>
    </row>
    <row r="1289" spans="1:16" hidden="1" x14ac:dyDescent="0.35">
      <c r="A1289" s="3">
        <f xml:space="preserve"> ROW( data_scaledImpacts[[#This Row],[row_id]] ) - ROW( data_scaledImpacts[[#Headers],[row_id]] )</f>
        <v>1288</v>
      </c>
      <c r="B1289" s="41" t="str">
        <f xml:space="preserve"> _xlfn.TEXTJOIN( "", , data_scaledImpacts[[#This Row],[sector]:[impactType]] )</f>
        <v>RailCCSM42Reactive</v>
      </c>
      <c r="C1289" s="33" t="s">
        <v>209</v>
      </c>
      <c r="D1289" s="33" t="s">
        <v>1</v>
      </c>
      <c r="E1289" s="34">
        <v>2</v>
      </c>
      <c r="F1289" s="34"/>
      <c r="G1289" s="34" t="s">
        <v>88</v>
      </c>
      <c r="H1289" s="35"/>
      <c r="I1289" s="43" t="s">
        <v>518</v>
      </c>
      <c r="J1289" s="36">
        <v>27082.422482163161</v>
      </c>
      <c r="K1289" s="36">
        <v>6751.482474200905</v>
      </c>
      <c r="L1289" s="37">
        <v>64885.713674137027</v>
      </c>
      <c r="M1289" s="36">
        <v>8965.5511248311141</v>
      </c>
      <c r="N1289" s="36">
        <v>7173.6850079014221</v>
      </c>
      <c r="O1289" s="36">
        <v>38687.731928780697</v>
      </c>
      <c r="P1289">
        <v>40032.923817036717</v>
      </c>
    </row>
    <row r="1290" spans="1:16" hidden="1" x14ac:dyDescent="0.35">
      <c r="A1290" s="3">
        <f xml:space="preserve"> ROW( data_scaledImpacts[[#This Row],[row_id]] ) - ROW( data_scaledImpacts[[#Headers],[row_id]] )</f>
        <v>1289</v>
      </c>
      <c r="B1290" s="41" t="str">
        <f xml:space="preserve"> _xlfn.TEXTJOIN( "", , data_scaledImpacts[[#This Row],[sector]:[impactType]] )</f>
        <v>RailGISS-E2-R2Reactive</v>
      </c>
      <c r="C1290" s="33" t="s">
        <v>209</v>
      </c>
      <c r="D1290" s="33" t="s">
        <v>2</v>
      </c>
      <c r="E1290" s="34">
        <v>2</v>
      </c>
      <c r="F1290" s="34"/>
      <c r="G1290" s="34" t="s">
        <v>88</v>
      </c>
      <c r="H1290" s="35"/>
      <c r="I1290" s="43" t="s">
        <v>519</v>
      </c>
      <c r="J1290" s="36">
        <v>2116.2032944369989</v>
      </c>
      <c r="K1290" s="36">
        <v>1603.989695790422</v>
      </c>
      <c r="L1290" s="37">
        <v>12217.040317004636</v>
      </c>
      <c r="M1290" s="36">
        <v>24546.863984745665</v>
      </c>
      <c r="N1290" s="36">
        <v>1715.7451234426883</v>
      </c>
      <c r="O1290" s="36">
        <v>7380.3740126799994</v>
      </c>
      <c r="P1290">
        <v>42643.894033562683</v>
      </c>
    </row>
    <row r="1291" spans="1:16" hidden="1" x14ac:dyDescent="0.35">
      <c r="A1291" s="3">
        <f xml:space="preserve"> ROW( data_scaledImpacts[[#This Row],[row_id]] ) - ROW( data_scaledImpacts[[#Headers],[row_id]] )</f>
        <v>1290</v>
      </c>
      <c r="B1291" s="41" t="str">
        <f xml:space="preserve"> _xlfn.TEXTJOIN( "", , data_scaledImpacts[[#This Row],[sector]:[impactType]] )</f>
        <v>RailHadGEM2-ES2Reactive</v>
      </c>
      <c r="C1291" s="33" t="s">
        <v>209</v>
      </c>
      <c r="D1291" s="33" t="s">
        <v>3</v>
      </c>
      <c r="E1291" s="34">
        <v>2</v>
      </c>
      <c r="F1291" s="34"/>
      <c r="G1291" s="34" t="s">
        <v>88</v>
      </c>
      <c r="H1291" s="35"/>
      <c r="I1291" s="43" t="s">
        <v>520</v>
      </c>
      <c r="J1291" s="36">
        <v>27863.518448979525</v>
      </c>
      <c r="K1291" s="36">
        <v>16037.528502663416</v>
      </c>
      <c r="L1291" s="37">
        <v>27857.220726411659</v>
      </c>
      <c r="M1291" s="36">
        <v>8723.2170937070077</v>
      </c>
      <c r="N1291" s="36">
        <v>20579.378499816597</v>
      </c>
      <c r="O1291" s="36">
        <v>25276.53494612038</v>
      </c>
      <c r="P1291">
        <v>27864.254296758274</v>
      </c>
    </row>
    <row r="1292" spans="1:16" hidden="1" x14ac:dyDescent="0.35">
      <c r="A1292" s="3">
        <f xml:space="preserve"> ROW( data_scaledImpacts[[#This Row],[row_id]] ) - ROW( data_scaledImpacts[[#Headers],[row_id]] )</f>
        <v>1291</v>
      </c>
      <c r="B1292" s="41" t="str">
        <f xml:space="preserve"> _xlfn.TEXTJOIN( "", , data_scaledImpacts[[#This Row],[sector]:[impactType]] )</f>
        <v>RailMIROC52Reactive</v>
      </c>
      <c r="C1292" s="33" t="s">
        <v>209</v>
      </c>
      <c r="D1292" s="33" t="s">
        <v>4</v>
      </c>
      <c r="E1292" s="34">
        <v>2</v>
      </c>
      <c r="F1292" s="34"/>
      <c r="G1292" s="34" t="s">
        <v>88</v>
      </c>
      <c r="H1292" s="35"/>
      <c r="I1292" s="43" t="s">
        <v>521</v>
      </c>
      <c r="J1292" s="36">
        <v>11179.56847057212</v>
      </c>
      <c r="K1292" s="36">
        <v>2131.2691407784196</v>
      </c>
      <c r="L1292" s="37">
        <v>24668.883953091434</v>
      </c>
      <c r="M1292" s="36">
        <v>3712.2978509688992</v>
      </c>
      <c r="N1292" s="36">
        <v>4060.5923396741841</v>
      </c>
      <c r="O1292" s="36">
        <v>29587.607949892394</v>
      </c>
      <c r="P1292">
        <v>21024.784423527497</v>
      </c>
    </row>
    <row r="1293" spans="1:16" hidden="1" x14ac:dyDescent="0.35">
      <c r="A1293" s="3">
        <f xml:space="preserve"> ROW( data_scaledImpacts[[#This Row],[row_id]] ) - ROW( data_scaledImpacts[[#Headers],[row_id]] )</f>
        <v>1292</v>
      </c>
      <c r="B1293" s="41" t="str">
        <f xml:space="preserve"> _xlfn.TEXTJOIN( "", , data_scaledImpacts[[#This Row],[sector]:[impactType]] )</f>
        <v>RailGFDL-CM32Reactive</v>
      </c>
      <c r="C1293" s="33" t="s">
        <v>209</v>
      </c>
      <c r="D1293" s="33" t="s">
        <v>5</v>
      </c>
      <c r="E1293" s="34">
        <v>2</v>
      </c>
      <c r="F1293" s="34"/>
      <c r="G1293" s="34" t="s">
        <v>88</v>
      </c>
      <c r="H1293" s="35"/>
      <c r="I1293" s="43" t="s">
        <v>522</v>
      </c>
      <c r="J1293" s="36">
        <v>11246.31836851397</v>
      </c>
      <c r="K1293" s="36">
        <v>3953.0523265083448</v>
      </c>
      <c r="L1293" s="37">
        <v>38924.825832855655</v>
      </c>
      <c r="M1293" s="36">
        <v>14508.348253329135</v>
      </c>
      <c r="N1293" s="36">
        <v>3640.8382324217723</v>
      </c>
      <c r="O1293" s="36">
        <v>29545.179823441289</v>
      </c>
      <c r="P1293">
        <v>68748.514454021541</v>
      </c>
    </row>
    <row r="1294" spans="1:16" hidden="1" x14ac:dyDescent="0.35">
      <c r="A1294" s="3">
        <f xml:space="preserve"> ROW( data_scaledImpacts[[#This Row],[row_id]] ) - ROW( data_scaledImpacts[[#Headers],[row_id]] )</f>
        <v>1293</v>
      </c>
      <c r="B1294" s="41" t="str">
        <f xml:space="preserve"> _xlfn.TEXTJOIN( "", , data_scaledImpacts[[#This Row],[sector]:[impactType]] )</f>
        <v>RailGCM Average2Reactive</v>
      </c>
      <c r="C1294" s="33" t="s">
        <v>209</v>
      </c>
      <c r="D1294" s="33" t="s">
        <v>15</v>
      </c>
      <c r="E1294" s="34">
        <v>2</v>
      </c>
      <c r="F1294" s="34"/>
      <c r="G1294" s="34" t="s">
        <v>88</v>
      </c>
      <c r="H1294" s="35"/>
      <c r="I1294" s="43" t="s">
        <v>523</v>
      </c>
      <c r="J1294" s="36">
        <v>14299.596629282352</v>
      </c>
      <c r="K1294" s="36">
        <v>5682.6982704008124</v>
      </c>
      <c r="L1294" s="37">
        <v>30470.546789499509</v>
      </c>
      <c r="M1294" s="36">
        <v>10773.096651170943</v>
      </c>
      <c r="N1294" s="36">
        <v>6719.3925505491679</v>
      </c>
      <c r="O1294" s="36">
        <v>23085.527402702803</v>
      </c>
      <c r="P1294">
        <v>37750.143777730642</v>
      </c>
    </row>
    <row r="1295" spans="1:16" hidden="1" x14ac:dyDescent="0.35">
      <c r="A1295" s="3">
        <f xml:space="preserve"> ROW( data_scaledImpacts[[#This Row],[row_id]] ) - ROW( data_scaledImpacts[[#Headers],[row_id]] )</f>
        <v>1294</v>
      </c>
      <c r="B1295" s="41" t="str">
        <f xml:space="preserve"> _xlfn.TEXTJOIN( "", , data_scaledImpacts[[#This Row],[sector]:[impactType]] )</f>
        <v>RailCanESM23Reactive</v>
      </c>
      <c r="C1295" s="33" t="s">
        <v>209</v>
      </c>
      <c r="D1295" s="33" t="s">
        <v>0</v>
      </c>
      <c r="E1295" s="34">
        <v>3</v>
      </c>
      <c r="F1295" s="34"/>
      <c r="G1295" s="34" t="s">
        <v>88</v>
      </c>
      <c r="H1295" s="35"/>
      <c r="I1295" s="43" t="s">
        <v>524</v>
      </c>
      <c r="J1295" s="36">
        <v>8075.5908270594282</v>
      </c>
      <c r="K1295" s="36">
        <v>3904.2269887247803</v>
      </c>
      <c r="L1295" s="37">
        <v>32748.74721392215</v>
      </c>
      <c r="M1295" s="36">
        <v>18301.461809972767</v>
      </c>
      <c r="N1295" s="36">
        <v>4124.717888081419</v>
      </c>
      <c r="O1295" s="36">
        <v>16096.586771822045</v>
      </c>
      <c r="P1295">
        <v>70507.110785571436</v>
      </c>
    </row>
    <row r="1296" spans="1:16" hidden="1" x14ac:dyDescent="0.35">
      <c r="A1296" s="3">
        <f xml:space="preserve"> ROW( data_scaledImpacts[[#This Row],[row_id]] ) - ROW( data_scaledImpacts[[#Headers],[row_id]] )</f>
        <v>1295</v>
      </c>
      <c r="B1296" s="41" t="str">
        <f xml:space="preserve"> _xlfn.TEXTJOIN( "", , data_scaledImpacts[[#This Row],[sector]:[impactType]] )</f>
        <v>RailCCSM43Reactive</v>
      </c>
      <c r="C1296" s="33" t="s">
        <v>209</v>
      </c>
      <c r="D1296" s="33" t="s">
        <v>1</v>
      </c>
      <c r="E1296" s="34">
        <v>3</v>
      </c>
      <c r="F1296" s="34"/>
      <c r="G1296" s="34" t="s">
        <v>88</v>
      </c>
      <c r="H1296" s="35"/>
      <c r="I1296" s="43" t="s">
        <v>525</v>
      </c>
      <c r="J1296" s="36">
        <v>26376.868155900356</v>
      </c>
      <c r="K1296" s="36">
        <v>6373.3495722720409</v>
      </c>
      <c r="L1296" s="37">
        <v>64810.711162203996</v>
      </c>
      <c r="M1296" s="36">
        <v>9766.3400503434805</v>
      </c>
      <c r="N1296" s="36">
        <v>8626.6406009413095</v>
      </c>
      <c r="O1296" s="36">
        <v>36725.014188424379</v>
      </c>
      <c r="P1296">
        <v>53491.613811882038</v>
      </c>
    </row>
    <row r="1297" spans="1:16" hidden="1" x14ac:dyDescent="0.35">
      <c r="A1297" s="3">
        <f xml:space="preserve"> ROW( data_scaledImpacts[[#This Row],[row_id]] ) - ROW( data_scaledImpacts[[#Headers],[row_id]] )</f>
        <v>1296</v>
      </c>
      <c r="B1297" s="41" t="str">
        <f xml:space="preserve"> _xlfn.TEXTJOIN( "", , data_scaledImpacts[[#This Row],[sector]:[impactType]] )</f>
        <v>RailGISS-E2-R3Reactive</v>
      </c>
      <c r="C1297" s="33" t="s">
        <v>209</v>
      </c>
      <c r="D1297" s="33" t="s">
        <v>2</v>
      </c>
      <c r="E1297" s="34">
        <v>3</v>
      </c>
      <c r="F1297" s="34"/>
      <c r="G1297" s="34" t="s">
        <v>88</v>
      </c>
      <c r="H1297" s="35"/>
      <c r="I1297" s="43" t="s">
        <v>526</v>
      </c>
      <c r="J1297" s="36">
        <v>4553.7125643668405</v>
      </c>
      <c r="K1297" s="36">
        <v>2391.8649337036536</v>
      </c>
      <c r="L1297" s="37">
        <v>35404.491110230396</v>
      </c>
      <c r="M1297" s="36">
        <v>13474.603683056961</v>
      </c>
      <c r="N1297" s="36">
        <v>2807.4218844099796</v>
      </c>
      <c r="O1297" s="36">
        <v>17936.094722067141</v>
      </c>
      <c r="P1297">
        <v>53032.509837739628</v>
      </c>
    </row>
    <row r="1298" spans="1:16" hidden="1" x14ac:dyDescent="0.35">
      <c r="A1298" s="3">
        <f xml:space="preserve"> ROW( data_scaledImpacts[[#This Row],[row_id]] ) - ROW( data_scaledImpacts[[#Headers],[row_id]] )</f>
        <v>1297</v>
      </c>
      <c r="B1298" s="41" t="str">
        <f xml:space="preserve"> _xlfn.TEXTJOIN( "", , data_scaledImpacts[[#This Row],[sector]:[impactType]] )</f>
        <v>RailHadGEM2-ES3Reactive</v>
      </c>
      <c r="C1298" s="33" t="s">
        <v>209</v>
      </c>
      <c r="D1298" s="33" t="s">
        <v>3</v>
      </c>
      <c r="E1298" s="34">
        <v>3</v>
      </c>
      <c r="F1298" s="34"/>
      <c r="G1298" s="34" t="s">
        <v>88</v>
      </c>
      <c r="H1298" s="35"/>
      <c r="I1298" s="43" t="s">
        <v>527</v>
      </c>
      <c r="J1298" s="36">
        <v>107294.71509721768</v>
      </c>
      <c r="K1298" s="36">
        <v>72090.334324834068</v>
      </c>
      <c r="L1298" s="37">
        <v>77153.899412232451</v>
      </c>
      <c r="M1298" s="36">
        <v>21896.367625191157</v>
      </c>
      <c r="N1298" s="36">
        <v>81913.182442001911</v>
      </c>
      <c r="O1298" s="36">
        <v>42936.700473834004</v>
      </c>
      <c r="P1298">
        <v>47726.281733156211</v>
      </c>
    </row>
    <row r="1299" spans="1:16" hidden="1" x14ac:dyDescent="0.35">
      <c r="A1299" s="3">
        <f xml:space="preserve"> ROW( data_scaledImpacts[[#This Row],[row_id]] ) - ROW( data_scaledImpacts[[#Headers],[row_id]] )</f>
        <v>1298</v>
      </c>
      <c r="B1299" s="41" t="str">
        <f xml:space="preserve"> _xlfn.TEXTJOIN( "", , data_scaledImpacts[[#This Row],[sector]:[impactType]] )</f>
        <v>RailMIROC53Reactive</v>
      </c>
      <c r="C1299" s="33" t="s">
        <v>209</v>
      </c>
      <c r="D1299" s="33" t="s">
        <v>4</v>
      </c>
      <c r="E1299" s="34">
        <v>3</v>
      </c>
      <c r="F1299" s="34"/>
      <c r="G1299" s="34" t="s">
        <v>88</v>
      </c>
      <c r="H1299" s="35"/>
      <c r="I1299" s="43" t="s">
        <v>528</v>
      </c>
      <c r="J1299" s="36">
        <v>6961.7899438287359</v>
      </c>
      <c r="K1299" s="36">
        <v>2943.3633936382021</v>
      </c>
      <c r="L1299" s="37">
        <v>20873.672231857672</v>
      </c>
      <c r="M1299" s="36">
        <v>3812.9959640997617</v>
      </c>
      <c r="N1299" s="36">
        <v>3906.1860649798259</v>
      </c>
      <c r="O1299" s="36">
        <v>17315.934098460828</v>
      </c>
      <c r="P1299">
        <v>20585.302988348172</v>
      </c>
    </row>
    <row r="1300" spans="1:16" hidden="1" x14ac:dyDescent="0.35">
      <c r="A1300" s="3">
        <f xml:space="preserve"> ROW( data_scaledImpacts[[#This Row],[row_id]] ) - ROW( data_scaledImpacts[[#Headers],[row_id]] )</f>
        <v>1299</v>
      </c>
      <c r="B1300" s="41" t="str">
        <f xml:space="preserve"> _xlfn.TEXTJOIN( "", , data_scaledImpacts[[#This Row],[sector]:[impactType]] )</f>
        <v>RailGFDL-CM33Reactive</v>
      </c>
      <c r="C1300" s="33" t="s">
        <v>209</v>
      </c>
      <c r="D1300" s="33" t="s">
        <v>5</v>
      </c>
      <c r="E1300" s="34">
        <v>3</v>
      </c>
      <c r="F1300" s="34"/>
      <c r="G1300" s="34" t="s">
        <v>88</v>
      </c>
      <c r="H1300" s="35"/>
      <c r="I1300" s="43" t="s">
        <v>529</v>
      </c>
      <c r="J1300" s="36">
        <v>11468.489047340368</v>
      </c>
      <c r="K1300" s="36">
        <v>7665.4309829975573</v>
      </c>
      <c r="L1300" s="37">
        <v>16525.643967934375</v>
      </c>
      <c r="M1300" s="36">
        <v>13437.28861834748</v>
      </c>
      <c r="N1300" s="36">
        <v>5433.3834419165205</v>
      </c>
      <c r="O1300" s="36">
        <v>48828.414003145735</v>
      </c>
      <c r="P1300">
        <v>121674.54046801504</v>
      </c>
    </row>
    <row r="1301" spans="1:16" hidden="1" x14ac:dyDescent="0.35">
      <c r="A1301" s="3">
        <f xml:space="preserve"> ROW( data_scaledImpacts[[#This Row],[row_id]] ) - ROW( data_scaledImpacts[[#Headers],[row_id]] )</f>
        <v>1300</v>
      </c>
      <c r="B1301" s="41" t="str">
        <f xml:space="preserve"> _xlfn.TEXTJOIN( "", , data_scaledImpacts[[#This Row],[sector]:[impactType]] )</f>
        <v>RailGCM Average3Reactive</v>
      </c>
      <c r="C1301" s="33" t="s">
        <v>209</v>
      </c>
      <c r="D1301" s="33" t="s">
        <v>15</v>
      </c>
      <c r="E1301" s="34">
        <v>3</v>
      </c>
      <c r="F1301" s="34"/>
      <c r="G1301" s="34" t="s">
        <v>88</v>
      </c>
      <c r="H1301" s="35"/>
      <c r="I1301" s="43" t="s">
        <v>530</v>
      </c>
      <c r="J1301" s="36">
        <v>27455.194272618905</v>
      </c>
      <c r="K1301" s="36">
        <v>15894.761699361714</v>
      </c>
      <c r="L1301" s="37">
        <v>41252.860849730176</v>
      </c>
      <c r="M1301" s="36">
        <v>13448.176291835267</v>
      </c>
      <c r="N1301" s="36">
        <v>17801.922053721828</v>
      </c>
      <c r="O1301" s="36">
        <v>29973.124042959022</v>
      </c>
      <c r="P1301">
        <v>61169.559937452083</v>
      </c>
    </row>
    <row r="1302" spans="1:16" hidden="1" x14ac:dyDescent="0.35">
      <c r="A1302" s="3">
        <f xml:space="preserve"> ROW( data_scaledImpacts[[#This Row],[row_id]] ) - ROW( data_scaledImpacts[[#Headers],[row_id]] )</f>
        <v>1301</v>
      </c>
      <c r="B1302" s="41" t="str">
        <f xml:space="preserve"> _xlfn.TEXTJOIN( "", , data_scaledImpacts[[#This Row],[sector]:[impactType]] )</f>
        <v>RailCanESM24Reactive</v>
      </c>
      <c r="C1302" s="33" t="s">
        <v>209</v>
      </c>
      <c r="D1302" s="33" t="s">
        <v>0</v>
      </c>
      <c r="E1302" s="34">
        <v>4</v>
      </c>
      <c r="F1302" s="34"/>
      <c r="G1302" s="34" t="s">
        <v>88</v>
      </c>
      <c r="H1302" s="35"/>
      <c r="I1302" s="43" t="s">
        <v>531</v>
      </c>
      <c r="J1302" s="36">
        <v>8704.2253651291667</v>
      </c>
      <c r="K1302" s="36">
        <v>4179.4661687148846</v>
      </c>
      <c r="L1302" s="37">
        <v>44550.563399208193</v>
      </c>
      <c r="M1302" s="36">
        <v>24454.619896207587</v>
      </c>
      <c r="N1302" s="36">
        <v>3709.6291283035889</v>
      </c>
      <c r="O1302" s="36">
        <v>11059.828233608423</v>
      </c>
      <c r="P1302">
        <v>58389.058647889746</v>
      </c>
    </row>
    <row r="1303" spans="1:16" hidden="1" x14ac:dyDescent="0.35">
      <c r="A1303" s="3">
        <f xml:space="preserve"> ROW( data_scaledImpacts[[#This Row],[row_id]] ) - ROW( data_scaledImpacts[[#Headers],[row_id]] )</f>
        <v>1302</v>
      </c>
      <c r="B1303" s="41" t="str">
        <f xml:space="preserve"> _xlfn.TEXTJOIN( "", , data_scaledImpacts[[#This Row],[sector]:[impactType]] )</f>
        <v>RailCCSM44Reactive</v>
      </c>
      <c r="C1303" s="33" t="s">
        <v>209</v>
      </c>
      <c r="D1303" s="33" t="s">
        <v>1</v>
      </c>
      <c r="E1303" s="34">
        <v>4</v>
      </c>
      <c r="F1303" s="34"/>
      <c r="G1303" s="34" t="s">
        <v>88</v>
      </c>
      <c r="H1303" s="35"/>
      <c r="I1303" s="43" t="s">
        <v>532</v>
      </c>
      <c r="J1303" s="36">
        <v>33547.491926134993</v>
      </c>
      <c r="K1303" s="36">
        <v>16925.504015081144</v>
      </c>
      <c r="L1303" s="37">
        <v>84946.581337772397</v>
      </c>
      <c r="M1303" s="36">
        <v>25700.861094391468</v>
      </c>
      <c r="N1303" s="36">
        <v>20351.411465176938</v>
      </c>
      <c r="O1303" s="36">
        <v>28995.407917535074</v>
      </c>
      <c r="P1303">
        <v>62657.166016784387</v>
      </c>
    </row>
    <row r="1304" spans="1:16" hidden="1" x14ac:dyDescent="0.35">
      <c r="A1304" s="3">
        <f xml:space="preserve"> ROW( data_scaledImpacts[[#This Row],[row_id]] ) - ROW( data_scaledImpacts[[#Headers],[row_id]] )</f>
        <v>1303</v>
      </c>
      <c r="B1304" s="41" t="str">
        <f xml:space="preserve"> _xlfn.TEXTJOIN( "", , data_scaledImpacts[[#This Row],[sector]:[impactType]] )</f>
        <v>RailGISS-E2-R4Reactive</v>
      </c>
      <c r="C1304" s="33" t="s">
        <v>209</v>
      </c>
      <c r="D1304" s="33" t="s">
        <v>2</v>
      </c>
      <c r="E1304" s="34">
        <v>4</v>
      </c>
      <c r="F1304" s="34"/>
      <c r="G1304" s="34" t="s">
        <v>88</v>
      </c>
      <c r="H1304" s="35"/>
      <c r="I1304" s="43" t="s">
        <v>533</v>
      </c>
      <c r="J1304" s="36"/>
      <c r="K1304" s="36"/>
      <c r="L1304" s="37"/>
      <c r="M1304" s="36"/>
      <c r="N1304" s="36"/>
      <c r="O1304" s="36"/>
    </row>
    <row r="1305" spans="1:16" hidden="1" x14ac:dyDescent="0.35">
      <c r="A1305" s="3">
        <f xml:space="preserve"> ROW( data_scaledImpacts[[#This Row],[row_id]] ) - ROW( data_scaledImpacts[[#Headers],[row_id]] )</f>
        <v>1304</v>
      </c>
      <c r="B1305" s="41" t="str">
        <f xml:space="preserve"> _xlfn.TEXTJOIN( "", , data_scaledImpacts[[#This Row],[sector]:[impactType]] )</f>
        <v>RailHadGEM2-ES4Reactive</v>
      </c>
      <c r="C1305" s="33" t="s">
        <v>209</v>
      </c>
      <c r="D1305" s="33" t="s">
        <v>3</v>
      </c>
      <c r="E1305" s="34">
        <v>4</v>
      </c>
      <c r="F1305" s="34"/>
      <c r="G1305" s="34" t="s">
        <v>88</v>
      </c>
      <c r="H1305" s="35"/>
      <c r="I1305" s="43" t="s">
        <v>534</v>
      </c>
      <c r="J1305" s="36">
        <v>76501.528079654512</v>
      </c>
      <c r="K1305" s="36">
        <v>55554.780696774018</v>
      </c>
      <c r="L1305" s="37">
        <v>78907.977881322324</v>
      </c>
      <c r="M1305" s="36">
        <v>65182.002611976735</v>
      </c>
      <c r="N1305" s="36">
        <v>72743.934691454866</v>
      </c>
      <c r="O1305" s="36">
        <v>61390.941025201246</v>
      </c>
      <c r="P1305">
        <v>45797.284304468041</v>
      </c>
    </row>
    <row r="1306" spans="1:16" hidden="1" x14ac:dyDescent="0.35">
      <c r="A1306" s="3">
        <f xml:space="preserve"> ROW( data_scaledImpacts[[#This Row],[row_id]] ) - ROW( data_scaledImpacts[[#Headers],[row_id]] )</f>
        <v>1305</v>
      </c>
      <c r="B1306" s="41" t="str">
        <f xml:space="preserve"> _xlfn.TEXTJOIN( "", , data_scaledImpacts[[#This Row],[sector]:[impactType]] )</f>
        <v>RailMIROC54Reactive</v>
      </c>
      <c r="C1306" s="33" t="s">
        <v>209</v>
      </c>
      <c r="D1306" s="33" t="s">
        <v>4</v>
      </c>
      <c r="E1306" s="34">
        <v>4</v>
      </c>
      <c r="F1306" s="34"/>
      <c r="G1306" s="34" t="s">
        <v>88</v>
      </c>
      <c r="H1306" s="35"/>
      <c r="I1306" s="43" t="s">
        <v>535</v>
      </c>
      <c r="J1306" s="36">
        <v>22620.51470179348</v>
      </c>
      <c r="K1306" s="36">
        <v>3935.2406749844295</v>
      </c>
      <c r="L1306" s="37">
        <v>44365.748760991977</v>
      </c>
      <c r="M1306" s="36">
        <v>9617.255734612314</v>
      </c>
      <c r="N1306" s="36">
        <v>7614.8097838483054</v>
      </c>
      <c r="O1306" s="36">
        <v>47799.480359259622</v>
      </c>
      <c r="P1306">
        <v>32158.390465784636</v>
      </c>
    </row>
    <row r="1307" spans="1:16" hidden="1" x14ac:dyDescent="0.35">
      <c r="A1307" s="3">
        <f xml:space="preserve"> ROW( data_scaledImpacts[[#This Row],[row_id]] ) - ROW( data_scaledImpacts[[#Headers],[row_id]] )</f>
        <v>1306</v>
      </c>
      <c r="B1307" s="41" t="str">
        <f xml:space="preserve"> _xlfn.TEXTJOIN( "", , data_scaledImpacts[[#This Row],[sector]:[impactType]] )</f>
        <v>RailGFDL-CM34Reactive</v>
      </c>
      <c r="C1307" s="33" t="s">
        <v>209</v>
      </c>
      <c r="D1307" s="33" t="s">
        <v>5</v>
      </c>
      <c r="E1307" s="34">
        <v>4</v>
      </c>
      <c r="F1307" s="34"/>
      <c r="G1307" s="34" t="s">
        <v>88</v>
      </c>
      <c r="H1307" s="35"/>
      <c r="I1307" s="43" t="s">
        <v>536</v>
      </c>
      <c r="J1307" s="36">
        <v>30170.936459215121</v>
      </c>
      <c r="K1307" s="36">
        <v>12177.064426556051</v>
      </c>
      <c r="L1307" s="37">
        <v>56469.808329476626</v>
      </c>
      <c r="M1307" s="36">
        <v>17368.177199798094</v>
      </c>
      <c r="N1307" s="36">
        <v>10479.220916787053</v>
      </c>
      <c r="O1307" s="36">
        <v>142294.64930599881</v>
      </c>
      <c r="P1307">
        <v>220869.73318290678</v>
      </c>
    </row>
    <row r="1308" spans="1:16" hidden="1" x14ac:dyDescent="0.35">
      <c r="A1308" s="3">
        <f xml:space="preserve"> ROW( data_scaledImpacts[[#This Row],[row_id]] ) - ROW( data_scaledImpacts[[#Headers],[row_id]] )</f>
        <v>1307</v>
      </c>
      <c r="B1308" s="41" t="str">
        <f xml:space="preserve"> _xlfn.TEXTJOIN( "", , data_scaledImpacts[[#This Row],[sector]:[impactType]] )</f>
        <v>RailGCM Average4Reactive</v>
      </c>
      <c r="C1308" s="33" t="s">
        <v>209</v>
      </c>
      <c r="D1308" s="33" t="s">
        <v>15</v>
      </c>
      <c r="E1308" s="34">
        <v>4</v>
      </c>
      <c r="F1308" s="34"/>
      <c r="G1308" s="34" t="s">
        <v>88</v>
      </c>
      <c r="H1308" s="35"/>
      <c r="I1308" s="43" t="s">
        <v>537</v>
      </c>
      <c r="J1308" s="36">
        <v>34308.939306385451</v>
      </c>
      <c r="K1308" s="36">
        <v>18554.411196422105</v>
      </c>
      <c r="L1308" s="37">
        <v>61848.135941754306</v>
      </c>
      <c r="M1308" s="36">
        <v>28464.583307397239</v>
      </c>
      <c r="N1308" s="36">
        <v>22979.80119711415</v>
      </c>
      <c r="O1308" s="36">
        <v>58308.061368320639</v>
      </c>
      <c r="P1308">
        <v>83974.32652356672</v>
      </c>
    </row>
    <row r="1309" spans="1:16" hidden="1" x14ac:dyDescent="0.35">
      <c r="A1309" s="3">
        <f xml:space="preserve"> ROW( data_scaledImpacts[[#This Row],[row_id]] ) - ROW( data_scaledImpacts[[#Headers],[row_id]] )</f>
        <v>1308</v>
      </c>
      <c r="B1309" s="41" t="str">
        <f xml:space="preserve"> _xlfn.TEXTJOIN( "", , data_scaledImpacts[[#This Row],[sector]:[impactType]] )</f>
        <v>RailCanESM25Reactive</v>
      </c>
      <c r="C1309" s="33" t="s">
        <v>209</v>
      </c>
      <c r="D1309" s="33" t="s">
        <v>0</v>
      </c>
      <c r="E1309" s="34">
        <v>5</v>
      </c>
      <c r="F1309" s="34"/>
      <c r="G1309" s="34" t="s">
        <v>88</v>
      </c>
      <c r="H1309" s="35"/>
      <c r="I1309" s="43" t="s">
        <v>538</v>
      </c>
      <c r="J1309" s="36">
        <v>14561.04043507696</v>
      </c>
      <c r="K1309" s="36">
        <v>9053.1786681605809</v>
      </c>
      <c r="L1309" s="37">
        <v>57387.291537180339</v>
      </c>
      <c r="M1309" s="36">
        <v>55534.802980115965</v>
      </c>
      <c r="N1309" s="36">
        <v>6979.7986130914078</v>
      </c>
      <c r="O1309" s="36">
        <v>19819.326909326723</v>
      </c>
      <c r="P1309">
        <v>112867.34823488283</v>
      </c>
    </row>
    <row r="1310" spans="1:16" hidden="1" x14ac:dyDescent="0.35">
      <c r="A1310" s="3">
        <f xml:space="preserve"> ROW( data_scaledImpacts[[#This Row],[row_id]] ) - ROW( data_scaledImpacts[[#Headers],[row_id]] )</f>
        <v>1309</v>
      </c>
      <c r="B1310" s="41" t="str">
        <f xml:space="preserve"> _xlfn.TEXTJOIN( "", , data_scaledImpacts[[#This Row],[sector]:[impactType]] )</f>
        <v>RailCCSM45Reactive</v>
      </c>
      <c r="C1310" s="33" t="s">
        <v>209</v>
      </c>
      <c r="D1310" s="33" t="s">
        <v>1</v>
      </c>
      <c r="E1310" s="34">
        <v>5</v>
      </c>
      <c r="F1310" s="34"/>
      <c r="G1310" s="34" t="s">
        <v>88</v>
      </c>
      <c r="H1310" s="35"/>
      <c r="I1310" s="43" t="s">
        <v>539</v>
      </c>
      <c r="J1310" s="36">
        <v>38237.792617281259</v>
      </c>
      <c r="K1310" s="36">
        <v>24427.974835336179</v>
      </c>
      <c r="L1310" s="37">
        <v>91792.903466950564</v>
      </c>
      <c r="M1310" s="36">
        <v>52680.939854189863</v>
      </c>
      <c r="N1310" s="36">
        <v>15373.397779032741</v>
      </c>
      <c r="O1310" s="36">
        <v>80360.190015830682</v>
      </c>
      <c r="P1310">
        <v>113385.64004736699</v>
      </c>
    </row>
    <row r="1311" spans="1:16" hidden="1" x14ac:dyDescent="0.35">
      <c r="A1311" s="3">
        <f xml:space="preserve"> ROW( data_scaledImpacts[[#This Row],[row_id]] ) - ROW( data_scaledImpacts[[#Headers],[row_id]] )</f>
        <v>1310</v>
      </c>
      <c r="B1311" s="41" t="str">
        <f xml:space="preserve"> _xlfn.TEXTJOIN( "", , data_scaledImpacts[[#This Row],[sector]:[impactType]] )</f>
        <v>RailGISS-E2-R5Reactive</v>
      </c>
      <c r="C1311" s="33" t="s">
        <v>209</v>
      </c>
      <c r="D1311" s="33" t="s">
        <v>2</v>
      </c>
      <c r="E1311" s="34">
        <v>5</v>
      </c>
      <c r="F1311" s="34"/>
      <c r="G1311" s="34" t="s">
        <v>88</v>
      </c>
      <c r="H1311" s="35"/>
      <c r="I1311" s="43" t="s">
        <v>540</v>
      </c>
      <c r="J1311" s="36"/>
      <c r="K1311" s="36"/>
      <c r="L1311" s="37"/>
      <c r="M1311" s="36"/>
      <c r="N1311" s="36"/>
      <c r="O1311" s="36"/>
    </row>
    <row r="1312" spans="1:16" hidden="1" x14ac:dyDescent="0.35">
      <c r="A1312" s="3">
        <f xml:space="preserve"> ROW( data_scaledImpacts[[#This Row],[row_id]] ) - ROW( data_scaledImpacts[[#Headers],[row_id]] )</f>
        <v>1311</v>
      </c>
      <c r="B1312" s="41" t="str">
        <f xml:space="preserve"> _xlfn.TEXTJOIN( "", , data_scaledImpacts[[#This Row],[sector]:[impactType]] )</f>
        <v>RailHadGEM2-ES5Reactive</v>
      </c>
      <c r="C1312" s="33" t="s">
        <v>209</v>
      </c>
      <c r="D1312" s="33" t="s">
        <v>3</v>
      </c>
      <c r="E1312" s="34">
        <v>5</v>
      </c>
      <c r="F1312" s="34"/>
      <c r="G1312" s="34" t="s">
        <v>88</v>
      </c>
      <c r="H1312" s="35"/>
      <c r="I1312" s="43" t="s">
        <v>541</v>
      </c>
      <c r="J1312" s="36">
        <v>62963.241119999526</v>
      </c>
      <c r="K1312" s="36">
        <v>88393.959350621211</v>
      </c>
      <c r="L1312" s="37">
        <v>107572.1968444722</v>
      </c>
      <c r="M1312" s="36">
        <v>65191.742130467203</v>
      </c>
      <c r="N1312" s="36">
        <v>49556.27491931316</v>
      </c>
      <c r="O1312" s="36">
        <v>57469.538272107755</v>
      </c>
      <c r="P1312">
        <v>55728.056920709314</v>
      </c>
    </row>
    <row r="1313" spans="1:16" hidden="1" x14ac:dyDescent="0.35">
      <c r="A1313" s="3">
        <f xml:space="preserve"> ROW( data_scaledImpacts[[#This Row],[row_id]] ) - ROW( data_scaledImpacts[[#Headers],[row_id]] )</f>
        <v>1312</v>
      </c>
      <c r="B1313" s="41" t="str">
        <f xml:space="preserve"> _xlfn.TEXTJOIN( "", , data_scaledImpacts[[#This Row],[sector]:[impactType]] )</f>
        <v>RailMIROC55Reactive</v>
      </c>
      <c r="C1313" s="33" t="s">
        <v>209</v>
      </c>
      <c r="D1313" s="33" t="s">
        <v>4</v>
      </c>
      <c r="E1313" s="34">
        <v>5</v>
      </c>
      <c r="F1313" s="34"/>
      <c r="G1313" s="34" t="s">
        <v>88</v>
      </c>
      <c r="H1313" s="35"/>
      <c r="I1313" s="43" t="s">
        <v>542</v>
      </c>
      <c r="J1313" s="36">
        <v>27774.930304312245</v>
      </c>
      <c r="K1313" s="36">
        <v>3773.1976903558975</v>
      </c>
      <c r="L1313" s="37">
        <v>69999.317727243179</v>
      </c>
      <c r="M1313" s="36">
        <v>9600.6054828853412</v>
      </c>
      <c r="N1313" s="36">
        <v>13121.189597972136</v>
      </c>
      <c r="O1313" s="36">
        <v>77619.438372194563</v>
      </c>
      <c r="P1313">
        <v>48082.665388786838</v>
      </c>
    </row>
    <row r="1314" spans="1:16" hidden="1" x14ac:dyDescent="0.35">
      <c r="A1314" s="3">
        <f xml:space="preserve"> ROW( data_scaledImpacts[[#This Row],[row_id]] ) - ROW( data_scaledImpacts[[#Headers],[row_id]] )</f>
        <v>1313</v>
      </c>
      <c r="B1314" s="41" t="str">
        <f xml:space="preserve"> _xlfn.TEXTJOIN( "", , data_scaledImpacts[[#This Row],[sector]:[impactType]] )</f>
        <v>RailGFDL-CM35Reactive</v>
      </c>
      <c r="C1314" s="33" t="s">
        <v>209</v>
      </c>
      <c r="D1314" s="33" t="s">
        <v>5</v>
      </c>
      <c r="E1314" s="34">
        <v>5</v>
      </c>
      <c r="F1314" s="34"/>
      <c r="G1314" s="34" t="s">
        <v>88</v>
      </c>
      <c r="H1314" s="35"/>
      <c r="I1314" s="43" t="s">
        <v>543</v>
      </c>
      <c r="J1314" s="36">
        <v>176314.99618102083</v>
      </c>
      <c r="K1314" s="36">
        <v>20253.514504151441</v>
      </c>
      <c r="L1314" s="37">
        <v>549128.62642126891</v>
      </c>
      <c r="M1314" s="36">
        <v>28002.15138949532</v>
      </c>
      <c r="N1314" s="36">
        <v>24876.527628478088</v>
      </c>
      <c r="O1314" s="36">
        <v>534250.75312957109</v>
      </c>
      <c r="P1314">
        <v>316702.86587436905</v>
      </c>
    </row>
    <row r="1315" spans="1:16" hidden="1" x14ac:dyDescent="0.35">
      <c r="A1315" s="3">
        <f xml:space="preserve"> ROW( data_scaledImpacts[[#This Row],[row_id]] ) - ROW( data_scaledImpacts[[#Headers],[row_id]] )</f>
        <v>1314</v>
      </c>
      <c r="B1315" s="41" t="str">
        <f xml:space="preserve"> _xlfn.TEXTJOIN( "", , data_scaledImpacts[[#This Row],[sector]:[impactType]] )</f>
        <v>RailGCM Average5Reactive</v>
      </c>
      <c r="C1315" s="33" t="s">
        <v>209</v>
      </c>
      <c r="D1315" s="33" t="s">
        <v>15</v>
      </c>
      <c r="E1315" s="34">
        <v>5</v>
      </c>
      <c r="F1315" s="34"/>
      <c r="G1315" s="34" t="s">
        <v>88</v>
      </c>
      <c r="H1315" s="35"/>
      <c r="I1315" s="43" t="s">
        <v>544</v>
      </c>
      <c r="J1315" s="36">
        <v>63970.400131538161</v>
      </c>
      <c r="K1315" s="36">
        <v>29180.365009725057</v>
      </c>
      <c r="L1315" s="37">
        <v>175176.06719942304</v>
      </c>
      <c r="M1315" s="36">
        <v>42202.04836743074</v>
      </c>
      <c r="N1315" s="36">
        <v>21981.437707577505</v>
      </c>
      <c r="O1315" s="36">
        <v>153903.84933980615</v>
      </c>
      <c r="P1315">
        <v>129353.31529322299</v>
      </c>
    </row>
    <row r="1316" spans="1:16" hidden="1" x14ac:dyDescent="0.35">
      <c r="A1316" s="3">
        <f xml:space="preserve"> ROW( data_scaledImpacts[[#This Row],[row_id]] ) - ROW( data_scaledImpacts[[#Headers],[row_id]] )</f>
        <v>1315</v>
      </c>
      <c r="B1316" s="41" t="str">
        <f xml:space="preserve"> _xlfn.TEXTJOIN( "", , data_scaledImpacts[[#This Row],[sector]:[impactType]] )</f>
        <v>RailCanESM26Reactive</v>
      </c>
      <c r="C1316" s="33" t="s">
        <v>209</v>
      </c>
      <c r="D1316" s="33" t="s">
        <v>0</v>
      </c>
      <c r="E1316" s="34">
        <v>6</v>
      </c>
      <c r="F1316" s="34"/>
      <c r="G1316" s="34" t="s">
        <v>88</v>
      </c>
      <c r="H1316" s="35"/>
      <c r="I1316" s="43" t="s">
        <v>545</v>
      </c>
      <c r="J1316" s="36">
        <v>18368.598538049551</v>
      </c>
      <c r="K1316" s="36">
        <v>9233.8144485167777</v>
      </c>
      <c r="L1316" s="37">
        <v>92981.518165714835</v>
      </c>
      <c r="M1316" s="36">
        <v>59871.818842894303</v>
      </c>
      <c r="N1316" s="36">
        <v>7331.193077980156</v>
      </c>
      <c r="O1316" s="36">
        <v>31323.872304617431</v>
      </c>
      <c r="P1316">
        <v>143062.67580866016</v>
      </c>
    </row>
    <row r="1317" spans="1:16" hidden="1" x14ac:dyDescent="0.35">
      <c r="A1317" s="3">
        <f xml:space="preserve"> ROW( data_scaledImpacts[[#This Row],[row_id]] ) - ROW( data_scaledImpacts[[#Headers],[row_id]] )</f>
        <v>1316</v>
      </c>
      <c r="B1317" s="41" t="str">
        <f xml:space="preserve"> _xlfn.TEXTJOIN( "", , data_scaledImpacts[[#This Row],[sector]:[impactType]] )</f>
        <v>RailCCSM46Reactive</v>
      </c>
      <c r="C1317" s="33" t="s">
        <v>209</v>
      </c>
      <c r="D1317" s="33" t="s">
        <v>1</v>
      </c>
      <c r="E1317" s="34">
        <v>6</v>
      </c>
      <c r="F1317" s="34"/>
      <c r="G1317" s="34" t="s">
        <v>88</v>
      </c>
      <c r="H1317" s="35"/>
      <c r="I1317" s="43" t="s">
        <v>546</v>
      </c>
      <c r="J1317" s="36"/>
      <c r="K1317" s="36"/>
      <c r="L1317" s="37"/>
      <c r="M1317" s="36"/>
      <c r="N1317" s="36"/>
      <c r="O1317" s="36"/>
    </row>
    <row r="1318" spans="1:16" hidden="1" x14ac:dyDescent="0.35">
      <c r="A1318" s="3">
        <f xml:space="preserve"> ROW( data_scaledImpacts[[#This Row],[row_id]] ) - ROW( data_scaledImpacts[[#Headers],[row_id]] )</f>
        <v>1317</v>
      </c>
      <c r="B1318" s="41" t="str">
        <f xml:space="preserve"> _xlfn.TEXTJOIN( "", , data_scaledImpacts[[#This Row],[sector]:[impactType]] )</f>
        <v>RailGISS-E2-R6Reactive</v>
      </c>
      <c r="C1318" s="33" t="s">
        <v>209</v>
      </c>
      <c r="D1318" s="33" t="s">
        <v>2</v>
      </c>
      <c r="E1318" s="34">
        <v>6</v>
      </c>
      <c r="F1318" s="34"/>
      <c r="G1318" s="34" t="s">
        <v>88</v>
      </c>
      <c r="H1318" s="35"/>
      <c r="I1318" s="43" t="s">
        <v>547</v>
      </c>
      <c r="J1318" s="36"/>
      <c r="K1318" s="36"/>
      <c r="L1318" s="37"/>
      <c r="M1318" s="36"/>
      <c r="N1318" s="36"/>
      <c r="O1318" s="36"/>
    </row>
    <row r="1319" spans="1:16" hidden="1" x14ac:dyDescent="0.35">
      <c r="A1319" s="3">
        <f xml:space="preserve"> ROW( data_scaledImpacts[[#This Row],[row_id]] ) - ROW( data_scaledImpacts[[#Headers],[row_id]] )</f>
        <v>1318</v>
      </c>
      <c r="B1319" s="41" t="str">
        <f xml:space="preserve"> _xlfn.TEXTJOIN( "", , data_scaledImpacts[[#This Row],[sector]:[impactType]] )</f>
        <v>RailHadGEM2-ES6Reactive</v>
      </c>
      <c r="C1319" s="33" t="s">
        <v>209</v>
      </c>
      <c r="D1319" s="33" t="s">
        <v>3</v>
      </c>
      <c r="E1319" s="34">
        <v>6</v>
      </c>
      <c r="F1319" s="34"/>
      <c r="G1319" s="34" t="s">
        <v>88</v>
      </c>
      <c r="H1319" s="35"/>
      <c r="I1319" s="43" t="s">
        <v>548</v>
      </c>
      <c r="J1319" s="36">
        <v>166695.80101459494</v>
      </c>
      <c r="K1319" s="36">
        <v>159039.12652838955</v>
      </c>
      <c r="L1319" s="37">
        <v>198871.67520444543</v>
      </c>
      <c r="M1319" s="36">
        <v>132256.69517395005</v>
      </c>
      <c r="N1319" s="36">
        <v>114129.961970919</v>
      </c>
      <c r="O1319" s="36">
        <v>51476.970618559004</v>
      </c>
      <c r="P1319">
        <v>90755.557037406514</v>
      </c>
    </row>
    <row r="1320" spans="1:16" hidden="1" x14ac:dyDescent="0.35">
      <c r="A1320" s="3">
        <f xml:space="preserve"> ROW( data_scaledImpacts[[#This Row],[row_id]] ) - ROW( data_scaledImpacts[[#Headers],[row_id]] )</f>
        <v>1319</v>
      </c>
      <c r="B1320" s="41" t="str">
        <f xml:space="preserve"> _xlfn.TEXTJOIN( "", , data_scaledImpacts[[#This Row],[sector]:[impactType]] )</f>
        <v>RailMIROC56Reactive</v>
      </c>
      <c r="C1320" s="33" t="s">
        <v>209</v>
      </c>
      <c r="D1320" s="33" t="s">
        <v>4</v>
      </c>
      <c r="E1320" s="34">
        <v>6</v>
      </c>
      <c r="F1320" s="34"/>
      <c r="G1320" s="34" t="s">
        <v>88</v>
      </c>
      <c r="H1320" s="35"/>
      <c r="I1320" s="43" t="s">
        <v>549</v>
      </c>
      <c r="J1320" s="36"/>
      <c r="K1320" s="36"/>
      <c r="L1320" s="37"/>
      <c r="M1320" s="36"/>
      <c r="N1320" s="36"/>
      <c r="O1320" s="36"/>
    </row>
    <row r="1321" spans="1:16" hidden="1" x14ac:dyDescent="0.35">
      <c r="A1321" s="3">
        <f xml:space="preserve"> ROW( data_scaledImpacts[[#This Row],[row_id]] ) - ROW( data_scaledImpacts[[#Headers],[row_id]] )</f>
        <v>1320</v>
      </c>
      <c r="B1321" s="41" t="str">
        <f xml:space="preserve"> _xlfn.TEXTJOIN( "", , data_scaledImpacts[[#This Row],[sector]:[impactType]] )</f>
        <v>RailGFDL-CM36Reactive</v>
      </c>
      <c r="C1321" s="33" t="s">
        <v>209</v>
      </c>
      <c r="D1321" s="33" t="s">
        <v>5</v>
      </c>
      <c r="E1321" s="34">
        <v>6</v>
      </c>
      <c r="F1321" s="34"/>
      <c r="G1321" s="34" t="s">
        <v>88</v>
      </c>
      <c r="H1321" s="35"/>
      <c r="I1321" s="43" t="s">
        <v>550</v>
      </c>
      <c r="J1321" s="36">
        <v>154918.66142377225</v>
      </c>
      <c r="K1321" s="36">
        <v>25939.504123929546</v>
      </c>
      <c r="L1321" s="37">
        <v>781287.45088133833</v>
      </c>
      <c r="M1321" s="36">
        <v>90074.576551007383</v>
      </c>
      <c r="N1321" s="36">
        <v>28008.034392537596</v>
      </c>
      <c r="O1321" s="36">
        <v>611459.41984386893</v>
      </c>
      <c r="P1321">
        <v>468858.97878298693</v>
      </c>
    </row>
    <row r="1322" spans="1:16" hidden="1" x14ac:dyDescent="0.35">
      <c r="A1322" s="3">
        <f xml:space="preserve"> ROW( data_scaledImpacts[[#This Row],[row_id]] ) - ROW( data_scaledImpacts[[#Headers],[row_id]] )</f>
        <v>1321</v>
      </c>
      <c r="B1322" s="41" t="str">
        <f xml:space="preserve"> _xlfn.TEXTJOIN( "", , data_scaledImpacts[[#This Row],[sector]:[impactType]] )</f>
        <v>RailGCM Average6Reactive</v>
      </c>
      <c r="C1322" s="33" t="s">
        <v>209</v>
      </c>
      <c r="D1322" s="33" t="s">
        <v>15</v>
      </c>
      <c r="E1322" s="34">
        <v>6</v>
      </c>
      <c r="F1322" s="34"/>
      <c r="G1322" s="34" t="s">
        <v>88</v>
      </c>
      <c r="H1322" s="35"/>
      <c r="I1322" s="43" t="s">
        <v>551</v>
      </c>
      <c r="J1322" s="36">
        <v>113327.68699213892</v>
      </c>
      <c r="K1322" s="36">
        <v>64737.481700278622</v>
      </c>
      <c r="L1322" s="37">
        <v>357713.54808383289</v>
      </c>
      <c r="M1322" s="36">
        <v>94067.696855950577</v>
      </c>
      <c r="N1322" s="36">
        <v>49823.063147145585</v>
      </c>
      <c r="O1322" s="36">
        <v>231420.08758901514</v>
      </c>
      <c r="P1322">
        <v>234225.73720968454</v>
      </c>
    </row>
    <row r="1323" spans="1:16" hidden="1" x14ac:dyDescent="0.35">
      <c r="A1323" s="3">
        <f xml:space="preserve"> ROW( data_scaledImpacts[[#This Row],[row_id]] ) - ROW( data_scaledImpacts[[#Headers],[row_id]] )</f>
        <v>1322</v>
      </c>
      <c r="B1323" s="41" t="str">
        <f xml:space="preserve"> _xlfn.TEXTJOIN( "", , data_scaledImpacts[[#This Row],[sector]:[impactType]] )</f>
        <v>RailCanESM27Reactive</v>
      </c>
      <c r="C1323" s="33" t="s">
        <v>209</v>
      </c>
      <c r="D1323" s="33" t="s">
        <v>0</v>
      </c>
      <c r="E1323" s="34">
        <v>7</v>
      </c>
      <c r="F1323" s="34"/>
      <c r="G1323" s="34" t="s">
        <v>88</v>
      </c>
      <c r="H1323" s="35"/>
      <c r="I1323" s="43" t="s">
        <v>552</v>
      </c>
      <c r="J1323" s="36"/>
      <c r="K1323" s="36"/>
      <c r="L1323" s="37"/>
      <c r="M1323" s="36"/>
      <c r="N1323" s="36"/>
      <c r="O1323" s="36"/>
    </row>
    <row r="1324" spans="1:16" hidden="1" x14ac:dyDescent="0.35">
      <c r="A1324" s="3">
        <f xml:space="preserve"> ROW( data_scaledImpacts[[#This Row],[row_id]] ) - ROW( data_scaledImpacts[[#Headers],[row_id]] )</f>
        <v>1323</v>
      </c>
      <c r="B1324" s="41" t="str">
        <f xml:space="preserve"> _xlfn.TEXTJOIN( "", , data_scaledImpacts[[#This Row],[sector]:[impactType]] )</f>
        <v>RailCCSM47Reactive</v>
      </c>
      <c r="C1324" s="33" t="s">
        <v>209</v>
      </c>
      <c r="D1324" s="33" t="s">
        <v>1</v>
      </c>
      <c r="E1324" s="34">
        <v>7</v>
      </c>
      <c r="F1324" s="34"/>
      <c r="G1324" s="34" t="s">
        <v>88</v>
      </c>
      <c r="H1324" s="35"/>
      <c r="I1324" s="43" t="s">
        <v>553</v>
      </c>
      <c r="J1324" s="36"/>
      <c r="K1324" s="36"/>
      <c r="L1324" s="37"/>
      <c r="M1324" s="36"/>
      <c r="N1324" s="36"/>
      <c r="O1324" s="36"/>
    </row>
    <row r="1325" spans="1:16" hidden="1" x14ac:dyDescent="0.35">
      <c r="A1325" s="3">
        <f xml:space="preserve"> ROW( data_scaledImpacts[[#This Row],[row_id]] ) - ROW( data_scaledImpacts[[#Headers],[row_id]] )</f>
        <v>1324</v>
      </c>
      <c r="B1325" s="41" t="str">
        <f xml:space="preserve"> _xlfn.TEXTJOIN( "", , data_scaledImpacts[[#This Row],[sector]:[impactType]] )</f>
        <v>RailGISS-E2-R7Reactive</v>
      </c>
      <c r="C1325" s="33" t="s">
        <v>209</v>
      </c>
      <c r="D1325" s="33" t="s">
        <v>2</v>
      </c>
      <c r="E1325" s="34">
        <v>7</v>
      </c>
      <c r="F1325" s="34"/>
      <c r="G1325" s="34" t="s">
        <v>88</v>
      </c>
      <c r="H1325" s="35"/>
      <c r="I1325" s="43" t="s">
        <v>554</v>
      </c>
      <c r="J1325" s="36"/>
      <c r="K1325" s="36"/>
      <c r="L1325" s="37"/>
      <c r="M1325" s="36"/>
      <c r="N1325" s="36"/>
      <c r="O1325" s="36"/>
    </row>
    <row r="1326" spans="1:16" hidden="1" x14ac:dyDescent="0.35">
      <c r="A1326" s="3">
        <f xml:space="preserve"> ROW( data_scaledImpacts[[#This Row],[row_id]] ) - ROW( data_scaledImpacts[[#Headers],[row_id]] )</f>
        <v>1325</v>
      </c>
      <c r="B1326" s="41" t="str">
        <f xml:space="preserve"> _xlfn.TEXTJOIN( "", , data_scaledImpacts[[#This Row],[sector]:[impactType]] )</f>
        <v>RailHadGEM2-ES7Reactive</v>
      </c>
      <c r="C1326" s="33" t="s">
        <v>209</v>
      </c>
      <c r="D1326" s="33" t="s">
        <v>3</v>
      </c>
      <c r="E1326" s="34">
        <v>7</v>
      </c>
      <c r="F1326" s="34"/>
      <c r="G1326" s="34" t="s">
        <v>88</v>
      </c>
      <c r="H1326" s="35"/>
      <c r="I1326" s="43" t="s">
        <v>555</v>
      </c>
      <c r="J1326" s="36"/>
      <c r="K1326" s="36"/>
      <c r="L1326" s="37"/>
      <c r="M1326" s="36"/>
      <c r="N1326" s="36"/>
      <c r="O1326" s="36"/>
    </row>
    <row r="1327" spans="1:16" hidden="1" x14ac:dyDescent="0.35">
      <c r="A1327" s="3">
        <f xml:space="preserve"> ROW( data_scaledImpacts[[#This Row],[row_id]] ) - ROW( data_scaledImpacts[[#Headers],[row_id]] )</f>
        <v>1326</v>
      </c>
      <c r="B1327" s="41" t="str">
        <f xml:space="preserve"> _xlfn.TEXTJOIN( "", , data_scaledImpacts[[#This Row],[sector]:[impactType]] )</f>
        <v>RailMIROC57Reactive</v>
      </c>
      <c r="C1327" s="33" t="s">
        <v>209</v>
      </c>
      <c r="D1327" s="33" t="s">
        <v>4</v>
      </c>
      <c r="E1327" s="34">
        <v>7</v>
      </c>
      <c r="F1327" s="34"/>
      <c r="G1327" s="34" t="s">
        <v>88</v>
      </c>
      <c r="H1327" s="35"/>
      <c r="I1327" s="43" t="s">
        <v>556</v>
      </c>
      <c r="J1327" s="36"/>
      <c r="K1327" s="36"/>
      <c r="L1327" s="37"/>
      <c r="M1327" s="36"/>
      <c r="N1327" s="36"/>
      <c r="O1327" s="36"/>
    </row>
    <row r="1328" spans="1:16" hidden="1" x14ac:dyDescent="0.35">
      <c r="A1328" s="3">
        <f xml:space="preserve"> ROW( data_scaledImpacts[[#This Row],[row_id]] ) - ROW( data_scaledImpacts[[#Headers],[row_id]] )</f>
        <v>1327</v>
      </c>
      <c r="B1328" s="41" t="str">
        <f xml:space="preserve"> _xlfn.TEXTJOIN( "", , data_scaledImpacts[[#This Row],[sector]:[impactType]] )</f>
        <v>RailGFDL-CM37Reactive</v>
      </c>
      <c r="C1328" s="33" t="s">
        <v>209</v>
      </c>
      <c r="D1328" s="33" t="s">
        <v>5</v>
      </c>
      <c r="E1328" s="34">
        <v>7</v>
      </c>
      <c r="F1328" s="34"/>
      <c r="G1328" s="34" t="s">
        <v>88</v>
      </c>
      <c r="H1328" s="35"/>
      <c r="I1328" s="43" t="s">
        <v>557</v>
      </c>
      <c r="J1328" s="36"/>
      <c r="K1328" s="36"/>
      <c r="L1328" s="37"/>
      <c r="M1328" s="36"/>
      <c r="N1328" s="36"/>
      <c r="O1328" s="36"/>
    </row>
    <row r="1329" spans="1:16" hidden="1" x14ac:dyDescent="0.35">
      <c r="A1329" s="3">
        <f xml:space="preserve"> ROW( data_scaledImpacts[[#This Row],[row_id]] ) - ROW( data_scaledImpacts[[#Headers],[row_id]] )</f>
        <v>1328</v>
      </c>
      <c r="B1329" s="41" t="str">
        <f xml:space="preserve"> _xlfn.TEXTJOIN( "", , data_scaledImpacts[[#This Row],[sector]:[impactType]] )</f>
        <v>RailGCM Average7Reactive</v>
      </c>
      <c r="C1329" s="33" t="s">
        <v>209</v>
      </c>
      <c r="D1329" s="33" t="s">
        <v>15</v>
      </c>
      <c r="E1329" s="34">
        <v>7</v>
      </c>
      <c r="F1329" s="34"/>
      <c r="G1329" s="34" t="s">
        <v>88</v>
      </c>
      <c r="H1329" s="35"/>
      <c r="I1329" s="43" t="s">
        <v>558</v>
      </c>
      <c r="J1329" s="36" t="s">
        <v>26</v>
      </c>
      <c r="K1329" s="36" t="s">
        <v>26</v>
      </c>
      <c r="L1329" s="37" t="s">
        <v>26</v>
      </c>
      <c r="M1329" s="36" t="s">
        <v>26</v>
      </c>
      <c r="N1329" s="36" t="s">
        <v>26</v>
      </c>
      <c r="O1329" s="36"/>
      <c r="P1329" t="s">
        <v>26</v>
      </c>
    </row>
    <row r="1330" spans="1:16" hidden="1" x14ac:dyDescent="0.35">
      <c r="A1330" s="3">
        <f xml:space="preserve"> ROW( data_scaledImpacts[[#This Row],[row_id]] ) - ROW( data_scaledImpacts[[#Headers],[row_id]] )</f>
        <v>1329</v>
      </c>
      <c r="B1330" s="41" t="str">
        <f xml:space="preserve"> _xlfn.TEXTJOIN( "", , data_scaledImpacts[[#This Row],[sector]:[impactType]] )</f>
        <v/>
      </c>
      <c r="C1330" s="33"/>
      <c r="D1330" s="33"/>
      <c r="E1330" s="34"/>
      <c r="F1330" s="34"/>
      <c r="G1330" s="34"/>
      <c r="H1330" s="35"/>
      <c r="I1330" s="43"/>
      <c r="J1330" s="36"/>
      <c r="K1330" s="36"/>
      <c r="L1330" s="37"/>
      <c r="M1330" s="36"/>
      <c r="N1330" s="36"/>
      <c r="O1330" s="36"/>
    </row>
    <row r="1331" spans="1:16" x14ac:dyDescent="0.35">
      <c r="A1331" s="3">
        <f xml:space="preserve"> ROW( data_scaledImpacts[[#This Row],[row_id]] ) - ROW( data_scaledImpacts[[#Headers],[row_id]] )</f>
        <v>1330</v>
      </c>
      <c r="B1331" s="41" t="str">
        <f xml:space="preserve"> _xlfn.TEXTJOIN( "", , data_scaledImpacts[[#This Row],[sector]:[impactType]] )</f>
        <v>RoadsCanESM21NoAdapt</v>
      </c>
      <c r="C1331" s="33" t="s">
        <v>216</v>
      </c>
      <c r="D1331" s="33" t="s">
        <v>0</v>
      </c>
      <c r="E1331" s="34">
        <v>1</v>
      </c>
      <c r="F1331" s="34"/>
      <c r="G1331" s="34" t="s">
        <v>87</v>
      </c>
      <c r="H1331" s="35"/>
      <c r="I1331" s="43" t="s">
        <v>35</v>
      </c>
      <c r="J1331" s="36">
        <v>-382.67337510280026</v>
      </c>
      <c r="K1331" s="36">
        <v>577.43760643936764</v>
      </c>
      <c r="L1331" s="37">
        <v>-13.736352522236846</v>
      </c>
      <c r="M1331" s="36">
        <v>312.84940348713195</v>
      </c>
      <c r="N1331" s="36">
        <v>112.98144704491115</v>
      </c>
      <c r="O1331" s="36">
        <v>337.13476257079475</v>
      </c>
      <c r="P1331">
        <v>-1328.3988219316918</v>
      </c>
    </row>
    <row r="1332" spans="1:16" x14ac:dyDescent="0.35">
      <c r="A1332" s="3">
        <f xml:space="preserve"> ROW( data_scaledImpacts[[#This Row],[row_id]] ) - ROW( data_scaledImpacts[[#Headers],[row_id]] )</f>
        <v>1331</v>
      </c>
      <c r="B1332" s="41" t="str">
        <f xml:space="preserve"> _xlfn.TEXTJOIN( "", , data_scaledImpacts[[#This Row],[sector]:[impactType]] )</f>
        <v>RoadsCCSM41NoAdapt</v>
      </c>
      <c r="C1332" s="33" t="s">
        <v>216</v>
      </c>
      <c r="D1332" s="33" t="s">
        <v>1</v>
      </c>
      <c r="E1332" s="34">
        <v>1</v>
      </c>
      <c r="F1332" s="34"/>
      <c r="G1332" s="34" t="s">
        <v>87</v>
      </c>
      <c r="H1332" s="35"/>
      <c r="I1332" s="43" t="s">
        <v>36</v>
      </c>
      <c r="J1332" s="36">
        <v>194.46686337404941</v>
      </c>
      <c r="K1332" s="36">
        <v>312.69797771653202</v>
      </c>
      <c r="L1332" s="37">
        <v>266.33166643070388</v>
      </c>
      <c r="M1332" s="36">
        <v>814.45431355767994</v>
      </c>
      <c r="N1332" s="36">
        <v>39.515233594390978</v>
      </c>
      <c r="O1332" s="36">
        <v>731.68396733865052</v>
      </c>
      <c r="P1332">
        <v>-1288.0908840694628</v>
      </c>
    </row>
    <row r="1333" spans="1:16" x14ac:dyDescent="0.35">
      <c r="A1333" s="3">
        <f xml:space="preserve"> ROW( data_scaledImpacts[[#This Row],[row_id]] ) - ROW( data_scaledImpacts[[#Headers],[row_id]] )</f>
        <v>1332</v>
      </c>
      <c r="B1333" s="41" t="str">
        <f xml:space="preserve"> _xlfn.TEXTJOIN( "", , data_scaledImpacts[[#This Row],[sector]:[impactType]] )</f>
        <v>RoadsGISS-E2-R1NoAdapt</v>
      </c>
      <c r="C1333" s="33" t="s">
        <v>216</v>
      </c>
      <c r="D1333" s="33" t="s">
        <v>2</v>
      </c>
      <c r="E1333" s="34">
        <v>1</v>
      </c>
      <c r="F1333" s="34"/>
      <c r="G1333" s="34" t="s">
        <v>87</v>
      </c>
      <c r="H1333" s="35"/>
      <c r="I1333" s="43" t="s">
        <v>37</v>
      </c>
      <c r="J1333" s="36">
        <v>-132.36940750980546</v>
      </c>
      <c r="K1333" s="36">
        <v>-81.28831848573104</v>
      </c>
      <c r="L1333" s="37">
        <v>-20.379201422140458</v>
      </c>
      <c r="M1333" s="36">
        <v>8312.6864603542126</v>
      </c>
      <c r="N1333" s="36">
        <v>-842.82458917810868</v>
      </c>
      <c r="O1333" s="36">
        <v>-454.9295252274926</v>
      </c>
      <c r="P1333">
        <v>630.94673183723614</v>
      </c>
    </row>
    <row r="1334" spans="1:16" x14ac:dyDescent="0.35">
      <c r="A1334" s="3">
        <f xml:space="preserve"> ROW( data_scaledImpacts[[#This Row],[row_id]] ) - ROW( data_scaledImpacts[[#Headers],[row_id]] )</f>
        <v>1333</v>
      </c>
      <c r="B1334" s="41" t="str">
        <f xml:space="preserve"> _xlfn.TEXTJOIN( "", , data_scaledImpacts[[#This Row],[sector]:[impactType]] )</f>
        <v>RoadsHadGEM2-ES1NoAdapt</v>
      </c>
      <c r="C1334" s="33" t="s">
        <v>216</v>
      </c>
      <c r="D1334" s="33" t="s">
        <v>3</v>
      </c>
      <c r="E1334" s="34">
        <v>1</v>
      </c>
      <c r="F1334" s="34"/>
      <c r="G1334" s="34" t="s">
        <v>87</v>
      </c>
      <c r="H1334" s="35"/>
      <c r="I1334" s="43" t="s">
        <v>38</v>
      </c>
      <c r="J1334" s="36">
        <v>6332.9745499057099</v>
      </c>
      <c r="K1334" s="36">
        <v>19465.793276224314</v>
      </c>
      <c r="L1334" s="37">
        <v>-9.4794374357267657</v>
      </c>
      <c r="M1334" s="36">
        <v>1245.2910702174288</v>
      </c>
      <c r="N1334" s="36">
        <v>19292.655515056824</v>
      </c>
      <c r="O1334" s="36">
        <v>1137.6367629469155</v>
      </c>
      <c r="P1334">
        <v>2249.5436149973052</v>
      </c>
    </row>
    <row r="1335" spans="1:16" x14ac:dyDescent="0.35">
      <c r="A1335" s="3">
        <f xml:space="preserve"> ROW( data_scaledImpacts[[#This Row],[row_id]] ) - ROW( data_scaledImpacts[[#Headers],[row_id]] )</f>
        <v>1334</v>
      </c>
      <c r="B1335" s="41" t="str">
        <f xml:space="preserve"> _xlfn.TEXTJOIN( "", , data_scaledImpacts[[#This Row],[sector]:[impactType]] )</f>
        <v>RoadsMIROC51NoAdapt</v>
      </c>
      <c r="C1335" s="33" t="s">
        <v>216</v>
      </c>
      <c r="D1335" s="33" t="s">
        <v>4</v>
      </c>
      <c r="E1335" s="34">
        <v>1</v>
      </c>
      <c r="F1335" s="34"/>
      <c r="G1335" s="34" t="s">
        <v>87</v>
      </c>
      <c r="H1335" s="35"/>
      <c r="I1335" s="43" t="s">
        <v>39</v>
      </c>
      <c r="J1335" s="36">
        <v>-349.20275816510832</v>
      </c>
      <c r="K1335" s="36">
        <v>109.90766013061892</v>
      </c>
      <c r="L1335" s="37">
        <v>-124.06780423614323</v>
      </c>
      <c r="M1335" s="36">
        <v>8582.3924821961882</v>
      </c>
      <c r="N1335" s="36">
        <v>812.79055279881061</v>
      </c>
      <c r="O1335" s="36">
        <v>1368.5916356655748</v>
      </c>
      <c r="P1335">
        <v>-2498.7066778949043</v>
      </c>
    </row>
    <row r="1336" spans="1:16" x14ac:dyDescent="0.35">
      <c r="A1336" s="3">
        <f xml:space="preserve"> ROW( data_scaledImpacts[[#This Row],[row_id]] ) - ROW( data_scaledImpacts[[#Headers],[row_id]] )</f>
        <v>1335</v>
      </c>
      <c r="B1336" s="41" t="str">
        <f xml:space="preserve"> _xlfn.TEXTJOIN( "", , data_scaledImpacts[[#This Row],[sector]:[impactType]] )</f>
        <v>RoadsGFDL-CM31NoAdapt</v>
      </c>
      <c r="C1336" s="33" t="s">
        <v>216</v>
      </c>
      <c r="D1336" s="33" t="s">
        <v>5</v>
      </c>
      <c r="E1336" s="34">
        <v>1</v>
      </c>
      <c r="F1336" s="34"/>
      <c r="G1336" s="34" t="s">
        <v>87</v>
      </c>
      <c r="H1336" s="35"/>
      <c r="I1336" s="43" t="s">
        <v>40</v>
      </c>
      <c r="J1336" s="36">
        <v>-175.8406498360998</v>
      </c>
      <c r="K1336" s="36">
        <v>976.14131966230275</v>
      </c>
      <c r="L1336" s="37">
        <v>-141.05863798197879</v>
      </c>
      <c r="M1336" s="36">
        <v>357.90631382541625</v>
      </c>
      <c r="N1336" s="36">
        <v>378.45312570613555</v>
      </c>
      <c r="O1336" s="36">
        <v>1392.0554428986864</v>
      </c>
      <c r="P1336">
        <v>-1192.3619175925403</v>
      </c>
    </row>
    <row r="1337" spans="1:16" x14ac:dyDescent="0.35">
      <c r="A1337" s="3">
        <f xml:space="preserve"> ROW( data_scaledImpacts[[#This Row],[row_id]] ) - ROW( data_scaledImpacts[[#Headers],[row_id]] )</f>
        <v>1336</v>
      </c>
      <c r="B1337" s="41" t="str">
        <f xml:space="preserve"> _xlfn.TEXTJOIN( "", , data_scaledImpacts[[#This Row],[sector]:[impactType]] )</f>
        <v>RoadsGCM Average1NoAdapt</v>
      </c>
      <c r="C1337" s="33" t="s">
        <v>216</v>
      </c>
      <c r="D1337" s="33" t="s">
        <v>15</v>
      </c>
      <c r="E1337" s="34">
        <v>1</v>
      </c>
      <c r="F1337" s="34"/>
      <c r="G1337" s="34" t="s">
        <v>87</v>
      </c>
      <c r="H1337" s="35"/>
      <c r="I1337" s="43" t="s">
        <v>41</v>
      </c>
      <c r="J1337" s="36">
        <v>914.55920377765744</v>
      </c>
      <c r="K1337" s="36">
        <v>3560.1149202812339</v>
      </c>
      <c r="L1337" s="37">
        <v>-7.0649611945870348</v>
      </c>
      <c r="M1337" s="36">
        <v>3270.9300072730093</v>
      </c>
      <c r="N1337" s="36">
        <v>3298.9285475038273</v>
      </c>
      <c r="O1337" s="36">
        <v>752.02884103218821</v>
      </c>
      <c r="P1337">
        <v>-571.177992442343</v>
      </c>
    </row>
    <row r="1338" spans="1:16" x14ac:dyDescent="0.35">
      <c r="A1338" s="3">
        <f xml:space="preserve"> ROW( data_scaledImpacts[[#This Row],[row_id]] ) - ROW( data_scaledImpacts[[#Headers],[row_id]] )</f>
        <v>1337</v>
      </c>
      <c r="B1338" s="41" t="str">
        <f xml:space="preserve"> _xlfn.TEXTJOIN( "", , data_scaledImpacts[[#This Row],[sector]:[impactType]] )</f>
        <v>RoadsCanESM22NoAdapt</v>
      </c>
      <c r="C1338" s="33" t="s">
        <v>216</v>
      </c>
      <c r="D1338" s="33" t="s">
        <v>0</v>
      </c>
      <c r="E1338" s="34">
        <v>2</v>
      </c>
      <c r="F1338" s="34"/>
      <c r="G1338" s="34" t="s">
        <v>87</v>
      </c>
      <c r="H1338" s="35"/>
      <c r="I1338" s="43" t="s">
        <v>42</v>
      </c>
      <c r="J1338" s="36">
        <v>1629.3299497810995</v>
      </c>
      <c r="K1338" s="36">
        <v>1909.2580387003056</v>
      </c>
      <c r="L1338" s="37">
        <v>406.96178042060677</v>
      </c>
      <c r="M1338" s="36">
        <v>5743.6294016348302</v>
      </c>
      <c r="N1338" s="36">
        <v>209.71755443719061</v>
      </c>
      <c r="O1338" s="36">
        <v>1021.3085809922397</v>
      </c>
      <c r="P1338">
        <v>5111.0508819127454</v>
      </c>
    </row>
    <row r="1339" spans="1:16" x14ac:dyDescent="0.35">
      <c r="A1339" s="3">
        <f xml:space="preserve"> ROW( data_scaledImpacts[[#This Row],[row_id]] ) - ROW( data_scaledImpacts[[#Headers],[row_id]] )</f>
        <v>1338</v>
      </c>
      <c r="B1339" s="41" t="str">
        <f xml:space="preserve"> _xlfn.TEXTJOIN( "", , data_scaledImpacts[[#This Row],[sector]:[impactType]] )</f>
        <v>RoadsCCSM42NoAdapt</v>
      </c>
      <c r="C1339" s="33" t="s">
        <v>216</v>
      </c>
      <c r="D1339" s="33" t="s">
        <v>1</v>
      </c>
      <c r="E1339" s="34">
        <v>2</v>
      </c>
      <c r="F1339" s="34"/>
      <c r="G1339" s="34" t="s">
        <v>87</v>
      </c>
      <c r="H1339" s="35"/>
      <c r="I1339" s="43" t="s">
        <v>43</v>
      </c>
      <c r="J1339" s="36">
        <v>19549.599244130281</v>
      </c>
      <c r="K1339" s="36">
        <v>20300.524333430112</v>
      </c>
      <c r="L1339" s="37">
        <v>1251.3269212343885</v>
      </c>
      <c r="M1339" s="36">
        <v>9708.3663185781061</v>
      </c>
      <c r="N1339" s="36">
        <v>11238.359236659166</v>
      </c>
      <c r="O1339" s="36">
        <v>4082.7551924695385</v>
      </c>
      <c r="P1339">
        <v>5473.2504650776027</v>
      </c>
    </row>
    <row r="1340" spans="1:16" x14ac:dyDescent="0.35">
      <c r="A1340" s="3">
        <f xml:space="preserve"> ROW( data_scaledImpacts[[#This Row],[row_id]] ) - ROW( data_scaledImpacts[[#Headers],[row_id]] )</f>
        <v>1339</v>
      </c>
      <c r="B1340" s="41" t="str">
        <f xml:space="preserve"> _xlfn.TEXTJOIN( "", , data_scaledImpacts[[#This Row],[sector]:[impactType]] )</f>
        <v>RoadsGISS-E2-R2NoAdapt</v>
      </c>
      <c r="C1340" s="33" t="s">
        <v>216</v>
      </c>
      <c r="D1340" s="33" t="s">
        <v>2</v>
      </c>
      <c r="E1340" s="34">
        <v>2</v>
      </c>
      <c r="F1340" s="34"/>
      <c r="G1340" s="34" t="s">
        <v>87</v>
      </c>
      <c r="H1340" s="35"/>
      <c r="I1340" s="43" t="s">
        <v>44</v>
      </c>
      <c r="J1340" s="36">
        <v>-212.70568373266542</v>
      </c>
      <c r="K1340" s="36">
        <v>1333.1957457836443</v>
      </c>
      <c r="L1340" s="37">
        <v>1580.9083521970151</v>
      </c>
      <c r="M1340" s="36">
        <v>18587.748743553875</v>
      </c>
      <c r="N1340" s="36">
        <v>-305.73595542595211</v>
      </c>
      <c r="O1340" s="36">
        <v>837.72478476894207</v>
      </c>
      <c r="P1340">
        <v>9178.0067327245088</v>
      </c>
    </row>
    <row r="1341" spans="1:16" x14ac:dyDescent="0.35">
      <c r="A1341" s="3">
        <f xml:space="preserve"> ROW( data_scaledImpacts[[#This Row],[row_id]] ) - ROW( data_scaledImpacts[[#Headers],[row_id]] )</f>
        <v>1340</v>
      </c>
      <c r="B1341" s="41" t="str">
        <f xml:space="preserve"> _xlfn.TEXTJOIN( "", , data_scaledImpacts[[#This Row],[sector]:[impactType]] )</f>
        <v>RoadsHadGEM2-ES2NoAdapt</v>
      </c>
      <c r="C1341" s="33" t="s">
        <v>216</v>
      </c>
      <c r="D1341" s="33" t="s">
        <v>3</v>
      </c>
      <c r="E1341" s="34">
        <v>2</v>
      </c>
      <c r="F1341" s="34"/>
      <c r="G1341" s="34" t="s">
        <v>87</v>
      </c>
      <c r="H1341" s="35"/>
      <c r="I1341" s="43" t="s">
        <v>45</v>
      </c>
      <c r="J1341" s="36">
        <v>20828.973960869851</v>
      </c>
      <c r="K1341" s="36">
        <v>39727.842323027508</v>
      </c>
      <c r="L1341" s="37">
        <v>884.98104332834339</v>
      </c>
      <c r="M1341" s="36">
        <v>13500.711455367093</v>
      </c>
      <c r="N1341" s="36">
        <v>36323.039625485537</v>
      </c>
      <c r="O1341" s="36">
        <v>6962.1430845602181</v>
      </c>
      <c r="P1341">
        <v>28855.918710768958</v>
      </c>
    </row>
    <row r="1342" spans="1:16" x14ac:dyDescent="0.35">
      <c r="A1342" s="3">
        <f xml:space="preserve"> ROW( data_scaledImpacts[[#This Row],[row_id]] ) - ROW( data_scaledImpacts[[#Headers],[row_id]] )</f>
        <v>1341</v>
      </c>
      <c r="B1342" s="41" t="str">
        <f xml:space="preserve"> _xlfn.TEXTJOIN( "", , data_scaledImpacts[[#This Row],[sector]:[impactType]] )</f>
        <v>RoadsMIROC52NoAdapt</v>
      </c>
      <c r="C1342" s="33" t="s">
        <v>216</v>
      </c>
      <c r="D1342" s="33" t="s">
        <v>4</v>
      </c>
      <c r="E1342" s="34">
        <v>2</v>
      </c>
      <c r="F1342" s="34"/>
      <c r="G1342" s="34" t="s">
        <v>87</v>
      </c>
      <c r="H1342" s="35"/>
      <c r="I1342" s="43" t="s">
        <v>46</v>
      </c>
      <c r="J1342" s="36">
        <v>1680.8988504670267</v>
      </c>
      <c r="K1342" s="36">
        <v>1066.4248439803819</v>
      </c>
      <c r="L1342" s="37">
        <v>132.32104392258606</v>
      </c>
      <c r="M1342" s="36">
        <v>14976.096294789009</v>
      </c>
      <c r="N1342" s="36">
        <v>4837.1802325353883</v>
      </c>
      <c r="O1342" s="36">
        <v>6498.9988112503834</v>
      </c>
      <c r="P1342">
        <v>-1217.1254291783087</v>
      </c>
    </row>
    <row r="1343" spans="1:16" x14ac:dyDescent="0.35">
      <c r="A1343" s="3">
        <f xml:space="preserve"> ROW( data_scaledImpacts[[#This Row],[row_id]] ) - ROW( data_scaledImpacts[[#Headers],[row_id]] )</f>
        <v>1342</v>
      </c>
      <c r="B1343" s="41" t="str">
        <f xml:space="preserve"> _xlfn.TEXTJOIN( "", , data_scaledImpacts[[#This Row],[sector]:[impactType]] )</f>
        <v>RoadsGFDL-CM32NoAdapt</v>
      </c>
      <c r="C1343" s="33" t="s">
        <v>216</v>
      </c>
      <c r="D1343" s="33" t="s">
        <v>5</v>
      </c>
      <c r="E1343" s="34">
        <v>2</v>
      </c>
      <c r="F1343" s="34"/>
      <c r="G1343" s="34" t="s">
        <v>87</v>
      </c>
      <c r="H1343" s="35"/>
      <c r="I1343" s="43" t="s">
        <v>47</v>
      </c>
      <c r="J1343" s="36">
        <v>862.04976614738291</v>
      </c>
      <c r="K1343" s="36">
        <v>4341.59488236569</v>
      </c>
      <c r="L1343" s="37">
        <v>444.38715566216166</v>
      </c>
      <c r="M1343" s="36">
        <v>14927.184470178805</v>
      </c>
      <c r="N1343" s="36">
        <v>2486.873753763567</v>
      </c>
      <c r="O1343" s="36">
        <v>3135.4261079678145</v>
      </c>
      <c r="P1343">
        <v>6227.4334815197453</v>
      </c>
    </row>
    <row r="1344" spans="1:16" x14ac:dyDescent="0.35">
      <c r="A1344" s="3">
        <f xml:space="preserve"> ROW( data_scaledImpacts[[#This Row],[row_id]] ) - ROW( data_scaledImpacts[[#Headers],[row_id]] )</f>
        <v>1343</v>
      </c>
      <c r="B1344" s="41" t="str">
        <f xml:space="preserve"> _xlfn.TEXTJOIN( "", , data_scaledImpacts[[#This Row],[sector]:[impactType]] )</f>
        <v>RoadsGCM Average2NoAdapt</v>
      </c>
      <c r="C1344" s="33" t="s">
        <v>216</v>
      </c>
      <c r="D1344" s="33" t="s">
        <v>15</v>
      </c>
      <c r="E1344" s="34">
        <v>2</v>
      </c>
      <c r="F1344" s="34"/>
      <c r="G1344" s="34" t="s">
        <v>87</v>
      </c>
      <c r="H1344" s="35"/>
      <c r="I1344" s="43" t="s">
        <v>48</v>
      </c>
      <c r="J1344" s="36">
        <v>7389.6910146104965</v>
      </c>
      <c r="K1344" s="36">
        <v>11446.473361214608</v>
      </c>
      <c r="L1344" s="37">
        <v>783.48104946085016</v>
      </c>
      <c r="M1344" s="36">
        <v>12907.289447350284</v>
      </c>
      <c r="N1344" s="36">
        <v>9131.5724079091488</v>
      </c>
      <c r="O1344" s="36">
        <v>3756.3927603348561</v>
      </c>
      <c r="P1344">
        <v>8938.0891404708746</v>
      </c>
    </row>
    <row r="1345" spans="1:16" x14ac:dyDescent="0.35">
      <c r="A1345" s="3">
        <f xml:space="preserve"> ROW( data_scaledImpacts[[#This Row],[row_id]] ) - ROW( data_scaledImpacts[[#Headers],[row_id]] )</f>
        <v>1344</v>
      </c>
      <c r="B1345" s="41" t="str">
        <f xml:space="preserve"> _xlfn.TEXTJOIN( "", , data_scaledImpacts[[#This Row],[sector]:[impactType]] )</f>
        <v>RoadsCanESM23NoAdapt</v>
      </c>
      <c r="C1345" s="33" t="s">
        <v>216</v>
      </c>
      <c r="D1345" s="33" t="s">
        <v>0</v>
      </c>
      <c r="E1345" s="34">
        <v>3</v>
      </c>
      <c r="F1345" s="34"/>
      <c r="G1345" s="34" t="s">
        <v>87</v>
      </c>
      <c r="H1345" s="35"/>
      <c r="I1345" s="43" t="s">
        <v>49</v>
      </c>
      <c r="J1345" s="36">
        <v>12236.25106273617</v>
      </c>
      <c r="K1345" s="36">
        <v>6135.3364937425149</v>
      </c>
      <c r="L1345" s="37">
        <v>2999.8170560251815</v>
      </c>
      <c r="M1345" s="36">
        <v>24897.617515898462</v>
      </c>
      <c r="N1345" s="36">
        <v>8134.653148605792</v>
      </c>
      <c r="O1345" s="36">
        <v>5136.0960918376559</v>
      </c>
      <c r="P1345">
        <v>34474.309944717184</v>
      </c>
    </row>
    <row r="1346" spans="1:16" x14ac:dyDescent="0.35">
      <c r="A1346" s="3">
        <f xml:space="preserve"> ROW( data_scaledImpacts[[#This Row],[row_id]] ) - ROW( data_scaledImpacts[[#Headers],[row_id]] )</f>
        <v>1345</v>
      </c>
      <c r="B1346" s="41" t="str">
        <f xml:space="preserve"> _xlfn.TEXTJOIN( "", , data_scaledImpacts[[#This Row],[sector]:[impactType]] )</f>
        <v>RoadsCCSM43NoAdapt</v>
      </c>
      <c r="C1346" s="33" t="s">
        <v>216</v>
      </c>
      <c r="D1346" s="33" t="s">
        <v>1</v>
      </c>
      <c r="E1346" s="34">
        <v>3</v>
      </c>
      <c r="F1346" s="34"/>
      <c r="G1346" s="34" t="s">
        <v>87</v>
      </c>
      <c r="H1346" s="35"/>
      <c r="I1346" s="43" t="s">
        <v>50</v>
      </c>
      <c r="J1346" s="36">
        <v>31231.914324966299</v>
      </c>
      <c r="K1346" s="36">
        <v>30310.569995466685</v>
      </c>
      <c r="L1346" s="37">
        <v>4283.8517851176548</v>
      </c>
      <c r="M1346" s="36">
        <v>21056.43187749862</v>
      </c>
      <c r="N1346" s="36">
        <v>17113.871680937798</v>
      </c>
      <c r="O1346" s="36">
        <v>7750.6498119932248</v>
      </c>
      <c r="P1346">
        <v>36446.941541949316</v>
      </c>
    </row>
    <row r="1347" spans="1:16" x14ac:dyDescent="0.35">
      <c r="A1347" s="3">
        <f xml:space="preserve"> ROW( data_scaledImpacts[[#This Row],[row_id]] ) - ROW( data_scaledImpacts[[#Headers],[row_id]] )</f>
        <v>1346</v>
      </c>
      <c r="B1347" s="41" t="str">
        <f xml:space="preserve"> _xlfn.TEXTJOIN( "", , data_scaledImpacts[[#This Row],[sector]:[impactType]] )</f>
        <v>RoadsGISS-E2-R3NoAdapt</v>
      </c>
      <c r="C1347" s="33" t="s">
        <v>216</v>
      </c>
      <c r="D1347" s="33" t="s">
        <v>2</v>
      </c>
      <c r="E1347" s="34">
        <v>3</v>
      </c>
      <c r="F1347" s="34"/>
      <c r="G1347" s="34" t="s">
        <v>87</v>
      </c>
      <c r="H1347" s="35"/>
      <c r="I1347" s="43" t="s">
        <v>51</v>
      </c>
      <c r="J1347" s="36">
        <v>6957.3248977584635</v>
      </c>
      <c r="K1347" s="36">
        <v>3562.8817611950299</v>
      </c>
      <c r="L1347" s="37">
        <v>3800.7934555795982</v>
      </c>
      <c r="M1347" s="36">
        <v>26996.338905103359</v>
      </c>
      <c r="N1347" s="36">
        <v>2052.7659322565614</v>
      </c>
      <c r="O1347" s="36">
        <v>4499.5841466411766</v>
      </c>
      <c r="P1347">
        <v>29476.398310072502</v>
      </c>
    </row>
    <row r="1348" spans="1:16" x14ac:dyDescent="0.35">
      <c r="A1348" s="3">
        <f xml:space="preserve"> ROW( data_scaledImpacts[[#This Row],[row_id]] ) - ROW( data_scaledImpacts[[#Headers],[row_id]] )</f>
        <v>1347</v>
      </c>
      <c r="B1348" s="41" t="str">
        <f xml:space="preserve"> _xlfn.TEXTJOIN( "", , data_scaledImpacts[[#This Row],[sector]:[impactType]] )</f>
        <v>RoadsHadGEM2-ES3NoAdapt</v>
      </c>
      <c r="C1348" s="33" t="s">
        <v>216</v>
      </c>
      <c r="D1348" s="33" t="s">
        <v>3</v>
      </c>
      <c r="E1348" s="34">
        <v>3</v>
      </c>
      <c r="F1348" s="34"/>
      <c r="G1348" s="34" t="s">
        <v>87</v>
      </c>
      <c r="H1348" s="35"/>
      <c r="I1348" s="43" t="s">
        <v>52</v>
      </c>
      <c r="J1348" s="36">
        <v>38639.142194735432</v>
      </c>
      <c r="K1348" s="36">
        <v>58813.102235723054</v>
      </c>
      <c r="L1348" s="37">
        <v>3541.8548366199434</v>
      </c>
      <c r="M1348" s="36">
        <v>17216.485757343296</v>
      </c>
      <c r="N1348" s="36">
        <v>51322.177158838975</v>
      </c>
      <c r="O1348" s="36">
        <v>12038.798368705613</v>
      </c>
      <c r="P1348">
        <v>41978.880008551198</v>
      </c>
    </row>
    <row r="1349" spans="1:16" x14ac:dyDescent="0.35">
      <c r="A1349" s="3">
        <f xml:space="preserve"> ROW( data_scaledImpacts[[#This Row],[row_id]] ) - ROW( data_scaledImpacts[[#Headers],[row_id]] )</f>
        <v>1348</v>
      </c>
      <c r="B1349" s="41" t="str">
        <f xml:space="preserve"> _xlfn.TEXTJOIN( "", , data_scaledImpacts[[#This Row],[sector]:[impactType]] )</f>
        <v>RoadsMIROC53NoAdapt</v>
      </c>
      <c r="C1349" s="33" t="s">
        <v>216</v>
      </c>
      <c r="D1349" s="33" t="s">
        <v>4</v>
      </c>
      <c r="E1349" s="34">
        <v>3</v>
      </c>
      <c r="F1349" s="34"/>
      <c r="G1349" s="34" t="s">
        <v>87</v>
      </c>
      <c r="H1349" s="35"/>
      <c r="I1349" s="43" t="s">
        <v>53</v>
      </c>
      <c r="J1349" s="36">
        <v>4995.2897111675729</v>
      </c>
      <c r="K1349" s="36">
        <v>2684.9425656728754</v>
      </c>
      <c r="L1349" s="37">
        <v>537.50550100749274</v>
      </c>
      <c r="M1349" s="36">
        <v>16583.295853586496</v>
      </c>
      <c r="N1349" s="36">
        <v>7505.7129557304434</v>
      </c>
      <c r="O1349" s="36">
        <v>8506.5872729295043</v>
      </c>
      <c r="P1349">
        <v>2739.132302813096</v>
      </c>
    </row>
    <row r="1350" spans="1:16" x14ac:dyDescent="0.35">
      <c r="A1350" s="3">
        <f xml:space="preserve"> ROW( data_scaledImpacts[[#This Row],[row_id]] ) - ROW( data_scaledImpacts[[#Headers],[row_id]] )</f>
        <v>1349</v>
      </c>
      <c r="B1350" s="41" t="str">
        <f xml:space="preserve"> _xlfn.TEXTJOIN( "", , data_scaledImpacts[[#This Row],[sector]:[impactType]] )</f>
        <v>RoadsGFDL-CM33NoAdapt</v>
      </c>
      <c r="C1350" s="33" t="s">
        <v>216</v>
      </c>
      <c r="D1350" s="33" t="s">
        <v>5</v>
      </c>
      <c r="E1350" s="34">
        <v>3</v>
      </c>
      <c r="F1350" s="34"/>
      <c r="G1350" s="34" t="s">
        <v>87</v>
      </c>
      <c r="H1350" s="35"/>
      <c r="I1350" s="43" t="s">
        <v>54</v>
      </c>
      <c r="J1350" s="36">
        <v>5864.2539679967858</v>
      </c>
      <c r="K1350" s="36">
        <v>19789.094599902764</v>
      </c>
      <c r="L1350" s="37">
        <v>1916.9146018186598</v>
      </c>
      <c r="M1350" s="36">
        <v>16918.749252703157</v>
      </c>
      <c r="N1350" s="36">
        <v>10883.404297510229</v>
      </c>
      <c r="O1350" s="36">
        <v>6407.4428280225593</v>
      </c>
      <c r="P1350">
        <v>40353.751303710967</v>
      </c>
    </row>
    <row r="1351" spans="1:16" x14ac:dyDescent="0.35">
      <c r="A1351" s="3">
        <f xml:space="preserve"> ROW( data_scaledImpacts[[#This Row],[row_id]] ) - ROW( data_scaledImpacts[[#Headers],[row_id]] )</f>
        <v>1350</v>
      </c>
      <c r="B1351" s="41" t="str">
        <f xml:space="preserve"> _xlfn.TEXTJOIN( "", , data_scaledImpacts[[#This Row],[sector]:[impactType]] )</f>
        <v>RoadsGCM Average3NoAdapt</v>
      </c>
      <c r="C1351" s="33" t="s">
        <v>216</v>
      </c>
      <c r="D1351" s="33" t="s">
        <v>15</v>
      </c>
      <c r="E1351" s="34">
        <v>3</v>
      </c>
      <c r="F1351" s="34"/>
      <c r="G1351" s="34" t="s">
        <v>87</v>
      </c>
      <c r="H1351" s="35"/>
      <c r="I1351" s="43" t="s">
        <v>55</v>
      </c>
      <c r="J1351" s="36">
        <v>16654.029359893455</v>
      </c>
      <c r="K1351" s="36">
        <v>20215.987941950487</v>
      </c>
      <c r="L1351" s="37">
        <v>2846.7895393614217</v>
      </c>
      <c r="M1351" s="36">
        <v>20611.486527022233</v>
      </c>
      <c r="N1351" s="36">
        <v>16168.764195646632</v>
      </c>
      <c r="O1351" s="36">
        <v>7389.8597533549555</v>
      </c>
      <c r="P1351">
        <v>30911.568901969044</v>
      </c>
    </row>
    <row r="1352" spans="1:16" x14ac:dyDescent="0.35">
      <c r="A1352" s="3">
        <f xml:space="preserve"> ROW( data_scaledImpacts[[#This Row],[row_id]] ) - ROW( data_scaledImpacts[[#Headers],[row_id]] )</f>
        <v>1351</v>
      </c>
      <c r="B1352" s="41" t="str">
        <f xml:space="preserve"> _xlfn.TEXTJOIN( "", , data_scaledImpacts[[#This Row],[sector]:[impactType]] )</f>
        <v>RoadsCanESM24NoAdapt</v>
      </c>
      <c r="C1352" s="33" t="s">
        <v>216</v>
      </c>
      <c r="D1352" s="33" t="s">
        <v>0</v>
      </c>
      <c r="E1352" s="34">
        <v>4</v>
      </c>
      <c r="F1352" s="34"/>
      <c r="G1352" s="34" t="s">
        <v>87</v>
      </c>
      <c r="H1352" s="35"/>
      <c r="I1352" s="43" t="s">
        <v>56</v>
      </c>
      <c r="J1352" s="36">
        <v>16497.151807112983</v>
      </c>
      <c r="K1352" s="36">
        <v>12858.81074508705</v>
      </c>
      <c r="L1352" s="37">
        <v>4681.9003982696095</v>
      </c>
      <c r="M1352" s="36">
        <v>39338.450133668892</v>
      </c>
      <c r="N1352" s="36">
        <v>9753.0366765923991</v>
      </c>
      <c r="O1352" s="36">
        <v>7403.9136592691266</v>
      </c>
      <c r="P1352">
        <v>59112.284247534561</v>
      </c>
    </row>
    <row r="1353" spans="1:16" x14ac:dyDescent="0.35">
      <c r="A1353" s="3">
        <f xml:space="preserve"> ROW( data_scaledImpacts[[#This Row],[row_id]] ) - ROW( data_scaledImpacts[[#Headers],[row_id]] )</f>
        <v>1352</v>
      </c>
      <c r="B1353" s="41" t="str">
        <f xml:space="preserve"> _xlfn.TEXTJOIN( "", , data_scaledImpacts[[#This Row],[sector]:[impactType]] )</f>
        <v>RoadsCCSM44NoAdapt</v>
      </c>
      <c r="C1353" s="33" t="s">
        <v>216</v>
      </c>
      <c r="D1353" s="33" t="s">
        <v>1</v>
      </c>
      <c r="E1353" s="34">
        <v>4</v>
      </c>
      <c r="F1353" s="34"/>
      <c r="G1353" s="34" t="s">
        <v>87</v>
      </c>
      <c r="H1353" s="35"/>
      <c r="I1353" s="43" t="s">
        <v>57</v>
      </c>
      <c r="J1353" s="36">
        <v>38408.552939172259</v>
      </c>
      <c r="K1353" s="36">
        <v>53842.596488198738</v>
      </c>
      <c r="L1353" s="37">
        <v>5202.6678069028249</v>
      </c>
      <c r="M1353" s="36">
        <v>36378.022251213028</v>
      </c>
      <c r="N1353" s="36">
        <v>37547.360853092156</v>
      </c>
      <c r="O1353" s="36">
        <v>9767.5318180760642</v>
      </c>
      <c r="P1353">
        <v>57161.755033313544</v>
      </c>
    </row>
    <row r="1354" spans="1:16" x14ac:dyDescent="0.35">
      <c r="A1354" s="3">
        <f xml:space="preserve"> ROW( data_scaledImpacts[[#This Row],[row_id]] ) - ROW( data_scaledImpacts[[#Headers],[row_id]] )</f>
        <v>1353</v>
      </c>
      <c r="B1354" s="41" t="str">
        <f xml:space="preserve"> _xlfn.TEXTJOIN( "", , data_scaledImpacts[[#This Row],[sector]:[impactType]] )</f>
        <v>RoadsGISS-E2-R4NoAdapt</v>
      </c>
      <c r="C1354" s="33" t="s">
        <v>216</v>
      </c>
      <c r="D1354" s="33" t="s">
        <v>2</v>
      </c>
      <c r="E1354" s="34">
        <v>4</v>
      </c>
      <c r="F1354" s="34"/>
      <c r="G1354" s="34" t="s">
        <v>87</v>
      </c>
      <c r="H1354" s="35"/>
      <c r="I1354" s="43" t="s">
        <v>58</v>
      </c>
      <c r="J1354" s="36"/>
      <c r="K1354" s="36"/>
      <c r="L1354" s="37"/>
      <c r="M1354" s="36"/>
      <c r="N1354" s="36"/>
      <c r="O1354" s="36"/>
    </row>
    <row r="1355" spans="1:16" x14ac:dyDescent="0.35">
      <c r="A1355" s="3">
        <f xml:space="preserve"> ROW( data_scaledImpacts[[#This Row],[row_id]] ) - ROW( data_scaledImpacts[[#Headers],[row_id]] )</f>
        <v>1354</v>
      </c>
      <c r="B1355" s="41" t="str">
        <f xml:space="preserve"> _xlfn.TEXTJOIN( "", , data_scaledImpacts[[#This Row],[sector]:[impactType]] )</f>
        <v>RoadsHadGEM2-ES4NoAdapt</v>
      </c>
      <c r="C1355" s="33" t="s">
        <v>216</v>
      </c>
      <c r="D1355" s="33" t="s">
        <v>3</v>
      </c>
      <c r="E1355" s="34">
        <v>4</v>
      </c>
      <c r="F1355" s="34"/>
      <c r="G1355" s="34" t="s">
        <v>87</v>
      </c>
      <c r="H1355" s="35"/>
      <c r="I1355" s="43" t="s">
        <v>59</v>
      </c>
      <c r="J1355" s="36">
        <v>42964.236517077872</v>
      </c>
      <c r="K1355" s="36">
        <v>66694.857945852156</v>
      </c>
      <c r="L1355" s="37">
        <v>5911.3792061695995</v>
      </c>
      <c r="M1355" s="36">
        <v>44499.710643627383</v>
      </c>
      <c r="N1355" s="36">
        <v>56384.062579483689</v>
      </c>
      <c r="O1355" s="36">
        <v>16532.511154098873</v>
      </c>
      <c r="P1355">
        <v>66812.271646727473</v>
      </c>
    </row>
    <row r="1356" spans="1:16" x14ac:dyDescent="0.35">
      <c r="A1356" s="3">
        <f xml:space="preserve"> ROW( data_scaledImpacts[[#This Row],[row_id]] ) - ROW( data_scaledImpacts[[#Headers],[row_id]] )</f>
        <v>1355</v>
      </c>
      <c r="B1356" s="41" t="str">
        <f xml:space="preserve"> _xlfn.TEXTJOIN( "", , data_scaledImpacts[[#This Row],[sector]:[impactType]] )</f>
        <v>RoadsMIROC54NoAdapt</v>
      </c>
      <c r="C1356" s="33" t="s">
        <v>216</v>
      </c>
      <c r="D1356" s="33" t="s">
        <v>4</v>
      </c>
      <c r="E1356" s="34">
        <v>4</v>
      </c>
      <c r="F1356" s="34"/>
      <c r="G1356" s="34" t="s">
        <v>87</v>
      </c>
      <c r="H1356" s="35"/>
      <c r="I1356" s="43" t="s">
        <v>60</v>
      </c>
      <c r="J1356" s="36">
        <v>20842.151047833995</v>
      </c>
      <c r="K1356" s="36">
        <v>8582.4096844426822</v>
      </c>
      <c r="L1356" s="37">
        <v>2422.3276813913039</v>
      </c>
      <c r="M1356" s="36">
        <v>30195.928743188735</v>
      </c>
      <c r="N1356" s="36">
        <v>10721.026461858126</v>
      </c>
      <c r="O1356" s="36">
        <v>10598.354171616053</v>
      </c>
      <c r="P1356">
        <v>12994.955133293</v>
      </c>
    </row>
    <row r="1357" spans="1:16" x14ac:dyDescent="0.35">
      <c r="A1357" s="3">
        <f xml:space="preserve"> ROW( data_scaledImpacts[[#This Row],[row_id]] ) - ROW( data_scaledImpacts[[#Headers],[row_id]] )</f>
        <v>1356</v>
      </c>
      <c r="B1357" s="41" t="str">
        <f xml:space="preserve"> _xlfn.TEXTJOIN( "", , data_scaledImpacts[[#This Row],[sector]:[impactType]] )</f>
        <v>RoadsGFDL-CM34NoAdapt</v>
      </c>
      <c r="C1357" s="33" t="s">
        <v>216</v>
      </c>
      <c r="D1357" s="33" t="s">
        <v>5</v>
      </c>
      <c r="E1357" s="34">
        <v>4</v>
      </c>
      <c r="F1357" s="34"/>
      <c r="G1357" s="34" t="s">
        <v>87</v>
      </c>
      <c r="H1357" s="35"/>
      <c r="I1357" s="43" t="s">
        <v>61</v>
      </c>
      <c r="J1357" s="36">
        <v>26034.975693344393</v>
      </c>
      <c r="K1357" s="36">
        <v>45949.625718314077</v>
      </c>
      <c r="L1357" s="37">
        <v>4740.2256286998336</v>
      </c>
      <c r="M1357" s="36">
        <v>38772.908155442849</v>
      </c>
      <c r="N1357" s="36">
        <v>28255.187709426118</v>
      </c>
      <c r="O1357" s="36">
        <v>10221.579748714714</v>
      </c>
      <c r="P1357">
        <v>83839.391743363885</v>
      </c>
    </row>
    <row r="1358" spans="1:16" x14ac:dyDescent="0.35">
      <c r="A1358" s="3">
        <f xml:space="preserve"> ROW( data_scaledImpacts[[#This Row],[row_id]] ) - ROW( data_scaledImpacts[[#Headers],[row_id]] )</f>
        <v>1357</v>
      </c>
      <c r="B1358" s="41" t="str">
        <f xml:space="preserve"> _xlfn.TEXTJOIN( "", , data_scaledImpacts[[#This Row],[sector]:[impactType]] )</f>
        <v>RoadsGCM Average4NoAdapt</v>
      </c>
      <c r="C1358" s="33" t="s">
        <v>216</v>
      </c>
      <c r="D1358" s="33" t="s">
        <v>15</v>
      </c>
      <c r="E1358" s="34">
        <v>4</v>
      </c>
      <c r="F1358" s="34"/>
      <c r="G1358" s="34" t="s">
        <v>87</v>
      </c>
      <c r="H1358" s="35"/>
      <c r="I1358" s="43" t="s">
        <v>62</v>
      </c>
      <c r="J1358" s="36">
        <v>28949.413600908301</v>
      </c>
      <c r="K1358" s="36">
        <v>37585.660116378938</v>
      </c>
      <c r="L1358" s="37">
        <v>4591.700144286634</v>
      </c>
      <c r="M1358" s="36">
        <v>37837.003985428179</v>
      </c>
      <c r="N1358" s="36">
        <v>28532.134856090495</v>
      </c>
      <c r="O1358" s="36">
        <v>10904.778110354966</v>
      </c>
      <c r="P1358">
        <v>55984.131560846487</v>
      </c>
    </row>
    <row r="1359" spans="1:16" x14ac:dyDescent="0.35">
      <c r="A1359" s="3">
        <f xml:space="preserve"> ROW( data_scaledImpacts[[#This Row],[row_id]] ) - ROW( data_scaledImpacts[[#Headers],[row_id]] )</f>
        <v>1358</v>
      </c>
      <c r="B1359" s="41" t="str">
        <f xml:space="preserve"> _xlfn.TEXTJOIN( "", , data_scaledImpacts[[#This Row],[sector]:[impactType]] )</f>
        <v>RoadsCanESM25NoAdapt</v>
      </c>
      <c r="C1359" s="33" t="s">
        <v>216</v>
      </c>
      <c r="D1359" s="33" t="s">
        <v>0</v>
      </c>
      <c r="E1359" s="34">
        <v>5</v>
      </c>
      <c r="F1359" s="34"/>
      <c r="G1359" s="34" t="s">
        <v>87</v>
      </c>
      <c r="H1359" s="35"/>
      <c r="I1359" s="43" t="s">
        <v>63</v>
      </c>
      <c r="J1359" s="36">
        <v>31585.328944924015</v>
      </c>
      <c r="K1359" s="36">
        <v>41674.734244918254</v>
      </c>
      <c r="L1359" s="37">
        <v>5662.073279244707</v>
      </c>
      <c r="M1359" s="36">
        <v>52758.45957000128</v>
      </c>
      <c r="N1359" s="36">
        <v>24069.163514929394</v>
      </c>
      <c r="O1359" s="36">
        <v>12727.448355204599</v>
      </c>
      <c r="P1359">
        <v>99952.044806834834</v>
      </c>
    </row>
    <row r="1360" spans="1:16" x14ac:dyDescent="0.35">
      <c r="A1360" s="3">
        <f xml:space="preserve"> ROW( data_scaledImpacts[[#This Row],[row_id]] ) - ROW( data_scaledImpacts[[#Headers],[row_id]] )</f>
        <v>1359</v>
      </c>
      <c r="B1360" s="41" t="str">
        <f xml:space="preserve"> _xlfn.TEXTJOIN( "", , data_scaledImpacts[[#This Row],[sector]:[impactType]] )</f>
        <v>RoadsCCSM45NoAdapt</v>
      </c>
      <c r="C1360" s="33" t="s">
        <v>216</v>
      </c>
      <c r="D1360" s="33" t="s">
        <v>1</v>
      </c>
      <c r="E1360" s="34">
        <v>5</v>
      </c>
      <c r="F1360" s="34"/>
      <c r="G1360" s="34" t="s">
        <v>87</v>
      </c>
      <c r="H1360" s="35"/>
      <c r="I1360" s="43" t="s">
        <v>64</v>
      </c>
      <c r="J1360" s="36">
        <v>39748.598392294232</v>
      </c>
      <c r="K1360" s="36">
        <v>58426.177351654267</v>
      </c>
      <c r="L1360" s="37">
        <v>6234.8995049951391</v>
      </c>
      <c r="M1360" s="36">
        <v>52228.660682948292</v>
      </c>
      <c r="N1360" s="36">
        <v>41683.069554720903</v>
      </c>
      <c r="O1360" s="36">
        <v>11698.290196640624</v>
      </c>
      <c r="P1360">
        <v>92944.34326274629</v>
      </c>
    </row>
    <row r="1361" spans="1:16" x14ac:dyDescent="0.35">
      <c r="A1361" s="3">
        <f xml:space="preserve"> ROW( data_scaledImpacts[[#This Row],[row_id]] ) - ROW( data_scaledImpacts[[#Headers],[row_id]] )</f>
        <v>1360</v>
      </c>
      <c r="B1361" s="41" t="str">
        <f xml:space="preserve"> _xlfn.TEXTJOIN( "", , data_scaledImpacts[[#This Row],[sector]:[impactType]] )</f>
        <v>RoadsGISS-E2-R5NoAdapt</v>
      </c>
      <c r="C1361" s="33" t="s">
        <v>216</v>
      </c>
      <c r="D1361" s="33" t="s">
        <v>2</v>
      </c>
      <c r="E1361" s="34">
        <v>5</v>
      </c>
      <c r="F1361" s="34"/>
      <c r="G1361" s="34" t="s">
        <v>87</v>
      </c>
      <c r="H1361" s="35"/>
      <c r="I1361" s="43" t="s">
        <v>65</v>
      </c>
      <c r="J1361" s="36"/>
      <c r="K1361" s="36"/>
      <c r="L1361" s="37"/>
      <c r="M1361" s="36"/>
      <c r="N1361" s="36"/>
      <c r="O1361" s="36"/>
    </row>
    <row r="1362" spans="1:16" x14ac:dyDescent="0.35">
      <c r="A1362" s="3">
        <f xml:space="preserve"> ROW( data_scaledImpacts[[#This Row],[row_id]] ) - ROW( data_scaledImpacts[[#Headers],[row_id]] )</f>
        <v>1361</v>
      </c>
      <c r="B1362" s="41" t="str">
        <f xml:space="preserve"> _xlfn.TEXTJOIN( "", , data_scaledImpacts[[#This Row],[sector]:[impactType]] )</f>
        <v>RoadsHadGEM2-ES5NoAdapt</v>
      </c>
      <c r="C1362" s="33" t="s">
        <v>216</v>
      </c>
      <c r="D1362" s="33" t="s">
        <v>3</v>
      </c>
      <c r="E1362" s="34">
        <v>5</v>
      </c>
      <c r="F1362" s="34"/>
      <c r="G1362" s="34" t="s">
        <v>87</v>
      </c>
      <c r="H1362" s="35"/>
      <c r="I1362" s="43" t="s">
        <v>66</v>
      </c>
      <c r="J1362" s="36">
        <v>46026.153113433291</v>
      </c>
      <c r="K1362" s="36">
        <v>72031.328403047388</v>
      </c>
      <c r="L1362" s="37">
        <v>7479.8199776532301</v>
      </c>
      <c r="M1362" s="36">
        <v>58869.408721729982</v>
      </c>
      <c r="N1362" s="36">
        <v>58094.83750554813</v>
      </c>
      <c r="O1362" s="36">
        <v>19232.668596975778</v>
      </c>
      <c r="P1362">
        <v>97404.407923486477</v>
      </c>
    </row>
    <row r="1363" spans="1:16" x14ac:dyDescent="0.35">
      <c r="A1363" s="3">
        <f xml:space="preserve"> ROW( data_scaledImpacts[[#This Row],[row_id]] ) - ROW( data_scaledImpacts[[#Headers],[row_id]] )</f>
        <v>1362</v>
      </c>
      <c r="B1363" s="41" t="str">
        <f xml:space="preserve"> _xlfn.TEXTJOIN( "", , data_scaledImpacts[[#This Row],[sector]:[impactType]] )</f>
        <v>RoadsMIROC55NoAdapt</v>
      </c>
      <c r="C1363" s="33" t="s">
        <v>216</v>
      </c>
      <c r="D1363" s="33" t="s">
        <v>4</v>
      </c>
      <c r="E1363" s="34">
        <v>5</v>
      </c>
      <c r="F1363" s="34"/>
      <c r="G1363" s="34" t="s">
        <v>87</v>
      </c>
      <c r="H1363" s="35"/>
      <c r="I1363" s="43" t="s">
        <v>67</v>
      </c>
      <c r="J1363" s="36">
        <v>35459.507273683703</v>
      </c>
      <c r="K1363" s="36">
        <v>24340.139461781182</v>
      </c>
      <c r="L1363" s="37">
        <v>4183.6298358809745</v>
      </c>
      <c r="M1363" s="36">
        <v>35144.066335272822</v>
      </c>
      <c r="N1363" s="36">
        <v>22583.346509055336</v>
      </c>
      <c r="O1363" s="36">
        <v>14593.850218966289</v>
      </c>
      <c r="P1363">
        <v>27920.135573852516</v>
      </c>
    </row>
    <row r="1364" spans="1:16" x14ac:dyDescent="0.35">
      <c r="A1364" s="3">
        <f xml:space="preserve"> ROW( data_scaledImpacts[[#This Row],[row_id]] ) - ROW( data_scaledImpacts[[#Headers],[row_id]] )</f>
        <v>1363</v>
      </c>
      <c r="B1364" s="41" t="str">
        <f xml:space="preserve"> _xlfn.TEXTJOIN( "", , data_scaledImpacts[[#This Row],[sector]:[impactType]] )</f>
        <v>RoadsGFDL-CM35NoAdapt</v>
      </c>
      <c r="C1364" s="33" t="s">
        <v>216</v>
      </c>
      <c r="D1364" s="33" t="s">
        <v>5</v>
      </c>
      <c r="E1364" s="34">
        <v>5</v>
      </c>
      <c r="F1364" s="34"/>
      <c r="G1364" s="34" t="s">
        <v>87</v>
      </c>
      <c r="H1364" s="35"/>
      <c r="I1364" s="43" t="s">
        <v>68</v>
      </c>
      <c r="J1364" s="36">
        <v>37053.247486318054</v>
      </c>
      <c r="K1364" s="36">
        <v>57763.727740169001</v>
      </c>
      <c r="L1364" s="37">
        <v>6132.5865248451046</v>
      </c>
      <c r="M1364" s="36">
        <v>53001.968219876544</v>
      </c>
      <c r="N1364" s="36">
        <v>42436.216649714261</v>
      </c>
      <c r="O1364" s="36">
        <v>12772.071394464057</v>
      </c>
      <c r="P1364">
        <v>114967.46467493326</v>
      </c>
    </row>
    <row r="1365" spans="1:16" x14ac:dyDescent="0.35">
      <c r="A1365" s="3">
        <f xml:space="preserve"> ROW( data_scaledImpacts[[#This Row],[row_id]] ) - ROW( data_scaledImpacts[[#Headers],[row_id]] )</f>
        <v>1364</v>
      </c>
      <c r="B1365" s="41" t="str">
        <f xml:space="preserve"> _xlfn.TEXTJOIN( "", , data_scaledImpacts[[#This Row],[sector]:[impactType]] )</f>
        <v>RoadsGCM Average5NoAdapt</v>
      </c>
      <c r="C1365" s="33" t="s">
        <v>216</v>
      </c>
      <c r="D1365" s="33" t="s">
        <v>15</v>
      </c>
      <c r="E1365" s="34">
        <v>5</v>
      </c>
      <c r="F1365" s="34"/>
      <c r="G1365" s="34" t="s">
        <v>87</v>
      </c>
      <c r="H1365" s="35"/>
      <c r="I1365" s="43" t="s">
        <v>69</v>
      </c>
      <c r="J1365" s="36">
        <v>37974.567042130664</v>
      </c>
      <c r="K1365" s="36">
        <v>50847.221440314017</v>
      </c>
      <c r="L1365" s="37">
        <v>5938.6018245238311</v>
      </c>
      <c r="M1365" s="36">
        <v>50400.512705965783</v>
      </c>
      <c r="N1365" s="36">
        <v>37773.326746793602</v>
      </c>
      <c r="O1365" s="36">
        <v>14204.865752450269</v>
      </c>
      <c r="P1365">
        <v>86637.679248370667</v>
      </c>
    </row>
    <row r="1366" spans="1:16" x14ac:dyDescent="0.35">
      <c r="A1366" s="3">
        <f xml:space="preserve"> ROW( data_scaledImpacts[[#This Row],[row_id]] ) - ROW( data_scaledImpacts[[#Headers],[row_id]] )</f>
        <v>1365</v>
      </c>
      <c r="B1366" s="41" t="str">
        <f xml:space="preserve"> _xlfn.TEXTJOIN( "", , data_scaledImpacts[[#This Row],[sector]:[impactType]] )</f>
        <v>RoadsCanESM26NoAdapt</v>
      </c>
      <c r="C1366" s="33" t="s">
        <v>216</v>
      </c>
      <c r="D1366" s="33" t="s">
        <v>0</v>
      </c>
      <c r="E1366" s="34">
        <v>6</v>
      </c>
      <c r="F1366" s="34"/>
      <c r="G1366" s="34" t="s">
        <v>87</v>
      </c>
      <c r="H1366" s="35"/>
      <c r="I1366" s="43" t="s">
        <v>70</v>
      </c>
      <c r="J1366" s="36">
        <v>38148.271400300277</v>
      </c>
      <c r="K1366" s="36">
        <v>53526.191710532148</v>
      </c>
      <c r="L1366" s="37">
        <v>7240.0683987437287</v>
      </c>
      <c r="M1366" s="36">
        <v>56930.165158757918</v>
      </c>
      <c r="N1366" s="36">
        <v>29554.331322732727</v>
      </c>
      <c r="O1366" s="36">
        <v>16714.314230379532</v>
      </c>
      <c r="P1366">
        <v>122447.36141114807</v>
      </c>
    </row>
    <row r="1367" spans="1:16" x14ac:dyDescent="0.35">
      <c r="A1367" s="3">
        <f xml:space="preserve"> ROW( data_scaledImpacts[[#This Row],[row_id]] ) - ROW( data_scaledImpacts[[#Headers],[row_id]] )</f>
        <v>1366</v>
      </c>
      <c r="B1367" s="41" t="str">
        <f xml:space="preserve"> _xlfn.TEXTJOIN( "", , data_scaledImpacts[[#This Row],[sector]:[impactType]] )</f>
        <v>RoadsCCSM46NoAdapt</v>
      </c>
      <c r="C1367" s="33" t="s">
        <v>216</v>
      </c>
      <c r="D1367" s="33" t="s">
        <v>1</v>
      </c>
      <c r="E1367" s="34">
        <v>6</v>
      </c>
      <c r="F1367" s="34"/>
      <c r="G1367" s="34" t="s">
        <v>87</v>
      </c>
      <c r="H1367" s="35"/>
      <c r="I1367" s="43" t="s">
        <v>71</v>
      </c>
      <c r="J1367" s="36"/>
      <c r="K1367" s="36"/>
      <c r="L1367" s="37"/>
      <c r="M1367" s="36"/>
      <c r="N1367" s="36"/>
      <c r="O1367" s="36"/>
    </row>
    <row r="1368" spans="1:16" x14ac:dyDescent="0.35">
      <c r="A1368" s="3">
        <f xml:space="preserve"> ROW( data_scaledImpacts[[#This Row],[row_id]] ) - ROW( data_scaledImpacts[[#Headers],[row_id]] )</f>
        <v>1367</v>
      </c>
      <c r="B1368" s="41" t="str">
        <f xml:space="preserve"> _xlfn.TEXTJOIN( "", , data_scaledImpacts[[#This Row],[sector]:[impactType]] )</f>
        <v>RoadsGISS-E2-R6NoAdapt</v>
      </c>
      <c r="C1368" s="33" t="s">
        <v>216</v>
      </c>
      <c r="D1368" s="33" t="s">
        <v>2</v>
      </c>
      <c r="E1368" s="34">
        <v>6</v>
      </c>
      <c r="F1368" s="34"/>
      <c r="G1368" s="34" t="s">
        <v>87</v>
      </c>
      <c r="H1368" s="35"/>
      <c r="I1368" s="43" t="s">
        <v>72</v>
      </c>
      <c r="J1368" s="36"/>
      <c r="K1368" s="36"/>
      <c r="L1368" s="37"/>
      <c r="M1368" s="36"/>
      <c r="N1368" s="36"/>
      <c r="O1368" s="36"/>
    </row>
    <row r="1369" spans="1:16" x14ac:dyDescent="0.35">
      <c r="A1369" s="3">
        <f xml:space="preserve"> ROW( data_scaledImpacts[[#This Row],[row_id]] ) - ROW( data_scaledImpacts[[#Headers],[row_id]] )</f>
        <v>1368</v>
      </c>
      <c r="B1369" s="41" t="str">
        <f xml:space="preserve"> _xlfn.TEXTJOIN( "", , data_scaledImpacts[[#This Row],[sector]:[impactType]] )</f>
        <v>RoadsHadGEM2-ES6NoAdapt</v>
      </c>
      <c r="C1369" s="33" t="s">
        <v>216</v>
      </c>
      <c r="D1369" s="33" t="s">
        <v>3</v>
      </c>
      <c r="E1369" s="34">
        <v>6</v>
      </c>
      <c r="F1369" s="34"/>
      <c r="G1369" s="34" t="s">
        <v>87</v>
      </c>
      <c r="H1369" s="35"/>
      <c r="I1369" s="43" t="s">
        <v>73</v>
      </c>
      <c r="J1369" s="36">
        <v>48660.88877897412</v>
      </c>
      <c r="K1369" s="36">
        <v>76639.356081965292</v>
      </c>
      <c r="L1369" s="37">
        <v>8409.4341079658079</v>
      </c>
      <c r="M1369" s="36">
        <v>70900.912452237593</v>
      </c>
      <c r="N1369" s="36">
        <v>61469.205817239948</v>
      </c>
      <c r="O1369" s="36">
        <v>22627.39830276147</v>
      </c>
      <c r="P1369">
        <v>109339.90155995644</v>
      </c>
    </row>
    <row r="1370" spans="1:16" x14ac:dyDescent="0.35">
      <c r="A1370" s="3">
        <f xml:space="preserve"> ROW( data_scaledImpacts[[#This Row],[row_id]] ) - ROW( data_scaledImpacts[[#Headers],[row_id]] )</f>
        <v>1369</v>
      </c>
      <c r="B1370" s="41" t="str">
        <f xml:space="preserve"> _xlfn.TEXTJOIN( "", , data_scaledImpacts[[#This Row],[sector]:[impactType]] )</f>
        <v>RoadsMIROC56NoAdapt</v>
      </c>
      <c r="C1370" s="33" t="s">
        <v>216</v>
      </c>
      <c r="D1370" s="33" t="s">
        <v>4</v>
      </c>
      <c r="E1370" s="34">
        <v>6</v>
      </c>
      <c r="F1370" s="34"/>
      <c r="G1370" s="34" t="s">
        <v>87</v>
      </c>
      <c r="H1370" s="35"/>
      <c r="I1370" s="43" t="s">
        <v>74</v>
      </c>
      <c r="J1370" s="36"/>
      <c r="K1370" s="36"/>
      <c r="L1370" s="37"/>
      <c r="M1370" s="36"/>
      <c r="N1370" s="36"/>
      <c r="O1370" s="36"/>
    </row>
    <row r="1371" spans="1:16" x14ac:dyDescent="0.35">
      <c r="A1371" s="3">
        <f xml:space="preserve"> ROW( data_scaledImpacts[[#This Row],[row_id]] ) - ROW( data_scaledImpacts[[#Headers],[row_id]] )</f>
        <v>1370</v>
      </c>
      <c r="B1371" s="41" t="str">
        <f xml:space="preserve"> _xlfn.TEXTJOIN( "", , data_scaledImpacts[[#This Row],[sector]:[impactType]] )</f>
        <v>RoadsGFDL-CM36NoAdapt</v>
      </c>
      <c r="C1371" s="33" t="s">
        <v>216</v>
      </c>
      <c r="D1371" s="33" t="s">
        <v>5</v>
      </c>
      <c r="E1371" s="34">
        <v>6</v>
      </c>
      <c r="F1371" s="34"/>
      <c r="G1371" s="34" t="s">
        <v>87</v>
      </c>
      <c r="H1371" s="35"/>
      <c r="I1371" s="43" t="s">
        <v>75</v>
      </c>
      <c r="J1371" s="36">
        <v>41830.378057336478</v>
      </c>
      <c r="K1371" s="36">
        <v>63271.871633452698</v>
      </c>
      <c r="L1371" s="37">
        <v>8005.9162608187789</v>
      </c>
      <c r="M1371" s="36">
        <v>64443.924643903643</v>
      </c>
      <c r="N1371" s="36">
        <v>45705.752573704878</v>
      </c>
      <c r="O1371" s="36">
        <v>14045.330420608785</v>
      </c>
      <c r="P1371">
        <v>127368.28132581525</v>
      </c>
    </row>
    <row r="1372" spans="1:16" x14ac:dyDescent="0.35">
      <c r="A1372" s="3">
        <f xml:space="preserve"> ROW( data_scaledImpacts[[#This Row],[row_id]] ) - ROW( data_scaledImpacts[[#Headers],[row_id]] )</f>
        <v>1371</v>
      </c>
      <c r="B1372" s="41" t="str">
        <f xml:space="preserve"> _xlfn.TEXTJOIN( "", , data_scaledImpacts[[#This Row],[sector]:[impactType]] )</f>
        <v>RoadsGCM Average6NoAdapt</v>
      </c>
      <c r="C1372" s="33" t="s">
        <v>216</v>
      </c>
      <c r="D1372" s="33" t="s">
        <v>15</v>
      </c>
      <c r="E1372" s="34">
        <v>6</v>
      </c>
      <c r="F1372" s="34"/>
      <c r="G1372" s="34" t="s">
        <v>87</v>
      </c>
      <c r="H1372" s="35"/>
      <c r="I1372" s="43" t="s">
        <v>76</v>
      </c>
      <c r="J1372" s="36">
        <v>42879.846078870287</v>
      </c>
      <c r="K1372" s="36">
        <v>64479.139808650049</v>
      </c>
      <c r="L1372" s="37">
        <v>7885.1395891761058</v>
      </c>
      <c r="M1372" s="36">
        <v>64091.667418299716</v>
      </c>
      <c r="N1372" s="36">
        <v>45576.429904559183</v>
      </c>
      <c r="O1372" s="36">
        <v>17795.680984583265</v>
      </c>
      <c r="P1372">
        <v>119718.51476563992</v>
      </c>
    </row>
    <row r="1373" spans="1:16" x14ac:dyDescent="0.35">
      <c r="A1373" s="3">
        <f xml:space="preserve"> ROW( data_scaledImpacts[[#This Row],[row_id]] ) - ROW( data_scaledImpacts[[#Headers],[row_id]] )</f>
        <v>1372</v>
      </c>
      <c r="B1373" s="41" t="str">
        <f xml:space="preserve"> _xlfn.TEXTJOIN( "", , data_scaledImpacts[[#This Row],[sector]:[impactType]] )</f>
        <v>RoadsCanESM27NoAdapt</v>
      </c>
      <c r="C1373" s="33" t="s">
        <v>216</v>
      </c>
      <c r="D1373" s="33" t="s">
        <v>0</v>
      </c>
      <c r="E1373" s="34">
        <v>7</v>
      </c>
      <c r="F1373" s="34"/>
      <c r="G1373" s="34" t="s">
        <v>87</v>
      </c>
      <c r="H1373" s="35"/>
      <c r="I1373" s="43" t="s">
        <v>77</v>
      </c>
      <c r="J1373" s="36"/>
      <c r="K1373" s="36"/>
      <c r="L1373" s="37"/>
      <c r="M1373" s="36"/>
      <c r="N1373" s="36"/>
      <c r="O1373" s="36"/>
    </row>
    <row r="1374" spans="1:16" x14ac:dyDescent="0.35">
      <c r="A1374" s="3">
        <f xml:space="preserve"> ROW( data_scaledImpacts[[#This Row],[row_id]] ) - ROW( data_scaledImpacts[[#Headers],[row_id]] )</f>
        <v>1373</v>
      </c>
      <c r="B1374" s="41" t="str">
        <f xml:space="preserve"> _xlfn.TEXTJOIN( "", , data_scaledImpacts[[#This Row],[sector]:[impactType]] )</f>
        <v>RoadsCCSM47NoAdapt</v>
      </c>
      <c r="C1374" s="33" t="s">
        <v>216</v>
      </c>
      <c r="D1374" s="33" t="s">
        <v>1</v>
      </c>
      <c r="E1374" s="34">
        <v>7</v>
      </c>
      <c r="F1374" s="34"/>
      <c r="G1374" s="34" t="s">
        <v>87</v>
      </c>
      <c r="H1374" s="35"/>
      <c r="I1374" s="43" t="s">
        <v>78</v>
      </c>
      <c r="J1374" s="36"/>
      <c r="K1374" s="36"/>
      <c r="L1374" s="37"/>
      <c r="M1374" s="36"/>
      <c r="N1374" s="36"/>
      <c r="O1374" s="36"/>
    </row>
    <row r="1375" spans="1:16" x14ac:dyDescent="0.35">
      <c r="A1375" s="3">
        <f xml:space="preserve"> ROW( data_scaledImpacts[[#This Row],[row_id]] ) - ROW( data_scaledImpacts[[#Headers],[row_id]] )</f>
        <v>1374</v>
      </c>
      <c r="B1375" s="41" t="str">
        <f xml:space="preserve"> _xlfn.TEXTJOIN( "", , data_scaledImpacts[[#This Row],[sector]:[impactType]] )</f>
        <v>RoadsGISS-E2-R7NoAdapt</v>
      </c>
      <c r="C1375" s="33" t="s">
        <v>216</v>
      </c>
      <c r="D1375" s="33" t="s">
        <v>2</v>
      </c>
      <c r="E1375" s="34">
        <v>7</v>
      </c>
      <c r="F1375" s="34"/>
      <c r="G1375" s="34" t="s">
        <v>87</v>
      </c>
      <c r="H1375" s="35"/>
      <c r="I1375" s="43" t="s">
        <v>79</v>
      </c>
      <c r="J1375" s="36"/>
      <c r="K1375" s="36"/>
      <c r="L1375" s="37"/>
      <c r="M1375" s="36"/>
      <c r="N1375" s="36"/>
      <c r="O1375" s="36"/>
    </row>
    <row r="1376" spans="1:16" x14ac:dyDescent="0.35">
      <c r="A1376" s="3">
        <f xml:space="preserve"> ROW( data_scaledImpacts[[#This Row],[row_id]] ) - ROW( data_scaledImpacts[[#Headers],[row_id]] )</f>
        <v>1375</v>
      </c>
      <c r="B1376" s="41" t="str">
        <f xml:space="preserve"> _xlfn.TEXTJOIN( "", , data_scaledImpacts[[#This Row],[sector]:[impactType]] )</f>
        <v>RoadsHadGEM2-ES7NoAdapt</v>
      </c>
      <c r="C1376" s="33" t="s">
        <v>216</v>
      </c>
      <c r="D1376" s="33" t="s">
        <v>3</v>
      </c>
      <c r="E1376" s="34">
        <v>7</v>
      </c>
      <c r="F1376" s="34"/>
      <c r="G1376" s="34" t="s">
        <v>87</v>
      </c>
      <c r="H1376" s="35"/>
      <c r="I1376" s="43" t="s">
        <v>80</v>
      </c>
      <c r="J1376" s="36"/>
      <c r="K1376" s="36"/>
      <c r="L1376" s="37"/>
      <c r="M1376" s="36"/>
      <c r="N1376" s="36"/>
      <c r="O1376" s="36"/>
    </row>
    <row r="1377" spans="1:16" x14ac:dyDescent="0.35">
      <c r="A1377" s="3">
        <f xml:space="preserve"> ROW( data_scaledImpacts[[#This Row],[row_id]] ) - ROW( data_scaledImpacts[[#Headers],[row_id]] )</f>
        <v>1376</v>
      </c>
      <c r="B1377" s="41" t="str">
        <f xml:space="preserve"> _xlfn.TEXTJOIN( "", , data_scaledImpacts[[#This Row],[sector]:[impactType]] )</f>
        <v>RoadsMIROC57NoAdapt</v>
      </c>
      <c r="C1377" s="33" t="s">
        <v>216</v>
      </c>
      <c r="D1377" s="33" t="s">
        <v>4</v>
      </c>
      <c r="E1377" s="34">
        <v>7</v>
      </c>
      <c r="F1377" s="34"/>
      <c r="G1377" s="34" t="s">
        <v>87</v>
      </c>
      <c r="H1377" s="35"/>
      <c r="I1377" s="43" t="s">
        <v>81</v>
      </c>
      <c r="J1377" s="36"/>
      <c r="K1377" s="36"/>
      <c r="L1377" s="37"/>
      <c r="M1377" s="36"/>
      <c r="N1377" s="36"/>
      <c r="O1377" s="36"/>
    </row>
    <row r="1378" spans="1:16" x14ac:dyDescent="0.35">
      <c r="A1378" s="3">
        <f xml:space="preserve"> ROW( data_scaledImpacts[[#This Row],[row_id]] ) - ROW( data_scaledImpacts[[#Headers],[row_id]] )</f>
        <v>1377</v>
      </c>
      <c r="B1378" s="41" t="str">
        <f xml:space="preserve"> _xlfn.TEXTJOIN( "", , data_scaledImpacts[[#This Row],[sector]:[impactType]] )</f>
        <v>RoadsGFDL-CM37NoAdapt</v>
      </c>
      <c r="C1378" s="33" t="s">
        <v>216</v>
      </c>
      <c r="D1378" s="33" t="s">
        <v>5</v>
      </c>
      <c r="E1378" s="34">
        <v>7</v>
      </c>
      <c r="F1378" s="34"/>
      <c r="G1378" s="34" t="s">
        <v>87</v>
      </c>
      <c r="H1378" s="35"/>
      <c r="I1378" s="43" t="s">
        <v>82</v>
      </c>
      <c r="J1378" s="36"/>
      <c r="K1378" s="36"/>
      <c r="L1378" s="37"/>
      <c r="M1378" s="36"/>
      <c r="N1378" s="36"/>
      <c r="O1378" s="36"/>
    </row>
    <row r="1379" spans="1:16" x14ac:dyDescent="0.35">
      <c r="A1379" s="3">
        <f xml:space="preserve"> ROW( data_scaledImpacts[[#This Row],[row_id]] ) - ROW( data_scaledImpacts[[#Headers],[row_id]] )</f>
        <v>1378</v>
      </c>
      <c r="B1379" s="41" t="str">
        <f xml:space="preserve"> _xlfn.TEXTJOIN( "", , data_scaledImpacts[[#This Row],[sector]:[impactType]] )</f>
        <v>RoadsGCM Average7NoAdapt</v>
      </c>
      <c r="C1379" s="33" t="s">
        <v>216</v>
      </c>
      <c r="D1379" s="33" t="s">
        <v>15</v>
      </c>
      <c r="E1379" s="34">
        <v>7</v>
      </c>
      <c r="F1379" s="34"/>
      <c r="G1379" s="34" t="s">
        <v>87</v>
      </c>
      <c r="H1379" s="35"/>
      <c r="I1379" s="43" t="s">
        <v>83</v>
      </c>
      <c r="J1379" s="36" t="s">
        <v>26</v>
      </c>
      <c r="K1379" s="36" t="s">
        <v>26</v>
      </c>
      <c r="L1379" s="37" t="s">
        <v>26</v>
      </c>
      <c r="M1379" s="36" t="s">
        <v>26</v>
      </c>
      <c r="N1379" s="36" t="s">
        <v>26</v>
      </c>
      <c r="O1379" s="36"/>
      <c r="P1379" t="s">
        <v>26</v>
      </c>
    </row>
    <row r="1380" spans="1:16" x14ac:dyDescent="0.35">
      <c r="A1380" s="3">
        <f xml:space="preserve"> ROW( data_scaledImpacts[[#This Row],[row_id]] ) - ROW( data_scaledImpacts[[#Headers],[row_id]] )</f>
        <v>1379</v>
      </c>
      <c r="B1380" s="41" t="str">
        <f xml:space="preserve"> _xlfn.TEXTJOIN( "", , data_scaledImpacts[[#This Row],[sector]:[impactType]] )</f>
        <v>RoadsCanESM21Reactive</v>
      </c>
      <c r="C1380" s="33" t="s">
        <v>216</v>
      </c>
      <c r="D1380" s="33" t="s">
        <v>0</v>
      </c>
      <c r="E1380" s="34">
        <v>1</v>
      </c>
      <c r="F1380" s="34"/>
      <c r="G1380" s="34" t="s">
        <v>88</v>
      </c>
      <c r="H1380" s="35"/>
      <c r="I1380" s="43" t="s">
        <v>35</v>
      </c>
      <c r="J1380" s="36">
        <v>-97.44084573523341</v>
      </c>
      <c r="K1380" s="36">
        <v>425.14108571991278</v>
      </c>
      <c r="L1380" s="37">
        <v>670.5353072953875</v>
      </c>
      <c r="M1380" s="36">
        <v>693.7853699925023</v>
      </c>
      <c r="N1380" s="36">
        <v>1237.3185232945439</v>
      </c>
      <c r="O1380" s="36">
        <v>912.23084093429634</v>
      </c>
      <c r="P1380">
        <v>1132.0410450359259</v>
      </c>
    </row>
    <row r="1381" spans="1:16" x14ac:dyDescent="0.35">
      <c r="A1381" s="3">
        <f xml:space="preserve"> ROW( data_scaledImpacts[[#This Row],[row_id]] ) - ROW( data_scaledImpacts[[#Headers],[row_id]] )</f>
        <v>1380</v>
      </c>
      <c r="B1381" s="41" t="str">
        <f xml:space="preserve"> _xlfn.TEXTJOIN( "", , data_scaledImpacts[[#This Row],[sector]:[impactType]] )</f>
        <v>RoadsCCSM41Reactive</v>
      </c>
      <c r="C1381" s="33" t="s">
        <v>216</v>
      </c>
      <c r="D1381" s="33" t="s">
        <v>1</v>
      </c>
      <c r="E1381" s="34">
        <v>1</v>
      </c>
      <c r="F1381" s="34"/>
      <c r="G1381" s="34" t="s">
        <v>88</v>
      </c>
      <c r="H1381" s="35"/>
      <c r="I1381" s="43" t="s">
        <v>36</v>
      </c>
      <c r="J1381" s="36">
        <v>-32.569074355272541</v>
      </c>
      <c r="K1381" s="36">
        <v>309.32731915978536</v>
      </c>
      <c r="L1381" s="37">
        <v>656.56407963077049</v>
      </c>
      <c r="M1381" s="36">
        <v>63.594891504017006</v>
      </c>
      <c r="N1381" s="36">
        <v>-18.266782001656139</v>
      </c>
      <c r="O1381" s="36">
        <v>943.57904223542278</v>
      </c>
      <c r="P1381">
        <v>-875.46134227412176</v>
      </c>
    </row>
    <row r="1382" spans="1:16" x14ac:dyDescent="0.35">
      <c r="A1382" s="3">
        <f xml:space="preserve"> ROW( data_scaledImpacts[[#This Row],[row_id]] ) - ROW( data_scaledImpacts[[#Headers],[row_id]] )</f>
        <v>1381</v>
      </c>
      <c r="B1382" s="41" t="str">
        <f xml:space="preserve"> _xlfn.TEXTJOIN( "", , data_scaledImpacts[[#This Row],[sector]:[impactType]] )</f>
        <v>RoadsGISS-E2-R1Reactive</v>
      </c>
      <c r="C1382" s="33" t="s">
        <v>216</v>
      </c>
      <c r="D1382" s="33" t="s">
        <v>2</v>
      </c>
      <c r="E1382" s="34">
        <v>1</v>
      </c>
      <c r="F1382" s="34"/>
      <c r="G1382" s="34" t="s">
        <v>88</v>
      </c>
      <c r="H1382" s="35"/>
      <c r="I1382" s="43" t="s">
        <v>37</v>
      </c>
      <c r="J1382" s="36">
        <v>370.19326337340351</v>
      </c>
      <c r="K1382" s="36">
        <v>501.57349322356157</v>
      </c>
      <c r="L1382" s="37">
        <v>229.67692255775921</v>
      </c>
      <c r="M1382" s="36">
        <v>1279.1841895236732</v>
      </c>
      <c r="N1382" s="36">
        <v>-81.16616846602129</v>
      </c>
      <c r="O1382" s="36">
        <v>-87.449833520894501</v>
      </c>
      <c r="P1382">
        <v>1539.1191981793934</v>
      </c>
    </row>
    <row r="1383" spans="1:16" x14ac:dyDescent="0.35">
      <c r="A1383" s="3">
        <f xml:space="preserve"> ROW( data_scaledImpacts[[#This Row],[row_id]] ) - ROW( data_scaledImpacts[[#Headers],[row_id]] )</f>
        <v>1382</v>
      </c>
      <c r="B1383" s="41" t="str">
        <f xml:space="preserve"> _xlfn.TEXTJOIN( "", , data_scaledImpacts[[#This Row],[sector]:[impactType]] )</f>
        <v>RoadsHadGEM2-ES1Reactive</v>
      </c>
      <c r="C1383" s="33" t="s">
        <v>216</v>
      </c>
      <c r="D1383" s="33" t="s">
        <v>3</v>
      </c>
      <c r="E1383" s="34">
        <v>1</v>
      </c>
      <c r="F1383" s="34"/>
      <c r="G1383" s="34" t="s">
        <v>88</v>
      </c>
      <c r="H1383" s="35"/>
      <c r="I1383" s="43" t="s">
        <v>38</v>
      </c>
      <c r="J1383" s="36">
        <v>707.59649647626782</v>
      </c>
      <c r="K1383" s="36">
        <v>1865.8953561784949</v>
      </c>
      <c r="L1383" s="37">
        <v>600.61653238592373</v>
      </c>
      <c r="M1383" s="36">
        <v>660.00733649202698</v>
      </c>
      <c r="N1383" s="36">
        <v>3438.6877375264235</v>
      </c>
      <c r="O1383" s="36">
        <v>1235.4521049197849</v>
      </c>
      <c r="P1383">
        <v>672.96402332103719</v>
      </c>
    </row>
    <row r="1384" spans="1:16" x14ac:dyDescent="0.35">
      <c r="A1384" s="3">
        <f xml:space="preserve"> ROW( data_scaledImpacts[[#This Row],[row_id]] ) - ROW( data_scaledImpacts[[#Headers],[row_id]] )</f>
        <v>1383</v>
      </c>
      <c r="B1384" s="41" t="str">
        <f xml:space="preserve"> _xlfn.TEXTJOIN( "", , data_scaledImpacts[[#This Row],[sector]:[impactType]] )</f>
        <v>RoadsMIROC51Reactive</v>
      </c>
      <c r="C1384" s="33" t="s">
        <v>216</v>
      </c>
      <c r="D1384" s="33" t="s">
        <v>4</v>
      </c>
      <c r="E1384" s="34">
        <v>1</v>
      </c>
      <c r="F1384" s="34"/>
      <c r="G1384" s="34" t="s">
        <v>88</v>
      </c>
      <c r="H1384" s="35"/>
      <c r="I1384" s="43" t="s">
        <v>39</v>
      </c>
      <c r="J1384" s="36">
        <v>111.14934576658753</v>
      </c>
      <c r="K1384" s="36">
        <v>327.36296875879651</v>
      </c>
      <c r="L1384" s="37">
        <v>266.43571863385426</v>
      </c>
      <c r="M1384" s="36">
        <v>2551.1707641679591</v>
      </c>
      <c r="N1384" s="36">
        <v>843.50190160635464</v>
      </c>
      <c r="O1384" s="36">
        <v>1223.3914997653781</v>
      </c>
      <c r="P1384">
        <v>-1528.5975353671508</v>
      </c>
    </row>
    <row r="1385" spans="1:16" x14ac:dyDescent="0.35">
      <c r="A1385" s="3">
        <f xml:space="preserve"> ROW( data_scaledImpacts[[#This Row],[row_id]] ) - ROW( data_scaledImpacts[[#Headers],[row_id]] )</f>
        <v>1384</v>
      </c>
      <c r="B1385" s="41" t="str">
        <f xml:space="preserve"> _xlfn.TEXTJOIN( "", , data_scaledImpacts[[#This Row],[sector]:[impactType]] )</f>
        <v>RoadsGFDL-CM31Reactive</v>
      </c>
      <c r="C1385" s="33" t="s">
        <v>216</v>
      </c>
      <c r="D1385" s="33" t="s">
        <v>5</v>
      </c>
      <c r="E1385" s="34">
        <v>1</v>
      </c>
      <c r="F1385" s="34"/>
      <c r="G1385" s="34" t="s">
        <v>88</v>
      </c>
      <c r="H1385" s="35"/>
      <c r="I1385" s="43" t="s">
        <v>40</v>
      </c>
      <c r="J1385" s="36">
        <v>66.940364185474792</v>
      </c>
      <c r="K1385" s="36">
        <v>644.00772509756189</v>
      </c>
      <c r="L1385" s="37">
        <v>453.94628427915177</v>
      </c>
      <c r="M1385" s="36">
        <v>-95.404841037013725</v>
      </c>
      <c r="N1385" s="36">
        <v>582.32398701900399</v>
      </c>
      <c r="O1385" s="36">
        <v>938.23545395748135</v>
      </c>
      <c r="P1385">
        <v>-724.54326291806251</v>
      </c>
    </row>
    <row r="1386" spans="1:16" x14ac:dyDescent="0.35">
      <c r="A1386" s="3">
        <f xml:space="preserve"> ROW( data_scaledImpacts[[#This Row],[row_id]] ) - ROW( data_scaledImpacts[[#Headers],[row_id]] )</f>
        <v>1385</v>
      </c>
      <c r="B1386" s="41" t="str">
        <f xml:space="preserve"> _xlfn.TEXTJOIN( "", , data_scaledImpacts[[#This Row],[sector]:[impactType]] )</f>
        <v>RoadsGCM Average1Reactive</v>
      </c>
      <c r="C1386" s="33" t="s">
        <v>216</v>
      </c>
      <c r="D1386" s="33" t="s">
        <v>15</v>
      </c>
      <c r="E1386" s="34">
        <v>1</v>
      </c>
      <c r="F1386" s="34"/>
      <c r="G1386" s="34" t="s">
        <v>88</v>
      </c>
      <c r="H1386" s="35"/>
      <c r="I1386" s="43" t="s">
        <v>41</v>
      </c>
      <c r="J1386" s="36">
        <v>187.6449249518713</v>
      </c>
      <c r="K1386" s="36">
        <v>678.8846580230188</v>
      </c>
      <c r="L1386" s="37">
        <v>479.62914079714113</v>
      </c>
      <c r="M1386" s="36">
        <v>858.72295177386093</v>
      </c>
      <c r="N1386" s="36">
        <v>1000.3998664964414</v>
      </c>
      <c r="O1386" s="36">
        <v>860.90651804857816</v>
      </c>
      <c r="P1386">
        <v>35.920354329503574</v>
      </c>
    </row>
    <row r="1387" spans="1:16" x14ac:dyDescent="0.35">
      <c r="A1387" s="3">
        <f xml:space="preserve"> ROW( data_scaledImpacts[[#This Row],[row_id]] ) - ROW( data_scaledImpacts[[#Headers],[row_id]] )</f>
        <v>1386</v>
      </c>
      <c r="B1387" s="41" t="str">
        <f xml:space="preserve"> _xlfn.TEXTJOIN( "", , data_scaledImpacts[[#This Row],[sector]:[impactType]] )</f>
        <v>RoadsCanESM22Reactive</v>
      </c>
      <c r="C1387" s="33" t="s">
        <v>216</v>
      </c>
      <c r="D1387" s="33" t="s">
        <v>0</v>
      </c>
      <c r="E1387" s="34">
        <v>2</v>
      </c>
      <c r="F1387" s="34"/>
      <c r="G1387" s="34" t="s">
        <v>88</v>
      </c>
      <c r="H1387" s="35"/>
      <c r="I1387" s="43" t="s">
        <v>42</v>
      </c>
      <c r="J1387" s="36">
        <v>254.51081443205572</v>
      </c>
      <c r="K1387" s="36">
        <v>943.95496809654946</v>
      </c>
      <c r="L1387" s="37">
        <v>510.61456024377424</v>
      </c>
      <c r="M1387" s="36">
        <v>1159.0894705936905</v>
      </c>
      <c r="N1387" s="36">
        <v>206.12946277270731</v>
      </c>
      <c r="O1387" s="36">
        <v>1380.2390530892908</v>
      </c>
      <c r="P1387">
        <v>2446.2233264677029</v>
      </c>
    </row>
    <row r="1388" spans="1:16" x14ac:dyDescent="0.35">
      <c r="A1388" s="3">
        <f xml:space="preserve"> ROW( data_scaledImpacts[[#This Row],[row_id]] ) - ROW( data_scaledImpacts[[#Headers],[row_id]] )</f>
        <v>1387</v>
      </c>
      <c r="B1388" s="41" t="str">
        <f xml:space="preserve"> _xlfn.TEXTJOIN( "", , data_scaledImpacts[[#This Row],[sector]:[impactType]] )</f>
        <v>RoadsCCSM42Reactive</v>
      </c>
      <c r="C1388" s="33" t="s">
        <v>216</v>
      </c>
      <c r="D1388" s="33" t="s">
        <v>1</v>
      </c>
      <c r="E1388" s="34">
        <v>2</v>
      </c>
      <c r="F1388" s="34"/>
      <c r="G1388" s="34" t="s">
        <v>88</v>
      </c>
      <c r="H1388" s="35"/>
      <c r="I1388" s="43" t="s">
        <v>43</v>
      </c>
      <c r="J1388" s="36">
        <v>1021.5660110707594</v>
      </c>
      <c r="K1388" s="36">
        <v>3326.1941424235933</v>
      </c>
      <c r="L1388" s="37">
        <v>517.00094754879126</v>
      </c>
      <c r="M1388" s="36">
        <v>1355.7941983244555</v>
      </c>
      <c r="N1388" s="36">
        <v>1287.9248303409788</v>
      </c>
      <c r="O1388" s="36">
        <v>1190.3031855780912</v>
      </c>
      <c r="P1388">
        <v>1270.4676569121784</v>
      </c>
    </row>
    <row r="1389" spans="1:16" x14ac:dyDescent="0.35">
      <c r="A1389" s="3">
        <f xml:space="preserve"> ROW( data_scaledImpacts[[#This Row],[row_id]] ) - ROW( data_scaledImpacts[[#Headers],[row_id]] )</f>
        <v>1388</v>
      </c>
      <c r="B1389" s="41" t="str">
        <f xml:space="preserve"> _xlfn.TEXTJOIN( "", , data_scaledImpacts[[#This Row],[sector]:[impactType]] )</f>
        <v>RoadsGISS-E2-R2Reactive</v>
      </c>
      <c r="C1389" s="33" t="s">
        <v>216</v>
      </c>
      <c r="D1389" s="33" t="s">
        <v>2</v>
      </c>
      <c r="E1389" s="34">
        <v>2</v>
      </c>
      <c r="F1389" s="34"/>
      <c r="G1389" s="34" t="s">
        <v>88</v>
      </c>
      <c r="H1389" s="35"/>
      <c r="I1389" s="43" t="s">
        <v>44</v>
      </c>
      <c r="J1389" s="36">
        <v>478.86843599226933</v>
      </c>
      <c r="K1389" s="36">
        <v>1741.4740873050712</v>
      </c>
      <c r="L1389" s="37">
        <v>944.33176978452627</v>
      </c>
      <c r="M1389" s="36">
        <v>2227.2084884524329</v>
      </c>
      <c r="N1389" s="36">
        <v>812.74951929385429</v>
      </c>
      <c r="O1389" s="36">
        <v>739.87477038523514</v>
      </c>
      <c r="P1389">
        <v>2740.4126213440813</v>
      </c>
    </row>
    <row r="1390" spans="1:16" x14ac:dyDescent="0.35">
      <c r="A1390" s="3">
        <f xml:space="preserve"> ROW( data_scaledImpacts[[#This Row],[row_id]] ) - ROW( data_scaledImpacts[[#Headers],[row_id]] )</f>
        <v>1389</v>
      </c>
      <c r="B1390" s="41" t="str">
        <f xml:space="preserve"> _xlfn.TEXTJOIN( "", , data_scaledImpacts[[#This Row],[sector]:[impactType]] )</f>
        <v>RoadsHadGEM2-ES2Reactive</v>
      </c>
      <c r="C1390" s="33" t="s">
        <v>216</v>
      </c>
      <c r="D1390" s="33" t="s">
        <v>3</v>
      </c>
      <c r="E1390" s="34">
        <v>2</v>
      </c>
      <c r="F1390" s="34"/>
      <c r="G1390" s="34" t="s">
        <v>88</v>
      </c>
      <c r="H1390" s="35"/>
      <c r="I1390" s="43" t="s">
        <v>45</v>
      </c>
      <c r="J1390" s="36">
        <v>1372.2274770218326</v>
      </c>
      <c r="K1390" s="36">
        <v>2197.1250265525823</v>
      </c>
      <c r="L1390" s="37">
        <v>730.39477790467913</v>
      </c>
      <c r="M1390" s="36">
        <v>2344.8702305332449</v>
      </c>
      <c r="N1390" s="36">
        <v>1900.0357946904367</v>
      </c>
      <c r="O1390" s="36">
        <v>1347.6698751090244</v>
      </c>
      <c r="P1390">
        <v>3422.102371740998</v>
      </c>
    </row>
    <row r="1391" spans="1:16" x14ac:dyDescent="0.35">
      <c r="A1391" s="3">
        <f xml:space="preserve"> ROW( data_scaledImpacts[[#This Row],[row_id]] ) - ROW( data_scaledImpacts[[#Headers],[row_id]] )</f>
        <v>1390</v>
      </c>
      <c r="B1391" s="41" t="str">
        <f xml:space="preserve"> _xlfn.TEXTJOIN( "", , data_scaledImpacts[[#This Row],[sector]:[impactType]] )</f>
        <v>RoadsMIROC52Reactive</v>
      </c>
      <c r="C1391" s="33" t="s">
        <v>216</v>
      </c>
      <c r="D1391" s="33" t="s">
        <v>4</v>
      </c>
      <c r="E1391" s="34">
        <v>2</v>
      </c>
      <c r="F1391" s="34"/>
      <c r="G1391" s="34" t="s">
        <v>88</v>
      </c>
      <c r="H1391" s="35"/>
      <c r="I1391" s="43" t="s">
        <v>46</v>
      </c>
      <c r="J1391" s="36">
        <v>942.42073229196671</v>
      </c>
      <c r="K1391" s="36">
        <v>2106.7401891332925</v>
      </c>
      <c r="L1391" s="37">
        <v>220.92094648875064</v>
      </c>
      <c r="M1391" s="36">
        <v>1067.1834515170203</v>
      </c>
      <c r="N1391" s="36">
        <v>1174.1307207815662</v>
      </c>
      <c r="O1391" s="36">
        <v>1123.6449189809471</v>
      </c>
      <c r="P1391">
        <v>-665.32853886517637</v>
      </c>
    </row>
    <row r="1392" spans="1:16" x14ac:dyDescent="0.35">
      <c r="A1392" s="3">
        <f xml:space="preserve"> ROW( data_scaledImpacts[[#This Row],[row_id]] ) - ROW( data_scaledImpacts[[#Headers],[row_id]] )</f>
        <v>1391</v>
      </c>
      <c r="B1392" s="41" t="str">
        <f xml:space="preserve"> _xlfn.TEXTJOIN( "", , data_scaledImpacts[[#This Row],[sector]:[impactType]] )</f>
        <v>RoadsGFDL-CM32Reactive</v>
      </c>
      <c r="C1392" s="33" t="s">
        <v>216</v>
      </c>
      <c r="D1392" s="33" t="s">
        <v>5</v>
      </c>
      <c r="E1392" s="34">
        <v>2</v>
      </c>
      <c r="F1392" s="34"/>
      <c r="G1392" s="34" t="s">
        <v>88</v>
      </c>
      <c r="H1392" s="35"/>
      <c r="I1392" s="43" t="s">
        <v>47</v>
      </c>
      <c r="J1392" s="36">
        <v>456.69780308327546</v>
      </c>
      <c r="K1392" s="36">
        <v>1139.1443132179429</v>
      </c>
      <c r="L1392" s="37">
        <v>102.60287787635336</v>
      </c>
      <c r="M1392" s="36">
        <v>1039.002028154719</v>
      </c>
      <c r="N1392" s="36">
        <v>1367.6158953531233</v>
      </c>
      <c r="O1392" s="36">
        <v>868.83653493797317</v>
      </c>
      <c r="P1392">
        <v>1357.9939765904498</v>
      </c>
    </row>
    <row r="1393" spans="1:16" x14ac:dyDescent="0.35">
      <c r="A1393" s="3">
        <f xml:space="preserve"> ROW( data_scaledImpacts[[#This Row],[row_id]] ) - ROW( data_scaledImpacts[[#Headers],[row_id]] )</f>
        <v>1392</v>
      </c>
      <c r="B1393" s="41" t="str">
        <f xml:space="preserve"> _xlfn.TEXTJOIN( "", , data_scaledImpacts[[#This Row],[sector]:[impactType]] )</f>
        <v>RoadsGCM Average2Reactive</v>
      </c>
      <c r="C1393" s="33" t="s">
        <v>216</v>
      </c>
      <c r="D1393" s="33" t="s">
        <v>15</v>
      </c>
      <c r="E1393" s="34">
        <v>2</v>
      </c>
      <c r="F1393" s="34"/>
      <c r="G1393" s="34" t="s">
        <v>88</v>
      </c>
      <c r="H1393" s="35"/>
      <c r="I1393" s="43" t="s">
        <v>48</v>
      </c>
      <c r="J1393" s="36">
        <v>754.38187898202648</v>
      </c>
      <c r="K1393" s="36">
        <v>1909.1054544548385</v>
      </c>
      <c r="L1393" s="37">
        <v>504.31097997447927</v>
      </c>
      <c r="M1393" s="36">
        <v>1532.1913112625941</v>
      </c>
      <c r="N1393" s="36">
        <v>1124.7643705387777</v>
      </c>
      <c r="O1393" s="36">
        <v>1108.4280563467603</v>
      </c>
      <c r="P1393">
        <v>1761.9785690317055</v>
      </c>
    </row>
    <row r="1394" spans="1:16" x14ac:dyDescent="0.35">
      <c r="A1394" s="3">
        <f xml:space="preserve"> ROW( data_scaledImpacts[[#This Row],[row_id]] ) - ROW( data_scaledImpacts[[#Headers],[row_id]] )</f>
        <v>1393</v>
      </c>
      <c r="B1394" s="41" t="str">
        <f xml:space="preserve"> _xlfn.TEXTJOIN( "", , data_scaledImpacts[[#This Row],[sector]:[impactType]] )</f>
        <v>RoadsCanESM23Reactive</v>
      </c>
      <c r="C1394" s="33" t="s">
        <v>216</v>
      </c>
      <c r="D1394" s="33" t="s">
        <v>0</v>
      </c>
      <c r="E1394" s="34">
        <v>3</v>
      </c>
      <c r="F1394" s="34"/>
      <c r="G1394" s="34" t="s">
        <v>88</v>
      </c>
      <c r="H1394" s="35"/>
      <c r="I1394" s="43" t="s">
        <v>49</v>
      </c>
      <c r="J1394" s="36">
        <v>1504.7761879040795</v>
      </c>
      <c r="K1394" s="36">
        <v>2464.9682706568155</v>
      </c>
      <c r="L1394" s="37">
        <v>1617.738135580659</v>
      </c>
      <c r="M1394" s="36">
        <v>4029.6675943117243</v>
      </c>
      <c r="N1394" s="36">
        <v>697.20048531031671</v>
      </c>
      <c r="O1394" s="36">
        <v>1399.4344846858535</v>
      </c>
      <c r="P1394">
        <v>4800.2242145397431</v>
      </c>
    </row>
    <row r="1395" spans="1:16" x14ac:dyDescent="0.35">
      <c r="A1395" s="3">
        <f xml:space="preserve"> ROW( data_scaledImpacts[[#This Row],[row_id]] ) - ROW( data_scaledImpacts[[#Headers],[row_id]] )</f>
        <v>1394</v>
      </c>
      <c r="B1395" s="41" t="str">
        <f xml:space="preserve"> _xlfn.TEXTJOIN( "", , data_scaledImpacts[[#This Row],[sector]:[impactType]] )</f>
        <v>RoadsCCSM43Reactive</v>
      </c>
      <c r="C1395" s="33" t="s">
        <v>216</v>
      </c>
      <c r="D1395" s="33" t="s">
        <v>1</v>
      </c>
      <c r="E1395" s="34">
        <v>3</v>
      </c>
      <c r="F1395" s="34"/>
      <c r="G1395" s="34" t="s">
        <v>88</v>
      </c>
      <c r="H1395" s="35"/>
      <c r="I1395" s="43" t="s">
        <v>50</v>
      </c>
      <c r="J1395" s="36">
        <v>1833.5239905720009</v>
      </c>
      <c r="K1395" s="36">
        <v>2445.3903331562356</v>
      </c>
      <c r="L1395" s="37">
        <v>1890.8338911225699</v>
      </c>
      <c r="M1395" s="36">
        <v>2628.0626943739353</v>
      </c>
      <c r="N1395" s="36">
        <v>1184.7340918325176</v>
      </c>
      <c r="O1395" s="36">
        <v>1226.8186747809725</v>
      </c>
      <c r="P1395">
        <v>2474.9668797078871</v>
      </c>
    </row>
    <row r="1396" spans="1:16" x14ac:dyDescent="0.35">
      <c r="A1396" s="3">
        <f xml:space="preserve"> ROW( data_scaledImpacts[[#This Row],[row_id]] ) - ROW( data_scaledImpacts[[#Headers],[row_id]] )</f>
        <v>1395</v>
      </c>
      <c r="B1396" s="41" t="str">
        <f xml:space="preserve"> _xlfn.TEXTJOIN( "", , data_scaledImpacts[[#This Row],[sector]:[impactType]] )</f>
        <v>RoadsGISS-E2-R3Reactive</v>
      </c>
      <c r="C1396" s="33" t="s">
        <v>216</v>
      </c>
      <c r="D1396" s="33" t="s">
        <v>2</v>
      </c>
      <c r="E1396" s="34">
        <v>3</v>
      </c>
      <c r="F1396" s="34"/>
      <c r="G1396" s="34" t="s">
        <v>88</v>
      </c>
      <c r="H1396" s="35"/>
      <c r="I1396" s="43" t="s">
        <v>51</v>
      </c>
      <c r="J1396" s="36">
        <v>2122.9927804078297</v>
      </c>
      <c r="K1396" s="36">
        <v>1586.5929366110761</v>
      </c>
      <c r="L1396" s="37">
        <v>1320.6604264160128</v>
      </c>
      <c r="M1396" s="36">
        <v>4500.8447911754665</v>
      </c>
      <c r="N1396" s="36">
        <v>1301.3491360703531</v>
      </c>
      <c r="O1396" s="36">
        <v>1277.7841812834945</v>
      </c>
      <c r="P1396">
        <v>3760.3564163111964</v>
      </c>
    </row>
    <row r="1397" spans="1:16" x14ac:dyDescent="0.35">
      <c r="A1397" s="3">
        <f xml:space="preserve"> ROW( data_scaledImpacts[[#This Row],[row_id]] ) - ROW( data_scaledImpacts[[#Headers],[row_id]] )</f>
        <v>1396</v>
      </c>
      <c r="B1397" s="41" t="str">
        <f xml:space="preserve"> _xlfn.TEXTJOIN( "", , data_scaledImpacts[[#This Row],[sector]:[impactType]] )</f>
        <v>RoadsHadGEM2-ES3Reactive</v>
      </c>
      <c r="C1397" s="33" t="s">
        <v>216</v>
      </c>
      <c r="D1397" s="33" t="s">
        <v>3</v>
      </c>
      <c r="E1397" s="34">
        <v>3</v>
      </c>
      <c r="F1397" s="34"/>
      <c r="G1397" s="34" t="s">
        <v>88</v>
      </c>
      <c r="H1397" s="35"/>
      <c r="I1397" s="43" t="s">
        <v>52</v>
      </c>
      <c r="J1397" s="36">
        <v>3081.831971763032</v>
      </c>
      <c r="K1397" s="36">
        <v>4371.6564276397357</v>
      </c>
      <c r="L1397" s="37">
        <v>1895.7967827059463</v>
      </c>
      <c r="M1397" s="36">
        <v>4481.1774577242832</v>
      </c>
      <c r="N1397" s="36">
        <v>4797.5419633657039</v>
      </c>
      <c r="O1397" s="36">
        <v>1314.31878739687</v>
      </c>
      <c r="P1397">
        <v>3852.2514500325487</v>
      </c>
    </row>
    <row r="1398" spans="1:16" x14ac:dyDescent="0.35">
      <c r="A1398" s="3">
        <f xml:space="preserve"> ROW( data_scaledImpacts[[#This Row],[row_id]] ) - ROW( data_scaledImpacts[[#Headers],[row_id]] )</f>
        <v>1397</v>
      </c>
      <c r="B1398" s="41" t="str">
        <f xml:space="preserve"> _xlfn.TEXTJOIN( "", , data_scaledImpacts[[#This Row],[sector]:[impactType]] )</f>
        <v>RoadsMIROC53Reactive</v>
      </c>
      <c r="C1398" s="33" t="s">
        <v>216</v>
      </c>
      <c r="D1398" s="33" t="s">
        <v>4</v>
      </c>
      <c r="E1398" s="34">
        <v>3</v>
      </c>
      <c r="F1398" s="34"/>
      <c r="G1398" s="34" t="s">
        <v>88</v>
      </c>
      <c r="H1398" s="35"/>
      <c r="I1398" s="43" t="s">
        <v>53</v>
      </c>
      <c r="J1398" s="36">
        <v>930.94547494625704</v>
      </c>
      <c r="K1398" s="36">
        <v>1400.4292843384444</v>
      </c>
      <c r="L1398" s="37">
        <v>528.46084779827436</v>
      </c>
      <c r="M1398" s="36">
        <v>5434.93876283398</v>
      </c>
      <c r="N1398" s="36">
        <v>1328.8275078714928</v>
      </c>
      <c r="O1398" s="36">
        <v>1864.7784314169055</v>
      </c>
      <c r="P1398">
        <v>1284.7600496623875</v>
      </c>
    </row>
    <row r="1399" spans="1:16" x14ac:dyDescent="0.35">
      <c r="A1399" s="3">
        <f xml:space="preserve"> ROW( data_scaledImpacts[[#This Row],[row_id]] ) - ROW( data_scaledImpacts[[#Headers],[row_id]] )</f>
        <v>1398</v>
      </c>
      <c r="B1399" s="41" t="str">
        <f xml:space="preserve"> _xlfn.TEXTJOIN( "", , data_scaledImpacts[[#This Row],[sector]:[impactType]] )</f>
        <v>RoadsGFDL-CM33Reactive</v>
      </c>
      <c r="C1399" s="33" t="s">
        <v>216</v>
      </c>
      <c r="D1399" s="33" t="s">
        <v>5</v>
      </c>
      <c r="E1399" s="34">
        <v>3</v>
      </c>
      <c r="F1399" s="34"/>
      <c r="G1399" s="34" t="s">
        <v>88</v>
      </c>
      <c r="H1399" s="35"/>
      <c r="I1399" s="43" t="s">
        <v>54</v>
      </c>
      <c r="J1399" s="36">
        <v>1056.0504769005936</v>
      </c>
      <c r="K1399" s="36">
        <v>1795.3544085010683</v>
      </c>
      <c r="L1399" s="37">
        <v>860.08701228157611</v>
      </c>
      <c r="M1399" s="36">
        <v>2707.3519212308756</v>
      </c>
      <c r="N1399" s="36">
        <v>1294.4387033968526</v>
      </c>
      <c r="O1399" s="36">
        <v>2164.0836326886556</v>
      </c>
      <c r="P1399">
        <v>3853.0956054210928</v>
      </c>
    </row>
    <row r="1400" spans="1:16" x14ac:dyDescent="0.35">
      <c r="A1400" s="3">
        <f xml:space="preserve"> ROW( data_scaledImpacts[[#This Row],[row_id]] ) - ROW( data_scaledImpacts[[#Headers],[row_id]] )</f>
        <v>1399</v>
      </c>
      <c r="B1400" s="41" t="str">
        <f xml:space="preserve"> _xlfn.TEXTJOIN( "", , data_scaledImpacts[[#This Row],[sector]:[impactType]] )</f>
        <v>RoadsGCM Average3Reactive</v>
      </c>
      <c r="C1400" s="33" t="s">
        <v>216</v>
      </c>
      <c r="D1400" s="33" t="s">
        <v>15</v>
      </c>
      <c r="E1400" s="34">
        <v>3</v>
      </c>
      <c r="F1400" s="34"/>
      <c r="G1400" s="34" t="s">
        <v>88</v>
      </c>
      <c r="H1400" s="35"/>
      <c r="I1400" s="43" t="s">
        <v>55</v>
      </c>
      <c r="J1400" s="36">
        <v>1755.0201470822988</v>
      </c>
      <c r="K1400" s="36">
        <v>2344.065276817229</v>
      </c>
      <c r="L1400" s="37">
        <v>1352.2628493175064</v>
      </c>
      <c r="M1400" s="36">
        <v>3963.673870275044</v>
      </c>
      <c r="N1400" s="36">
        <v>1767.3486479745395</v>
      </c>
      <c r="O1400" s="36">
        <v>1541.2030320421254</v>
      </c>
      <c r="P1400">
        <v>3337.6091026124759</v>
      </c>
    </row>
    <row r="1401" spans="1:16" x14ac:dyDescent="0.35">
      <c r="A1401" s="3">
        <f xml:space="preserve"> ROW( data_scaledImpacts[[#This Row],[row_id]] ) - ROW( data_scaledImpacts[[#Headers],[row_id]] )</f>
        <v>1400</v>
      </c>
      <c r="B1401" s="41" t="str">
        <f xml:space="preserve"> _xlfn.TEXTJOIN( "", , data_scaledImpacts[[#This Row],[sector]:[impactType]] )</f>
        <v>RoadsCanESM24Reactive</v>
      </c>
      <c r="C1401" s="33" t="s">
        <v>216</v>
      </c>
      <c r="D1401" s="33" t="s">
        <v>0</v>
      </c>
      <c r="E1401" s="34">
        <v>4</v>
      </c>
      <c r="F1401" s="34"/>
      <c r="G1401" s="34" t="s">
        <v>88</v>
      </c>
      <c r="H1401" s="35"/>
      <c r="I1401" s="43" t="s">
        <v>56</v>
      </c>
      <c r="J1401" s="36">
        <v>1291.3699864468081</v>
      </c>
      <c r="K1401" s="36">
        <v>2568.4380262754134</v>
      </c>
      <c r="L1401" s="37">
        <v>1837.1520325375661</v>
      </c>
      <c r="M1401" s="36">
        <v>3840.338576458932</v>
      </c>
      <c r="N1401" s="36">
        <v>1414.1025600253477</v>
      </c>
      <c r="O1401" s="36">
        <v>1548.7980767610861</v>
      </c>
      <c r="P1401">
        <v>7986.4969879638093</v>
      </c>
    </row>
    <row r="1402" spans="1:16" x14ac:dyDescent="0.35">
      <c r="A1402" s="3">
        <f xml:space="preserve"> ROW( data_scaledImpacts[[#This Row],[row_id]] ) - ROW( data_scaledImpacts[[#Headers],[row_id]] )</f>
        <v>1401</v>
      </c>
      <c r="B1402" s="41" t="str">
        <f xml:space="preserve"> _xlfn.TEXTJOIN( "", , data_scaledImpacts[[#This Row],[sector]:[impactType]] )</f>
        <v>RoadsCCSM44Reactive</v>
      </c>
      <c r="C1402" s="33" t="s">
        <v>216</v>
      </c>
      <c r="D1402" s="33" t="s">
        <v>1</v>
      </c>
      <c r="E1402" s="34">
        <v>4</v>
      </c>
      <c r="F1402" s="34"/>
      <c r="G1402" s="34" t="s">
        <v>88</v>
      </c>
      <c r="H1402" s="35"/>
      <c r="I1402" s="43" t="s">
        <v>57</v>
      </c>
      <c r="J1402" s="36">
        <v>2590.4399352959972</v>
      </c>
      <c r="K1402" s="36">
        <v>5173.6701191824868</v>
      </c>
      <c r="L1402" s="37">
        <v>1677.9071344345205</v>
      </c>
      <c r="M1402" s="36">
        <v>4687.1303273061021</v>
      </c>
      <c r="N1402" s="36">
        <v>5145.9367503254662</v>
      </c>
      <c r="O1402" s="36">
        <v>1652.2319299685421</v>
      </c>
      <c r="P1402">
        <v>4008.6813850408062</v>
      </c>
    </row>
    <row r="1403" spans="1:16" x14ac:dyDescent="0.35">
      <c r="A1403" s="3">
        <f xml:space="preserve"> ROW( data_scaledImpacts[[#This Row],[row_id]] ) - ROW( data_scaledImpacts[[#Headers],[row_id]] )</f>
        <v>1402</v>
      </c>
      <c r="B1403" s="41" t="str">
        <f xml:space="preserve"> _xlfn.TEXTJOIN( "", , data_scaledImpacts[[#This Row],[sector]:[impactType]] )</f>
        <v>RoadsGISS-E2-R4Reactive</v>
      </c>
      <c r="C1403" s="33" t="s">
        <v>216</v>
      </c>
      <c r="D1403" s="33" t="s">
        <v>2</v>
      </c>
      <c r="E1403" s="34">
        <v>4</v>
      </c>
      <c r="F1403" s="34"/>
      <c r="G1403" s="34" t="s">
        <v>88</v>
      </c>
      <c r="H1403" s="35"/>
      <c r="I1403" s="43" t="s">
        <v>58</v>
      </c>
      <c r="J1403" s="36"/>
      <c r="K1403" s="36"/>
      <c r="L1403" s="37"/>
      <c r="M1403" s="36"/>
      <c r="N1403" s="36"/>
      <c r="O1403" s="36"/>
    </row>
    <row r="1404" spans="1:16" x14ac:dyDescent="0.35">
      <c r="A1404" s="3">
        <f xml:space="preserve"> ROW( data_scaledImpacts[[#This Row],[row_id]] ) - ROW( data_scaledImpacts[[#Headers],[row_id]] )</f>
        <v>1403</v>
      </c>
      <c r="B1404" s="41" t="str">
        <f xml:space="preserve"> _xlfn.TEXTJOIN( "", , data_scaledImpacts[[#This Row],[sector]:[impactType]] )</f>
        <v>RoadsHadGEM2-ES4Reactive</v>
      </c>
      <c r="C1404" s="33" t="s">
        <v>216</v>
      </c>
      <c r="D1404" s="33" t="s">
        <v>3</v>
      </c>
      <c r="E1404" s="34">
        <v>4</v>
      </c>
      <c r="F1404" s="34"/>
      <c r="G1404" s="34" t="s">
        <v>88</v>
      </c>
      <c r="H1404" s="35"/>
      <c r="I1404" s="43" t="s">
        <v>59</v>
      </c>
      <c r="J1404" s="36">
        <v>4289.384862477219</v>
      </c>
      <c r="K1404" s="36">
        <v>5723.2840393895221</v>
      </c>
      <c r="L1404" s="37">
        <v>3156.4385337846825</v>
      </c>
      <c r="M1404" s="36">
        <v>6481.1991687360769</v>
      </c>
      <c r="N1404" s="36">
        <v>6003.4396868208123</v>
      </c>
      <c r="O1404" s="36">
        <v>2976.4365189267423</v>
      </c>
      <c r="P1404">
        <v>3533.3918682522376</v>
      </c>
    </row>
    <row r="1405" spans="1:16" x14ac:dyDescent="0.35">
      <c r="A1405" s="3">
        <f xml:space="preserve"> ROW( data_scaledImpacts[[#This Row],[row_id]] ) - ROW( data_scaledImpacts[[#Headers],[row_id]] )</f>
        <v>1404</v>
      </c>
      <c r="B1405" s="41" t="str">
        <f xml:space="preserve"> _xlfn.TEXTJOIN( "", , data_scaledImpacts[[#This Row],[sector]:[impactType]] )</f>
        <v>RoadsMIROC54Reactive</v>
      </c>
      <c r="C1405" s="33" t="s">
        <v>216</v>
      </c>
      <c r="D1405" s="33" t="s">
        <v>4</v>
      </c>
      <c r="E1405" s="34">
        <v>4</v>
      </c>
      <c r="F1405" s="34"/>
      <c r="G1405" s="34" t="s">
        <v>88</v>
      </c>
      <c r="H1405" s="35"/>
      <c r="I1405" s="43" t="s">
        <v>60</v>
      </c>
      <c r="J1405" s="36">
        <v>2044.0606630312079</v>
      </c>
      <c r="K1405" s="36">
        <v>2216.1339666140107</v>
      </c>
      <c r="L1405" s="37">
        <v>1847.2073296076737</v>
      </c>
      <c r="M1405" s="36">
        <v>6018.9269719476542</v>
      </c>
      <c r="N1405" s="36">
        <v>2522.6736020072508</v>
      </c>
      <c r="O1405" s="36">
        <v>2495.8379995169503</v>
      </c>
      <c r="P1405">
        <v>6699.5923239118365</v>
      </c>
    </row>
    <row r="1406" spans="1:16" x14ac:dyDescent="0.35">
      <c r="A1406" s="3">
        <f xml:space="preserve"> ROW( data_scaledImpacts[[#This Row],[row_id]] ) - ROW( data_scaledImpacts[[#Headers],[row_id]] )</f>
        <v>1405</v>
      </c>
      <c r="B1406" s="41" t="str">
        <f xml:space="preserve"> _xlfn.TEXTJOIN( "", , data_scaledImpacts[[#This Row],[sector]:[impactType]] )</f>
        <v>RoadsGFDL-CM34Reactive</v>
      </c>
      <c r="C1406" s="33" t="s">
        <v>216</v>
      </c>
      <c r="D1406" s="33" t="s">
        <v>5</v>
      </c>
      <c r="E1406" s="34">
        <v>4</v>
      </c>
      <c r="F1406" s="34"/>
      <c r="G1406" s="34" t="s">
        <v>88</v>
      </c>
      <c r="H1406" s="35"/>
      <c r="I1406" s="43" t="s">
        <v>61</v>
      </c>
      <c r="J1406" s="36">
        <v>3591.1690511421275</v>
      </c>
      <c r="K1406" s="36">
        <v>4604.9911626401299</v>
      </c>
      <c r="L1406" s="37">
        <v>1946.442817148916</v>
      </c>
      <c r="M1406" s="36">
        <v>3728.8478501817972</v>
      </c>
      <c r="N1406" s="36">
        <v>2968.8059815279034</v>
      </c>
      <c r="O1406" s="36">
        <v>2976.1846589471565</v>
      </c>
      <c r="P1406">
        <v>4777.888358053915</v>
      </c>
    </row>
    <row r="1407" spans="1:16" x14ac:dyDescent="0.35">
      <c r="A1407" s="3">
        <f xml:space="preserve"> ROW( data_scaledImpacts[[#This Row],[row_id]] ) - ROW( data_scaledImpacts[[#Headers],[row_id]] )</f>
        <v>1406</v>
      </c>
      <c r="B1407" s="41" t="str">
        <f xml:space="preserve"> _xlfn.TEXTJOIN( "", , data_scaledImpacts[[#This Row],[sector]:[impactType]] )</f>
        <v>RoadsGCM Average4Reactive</v>
      </c>
      <c r="C1407" s="33" t="s">
        <v>216</v>
      </c>
      <c r="D1407" s="33" t="s">
        <v>15</v>
      </c>
      <c r="E1407" s="34">
        <v>4</v>
      </c>
      <c r="F1407" s="34"/>
      <c r="G1407" s="34" t="s">
        <v>88</v>
      </c>
      <c r="H1407" s="35"/>
      <c r="I1407" s="43" t="s">
        <v>62</v>
      </c>
      <c r="J1407" s="36">
        <v>2761.284899678672</v>
      </c>
      <c r="K1407" s="36">
        <v>4057.3034628203122</v>
      </c>
      <c r="L1407" s="37">
        <v>2093.0295695026716</v>
      </c>
      <c r="M1407" s="36">
        <v>4951.2885789261127</v>
      </c>
      <c r="N1407" s="36">
        <v>3610.9917161413564</v>
      </c>
      <c r="O1407" s="36">
        <v>2329.897836824096</v>
      </c>
      <c r="P1407">
        <v>5401.2101846445212</v>
      </c>
    </row>
    <row r="1408" spans="1:16" x14ac:dyDescent="0.35">
      <c r="A1408" s="3">
        <f xml:space="preserve"> ROW( data_scaledImpacts[[#This Row],[row_id]] ) - ROW( data_scaledImpacts[[#Headers],[row_id]] )</f>
        <v>1407</v>
      </c>
      <c r="B1408" s="41" t="str">
        <f xml:space="preserve"> _xlfn.TEXTJOIN( "", , data_scaledImpacts[[#This Row],[sector]:[impactType]] )</f>
        <v>RoadsCanESM25Reactive</v>
      </c>
      <c r="C1408" s="33" t="s">
        <v>216</v>
      </c>
      <c r="D1408" s="33" t="s">
        <v>0</v>
      </c>
      <c r="E1408" s="34">
        <v>5</v>
      </c>
      <c r="F1408" s="34"/>
      <c r="G1408" s="34" t="s">
        <v>88</v>
      </c>
      <c r="H1408" s="35"/>
      <c r="I1408" s="43" t="s">
        <v>63</v>
      </c>
      <c r="J1408" s="36">
        <v>2984.3758209912248</v>
      </c>
      <c r="K1408" s="36">
        <v>3915.2283090968267</v>
      </c>
      <c r="L1408" s="37">
        <v>2425.8816996987139</v>
      </c>
      <c r="M1408" s="36">
        <v>7307.8605247077085</v>
      </c>
      <c r="N1408" s="36">
        <v>2039.3920304070127</v>
      </c>
      <c r="O1408" s="36">
        <v>2317.1085209294001</v>
      </c>
      <c r="P1408">
        <v>6234.0498448687931</v>
      </c>
    </row>
    <row r="1409" spans="1:16" x14ac:dyDescent="0.35">
      <c r="A1409" s="3">
        <f xml:space="preserve"> ROW( data_scaledImpacts[[#This Row],[row_id]] ) - ROW( data_scaledImpacts[[#Headers],[row_id]] )</f>
        <v>1408</v>
      </c>
      <c r="B1409" s="41" t="str">
        <f xml:space="preserve"> _xlfn.TEXTJOIN( "", , data_scaledImpacts[[#This Row],[sector]:[impactType]] )</f>
        <v>RoadsCCSM45Reactive</v>
      </c>
      <c r="C1409" s="33" t="s">
        <v>216</v>
      </c>
      <c r="D1409" s="33" t="s">
        <v>1</v>
      </c>
      <c r="E1409" s="34">
        <v>5</v>
      </c>
      <c r="F1409" s="34"/>
      <c r="G1409" s="34" t="s">
        <v>88</v>
      </c>
      <c r="H1409" s="35"/>
      <c r="I1409" s="43" t="s">
        <v>64</v>
      </c>
      <c r="J1409" s="36">
        <v>2811.2334169575943</v>
      </c>
      <c r="K1409" s="36">
        <v>4801.588719354274</v>
      </c>
      <c r="L1409" s="37">
        <v>2044.8711594402805</v>
      </c>
      <c r="M1409" s="36">
        <v>7592.4099121088339</v>
      </c>
      <c r="N1409" s="36">
        <v>5814.9427130226113</v>
      </c>
      <c r="O1409" s="36">
        <v>2312.6908006942062</v>
      </c>
      <c r="P1409">
        <v>9264.4981623930507</v>
      </c>
    </row>
    <row r="1410" spans="1:16" x14ac:dyDescent="0.35">
      <c r="A1410" s="3">
        <f xml:space="preserve"> ROW( data_scaledImpacts[[#This Row],[row_id]] ) - ROW( data_scaledImpacts[[#Headers],[row_id]] )</f>
        <v>1409</v>
      </c>
      <c r="B1410" s="41" t="str">
        <f xml:space="preserve"> _xlfn.TEXTJOIN( "", , data_scaledImpacts[[#This Row],[sector]:[impactType]] )</f>
        <v>RoadsGISS-E2-R5Reactive</v>
      </c>
      <c r="C1410" s="33" t="s">
        <v>216</v>
      </c>
      <c r="D1410" s="33" t="s">
        <v>2</v>
      </c>
      <c r="E1410" s="34">
        <v>5</v>
      </c>
      <c r="F1410" s="34"/>
      <c r="G1410" s="34" t="s">
        <v>88</v>
      </c>
      <c r="H1410" s="35"/>
      <c r="I1410" s="43" t="s">
        <v>65</v>
      </c>
      <c r="J1410" s="36"/>
      <c r="K1410" s="36"/>
      <c r="L1410" s="37"/>
      <c r="M1410" s="36"/>
      <c r="N1410" s="36"/>
      <c r="O1410" s="36"/>
    </row>
    <row r="1411" spans="1:16" x14ac:dyDescent="0.35">
      <c r="A1411" s="3">
        <f xml:space="preserve"> ROW( data_scaledImpacts[[#This Row],[row_id]] ) - ROW( data_scaledImpacts[[#Headers],[row_id]] )</f>
        <v>1410</v>
      </c>
      <c r="B1411" s="41" t="str">
        <f xml:space="preserve"> _xlfn.TEXTJOIN( "", , data_scaledImpacts[[#This Row],[sector]:[impactType]] )</f>
        <v>RoadsHadGEM2-ES5Reactive</v>
      </c>
      <c r="C1411" s="33" t="s">
        <v>216</v>
      </c>
      <c r="D1411" s="33" t="s">
        <v>3</v>
      </c>
      <c r="E1411" s="34">
        <v>5</v>
      </c>
      <c r="F1411" s="34"/>
      <c r="G1411" s="34" t="s">
        <v>88</v>
      </c>
      <c r="H1411" s="35"/>
      <c r="I1411" s="43" t="s">
        <v>66</v>
      </c>
      <c r="J1411" s="36">
        <v>4448.1390614003503</v>
      </c>
      <c r="K1411" s="36">
        <v>6240.311474192732</v>
      </c>
      <c r="L1411" s="37">
        <v>2932.4935732237645</v>
      </c>
      <c r="M1411" s="36">
        <v>7102.0384823089316</v>
      </c>
      <c r="N1411" s="36">
        <v>4788.5336984743299</v>
      </c>
      <c r="O1411" s="36">
        <v>3750.1848802424247</v>
      </c>
      <c r="P1411">
        <v>5815.0307570327404</v>
      </c>
    </row>
    <row r="1412" spans="1:16" x14ac:dyDescent="0.35">
      <c r="A1412" s="3">
        <f xml:space="preserve"> ROW( data_scaledImpacts[[#This Row],[row_id]] ) - ROW( data_scaledImpacts[[#Headers],[row_id]] )</f>
        <v>1411</v>
      </c>
      <c r="B1412" s="41" t="str">
        <f xml:space="preserve"> _xlfn.TEXTJOIN( "", , data_scaledImpacts[[#This Row],[sector]:[impactType]] )</f>
        <v>RoadsMIROC55Reactive</v>
      </c>
      <c r="C1412" s="33" t="s">
        <v>216</v>
      </c>
      <c r="D1412" s="33" t="s">
        <v>4</v>
      </c>
      <c r="E1412" s="34">
        <v>5</v>
      </c>
      <c r="F1412" s="34"/>
      <c r="G1412" s="34" t="s">
        <v>88</v>
      </c>
      <c r="H1412" s="35"/>
      <c r="I1412" s="43" t="s">
        <v>67</v>
      </c>
      <c r="J1412" s="36">
        <v>2713.2626407330554</v>
      </c>
      <c r="K1412" s="36">
        <v>3482.6444287076279</v>
      </c>
      <c r="L1412" s="37">
        <v>1432.9053070038553</v>
      </c>
      <c r="M1412" s="36">
        <v>4699.6274485814647</v>
      </c>
      <c r="N1412" s="36">
        <v>3078.9288857738388</v>
      </c>
      <c r="O1412" s="36">
        <v>2176.6994939607948</v>
      </c>
      <c r="P1412">
        <v>1852.1672963238834</v>
      </c>
    </row>
    <row r="1413" spans="1:16" x14ac:dyDescent="0.35">
      <c r="A1413" s="3">
        <f xml:space="preserve"> ROW( data_scaledImpacts[[#This Row],[row_id]] ) - ROW( data_scaledImpacts[[#Headers],[row_id]] )</f>
        <v>1412</v>
      </c>
      <c r="B1413" s="41" t="str">
        <f xml:space="preserve"> _xlfn.TEXTJOIN( "", , data_scaledImpacts[[#This Row],[sector]:[impactType]] )</f>
        <v>RoadsGFDL-CM35Reactive</v>
      </c>
      <c r="C1413" s="33" t="s">
        <v>216</v>
      </c>
      <c r="D1413" s="33" t="s">
        <v>5</v>
      </c>
      <c r="E1413" s="34">
        <v>5</v>
      </c>
      <c r="F1413" s="34"/>
      <c r="G1413" s="34" t="s">
        <v>88</v>
      </c>
      <c r="H1413" s="35"/>
      <c r="I1413" s="43" t="s">
        <v>68</v>
      </c>
      <c r="J1413" s="36">
        <v>2758.9656284750372</v>
      </c>
      <c r="K1413" s="36">
        <v>4720.2498841488359</v>
      </c>
      <c r="L1413" s="37">
        <v>2390.6610064718438</v>
      </c>
      <c r="M1413" s="36">
        <v>4889.0235202191398</v>
      </c>
      <c r="N1413" s="36">
        <v>3549.922270479638</v>
      </c>
      <c r="O1413" s="36">
        <v>3048.3405118431378</v>
      </c>
      <c r="P1413">
        <v>6448.4597535222247</v>
      </c>
    </row>
    <row r="1414" spans="1:16" x14ac:dyDescent="0.35">
      <c r="A1414" s="3">
        <f xml:space="preserve"> ROW( data_scaledImpacts[[#This Row],[row_id]] ) - ROW( data_scaledImpacts[[#Headers],[row_id]] )</f>
        <v>1413</v>
      </c>
      <c r="B1414" s="41" t="str">
        <f xml:space="preserve"> _xlfn.TEXTJOIN( "", , data_scaledImpacts[[#This Row],[sector]:[impactType]] )</f>
        <v>RoadsGCM Average5Reactive</v>
      </c>
      <c r="C1414" s="33" t="s">
        <v>216</v>
      </c>
      <c r="D1414" s="33" t="s">
        <v>15</v>
      </c>
      <c r="E1414" s="34">
        <v>5</v>
      </c>
      <c r="F1414" s="34"/>
      <c r="G1414" s="34" t="s">
        <v>88</v>
      </c>
      <c r="H1414" s="35"/>
      <c r="I1414" s="43" t="s">
        <v>69</v>
      </c>
      <c r="J1414" s="36">
        <v>3143.1953137114519</v>
      </c>
      <c r="K1414" s="36">
        <v>4632.0045631000585</v>
      </c>
      <c r="L1414" s="37">
        <v>2245.3625491676917</v>
      </c>
      <c r="M1414" s="36">
        <v>6318.1919775852166</v>
      </c>
      <c r="N1414" s="36">
        <v>3854.3439196314857</v>
      </c>
      <c r="O1414" s="36">
        <v>2721.0048415339925</v>
      </c>
      <c r="P1414">
        <v>5922.8411628281383</v>
      </c>
    </row>
    <row r="1415" spans="1:16" x14ac:dyDescent="0.35">
      <c r="A1415" s="3">
        <f xml:space="preserve"> ROW( data_scaledImpacts[[#This Row],[row_id]] ) - ROW( data_scaledImpacts[[#Headers],[row_id]] )</f>
        <v>1414</v>
      </c>
      <c r="B1415" s="41" t="str">
        <f xml:space="preserve"> _xlfn.TEXTJOIN( "", , data_scaledImpacts[[#This Row],[sector]:[impactType]] )</f>
        <v>RoadsCanESM26Reactive</v>
      </c>
      <c r="C1415" s="33" t="s">
        <v>216</v>
      </c>
      <c r="D1415" s="33" t="s">
        <v>0</v>
      </c>
      <c r="E1415" s="34">
        <v>6</v>
      </c>
      <c r="F1415" s="34"/>
      <c r="G1415" s="34" t="s">
        <v>88</v>
      </c>
      <c r="H1415" s="35"/>
      <c r="I1415" s="43" t="s">
        <v>70</v>
      </c>
      <c r="J1415" s="36">
        <v>2902.1480255781898</v>
      </c>
      <c r="K1415" s="36">
        <v>4065.6790756228525</v>
      </c>
      <c r="L1415" s="37">
        <v>2599.9170887465648</v>
      </c>
      <c r="M1415" s="36">
        <v>7407.6412461619502</v>
      </c>
      <c r="N1415" s="36">
        <v>3458.9062277547941</v>
      </c>
      <c r="O1415" s="36">
        <v>2817.6016001998232</v>
      </c>
      <c r="P1415">
        <v>12318.198139322732</v>
      </c>
    </row>
    <row r="1416" spans="1:16" x14ac:dyDescent="0.35">
      <c r="A1416" s="3">
        <f xml:space="preserve"> ROW( data_scaledImpacts[[#This Row],[row_id]] ) - ROW( data_scaledImpacts[[#Headers],[row_id]] )</f>
        <v>1415</v>
      </c>
      <c r="B1416" s="41" t="str">
        <f xml:space="preserve"> _xlfn.TEXTJOIN( "", , data_scaledImpacts[[#This Row],[sector]:[impactType]] )</f>
        <v>RoadsCCSM46Reactive</v>
      </c>
      <c r="C1416" s="33" t="s">
        <v>216</v>
      </c>
      <c r="D1416" s="33" t="s">
        <v>1</v>
      </c>
      <c r="E1416" s="34">
        <v>6</v>
      </c>
      <c r="F1416" s="34"/>
      <c r="G1416" s="34" t="s">
        <v>88</v>
      </c>
      <c r="H1416" s="35"/>
      <c r="I1416" s="43" t="s">
        <v>71</v>
      </c>
      <c r="J1416" s="36"/>
      <c r="K1416" s="36"/>
      <c r="L1416" s="37"/>
      <c r="M1416" s="36"/>
      <c r="N1416" s="36"/>
      <c r="O1416" s="36"/>
    </row>
    <row r="1417" spans="1:16" x14ac:dyDescent="0.35">
      <c r="A1417" s="3">
        <f xml:space="preserve"> ROW( data_scaledImpacts[[#This Row],[row_id]] ) - ROW( data_scaledImpacts[[#Headers],[row_id]] )</f>
        <v>1416</v>
      </c>
      <c r="B1417" s="41" t="str">
        <f xml:space="preserve"> _xlfn.TEXTJOIN( "", , data_scaledImpacts[[#This Row],[sector]:[impactType]] )</f>
        <v>RoadsGISS-E2-R6Reactive</v>
      </c>
      <c r="C1417" s="33" t="s">
        <v>216</v>
      </c>
      <c r="D1417" s="33" t="s">
        <v>2</v>
      </c>
      <c r="E1417" s="34">
        <v>6</v>
      </c>
      <c r="F1417" s="34"/>
      <c r="G1417" s="34" t="s">
        <v>88</v>
      </c>
      <c r="H1417" s="35"/>
      <c r="I1417" s="43" t="s">
        <v>72</v>
      </c>
      <c r="J1417" s="36"/>
      <c r="K1417" s="36"/>
      <c r="L1417" s="37"/>
      <c r="M1417" s="36"/>
      <c r="N1417" s="36"/>
      <c r="O1417" s="36"/>
    </row>
    <row r="1418" spans="1:16" x14ac:dyDescent="0.35">
      <c r="A1418" s="3">
        <f xml:space="preserve"> ROW( data_scaledImpacts[[#This Row],[row_id]] ) - ROW( data_scaledImpacts[[#Headers],[row_id]] )</f>
        <v>1417</v>
      </c>
      <c r="B1418" s="41" t="str">
        <f xml:space="preserve"> _xlfn.TEXTJOIN( "", , data_scaledImpacts[[#This Row],[sector]:[impactType]] )</f>
        <v>RoadsHadGEM2-ES6Reactive</v>
      </c>
      <c r="C1418" s="33" t="s">
        <v>216</v>
      </c>
      <c r="D1418" s="33" t="s">
        <v>3</v>
      </c>
      <c r="E1418" s="34">
        <v>6</v>
      </c>
      <c r="F1418" s="34"/>
      <c r="G1418" s="34" t="s">
        <v>88</v>
      </c>
      <c r="H1418" s="35"/>
      <c r="I1418" s="43" t="s">
        <v>73</v>
      </c>
      <c r="J1418" s="36">
        <v>5616.3058330239674</v>
      </c>
      <c r="K1418" s="36">
        <v>9123.8309118840571</v>
      </c>
      <c r="L1418" s="37">
        <v>3274.1288915797109</v>
      </c>
      <c r="M1418" s="36">
        <v>5968.668192988689</v>
      </c>
      <c r="N1418" s="36">
        <v>9483.5219527123463</v>
      </c>
      <c r="O1418" s="36">
        <v>6708.7980774542593</v>
      </c>
      <c r="P1418">
        <v>7785.3261885767997</v>
      </c>
    </row>
    <row r="1419" spans="1:16" x14ac:dyDescent="0.35">
      <c r="A1419" s="3">
        <f xml:space="preserve"> ROW( data_scaledImpacts[[#This Row],[row_id]] ) - ROW( data_scaledImpacts[[#Headers],[row_id]] )</f>
        <v>1418</v>
      </c>
      <c r="B1419" s="41" t="str">
        <f xml:space="preserve"> _xlfn.TEXTJOIN( "", , data_scaledImpacts[[#This Row],[sector]:[impactType]] )</f>
        <v>RoadsMIROC56Reactive</v>
      </c>
      <c r="C1419" s="33" t="s">
        <v>216</v>
      </c>
      <c r="D1419" s="33" t="s">
        <v>4</v>
      </c>
      <c r="E1419" s="34">
        <v>6</v>
      </c>
      <c r="F1419" s="34"/>
      <c r="G1419" s="34" t="s">
        <v>88</v>
      </c>
      <c r="H1419" s="35"/>
      <c r="I1419" s="43" t="s">
        <v>74</v>
      </c>
      <c r="J1419" s="36"/>
      <c r="K1419" s="36"/>
      <c r="L1419" s="37"/>
      <c r="M1419" s="36"/>
      <c r="N1419" s="36"/>
      <c r="O1419" s="36"/>
    </row>
    <row r="1420" spans="1:16" x14ac:dyDescent="0.35">
      <c r="A1420" s="3">
        <f xml:space="preserve"> ROW( data_scaledImpacts[[#This Row],[row_id]] ) - ROW( data_scaledImpacts[[#Headers],[row_id]] )</f>
        <v>1419</v>
      </c>
      <c r="B1420" s="41" t="str">
        <f xml:space="preserve"> _xlfn.TEXTJOIN( "", , data_scaledImpacts[[#This Row],[sector]:[impactType]] )</f>
        <v>RoadsGFDL-CM36Reactive</v>
      </c>
      <c r="C1420" s="33" t="s">
        <v>216</v>
      </c>
      <c r="D1420" s="33" t="s">
        <v>5</v>
      </c>
      <c r="E1420" s="34">
        <v>6</v>
      </c>
      <c r="F1420" s="34"/>
      <c r="G1420" s="34" t="s">
        <v>88</v>
      </c>
      <c r="H1420" s="35"/>
      <c r="I1420" s="43" t="s">
        <v>75</v>
      </c>
      <c r="J1420" s="36">
        <v>4380.7008996268114</v>
      </c>
      <c r="K1420" s="36">
        <v>5847.0774587720316</v>
      </c>
      <c r="L1420" s="37">
        <v>3670.5650684921857</v>
      </c>
      <c r="M1420" s="36">
        <v>7867.0390991499098</v>
      </c>
      <c r="N1420" s="36">
        <v>5056.8949181640592</v>
      </c>
      <c r="O1420" s="36">
        <v>3780.5114831536898</v>
      </c>
      <c r="P1420">
        <v>9023.6055518588346</v>
      </c>
    </row>
    <row r="1421" spans="1:16" x14ac:dyDescent="0.35">
      <c r="A1421" s="3">
        <f xml:space="preserve"> ROW( data_scaledImpacts[[#This Row],[row_id]] ) - ROW( data_scaledImpacts[[#Headers],[row_id]] )</f>
        <v>1420</v>
      </c>
      <c r="B1421" s="41" t="str">
        <f xml:space="preserve"> _xlfn.TEXTJOIN( "", , data_scaledImpacts[[#This Row],[sector]:[impactType]] )</f>
        <v>RoadsGCM Average6Reactive</v>
      </c>
      <c r="C1421" s="33" t="s">
        <v>216</v>
      </c>
      <c r="D1421" s="33" t="s">
        <v>15</v>
      </c>
      <c r="E1421" s="34">
        <v>6</v>
      </c>
      <c r="F1421" s="34"/>
      <c r="G1421" s="34" t="s">
        <v>88</v>
      </c>
      <c r="H1421" s="35"/>
      <c r="I1421" s="43" t="s">
        <v>76</v>
      </c>
      <c r="J1421" s="36">
        <v>4299.7182527429895</v>
      </c>
      <c r="K1421" s="36">
        <v>6345.5291487596478</v>
      </c>
      <c r="L1421" s="37">
        <v>3181.53701627282</v>
      </c>
      <c r="M1421" s="36">
        <v>7081.1161794335158</v>
      </c>
      <c r="N1421" s="36">
        <v>5999.7743662104003</v>
      </c>
      <c r="O1421" s="36">
        <v>4435.6370536025906</v>
      </c>
      <c r="P1421">
        <v>9709.0432932527892</v>
      </c>
    </row>
    <row r="1422" spans="1:16" x14ac:dyDescent="0.35">
      <c r="A1422" s="3">
        <f xml:space="preserve"> ROW( data_scaledImpacts[[#This Row],[row_id]] ) - ROW( data_scaledImpacts[[#Headers],[row_id]] )</f>
        <v>1421</v>
      </c>
      <c r="B1422" s="41" t="str">
        <f xml:space="preserve"> _xlfn.TEXTJOIN( "", , data_scaledImpacts[[#This Row],[sector]:[impactType]] )</f>
        <v>RoadsCanESM27Reactive</v>
      </c>
      <c r="C1422" s="33" t="s">
        <v>216</v>
      </c>
      <c r="D1422" s="33" t="s">
        <v>0</v>
      </c>
      <c r="E1422" s="34">
        <v>7</v>
      </c>
      <c r="F1422" s="34"/>
      <c r="G1422" s="34" t="s">
        <v>88</v>
      </c>
      <c r="H1422" s="35"/>
      <c r="I1422" s="43" t="s">
        <v>77</v>
      </c>
      <c r="J1422" s="36"/>
      <c r="K1422" s="36"/>
      <c r="L1422" s="37"/>
      <c r="M1422" s="36"/>
      <c r="N1422" s="36"/>
      <c r="O1422" s="36"/>
    </row>
    <row r="1423" spans="1:16" x14ac:dyDescent="0.35">
      <c r="A1423" s="3">
        <f xml:space="preserve"> ROW( data_scaledImpacts[[#This Row],[row_id]] ) - ROW( data_scaledImpacts[[#Headers],[row_id]] )</f>
        <v>1422</v>
      </c>
      <c r="B1423" s="41" t="str">
        <f xml:space="preserve"> _xlfn.TEXTJOIN( "", , data_scaledImpacts[[#This Row],[sector]:[impactType]] )</f>
        <v>RoadsCCSM47Reactive</v>
      </c>
      <c r="C1423" s="33" t="s">
        <v>216</v>
      </c>
      <c r="D1423" s="33" t="s">
        <v>1</v>
      </c>
      <c r="E1423" s="34">
        <v>7</v>
      </c>
      <c r="F1423" s="34"/>
      <c r="G1423" s="34" t="s">
        <v>88</v>
      </c>
      <c r="H1423" s="35"/>
      <c r="I1423" s="43" t="s">
        <v>78</v>
      </c>
      <c r="J1423" s="36"/>
      <c r="K1423" s="36"/>
      <c r="L1423" s="37"/>
      <c r="M1423" s="36"/>
      <c r="N1423" s="36"/>
      <c r="O1423" s="36"/>
    </row>
    <row r="1424" spans="1:16" x14ac:dyDescent="0.35">
      <c r="A1424" s="3">
        <f xml:space="preserve"> ROW( data_scaledImpacts[[#This Row],[row_id]] ) - ROW( data_scaledImpacts[[#Headers],[row_id]] )</f>
        <v>1423</v>
      </c>
      <c r="B1424" s="41" t="str">
        <f xml:space="preserve"> _xlfn.TEXTJOIN( "", , data_scaledImpacts[[#This Row],[sector]:[impactType]] )</f>
        <v>RoadsGISS-E2-R7Reactive</v>
      </c>
      <c r="C1424" s="33" t="s">
        <v>216</v>
      </c>
      <c r="D1424" s="33" t="s">
        <v>2</v>
      </c>
      <c r="E1424" s="34">
        <v>7</v>
      </c>
      <c r="F1424" s="34"/>
      <c r="G1424" s="34" t="s">
        <v>88</v>
      </c>
      <c r="H1424" s="35"/>
      <c r="I1424" s="43" t="s">
        <v>79</v>
      </c>
      <c r="J1424" s="36"/>
      <c r="K1424" s="36"/>
      <c r="L1424" s="37"/>
      <c r="M1424" s="36"/>
      <c r="N1424" s="36"/>
      <c r="O1424" s="36"/>
    </row>
    <row r="1425" spans="1:16" x14ac:dyDescent="0.35">
      <c r="A1425" s="3">
        <f xml:space="preserve"> ROW( data_scaledImpacts[[#This Row],[row_id]] ) - ROW( data_scaledImpacts[[#Headers],[row_id]] )</f>
        <v>1424</v>
      </c>
      <c r="B1425" s="41" t="str">
        <f xml:space="preserve"> _xlfn.TEXTJOIN( "", , data_scaledImpacts[[#This Row],[sector]:[impactType]] )</f>
        <v>RoadsHadGEM2-ES7Reactive</v>
      </c>
      <c r="C1425" s="33" t="s">
        <v>216</v>
      </c>
      <c r="D1425" s="33" t="s">
        <v>3</v>
      </c>
      <c r="E1425" s="34">
        <v>7</v>
      </c>
      <c r="F1425" s="34"/>
      <c r="G1425" s="34" t="s">
        <v>88</v>
      </c>
      <c r="H1425" s="35"/>
      <c r="I1425" s="43" t="s">
        <v>80</v>
      </c>
      <c r="J1425" s="36"/>
      <c r="K1425" s="36"/>
      <c r="L1425" s="37"/>
      <c r="M1425" s="36"/>
      <c r="N1425" s="36"/>
      <c r="O1425" s="36"/>
    </row>
    <row r="1426" spans="1:16" x14ac:dyDescent="0.35">
      <c r="A1426" s="3">
        <f xml:space="preserve"> ROW( data_scaledImpacts[[#This Row],[row_id]] ) - ROW( data_scaledImpacts[[#Headers],[row_id]] )</f>
        <v>1425</v>
      </c>
      <c r="B1426" s="41" t="str">
        <f xml:space="preserve"> _xlfn.TEXTJOIN( "", , data_scaledImpacts[[#This Row],[sector]:[impactType]] )</f>
        <v>RoadsMIROC57Reactive</v>
      </c>
      <c r="C1426" s="33" t="s">
        <v>216</v>
      </c>
      <c r="D1426" s="33" t="s">
        <v>4</v>
      </c>
      <c r="E1426" s="34">
        <v>7</v>
      </c>
      <c r="F1426" s="34"/>
      <c r="G1426" s="34" t="s">
        <v>88</v>
      </c>
      <c r="H1426" s="35"/>
      <c r="I1426" s="43" t="s">
        <v>81</v>
      </c>
      <c r="J1426" s="36"/>
      <c r="K1426" s="36"/>
      <c r="L1426" s="37"/>
      <c r="M1426" s="36"/>
      <c r="N1426" s="36"/>
      <c r="O1426" s="36"/>
    </row>
    <row r="1427" spans="1:16" x14ac:dyDescent="0.35">
      <c r="A1427" s="3">
        <f xml:space="preserve"> ROW( data_scaledImpacts[[#This Row],[row_id]] ) - ROW( data_scaledImpacts[[#Headers],[row_id]] )</f>
        <v>1426</v>
      </c>
      <c r="B1427" s="41" t="str">
        <f xml:space="preserve"> _xlfn.TEXTJOIN( "", , data_scaledImpacts[[#This Row],[sector]:[impactType]] )</f>
        <v>RoadsGFDL-CM37Reactive</v>
      </c>
      <c r="C1427" s="33" t="s">
        <v>216</v>
      </c>
      <c r="D1427" s="33" t="s">
        <v>5</v>
      </c>
      <c r="E1427" s="34">
        <v>7</v>
      </c>
      <c r="F1427" s="34"/>
      <c r="G1427" s="34" t="s">
        <v>88</v>
      </c>
      <c r="H1427" s="35"/>
      <c r="I1427" s="43" t="s">
        <v>82</v>
      </c>
      <c r="J1427" s="36"/>
      <c r="K1427" s="36"/>
      <c r="L1427" s="37"/>
      <c r="M1427" s="36"/>
      <c r="N1427" s="36"/>
      <c r="O1427" s="36"/>
    </row>
    <row r="1428" spans="1:16" x14ac:dyDescent="0.35">
      <c r="A1428" s="3">
        <f xml:space="preserve"> ROW( data_scaledImpacts[[#This Row],[row_id]] ) - ROW( data_scaledImpacts[[#Headers],[row_id]] )</f>
        <v>1427</v>
      </c>
      <c r="B1428" s="41" t="str">
        <f xml:space="preserve"> _xlfn.TEXTJOIN( "", , data_scaledImpacts[[#This Row],[sector]:[impactType]] )</f>
        <v>RoadsGCM Average7Reactive</v>
      </c>
      <c r="C1428" s="33" t="s">
        <v>216</v>
      </c>
      <c r="D1428" s="33" t="s">
        <v>15</v>
      </c>
      <c r="E1428" s="34">
        <v>7</v>
      </c>
      <c r="F1428" s="34"/>
      <c r="G1428" s="34" t="s">
        <v>88</v>
      </c>
      <c r="H1428" s="35"/>
      <c r="I1428" s="43" t="s">
        <v>83</v>
      </c>
      <c r="J1428" s="36" t="s">
        <v>26</v>
      </c>
      <c r="K1428" s="36" t="s">
        <v>26</v>
      </c>
      <c r="L1428" s="37" t="s">
        <v>26</v>
      </c>
      <c r="M1428" s="36" t="s">
        <v>26</v>
      </c>
      <c r="N1428" s="36" t="s">
        <v>26</v>
      </c>
      <c r="O1428" s="36"/>
      <c r="P1428" t="s">
        <v>26</v>
      </c>
    </row>
    <row r="1429" spans="1:16" x14ac:dyDescent="0.35">
      <c r="A1429" s="3">
        <f xml:space="preserve"> ROW( data_scaledImpacts[[#This Row],[row_id]] ) - ROW( data_scaledImpacts[[#Headers],[row_id]] )</f>
        <v>1428</v>
      </c>
      <c r="B1429" s="41" t="str">
        <f xml:space="preserve"> _xlfn.TEXTJOIN( "", , data_scaledImpacts[[#This Row],[sector]:[impactType]] )</f>
        <v>RoadsCanESM21Proactive</v>
      </c>
      <c r="C1429" s="33" t="s">
        <v>216</v>
      </c>
      <c r="D1429" s="33" t="s">
        <v>0</v>
      </c>
      <c r="E1429" s="34">
        <v>1</v>
      </c>
      <c r="F1429" s="34"/>
      <c r="G1429" s="34" t="s">
        <v>208</v>
      </c>
      <c r="H1429" s="35"/>
      <c r="I1429" s="43" t="s">
        <v>35</v>
      </c>
      <c r="J1429" s="36">
        <v>-168.89290927681989</v>
      </c>
      <c r="K1429" s="36">
        <v>343.84452082095714</v>
      </c>
      <c r="L1429" s="37">
        <v>843.78071098086741</v>
      </c>
      <c r="M1429" s="36">
        <v>740.02733856857242</v>
      </c>
      <c r="N1429" s="36">
        <v>1539.4648624584636</v>
      </c>
      <c r="O1429" s="36">
        <v>910.67881367890516</v>
      </c>
      <c r="P1429">
        <v>1393.9728086559173</v>
      </c>
    </row>
    <row r="1430" spans="1:16" x14ac:dyDescent="0.35">
      <c r="A1430" s="3">
        <f xml:space="preserve"> ROW( data_scaledImpacts[[#This Row],[row_id]] ) - ROW( data_scaledImpacts[[#Headers],[row_id]] )</f>
        <v>1429</v>
      </c>
      <c r="B1430" s="41" t="str">
        <f xml:space="preserve"> _xlfn.TEXTJOIN( "", , data_scaledImpacts[[#This Row],[sector]:[impactType]] )</f>
        <v>RoadsCCSM41Proactive</v>
      </c>
      <c r="C1430" s="33" t="s">
        <v>216</v>
      </c>
      <c r="D1430" s="33" t="s">
        <v>1</v>
      </c>
      <c r="E1430" s="34">
        <v>1</v>
      </c>
      <c r="F1430" s="34"/>
      <c r="G1430" s="34" t="s">
        <v>208</v>
      </c>
      <c r="H1430" s="35"/>
      <c r="I1430" s="43" t="s">
        <v>36</v>
      </c>
      <c r="J1430" s="36">
        <v>-34.657768231355746</v>
      </c>
      <c r="K1430" s="36">
        <v>373.32059490286554</v>
      </c>
      <c r="L1430" s="37">
        <v>705.30098568645178</v>
      </c>
      <c r="M1430" s="36">
        <v>120.69586484153994</v>
      </c>
      <c r="N1430" s="36">
        <v>85.328195750176633</v>
      </c>
      <c r="O1430" s="36">
        <v>942.05893298573847</v>
      </c>
      <c r="P1430">
        <v>-811.32758327282556</v>
      </c>
    </row>
    <row r="1431" spans="1:16" x14ac:dyDescent="0.35">
      <c r="A1431" s="3">
        <f xml:space="preserve"> ROW( data_scaledImpacts[[#This Row],[row_id]] ) - ROW( data_scaledImpacts[[#Headers],[row_id]] )</f>
        <v>1430</v>
      </c>
      <c r="B1431" s="41" t="str">
        <f xml:space="preserve"> _xlfn.TEXTJOIN( "", , data_scaledImpacts[[#This Row],[sector]:[impactType]] )</f>
        <v>RoadsGISS-E2-R1Proactive</v>
      </c>
      <c r="C1431" s="33" t="s">
        <v>216</v>
      </c>
      <c r="D1431" s="33" t="s">
        <v>2</v>
      </c>
      <c r="E1431" s="34">
        <v>1</v>
      </c>
      <c r="F1431" s="34"/>
      <c r="G1431" s="34" t="s">
        <v>208</v>
      </c>
      <c r="H1431" s="35"/>
      <c r="I1431" s="43" t="s">
        <v>37</v>
      </c>
      <c r="J1431" s="36">
        <v>351.98293095924907</v>
      </c>
      <c r="K1431" s="36">
        <v>385.95626017171014</v>
      </c>
      <c r="L1431" s="37">
        <v>169.95890392487718</v>
      </c>
      <c r="M1431" s="36">
        <v>578.54105634424218</v>
      </c>
      <c r="N1431" s="36">
        <v>150.2472565424932</v>
      </c>
      <c r="O1431" s="36">
        <v>23.071326280743712</v>
      </c>
      <c r="P1431">
        <v>1155.5401369367962</v>
      </c>
    </row>
    <row r="1432" spans="1:16" x14ac:dyDescent="0.35">
      <c r="A1432" s="3">
        <f xml:space="preserve"> ROW( data_scaledImpacts[[#This Row],[row_id]] ) - ROW( data_scaledImpacts[[#Headers],[row_id]] )</f>
        <v>1431</v>
      </c>
      <c r="B1432" s="41" t="str">
        <f xml:space="preserve"> _xlfn.TEXTJOIN( "", , data_scaledImpacts[[#This Row],[sector]:[impactType]] )</f>
        <v>RoadsHadGEM2-ES1Proactive</v>
      </c>
      <c r="C1432" s="33" t="s">
        <v>216</v>
      </c>
      <c r="D1432" s="33" t="s">
        <v>3</v>
      </c>
      <c r="E1432" s="34">
        <v>1</v>
      </c>
      <c r="F1432" s="34"/>
      <c r="G1432" s="34" t="s">
        <v>208</v>
      </c>
      <c r="H1432" s="35"/>
      <c r="I1432" s="43" t="s">
        <v>38</v>
      </c>
      <c r="J1432" s="36">
        <v>708.20997925424899</v>
      </c>
      <c r="K1432" s="36">
        <v>1941.0078395028643</v>
      </c>
      <c r="L1432" s="37">
        <v>762.73331406155069</v>
      </c>
      <c r="M1432" s="36">
        <v>868.61709432636098</v>
      </c>
      <c r="N1432" s="36">
        <v>3426.8861536193785</v>
      </c>
      <c r="O1432" s="36">
        <v>1297.1257205578593</v>
      </c>
      <c r="P1432">
        <v>1098.4032768698082</v>
      </c>
    </row>
    <row r="1433" spans="1:16" x14ac:dyDescent="0.35">
      <c r="A1433" s="3">
        <f xml:space="preserve"> ROW( data_scaledImpacts[[#This Row],[row_id]] ) - ROW( data_scaledImpacts[[#Headers],[row_id]] )</f>
        <v>1432</v>
      </c>
      <c r="B1433" s="41" t="str">
        <f xml:space="preserve"> _xlfn.TEXTJOIN( "", , data_scaledImpacts[[#This Row],[sector]:[impactType]] )</f>
        <v>RoadsMIROC51Proactive</v>
      </c>
      <c r="C1433" s="33" t="s">
        <v>216</v>
      </c>
      <c r="D1433" s="33" t="s">
        <v>4</v>
      </c>
      <c r="E1433" s="34">
        <v>1</v>
      </c>
      <c r="F1433" s="34"/>
      <c r="G1433" s="34" t="s">
        <v>208</v>
      </c>
      <c r="H1433" s="35"/>
      <c r="I1433" s="43" t="s">
        <v>39</v>
      </c>
      <c r="J1433" s="36">
        <v>-78.372212950314562</v>
      </c>
      <c r="K1433" s="36">
        <v>392.81053430217406</v>
      </c>
      <c r="L1433" s="37">
        <v>367.6389853358022</v>
      </c>
      <c r="M1433" s="36">
        <v>2540.8860831732154</v>
      </c>
      <c r="N1433" s="36">
        <v>1025.4294186454561</v>
      </c>
      <c r="O1433" s="36">
        <v>1185.4686118319403</v>
      </c>
      <c r="P1433">
        <v>-1138.4465326711977</v>
      </c>
    </row>
    <row r="1434" spans="1:16" x14ac:dyDescent="0.35">
      <c r="A1434" s="3">
        <f xml:space="preserve"> ROW( data_scaledImpacts[[#This Row],[row_id]] ) - ROW( data_scaledImpacts[[#Headers],[row_id]] )</f>
        <v>1433</v>
      </c>
      <c r="B1434" s="41" t="str">
        <f xml:space="preserve"> _xlfn.TEXTJOIN( "", , data_scaledImpacts[[#This Row],[sector]:[impactType]] )</f>
        <v>RoadsGFDL-CM31Proactive</v>
      </c>
      <c r="C1434" s="33" t="s">
        <v>216</v>
      </c>
      <c r="D1434" s="33" t="s">
        <v>5</v>
      </c>
      <c r="E1434" s="34">
        <v>1</v>
      </c>
      <c r="F1434" s="34"/>
      <c r="G1434" s="34" t="s">
        <v>208</v>
      </c>
      <c r="H1434" s="35"/>
      <c r="I1434" s="43" t="s">
        <v>40</v>
      </c>
      <c r="J1434" s="36">
        <v>-29.951018764561624</v>
      </c>
      <c r="K1434" s="36">
        <v>614.61257574684748</v>
      </c>
      <c r="L1434" s="37">
        <v>354.49007872047912</v>
      </c>
      <c r="M1434" s="36">
        <v>106.28263922822832</v>
      </c>
      <c r="N1434" s="36">
        <v>844.54891834648822</v>
      </c>
      <c r="O1434" s="36">
        <v>740.98024202434522</v>
      </c>
      <c r="P1434">
        <v>-433.57829248910821</v>
      </c>
    </row>
    <row r="1435" spans="1:16" x14ac:dyDescent="0.35">
      <c r="A1435" s="3">
        <f xml:space="preserve"> ROW( data_scaledImpacts[[#This Row],[row_id]] ) - ROW( data_scaledImpacts[[#Headers],[row_id]] )</f>
        <v>1434</v>
      </c>
      <c r="B1435" s="41" t="str">
        <f xml:space="preserve"> _xlfn.TEXTJOIN( "", , data_scaledImpacts[[#This Row],[sector]:[impactType]] )</f>
        <v>RoadsGCM Average1Proactive</v>
      </c>
      <c r="C1435" s="33" t="s">
        <v>216</v>
      </c>
      <c r="D1435" s="33" t="s">
        <v>15</v>
      </c>
      <c r="E1435" s="34">
        <v>1</v>
      </c>
      <c r="F1435" s="34"/>
      <c r="G1435" s="34" t="s">
        <v>208</v>
      </c>
      <c r="H1435" s="35"/>
      <c r="I1435" s="43" t="s">
        <v>41</v>
      </c>
      <c r="J1435" s="36">
        <v>124.71983349840771</v>
      </c>
      <c r="K1435" s="36">
        <v>675.25872090790301</v>
      </c>
      <c r="L1435" s="37">
        <v>533.98382978500479</v>
      </c>
      <c r="M1435" s="36">
        <v>825.84167941369333</v>
      </c>
      <c r="N1435" s="36">
        <v>1178.6508008937426</v>
      </c>
      <c r="O1435" s="36">
        <v>849.89727455992204</v>
      </c>
      <c r="P1435">
        <v>210.7606356715651</v>
      </c>
    </row>
    <row r="1436" spans="1:16" x14ac:dyDescent="0.35">
      <c r="A1436" s="3">
        <f xml:space="preserve"> ROW( data_scaledImpacts[[#This Row],[row_id]] ) - ROW( data_scaledImpacts[[#Headers],[row_id]] )</f>
        <v>1435</v>
      </c>
      <c r="B1436" s="41" t="str">
        <f xml:space="preserve"> _xlfn.TEXTJOIN( "", , data_scaledImpacts[[#This Row],[sector]:[impactType]] )</f>
        <v>RoadsCanESM22Proactive</v>
      </c>
      <c r="C1436" s="33" t="s">
        <v>216</v>
      </c>
      <c r="D1436" s="33" t="s">
        <v>0</v>
      </c>
      <c r="E1436" s="34">
        <v>2</v>
      </c>
      <c r="F1436" s="34"/>
      <c r="G1436" s="34" t="s">
        <v>208</v>
      </c>
      <c r="H1436" s="35"/>
      <c r="I1436" s="43" t="s">
        <v>42</v>
      </c>
      <c r="J1436" s="36">
        <v>127.45004381329625</v>
      </c>
      <c r="K1436" s="36">
        <v>404.95369702838167</v>
      </c>
      <c r="L1436" s="37">
        <v>397.84717665617649</v>
      </c>
      <c r="M1436" s="36">
        <v>521.50992228809798</v>
      </c>
      <c r="N1436" s="36">
        <v>270.14070011838305</v>
      </c>
      <c r="O1436" s="36">
        <v>1084.2294827366832</v>
      </c>
      <c r="P1436">
        <v>2414.4607792523702</v>
      </c>
    </row>
    <row r="1437" spans="1:16" x14ac:dyDescent="0.35">
      <c r="A1437" s="3">
        <f xml:space="preserve"> ROW( data_scaledImpacts[[#This Row],[row_id]] ) - ROW( data_scaledImpacts[[#Headers],[row_id]] )</f>
        <v>1436</v>
      </c>
      <c r="B1437" s="41" t="str">
        <f xml:space="preserve"> _xlfn.TEXTJOIN( "", , data_scaledImpacts[[#This Row],[sector]:[impactType]] )</f>
        <v>RoadsCCSM42Proactive</v>
      </c>
      <c r="C1437" s="33" t="s">
        <v>216</v>
      </c>
      <c r="D1437" s="33" t="s">
        <v>1</v>
      </c>
      <c r="E1437" s="34">
        <v>2</v>
      </c>
      <c r="F1437" s="34"/>
      <c r="G1437" s="34" t="s">
        <v>208</v>
      </c>
      <c r="H1437" s="35"/>
      <c r="I1437" s="43" t="s">
        <v>43</v>
      </c>
      <c r="J1437" s="36">
        <v>342.13977121570645</v>
      </c>
      <c r="K1437" s="36">
        <v>1683.3264491984746</v>
      </c>
      <c r="L1437" s="37">
        <v>82.307198078082564</v>
      </c>
      <c r="M1437" s="36">
        <v>308.61020284318909</v>
      </c>
      <c r="N1437" s="36">
        <v>1197.1705200435599</v>
      </c>
      <c r="O1437" s="36">
        <v>537.41219185455748</v>
      </c>
      <c r="P1437">
        <v>2574.0519559180079</v>
      </c>
    </row>
    <row r="1438" spans="1:16" x14ac:dyDescent="0.35">
      <c r="A1438" s="3">
        <f xml:space="preserve"> ROW( data_scaledImpacts[[#This Row],[row_id]] ) - ROW( data_scaledImpacts[[#Headers],[row_id]] )</f>
        <v>1437</v>
      </c>
      <c r="B1438" s="41" t="str">
        <f xml:space="preserve"> _xlfn.TEXTJOIN( "", , data_scaledImpacts[[#This Row],[sector]:[impactType]] )</f>
        <v>RoadsGISS-E2-R2Proactive</v>
      </c>
      <c r="C1438" s="33" t="s">
        <v>216</v>
      </c>
      <c r="D1438" s="33" t="s">
        <v>2</v>
      </c>
      <c r="E1438" s="34">
        <v>2</v>
      </c>
      <c r="F1438" s="34"/>
      <c r="G1438" s="34" t="s">
        <v>208</v>
      </c>
      <c r="H1438" s="35"/>
      <c r="I1438" s="43" t="s">
        <v>44</v>
      </c>
      <c r="J1438" s="36">
        <v>450.6675551896372</v>
      </c>
      <c r="K1438" s="36">
        <v>973.59125908647343</v>
      </c>
      <c r="L1438" s="37">
        <v>447.1437163461913</v>
      </c>
      <c r="M1438" s="36">
        <v>410.05967628009751</v>
      </c>
      <c r="N1438" s="36">
        <v>393.59865108318303</v>
      </c>
      <c r="O1438" s="36">
        <v>374.71695597392994</v>
      </c>
      <c r="P1438">
        <v>2640.0457143512958</v>
      </c>
    </row>
    <row r="1439" spans="1:16" x14ac:dyDescent="0.35">
      <c r="A1439" s="3">
        <f xml:space="preserve"> ROW( data_scaledImpacts[[#This Row],[row_id]] ) - ROW( data_scaledImpacts[[#Headers],[row_id]] )</f>
        <v>1438</v>
      </c>
      <c r="B1439" s="41" t="str">
        <f xml:space="preserve"> _xlfn.TEXTJOIN( "", , data_scaledImpacts[[#This Row],[sector]:[impactType]] )</f>
        <v>RoadsHadGEM2-ES2Proactive</v>
      </c>
      <c r="C1439" s="33" t="s">
        <v>216</v>
      </c>
      <c r="D1439" s="33" t="s">
        <v>3</v>
      </c>
      <c r="E1439" s="34">
        <v>2</v>
      </c>
      <c r="F1439" s="34"/>
      <c r="G1439" s="34" t="s">
        <v>208</v>
      </c>
      <c r="H1439" s="35"/>
      <c r="I1439" s="43" t="s">
        <v>45</v>
      </c>
      <c r="J1439" s="36">
        <v>938.13814224375858</v>
      </c>
      <c r="K1439" s="36">
        <v>723.11372843467518</v>
      </c>
      <c r="L1439" s="37">
        <v>450.80172009427895</v>
      </c>
      <c r="M1439" s="36">
        <v>1435.0711873856521</v>
      </c>
      <c r="N1439" s="36">
        <v>862.58284874289632</v>
      </c>
      <c r="O1439" s="36">
        <v>433.83998993141154</v>
      </c>
      <c r="P1439">
        <v>3226.4006099952539</v>
      </c>
    </row>
    <row r="1440" spans="1:16" x14ac:dyDescent="0.35">
      <c r="A1440" s="3">
        <f xml:space="preserve"> ROW( data_scaledImpacts[[#This Row],[row_id]] ) - ROW( data_scaledImpacts[[#Headers],[row_id]] )</f>
        <v>1439</v>
      </c>
      <c r="B1440" s="41" t="str">
        <f xml:space="preserve"> _xlfn.TEXTJOIN( "", , data_scaledImpacts[[#This Row],[sector]:[impactType]] )</f>
        <v>RoadsMIROC52Proactive</v>
      </c>
      <c r="C1440" s="33" t="s">
        <v>216</v>
      </c>
      <c r="D1440" s="33" t="s">
        <v>4</v>
      </c>
      <c r="E1440" s="34">
        <v>2</v>
      </c>
      <c r="F1440" s="34"/>
      <c r="G1440" s="34" t="s">
        <v>208</v>
      </c>
      <c r="H1440" s="35"/>
      <c r="I1440" s="43" t="s">
        <v>46</v>
      </c>
      <c r="J1440" s="36">
        <v>820.88501369861274</v>
      </c>
      <c r="K1440" s="36">
        <v>1583.5116821701567</v>
      </c>
      <c r="L1440" s="37">
        <v>105.89734980048121</v>
      </c>
      <c r="M1440" s="36">
        <v>245.31048192519364</v>
      </c>
      <c r="N1440" s="36">
        <v>986.69688705106682</v>
      </c>
      <c r="O1440" s="36">
        <v>729.68945241933204</v>
      </c>
      <c r="P1440">
        <v>1510.5931655506331</v>
      </c>
    </row>
    <row r="1441" spans="1:16" x14ac:dyDescent="0.35">
      <c r="A1441" s="3">
        <f xml:space="preserve"> ROW( data_scaledImpacts[[#This Row],[row_id]] ) - ROW( data_scaledImpacts[[#Headers],[row_id]] )</f>
        <v>1440</v>
      </c>
      <c r="B1441" s="41" t="str">
        <f xml:space="preserve"> _xlfn.TEXTJOIN( "", , data_scaledImpacts[[#This Row],[sector]:[impactType]] )</f>
        <v>RoadsGFDL-CM32Proactive</v>
      </c>
      <c r="C1441" s="33" t="s">
        <v>216</v>
      </c>
      <c r="D1441" s="33" t="s">
        <v>5</v>
      </c>
      <c r="E1441" s="34">
        <v>2</v>
      </c>
      <c r="F1441" s="34"/>
      <c r="G1441" s="34" t="s">
        <v>208</v>
      </c>
      <c r="H1441" s="35"/>
      <c r="I1441" s="43" t="s">
        <v>47</v>
      </c>
      <c r="J1441" s="36">
        <v>653.17566763948764</v>
      </c>
      <c r="K1441" s="36">
        <v>375.45550134591917</v>
      </c>
      <c r="L1441" s="37">
        <v>172.01593230087218</v>
      </c>
      <c r="M1441" s="36">
        <v>98.671680407111197</v>
      </c>
      <c r="N1441" s="36">
        <v>1250.5891740561372</v>
      </c>
      <c r="O1441" s="36">
        <v>371.53454391333122</v>
      </c>
      <c r="P1441">
        <v>2045.019490922263</v>
      </c>
    </row>
    <row r="1442" spans="1:16" x14ac:dyDescent="0.35">
      <c r="A1442" s="3">
        <f xml:space="preserve"> ROW( data_scaledImpacts[[#This Row],[row_id]] ) - ROW( data_scaledImpacts[[#Headers],[row_id]] )</f>
        <v>1441</v>
      </c>
      <c r="B1442" s="41" t="str">
        <f xml:space="preserve"> _xlfn.TEXTJOIN( "", , data_scaledImpacts[[#This Row],[sector]:[impactType]] )</f>
        <v>RoadsGCM Average2Proactive</v>
      </c>
      <c r="C1442" s="33" t="s">
        <v>216</v>
      </c>
      <c r="D1442" s="33" t="s">
        <v>15</v>
      </c>
      <c r="E1442" s="34">
        <v>2</v>
      </c>
      <c r="F1442" s="34"/>
      <c r="G1442" s="34" t="s">
        <v>208</v>
      </c>
      <c r="H1442" s="35"/>
      <c r="I1442" s="43" t="s">
        <v>48</v>
      </c>
      <c r="J1442" s="36">
        <v>555.40936563341643</v>
      </c>
      <c r="K1442" s="36">
        <v>957.32538621068022</v>
      </c>
      <c r="L1442" s="37">
        <v>276.00218221268045</v>
      </c>
      <c r="M1442" s="36">
        <v>503.20552518822359</v>
      </c>
      <c r="N1442" s="36">
        <v>826.79646351587098</v>
      </c>
      <c r="O1442" s="36">
        <v>588.57043613820758</v>
      </c>
      <c r="P1442">
        <v>2401.761952664971</v>
      </c>
    </row>
    <row r="1443" spans="1:16" x14ac:dyDescent="0.35">
      <c r="A1443" s="3">
        <f xml:space="preserve"> ROW( data_scaledImpacts[[#This Row],[row_id]] ) - ROW( data_scaledImpacts[[#Headers],[row_id]] )</f>
        <v>1442</v>
      </c>
      <c r="B1443" s="41" t="str">
        <f xml:space="preserve"> _xlfn.TEXTJOIN( "", , data_scaledImpacts[[#This Row],[sector]:[impactType]] )</f>
        <v>RoadsCanESM23Proactive</v>
      </c>
      <c r="C1443" s="33" t="s">
        <v>216</v>
      </c>
      <c r="D1443" s="33" t="s">
        <v>0</v>
      </c>
      <c r="E1443" s="34">
        <v>3</v>
      </c>
      <c r="F1443" s="34"/>
      <c r="G1443" s="34" t="s">
        <v>208</v>
      </c>
      <c r="H1443" s="35"/>
      <c r="I1443" s="43" t="s">
        <v>49</v>
      </c>
      <c r="J1443" s="36">
        <v>781.04920256490675</v>
      </c>
      <c r="K1443" s="36">
        <v>1178.8643474008647</v>
      </c>
      <c r="L1443" s="37">
        <v>455.9924537699406</v>
      </c>
      <c r="M1443" s="36">
        <v>1364.4168434363057</v>
      </c>
      <c r="N1443" s="36">
        <v>224.9172218544843</v>
      </c>
      <c r="O1443" s="36">
        <v>450.47750157033886</v>
      </c>
      <c r="P1443">
        <v>2090.2426102480358</v>
      </c>
    </row>
    <row r="1444" spans="1:16" x14ac:dyDescent="0.35">
      <c r="A1444" s="3">
        <f xml:space="preserve"> ROW( data_scaledImpacts[[#This Row],[row_id]] ) - ROW( data_scaledImpacts[[#Headers],[row_id]] )</f>
        <v>1443</v>
      </c>
      <c r="B1444" s="41" t="str">
        <f xml:space="preserve"> _xlfn.TEXTJOIN( "", , data_scaledImpacts[[#This Row],[sector]:[impactType]] )</f>
        <v>RoadsCCSM43Proactive</v>
      </c>
      <c r="C1444" s="33" t="s">
        <v>216</v>
      </c>
      <c r="D1444" s="33" t="s">
        <v>1</v>
      </c>
      <c r="E1444" s="34">
        <v>3</v>
      </c>
      <c r="F1444" s="34"/>
      <c r="G1444" s="34" t="s">
        <v>208</v>
      </c>
      <c r="H1444" s="35"/>
      <c r="I1444" s="43" t="s">
        <v>50</v>
      </c>
      <c r="J1444" s="36">
        <v>519.42215749905438</v>
      </c>
      <c r="K1444" s="36">
        <v>690.01037467667766</v>
      </c>
      <c r="L1444" s="37">
        <v>418.17958199188996</v>
      </c>
      <c r="M1444" s="36">
        <v>888.25515205603551</v>
      </c>
      <c r="N1444" s="36">
        <v>379.4376851127214</v>
      </c>
      <c r="O1444" s="36">
        <v>300.45505277957511</v>
      </c>
      <c r="P1444">
        <v>1560.0326144345054</v>
      </c>
    </row>
    <row r="1445" spans="1:16" x14ac:dyDescent="0.35">
      <c r="A1445" s="3">
        <f xml:space="preserve"> ROW( data_scaledImpacts[[#This Row],[row_id]] ) - ROW( data_scaledImpacts[[#Headers],[row_id]] )</f>
        <v>1444</v>
      </c>
      <c r="B1445" s="41" t="str">
        <f xml:space="preserve"> _xlfn.TEXTJOIN( "", , data_scaledImpacts[[#This Row],[sector]:[impactType]] )</f>
        <v>RoadsGISS-E2-R3Proactive</v>
      </c>
      <c r="C1445" s="33" t="s">
        <v>216</v>
      </c>
      <c r="D1445" s="33" t="s">
        <v>2</v>
      </c>
      <c r="E1445" s="34">
        <v>3</v>
      </c>
      <c r="F1445" s="34"/>
      <c r="G1445" s="34" t="s">
        <v>208</v>
      </c>
      <c r="H1445" s="35"/>
      <c r="I1445" s="43" t="s">
        <v>51</v>
      </c>
      <c r="J1445" s="36">
        <v>565.33590687106346</v>
      </c>
      <c r="K1445" s="36">
        <v>162.08698239067397</v>
      </c>
      <c r="L1445" s="37">
        <v>407.10326281240827</v>
      </c>
      <c r="M1445" s="36">
        <v>414.80739710634634</v>
      </c>
      <c r="N1445" s="36">
        <v>181.78402600931491</v>
      </c>
      <c r="O1445" s="36">
        <v>360.55385314752266</v>
      </c>
      <c r="P1445">
        <v>1013.2486174235822</v>
      </c>
    </row>
    <row r="1446" spans="1:16" x14ac:dyDescent="0.35">
      <c r="A1446" s="3">
        <f xml:space="preserve"> ROW( data_scaledImpacts[[#This Row],[row_id]] ) - ROW( data_scaledImpacts[[#Headers],[row_id]] )</f>
        <v>1445</v>
      </c>
      <c r="B1446" s="41" t="str">
        <f xml:space="preserve"> _xlfn.TEXTJOIN( "", , data_scaledImpacts[[#This Row],[sector]:[impactType]] )</f>
        <v>RoadsHadGEM2-ES3Proactive</v>
      </c>
      <c r="C1446" s="33" t="s">
        <v>216</v>
      </c>
      <c r="D1446" s="33" t="s">
        <v>3</v>
      </c>
      <c r="E1446" s="34">
        <v>3</v>
      </c>
      <c r="F1446" s="34"/>
      <c r="G1446" s="34" t="s">
        <v>208</v>
      </c>
      <c r="H1446" s="35"/>
      <c r="I1446" s="43" t="s">
        <v>52</v>
      </c>
      <c r="J1446" s="36">
        <v>842.44214110332268</v>
      </c>
      <c r="K1446" s="36">
        <v>646.61855318950643</v>
      </c>
      <c r="L1446" s="37">
        <v>830.14833634440504</v>
      </c>
      <c r="M1446" s="36">
        <v>2754.1895681812853</v>
      </c>
      <c r="N1446" s="36">
        <v>861.84546807418849</v>
      </c>
      <c r="O1446" s="36">
        <v>317.46122275203959</v>
      </c>
      <c r="P1446">
        <v>1714.1220228380723</v>
      </c>
    </row>
    <row r="1447" spans="1:16" x14ac:dyDescent="0.35">
      <c r="A1447" s="3">
        <f xml:space="preserve"> ROW( data_scaledImpacts[[#This Row],[row_id]] ) - ROW( data_scaledImpacts[[#Headers],[row_id]] )</f>
        <v>1446</v>
      </c>
      <c r="B1447" s="41" t="str">
        <f xml:space="preserve"> _xlfn.TEXTJOIN( "", , data_scaledImpacts[[#This Row],[sector]:[impactType]] )</f>
        <v>RoadsMIROC53Proactive</v>
      </c>
      <c r="C1447" s="33" t="s">
        <v>216</v>
      </c>
      <c r="D1447" s="33" t="s">
        <v>4</v>
      </c>
      <c r="E1447" s="34">
        <v>3</v>
      </c>
      <c r="F1447" s="34"/>
      <c r="G1447" s="34" t="s">
        <v>208</v>
      </c>
      <c r="H1447" s="35"/>
      <c r="I1447" s="43" t="s">
        <v>53</v>
      </c>
      <c r="J1447" s="36">
        <v>448.74525560508567</v>
      </c>
      <c r="K1447" s="36">
        <v>452.14510491646797</v>
      </c>
      <c r="L1447" s="37">
        <v>211.79224803085322</v>
      </c>
      <c r="M1447" s="36">
        <v>1395.2257890906687</v>
      </c>
      <c r="N1447" s="36">
        <v>384.13479727982588</v>
      </c>
      <c r="O1447" s="36">
        <v>552.70221752427165</v>
      </c>
      <c r="P1447">
        <v>1286.4095572963854</v>
      </c>
    </row>
    <row r="1448" spans="1:16" x14ac:dyDescent="0.35">
      <c r="A1448" s="3">
        <f xml:space="preserve"> ROW( data_scaledImpacts[[#This Row],[row_id]] ) - ROW( data_scaledImpacts[[#Headers],[row_id]] )</f>
        <v>1447</v>
      </c>
      <c r="B1448" s="41" t="str">
        <f xml:space="preserve"> _xlfn.TEXTJOIN( "", , data_scaledImpacts[[#This Row],[sector]:[impactType]] )</f>
        <v>RoadsGFDL-CM33Proactive</v>
      </c>
      <c r="C1448" s="33" t="s">
        <v>216</v>
      </c>
      <c r="D1448" s="33" t="s">
        <v>5</v>
      </c>
      <c r="E1448" s="34">
        <v>3</v>
      </c>
      <c r="F1448" s="34"/>
      <c r="G1448" s="34" t="s">
        <v>208</v>
      </c>
      <c r="H1448" s="35"/>
      <c r="I1448" s="43" t="s">
        <v>54</v>
      </c>
      <c r="J1448" s="36">
        <v>396.36604429611737</v>
      </c>
      <c r="K1448" s="36">
        <v>375.82448082988645</v>
      </c>
      <c r="L1448" s="37">
        <v>308.28680516226331</v>
      </c>
      <c r="M1448" s="36">
        <v>1082.6225463686026</v>
      </c>
      <c r="N1448" s="36">
        <v>529.20664851993115</v>
      </c>
      <c r="O1448" s="36">
        <v>853.32808197947247</v>
      </c>
      <c r="P1448">
        <v>1801.0243366219756</v>
      </c>
    </row>
    <row r="1449" spans="1:16" x14ac:dyDescent="0.35">
      <c r="A1449" s="3">
        <f xml:space="preserve"> ROW( data_scaledImpacts[[#This Row],[row_id]] ) - ROW( data_scaledImpacts[[#Headers],[row_id]] )</f>
        <v>1448</v>
      </c>
      <c r="B1449" s="41" t="str">
        <f xml:space="preserve"> _xlfn.TEXTJOIN( "", , data_scaledImpacts[[#This Row],[sector]:[impactType]] )</f>
        <v>RoadsGCM Average3Proactive</v>
      </c>
      <c r="C1449" s="33" t="s">
        <v>216</v>
      </c>
      <c r="D1449" s="33" t="s">
        <v>15</v>
      </c>
      <c r="E1449" s="34">
        <v>3</v>
      </c>
      <c r="F1449" s="34"/>
      <c r="G1449" s="34" t="s">
        <v>208</v>
      </c>
      <c r="H1449" s="35"/>
      <c r="I1449" s="43" t="s">
        <v>55</v>
      </c>
      <c r="J1449" s="36">
        <v>592.22678465659169</v>
      </c>
      <c r="K1449" s="36">
        <v>584.25830723401282</v>
      </c>
      <c r="L1449" s="37">
        <v>438.58378135196011</v>
      </c>
      <c r="M1449" s="36">
        <v>1316.586216039874</v>
      </c>
      <c r="N1449" s="36">
        <v>426.88764114174433</v>
      </c>
      <c r="O1449" s="36">
        <v>472.49632162553672</v>
      </c>
      <c r="P1449">
        <v>1577.5132931437595</v>
      </c>
    </row>
    <row r="1450" spans="1:16" x14ac:dyDescent="0.35">
      <c r="A1450" s="3">
        <f xml:space="preserve"> ROW( data_scaledImpacts[[#This Row],[row_id]] ) - ROW( data_scaledImpacts[[#Headers],[row_id]] )</f>
        <v>1449</v>
      </c>
      <c r="B1450" s="41" t="str">
        <f xml:space="preserve"> _xlfn.TEXTJOIN( "", , data_scaledImpacts[[#This Row],[sector]:[impactType]] )</f>
        <v>RoadsCanESM24Proactive</v>
      </c>
      <c r="C1450" s="33" t="s">
        <v>216</v>
      </c>
      <c r="D1450" s="33" t="s">
        <v>0</v>
      </c>
      <c r="E1450" s="34">
        <v>4</v>
      </c>
      <c r="F1450" s="34"/>
      <c r="G1450" s="34" t="s">
        <v>208</v>
      </c>
      <c r="H1450" s="35"/>
      <c r="I1450" s="43" t="s">
        <v>56</v>
      </c>
      <c r="J1450" s="36">
        <v>600.8279821594756</v>
      </c>
      <c r="K1450" s="36">
        <v>987.94861439841964</v>
      </c>
      <c r="L1450" s="37">
        <v>421.90563120639996</v>
      </c>
      <c r="M1450" s="36">
        <v>626.22818778053852</v>
      </c>
      <c r="N1450" s="36">
        <v>657.4830811110744</v>
      </c>
      <c r="O1450" s="36">
        <v>387.80647030965753</v>
      </c>
      <c r="P1450">
        <v>501.51615894038218</v>
      </c>
    </row>
    <row r="1451" spans="1:16" x14ac:dyDescent="0.35">
      <c r="A1451" s="3">
        <f xml:space="preserve"> ROW( data_scaledImpacts[[#This Row],[row_id]] ) - ROW( data_scaledImpacts[[#Headers],[row_id]] )</f>
        <v>1450</v>
      </c>
      <c r="B1451" s="41" t="str">
        <f xml:space="preserve"> _xlfn.TEXTJOIN( "", , data_scaledImpacts[[#This Row],[sector]:[impactType]] )</f>
        <v>RoadsCCSM44Proactive</v>
      </c>
      <c r="C1451" s="33" t="s">
        <v>216</v>
      </c>
      <c r="D1451" s="33" t="s">
        <v>1</v>
      </c>
      <c r="E1451" s="34">
        <v>4</v>
      </c>
      <c r="F1451" s="34"/>
      <c r="G1451" s="34" t="s">
        <v>208</v>
      </c>
      <c r="H1451" s="35"/>
      <c r="I1451" s="43" t="s">
        <v>57</v>
      </c>
      <c r="J1451" s="36">
        <v>380.46311612055689</v>
      </c>
      <c r="K1451" s="36">
        <v>924.45855897817296</v>
      </c>
      <c r="L1451" s="37">
        <v>183.46142047359837</v>
      </c>
      <c r="M1451" s="36">
        <v>1361.1757312789991</v>
      </c>
      <c r="N1451" s="36">
        <v>763.57421962287685</v>
      </c>
      <c r="O1451" s="36">
        <v>198.94511808598278</v>
      </c>
      <c r="P1451">
        <v>1014.0426670436499</v>
      </c>
    </row>
    <row r="1452" spans="1:16" x14ac:dyDescent="0.35">
      <c r="A1452" s="3">
        <f xml:space="preserve"> ROW( data_scaledImpacts[[#This Row],[row_id]] ) - ROW( data_scaledImpacts[[#Headers],[row_id]] )</f>
        <v>1451</v>
      </c>
      <c r="B1452" s="41" t="str">
        <f xml:space="preserve"> _xlfn.TEXTJOIN( "", , data_scaledImpacts[[#This Row],[sector]:[impactType]] )</f>
        <v>RoadsGISS-E2-R4Proactive</v>
      </c>
      <c r="C1452" s="33" t="s">
        <v>216</v>
      </c>
      <c r="D1452" s="33" t="s">
        <v>2</v>
      </c>
      <c r="E1452" s="34">
        <v>4</v>
      </c>
      <c r="F1452" s="34"/>
      <c r="G1452" s="34" t="s">
        <v>208</v>
      </c>
      <c r="H1452" s="35"/>
      <c r="I1452" s="43" t="s">
        <v>58</v>
      </c>
      <c r="J1452" s="36"/>
      <c r="K1452" s="36"/>
      <c r="L1452" s="37"/>
      <c r="M1452" s="36"/>
      <c r="N1452" s="36"/>
      <c r="O1452" s="36"/>
    </row>
    <row r="1453" spans="1:16" x14ac:dyDescent="0.35">
      <c r="A1453" s="3">
        <f xml:space="preserve"> ROW( data_scaledImpacts[[#This Row],[row_id]] ) - ROW( data_scaledImpacts[[#Headers],[row_id]] )</f>
        <v>1452</v>
      </c>
      <c r="B1453" s="41" t="str">
        <f xml:space="preserve"> _xlfn.TEXTJOIN( "", , data_scaledImpacts[[#This Row],[sector]:[impactType]] )</f>
        <v>RoadsHadGEM2-ES4Proactive</v>
      </c>
      <c r="C1453" s="33" t="s">
        <v>216</v>
      </c>
      <c r="D1453" s="33" t="s">
        <v>3</v>
      </c>
      <c r="E1453" s="34">
        <v>4</v>
      </c>
      <c r="F1453" s="34"/>
      <c r="G1453" s="34" t="s">
        <v>208</v>
      </c>
      <c r="H1453" s="35"/>
      <c r="I1453" s="43" t="s">
        <v>59</v>
      </c>
      <c r="J1453" s="36">
        <v>991.56599826982983</v>
      </c>
      <c r="K1453" s="36">
        <v>873.38659410935395</v>
      </c>
      <c r="L1453" s="37">
        <v>808.27191794228338</v>
      </c>
      <c r="M1453" s="36">
        <v>1595.1693585814969</v>
      </c>
      <c r="N1453" s="36">
        <v>581.01214785555044</v>
      </c>
      <c r="O1453" s="36">
        <v>740.81950352311344</v>
      </c>
      <c r="P1453">
        <v>880.58084933619955</v>
      </c>
    </row>
    <row r="1454" spans="1:16" x14ac:dyDescent="0.35">
      <c r="A1454" s="3">
        <f xml:space="preserve"> ROW( data_scaledImpacts[[#This Row],[row_id]] ) - ROW( data_scaledImpacts[[#Headers],[row_id]] )</f>
        <v>1453</v>
      </c>
      <c r="B1454" s="41" t="str">
        <f xml:space="preserve"> _xlfn.TEXTJOIN( "", , data_scaledImpacts[[#This Row],[sector]:[impactType]] )</f>
        <v>RoadsMIROC54Proactive</v>
      </c>
      <c r="C1454" s="33" t="s">
        <v>216</v>
      </c>
      <c r="D1454" s="33" t="s">
        <v>4</v>
      </c>
      <c r="E1454" s="34">
        <v>4</v>
      </c>
      <c r="F1454" s="34"/>
      <c r="G1454" s="34" t="s">
        <v>208</v>
      </c>
      <c r="H1454" s="35"/>
      <c r="I1454" s="43" t="s">
        <v>60</v>
      </c>
      <c r="J1454" s="36">
        <v>545.39997223243222</v>
      </c>
      <c r="K1454" s="36">
        <v>329.73782962813522</v>
      </c>
      <c r="L1454" s="37">
        <v>573.11003048136945</v>
      </c>
      <c r="M1454" s="36">
        <v>1056.5705081042631</v>
      </c>
      <c r="N1454" s="36">
        <v>217.13805879652989</v>
      </c>
      <c r="O1454" s="36">
        <v>392.17582354333109</v>
      </c>
      <c r="P1454">
        <v>2228.7314261384877</v>
      </c>
    </row>
    <row r="1455" spans="1:16" x14ac:dyDescent="0.35">
      <c r="A1455" s="3">
        <f xml:space="preserve"> ROW( data_scaledImpacts[[#This Row],[row_id]] ) - ROW( data_scaledImpacts[[#Headers],[row_id]] )</f>
        <v>1454</v>
      </c>
      <c r="B1455" s="41" t="str">
        <f xml:space="preserve"> _xlfn.TEXTJOIN( "", , data_scaledImpacts[[#This Row],[sector]:[impactType]] )</f>
        <v>RoadsGFDL-CM34Proactive</v>
      </c>
      <c r="C1455" s="33" t="s">
        <v>216</v>
      </c>
      <c r="D1455" s="33" t="s">
        <v>5</v>
      </c>
      <c r="E1455" s="34">
        <v>4</v>
      </c>
      <c r="F1455" s="34"/>
      <c r="G1455" s="34" t="s">
        <v>208</v>
      </c>
      <c r="H1455" s="35"/>
      <c r="I1455" s="43" t="s">
        <v>61</v>
      </c>
      <c r="J1455" s="36">
        <v>1220.1903099461047</v>
      </c>
      <c r="K1455" s="36">
        <v>1337.394489162052</v>
      </c>
      <c r="L1455" s="37">
        <v>629.54704446627113</v>
      </c>
      <c r="M1455" s="36">
        <v>990.7481704946299</v>
      </c>
      <c r="N1455" s="36">
        <v>854.50959001979936</v>
      </c>
      <c r="O1455" s="36">
        <v>740.74173997129105</v>
      </c>
      <c r="P1455">
        <v>1491.4555535311106</v>
      </c>
    </row>
    <row r="1456" spans="1:16" x14ac:dyDescent="0.35">
      <c r="A1456" s="3">
        <f xml:space="preserve"> ROW( data_scaledImpacts[[#This Row],[row_id]] ) - ROW( data_scaledImpacts[[#Headers],[row_id]] )</f>
        <v>1455</v>
      </c>
      <c r="B1456" s="41" t="str">
        <f xml:space="preserve"> _xlfn.TEXTJOIN( "", , data_scaledImpacts[[#This Row],[sector]:[impactType]] )</f>
        <v>RoadsGCM Average4Proactive</v>
      </c>
      <c r="C1456" s="33" t="s">
        <v>216</v>
      </c>
      <c r="D1456" s="33" t="s">
        <v>15</v>
      </c>
      <c r="E1456" s="34">
        <v>4</v>
      </c>
      <c r="F1456" s="34"/>
      <c r="G1456" s="34" t="s">
        <v>208</v>
      </c>
      <c r="H1456" s="35"/>
      <c r="I1456" s="43" t="s">
        <v>62</v>
      </c>
      <c r="J1456" s="36">
        <v>747.68947574567983</v>
      </c>
      <c r="K1456" s="36">
        <v>890.58521725522678</v>
      </c>
      <c r="L1456" s="37">
        <v>523.25920891398448</v>
      </c>
      <c r="M1456" s="36">
        <v>1125.9783912479857</v>
      </c>
      <c r="N1456" s="36">
        <v>614.74341948116614</v>
      </c>
      <c r="O1456" s="36">
        <v>492.09773108667514</v>
      </c>
      <c r="P1456">
        <v>1223.2653309979657</v>
      </c>
    </row>
    <row r="1457" spans="1:16" x14ac:dyDescent="0.35">
      <c r="A1457" s="3">
        <f xml:space="preserve"> ROW( data_scaledImpacts[[#This Row],[row_id]] ) - ROW( data_scaledImpacts[[#Headers],[row_id]] )</f>
        <v>1456</v>
      </c>
      <c r="B1457" s="41" t="str">
        <f xml:space="preserve"> _xlfn.TEXTJOIN( "", , data_scaledImpacts[[#This Row],[sector]:[impactType]] )</f>
        <v>RoadsCanESM25Proactive</v>
      </c>
      <c r="C1457" s="33" t="s">
        <v>216</v>
      </c>
      <c r="D1457" s="33" t="s">
        <v>0</v>
      </c>
      <c r="E1457" s="34">
        <v>5</v>
      </c>
      <c r="F1457" s="34"/>
      <c r="G1457" s="34" t="s">
        <v>208</v>
      </c>
      <c r="H1457" s="35"/>
      <c r="I1457" s="43" t="s">
        <v>63</v>
      </c>
      <c r="J1457" s="36">
        <v>905.95864092393469</v>
      </c>
      <c r="K1457" s="36">
        <v>635.86707753844723</v>
      </c>
      <c r="L1457" s="37">
        <v>232.91470975242393</v>
      </c>
      <c r="M1457" s="36">
        <v>565.55947090610607</v>
      </c>
      <c r="N1457" s="36">
        <v>397.9101351764391</v>
      </c>
      <c r="O1457" s="36">
        <v>404.34708247666555</v>
      </c>
      <c r="P1457">
        <v>-37.059027874306054</v>
      </c>
    </row>
    <row r="1458" spans="1:16" x14ac:dyDescent="0.35">
      <c r="A1458" s="3">
        <f xml:space="preserve"> ROW( data_scaledImpacts[[#This Row],[row_id]] ) - ROW( data_scaledImpacts[[#Headers],[row_id]] )</f>
        <v>1457</v>
      </c>
      <c r="B1458" s="41" t="str">
        <f xml:space="preserve"> _xlfn.TEXTJOIN( "", , data_scaledImpacts[[#This Row],[sector]:[impactType]] )</f>
        <v>RoadsCCSM45Proactive</v>
      </c>
      <c r="C1458" s="33" t="s">
        <v>216</v>
      </c>
      <c r="D1458" s="33" t="s">
        <v>1</v>
      </c>
      <c r="E1458" s="34">
        <v>5</v>
      </c>
      <c r="F1458" s="34"/>
      <c r="G1458" s="34" t="s">
        <v>208</v>
      </c>
      <c r="H1458" s="35"/>
      <c r="I1458" s="43" t="s">
        <v>64</v>
      </c>
      <c r="J1458" s="36">
        <v>356.63996285269326</v>
      </c>
      <c r="K1458" s="36">
        <v>422.59988729065623</v>
      </c>
      <c r="L1458" s="37">
        <v>157.65938491404506</v>
      </c>
      <c r="M1458" s="36">
        <v>865.21237956280413</v>
      </c>
      <c r="N1458" s="36">
        <v>352.09478655926267</v>
      </c>
      <c r="O1458" s="36">
        <v>278.75347205781821</v>
      </c>
      <c r="P1458">
        <v>2573.7392503028836</v>
      </c>
    </row>
    <row r="1459" spans="1:16" x14ac:dyDescent="0.35">
      <c r="A1459" s="3">
        <f xml:space="preserve"> ROW( data_scaledImpacts[[#This Row],[row_id]] ) - ROW( data_scaledImpacts[[#Headers],[row_id]] )</f>
        <v>1458</v>
      </c>
      <c r="B1459" s="41" t="str">
        <f xml:space="preserve"> _xlfn.TEXTJOIN( "", , data_scaledImpacts[[#This Row],[sector]:[impactType]] )</f>
        <v>RoadsGISS-E2-R5Proactive</v>
      </c>
      <c r="C1459" s="33" t="s">
        <v>216</v>
      </c>
      <c r="D1459" s="33" t="s">
        <v>2</v>
      </c>
      <c r="E1459" s="34">
        <v>5</v>
      </c>
      <c r="F1459" s="34"/>
      <c r="G1459" s="34" t="s">
        <v>208</v>
      </c>
      <c r="H1459" s="35"/>
      <c r="I1459" s="43" t="s">
        <v>65</v>
      </c>
      <c r="J1459" s="36"/>
      <c r="K1459" s="36"/>
      <c r="L1459" s="37"/>
      <c r="M1459" s="36"/>
      <c r="N1459" s="36"/>
      <c r="O1459" s="36"/>
    </row>
    <row r="1460" spans="1:16" x14ac:dyDescent="0.35">
      <c r="A1460" s="3">
        <f xml:space="preserve"> ROW( data_scaledImpacts[[#This Row],[row_id]] ) - ROW( data_scaledImpacts[[#Headers],[row_id]] )</f>
        <v>1459</v>
      </c>
      <c r="B1460" s="41" t="str">
        <f xml:space="preserve"> _xlfn.TEXTJOIN( "", , data_scaledImpacts[[#This Row],[sector]:[impactType]] )</f>
        <v>RoadsHadGEM2-ES5Proactive</v>
      </c>
      <c r="C1460" s="33" t="s">
        <v>216</v>
      </c>
      <c r="D1460" s="33" t="s">
        <v>3</v>
      </c>
      <c r="E1460" s="34">
        <v>5</v>
      </c>
      <c r="F1460" s="34"/>
      <c r="G1460" s="34" t="s">
        <v>208</v>
      </c>
      <c r="H1460" s="35"/>
      <c r="I1460" s="43" t="s">
        <v>66</v>
      </c>
      <c r="J1460" s="36">
        <v>902.43838249551538</v>
      </c>
      <c r="K1460" s="36">
        <v>510.93319508218201</v>
      </c>
      <c r="L1460" s="37">
        <v>744.07513730764288</v>
      </c>
      <c r="M1460" s="36">
        <v>1010.8061979849823</v>
      </c>
      <c r="N1460" s="36">
        <v>639.9246139514338</v>
      </c>
      <c r="O1460" s="36">
        <v>889.1933002375016</v>
      </c>
      <c r="P1460">
        <v>989.26659989949314</v>
      </c>
    </row>
    <row r="1461" spans="1:16" x14ac:dyDescent="0.35">
      <c r="A1461" s="3">
        <f xml:space="preserve"> ROW( data_scaledImpacts[[#This Row],[row_id]] ) - ROW( data_scaledImpacts[[#Headers],[row_id]] )</f>
        <v>1460</v>
      </c>
      <c r="B1461" s="41" t="str">
        <f xml:space="preserve"> _xlfn.TEXTJOIN( "", , data_scaledImpacts[[#This Row],[sector]:[impactType]] )</f>
        <v>RoadsMIROC55Proactive</v>
      </c>
      <c r="C1461" s="33" t="s">
        <v>216</v>
      </c>
      <c r="D1461" s="33" t="s">
        <v>4</v>
      </c>
      <c r="E1461" s="34">
        <v>5</v>
      </c>
      <c r="F1461" s="34"/>
      <c r="G1461" s="34" t="s">
        <v>208</v>
      </c>
      <c r="H1461" s="35"/>
      <c r="I1461" s="43" t="s">
        <v>67</v>
      </c>
      <c r="J1461" s="36">
        <v>346.20772196426009</v>
      </c>
      <c r="K1461" s="36">
        <v>193.45116290555845</v>
      </c>
      <c r="L1461" s="37">
        <v>234.52522838169196</v>
      </c>
      <c r="M1461" s="36">
        <v>-181.83575745043066</v>
      </c>
      <c r="N1461" s="36">
        <v>194.49986723114864</v>
      </c>
      <c r="O1461" s="36">
        <v>185.79214038371285</v>
      </c>
      <c r="P1461">
        <v>202.66069697417529</v>
      </c>
    </row>
    <row r="1462" spans="1:16" x14ac:dyDescent="0.35">
      <c r="A1462" s="3">
        <f xml:space="preserve"> ROW( data_scaledImpacts[[#This Row],[row_id]] ) - ROW( data_scaledImpacts[[#Headers],[row_id]] )</f>
        <v>1461</v>
      </c>
      <c r="B1462" s="41" t="str">
        <f xml:space="preserve"> _xlfn.TEXTJOIN( "", , data_scaledImpacts[[#This Row],[sector]:[impactType]] )</f>
        <v>RoadsGFDL-CM35Proactive</v>
      </c>
      <c r="C1462" s="33" t="s">
        <v>216</v>
      </c>
      <c r="D1462" s="33" t="s">
        <v>5</v>
      </c>
      <c r="E1462" s="34">
        <v>5</v>
      </c>
      <c r="F1462" s="34"/>
      <c r="G1462" s="34" t="s">
        <v>208</v>
      </c>
      <c r="H1462" s="35"/>
      <c r="I1462" s="43" t="s">
        <v>68</v>
      </c>
      <c r="J1462" s="36">
        <v>400.13514534874463</v>
      </c>
      <c r="K1462" s="36">
        <v>895.09115371027929</v>
      </c>
      <c r="L1462" s="37">
        <v>421.2211845953338</v>
      </c>
      <c r="M1462" s="36">
        <v>959.38556018828604</v>
      </c>
      <c r="N1462" s="36">
        <v>354.91686122213662</v>
      </c>
      <c r="O1462" s="36">
        <v>324.23645950065827</v>
      </c>
      <c r="P1462">
        <v>2049.9527601978825</v>
      </c>
    </row>
    <row r="1463" spans="1:16" x14ac:dyDescent="0.35">
      <c r="A1463" s="3">
        <f xml:space="preserve"> ROW( data_scaledImpacts[[#This Row],[row_id]] ) - ROW( data_scaledImpacts[[#Headers],[row_id]] )</f>
        <v>1462</v>
      </c>
      <c r="B1463" s="41" t="str">
        <f xml:space="preserve"> _xlfn.TEXTJOIN( "", , data_scaledImpacts[[#This Row],[sector]:[impactType]] )</f>
        <v>RoadsGCM Average5Proactive</v>
      </c>
      <c r="C1463" s="33" t="s">
        <v>216</v>
      </c>
      <c r="D1463" s="33" t="s">
        <v>15</v>
      </c>
      <c r="E1463" s="34">
        <v>5</v>
      </c>
      <c r="F1463" s="34"/>
      <c r="G1463" s="34" t="s">
        <v>208</v>
      </c>
      <c r="H1463" s="35"/>
      <c r="I1463" s="43" t="s">
        <v>69</v>
      </c>
      <c r="J1463" s="36">
        <v>582.27597071702962</v>
      </c>
      <c r="K1463" s="36">
        <v>531.58849530542466</v>
      </c>
      <c r="L1463" s="37">
        <v>358.07912899022756</v>
      </c>
      <c r="M1463" s="36">
        <v>643.82557023834954</v>
      </c>
      <c r="N1463" s="36">
        <v>387.86925282808414</v>
      </c>
      <c r="O1463" s="36">
        <v>416.46449093127131</v>
      </c>
      <c r="P1463">
        <v>1155.7120559000257</v>
      </c>
    </row>
    <row r="1464" spans="1:16" x14ac:dyDescent="0.35">
      <c r="A1464" s="3">
        <f xml:space="preserve"> ROW( data_scaledImpacts[[#This Row],[row_id]] ) - ROW( data_scaledImpacts[[#Headers],[row_id]] )</f>
        <v>1463</v>
      </c>
      <c r="B1464" s="41" t="str">
        <f xml:space="preserve"> _xlfn.TEXTJOIN( "", , data_scaledImpacts[[#This Row],[sector]:[impactType]] )</f>
        <v>RoadsCanESM26Proactive</v>
      </c>
      <c r="C1464" s="33" t="s">
        <v>216</v>
      </c>
      <c r="D1464" s="33" t="s">
        <v>0</v>
      </c>
      <c r="E1464" s="34">
        <v>6</v>
      </c>
      <c r="F1464" s="34"/>
      <c r="G1464" s="34" t="s">
        <v>208</v>
      </c>
      <c r="H1464" s="35"/>
      <c r="I1464" s="43" t="s">
        <v>70</v>
      </c>
      <c r="J1464" s="36">
        <v>323.84316877680078</v>
      </c>
      <c r="K1464" s="36">
        <v>356.55764106749916</v>
      </c>
      <c r="L1464" s="37">
        <v>210.95590367635191</v>
      </c>
      <c r="M1464" s="36">
        <v>448.51277325705911</v>
      </c>
      <c r="N1464" s="36">
        <v>317.8274882722456</v>
      </c>
      <c r="O1464" s="36">
        <v>359.66867122114007</v>
      </c>
      <c r="P1464">
        <v>818.44803271395642</v>
      </c>
    </row>
    <row r="1465" spans="1:16" x14ac:dyDescent="0.35">
      <c r="A1465" s="3">
        <f xml:space="preserve"> ROW( data_scaledImpacts[[#This Row],[row_id]] ) - ROW( data_scaledImpacts[[#Headers],[row_id]] )</f>
        <v>1464</v>
      </c>
      <c r="B1465" s="41" t="str">
        <f xml:space="preserve"> _xlfn.TEXTJOIN( "", , data_scaledImpacts[[#This Row],[sector]:[impactType]] )</f>
        <v>RoadsCCSM46Proactive</v>
      </c>
      <c r="C1465" s="33" t="s">
        <v>216</v>
      </c>
      <c r="D1465" s="33" t="s">
        <v>1</v>
      </c>
      <c r="E1465" s="34">
        <v>6</v>
      </c>
      <c r="F1465" s="34"/>
      <c r="G1465" s="34" t="s">
        <v>208</v>
      </c>
      <c r="H1465" s="35"/>
      <c r="I1465" s="43" t="s">
        <v>71</v>
      </c>
      <c r="J1465" s="36"/>
      <c r="K1465" s="36"/>
      <c r="L1465" s="37"/>
      <c r="M1465" s="36"/>
      <c r="N1465" s="36"/>
      <c r="O1465" s="36"/>
    </row>
    <row r="1466" spans="1:16" x14ac:dyDescent="0.35">
      <c r="A1466" s="3">
        <f xml:space="preserve"> ROW( data_scaledImpacts[[#This Row],[row_id]] ) - ROW( data_scaledImpacts[[#Headers],[row_id]] )</f>
        <v>1465</v>
      </c>
      <c r="B1466" s="41" t="str">
        <f xml:space="preserve"> _xlfn.TEXTJOIN( "", , data_scaledImpacts[[#This Row],[sector]:[impactType]] )</f>
        <v>RoadsGISS-E2-R6Proactive</v>
      </c>
      <c r="C1466" s="33" t="s">
        <v>216</v>
      </c>
      <c r="D1466" s="33" t="s">
        <v>2</v>
      </c>
      <c r="E1466" s="34">
        <v>6</v>
      </c>
      <c r="F1466" s="34"/>
      <c r="G1466" s="34" t="s">
        <v>208</v>
      </c>
      <c r="H1466" s="35"/>
      <c r="I1466" s="43" t="s">
        <v>72</v>
      </c>
      <c r="J1466" s="36"/>
      <c r="K1466" s="36"/>
      <c r="L1466" s="37"/>
      <c r="M1466" s="36"/>
      <c r="N1466" s="36"/>
      <c r="O1466" s="36"/>
    </row>
    <row r="1467" spans="1:16" x14ac:dyDescent="0.35">
      <c r="A1467" s="3">
        <f xml:space="preserve"> ROW( data_scaledImpacts[[#This Row],[row_id]] ) - ROW( data_scaledImpacts[[#Headers],[row_id]] )</f>
        <v>1466</v>
      </c>
      <c r="B1467" s="41" t="str">
        <f xml:space="preserve"> _xlfn.TEXTJOIN( "", , data_scaledImpacts[[#This Row],[sector]:[impactType]] )</f>
        <v>RoadsHadGEM2-ES6Proactive</v>
      </c>
      <c r="C1467" s="33" t="s">
        <v>216</v>
      </c>
      <c r="D1467" s="33" t="s">
        <v>3</v>
      </c>
      <c r="E1467" s="34">
        <v>6</v>
      </c>
      <c r="F1467" s="34"/>
      <c r="G1467" s="34" t="s">
        <v>208</v>
      </c>
      <c r="H1467" s="35"/>
      <c r="I1467" s="43" t="s">
        <v>73</v>
      </c>
      <c r="J1467" s="36">
        <v>662.89537663413353</v>
      </c>
      <c r="K1467" s="36">
        <v>835.63308685605239</v>
      </c>
      <c r="L1467" s="37">
        <v>286.14042311943405</v>
      </c>
      <c r="M1467" s="36">
        <v>117.15880363483598</v>
      </c>
      <c r="N1467" s="36">
        <v>973.27949511616259</v>
      </c>
      <c r="O1467" s="36">
        <v>1521.6081812248156</v>
      </c>
      <c r="P1467">
        <v>1354.9315479764091</v>
      </c>
    </row>
    <row r="1468" spans="1:16" x14ac:dyDescent="0.35">
      <c r="A1468" s="3">
        <f xml:space="preserve"> ROW( data_scaledImpacts[[#This Row],[row_id]] ) - ROW( data_scaledImpacts[[#Headers],[row_id]] )</f>
        <v>1467</v>
      </c>
      <c r="B1468" s="41" t="str">
        <f xml:space="preserve"> _xlfn.TEXTJOIN( "", , data_scaledImpacts[[#This Row],[sector]:[impactType]] )</f>
        <v>RoadsMIROC56Proactive</v>
      </c>
      <c r="C1468" s="33" t="s">
        <v>216</v>
      </c>
      <c r="D1468" s="33" t="s">
        <v>4</v>
      </c>
      <c r="E1468" s="34">
        <v>6</v>
      </c>
      <c r="F1468" s="34"/>
      <c r="G1468" s="34" t="s">
        <v>208</v>
      </c>
      <c r="H1468" s="35"/>
      <c r="I1468" s="43" t="s">
        <v>74</v>
      </c>
      <c r="J1468" s="36"/>
      <c r="K1468" s="36"/>
      <c r="L1468" s="37"/>
      <c r="M1468" s="36"/>
      <c r="N1468" s="36"/>
      <c r="O1468" s="36"/>
    </row>
    <row r="1469" spans="1:16" x14ac:dyDescent="0.35">
      <c r="A1469" s="3">
        <f xml:space="preserve"> ROW( data_scaledImpacts[[#This Row],[row_id]] ) - ROW( data_scaledImpacts[[#Headers],[row_id]] )</f>
        <v>1468</v>
      </c>
      <c r="B1469" s="41" t="str">
        <f xml:space="preserve"> _xlfn.TEXTJOIN( "", , data_scaledImpacts[[#This Row],[sector]:[impactType]] )</f>
        <v>RoadsGFDL-CM36Proactive</v>
      </c>
      <c r="C1469" s="33" t="s">
        <v>216</v>
      </c>
      <c r="D1469" s="33" t="s">
        <v>5</v>
      </c>
      <c r="E1469" s="34">
        <v>6</v>
      </c>
      <c r="F1469" s="34"/>
      <c r="G1469" s="34" t="s">
        <v>208</v>
      </c>
      <c r="H1469" s="35"/>
      <c r="I1469" s="43" t="s">
        <v>75</v>
      </c>
      <c r="J1469" s="36">
        <v>347.70755648767863</v>
      </c>
      <c r="K1469" s="36">
        <v>311.5564619243832</v>
      </c>
      <c r="L1469" s="37">
        <v>610.96037499084343</v>
      </c>
      <c r="M1469" s="36">
        <v>1192.3075753325309</v>
      </c>
      <c r="N1469" s="36">
        <v>255.06534459530118</v>
      </c>
      <c r="O1469" s="36">
        <v>131.45973235936049</v>
      </c>
      <c r="P1469">
        <v>987.03582397957086</v>
      </c>
    </row>
    <row r="1470" spans="1:16" x14ac:dyDescent="0.35">
      <c r="A1470" s="3">
        <f xml:space="preserve"> ROW( data_scaledImpacts[[#This Row],[row_id]] ) - ROW( data_scaledImpacts[[#Headers],[row_id]] )</f>
        <v>1469</v>
      </c>
      <c r="B1470" s="41" t="str">
        <f xml:space="preserve"> _xlfn.TEXTJOIN( "", , data_scaledImpacts[[#This Row],[sector]:[impactType]] )</f>
        <v>RoadsGCM Average6Proactive</v>
      </c>
      <c r="C1470" s="33" t="s">
        <v>216</v>
      </c>
      <c r="D1470" s="33" t="s">
        <v>15</v>
      </c>
      <c r="E1470" s="34">
        <v>6</v>
      </c>
      <c r="F1470" s="34"/>
      <c r="G1470" s="34" t="s">
        <v>208</v>
      </c>
      <c r="H1470" s="35"/>
      <c r="I1470" s="43" t="s">
        <v>76</v>
      </c>
      <c r="J1470" s="36">
        <v>444.81536729953768</v>
      </c>
      <c r="K1470" s="36">
        <v>501.24906328264495</v>
      </c>
      <c r="L1470" s="37">
        <v>369.3522339288765</v>
      </c>
      <c r="M1470" s="36">
        <v>585.99305074147526</v>
      </c>
      <c r="N1470" s="36">
        <v>515.39077599456982</v>
      </c>
      <c r="O1470" s="36">
        <v>670.91219493510539</v>
      </c>
      <c r="P1470">
        <v>1053.4718015566455</v>
      </c>
    </row>
    <row r="1471" spans="1:16" x14ac:dyDescent="0.35">
      <c r="A1471" s="3">
        <f xml:space="preserve"> ROW( data_scaledImpacts[[#This Row],[row_id]] ) - ROW( data_scaledImpacts[[#Headers],[row_id]] )</f>
        <v>1470</v>
      </c>
      <c r="B1471" s="41" t="str">
        <f xml:space="preserve"> _xlfn.TEXTJOIN( "", , data_scaledImpacts[[#This Row],[sector]:[impactType]] )</f>
        <v>RoadsCanESM27Proactive</v>
      </c>
      <c r="C1471" s="33" t="s">
        <v>216</v>
      </c>
      <c r="D1471" s="33" t="s">
        <v>0</v>
      </c>
      <c r="E1471" s="34">
        <v>7</v>
      </c>
      <c r="F1471" s="34"/>
      <c r="G1471" s="34" t="s">
        <v>208</v>
      </c>
      <c r="H1471" s="35"/>
      <c r="I1471" s="43" t="s">
        <v>77</v>
      </c>
      <c r="J1471" s="36"/>
      <c r="K1471" s="36"/>
      <c r="L1471" s="37"/>
      <c r="M1471" s="36"/>
      <c r="N1471" s="36"/>
      <c r="O1471" s="36"/>
    </row>
    <row r="1472" spans="1:16" x14ac:dyDescent="0.35">
      <c r="A1472" s="3">
        <f xml:space="preserve"> ROW( data_scaledImpacts[[#This Row],[row_id]] ) - ROW( data_scaledImpacts[[#Headers],[row_id]] )</f>
        <v>1471</v>
      </c>
      <c r="B1472" s="41" t="str">
        <f xml:space="preserve"> _xlfn.TEXTJOIN( "", , data_scaledImpacts[[#This Row],[sector]:[impactType]] )</f>
        <v>RoadsCCSM47Proactive</v>
      </c>
      <c r="C1472" s="33" t="s">
        <v>216</v>
      </c>
      <c r="D1472" s="33" t="s">
        <v>1</v>
      </c>
      <c r="E1472" s="34">
        <v>7</v>
      </c>
      <c r="F1472" s="34"/>
      <c r="G1472" s="34" t="s">
        <v>208</v>
      </c>
      <c r="H1472" s="35"/>
      <c r="I1472" s="43" t="s">
        <v>78</v>
      </c>
      <c r="J1472" s="36"/>
      <c r="K1472" s="36"/>
      <c r="L1472" s="37"/>
      <c r="M1472" s="36"/>
      <c r="N1472" s="36"/>
      <c r="O1472" s="36"/>
    </row>
    <row r="1473" spans="1:16" x14ac:dyDescent="0.35">
      <c r="A1473" s="3">
        <f xml:space="preserve"> ROW( data_scaledImpacts[[#This Row],[row_id]] ) - ROW( data_scaledImpacts[[#Headers],[row_id]] )</f>
        <v>1472</v>
      </c>
      <c r="B1473" s="41" t="str">
        <f xml:space="preserve"> _xlfn.TEXTJOIN( "", , data_scaledImpacts[[#This Row],[sector]:[impactType]] )</f>
        <v>RoadsGISS-E2-R7Proactive</v>
      </c>
      <c r="C1473" s="33" t="s">
        <v>216</v>
      </c>
      <c r="D1473" s="33" t="s">
        <v>2</v>
      </c>
      <c r="E1473" s="34">
        <v>7</v>
      </c>
      <c r="F1473" s="34"/>
      <c r="G1473" s="34" t="s">
        <v>208</v>
      </c>
      <c r="H1473" s="35"/>
      <c r="I1473" s="43" t="s">
        <v>79</v>
      </c>
      <c r="J1473" s="36"/>
      <c r="K1473" s="36"/>
      <c r="L1473" s="37"/>
      <c r="M1473" s="36"/>
      <c r="N1473" s="36"/>
      <c r="O1473" s="36"/>
    </row>
    <row r="1474" spans="1:16" x14ac:dyDescent="0.35">
      <c r="A1474" s="3">
        <f xml:space="preserve"> ROW( data_scaledImpacts[[#This Row],[row_id]] ) - ROW( data_scaledImpacts[[#Headers],[row_id]] )</f>
        <v>1473</v>
      </c>
      <c r="B1474" s="41" t="str">
        <f xml:space="preserve"> _xlfn.TEXTJOIN( "", , data_scaledImpacts[[#This Row],[sector]:[impactType]] )</f>
        <v>RoadsHadGEM2-ES7Proactive</v>
      </c>
      <c r="C1474" s="33" t="s">
        <v>216</v>
      </c>
      <c r="D1474" s="33" t="s">
        <v>3</v>
      </c>
      <c r="E1474" s="34">
        <v>7</v>
      </c>
      <c r="F1474" s="34"/>
      <c r="G1474" s="34" t="s">
        <v>208</v>
      </c>
      <c r="H1474" s="35"/>
      <c r="I1474" s="43" t="s">
        <v>80</v>
      </c>
      <c r="J1474" s="36"/>
      <c r="K1474" s="36"/>
      <c r="L1474" s="37"/>
      <c r="M1474" s="36"/>
      <c r="N1474" s="36"/>
      <c r="O1474" s="36"/>
    </row>
    <row r="1475" spans="1:16" x14ac:dyDescent="0.35">
      <c r="A1475" s="3">
        <f xml:space="preserve"> ROW( data_scaledImpacts[[#This Row],[row_id]] ) - ROW( data_scaledImpacts[[#Headers],[row_id]] )</f>
        <v>1474</v>
      </c>
      <c r="B1475" s="41" t="str">
        <f xml:space="preserve"> _xlfn.TEXTJOIN( "", , data_scaledImpacts[[#This Row],[sector]:[impactType]] )</f>
        <v>RoadsMIROC57Proactive</v>
      </c>
      <c r="C1475" s="33" t="s">
        <v>216</v>
      </c>
      <c r="D1475" s="33" t="s">
        <v>4</v>
      </c>
      <c r="E1475" s="34">
        <v>7</v>
      </c>
      <c r="F1475" s="34"/>
      <c r="G1475" s="34" t="s">
        <v>208</v>
      </c>
      <c r="H1475" s="35"/>
      <c r="I1475" s="43" t="s">
        <v>81</v>
      </c>
      <c r="J1475" s="36"/>
      <c r="K1475" s="36"/>
      <c r="L1475" s="37"/>
      <c r="M1475" s="36"/>
      <c r="N1475" s="36"/>
      <c r="O1475" s="36"/>
    </row>
    <row r="1476" spans="1:16" x14ac:dyDescent="0.35">
      <c r="A1476" s="3">
        <f xml:space="preserve"> ROW( data_scaledImpacts[[#This Row],[row_id]] ) - ROW( data_scaledImpacts[[#Headers],[row_id]] )</f>
        <v>1475</v>
      </c>
      <c r="B1476" s="41" t="str">
        <f xml:space="preserve"> _xlfn.TEXTJOIN( "", , data_scaledImpacts[[#This Row],[sector]:[impactType]] )</f>
        <v>RoadsGFDL-CM37Proactive</v>
      </c>
      <c r="C1476" s="33" t="s">
        <v>216</v>
      </c>
      <c r="D1476" s="33" t="s">
        <v>5</v>
      </c>
      <c r="E1476" s="34">
        <v>7</v>
      </c>
      <c r="F1476" s="34"/>
      <c r="G1476" s="34" t="s">
        <v>208</v>
      </c>
      <c r="H1476" s="35"/>
      <c r="I1476" s="43" t="s">
        <v>82</v>
      </c>
      <c r="J1476" s="36"/>
      <c r="K1476" s="36"/>
      <c r="L1476" s="37"/>
      <c r="M1476" s="36"/>
      <c r="N1476" s="36"/>
      <c r="O1476" s="36"/>
    </row>
    <row r="1477" spans="1:16" x14ac:dyDescent="0.35">
      <c r="A1477" s="3">
        <f xml:space="preserve"> ROW( data_scaledImpacts[[#This Row],[row_id]] ) - ROW( data_scaledImpacts[[#Headers],[row_id]] )</f>
        <v>1476</v>
      </c>
      <c r="B1477" s="41" t="str">
        <f xml:space="preserve"> _xlfn.TEXTJOIN( "", , data_scaledImpacts[[#This Row],[sector]:[impactType]] )</f>
        <v>RoadsGCM Average7Proactive</v>
      </c>
      <c r="C1477" s="33" t="s">
        <v>216</v>
      </c>
      <c r="D1477" s="33" t="s">
        <v>15</v>
      </c>
      <c r="E1477" s="34">
        <v>7</v>
      </c>
      <c r="F1477" s="34"/>
      <c r="G1477" s="34" t="s">
        <v>208</v>
      </c>
      <c r="H1477" s="35"/>
      <c r="I1477" s="43" t="s">
        <v>83</v>
      </c>
      <c r="J1477" s="36" t="s">
        <v>26</v>
      </c>
      <c r="K1477" s="36" t="s">
        <v>26</v>
      </c>
      <c r="L1477" s="37" t="s">
        <v>26</v>
      </c>
      <c r="M1477" s="36" t="s">
        <v>26</v>
      </c>
      <c r="N1477" s="36" t="s">
        <v>26</v>
      </c>
      <c r="O1477" s="36"/>
      <c r="P1477" t="s">
        <v>26</v>
      </c>
    </row>
    <row r="1478" spans="1:16" hidden="1" x14ac:dyDescent="0.35">
      <c r="A1478" s="3">
        <f xml:space="preserve"> ROW( data_scaledImpacts[[#This Row],[row_id]] ) - ROW( data_scaledImpacts[[#Headers],[row_id]] )</f>
        <v>1477</v>
      </c>
      <c r="B1478" s="41" t="str">
        <f xml:space="preserve"> _xlfn.TEXTJOIN( "", , data_scaledImpacts[[#This Row],[sector]:[impactType]] )</f>
        <v/>
      </c>
      <c r="C1478" s="33"/>
      <c r="D1478" s="33"/>
      <c r="E1478" s="34"/>
      <c r="F1478" s="34"/>
      <c r="G1478" s="34"/>
      <c r="H1478" s="35"/>
      <c r="I1478" s="43"/>
      <c r="J1478" s="36"/>
      <c r="K1478" s="36"/>
      <c r="L1478" s="37"/>
      <c r="M1478" s="36"/>
      <c r="N1478" s="36"/>
      <c r="O1478" s="36"/>
    </row>
    <row r="1479" spans="1:16" hidden="1" x14ac:dyDescent="0.35">
      <c r="A1479" s="3">
        <f xml:space="preserve"> ROW( data_scaledImpacts[[#This Row],[row_id]] ) - ROW( data_scaledImpacts[[#Headers],[row_id]] )</f>
        <v>1478</v>
      </c>
      <c r="B1479" s="41" t="str">
        <f xml:space="preserve"> _xlfn.TEXTJOIN( "", , data_scaledImpacts[[#This Row],[sector]:[impactType]] )</f>
        <v>ElecTDCanESM21NoAdapt</v>
      </c>
      <c r="C1479" s="33" t="s">
        <v>997</v>
      </c>
      <c r="D1479" s="33" t="s">
        <v>0</v>
      </c>
      <c r="E1479" s="34">
        <v>1</v>
      </c>
      <c r="F1479" s="34"/>
      <c r="G1479" s="34" t="s">
        <v>87</v>
      </c>
      <c r="H1479" s="35"/>
      <c r="I1479" s="43" t="s">
        <v>35</v>
      </c>
      <c r="J1479" s="36">
        <v>426974688.4247002</v>
      </c>
      <c r="K1479" s="36">
        <v>330708983.81725353</v>
      </c>
      <c r="L1479" s="37">
        <v>117052521.16550125</v>
      </c>
      <c r="M1479" s="36">
        <v>160763606.58727828</v>
      </c>
      <c r="N1479" s="36">
        <v>750780235.82244134</v>
      </c>
      <c r="O1479" s="36">
        <v>266652447.70354968</v>
      </c>
      <c r="P1479">
        <v>221080919.89635143</v>
      </c>
    </row>
    <row r="1480" spans="1:16" hidden="1" x14ac:dyDescent="0.35">
      <c r="A1480" s="3">
        <f xml:space="preserve"> ROW( data_scaledImpacts[[#This Row],[row_id]] ) - ROW( data_scaledImpacts[[#Headers],[row_id]] )</f>
        <v>1479</v>
      </c>
      <c r="B1480" s="41" t="str">
        <f xml:space="preserve"> _xlfn.TEXTJOIN( "", , data_scaledImpacts[[#This Row],[sector]:[impactType]] )</f>
        <v>ElecTDCCSM41NoAdapt</v>
      </c>
      <c r="C1480" s="33" t="s">
        <v>997</v>
      </c>
      <c r="D1480" s="33" t="s">
        <v>1</v>
      </c>
      <c r="E1480" s="34">
        <v>1</v>
      </c>
      <c r="F1480" s="34"/>
      <c r="G1480" s="34" t="s">
        <v>87</v>
      </c>
      <c r="H1480" s="35"/>
      <c r="I1480" s="43" t="s">
        <v>36</v>
      </c>
      <c r="J1480" s="36">
        <v>545039601.30757546</v>
      </c>
      <c r="K1480" s="36">
        <v>332831615.59124184</v>
      </c>
      <c r="L1480" s="37">
        <v>177205171.22025505</v>
      </c>
      <c r="M1480" s="36">
        <v>181732979.30841428</v>
      </c>
      <c r="N1480" s="36">
        <v>1018861494.8731416</v>
      </c>
      <c r="O1480" s="36">
        <v>548449742.16274035</v>
      </c>
      <c r="P1480">
        <v>256439156.50539383</v>
      </c>
    </row>
    <row r="1481" spans="1:16" hidden="1" x14ac:dyDescent="0.35">
      <c r="A1481" s="3">
        <f xml:space="preserve"> ROW( data_scaledImpacts[[#This Row],[row_id]] ) - ROW( data_scaledImpacts[[#Headers],[row_id]] )</f>
        <v>1480</v>
      </c>
      <c r="B1481" s="41" t="str">
        <f xml:space="preserve"> _xlfn.TEXTJOIN( "", , data_scaledImpacts[[#This Row],[sector]:[impactType]] )</f>
        <v>ElecTDGISS-E2-R1NoAdapt</v>
      </c>
      <c r="C1481" s="33" t="s">
        <v>997</v>
      </c>
      <c r="D1481" s="33" t="s">
        <v>2</v>
      </c>
      <c r="E1481" s="34">
        <v>1</v>
      </c>
      <c r="F1481" s="34"/>
      <c r="G1481" s="34" t="s">
        <v>87</v>
      </c>
      <c r="H1481" s="35"/>
      <c r="I1481" s="43" t="s">
        <v>37</v>
      </c>
      <c r="J1481" s="36">
        <v>768799000.48582029</v>
      </c>
      <c r="K1481" s="36">
        <v>359527959.45244831</v>
      </c>
      <c r="L1481" s="37">
        <v>205798548.4334012</v>
      </c>
      <c r="M1481" s="36">
        <v>187656544.89389089</v>
      </c>
      <c r="N1481" s="36">
        <v>1362620726.5587509</v>
      </c>
      <c r="O1481" s="36">
        <v>429596077.15326852</v>
      </c>
      <c r="P1481">
        <v>232911475.75835589</v>
      </c>
    </row>
    <row r="1482" spans="1:16" hidden="1" x14ac:dyDescent="0.35">
      <c r="A1482" s="3">
        <f xml:space="preserve"> ROW( data_scaledImpacts[[#This Row],[row_id]] ) - ROW( data_scaledImpacts[[#Headers],[row_id]] )</f>
        <v>1481</v>
      </c>
      <c r="B1482" s="41" t="str">
        <f xml:space="preserve"> _xlfn.TEXTJOIN( "", , data_scaledImpacts[[#This Row],[sector]:[impactType]] )</f>
        <v>ElecTDHadGEM2-ES1NoAdapt</v>
      </c>
      <c r="C1482" s="33" t="s">
        <v>997</v>
      </c>
      <c r="D1482" s="33" t="s">
        <v>3</v>
      </c>
      <c r="E1482" s="34">
        <v>1</v>
      </c>
      <c r="F1482" s="34"/>
      <c r="G1482" s="34" t="s">
        <v>87</v>
      </c>
      <c r="H1482" s="35"/>
      <c r="I1482" s="43" t="s">
        <v>38</v>
      </c>
      <c r="J1482" s="36">
        <v>991991904.71401823</v>
      </c>
      <c r="K1482" s="36">
        <v>658337023.16880703</v>
      </c>
      <c r="L1482" s="37">
        <v>118301918.0248193</v>
      </c>
      <c r="M1482" s="36">
        <v>164788231.02546543</v>
      </c>
      <c r="N1482" s="36">
        <v>1796204279.4890645</v>
      </c>
      <c r="O1482" s="36">
        <v>540513834.34678173</v>
      </c>
      <c r="P1482">
        <v>197920008.33562988</v>
      </c>
    </row>
    <row r="1483" spans="1:16" hidden="1" x14ac:dyDescent="0.35">
      <c r="A1483" s="3">
        <f xml:space="preserve"> ROW( data_scaledImpacts[[#This Row],[row_id]] ) - ROW( data_scaledImpacts[[#Headers],[row_id]] )</f>
        <v>1482</v>
      </c>
      <c r="B1483" s="41" t="str">
        <f xml:space="preserve"> _xlfn.TEXTJOIN( "", , data_scaledImpacts[[#This Row],[sector]:[impactType]] )</f>
        <v>ElecTDMIROC51NoAdapt</v>
      </c>
      <c r="C1483" s="33" t="s">
        <v>997</v>
      </c>
      <c r="D1483" s="33" t="s">
        <v>4</v>
      </c>
      <c r="E1483" s="34">
        <v>1</v>
      </c>
      <c r="F1483" s="34"/>
      <c r="G1483" s="34" t="s">
        <v>87</v>
      </c>
      <c r="H1483" s="35"/>
      <c r="I1483" s="43" t="s">
        <v>39</v>
      </c>
      <c r="J1483" s="36">
        <v>1244358739.1441483</v>
      </c>
      <c r="K1483" s="36">
        <v>469253061.67608225</v>
      </c>
      <c r="L1483" s="37">
        <v>132642626.43690374</v>
      </c>
      <c r="M1483" s="36">
        <v>172548863.28031689</v>
      </c>
      <c r="N1483" s="36">
        <v>1533764962.976362</v>
      </c>
      <c r="O1483" s="36">
        <v>403750443.51906127</v>
      </c>
      <c r="P1483">
        <v>264884172.79024881</v>
      </c>
    </row>
    <row r="1484" spans="1:16" hidden="1" x14ac:dyDescent="0.35">
      <c r="A1484" s="3">
        <f xml:space="preserve"> ROW( data_scaledImpacts[[#This Row],[row_id]] ) - ROW( data_scaledImpacts[[#Headers],[row_id]] )</f>
        <v>1483</v>
      </c>
      <c r="B1484" s="41" t="str">
        <f xml:space="preserve"> _xlfn.TEXTJOIN( "", , data_scaledImpacts[[#This Row],[sector]:[impactType]] )</f>
        <v>ElecTDGFDL-CM31NoAdapt</v>
      </c>
      <c r="C1484" s="33" t="s">
        <v>997</v>
      </c>
      <c r="D1484" s="33" t="s">
        <v>5</v>
      </c>
      <c r="E1484" s="34">
        <v>1</v>
      </c>
      <c r="F1484" s="34"/>
      <c r="G1484" s="34" t="s">
        <v>87</v>
      </c>
      <c r="H1484" s="35"/>
      <c r="I1484" s="43" t="s">
        <v>40</v>
      </c>
      <c r="J1484" s="36">
        <v>816844236.76691949</v>
      </c>
      <c r="K1484" s="36">
        <v>408422338.76161814</v>
      </c>
      <c r="L1484" s="37">
        <v>113822653.84187546</v>
      </c>
      <c r="M1484" s="36">
        <v>173029467.13368997</v>
      </c>
      <c r="N1484" s="36">
        <v>1429939810.7920139</v>
      </c>
      <c r="O1484" s="36">
        <v>411637177.5873071</v>
      </c>
      <c r="P1484">
        <v>226904505.41966042</v>
      </c>
    </row>
    <row r="1485" spans="1:16" hidden="1" x14ac:dyDescent="0.35">
      <c r="A1485" s="3">
        <f xml:space="preserve"> ROW( data_scaledImpacts[[#This Row],[row_id]] ) - ROW( data_scaledImpacts[[#Headers],[row_id]] )</f>
        <v>1484</v>
      </c>
      <c r="B1485" s="41" t="str">
        <f xml:space="preserve"> _xlfn.TEXTJOIN( "", , data_scaledImpacts[[#This Row],[sector]:[impactType]] )</f>
        <v>ElecTDGCM Average1NoAdapt</v>
      </c>
      <c r="C1485" s="33" t="s">
        <v>997</v>
      </c>
      <c r="D1485" s="33" t="s">
        <v>15</v>
      </c>
      <c r="E1485" s="34">
        <v>1</v>
      </c>
      <c r="F1485" s="34"/>
      <c r="G1485" s="34" t="s">
        <v>87</v>
      </c>
      <c r="H1485" s="35"/>
      <c r="I1485" s="43" t="s">
        <v>41</v>
      </c>
      <c r="J1485" s="36">
        <v>799001361.80719697</v>
      </c>
      <c r="K1485" s="36">
        <v>426513497.07790852</v>
      </c>
      <c r="L1485" s="37">
        <v>144137239.85379264</v>
      </c>
      <c r="M1485" s="36">
        <v>173419948.70484263</v>
      </c>
      <c r="N1485" s="36">
        <v>1315361918.4186289</v>
      </c>
      <c r="O1485" s="36">
        <v>433433287.07878476</v>
      </c>
      <c r="P1485">
        <v>233356706.45094004</v>
      </c>
    </row>
    <row r="1486" spans="1:16" hidden="1" x14ac:dyDescent="0.35">
      <c r="A1486" s="3">
        <f xml:space="preserve"> ROW( data_scaledImpacts[[#This Row],[row_id]] ) - ROW( data_scaledImpacts[[#Headers],[row_id]] )</f>
        <v>1485</v>
      </c>
      <c r="B1486" s="41" t="str">
        <f xml:space="preserve"> _xlfn.TEXTJOIN( "", , data_scaledImpacts[[#This Row],[sector]:[impactType]] )</f>
        <v>ElecTDCanESM22NoAdapt</v>
      </c>
      <c r="C1486" s="33" t="s">
        <v>997</v>
      </c>
      <c r="D1486" s="33" t="s">
        <v>0</v>
      </c>
      <c r="E1486" s="34">
        <v>2</v>
      </c>
      <c r="F1486" s="34"/>
      <c r="G1486" s="34" t="s">
        <v>87</v>
      </c>
      <c r="H1486" s="35"/>
      <c r="I1486" s="43" t="s">
        <v>42</v>
      </c>
      <c r="J1486" s="36">
        <v>778537608.21199095</v>
      </c>
      <c r="K1486" s="36">
        <v>516491028.34715027</v>
      </c>
      <c r="L1486" s="37">
        <v>208534853.43038082</v>
      </c>
      <c r="M1486" s="36">
        <v>262925323.47385919</v>
      </c>
      <c r="N1486" s="36">
        <v>1426253723.2270372</v>
      </c>
      <c r="O1486" s="36">
        <v>374762767.80003572</v>
      </c>
      <c r="P1486">
        <v>447618368.07833064</v>
      </c>
    </row>
    <row r="1487" spans="1:16" hidden="1" x14ac:dyDescent="0.35">
      <c r="A1487" s="3">
        <f xml:space="preserve"> ROW( data_scaledImpacts[[#This Row],[row_id]] ) - ROW( data_scaledImpacts[[#Headers],[row_id]] )</f>
        <v>1486</v>
      </c>
      <c r="B1487" s="41" t="str">
        <f xml:space="preserve"> _xlfn.TEXTJOIN( "", , data_scaledImpacts[[#This Row],[sector]:[impactType]] )</f>
        <v>ElecTDCCSM42NoAdapt</v>
      </c>
      <c r="C1487" s="33" t="s">
        <v>997</v>
      </c>
      <c r="D1487" s="33" t="s">
        <v>1</v>
      </c>
      <c r="E1487" s="34">
        <v>2</v>
      </c>
      <c r="F1487" s="34"/>
      <c r="G1487" s="34" t="s">
        <v>87</v>
      </c>
      <c r="H1487" s="35"/>
      <c r="I1487" s="43" t="s">
        <v>43</v>
      </c>
      <c r="J1487" s="36">
        <v>721604117.06166697</v>
      </c>
      <c r="K1487" s="36">
        <v>562772093.81025887</v>
      </c>
      <c r="L1487" s="37">
        <v>163219716.920311</v>
      </c>
      <c r="M1487" s="36">
        <v>238891360.37001714</v>
      </c>
      <c r="N1487" s="36">
        <v>1865454258.1948013</v>
      </c>
      <c r="O1487" s="36">
        <v>496286877.09625417</v>
      </c>
      <c r="P1487">
        <v>447065558.12538898</v>
      </c>
    </row>
    <row r="1488" spans="1:16" hidden="1" x14ac:dyDescent="0.35">
      <c r="A1488" s="3">
        <f xml:space="preserve"> ROW( data_scaledImpacts[[#This Row],[row_id]] ) - ROW( data_scaledImpacts[[#Headers],[row_id]] )</f>
        <v>1487</v>
      </c>
      <c r="B1488" s="41" t="str">
        <f xml:space="preserve"> _xlfn.TEXTJOIN( "", , data_scaledImpacts[[#This Row],[sector]:[impactType]] )</f>
        <v>ElecTDGISS-E2-R2NoAdapt</v>
      </c>
      <c r="C1488" s="33" t="s">
        <v>997</v>
      </c>
      <c r="D1488" s="33" t="s">
        <v>2</v>
      </c>
      <c r="E1488" s="34">
        <v>2</v>
      </c>
      <c r="F1488" s="34"/>
      <c r="G1488" s="34" t="s">
        <v>87</v>
      </c>
      <c r="H1488" s="35"/>
      <c r="I1488" s="43" t="s">
        <v>44</v>
      </c>
      <c r="J1488" s="36">
        <v>1190910049.1873531</v>
      </c>
      <c r="K1488" s="36">
        <v>802639967.71661091</v>
      </c>
      <c r="L1488" s="37">
        <v>174317715.96740717</v>
      </c>
      <c r="M1488" s="36">
        <v>249368379.71132153</v>
      </c>
      <c r="N1488" s="36">
        <v>2303396957.6795664</v>
      </c>
      <c r="O1488" s="36">
        <v>645337617.95836329</v>
      </c>
      <c r="P1488">
        <v>442454474.39970809</v>
      </c>
    </row>
    <row r="1489" spans="1:16" hidden="1" x14ac:dyDescent="0.35">
      <c r="A1489" s="3">
        <f xml:space="preserve"> ROW( data_scaledImpacts[[#This Row],[row_id]] ) - ROW( data_scaledImpacts[[#Headers],[row_id]] )</f>
        <v>1488</v>
      </c>
      <c r="B1489" s="41" t="str">
        <f xml:space="preserve"> _xlfn.TEXTJOIN( "", , data_scaledImpacts[[#This Row],[sector]:[impactType]] )</f>
        <v>ElecTDHadGEM2-ES2NoAdapt</v>
      </c>
      <c r="C1489" s="33" t="s">
        <v>997</v>
      </c>
      <c r="D1489" s="33" t="s">
        <v>3</v>
      </c>
      <c r="E1489" s="34">
        <v>2</v>
      </c>
      <c r="F1489" s="34"/>
      <c r="G1489" s="34" t="s">
        <v>87</v>
      </c>
      <c r="H1489" s="35"/>
      <c r="I1489" s="43" t="s">
        <v>45</v>
      </c>
      <c r="J1489" s="36">
        <v>1305814510.0558553</v>
      </c>
      <c r="K1489" s="36">
        <v>491448804.53191894</v>
      </c>
      <c r="L1489" s="37">
        <v>256408332.95800149</v>
      </c>
      <c r="M1489" s="36">
        <v>270784131.92044562</v>
      </c>
      <c r="N1489" s="36">
        <v>1630158300.4163051</v>
      </c>
      <c r="O1489" s="36">
        <v>1056811559.17518</v>
      </c>
      <c r="P1489">
        <v>363544320.07532334</v>
      </c>
    </row>
    <row r="1490" spans="1:16" hidden="1" x14ac:dyDescent="0.35">
      <c r="A1490" s="3">
        <f xml:space="preserve"> ROW( data_scaledImpacts[[#This Row],[row_id]] ) - ROW( data_scaledImpacts[[#Headers],[row_id]] )</f>
        <v>1489</v>
      </c>
      <c r="B1490" s="41" t="str">
        <f xml:space="preserve"> _xlfn.TEXTJOIN( "", , data_scaledImpacts[[#This Row],[sector]:[impactType]] )</f>
        <v>ElecTDMIROC52NoAdapt</v>
      </c>
      <c r="C1490" s="33" t="s">
        <v>997</v>
      </c>
      <c r="D1490" s="33" t="s">
        <v>4</v>
      </c>
      <c r="E1490" s="34">
        <v>2</v>
      </c>
      <c r="F1490" s="34"/>
      <c r="G1490" s="34" t="s">
        <v>87</v>
      </c>
      <c r="H1490" s="35"/>
      <c r="I1490" s="43" t="s">
        <v>46</v>
      </c>
      <c r="J1490" s="36">
        <v>1323290350.1397543</v>
      </c>
      <c r="K1490" s="36">
        <v>1254850477.7882168</v>
      </c>
      <c r="L1490" s="37">
        <v>315488463.89699215</v>
      </c>
      <c r="M1490" s="36">
        <v>196925023.42779797</v>
      </c>
      <c r="N1490" s="36">
        <v>1874540577.1151643</v>
      </c>
      <c r="O1490" s="36">
        <v>530964930.79636717</v>
      </c>
      <c r="P1490">
        <v>486680197.45872867</v>
      </c>
    </row>
    <row r="1491" spans="1:16" hidden="1" x14ac:dyDescent="0.35">
      <c r="A1491" s="3">
        <f xml:space="preserve"> ROW( data_scaledImpacts[[#This Row],[row_id]] ) - ROW( data_scaledImpacts[[#Headers],[row_id]] )</f>
        <v>1490</v>
      </c>
      <c r="B1491" s="41" t="str">
        <f xml:space="preserve"> _xlfn.TEXTJOIN( "", , data_scaledImpacts[[#This Row],[sector]:[impactType]] )</f>
        <v>ElecTDGFDL-CM32NoAdapt</v>
      </c>
      <c r="C1491" s="33" t="s">
        <v>997</v>
      </c>
      <c r="D1491" s="33" t="s">
        <v>5</v>
      </c>
      <c r="E1491" s="34">
        <v>2</v>
      </c>
      <c r="F1491" s="34"/>
      <c r="G1491" s="34" t="s">
        <v>87</v>
      </c>
      <c r="H1491" s="35"/>
      <c r="I1491" s="43" t="s">
        <v>47</v>
      </c>
      <c r="J1491" s="36">
        <v>1066478464.2660148</v>
      </c>
      <c r="K1491" s="36">
        <v>806635551.89757121</v>
      </c>
      <c r="L1491" s="37">
        <v>165648556.04172087</v>
      </c>
      <c r="M1491" s="36">
        <v>212047053.06134871</v>
      </c>
      <c r="N1491" s="36">
        <v>1812414402.0799408</v>
      </c>
      <c r="O1491" s="36">
        <v>729331198.58432496</v>
      </c>
      <c r="P1491">
        <v>482422923.54301965</v>
      </c>
    </row>
    <row r="1492" spans="1:16" hidden="1" x14ac:dyDescent="0.35">
      <c r="A1492" s="3">
        <f xml:space="preserve"> ROW( data_scaledImpacts[[#This Row],[row_id]] ) - ROW( data_scaledImpacts[[#Headers],[row_id]] )</f>
        <v>1491</v>
      </c>
      <c r="B1492" s="41" t="str">
        <f xml:space="preserve"> _xlfn.TEXTJOIN( "", , data_scaledImpacts[[#This Row],[sector]:[impactType]] )</f>
        <v>ElecTDGCM Average2NoAdapt</v>
      </c>
      <c r="C1492" s="33" t="s">
        <v>997</v>
      </c>
      <c r="D1492" s="33" t="s">
        <v>15</v>
      </c>
      <c r="E1492" s="34">
        <v>2</v>
      </c>
      <c r="F1492" s="34"/>
      <c r="G1492" s="34" t="s">
        <v>87</v>
      </c>
      <c r="H1492" s="35"/>
      <c r="I1492" s="43" t="s">
        <v>48</v>
      </c>
      <c r="J1492" s="36">
        <v>1064439183.1537725</v>
      </c>
      <c r="K1492" s="36">
        <v>739139654.01528788</v>
      </c>
      <c r="L1492" s="37">
        <v>213936273.2024689</v>
      </c>
      <c r="M1492" s="36">
        <v>238490211.99413171</v>
      </c>
      <c r="N1492" s="36">
        <v>1818703036.4521358</v>
      </c>
      <c r="O1492" s="36">
        <v>638915825.23508751</v>
      </c>
      <c r="P1492">
        <v>444964306.94674993</v>
      </c>
    </row>
    <row r="1493" spans="1:16" hidden="1" x14ac:dyDescent="0.35">
      <c r="A1493" s="3">
        <f xml:space="preserve"> ROW( data_scaledImpacts[[#This Row],[row_id]] ) - ROW( data_scaledImpacts[[#Headers],[row_id]] )</f>
        <v>1492</v>
      </c>
      <c r="B1493" s="41" t="str">
        <f xml:space="preserve"> _xlfn.TEXTJOIN( "", , data_scaledImpacts[[#This Row],[sector]:[impactType]] )</f>
        <v>ElecTDCanESM23NoAdapt</v>
      </c>
      <c r="C1493" s="33" t="s">
        <v>997</v>
      </c>
      <c r="D1493" s="33" t="s">
        <v>0</v>
      </c>
      <c r="E1493" s="34">
        <v>3</v>
      </c>
      <c r="F1493" s="34"/>
      <c r="G1493" s="34" t="s">
        <v>87</v>
      </c>
      <c r="H1493" s="35"/>
      <c r="I1493" s="43" t="s">
        <v>49</v>
      </c>
      <c r="J1493" s="36">
        <v>1099378614.7673235</v>
      </c>
      <c r="K1493" s="36">
        <v>619368427.05660546</v>
      </c>
      <c r="L1493" s="37">
        <v>334542557.29810989</v>
      </c>
      <c r="M1493" s="36">
        <v>426230982.00346512</v>
      </c>
      <c r="N1493" s="36">
        <v>2128705753.7478681</v>
      </c>
      <c r="O1493" s="36">
        <v>865810248.25236726</v>
      </c>
      <c r="P1493">
        <v>887844609.98130262</v>
      </c>
    </row>
    <row r="1494" spans="1:16" hidden="1" x14ac:dyDescent="0.35">
      <c r="A1494" s="3">
        <f xml:space="preserve"> ROW( data_scaledImpacts[[#This Row],[row_id]] ) - ROW( data_scaledImpacts[[#Headers],[row_id]] )</f>
        <v>1493</v>
      </c>
      <c r="B1494" s="41" t="str">
        <f xml:space="preserve"> _xlfn.TEXTJOIN( "", , data_scaledImpacts[[#This Row],[sector]:[impactType]] )</f>
        <v>ElecTDCCSM43NoAdapt</v>
      </c>
      <c r="C1494" s="33" t="s">
        <v>997</v>
      </c>
      <c r="D1494" s="33" t="s">
        <v>1</v>
      </c>
      <c r="E1494" s="34">
        <v>3</v>
      </c>
      <c r="F1494" s="34"/>
      <c r="G1494" s="34" t="s">
        <v>87</v>
      </c>
      <c r="H1494" s="35"/>
      <c r="I1494" s="43" t="s">
        <v>50</v>
      </c>
      <c r="J1494" s="36">
        <v>1390915891.0395083</v>
      </c>
      <c r="K1494" s="36">
        <v>821725851.84119189</v>
      </c>
      <c r="L1494" s="37">
        <v>331675358.58756983</v>
      </c>
      <c r="M1494" s="36">
        <v>401656622.66311377</v>
      </c>
      <c r="N1494" s="36">
        <v>3115739444.1086097</v>
      </c>
      <c r="O1494" s="36">
        <v>657273074.34352124</v>
      </c>
      <c r="P1494">
        <v>550953135.98567593</v>
      </c>
    </row>
    <row r="1495" spans="1:16" hidden="1" x14ac:dyDescent="0.35">
      <c r="A1495" s="3">
        <f xml:space="preserve"> ROW( data_scaledImpacts[[#This Row],[row_id]] ) - ROW( data_scaledImpacts[[#Headers],[row_id]] )</f>
        <v>1494</v>
      </c>
      <c r="B1495" s="41" t="str">
        <f xml:space="preserve"> _xlfn.TEXTJOIN( "", , data_scaledImpacts[[#This Row],[sector]:[impactType]] )</f>
        <v>ElecTDGISS-E2-R3NoAdapt</v>
      </c>
      <c r="C1495" s="33" t="s">
        <v>997</v>
      </c>
      <c r="D1495" s="33" t="s">
        <v>2</v>
      </c>
      <c r="E1495" s="34">
        <v>3</v>
      </c>
      <c r="F1495" s="34"/>
      <c r="G1495" s="34" t="s">
        <v>87</v>
      </c>
      <c r="H1495" s="35"/>
      <c r="I1495" s="43" t="s">
        <v>51</v>
      </c>
      <c r="J1495" s="36">
        <v>1374398577.7567556</v>
      </c>
      <c r="K1495" s="36">
        <v>978959853.5536238</v>
      </c>
      <c r="L1495" s="37">
        <v>271995370.62285376</v>
      </c>
      <c r="M1495" s="36">
        <v>442729083.02644545</v>
      </c>
      <c r="N1495" s="36">
        <v>3746053616.9584546</v>
      </c>
      <c r="O1495" s="36">
        <v>1102617217.5635297</v>
      </c>
      <c r="P1495">
        <v>615077267.76043475</v>
      </c>
    </row>
    <row r="1496" spans="1:16" hidden="1" x14ac:dyDescent="0.35">
      <c r="A1496" s="3">
        <f xml:space="preserve"> ROW( data_scaledImpacts[[#This Row],[row_id]] ) - ROW( data_scaledImpacts[[#Headers],[row_id]] )</f>
        <v>1495</v>
      </c>
      <c r="B1496" s="41" t="str">
        <f xml:space="preserve"> _xlfn.TEXTJOIN( "", , data_scaledImpacts[[#This Row],[sector]:[impactType]] )</f>
        <v>ElecTDHadGEM2-ES3NoAdapt</v>
      </c>
      <c r="C1496" s="33" t="s">
        <v>997</v>
      </c>
      <c r="D1496" s="33" t="s">
        <v>3</v>
      </c>
      <c r="E1496" s="34">
        <v>3</v>
      </c>
      <c r="F1496" s="34"/>
      <c r="G1496" s="34" t="s">
        <v>87</v>
      </c>
      <c r="H1496" s="35"/>
      <c r="I1496" s="43" t="s">
        <v>52</v>
      </c>
      <c r="J1496" s="36">
        <v>1382795709.9774292</v>
      </c>
      <c r="K1496" s="36">
        <v>923085662.08155394</v>
      </c>
      <c r="L1496" s="37">
        <v>348271498.09338593</v>
      </c>
      <c r="M1496" s="36">
        <v>375360709.43064326</v>
      </c>
      <c r="N1496" s="36">
        <v>2449438445.3845067</v>
      </c>
      <c r="O1496" s="36">
        <v>1029749576.1626581</v>
      </c>
      <c r="P1496">
        <v>581913252.58730018</v>
      </c>
    </row>
    <row r="1497" spans="1:16" hidden="1" x14ac:dyDescent="0.35">
      <c r="A1497" s="3">
        <f xml:space="preserve"> ROW( data_scaledImpacts[[#This Row],[row_id]] ) - ROW( data_scaledImpacts[[#Headers],[row_id]] )</f>
        <v>1496</v>
      </c>
      <c r="B1497" s="41" t="str">
        <f xml:space="preserve"> _xlfn.TEXTJOIN( "", , data_scaledImpacts[[#This Row],[sector]:[impactType]] )</f>
        <v>ElecTDMIROC53NoAdapt</v>
      </c>
      <c r="C1497" s="33" t="s">
        <v>997</v>
      </c>
      <c r="D1497" s="33" t="s">
        <v>4</v>
      </c>
      <c r="E1497" s="34">
        <v>3</v>
      </c>
      <c r="F1497" s="34"/>
      <c r="G1497" s="34" t="s">
        <v>87</v>
      </c>
      <c r="H1497" s="35"/>
      <c r="I1497" s="43" t="s">
        <v>53</v>
      </c>
      <c r="J1497" s="36">
        <v>1141187228.6440396</v>
      </c>
      <c r="K1497" s="36">
        <v>928820596.63973808</v>
      </c>
      <c r="L1497" s="37">
        <v>257512316.41446254</v>
      </c>
      <c r="M1497" s="36">
        <v>315962156.53319377</v>
      </c>
      <c r="N1497" s="36">
        <v>2531631453.9517446</v>
      </c>
      <c r="O1497" s="36">
        <v>632682428.77955532</v>
      </c>
      <c r="P1497">
        <v>603610905.77355921</v>
      </c>
    </row>
    <row r="1498" spans="1:16" hidden="1" x14ac:dyDescent="0.35">
      <c r="A1498" s="3">
        <f xml:space="preserve"> ROW( data_scaledImpacts[[#This Row],[row_id]] ) - ROW( data_scaledImpacts[[#Headers],[row_id]] )</f>
        <v>1497</v>
      </c>
      <c r="B1498" s="41" t="str">
        <f xml:space="preserve"> _xlfn.TEXTJOIN( "", , data_scaledImpacts[[#This Row],[sector]:[impactType]] )</f>
        <v>ElecTDGFDL-CM33NoAdapt</v>
      </c>
      <c r="C1498" s="33" t="s">
        <v>997</v>
      </c>
      <c r="D1498" s="33" t="s">
        <v>5</v>
      </c>
      <c r="E1498" s="34">
        <v>3</v>
      </c>
      <c r="F1498" s="34"/>
      <c r="G1498" s="34" t="s">
        <v>87</v>
      </c>
      <c r="H1498" s="35"/>
      <c r="I1498" s="43" t="s">
        <v>54</v>
      </c>
      <c r="J1498" s="36">
        <v>1093929891.0587606</v>
      </c>
      <c r="K1498" s="36">
        <v>840173530.82495809</v>
      </c>
      <c r="L1498" s="37">
        <v>253590800.973975</v>
      </c>
      <c r="M1498" s="36">
        <v>363501281.54696786</v>
      </c>
      <c r="N1498" s="36">
        <v>2399298628.609448</v>
      </c>
      <c r="O1498" s="36">
        <v>585995260.04189754</v>
      </c>
      <c r="P1498">
        <v>610498884.29801202</v>
      </c>
    </row>
    <row r="1499" spans="1:16" hidden="1" x14ac:dyDescent="0.35">
      <c r="A1499" s="3">
        <f xml:space="preserve"> ROW( data_scaledImpacts[[#This Row],[row_id]] ) - ROW( data_scaledImpacts[[#Headers],[row_id]] )</f>
        <v>1498</v>
      </c>
      <c r="B1499" s="41" t="str">
        <f xml:space="preserve"> _xlfn.TEXTJOIN( "", , data_scaledImpacts[[#This Row],[sector]:[impactType]] )</f>
        <v>ElecTDGCM Average3NoAdapt</v>
      </c>
      <c r="C1499" s="33" t="s">
        <v>997</v>
      </c>
      <c r="D1499" s="33" t="s">
        <v>15</v>
      </c>
      <c r="E1499" s="34">
        <v>3</v>
      </c>
      <c r="F1499" s="34"/>
      <c r="G1499" s="34" t="s">
        <v>87</v>
      </c>
      <c r="H1499" s="35"/>
      <c r="I1499" s="43" t="s">
        <v>55</v>
      </c>
      <c r="J1499" s="36">
        <v>1247100985.5406363</v>
      </c>
      <c r="K1499" s="36">
        <v>852022320.33294523</v>
      </c>
      <c r="L1499" s="37">
        <v>299597983.66505951</v>
      </c>
      <c r="M1499" s="36">
        <v>387573472.53397155</v>
      </c>
      <c r="N1499" s="36">
        <v>2728477890.4601049</v>
      </c>
      <c r="O1499" s="36">
        <v>812354634.19058812</v>
      </c>
      <c r="P1499">
        <v>641649676.06438076</v>
      </c>
    </row>
    <row r="1500" spans="1:16" hidden="1" x14ac:dyDescent="0.35">
      <c r="A1500" s="3">
        <f xml:space="preserve"> ROW( data_scaledImpacts[[#This Row],[row_id]] ) - ROW( data_scaledImpacts[[#Headers],[row_id]] )</f>
        <v>1499</v>
      </c>
      <c r="B1500" s="41" t="str">
        <f xml:space="preserve"> _xlfn.TEXTJOIN( "", , data_scaledImpacts[[#This Row],[sector]:[impactType]] )</f>
        <v>ElecTDCanESM24NoAdapt</v>
      </c>
      <c r="C1500" s="33" t="s">
        <v>997</v>
      </c>
      <c r="D1500" s="33" t="s">
        <v>0</v>
      </c>
      <c r="E1500" s="34">
        <v>4</v>
      </c>
      <c r="F1500" s="34"/>
      <c r="G1500" s="34" t="s">
        <v>87</v>
      </c>
      <c r="H1500" s="35"/>
      <c r="I1500" s="43" t="s">
        <v>56</v>
      </c>
      <c r="J1500" s="36">
        <v>1083351055.4118507</v>
      </c>
      <c r="K1500" s="36">
        <v>689796403.77526474</v>
      </c>
      <c r="L1500" s="37">
        <v>313436943.50782984</v>
      </c>
      <c r="M1500" s="36">
        <v>491611095.40432113</v>
      </c>
      <c r="N1500" s="36">
        <v>2543180610.9954562</v>
      </c>
      <c r="O1500" s="36">
        <v>717353627.30174601</v>
      </c>
      <c r="P1500">
        <v>840864158.19382346</v>
      </c>
    </row>
    <row r="1501" spans="1:16" hidden="1" x14ac:dyDescent="0.35">
      <c r="A1501" s="3">
        <f xml:space="preserve"> ROW( data_scaledImpacts[[#This Row],[row_id]] ) - ROW( data_scaledImpacts[[#Headers],[row_id]] )</f>
        <v>1500</v>
      </c>
      <c r="B1501" s="41" t="str">
        <f xml:space="preserve"> _xlfn.TEXTJOIN( "", , data_scaledImpacts[[#This Row],[sector]:[impactType]] )</f>
        <v>ElecTDCCSM44NoAdapt</v>
      </c>
      <c r="C1501" s="33" t="s">
        <v>997</v>
      </c>
      <c r="D1501" s="33" t="s">
        <v>1</v>
      </c>
      <c r="E1501" s="34">
        <v>4</v>
      </c>
      <c r="F1501" s="34"/>
      <c r="G1501" s="34" t="s">
        <v>87</v>
      </c>
      <c r="H1501" s="35"/>
      <c r="I1501" s="43" t="s">
        <v>57</v>
      </c>
      <c r="J1501" s="36">
        <v>1388712707.984951</v>
      </c>
      <c r="K1501" s="36">
        <v>1046265244.9540758</v>
      </c>
      <c r="L1501" s="37">
        <v>330378687.03449249</v>
      </c>
      <c r="M1501" s="36">
        <v>584690627.99620414</v>
      </c>
      <c r="N1501" s="36">
        <v>4264263917.3737249</v>
      </c>
      <c r="O1501" s="36">
        <v>953542555.42538464</v>
      </c>
      <c r="P1501">
        <v>887120895.54645681</v>
      </c>
    </row>
    <row r="1502" spans="1:16" hidden="1" x14ac:dyDescent="0.35">
      <c r="A1502" s="3">
        <f xml:space="preserve"> ROW( data_scaledImpacts[[#This Row],[row_id]] ) - ROW( data_scaledImpacts[[#Headers],[row_id]] )</f>
        <v>1501</v>
      </c>
      <c r="B1502" s="41" t="str">
        <f xml:space="preserve"> _xlfn.TEXTJOIN( "", , data_scaledImpacts[[#This Row],[sector]:[impactType]] )</f>
        <v>ElecTDGISS-E2-R4NoAdapt</v>
      </c>
      <c r="C1502" s="33" t="s">
        <v>997</v>
      </c>
      <c r="D1502" s="33" t="s">
        <v>2</v>
      </c>
      <c r="E1502" s="34">
        <v>4</v>
      </c>
      <c r="F1502" s="34"/>
      <c r="G1502" s="34" t="s">
        <v>87</v>
      </c>
      <c r="H1502" s="35"/>
      <c r="I1502" s="43" t="s">
        <v>58</v>
      </c>
      <c r="J1502" s="36"/>
      <c r="K1502" s="36"/>
      <c r="L1502" s="37"/>
      <c r="M1502" s="36"/>
      <c r="N1502" s="36"/>
      <c r="O1502" s="36"/>
    </row>
    <row r="1503" spans="1:16" hidden="1" x14ac:dyDescent="0.35">
      <c r="A1503" s="3">
        <f xml:space="preserve"> ROW( data_scaledImpacts[[#This Row],[row_id]] ) - ROW( data_scaledImpacts[[#Headers],[row_id]] )</f>
        <v>1502</v>
      </c>
      <c r="B1503" s="41" t="str">
        <f xml:space="preserve"> _xlfn.TEXTJOIN( "", , data_scaledImpacts[[#This Row],[sector]:[impactType]] )</f>
        <v>ElecTDHadGEM2-ES4NoAdapt</v>
      </c>
      <c r="C1503" s="33" t="s">
        <v>997</v>
      </c>
      <c r="D1503" s="33" t="s">
        <v>3</v>
      </c>
      <c r="E1503" s="34">
        <v>4</v>
      </c>
      <c r="F1503" s="34"/>
      <c r="G1503" s="34" t="s">
        <v>87</v>
      </c>
      <c r="H1503" s="35"/>
      <c r="I1503" s="43" t="s">
        <v>59</v>
      </c>
      <c r="J1503" s="36">
        <v>2085656633.1261749</v>
      </c>
      <c r="K1503" s="36">
        <v>977694238.02927506</v>
      </c>
      <c r="L1503" s="37">
        <v>379958746.54134929</v>
      </c>
      <c r="M1503" s="36">
        <v>489080746.68538201</v>
      </c>
      <c r="N1503" s="36">
        <v>2979866115.6601772</v>
      </c>
      <c r="O1503" s="36">
        <v>860877006.62252522</v>
      </c>
      <c r="P1503">
        <v>677973741.73474765</v>
      </c>
    </row>
    <row r="1504" spans="1:16" hidden="1" x14ac:dyDescent="0.35">
      <c r="A1504" s="3">
        <f xml:space="preserve"> ROW( data_scaledImpacts[[#This Row],[row_id]] ) - ROW( data_scaledImpacts[[#Headers],[row_id]] )</f>
        <v>1503</v>
      </c>
      <c r="B1504" s="41" t="str">
        <f xml:space="preserve"> _xlfn.TEXTJOIN( "", , data_scaledImpacts[[#This Row],[sector]:[impactType]] )</f>
        <v>ElecTDMIROC54NoAdapt</v>
      </c>
      <c r="C1504" s="33" t="s">
        <v>997</v>
      </c>
      <c r="D1504" s="33" t="s">
        <v>4</v>
      </c>
      <c r="E1504" s="34">
        <v>4</v>
      </c>
      <c r="F1504" s="34"/>
      <c r="G1504" s="34" t="s">
        <v>87</v>
      </c>
      <c r="H1504" s="35"/>
      <c r="I1504" s="43" t="s">
        <v>60</v>
      </c>
      <c r="J1504" s="36">
        <v>1490221147.2713537</v>
      </c>
      <c r="K1504" s="36">
        <v>1242944718.3312416</v>
      </c>
      <c r="L1504" s="37">
        <v>307812013.35646302</v>
      </c>
      <c r="M1504" s="36">
        <v>447981409.45440537</v>
      </c>
      <c r="N1504" s="36">
        <v>3775358490.8450384</v>
      </c>
      <c r="O1504" s="36">
        <v>1208783237.1889656</v>
      </c>
      <c r="P1504">
        <v>610639470.22119975</v>
      </c>
    </row>
    <row r="1505" spans="1:16" hidden="1" x14ac:dyDescent="0.35">
      <c r="A1505" s="3">
        <f xml:space="preserve"> ROW( data_scaledImpacts[[#This Row],[row_id]] ) - ROW( data_scaledImpacts[[#Headers],[row_id]] )</f>
        <v>1504</v>
      </c>
      <c r="B1505" s="41" t="str">
        <f xml:space="preserve"> _xlfn.TEXTJOIN( "", , data_scaledImpacts[[#This Row],[sector]:[impactType]] )</f>
        <v>ElecTDGFDL-CM34NoAdapt</v>
      </c>
      <c r="C1505" s="33" t="s">
        <v>997</v>
      </c>
      <c r="D1505" s="33" t="s">
        <v>5</v>
      </c>
      <c r="E1505" s="34">
        <v>4</v>
      </c>
      <c r="F1505" s="34"/>
      <c r="G1505" s="34" t="s">
        <v>87</v>
      </c>
      <c r="H1505" s="35"/>
      <c r="I1505" s="43" t="s">
        <v>61</v>
      </c>
      <c r="J1505" s="36">
        <v>1901137074.3167105</v>
      </c>
      <c r="K1505" s="36">
        <v>1320406991.007442</v>
      </c>
      <c r="L1505" s="37">
        <v>395026114.0785712</v>
      </c>
      <c r="M1505" s="36">
        <v>629907454.20963573</v>
      </c>
      <c r="N1505" s="36">
        <v>4337075770.5546436</v>
      </c>
      <c r="O1505" s="36">
        <v>1249936389.0593634</v>
      </c>
      <c r="P1505">
        <v>970334382.99731243</v>
      </c>
    </row>
    <row r="1506" spans="1:16" hidden="1" x14ac:dyDescent="0.35">
      <c r="A1506" s="3">
        <f xml:space="preserve"> ROW( data_scaledImpacts[[#This Row],[row_id]] ) - ROW( data_scaledImpacts[[#Headers],[row_id]] )</f>
        <v>1505</v>
      </c>
      <c r="B1506" s="41" t="str">
        <f xml:space="preserve"> _xlfn.TEXTJOIN( "", , data_scaledImpacts[[#This Row],[sector]:[impactType]] )</f>
        <v>ElecTDGCM Average4NoAdapt</v>
      </c>
      <c r="C1506" s="33" t="s">
        <v>997</v>
      </c>
      <c r="D1506" s="33" t="s">
        <v>15</v>
      </c>
      <c r="E1506" s="34">
        <v>4</v>
      </c>
      <c r="F1506" s="34"/>
      <c r="G1506" s="34" t="s">
        <v>87</v>
      </c>
      <c r="H1506" s="35"/>
      <c r="I1506" s="43" t="s">
        <v>62</v>
      </c>
      <c r="J1506" s="36">
        <v>1589815723.6222081</v>
      </c>
      <c r="K1506" s="36">
        <v>1055421519.2194599</v>
      </c>
      <c r="L1506" s="37">
        <v>345322500.90374118</v>
      </c>
      <c r="M1506" s="36">
        <v>528654266.74998969</v>
      </c>
      <c r="N1506" s="36">
        <v>3579948981.0858078</v>
      </c>
      <c r="O1506" s="36">
        <v>998098563.11959708</v>
      </c>
      <c r="P1506">
        <v>797386529.73870814</v>
      </c>
    </row>
    <row r="1507" spans="1:16" hidden="1" x14ac:dyDescent="0.35">
      <c r="A1507" s="3">
        <f xml:space="preserve"> ROW( data_scaledImpacts[[#This Row],[row_id]] ) - ROW( data_scaledImpacts[[#Headers],[row_id]] )</f>
        <v>1506</v>
      </c>
      <c r="B1507" s="41" t="str">
        <f xml:space="preserve"> _xlfn.TEXTJOIN( "", , data_scaledImpacts[[#This Row],[sector]:[impactType]] )</f>
        <v>ElecTDCanESM25NoAdapt</v>
      </c>
      <c r="C1507" s="33" t="s">
        <v>997</v>
      </c>
      <c r="D1507" s="33" t="s">
        <v>0</v>
      </c>
      <c r="E1507" s="34">
        <v>5</v>
      </c>
      <c r="F1507" s="34"/>
      <c r="G1507" s="34" t="s">
        <v>87</v>
      </c>
      <c r="H1507" s="35"/>
      <c r="I1507" s="43" t="s">
        <v>63</v>
      </c>
      <c r="J1507" s="36">
        <v>1914942406.4864359</v>
      </c>
      <c r="K1507" s="36">
        <v>1259157519.177182</v>
      </c>
      <c r="L1507" s="37">
        <v>582139713.42340922</v>
      </c>
      <c r="M1507" s="36">
        <v>571981943.85931396</v>
      </c>
      <c r="N1507" s="36">
        <v>3561314349.3728385</v>
      </c>
      <c r="O1507" s="36">
        <v>1076298113.1086006</v>
      </c>
      <c r="P1507">
        <v>946133206.5616436</v>
      </c>
    </row>
    <row r="1508" spans="1:16" hidden="1" x14ac:dyDescent="0.35">
      <c r="A1508" s="3">
        <f xml:space="preserve"> ROW( data_scaledImpacts[[#This Row],[row_id]] ) - ROW( data_scaledImpacts[[#Headers],[row_id]] )</f>
        <v>1507</v>
      </c>
      <c r="B1508" s="41" t="str">
        <f xml:space="preserve"> _xlfn.TEXTJOIN( "", , data_scaledImpacts[[#This Row],[sector]:[impactType]] )</f>
        <v>ElecTDCCSM45NoAdapt</v>
      </c>
      <c r="C1508" s="33" t="s">
        <v>997</v>
      </c>
      <c r="D1508" s="33" t="s">
        <v>1</v>
      </c>
      <c r="E1508" s="34">
        <v>5</v>
      </c>
      <c r="F1508" s="34"/>
      <c r="G1508" s="34" t="s">
        <v>87</v>
      </c>
      <c r="H1508" s="35"/>
      <c r="I1508" s="43" t="s">
        <v>64</v>
      </c>
      <c r="J1508" s="36">
        <v>1871563212.5943284</v>
      </c>
      <c r="K1508" s="36">
        <v>1397826419.6183684</v>
      </c>
      <c r="L1508" s="37">
        <v>508393599.49927759</v>
      </c>
      <c r="M1508" s="36">
        <v>638252359.95406997</v>
      </c>
      <c r="N1508" s="36">
        <v>5528957112.442194</v>
      </c>
      <c r="O1508" s="36">
        <v>1489291873.7218037</v>
      </c>
      <c r="P1508">
        <v>948825783.79212093</v>
      </c>
    </row>
    <row r="1509" spans="1:16" hidden="1" x14ac:dyDescent="0.35">
      <c r="A1509" s="3">
        <f xml:space="preserve"> ROW( data_scaledImpacts[[#This Row],[row_id]] ) - ROW( data_scaledImpacts[[#Headers],[row_id]] )</f>
        <v>1508</v>
      </c>
      <c r="B1509" s="41" t="str">
        <f xml:space="preserve"> _xlfn.TEXTJOIN( "", , data_scaledImpacts[[#This Row],[sector]:[impactType]] )</f>
        <v>ElecTDGISS-E2-R5NoAdapt</v>
      </c>
      <c r="C1509" s="33" t="s">
        <v>997</v>
      </c>
      <c r="D1509" s="33" t="s">
        <v>2</v>
      </c>
      <c r="E1509" s="34">
        <v>5</v>
      </c>
      <c r="F1509" s="34"/>
      <c r="G1509" s="34" t="s">
        <v>87</v>
      </c>
      <c r="H1509" s="35"/>
      <c r="I1509" s="43" t="s">
        <v>65</v>
      </c>
      <c r="J1509" s="36"/>
      <c r="K1509" s="36"/>
      <c r="L1509" s="37"/>
      <c r="M1509" s="36"/>
      <c r="N1509" s="36"/>
      <c r="O1509" s="36"/>
    </row>
    <row r="1510" spans="1:16" hidden="1" x14ac:dyDescent="0.35">
      <c r="A1510" s="3">
        <f xml:space="preserve"> ROW( data_scaledImpacts[[#This Row],[row_id]] ) - ROW( data_scaledImpacts[[#Headers],[row_id]] )</f>
        <v>1509</v>
      </c>
      <c r="B1510" s="41" t="str">
        <f xml:space="preserve"> _xlfn.TEXTJOIN( "", , data_scaledImpacts[[#This Row],[sector]:[impactType]] )</f>
        <v>ElecTDHadGEM2-ES5NoAdapt</v>
      </c>
      <c r="C1510" s="33" t="s">
        <v>997</v>
      </c>
      <c r="D1510" s="33" t="s">
        <v>3</v>
      </c>
      <c r="E1510" s="34">
        <v>5</v>
      </c>
      <c r="F1510" s="34"/>
      <c r="G1510" s="34" t="s">
        <v>87</v>
      </c>
      <c r="H1510" s="35"/>
      <c r="I1510" s="43" t="s">
        <v>66</v>
      </c>
      <c r="J1510" s="36">
        <v>2679172655.2005634</v>
      </c>
      <c r="K1510" s="36">
        <v>1181878191.9189589</v>
      </c>
      <c r="L1510" s="37">
        <v>647160681.87725568</v>
      </c>
      <c r="M1510" s="36">
        <v>646218436.37156832</v>
      </c>
      <c r="N1510" s="36">
        <v>3728423057.7107272</v>
      </c>
      <c r="O1510" s="36">
        <v>983889317.9014982</v>
      </c>
      <c r="P1510">
        <v>805385318.68428719</v>
      </c>
    </row>
    <row r="1511" spans="1:16" hidden="1" x14ac:dyDescent="0.35">
      <c r="A1511" s="3">
        <f xml:space="preserve"> ROW( data_scaledImpacts[[#This Row],[row_id]] ) - ROW( data_scaledImpacts[[#Headers],[row_id]] )</f>
        <v>1510</v>
      </c>
      <c r="B1511" s="41" t="str">
        <f xml:space="preserve"> _xlfn.TEXTJOIN( "", , data_scaledImpacts[[#This Row],[sector]:[impactType]] )</f>
        <v>ElecTDMIROC55NoAdapt</v>
      </c>
      <c r="C1511" s="33" t="s">
        <v>997</v>
      </c>
      <c r="D1511" s="33" t="s">
        <v>4</v>
      </c>
      <c r="E1511" s="34">
        <v>5</v>
      </c>
      <c r="F1511" s="34"/>
      <c r="G1511" s="34" t="s">
        <v>87</v>
      </c>
      <c r="H1511" s="35"/>
      <c r="I1511" s="43" t="s">
        <v>67</v>
      </c>
      <c r="J1511" s="36">
        <v>2043813323.7523472</v>
      </c>
      <c r="K1511" s="36">
        <v>1541802915.4724226</v>
      </c>
      <c r="L1511" s="37">
        <v>407567554.51334578</v>
      </c>
      <c r="M1511" s="36">
        <v>546970705.3386724</v>
      </c>
      <c r="N1511" s="36">
        <v>3902356098.1503897</v>
      </c>
      <c r="O1511" s="36">
        <v>450645575.95009887</v>
      </c>
      <c r="P1511">
        <v>703474444.83917642</v>
      </c>
    </row>
    <row r="1512" spans="1:16" hidden="1" x14ac:dyDescent="0.35">
      <c r="A1512" s="3">
        <f xml:space="preserve"> ROW( data_scaledImpacts[[#This Row],[row_id]] ) - ROW( data_scaledImpacts[[#Headers],[row_id]] )</f>
        <v>1511</v>
      </c>
      <c r="B1512" s="41" t="str">
        <f xml:space="preserve"> _xlfn.TEXTJOIN( "", , data_scaledImpacts[[#This Row],[sector]:[impactType]] )</f>
        <v>ElecTDGFDL-CM35NoAdapt</v>
      </c>
      <c r="C1512" s="33" t="s">
        <v>997</v>
      </c>
      <c r="D1512" s="33" t="s">
        <v>5</v>
      </c>
      <c r="E1512" s="34">
        <v>5</v>
      </c>
      <c r="F1512" s="34"/>
      <c r="G1512" s="34" t="s">
        <v>87</v>
      </c>
      <c r="H1512" s="35"/>
      <c r="I1512" s="43" t="s">
        <v>68</v>
      </c>
      <c r="J1512" s="36">
        <v>1916200425.1998768</v>
      </c>
      <c r="K1512" s="36">
        <v>1312329721.4877913</v>
      </c>
      <c r="L1512" s="37">
        <v>369818312.67321998</v>
      </c>
      <c r="M1512" s="36">
        <v>529956823.17596096</v>
      </c>
      <c r="N1512" s="36">
        <v>4169566570.7051659</v>
      </c>
      <c r="O1512" s="36">
        <v>1192876870.9369609</v>
      </c>
      <c r="P1512">
        <v>910646526.25390458</v>
      </c>
    </row>
    <row r="1513" spans="1:16" hidden="1" x14ac:dyDescent="0.35">
      <c r="A1513" s="3">
        <f xml:space="preserve"> ROW( data_scaledImpacts[[#This Row],[row_id]] ) - ROW( data_scaledImpacts[[#Headers],[row_id]] )</f>
        <v>1512</v>
      </c>
      <c r="B1513" s="41" t="str">
        <f xml:space="preserve"> _xlfn.TEXTJOIN( "", , data_scaledImpacts[[#This Row],[sector]:[impactType]] )</f>
        <v>ElecTDGCM Average5NoAdapt</v>
      </c>
      <c r="C1513" s="33" t="s">
        <v>997</v>
      </c>
      <c r="D1513" s="33" t="s">
        <v>15</v>
      </c>
      <c r="E1513" s="34">
        <v>5</v>
      </c>
      <c r="F1513" s="34"/>
      <c r="G1513" s="34" t="s">
        <v>87</v>
      </c>
      <c r="H1513" s="35"/>
      <c r="I1513" s="43" t="s">
        <v>69</v>
      </c>
      <c r="J1513" s="36">
        <v>2085138404.6467102</v>
      </c>
      <c r="K1513" s="36">
        <v>1338598953.5349445</v>
      </c>
      <c r="L1513" s="37">
        <v>503015972.39730167</v>
      </c>
      <c r="M1513" s="36">
        <v>586676053.73991704</v>
      </c>
      <c r="N1513" s="36">
        <v>4178123437.6762633</v>
      </c>
      <c r="O1513" s="36">
        <v>1038600350.3237925</v>
      </c>
      <c r="P1513">
        <v>862893056.0262264</v>
      </c>
    </row>
    <row r="1514" spans="1:16" hidden="1" x14ac:dyDescent="0.35">
      <c r="A1514" s="3">
        <f xml:space="preserve"> ROW( data_scaledImpacts[[#This Row],[row_id]] ) - ROW( data_scaledImpacts[[#Headers],[row_id]] )</f>
        <v>1513</v>
      </c>
      <c r="B1514" s="41" t="str">
        <f xml:space="preserve"> _xlfn.TEXTJOIN( "", , data_scaledImpacts[[#This Row],[sector]:[impactType]] )</f>
        <v>ElecTDCanESM26NoAdapt</v>
      </c>
      <c r="C1514" s="33" t="s">
        <v>997</v>
      </c>
      <c r="D1514" s="33" t="s">
        <v>0</v>
      </c>
      <c r="E1514" s="34">
        <v>6</v>
      </c>
      <c r="F1514" s="34"/>
      <c r="G1514" s="34" t="s">
        <v>87</v>
      </c>
      <c r="H1514" s="35"/>
      <c r="I1514" s="43" t="s">
        <v>70</v>
      </c>
      <c r="J1514" s="36">
        <v>1966661392.9882507</v>
      </c>
      <c r="K1514" s="36">
        <v>1407546293.8515394</v>
      </c>
      <c r="L1514" s="37">
        <v>543587081.08343816</v>
      </c>
      <c r="M1514" s="36">
        <v>654726360.06786966</v>
      </c>
      <c r="N1514" s="36">
        <v>4508896858.8313494</v>
      </c>
      <c r="O1514" s="36">
        <v>1371951558.6259167</v>
      </c>
      <c r="P1514">
        <v>1180694399.7984223</v>
      </c>
    </row>
    <row r="1515" spans="1:16" hidden="1" x14ac:dyDescent="0.35">
      <c r="A1515" s="3">
        <f xml:space="preserve"> ROW( data_scaledImpacts[[#This Row],[row_id]] ) - ROW( data_scaledImpacts[[#Headers],[row_id]] )</f>
        <v>1514</v>
      </c>
      <c r="B1515" s="41" t="str">
        <f xml:space="preserve"> _xlfn.TEXTJOIN( "", , data_scaledImpacts[[#This Row],[sector]:[impactType]] )</f>
        <v>ElecTDCCSM46NoAdapt</v>
      </c>
      <c r="C1515" s="33" t="s">
        <v>997</v>
      </c>
      <c r="D1515" s="33" t="s">
        <v>1</v>
      </c>
      <c r="E1515" s="34">
        <v>6</v>
      </c>
      <c r="F1515" s="34"/>
      <c r="G1515" s="34" t="s">
        <v>87</v>
      </c>
      <c r="H1515" s="35"/>
      <c r="I1515" s="43" t="s">
        <v>71</v>
      </c>
      <c r="J1515" s="36"/>
      <c r="K1515" s="36"/>
      <c r="L1515" s="37"/>
      <c r="M1515" s="36"/>
      <c r="N1515" s="36"/>
      <c r="O1515" s="36"/>
    </row>
    <row r="1516" spans="1:16" hidden="1" x14ac:dyDescent="0.35">
      <c r="A1516" s="3">
        <f xml:space="preserve"> ROW( data_scaledImpacts[[#This Row],[row_id]] ) - ROW( data_scaledImpacts[[#Headers],[row_id]] )</f>
        <v>1515</v>
      </c>
      <c r="B1516" s="41" t="str">
        <f xml:space="preserve"> _xlfn.TEXTJOIN( "", , data_scaledImpacts[[#This Row],[sector]:[impactType]] )</f>
        <v>ElecTDGISS-E2-R6NoAdapt</v>
      </c>
      <c r="C1516" s="33" t="s">
        <v>997</v>
      </c>
      <c r="D1516" s="33" t="s">
        <v>2</v>
      </c>
      <c r="E1516" s="34">
        <v>6</v>
      </c>
      <c r="F1516" s="34"/>
      <c r="G1516" s="34" t="s">
        <v>87</v>
      </c>
      <c r="H1516" s="35"/>
      <c r="I1516" s="43" t="s">
        <v>72</v>
      </c>
      <c r="J1516" s="36"/>
      <c r="K1516" s="36"/>
      <c r="L1516" s="37"/>
      <c r="M1516" s="36"/>
      <c r="N1516" s="36"/>
      <c r="O1516" s="36"/>
    </row>
    <row r="1517" spans="1:16" hidden="1" x14ac:dyDescent="0.35">
      <c r="A1517" s="3">
        <f xml:space="preserve"> ROW( data_scaledImpacts[[#This Row],[row_id]] ) - ROW( data_scaledImpacts[[#Headers],[row_id]] )</f>
        <v>1516</v>
      </c>
      <c r="B1517" s="41" t="str">
        <f xml:space="preserve"> _xlfn.TEXTJOIN( "", , data_scaledImpacts[[#This Row],[sector]:[impactType]] )</f>
        <v>ElecTDHadGEM2-ES6NoAdapt</v>
      </c>
      <c r="C1517" s="33" t="s">
        <v>997</v>
      </c>
      <c r="D1517" s="33" t="s">
        <v>3</v>
      </c>
      <c r="E1517" s="34">
        <v>6</v>
      </c>
      <c r="F1517" s="34"/>
      <c r="G1517" s="34" t="s">
        <v>87</v>
      </c>
      <c r="H1517" s="35"/>
      <c r="I1517" s="43" t="s">
        <v>73</v>
      </c>
      <c r="J1517" s="36">
        <v>3070040230.8392482</v>
      </c>
      <c r="K1517" s="36">
        <v>1534364634.1481173</v>
      </c>
      <c r="L1517" s="37">
        <v>504131654.00110114</v>
      </c>
      <c r="M1517" s="36">
        <v>658073592.10368001</v>
      </c>
      <c r="N1517" s="36">
        <v>4792833527.2655478</v>
      </c>
      <c r="O1517" s="36">
        <v>1720171618.2941976</v>
      </c>
      <c r="P1517">
        <v>1008479206.0365227</v>
      </c>
    </row>
    <row r="1518" spans="1:16" hidden="1" x14ac:dyDescent="0.35">
      <c r="A1518" s="3">
        <f xml:space="preserve"> ROW( data_scaledImpacts[[#This Row],[row_id]] ) - ROW( data_scaledImpacts[[#Headers],[row_id]] )</f>
        <v>1517</v>
      </c>
      <c r="B1518" s="41" t="str">
        <f xml:space="preserve"> _xlfn.TEXTJOIN( "", , data_scaledImpacts[[#This Row],[sector]:[impactType]] )</f>
        <v>ElecTDMIROC56NoAdapt</v>
      </c>
      <c r="C1518" s="33" t="s">
        <v>997</v>
      </c>
      <c r="D1518" s="33" t="s">
        <v>4</v>
      </c>
      <c r="E1518" s="34">
        <v>6</v>
      </c>
      <c r="F1518" s="34"/>
      <c r="G1518" s="34" t="s">
        <v>87</v>
      </c>
      <c r="H1518" s="35"/>
      <c r="I1518" s="43" t="s">
        <v>74</v>
      </c>
      <c r="J1518" s="36"/>
      <c r="K1518" s="36"/>
      <c r="L1518" s="37"/>
      <c r="M1518" s="36"/>
      <c r="N1518" s="36"/>
      <c r="O1518" s="36"/>
    </row>
    <row r="1519" spans="1:16" hidden="1" x14ac:dyDescent="0.35">
      <c r="A1519" s="3">
        <f xml:space="preserve"> ROW( data_scaledImpacts[[#This Row],[row_id]] ) - ROW( data_scaledImpacts[[#Headers],[row_id]] )</f>
        <v>1518</v>
      </c>
      <c r="B1519" s="41" t="str">
        <f xml:space="preserve"> _xlfn.TEXTJOIN( "", , data_scaledImpacts[[#This Row],[sector]:[impactType]] )</f>
        <v>ElecTDGFDL-CM36NoAdapt</v>
      </c>
      <c r="C1519" s="33" t="s">
        <v>997</v>
      </c>
      <c r="D1519" s="33" t="s">
        <v>5</v>
      </c>
      <c r="E1519" s="34">
        <v>6</v>
      </c>
      <c r="F1519" s="34"/>
      <c r="G1519" s="34" t="s">
        <v>87</v>
      </c>
      <c r="H1519" s="35"/>
      <c r="I1519" s="43" t="s">
        <v>75</v>
      </c>
      <c r="J1519" s="36">
        <v>2347527817.0973415</v>
      </c>
      <c r="K1519" s="36">
        <v>1557366602.5343814</v>
      </c>
      <c r="L1519" s="37">
        <v>476003179.28962964</v>
      </c>
      <c r="M1519" s="36">
        <v>682007373.52941</v>
      </c>
      <c r="N1519" s="36">
        <v>4949016989.6301966</v>
      </c>
      <c r="O1519" s="36">
        <v>1358028007.3263743</v>
      </c>
      <c r="P1519">
        <v>1228834167.5347118</v>
      </c>
    </row>
    <row r="1520" spans="1:16" hidden="1" x14ac:dyDescent="0.35">
      <c r="A1520" s="3">
        <f xml:space="preserve"> ROW( data_scaledImpacts[[#This Row],[row_id]] ) - ROW( data_scaledImpacts[[#Headers],[row_id]] )</f>
        <v>1519</v>
      </c>
      <c r="B1520" s="41" t="str">
        <f xml:space="preserve"> _xlfn.TEXTJOIN( "", , data_scaledImpacts[[#This Row],[sector]:[impactType]] )</f>
        <v>ElecTDGCM Average6NoAdapt</v>
      </c>
      <c r="C1520" s="33" t="s">
        <v>997</v>
      </c>
      <c r="D1520" s="33" t="s">
        <v>15</v>
      </c>
      <c r="E1520" s="34">
        <v>6</v>
      </c>
      <c r="F1520" s="34"/>
      <c r="G1520" s="34" t="s">
        <v>87</v>
      </c>
      <c r="H1520" s="35"/>
      <c r="I1520" s="43" t="s">
        <v>76</v>
      </c>
      <c r="J1520" s="36">
        <v>2461409813.6416135</v>
      </c>
      <c r="K1520" s="36">
        <v>1499759176.8446796</v>
      </c>
      <c r="L1520" s="37">
        <v>507907304.79138964</v>
      </c>
      <c r="M1520" s="36">
        <v>664935775.23365319</v>
      </c>
      <c r="N1520" s="36">
        <v>4750249125.2423639</v>
      </c>
      <c r="O1520" s="36">
        <v>1483383728.0821629</v>
      </c>
      <c r="P1520">
        <v>1139335924.4565523</v>
      </c>
    </row>
    <row r="1521" spans="1:16" hidden="1" x14ac:dyDescent="0.35">
      <c r="A1521" s="3">
        <f xml:space="preserve"> ROW( data_scaledImpacts[[#This Row],[row_id]] ) - ROW( data_scaledImpacts[[#Headers],[row_id]] )</f>
        <v>1520</v>
      </c>
      <c r="B1521" s="41" t="str">
        <f xml:space="preserve"> _xlfn.TEXTJOIN( "", , data_scaledImpacts[[#This Row],[sector]:[impactType]] )</f>
        <v>ElecTDCanESM27NoAdapt</v>
      </c>
      <c r="C1521" s="33" t="s">
        <v>997</v>
      </c>
      <c r="D1521" s="33" t="s">
        <v>0</v>
      </c>
      <c r="E1521" s="34">
        <v>7</v>
      </c>
      <c r="F1521" s="34"/>
      <c r="G1521" s="34" t="s">
        <v>87</v>
      </c>
      <c r="H1521" s="35"/>
      <c r="I1521" s="43" t="s">
        <v>77</v>
      </c>
      <c r="J1521" s="36"/>
      <c r="K1521" s="36"/>
      <c r="L1521" s="37"/>
      <c r="M1521" s="36"/>
      <c r="N1521" s="36"/>
      <c r="O1521" s="36"/>
    </row>
    <row r="1522" spans="1:16" hidden="1" x14ac:dyDescent="0.35">
      <c r="A1522" s="3">
        <f xml:space="preserve"> ROW( data_scaledImpacts[[#This Row],[row_id]] ) - ROW( data_scaledImpacts[[#Headers],[row_id]] )</f>
        <v>1521</v>
      </c>
      <c r="B1522" s="41" t="str">
        <f xml:space="preserve"> _xlfn.TEXTJOIN( "", , data_scaledImpacts[[#This Row],[sector]:[impactType]] )</f>
        <v>ElecTDCCSM47NoAdapt</v>
      </c>
      <c r="C1522" s="33" t="s">
        <v>997</v>
      </c>
      <c r="D1522" s="33" t="s">
        <v>1</v>
      </c>
      <c r="E1522" s="34">
        <v>7</v>
      </c>
      <c r="F1522" s="34"/>
      <c r="G1522" s="34" t="s">
        <v>87</v>
      </c>
      <c r="H1522" s="35"/>
      <c r="I1522" s="43" t="s">
        <v>78</v>
      </c>
      <c r="J1522" s="36"/>
      <c r="K1522" s="36"/>
      <c r="L1522" s="37"/>
      <c r="M1522" s="36"/>
      <c r="N1522" s="36"/>
      <c r="O1522" s="36"/>
    </row>
    <row r="1523" spans="1:16" hidden="1" x14ac:dyDescent="0.35">
      <c r="A1523" s="3">
        <f xml:space="preserve"> ROW( data_scaledImpacts[[#This Row],[row_id]] ) - ROW( data_scaledImpacts[[#Headers],[row_id]] )</f>
        <v>1522</v>
      </c>
      <c r="B1523" s="41" t="str">
        <f xml:space="preserve"> _xlfn.TEXTJOIN( "", , data_scaledImpacts[[#This Row],[sector]:[impactType]] )</f>
        <v>ElecTDGISS-E2-R7NoAdapt</v>
      </c>
      <c r="C1523" s="33" t="s">
        <v>997</v>
      </c>
      <c r="D1523" s="33" t="s">
        <v>2</v>
      </c>
      <c r="E1523" s="34">
        <v>7</v>
      </c>
      <c r="F1523" s="34"/>
      <c r="G1523" s="34" t="s">
        <v>87</v>
      </c>
      <c r="H1523" s="35"/>
      <c r="I1523" s="43" t="s">
        <v>79</v>
      </c>
      <c r="J1523" s="36"/>
      <c r="K1523" s="36"/>
      <c r="L1523" s="37"/>
      <c r="M1523" s="36"/>
      <c r="N1523" s="36"/>
      <c r="O1523" s="36"/>
    </row>
    <row r="1524" spans="1:16" hidden="1" x14ac:dyDescent="0.35">
      <c r="A1524" s="3">
        <f xml:space="preserve"> ROW( data_scaledImpacts[[#This Row],[row_id]] ) - ROW( data_scaledImpacts[[#Headers],[row_id]] )</f>
        <v>1523</v>
      </c>
      <c r="B1524" s="41" t="str">
        <f xml:space="preserve"> _xlfn.TEXTJOIN( "", , data_scaledImpacts[[#This Row],[sector]:[impactType]] )</f>
        <v>ElecTDHadGEM2-ES7NoAdapt</v>
      </c>
      <c r="C1524" s="33" t="s">
        <v>997</v>
      </c>
      <c r="D1524" s="33" t="s">
        <v>3</v>
      </c>
      <c r="E1524" s="34">
        <v>7</v>
      </c>
      <c r="F1524" s="34"/>
      <c r="G1524" s="34" t="s">
        <v>87</v>
      </c>
      <c r="H1524" s="35"/>
      <c r="I1524" s="43" t="s">
        <v>80</v>
      </c>
      <c r="J1524" s="36"/>
      <c r="K1524" s="36"/>
      <c r="L1524" s="37"/>
      <c r="M1524" s="36"/>
      <c r="N1524" s="36"/>
      <c r="O1524" s="36"/>
    </row>
    <row r="1525" spans="1:16" hidden="1" x14ac:dyDescent="0.35">
      <c r="A1525" s="3">
        <f xml:space="preserve"> ROW( data_scaledImpacts[[#This Row],[row_id]] ) - ROW( data_scaledImpacts[[#Headers],[row_id]] )</f>
        <v>1524</v>
      </c>
      <c r="B1525" s="41" t="str">
        <f xml:space="preserve"> _xlfn.TEXTJOIN( "", , data_scaledImpacts[[#This Row],[sector]:[impactType]] )</f>
        <v>ElecTDMIROC57NoAdapt</v>
      </c>
      <c r="C1525" s="33" t="s">
        <v>997</v>
      </c>
      <c r="D1525" s="33" t="s">
        <v>4</v>
      </c>
      <c r="E1525" s="34">
        <v>7</v>
      </c>
      <c r="F1525" s="34"/>
      <c r="G1525" s="34" t="s">
        <v>87</v>
      </c>
      <c r="H1525" s="35"/>
      <c r="I1525" s="43" t="s">
        <v>81</v>
      </c>
      <c r="J1525" s="36"/>
      <c r="K1525" s="36"/>
      <c r="L1525" s="37"/>
      <c r="M1525" s="36"/>
      <c r="N1525" s="36"/>
      <c r="O1525" s="36"/>
    </row>
    <row r="1526" spans="1:16" hidden="1" x14ac:dyDescent="0.35">
      <c r="A1526" s="3">
        <f xml:space="preserve"> ROW( data_scaledImpacts[[#This Row],[row_id]] ) - ROW( data_scaledImpacts[[#Headers],[row_id]] )</f>
        <v>1525</v>
      </c>
      <c r="B1526" s="41" t="str">
        <f xml:space="preserve"> _xlfn.TEXTJOIN( "", , data_scaledImpacts[[#This Row],[sector]:[impactType]] )</f>
        <v>ElecTDGFDL-CM37NoAdapt</v>
      </c>
      <c r="C1526" s="33" t="s">
        <v>997</v>
      </c>
      <c r="D1526" s="33" t="s">
        <v>5</v>
      </c>
      <c r="E1526" s="34">
        <v>7</v>
      </c>
      <c r="F1526" s="34"/>
      <c r="G1526" s="34" t="s">
        <v>87</v>
      </c>
      <c r="H1526" s="35"/>
      <c r="I1526" s="43" t="s">
        <v>82</v>
      </c>
      <c r="J1526" s="36"/>
      <c r="K1526" s="36"/>
      <c r="L1526" s="37"/>
      <c r="M1526" s="36"/>
      <c r="N1526" s="36"/>
      <c r="O1526" s="36"/>
    </row>
    <row r="1527" spans="1:16" hidden="1" x14ac:dyDescent="0.35">
      <c r="A1527" s="3">
        <f xml:space="preserve"> ROW( data_scaledImpacts[[#This Row],[row_id]] ) - ROW( data_scaledImpacts[[#Headers],[row_id]] )</f>
        <v>1526</v>
      </c>
      <c r="B1527" s="41" t="str">
        <f xml:space="preserve"> _xlfn.TEXTJOIN( "", , data_scaledImpacts[[#This Row],[sector]:[impactType]] )</f>
        <v>ElecTDGCM Average7NoAdapt</v>
      </c>
      <c r="C1527" s="33" t="s">
        <v>997</v>
      </c>
      <c r="D1527" s="33" t="s">
        <v>15</v>
      </c>
      <c r="E1527" s="34">
        <v>7</v>
      </c>
      <c r="F1527" s="34"/>
      <c r="G1527" s="34" t="s">
        <v>87</v>
      </c>
      <c r="H1527" s="35"/>
      <c r="I1527" s="43" t="s">
        <v>83</v>
      </c>
      <c r="J1527" s="36" t="s">
        <v>26</v>
      </c>
      <c r="K1527" s="36" t="s">
        <v>26</v>
      </c>
      <c r="L1527" s="37" t="s">
        <v>26</v>
      </c>
      <c r="M1527" s="36" t="s">
        <v>26</v>
      </c>
      <c r="N1527" s="36" t="s">
        <v>26</v>
      </c>
      <c r="O1527" s="36" t="s">
        <v>26</v>
      </c>
      <c r="P1527" t="s">
        <v>26</v>
      </c>
    </row>
    <row r="1528" spans="1:16" hidden="1" x14ac:dyDescent="0.35">
      <c r="A1528" s="3">
        <f xml:space="preserve"> ROW( data_scaledImpacts[[#This Row],[row_id]] ) - ROW( data_scaledImpacts[[#Headers],[row_id]] )</f>
        <v>1527</v>
      </c>
      <c r="B1528" s="41" t="str">
        <f xml:space="preserve"> _xlfn.TEXTJOIN( "", , data_scaledImpacts[[#This Row],[sector]:[impactType]] )</f>
        <v>ElecTDCanESM21Reactive</v>
      </c>
      <c r="C1528" s="33" t="s">
        <v>997</v>
      </c>
      <c r="D1528" s="33" t="s">
        <v>0</v>
      </c>
      <c r="E1528" s="34">
        <v>1</v>
      </c>
      <c r="F1528" s="34"/>
      <c r="G1528" s="34" t="s">
        <v>88</v>
      </c>
      <c r="H1528" s="35"/>
      <c r="I1528" s="43" t="s">
        <v>35</v>
      </c>
      <c r="J1528" s="36">
        <v>427335848.82595468</v>
      </c>
      <c r="K1528" s="36">
        <v>342473683.22041965</v>
      </c>
      <c r="L1528" s="37">
        <v>127391789.86268884</v>
      </c>
      <c r="M1528" s="36">
        <v>164103885.47555915</v>
      </c>
      <c r="N1528" s="36">
        <v>750780235.82244134</v>
      </c>
      <c r="O1528" s="36">
        <v>266558733.8226859</v>
      </c>
      <c r="P1528">
        <v>256983940.88453028</v>
      </c>
    </row>
    <row r="1529" spans="1:16" hidden="1" x14ac:dyDescent="0.35">
      <c r="A1529" s="3">
        <f xml:space="preserve"> ROW( data_scaledImpacts[[#This Row],[row_id]] ) - ROW( data_scaledImpacts[[#Headers],[row_id]] )</f>
        <v>1528</v>
      </c>
      <c r="B1529" s="41" t="str">
        <f xml:space="preserve"> _xlfn.TEXTJOIN( "", , data_scaledImpacts[[#This Row],[sector]:[impactType]] )</f>
        <v>ElecTDCCSM41Reactive</v>
      </c>
      <c r="C1529" s="33" t="s">
        <v>997</v>
      </c>
      <c r="D1529" s="33" t="s">
        <v>1</v>
      </c>
      <c r="E1529" s="34">
        <v>1</v>
      </c>
      <c r="F1529" s="34"/>
      <c r="G1529" s="34" t="s">
        <v>88</v>
      </c>
      <c r="H1529" s="35"/>
      <c r="I1529" s="43" t="s">
        <v>36</v>
      </c>
      <c r="J1529" s="36">
        <v>544477468.42039955</v>
      </c>
      <c r="K1529" s="36">
        <v>314342230.58210742</v>
      </c>
      <c r="L1529" s="37">
        <v>185891365.32329863</v>
      </c>
      <c r="M1529" s="36">
        <v>184245006.27649042</v>
      </c>
      <c r="N1529" s="36">
        <v>983986200.16115057</v>
      </c>
      <c r="O1529" s="36">
        <v>546904999.56606984</v>
      </c>
      <c r="P1529">
        <v>290880183.94170934</v>
      </c>
    </row>
    <row r="1530" spans="1:16" hidden="1" x14ac:dyDescent="0.35">
      <c r="A1530" s="3">
        <f xml:space="preserve"> ROW( data_scaledImpacts[[#This Row],[row_id]] ) - ROW( data_scaledImpacts[[#Headers],[row_id]] )</f>
        <v>1529</v>
      </c>
      <c r="B1530" s="41" t="str">
        <f xml:space="preserve"> _xlfn.TEXTJOIN( "", , data_scaledImpacts[[#This Row],[sector]:[impactType]] )</f>
        <v>ElecTDGISS-E2-R1Reactive</v>
      </c>
      <c r="C1530" s="33" t="s">
        <v>997</v>
      </c>
      <c r="D1530" s="33" t="s">
        <v>2</v>
      </c>
      <c r="E1530" s="34">
        <v>1</v>
      </c>
      <c r="F1530" s="34"/>
      <c r="G1530" s="34" t="s">
        <v>88</v>
      </c>
      <c r="H1530" s="35"/>
      <c r="I1530" s="43" t="s">
        <v>37</v>
      </c>
      <c r="J1530" s="36">
        <v>725474014.56122422</v>
      </c>
      <c r="K1530" s="36">
        <v>334629284.67790139</v>
      </c>
      <c r="L1530" s="37">
        <v>190265638.60188398</v>
      </c>
      <c r="M1530" s="36">
        <v>184900419.23903644</v>
      </c>
      <c r="N1530" s="36">
        <v>1332756456.6304514</v>
      </c>
      <c r="O1530" s="36">
        <v>390135844.78290671</v>
      </c>
      <c r="P1530">
        <v>231377453.08405885</v>
      </c>
    </row>
    <row r="1531" spans="1:16" hidden="1" x14ac:dyDescent="0.35">
      <c r="A1531" s="3">
        <f xml:space="preserve"> ROW( data_scaledImpacts[[#This Row],[row_id]] ) - ROW( data_scaledImpacts[[#Headers],[row_id]] )</f>
        <v>1530</v>
      </c>
      <c r="B1531" s="41" t="str">
        <f xml:space="preserve"> _xlfn.TEXTJOIN( "", , data_scaledImpacts[[#This Row],[sector]:[impactType]] )</f>
        <v>ElecTDHadGEM2-ES1Reactive</v>
      </c>
      <c r="C1531" s="33" t="s">
        <v>997</v>
      </c>
      <c r="D1531" s="33" t="s">
        <v>3</v>
      </c>
      <c r="E1531" s="34">
        <v>1</v>
      </c>
      <c r="F1531" s="34"/>
      <c r="G1531" s="34" t="s">
        <v>88</v>
      </c>
      <c r="H1531" s="35"/>
      <c r="I1531" s="43" t="s">
        <v>38</v>
      </c>
      <c r="J1531" s="36">
        <v>991474742.0798291</v>
      </c>
      <c r="K1531" s="36">
        <v>656615935.33421206</v>
      </c>
      <c r="L1531" s="37">
        <v>118160000.02430297</v>
      </c>
      <c r="M1531" s="36">
        <v>163939328.76535547</v>
      </c>
      <c r="N1531" s="36">
        <v>1793835955.0561845</v>
      </c>
      <c r="O1531" s="36">
        <v>539151549.48803067</v>
      </c>
      <c r="P1531">
        <v>193005183.58327341</v>
      </c>
    </row>
    <row r="1532" spans="1:16" hidden="1" x14ac:dyDescent="0.35">
      <c r="A1532" s="3">
        <f xml:space="preserve"> ROW( data_scaledImpacts[[#This Row],[row_id]] ) - ROW( data_scaledImpacts[[#Headers],[row_id]] )</f>
        <v>1531</v>
      </c>
      <c r="B1532" s="41" t="str">
        <f xml:space="preserve"> _xlfn.TEXTJOIN( "", , data_scaledImpacts[[#This Row],[sector]:[impactType]] )</f>
        <v>ElecTDMIROC51Reactive</v>
      </c>
      <c r="C1532" s="33" t="s">
        <v>997</v>
      </c>
      <c r="D1532" s="33" t="s">
        <v>4</v>
      </c>
      <c r="E1532" s="34">
        <v>1</v>
      </c>
      <c r="F1532" s="34"/>
      <c r="G1532" s="34" t="s">
        <v>88</v>
      </c>
      <c r="H1532" s="35"/>
      <c r="I1532" s="43" t="s">
        <v>39</v>
      </c>
      <c r="J1532" s="36">
        <v>954945648.38589573</v>
      </c>
      <c r="K1532" s="36">
        <v>439263291.1270296</v>
      </c>
      <c r="L1532" s="37">
        <v>120810183.35100451</v>
      </c>
      <c r="M1532" s="36">
        <v>156620374.39301836</v>
      </c>
      <c r="N1532" s="36">
        <v>1236041418.7985349</v>
      </c>
      <c r="O1532" s="36">
        <v>271158229.52955055</v>
      </c>
      <c r="P1532">
        <v>230387921.54689264</v>
      </c>
    </row>
    <row r="1533" spans="1:16" hidden="1" x14ac:dyDescent="0.35">
      <c r="A1533" s="3">
        <f xml:space="preserve"> ROW( data_scaledImpacts[[#This Row],[row_id]] ) - ROW( data_scaledImpacts[[#Headers],[row_id]] )</f>
        <v>1532</v>
      </c>
      <c r="B1533" s="41" t="str">
        <f xml:space="preserve"> _xlfn.TEXTJOIN( "", , data_scaledImpacts[[#This Row],[sector]:[impactType]] )</f>
        <v>ElecTDGFDL-CM31Reactive</v>
      </c>
      <c r="C1533" s="33" t="s">
        <v>997</v>
      </c>
      <c r="D1533" s="33" t="s">
        <v>5</v>
      </c>
      <c r="E1533" s="34">
        <v>1</v>
      </c>
      <c r="F1533" s="34"/>
      <c r="G1533" s="34" t="s">
        <v>88</v>
      </c>
      <c r="H1533" s="35"/>
      <c r="I1533" s="43" t="s">
        <v>40</v>
      </c>
      <c r="J1533" s="36">
        <v>794534265.03725421</v>
      </c>
      <c r="K1533" s="36">
        <v>396880560.16840577</v>
      </c>
      <c r="L1533" s="37">
        <v>113161811.31817871</v>
      </c>
      <c r="M1533" s="36">
        <v>172627850.67130798</v>
      </c>
      <c r="N1533" s="36">
        <v>1420996005.4260218</v>
      </c>
      <c r="O1533" s="36">
        <v>410397726.90040255</v>
      </c>
      <c r="P1533">
        <v>225117778.23656046</v>
      </c>
    </row>
    <row r="1534" spans="1:16" hidden="1" x14ac:dyDescent="0.35">
      <c r="A1534" s="3">
        <f xml:space="preserve"> ROW( data_scaledImpacts[[#This Row],[row_id]] ) - ROW( data_scaledImpacts[[#Headers],[row_id]] )</f>
        <v>1533</v>
      </c>
      <c r="B1534" s="41" t="str">
        <f xml:space="preserve"> _xlfn.TEXTJOIN( "", , data_scaledImpacts[[#This Row],[sector]:[impactType]] )</f>
        <v>ElecTDGCM Average1Reactive</v>
      </c>
      <c r="C1534" s="33" t="s">
        <v>997</v>
      </c>
      <c r="D1534" s="33" t="s">
        <v>15</v>
      </c>
      <c r="E1534" s="34">
        <v>1</v>
      </c>
      <c r="F1534" s="34"/>
      <c r="G1534" s="34" t="s">
        <v>88</v>
      </c>
      <c r="H1534" s="35"/>
      <c r="I1534" s="43" t="s">
        <v>41</v>
      </c>
      <c r="J1534" s="36">
        <v>739706997.88509285</v>
      </c>
      <c r="K1534" s="36">
        <v>414034164.18501264</v>
      </c>
      <c r="L1534" s="37">
        <v>142613464.74689293</v>
      </c>
      <c r="M1534" s="36">
        <v>171072810.80346131</v>
      </c>
      <c r="N1534" s="36">
        <v>1253066045.3157976</v>
      </c>
      <c r="O1534" s="36">
        <v>404051180.68160772</v>
      </c>
      <c r="P1534">
        <v>237958743.5461708</v>
      </c>
    </row>
    <row r="1535" spans="1:16" hidden="1" x14ac:dyDescent="0.35">
      <c r="A1535" s="3">
        <f xml:space="preserve"> ROW( data_scaledImpacts[[#This Row],[row_id]] ) - ROW( data_scaledImpacts[[#Headers],[row_id]] )</f>
        <v>1534</v>
      </c>
      <c r="B1535" s="41" t="str">
        <f xml:space="preserve"> _xlfn.TEXTJOIN( "", , data_scaledImpacts[[#This Row],[sector]:[impactType]] )</f>
        <v>ElecTDCanESM22Reactive</v>
      </c>
      <c r="C1535" s="33" t="s">
        <v>997</v>
      </c>
      <c r="D1535" s="33" t="s">
        <v>0</v>
      </c>
      <c r="E1535" s="34">
        <v>2</v>
      </c>
      <c r="F1535" s="34"/>
      <c r="G1535" s="34" t="s">
        <v>88</v>
      </c>
      <c r="H1535" s="35"/>
      <c r="I1535" s="43" t="s">
        <v>42</v>
      </c>
      <c r="J1535" s="36">
        <v>707934897.20813537</v>
      </c>
      <c r="K1535" s="36">
        <v>472401864.04978746</v>
      </c>
      <c r="L1535" s="37">
        <v>201473480.35126624</v>
      </c>
      <c r="M1535" s="36">
        <v>257295012.15364245</v>
      </c>
      <c r="N1535" s="36">
        <v>1371399352.167361</v>
      </c>
      <c r="O1535" s="36">
        <v>348005276.71985537</v>
      </c>
      <c r="P1535">
        <v>384055205.18750083</v>
      </c>
    </row>
    <row r="1536" spans="1:16" hidden="1" x14ac:dyDescent="0.35">
      <c r="A1536" s="3">
        <f xml:space="preserve"> ROW( data_scaledImpacts[[#This Row],[row_id]] ) - ROW( data_scaledImpacts[[#Headers],[row_id]] )</f>
        <v>1535</v>
      </c>
      <c r="B1536" s="41" t="str">
        <f xml:space="preserve"> _xlfn.TEXTJOIN( "", , data_scaledImpacts[[#This Row],[sector]:[impactType]] )</f>
        <v>ElecTDCCSM42Reactive</v>
      </c>
      <c r="C1536" s="33" t="s">
        <v>997</v>
      </c>
      <c r="D1536" s="33" t="s">
        <v>1</v>
      </c>
      <c r="E1536" s="34">
        <v>2</v>
      </c>
      <c r="F1536" s="34"/>
      <c r="G1536" s="34" t="s">
        <v>88</v>
      </c>
      <c r="H1536" s="35"/>
      <c r="I1536" s="43" t="s">
        <v>43</v>
      </c>
      <c r="J1536" s="36">
        <v>630956415.97185659</v>
      </c>
      <c r="K1536" s="36">
        <v>546732951.20112801</v>
      </c>
      <c r="L1536" s="37">
        <v>186537399.21140036</v>
      </c>
      <c r="M1536" s="36">
        <v>243514770.10765988</v>
      </c>
      <c r="N1536" s="36">
        <v>1839509846.8009903</v>
      </c>
      <c r="O1536" s="36">
        <v>467055055.91516411</v>
      </c>
      <c r="P1536">
        <v>418770785.53831404</v>
      </c>
    </row>
    <row r="1537" spans="1:16" hidden="1" x14ac:dyDescent="0.35">
      <c r="A1537" s="3">
        <f xml:space="preserve"> ROW( data_scaledImpacts[[#This Row],[row_id]] ) - ROW( data_scaledImpacts[[#Headers],[row_id]] )</f>
        <v>1536</v>
      </c>
      <c r="B1537" s="41" t="str">
        <f xml:space="preserve"> _xlfn.TEXTJOIN( "", , data_scaledImpacts[[#This Row],[sector]:[impactType]] )</f>
        <v>ElecTDGISS-E2-R2Reactive</v>
      </c>
      <c r="C1537" s="33" t="s">
        <v>997</v>
      </c>
      <c r="D1537" s="33" t="s">
        <v>2</v>
      </c>
      <c r="E1537" s="34">
        <v>2</v>
      </c>
      <c r="F1537" s="34"/>
      <c r="G1537" s="34" t="s">
        <v>88</v>
      </c>
      <c r="H1537" s="35"/>
      <c r="I1537" s="43" t="s">
        <v>44</v>
      </c>
      <c r="J1537" s="36">
        <v>1083748047.4151278</v>
      </c>
      <c r="K1537" s="36">
        <v>715991494.98992991</v>
      </c>
      <c r="L1537" s="37">
        <v>191471364.17300287</v>
      </c>
      <c r="M1537" s="36">
        <v>266270104.89382973</v>
      </c>
      <c r="N1537" s="36">
        <v>2210477343.1235356</v>
      </c>
      <c r="O1537" s="36">
        <v>620717195.56922448</v>
      </c>
      <c r="P1537">
        <v>450192469.98202747</v>
      </c>
    </row>
    <row r="1538" spans="1:16" hidden="1" x14ac:dyDescent="0.35">
      <c r="A1538" s="3">
        <f xml:space="preserve"> ROW( data_scaledImpacts[[#This Row],[row_id]] ) - ROW( data_scaledImpacts[[#Headers],[row_id]] )</f>
        <v>1537</v>
      </c>
      <c r="B1538" s="41" t="str">
        <f xml:space="preserve"> _xlfn.TEXTJOIN( "", , data_scaledImpacts[[#This Row],[sector]:[impactType]] )</f>
        <v>ElecTDHadGEM2-ES2Reactive</v>
      </c>
      <c r="C1538" s="33" t="s">
        <v>997</v>
      </c>
      <c r="D1538" s="33" t="s">
        <v>3</v>
      </c>
      <c r="E1538" s="34">
        <v>2</v>
      </c>
      <c r="F1538" s="34"/>
      <c r="G1538" s="34" t="s">
        <v>88</v>
      </c>
      <c r="H1538" s="35"/>
      <c r="I1538" s="43" t="s">
        <v>45</v>
      </c>
      <c r="J1538" s="36">
        <v>1114239251.0524244</v>
      </c>
      <c r="K1538" s="36">
        <v>415281384.60762268</v>
      </c>
      <c r="L1538" s="37">
        <v>254650253.50224522</v>
      </c>
      <c r="M1538" s="36">
        <v>269898768.7840203</v>
      </c>
      <c r="N1538" s="36">
        <v>1562945964.6491375</v>
      </c>
      <c r="O1538" s="36">
        <v>1006477505.644868</v>
      </c>
      <c r="P1538">
        <v>343690487.45187032</v>
      </c>
    </row>
    <row r="1539" spans="1:16" hidden="1" x14ac:dyDescent="0.35">
      <c r="A1539" s="3">
        <f xml:space="preserve"> ROW( data_scaledImpacts[[#This Row],[row_id]] ) - ROW( data_scaledImpacts[[#Headers],[row_id]] )</f>
        <v>1538</v>
      </c>
      <c r="B1539" s="41" t="str">
        <f xml:space="preserve"> _xlfn.TEXTJOIN( "", , data_scaledImpacts[[#This Row],[sector]:[impactType]] )</f>
        <v>ElecTDMIROC52Reactive</v>
      </c>
      <c r="C1539" s="33" t="s">
        <v>997</v>
      </c>
      <c r="D1539" s="33" t="s">
        <v>4</v>
      </c>
      <c r="E1539" s="34">
        <v>2</v>
      </c>
      <c r="F1539" s="34"/>
      <c r="G1539" s="34" t="s">
        <v>88</v>
      </c>
      <c r="H1539" s="35"/>
      <c r="I1539" s="43" t="s">
        <v>46</v>
      </c>
      <c r="J1539" s="36">
        <v>1338468517.258796</v>
      </c>
      <c r="K1539" s="36">
        <v>1224897640.4262204</v>
      </c>
      <c r="L1539" s="37">
        <v>330217435.80166721</v>
      </c>
      <c r="M1539" s="36">
        <v>194947084.77408525</v>
      </c>
      <c r="N1539" s="36">
        <v>1852970386.7900572</v>
      </c>
      <c r="O1539" s="36">
        <v>462275041.65217167</v>
      </c>
      <c r="P1539">
        <v>471186425.9552393</v>
      </c>
    </row>
    <row r="1540" spans="1:16" hidden="1" x14ac:dyDescent="0.35">
      <c r="A1540" s="3">
        <f xml:space="preserve"> ROW( data_scaledImpacts[[#This Row],[row_id]] ) - ROW( data_scaledImpacts[[#Headers],[row_id]] )</f>
        <v>1539</v>
      </c>
      <c r="B1540" s="41" t="str">
        <f xml:space="preserve"> _xlfn.TEXTJOIN( "", , data_scaledImpacts[[#This Row],[sector]:[impactType]] )</f>
        <v>ElecTDGFDL-CM32Reactive</v>
      </c>
      <c r="C1540" s="33" t="s">
        <v>997</v>
      </c>
      <c r="D1540" s="33" t="s">
        <v>5</v>
      </c>
      <c r="E1540" s="34">
        <v>2</v>
      </c>
      <c r="F1540" s="34"/>
      <c r="G1540" s="34" t="s">
        <v>88</v>
      </c>
      <c r="H1540" s="35"/>
      <c r="I1540" s="43" t="s">
        <v>47</v>
      </c>
      <c r="J1540" s="36">
        <v>937098269.59432673</v>
      </c>
      <c r="K1540" s="36">
        <v>746957599.32772565</v>
      </c>
      <c r="L1540" s="37">
        <v>166525762.81695199</v>
      </c>
      <c r="M1540" s="36">
        <v>181555700.56630057</v>
      </c>
      <c r="N1540" s="36">
        <v>1694092001.67717</v>
      </c>
      <c r="O1540" s="36">
        <v>614220116.14182806</v>
      </c>
      <c r="P1540">
        <v>425179752.81756699</v>
      </c>
    </row>
    <row r="1541" spans="1:16" hidden="1" x14ac:dyDescent="0.35">
      <c r="A1541" s="3">
        <f xml:space="preserve"> ROW( data_scaledImpacts[[#This Row],[row_id]] ) - ROW( data_scaledImpacts[[#Headers],[row_id]] )</f>
        <v>1540</v>
      </c>
      <c r="B1541" s="41" t="str">
        <f xml:space="preserve"> _xlfn.TEXTJOIN( "", , data_scaledImpacts[[#This Row],[sector]:[impactType]] )</f>
        <v>ElecTDGCM Average2Reactive</v>
      </c>
      <c r="C1541" s="33" t="s">
        <v>997</v>
      </c>
      <c r="D1541" s="33" t="s">
        <v>15</v>
      </c>
      <c r="E1541" s="34">
        <v>2</v>
      </c>
      <c r="F1541" s="34"/>
      <c r="G1541" s="34" t="s">
        <v>88</v>
      </c>
      <c r="H1541" s="35"/>
      <c r="I1541" s="43" t="s">
        <v>48</v>
      </c>
      <c r="J1541" s="36">
        <v>968740899.7501111</v>
      </c>
      <c r="K1541" s="36">
        <v>687043822.43373573</v>
      </c>
      <c r="L1541" s="37">
        <v>221812615.97608897</v>
      </c>
      <c r="M1541" s="36">
        <v>235580240.21325636</v>
      </c>
      <c r="N1541" s="36">
        <v>1755232482.5347087</v>
      </c>
      <c r="O1541" s="36">
        <v>586458365.27385199</v>
      </c>
      <c r="P1541">
        <v>415512521.15541983</v>
      </c>
    </row>
    <row r="1542" spans="1:16" hidden="1" x14ac:dyDescent="0.35">
      <c r="A1542" s="3">
        <f xml:space="preserve"> ROW( data_scaledImpacts[[#This Row],[row_id]] ) - ROW( data_scaledImpacts[[#Headers],[row_id]] )</f>
        <v>1541</v>
      </c>
      <c r="B1542" s="41" t="str">
        <f xml:space="preserve"> _xlfn.TEXTJOIN( "", , data_scaledImpacts[[#This Row],[sector]:[impactType]] )</f>
        <v>ElecTDCanESM23Reactive</v>
      </c>
      <c r="C1542" s="33" t="s">
        <v>997</v>
      </c>
      <c r="D1542" s="33" t="s">
        <v>0</v>
      </c>
      <c r="E1542" s="34">
        <v>3</v>
      </c>
      <c r="F1542" s="34"/>
      <c r="G1542" s="34" t="s">
        <v>88</v>
      </c>
      <c r="H1542" s="35"/>
      <c r="I1542" s="43" t="s">
        <v>49</v>
      </c>
      <c r="J1542" s="36">
        <v>1015244976.0356933</v>
      </c>
      <c r="K1542" s="36">
        <v>558317992.19973934</v>
      </c>
      <c r="L1542" s="37">
        <v>327739402.04496181</v>
      </c>
      <c r="M1542" s="36">
        <v>419640117.7641474</v>
      </c>
      <c r="N1542" s="36">
        <v>1925135771.9150567</v>
      </c>
      <c r="O1542" s="36">
        <v>767827247.24098742</v>
      </c>
      <c r="P1542">
        <v>855577493.65388691</v>
      </c>
    </row>
    <row r="1543" spans="1:16" hidden="1" x14ac:dyDescent="0.35">
      <c r="A1543" s="3">
        <f xml:space="preserve"> ROW( data_scaledImpacts[[#This Row],[row_id]] ) - ROW( data_scaledImpacts[[#Headers],[row_id]] )</f>
        <v>1542</v>
      </c>
      <c r="B1543" s="41" t="str">
        <f xml:space="preserve"> _xlfn.TEXTJOIN( "", , data_scaledImpacts[[#This Row],[sector]:[impactType]] )</f>
        <v>ElecTDCCSM43Reactive</v>
      </c>
      <c r="C1543" s="33" t="s">
        <v>997</v>
      </c>
      <c r="D1543" s="33" t="s">
        <v>1</v>
      </c>
      <c r="E1543" s="34">
        <v>3</v>
      </c>
      <c r="F1543" s="34"/>
      <c r="G1543" s="34" t="s">
        <v>88</v>
      </c>
      <c r="H1543" s="35"/>
      <c r="I1543" s="43" t="s">
        <v>50</v>
      </c>
      <c r="J1543" s="36">
        <v>1234632893.2146294</v>
      </c>
      <c r="K1543" s="36">
        <v>678275165.47570872</v>
      </c>
      <c r="L1543" s="37">
        <v>290963073.22367543</v>
      </c>
      <c r="M1543" s="36">
        <v>395451465.98118705</v>
      </c>
      <c r="N1543" s="36">
        <v>2889283472.5700045</v>
      </c>
      <c r="O1543" s="36">
        <v>545664656.53317797</v>
      </c>
      <c r="P1543">
        <v>459426576.27127802</v>
      </c>
    </row>
    <row r="1544" spans="1:16" hidden="1" x14ac:dyDescent="0.35">
      <c r="A1544" s="3">
        <f xml:space="preserve"> ROW( data_scaledImpacts[[#This Row],[row_id]] ) - ROW( data_scaledImpacts[[#Headers],[row_id]] )</f>
        <v>1543</v>
      </c>
      <c r="B1544" s="41" t="str">
        <f xml:space="preserve"> _xlfn.TEXTJOIN( "", , data_scaledImpacts[[#This Row],[sector]:[impactType]] )</f>
        <v>ElecTDGISS-E2-R3Reactive</v>
      </c>
      <c r="C1544" s="33" t="s">
        <v>997</v>
      </c>
      <c r="D1544" s="33" t="s">
        <v>2</v>
      </c>
      <c r="E1544" s="34">
        <v>3</v>
      </c>
      <c r="F1544" s="34"/>
      <c r="G1544" s="34" t="s">
        <v>88</v>
      </c>
      <c r="H1544" s="35"/>
      <c r="I1544" s="43" t="s">
        <v>51</v>
      </c>
      <c r="J1544" s="36">
        <v>980211853.64890993</v>
      </c>
      <c r="K1544" s="36">
        <v>713390249.96467566</v>
      </c>
      <c r="L1544" s="37">
        <v>215399445.33022663</v>
      </c>
      <c r="M1544" s="36">
        <v>365330963.19024998</v>
      </c>
      <c r="N1544" s="36">
        <v>3243489344.7394872</v>
      </c>
      <c r="O1544" s="36">
        <v>874441361.32440388</v>
      </c>
      <c r="P1544">
        <v>456095234.78592539</v>
      </c>
    </row>
    <row r="1545" spans="1:16" hidden="1" x14ac:dyDescent="0.35">
      <c r="A1545" s="3">
        <f xml:space="preserve"> ROW( data_scaledImpacts[[#This Row],[row_id]] ) - ROW( data_scaledImpacts[[#Headers],[row_id]] )</f>
        <v>1544</v>
      </c>
      <c r="B1545" s="41" t="str">
        <f xml:space="preserve"> _xlfn.TEXTJOIN( "", , data_scaledImpacts[[#This Row],[sector]:[impactType]] )</f>
        <v>ElecTDHadGEM2-ES3Reactive</v>
      </c>
      <c r="C1545" s="33" t="s">
        <v>997</v>
      </c>
      <c r="D1545" s="33" t="s">
        <v>3</v>
      </c>
      <c r="E1545" s="34">
        <v>3</v>
      </c>
      <c r="F1545" s="34"/>
      <c r="G1545" s="34" t="s">
        <v>88</v>
      </c>
      <c r="H1545" s="35"/>
      <c r="I1545" s="43" t="s">
        <v>52</v>
      </c>
      <c r="J1545" s="36">
        <v>1326017996.3505476</v>
      </c>
      <c r="K1545" s="36">
        <v>928710968.68773198</v>
      </c>
      <c r="L1545" s="37">
        <v>335542825.91474611</v>
      </c>
      <c r="M1545" s="36">
        <v>371088197.20197225</v>
      </c>
      <c r="N1545" s="36">
        <v>2386536987.0137234</v>
      </c>
      <c r="O1545" s="36">
        <v>960964438.97912848</v>
      </c>
      <c r="P1545">
        <v>532925674.19272012</v>
      </c>
    </row>
    <row r="1546" spans="1:16" hidden="1" x14ac:dyDescent="0.35">
      <c r="A1546" s="3">
        <f xml:space="preserve"> ROW( data_scaledImpacts[[#This Row],[row_id]] ) - ROW( data_scaledImpacts[[#Headers],[row_id]] )</f>
        <v>1545</v>
      </c>
      <c r="B1546" s="41" t="str">
        <f xml:space="preserve"> _xlfn.TEXTJOIN( "", , data_scaledImpacts[[#This Row],[sector]:[impactType]] )</f>
        <v>ElecTDMIROC53Reactive</v>
      </c>
      <c r="C1546" s="33" t="s">
        <v>997</v>
      </c>
      <c r="D1546" s="33" t="s">
        <v>4</v>
      </c>
      <c r="E1546" s="34">
        <v>3</v>
      </c>
      <c r="F1546" s="34"/>
      <c r="G1546" s="34" t="s">
        <v>88</v>
      </c>
      <c r="H1546" s="35"/>
      <c r="I1546" s="43" t="s">
        <v>53</v>
      </c>
      <c r="J1546" s="36">
        <v>1099856140.1532891</v>
      </c>
      <c r="K1546" s="36">
        <v>922744279.65649843</v>
      </c>
      <c r="L1546" s="37">
        <v>231374673.32812172</v>
      </c>
      <c r="M1546" s="36">
        <v>259991818.72665361</v>
      </c>
      <c r="N1546" s="36">
        <v>2436179527.1365347</v>
      </c>
      <c r="O1546" s="36">
        <v>536965025.02355742</v>
      </c>
      <c r="P1546">
        <v>493425386.03521597</v>
      </c>
    </row>
    <row r="1547" spans="1:16" hidden="1" x14ac:dyDescent="0.35">
      <c r="A1547" s="3">
        <f xml:space="preserve"> ROW( data_scaledImpacts[[#This Row],[row_id]] ) - ROW( data_scaledImpacts[[#Headers],[row_id]] )</f>
        <v>1546</v>
      </c>
      <c r="B1547" s="41" t="str">
        <f xml:space="preserve"> _xlfn.TEXTJOIN( "", , data_scaledImpacts[[#This Row],[sector]:[impactType]] )</f>
        <v>ElecTDGFDL-CM33Reactive</v>
      </c>
      <c r="C1547" s="33" t="s">
        <v>997</v>
      </c>
      <c r="D1547" s="33" t="s">
        <v>5</v>
      </c>
      <c r="E1547" s="34">
        <v>3</v>
      </c>
      <c r="F1547" s="34"/>
      <c r="G1547" s="34" t="s">
        <v>88</v>
      </c>
      <c r="H1547" s="35"/>
      <c r="I1547" s="43" t="s">
        <v>54</v>
      </c>
      <c r="J1547" s="36">
        <v>1082892844.446295</v>
      </c>
      <c r="K1547" s="36">
        <v>796356764.43787301</v>
      </c>
      <c r="L1547" s="37">
        <v>279912911.2394982</v>
      </c>
      <c r="M1547" s="36">
        <v>366816068.13612115</v>
      </c>
      <c r="N1547" s="36">
        <v>2304198678.6210384</v>
      </c>
      <c r="O1547" s="36">
        <v>528208528.31545234</v>
      </c>
      <c r="P1547">
        <v>552014944.36861515</v>
      </c>
    </row>
    <row r="1548" spans="1:16" hidden="1" x14ac:dyDescent="0.35">
      <c r="A1548" s="3">
        <f xml:space="preserve"> ROW( data_scaledImpacts[[#This Row],[row_id]] ) - ROW( data_scaledImpacts[[#Headers],[row_id]] )</f>
        <v>1547</v>
      </c>
      <c r="B1548" s="41" t="str">
        <f xml:space="preserve"> _xlfn.TEXTJOIN( "", , data_scaledImpacts[[#This Row],[sector]:[impactType]] )</f>
        <v>ElecTDGCM Average3Reactive</v>
      </c>
      <c r="C1548" s="33" t="s">
        <v>997</v>
      </c>
      <c r="D1548" s="33" t="s">
        <v>15</v>
      </c>
      <c r="E1548" s="34">
        <v>3</v>
      </c>
      <c r="F1548" s="34"/>
      <c r="G1548" s="34" t="s">
        <v>88</v>
      </c>
      <c r="H1548" s="35"/>
      <c r="I1548" s="43" t="s">
        <v>55</v>
      </c>
      <c r="J1548" s="36">
        <v>1123142783.974894</v>
      </c>
      <c r="K1548" s="36">
        <v>766299236.73703778</v>
      </c>
      <c r="L1548" s="37">
        <v>280155388.5135383</v>
      </c>
      <c r="M1548" s="36">
        <v>363053105.16672188</v>
      </c>
      <c r="N1548" s="36">
        <v>2530803963.6659741</v>
      </c>
      <c r="O1548" s="36">
        <v>702345209.56945133</v>
      </c>
      <c r="P1548">
        <v>558244218.21794021</v>
      </c>
    </row>
    <row r="1549" spans="1:16" hidden="1" x14ac:dyDescent="0.35">
      <c r="A1549" s="3">
        <f xml:space="preserve"> ROW( data_scaledImpacts[[#This Row],[row_id]] ) - ROW( data_scaledImpacts[[#Headers],[row_id]] )</f>
        <v>1548</v>
      </c>
      <c r="B1549" s="41" t="str">
        <f xml:space="preserve"> _xlfn.TEXTJOIN( "", , data_scaledImpacts[[#This Row],[sector]:[impactType]] )</f>
        <v>ElecTDCanESM24Reactive</v>
      </c>
      <c r="C1549" s="33" t="s">
        <v>997</v>
      </c>
      <c r="D1549" s="33" t="s">
        <v>0</v>
      </c>
      <c r="E1549" s="34">
        <v>4</v>
      </c>
      <c r="F1549" s="34"/>
      <c r="G1549" s="34" t="s">
        <v>88</v>
      </c>
      <c r="H1549" s="35"/>
      <c r="I1549" s="43" t="s">
        <v>56</v>
      </c>
      <c r="J1549" s="36">
        <v>897889020.83839118</v>
      </c>
      <c r="K1549" s="36">
        <v>529009412.36252391</v>
      </c>
      <c r="L1549" s="37">
        <v>275497536.05921894</v>
      </c>
      <c r="M1549" s="36">
        <v>416230197.32618994</v>
      </c>
      <c r="N1549" s="36">
        <v>2157468122.5992517</v>
      </c>
      <c r="O1549" s="36">
        <v>562480331.07897627</v>
      </c>
      <c r="P1549">
        <v>642432907.77569818</v>
      </c>
    </row>
    <row r="1550" spans="1:16" hidden="1" x14ac:dyDescent="0.35">
      <c r="A1550" s="3">
        <f xml:space="preserve"> ROW( data_scaledImpacts[[#This Row],[row_id]] ) - ROW( data_scaledImpacts[[#Headers],[row_id]] )</f>
        <v>1549</v>
      </c>
      <c r="B1550" s="41" t="str">
        <f xml:space="preserve"> _xlfn.TEXTJOIN( "", , data_scaledImpacts[[#This Row],[sector]:[impactType]] )</f>
        <v>ElecTDCCSM44Reactive</v>
      </c>
      <c r="C1550" s="33" t="s">
        <v>997</v>
      </c>
      <c r="D1550" s="33" t="s">
        <v>1</v>
      </c>
      <c r="E1550" s="34">
        <v>4</v>
      </c>
      <c r="F1550" s="34"/>
      <c r="G1550" s="34" t="s">
        <v>88</v>
      </c>
      <c r="H1550" s="35"/>
      <c r="I1550" s="43" t="s">
        <v>57</v>
      </c>
      <c r="J1550" s="36">
        <v>932717909.53986371</v>
      </c>
      <c r="K1550" s="36">
        <v>737312271.81328559</v>
      </c>
      <c r="L1550" s="37">
        <v>165836578.57325387</v>
      </c>
      <c r="M1550" s="36">
        <v>466714065.35625595</v>
      </c>
      <c r="N1550" s="36">
        <v>3687050726.1875076</v>
      </c>
      <c r="O1550" s="36">
        <v>659619269.28760016</v>
      </c>
      <c r="P1550">
        <v>664578663.09434497</v>
      </c>
    </row>
    <row r="1551" spans="1:16" hidden="1" x14ac:dyDescent="0.35">
      <c r="A1551" s="3">
        <f xml:space="preserve"> ROW( data_scaledImpacts[[#This Row],[row_id]] ) - ROW( data_scaledImpacts[[#Headers],[row_id]] )</f>
        <v>1550</v>
      </c>
      <c r="B1551" s="41" t="str">
        <f xml:space="preserve"> _xlfn.TEXTJOIN( "", , data_scaledImpacts[[#This Row],[sector]:[impactType]] )</f>
        <v>ElecTDGISS-E2-R4Reactive</v>
      </c>
      <c r="C1551" s="33" t="s">
        <v>997</v>
      </c>
      <c r="D1551" s="33" t="s">
        <v>2</v>
      </c>
      <c r="E1551" s="34">
        <v>4</v>
      </c>
      <c r="F1551" s="34"/>
      <c r="G1551" s="34" t="s">
        <v>88</v>
      </c>
      <c r="H1551" s="35"/>
      <c r="I1551" s="43" t="s">
        <v>58</v>
      </c>
      <c r="J1551" s="36"/>
      <c r="K1551" s="36"/>
      <c r="L1551" s="37"/>
      <c r="M1551" s="36"/>
      <c r="N1551" s="36"/>
      <c r="O1551" s="36"/>
    </row>
    <row r="1552" spans="1:16" hidden="1" x14ac:dyDescent="0.35">
      <c r="A1552" s="3">
        <f xml:space="preserve"> ROW( data_scaledImpacts[[#This Row],[row_id]] ) - ROW( data_scaledImpacts[[#Headers],[row_id]] )</f>
        <v>1551</v>
      </c>
      <c r="B1552" s="41" t="str">
        <f xml:space="preserve"> _xlfn.TEXTJOIN( "", , data_scaledImpacts[[#This Row],[sector]:[impactType]] )</f>
        <v>ElecTDHadGEM2-ES4Reactive</v>
      </c>
      <c r="C1552" s="33" t="s">
        <v>997</v>
      </c>
      <c r="D1552" s="33" t="s">
        <v>3</v>
      </c>
      <c r="E1552" s="34">
        <v>4</v>
      </c>
      <c r="F1552" s="34"/>
      <c r="G1552" s="34" t="s">
        <v>88</v>
      </c>
      <c r="H1552" s="35"/>
      <c r="I1552" s="43" t="s">
        <v>59</v>
      </c>
      <c r="J1552" s="36">
        <v>2038632572.0442502</v>
      </c>
      <c r="K1552" s="36">
        <v>921937544.60684419</v>
      </c>
      <c r="L1552" s="37">
        <v>376116389.74269021</v>
      </c>
      <c r="M1552" s="36">
        <v>478086842.46310019</v>
      </c>
      <c r="N1552" s="36">
        <v>2821112831.1086731</v>
      </c>
      <c r="O1552" s="36">
        <v>621998989.19790733</v>
      </c>
      <c r="P1552">
        <v>612018164.9284476</v>
      </c>
    </row>
    <row r="1553" spans="1:16" hidden="1" x14ac:dyDescent="0.35">
      <c r="A1553" s="3">
        <f xml:space="preserve"> ROW( data_scaledImpacts[[#This Row],[row_id]] ) - ROW( data_scaledImpacts[[#Headers],[row_id]] )</f>
        <v>1552</v>
      </c>
      <c r="B1553" s="41" t="str">
        <f xml:space="preserve"> _xlfn.TEXTJOIN( "", , data_scaledImpacts[[#This Row],[sector]:[impactType]] )</f>
        <v>ElecTDMIROC54Reactive</v>
      </c>
      <c r="C1553" s="33" t="s">
        <v>997</v>
      </c>
      <c r="D1553" s="33" t="s">
        <v>4</v>
      </c>
      <c r="E1553" s="34">
        <v>4</v>
      </c>
      <c r="F1553" s="34"/>
      <c r="G1553" s="34" t="s">
        <v>88</v>
      </c>
      <c r="H1553" s="35"/>
      <c r="I1553" s="43" t="s">
        <v>60</v>
      </c>
      <c r="J1553" s="36">
        <v>1289450985.6962941</v>
      </c>
      <c r="K1553" s="36">
        <v>1038331298.0156574</v>
      </c>
      <c r="L1553" s="37">
        <v>277223689.28239095</v>
      </c>
      <c r="M1553" s="36">
        <v>387289596.97758889</v>
      </c>
      <c r="N1553" s="36">
        <v>3322973897.8443923</v>
      </c>
      <c r="O1553" s="36">
        <v>1057671313.7510909</v>
      </c>
      <c r="P1553">
        <v>462883392.80509079</v>
      </c>
    </row>
    <row r="1554" spans="1:16" hidden="1" x14ac:dyDescent="0.35">
      <c r="A1554" s="3">
        <f xml:space="preserve"> ROW( data_scaledImpacts[[#This Row],[row_id]] ) - ROW( data_scaledImpacts[[#Headers],[row_id]] )</f>
        <v>1553</v>
      </c>
      <c r="B1554" s="41" t="str">
        <f xml:space="preserve"> _xlfn.TEXTJOIN( "", , data_scaledImpacts[[#This Row],[sector]:[impactType]] )</f>
        <v>ElecTDGFDL-CM34Reactive</v>
      </c>
      <c r="C1554" s="33" t="s">
        <v>997</v>
      </c>
      <c r="D1554" s="33" t="s">
        <v>5</v>
      </c>
      <c r="E1554" s="34">
        <v>4</v>
      </c>
      <c r="F1554" s="34"/>
      <c r="G1554" s="34" t="s">
        <v>88</v>
      </c>
      <c r="H1554" s="35"/>
      <c r="I1554" s="43" t="s">
        <v>61</v>
      </c>
      <c r="J1554" s="36">
        <v>1798235967.7583737</v>
      </c>
      <c r="K1554" s="36">
        <v>1131014865.1465669</v>
      </c>
      <c r="L1554" s="37">
        <v>377565318.09672445</v>
      </c>
      <c r="M1554" s="36">
        <v>550717223.08880973</v>
      </c>
      <c r="N1554" s="36">
        <v>4051164096.0008197</v>
      </c>
      <c r="O1554" s="36">
        <v>1156195933.2345488</v>
      </c>
      <c r="P1554">
        <v>853769179.20438337</v>
      </c>
    </row>
    <row r="1555" spans="1:16" hidden="1" x14ac:dyDescent="0.35">
      <c r="A1555" s="3">
        <f xml:space="preserve"> ROW( data_scaledImpacts[[#This Row],[row_id]] ) - ROW( data_scaledImpacts[[#Headers],[row_id]] )</f>
        <v>1554</v>
      </c>
      <c r="B1555" s="41" t="str">
        <f xml:space="preserve"> _xlfn.TEXTJOIN( "", , data_scaledImpacts[[#This Row],[sector]:[impactType]] )</f>
        <v>ElecTDGCM Average4Reactive</v>
      </c>
      <c r="C1555" s="33" t="s">
        <v>997</v>
      </c>
      <c r="D1555" s="33" t="s">
        <v>15</v>
      </c>
      <c r="E1555" s="34">
        <v>4</v>
      </c>
      <c r="F1555" s="34"/>
      <c r="G1555" s="34" t="s">
        <v>88</v>
      </c>
      <c r="H1555" s="35"/>
      <c r="I1555" s="43" t="s">
        <v>62</v>
      </c>
      <c r="J1555" s="36">
        <v>1391385291.1754346</v>
      </c>
      <c r="K1555" s="36">
        <v>871521078.3889755</v>
      </c>
      <c r="L1555" s="37">
        <v>294447902.35085571</v>
      </c>
      <c r="M1555" s="36">
        <v>459807585.04238892</v>
      </c>
      <c r="N1555" s="36">
        <v>3207953934.7481289</v>
      </c>
      <c r="O1555" s="36">
        <v>811593167.31002462</v>
      </c>
      <c r="P1555">
        <v>647136461.56159306</v>
      </c>
    </row>
    <row r="1556" spans="1:16" hidden="1" x14ac:dyDescent="0.35">
      <c r="A1556" s="3">
        <f xml:space="preserve"> ROW( data_scaledImpacts[[#This Row],[row_id]] ) - ROW( data_scaledImpacts[[#Headers],[row_id]] )</f>
        <v>1555</v>
      </c>
      <c r="B1556" s="41" t="str">
        <f xml:space="preserve"> _xlfn.TEXTJOIN( "", , data_scaledImpacts[[#This Row],[sector]:[impactType]] )</f>
        <v>ElecTDCanESM25Reactive</v>
      </c>
      <c r="C1556" s="33" t="s">
        <v>997</v>
      </c>
      <c r="D1556" s="33" t="s">
        <v>0</v>
      </c>
      <c r="E1556" s="34">
        <v>5</v>
      </c>
      <c r="F1556" s="34"/>
      <c r="G1556" s="34" t="s">
        <v>88</v>
      </c>
      <c r="H1556" s="35"/>
      <c r="I1556" s="43" t="s">
        <v>63</v>
      </c>
      <c r="J1556" s="36">
        <v>1181979460.6592004</v>
      </c>
      <c r="K1556" s="36">
        <v>795190649.15410614</v>
      </c>
      <c r="L1556" s="37">
        <v>424546744.03095323</v>
      </c>
      <c r="M1556" s="36">
        <v>376645355.24794251</v>
      </c>
      <c r="N1556" s="36">
        <v>2782295297.018115</v>
      </c>
      <c r="O1556" s="36">
        <v>763369166.46523213</v>
      </c>
      <c r="P1556">
        <v>771428922.28647304</v>
      </c>
    </row>
    <row r="1557" spans="1:16" hidden="1" x14ac:dyDescent="0.35">
      <c r="A1557" s="3">
        <f xml:space="preserve"> ROW( data_scaledImpacts[[#This Row],[row_id]] ) - ROW( data_scaledImpacts[[#Headers],[row_id]] )</f>
        <v>1556</v>
      </c>
      <c r="B1557" s="41" t="str">
        <f xml:space="preserve"> _xlfn.TEXTJOIN( "", , data_scaledImpacts[[#This Row],[sector]:[impactType]] )</f>
        <v>ElecTDCCSM45Reactive</v>
      </c>
      <c r="C1557" s="33" t="s">
        <v>997</v>
      </c>
      <c r="D1557" s="33" t="s">
        <v>1</v>
      </c>
      <c r="E1557" s="34">
        <v>5</v>
      </c>
      <c r="F1557" s="34"/>
      <c r="G1557" s="34" t="s">
        <v>88</v>
      </c>
      <c r="H1557" s="35"/>
      <c r="I1557" s="43" t="s">
        <v>64</v>
      </c>
      <c r="J1557" s="36">
        <v>1092943293.4058692</v>
      </c>
      <c r="K1557" s="36">
        <v>927603039.30752373</v>
      </c>
      <c r="L1557" s="37">
        <v>312342257.8722688</v>
      </c>
      <c r="M1557" s="36">
        <v>444334396.47618544</v>
      </c>
      <c r="N1557" s="36">
        <v>4441272928.4961329</v>
      </c>
      <c r="O1557" s="36">
        <v>1049321316.325305</v>
      </c>
      <c r="P1557">
        <v>627284839.02523208</v>
      </c>
    </row>
    <row r="1558" spans="1:16" hidden="1" x14ac:dyDescent="0.35">
      <c r="A1558" s="3">
        <f xml:space="preserve"> ROW( data_scaledImpacts[[#This Row],[row_id]] ) - ROW( data_scaledImpacts[[#Headers],[row_id]] )</f>
        <v>1557</v>
      </c>
      <c r="B1558" s="41" t="str">
        <f xml:space="preserve"> _xlfn.TEXTJOIN( "", , data_scaledImpacts[[#This Row],[sector]:[impactType]] )</f>
        <v>ElecTDGISS-E2-R5Reactive</v>
      </c>
      <c r="C1558" s="33" t="s">
        <v>997</v>
      </c>
      <c r="D1558" s="33" t="s">
        <v>2</v>
      </c>
      <c r="E1558" s="34">
        <v>5</v>
      </c>
      <c r="F1558" s="34"/>
      <c r="G1558" s="34" t="s">
        <v>88</v>
      </c>
      <c r="H1558" s="35"/>
      <c r="I1558" s="43" t="s">
        <v>65</v>
      </c>
      <c r="J1558" s="36"/>
      <c r="K1558" s="36"/>
      <c r="L1558" s="37"/>
      <c r="M1558" s="36"/>
      <c r="N1558" s="36"/>
      <c r="O1558" s="36"/>
    </row>
    <row r="1559" spans="1:16" hidden="1" x14ac:dyDescent="0.35">
      <c r="A1559" s="3">
        <f xml:space="preserve"> ROW( data_scaledImpacts[[#This Row],[row_id]] ) - ROW( data_scaledImpacts[[#Headers],[row_id]] )</f>
        <v>1558</v>
      </c>
      <c r="B1559" s="41" t="str">
        <f xml:space="preserve"> _xlfn.TEXTJOIN( "", , data_scaledImpacts[[#This Row],[sector]:[impactType]] )</f>
        <v>ElecTDHadGEM2-ES5Reactive</v>
      </c>
      <c r="C1559" s="33" t="s">
        <v>997</v>
      </c>
      <c r="D1559" s="33" t="s">
        <v>3</v>
      </c>
      <c r="E1559" s="34">
        <v>5</v>
      </c>
      <c r="F1559" s="34"/>
      <c r="G1559" s="34" t="s">
        <v>88</v>
      </c>
      <c r="H1559" s="35"/>
      <c r="I1559" s="43" t="s">
        <v>66</v>
      </c>
      <c r="J1559" s="36">
        <v>2226100321.399066</v>
      </c>
      <c r="K1559" s="36">
        <v>948203062.19976783</v>
      </c>
      <c r="L1559" s="37">
        <v>612026844.1641922</v>
      </c>
      <c r="M1559" s="36">
        <v>600097255.36865938</v>
      </c>
      <c r="N1559" s="36">
        <v>3121029033.1729269</v>
      </c>
      <c r="O1559" s="36">
        <v>838403397.28740692</v>
      </c>
      <c r="P1559">
        <v>643188561.05186343</v>
      </c>
    </row>
    <row r="1560" spans="1:16" hidden="1" x14ac:dyDescent="0.35">
      <c r="A1560" s="3">
        <f xml:space="preserve"> ROW( data_scaledImpacts[[#This Row],[row_id]] ) - ROW( data_scaledImpacts[[#Headers],[row_id]] )</f>
        <v>1559</v>
      </c>
      <c r="B1560" s="41" t="str">
        <f xml:space="preserve"> _xlfn.TEXTJOIN( "", , data_scaledImpacts[[#This Row],[sector]:[impactType]] )</f>
        <v>ElecTDMIROC55Reactive</v>
      </c>
      <c r="C1560" s="33" t="s">
        <v>997</v>
      </c>
      <c r="D1560" s="33" t="s">
        <v>4</v>
      </c>
      <c r="E1560" s="34">
        <v>5</v>
      </c>
      <c r="F1560" s="34"/>
      <c r="G1560" s="34" t="s">
        <v>88</v>
      </c>
      <c r="H1560" s="35"/>
      <c r="I1560" s="43" t="s">
        <v>67</v>
      </c>
      <c r="J1560" s="36">
        <v>1587923306.8881948</v>
      </c>
      <c r="K1560" s="36">
        <v>1189780056.3607626</v>
      </c>
      <c r="L1560" s="37">
        <v>295441284.88242608</v>
      </c>
      <c r="M1560" s="36">
        <v>411478105.47347468</v>
      </c>
      <c r="N1560" s="36">
        <v>2872110645.48879</v>
      </c>
      <c r="O1560" s="36">
        <v>-97886842.859520331</v>
      </c>
      <c r="P1560">
        <v>407671157.29581422</v>
      </c>
    </row>
    <row r="1561" spans="1:16" hidden="1" x14ac:dyDescent="0.35">
      <c r="A1561" s="3">
        <f xml:space="preserve"> ROW( data_scaledImpacts[[#This Row],[row_id]] ) - ROW( data_scaledImpacts[[#Headers],[row_id]] )</f>
        <v>1560</v>
      </c>
      <c r="B1561" s="41" t="str">
        <f xml:space="preserve"> _xlfn.TEXTJOIN( "", , data_scaledImpacts[[#This Row],[sector]:[impactType]] )</f>
        <v>ElecTDGFDL-CM35Reactive</v>
      </c>
      <c r="C1561" s="33" t="s">
        <v>997</v>
      </c>
      <c r="D1561" s="33" t="s">
        <v>5</v>
      </c>
      <c r="E1561" s="34">
        <v>5</v>
      </c>
      <c r="F1561" s="34"/>
      <c r="G1561" s="34" t="s">
        <v>88</v>
      </c>
      <c r="H1561" s="35"/>
      <c r="I1561" s="43" t="s">
        <v>68</v>
      </c>
      <c r="J1561" s="36">
        <v>1250220283.1876359</v>
      </c>
      <c r="K1561" s="36">
        <v>798501891.36396503</v>
      </c>
      <c r="L1561" s="37">
        <v>247893463.79977465</v>
      </c>
      <c r="M1561" s="36">
        <v>382951972.45706773</v>
      </c>
      <c r="N1561" s="36">
        <v>2766447155.9528556</v>
      </c>
      <c r="O1561" s="36">
        <v>716426085.90977073</v>
      </c>
      <c r="P1561">
        <v>625032848.92947972</v>
      </c>
    </row>
    <row r="1562" spans="1:16" hidden="1" x14ac:dyDescent="0.35">
      <c r="A1562" s="3">
        <f xml:space="preserve"> ROW( data_scaledImpacts[[#This Row],[row_id]] ) - ROW( data_scaledImpacts[[#Headers],[row_id]] )</f>
        <v>1561</v>
      </c>
      <c r="B1562" s="41" t="str">
        <f xml:space="preserve"> _xlfn.TEXTJOIN( "", , data_scaledImpacts[[#This Row],[sector]:[impactType]] )</f>
        <v>ElecTDGCM Average5Reactive</v>
      </c>
      <c r="C1562" s="33" t="s">
        <v>997</v>
      </c>
      <c r="D1562" s="33" t="s">
        <v>15</v>
      </c>
      <c r="E1562" s="34">
        <v>5</v>
      </c>
      <c r="F1562" s="34"/>
      <c r="G1562" s="34" t="s">
        <v>88</v>
      </c>
      <c r="H1562" s="35"/>
      <c r="I1562" s="43" t="s">
        <v>69</v>
      </c>
      <c r="J1562" s="36">
        <v>1467833333.1079934</v>
      </c>
      <c r="K1562" s="36">
        <v>931855739.67722511</v>
      </c>
      <c r="L1562" s="37">
        <v>378450118.94992298</v>
      </c>
      <c r="M1562" s="36">
        <v>443101417.00466597</v>
      </c>
      <c r="N1562" s="36">
        <v>3196631012.0257645</v>
      </c>
      <c r="O1562" s="36">
        <v>653926624.62563872</v>
      </c>
      <c r="P1562">
        <v>614921265.71777248</v>
      </c>
    </row>
    <row r="1563" spans="1:16" hidden="1" x14ac:dyDescent="0.35">
      <c r="A1563" s="3">
        <f xml:space="preserve"> ROW( data_scaledImpacts[[#This Row],[row_id]] ) - ROW( data_scaledImpacts[[#Headers],[row_id]] )</f>
        <v>1562</v>
      </c>
      <c r="B1563" s="41" t="str">
        <f xml:space="preserve"> _xlfn.TEXTJOIN( "", , data_scaledImpacts[[#This Row],[sector]:[impactType]] )</f>
        <v>ElecTDCanESM26Reactive</v>
      </c>
      <c r="C1563" s="33" t="s">
        <v>997</v>
      </c>
      <c r="D1563" s="33" t="s">
        <v>0</v>
      </c>
      <c r="E1563" s="34">
        <v>6</v>
      </c>
      <c r="F1563" s="34"/>
      <c r="G1563" s="34" t="s">
        <v>88</v>
      </c>
      <c r="H1563" s="35"/>
      <c r="I1563" s="43" t="s">
        <v>70</v>
      </c>
      <c r="J1563" s="36">
        <v>1048629266.6852155</v>
      </c>
      <c r="K1563" s="36">
        <v>834326400.19843066</v>
      </c>
      <c r="L1563" s="37">
        <v>287537777.08601701</v>
      </c>
      <c r="M1563" s="36">
        <v>448415975.79711992</v>
      </c>
      <c r="N1563" s="36">
        <v>3305060906.9485426</v>
      </c>
      <c r="O1563" s="36">
        <v>976241154.68548536</v>
      </c>
      <c r="P1563">
        <v>848729513.39375639</v>
      </c>
    </row>
    <row r="1564" spans="1:16" hidden="1" x14ac:dyDescent="0.35">
      <c r="A1564" s="3">
        <f xml:space="preserve"> ROW( data_scaledImpacts[[#This Row],[row_id]] ) - ROW( data_scaledImpacts[[#Headers],[row_id]] )</f>
        <v>1563</v>
      </c>
      <c r="B1564" s="41" t="str">
        <f xml:space="preserve"> _xlfn.TEXTJOIN( "", , data_scaledImpacts[[#This Row],[sector]:[impactType]] )</f>
        <v>ElecTDCCSM46Reactive</v>
      </c>
      <c r="C1564" s="33" t="s">
        <v>997</v>
      </c>
      <c r="D1564" s="33" t="s">
        <v>1</v>
      </c>
      <c r="E1564" s="34">
        <v>6</v>
      </c>
      <c r="F1564" s="34"/>
      <c r="G1564" s="34" t="s">
        <v>88</v>
      </c>
      <c r="H1564" s="35"/>
      <c r="I1564" s="43" t="s">
        <v>71</v>
      </c>
      <c r="J1564" s="36"/>
      <c r="K1564" s="36"/>
      <c r="L1564" s="37"/>
      <c r="M1564" s="36"/>
      <c r="N1564" s="36"/>
      <c r="O1564" s="36"/>
    </row>
    <row r="1565" spans="1:16" hidden="1" x14ac:dyDescent="0.35">
      <c r="A1565" s="3">
        <f xml:space="preserve"> ROW( data_scaledImpacts[[#This Row],[row_id]] ) - ROW( data_scaledImpacts[[#Headers],[row_id]] )</f>
        <v>1564</v>
      </c>
      <c r="B1565" s="41" t="str">
        <f xml:space="preserve"> _xlfn.TEXTJOIN( "", , data_scaledImpacts[[#This Row],[sector]:[impactType]] )</f>
        <v>ElecTDGISS-E2-R6Reactive</v>
      </c>
      <c r="C1565" s="33" t="s">
        <v>997</v>
      </c>
      <c r="D1565" s="33" t="s">
        <v>2</v>
      </c>
      <c r="E1565" s="34">
        <v>6</v>
      </c>
      <c r="F1565" s="34"/>
      <c r="G1565" s="34" t="s">
        <v>88</v>
      </c>
      <c r="H1565" s="35"/>
      <c r="I1565" s="43" t="s">
        <v>72</v>
      </c>
      <c r="J1565" s="36"/>
      <c r="K1565" s="36"/>
      <c r="L1565" s="37"/>
      <c r="M1565" s="36"/>
      <c r="N1565" s="36"/>
      <c r="O1565" s="36"/>
    </row>
    <row r="1566" spans="1:16" hidden="1" x14ac:dyDescent="0.35">
      <c r="A1566" s="3">
        <f xml:space="preserve"> ROW( data_scaledImpacts[[#This Row],[row_id]] ) - ROW( data_scaledImpacts[[#Headers],[row_id]] )</f>
        <v>1565</v>
      </c>
      <c r="B1566" s="41" t="str">
        <f xml:space="preserve"> _xlfn.TEXTJOIN( "", , data_scaledImpacts[[#This Row],[sector]:[impactType]] )</f>
        <v>ElecTDHadGEM2-ES6Reactive</v>
      </c>
      <c r="C1566" s="33" t="s">
        <v>997</v>
      </c>
      <c r="D1566" s="33" t="s">
        <v>3</v>
      </c>
      <c r="E1566" s="34">
        <v>6</v>
      </c>
      <c r="F1566" s="34"/>
      <c r="G1566" s="34" t="s">
        <v>88</v>
      </c>
      <c r="H1566" s="35"/>
      <c r="I1566" s="43" t="s">
        <v>73</v>
      </c>
      <c r="J1566" s="36">
        <v>2143016263.213243</v>
      </c>
      <c r="K1566" s="36">
        <v>1052509503.6788193</v>
      </c>
      <c r="L1566" s="37">
        <v>317743993.79364812</v>
      </c>
      <c r="M1566" s="36">
        <v>516538150.31103611</v>
      </c>
      <c r="N1566" s="36">
        <v>3339307704.8279095</v>
      </c>
      <c r="O1566" s="36">
        <v>1348112245.1702816</v>
      </c>
      <c r="P1566">
        <v>638639819.71673977</v>
      </c>
    </row>
    <row r="1567" spans="1:16" hidden="1" x14ac:dyDescent="0.35">
      <c r="A1567" s="3">
        <f xml:space="preserve"> ROW( data_scaledImpacts[[#This Row],[row_id]] ) - ROW( data_scaledImpacts[[#Headers],[row_id]] )</f>
        <v>1566</v>
      </c>
      <c r="B1567" s="41" t="str">
        <f xml:space="preserve"> _xlfn.TEXTJOIN( "", , data_scaledImpacts[[#This Row],[sector]:[impactType]] )</f>
        <v>ElecTDMIROC56Reactive</v>
      </c>
      <c r="C1567" s="33" t="s">
        <v>997</v>
      </c>
      <c r="D1567" s="33" t="s">
        <v>4</v>
      </c>
      <c r="E1567" s="34">
        <v>6</v>
      </c>
      <c r="F1567" s="34"/>
      <c r="G1567" s="34" t="s">
        <v>88</v>
      </c>
      <c r="H1567" s="35"/>
      <c r="I1567" s="43" t="s">
        <v>74</v>
      </c>
      <c r="J1567" s="36"/>
      <c r="K1567" s="36"/>
      <c r="L1567" s="37"/>
      <c r="M1567" s="36"/>
      <c r="N1567" s="36"/>
      <c r="O1567" s="36"/>
    </row>
    <row r="1568" spans="1:16" hidden="1" x14ac:dyDescent="0.35">
      <c r="A1568" s="3">
        <f xml:space="preserve"> ROW( data_scaledImpacts[[#This Row],[row_id]] ) - ROW( data_scaledImpacts[[#Headers],[row_id]] )</f>
        <v>1567</v>
      </c>
      <c r="B1568" s="41" t="str">
        <f xml:space="preserve"> _xlfn.TEXTJOIN( "", , data_scaledImpacts[[#This Row],[sector]:[impactType]] )</f>
        <v>ElecTDGFDL-CM36Reactive</v>
      </c>
      <c r="C1568" s="33" t="s">
        <v>997</v>
      </c>
      <c r="D1568" s="33" t="s">
        <v>5</v>
      </c>
      <c r="E1568" s="34">
        <v>6</v>
      </c>
      <c r="F1568" s="34"/>
      <c r="G1568" s="34" t="s">
        <v>88</v>
      </c>
      <c r="H1568" s="35"/>
      <c r="I1568" s="43" t="s">
        <v>75</v>
      </c>
      <c r="J1568" s="36">
        <v>1712983814.5988724</v>
      </c>
      <c r="K1568" s="36">
        <v>1044863120.702238</v>
      </c>
      <c r="L1568" s="37">
        <v>304686439.76677674</v>
      </c>
      <c r="M1568" s="36">
        <v>507138161.34645021</v>
      </c>
      <c r="N1568" s="36">
        <v>3691973061.5134892</v>
      </c>
      <c r="O1568" s="36">
        <v>928697185.39576936</v>
      </c>
      <c r="P1568">
        <v>740882908.82297373</v>
      </c>
    </row>
    <row r="1569" spans="1:16" hidden="1" x14ac:dyDescent="0.35">
      <c r="A1569" s="3">
        <f xml:space="preserve"> ROW( data_scaledImpacts[[#This Row],[row_id]] ) - ROW( data_scaledImpacts[[#Headers],[row_id]] )</f>
        <v>1568</v>
      </c>
      <c r="B1569" s="41" t="str">
        <f xml:space="preserve"> _xlfn.TEXTJOIN( "", , data_scaledImpacts[[#This Row],[sector]:[impactType]] )</f>
        <v>ElecTDGCM Average6Reactive</v>
      </c>
      <c r="C1569" s="33" t="s">
        <v>997</v>
      </c>
      <c r="D1569" s="33" t="s">
        <v>15</v>
      </c>
      <c r="E1569" s="34">
        <v>6</v>
      </c>
      <c r="F1569" s="34"/>
      <c r="G1569" s="34" t="s">
        <v>88</v>
      </c>
      <c r="H1569" s="35"/>
      <c r="I1569" s="43" t="s">
        <v>76</v>
      </c>
      <c r="J1569" s="36">
        <v>1634876448.165777</v>
      </c>
      <c r="K1569" s="36">
        <v>977233008.19316256</v>
      </c>
      <c r="L1569" s="37">
        <v>303322736.88214731</v>
      </c>
      <c r="M1569" s="36">
        <v>490697429.15153533</v>
      </c>
      <c r="N1569" s="36">
        <v>3445447224.4299808</v>
      </c>
      <c r="O1569" s="36">
        <v>1084350195.0838454</v>
      </c>
      <c r="P1569">
        <v>742750747.31115663</v>
      </c>
    </row>
    <row r="1570" spans="1:16" hidden="1" x14ac:dyDescent="0.35">
      <c r="A1570" s="3">
        <f xml:space="preserve"> ROW( data_scaledImpacts[[#This Row],[row_id]] ) - ROW( data_scaledImpacts[[#Headers],[row_id]] )</f>
        <v>1569</v>
      </c>
      <c r="B1570" s="41" t="str">
        <f xml:space="preserve"> _xlfn.TEXTJOIN( "", , data_scaledImpacts[[#This Row],[sector]:[impactType]] )</f>
        <v>ElecTDCanESM27Reactive</v>
      </c>
      <c r="C1570" s="33" t="s">
        <v>997</v>
      </c>
      <c r="D1570" s="33" t="s">
        <v>0</v>
      </c>
      <c r="E1570" s="34">
        <v>7</v>
      </c>
      <c r="F1570" s="34"/>
      <c r="G1570" s="34" t="s">
        <v>88</v>
      </c>
      <c r="H1570" s="35"/>
      <c r="I1570" s="43" t="s">
        <v>77</v>
      </c>
      <c r="J1570" s="36"/>
      <c r="K1570" s="36"/>
      <c r="L1570" s="37"/>
      <c r="M1570" s="36"/>
      <c r="N1570" s="36"/>
      <c r="O1570" s="36"/>
    </row>
    <row r="1571" spans="1:16" hidden="1" x14ac:dyDescent="0.35">
      <c r="A1571" s="3">
        <f xml:space="preserve"> ROW( data_scaledImpacts[[#This Row],[row_id]] ) - ROW( data_scaledImpacts[[#Headers],[row_id]] )</f>
        <v>1570</v>
      </c>
      <c r="B1571" s="41" t="str">
        <f xml:space="preserve"> _xlfn.TEXTJOIN( "", , data_scaledImpacts[[#This Row],[sector]:[impactType]] )</f>
        <v>ElecTDCCSM47Reactive</v>
      </c>
      <c r="C1571" s="33" t="s">
        <v>997</v>
      </c>
      <c r="D1571" s="33" t="s">
        <v>1</v>
      </c>
      <c r="E1571" s="34">
        <v>7</v>
      </c>
      <c r="F1571" s="34"/>
      <c r="G1571" s="34" t="s">
        <v>88</v>
      </c>
      <c r="H1571" s="35"/>
      <c r="I1571" s="43" t="s">
        <v>78</v>
      </c>
      <c r="J1571" s="36"/>
      <c r="K1571" s="36"/>
      <c r="L1571" s="37"/>
      <c r="M1571" s="36"/>
      <c r="N1571" s="36"/>
      <c r="O1571" s="36"/>
    </row>
    <row r="1572" spans="1:16" hidden="1" x14ac:dyDescent="0.35">
      <c r="A1572" s="3">
        <f xml:space="preserve"> ROW( data_scaledImpacts[[#This Row],[row_id]] ) - ROW( data_scaledImpacts[[#Headers],[row_id]] )</f>
        <v>1571</v>
      </c>
      <c r="B1572" s="41" t="str">
        <f xml:space="preserve"> _xlfn.TEXTJOIN( "", , data_scaledImpacts[[#This Row],[sector]:[impactType]] )</f>
        <v>ElecTDGISS-E2-R7Reactive</v>
      </c>
      <c r="C1572" s="33" t="s">
        <v>997</v>
      </c>
      <c r="D1572" s="33" t="s">
        <v>2</v>
      </c>
      <c r="E1572" s="34">
        <v>7</v>
      </c>
      <c r="F1572" s="34"/>
      <c r="G1572" s="34" t="s">
        <v>88</v>
      </c>
      <c r="H1572" s="35"/>
      <c r="I1572" s="43" t="s">
        <v>79</v>
      </c>
      <c r="J1572" s="36"/>
      <c r="K1572" s="36"/>
      <c r="L1572" s="37"/>
      <c r="M1572" s="36"/>
      <c r="N1572" s="36"/>
      <c r="O1572" s="36"/>
    </row>
    <row r="1573" spans="1:16" hidden="1" x14ac:dyDescent="0.35">
      <c r="A1573" s="3">
        <f xml:space="preserve"> ROW( data_scaledImpacts[[#This Row],[row_id]] ) - ROW( data_scaledImpacts[[#Headers],[row_id]] )</f>
        <v>1572</v>
      </c>
      <c r="B1573" s="41" t="str">
        <f xml:space="preserve"> _xlfn.TEXTJOIN( "", , data_scaledImpacts[[#This Row],[sector]:[impactType]] )</f>
        <v>ElecTDHadGEM2-ES7Reactive</v>
      </c>
      <c r="C1573" s="33" t="s">
        <v>997</v>
      </c>
      <c r="D1573" s="33" t="s">
        <v>3</v>
      </c>
      <c r="E1573" s="34">
        <v>7</v>
      </c>
      <c r="F1573" s="34"/>
      <c r="G1573" s="34" t="s">
        <v>88</v>
      </c>
      <c r="H1573" s="35"/>
      <c r="I1573" s="43" t="s">
        <v>80</v>
      </c>
      <c r="J1573" s="36"/>
      <c r="K1573" s="36"/>
      <c r="L1573" s="37"/>
      <c r="M1573" s="36"/>
      <c r="N1573" s="36"/>
      <c r="O1573" s="36"/>
    </row>
    <row r="1574" spans="1:16" hidden="1" x14ac:dyDescent="0.35">
      <c r="A1574" s="3">
        <f xml:space="preserve"> ROW( data_scaledImpacts[[#This Row],[row_id]] ) - ROW( data_scaledImpacts[[#Headers],[row_id]] )</f>
        <v>1573</v>
      </c>
      <c r="B1574" s="41" t="str">
        <f xml:space="preserve"> _xlfn.TEXTJOIN( "", , data_scaledImpacts[[#This Row],[sector]:[impactType]] )</f>
        <v>ElecTDMIROC57Reactive</v>
      </c>
      <c r="C1574" s="33" t="s">
        <v>997</v>
      </c>
      <c r="D1574" s="33" t="s">
        <v>4</v>
      </c>
      <c r="E1574" s="34">
        <v>7</v>
      </c>
      <c r="F1574" s="34"/>
      <c r="G1574" s="34" t="s">
        <v>88</v>
      </c>
      <c r="H1574" s="35"/>
      <c r="I1574" s="43" t="s">
        <v>81</v>
      </c>
      <c r="J1574" s="36"/>
      <c r="K1574" s="36"/>
      <c r="L1574" s="37"/>
      <c r="M1574" s="36"/>
      <c r="N1574" s="36"/>
      <c r="O1574" s="36"/>
    </row>
    <row r="1575" spans="1:16" hidden="1" x14ac:dyDescent="0.35">
      <c r="A1575" s="3">
        <f xml:space="preserve"> ROW( data_scaledImpacts[[#This Row],[row_id]] ) - ROW( data_scaledImpacts[[#Headers],[row_id]] )</f>
        <v>1574</v>
      </c>
      <c r="B1575" s="41" t="str">
        <f xml:space="preserve"> _xlfn.TEXTJOIN( "", , data_scaledImpacts[[#This Row],[sector]:[impactType]] )</f>
        <v>ElecTDGFDL-CM37Reactive</v>
      </c>
      <c r="C1575" s="33" t="s">
        <v>997</v>
      </c>
      <c r="D1575" s="33" t="s">
        <v>5</v>
      </c>
      <c r="E1575" s="34">
        <v>7</v>
      </c>
      <c r="F1575" s="34"/>
      <c r="G1575" s="34" t="s">
        <v>88</v>
      </c>
      <c r="H1575" s="35"/>
      <c r="I1575" s="43" t="s">
        <v>82</v>
      </c>
      <c r="J1575" s="36"/>
      <c r="K1575" s="36"/>
      <c r="L1575" s="37"/>
      <c r="M1575" s="36"/>
      <c r="N1575" s="36"/>
      <c r="O1575" s="36"/>
    </row>
    <row r="1576" spans="1:16" hidden="1" x14ac:dyDescent="0.35">
      <c r="A1576" s="3">
        <f xml:space="preserve"> ROW( data_scaledImpacts[[#This Row],[row_id]] ) - ROW( data_scaledImpacts[[#Headers],[row_id]] )</f>
        <v>1575</v>
      </c>
      <c r="B1576" s="41" t="str">
        <f xml:space="preserve"> _xlfn.TEXTJOIN( "", , data_scaledImpacts[[#This Row],[sector]:[impactType]] )</f>
        <v>ElecTDGCM Average7Reactive</v>
      </c>
      <c r="C1576" s="33" t="s">
        <v>997</v>
      </c>
      <c r="D1576" s="33" t="s">
        <v>15</v>
      </c>
      <c r="E1576" s="34">
        <v>7</v>
      </c>
      <c r="F1576" s="34"/>
      <c r="G1576" s="34" t="s">
        <v>88</v>
      </c>
      <c r="H1576" s="35"/>
      <c r="I1576" s="43" t="s">
        <v>83</v>
      </c>
      <c r="J1576" s="36" t="s">
        <v>26</v>
      </c>
      <c r="K1576" s="36" t="s">
        <v>26</v>
      </c>
      <c r="L1576" s="37" t="s">
        <v>26</v>
      </c>
      <c r="M1576" s="36" t="s">
        <v>26</v>
      </c>
      <c r="N1576" s="36" t="s">
        <v>26</v>
      </c>
      <c r="O1576" s="36" t="s">
        <v>26</v>
      </c>
      <c r="P1576" t="s">
        <v>26</v>
      </c>
    </row>
    <row r="1577" spans="1:16" hidden="1" x14ac:dyDescent="0.35">
      <c r="A1577" s="3">
        <f xml:space="preserve"> ROW( data_scaledImpacts[[#This Row],[row_id]] ) - ROW( data_scaledImpacts[[#Headers],[row_id]] )</f>
        <v>1576</v>
      </c>
      <c r="B1577" s="41" t="str">
        <f xml:space="preserve"> _xlfn.TEXTJOIN( "", , data_scaledImpacts[[#This Row],[sector]:[impactType]] )</f>
        <v>ElecTDCanESM21Proactive</v>
      </c>
      <c r="C1577" s="33" t="s">
        <v>997</v>
      </c>
      <c r="D1577" s="33" t="s">
        <v>0</v>
      </c>
      <c r="E1577" s="34">
        <v>1</v>
      </c>
      <c r="F1577" s="34"/>
      <c r="G1577" s="34" t="s">
        <v>208</v>
      </c>
      <c r="H1577" s="35"/>
      <c r="I1577" s="43" t="s">
        <v>35</v>
      </c>
      <c r="J1577" s="36">
        <v>279998880.52428991</v>
      </c>
      <c r="K1577" s="36">
        <v>231723195.23019165</v>
      </c>
      <c r="L1577" s="37">
        <v>65933671.217788182</v>
      </c>
      <c r="M1577" s="36">
        <v>127631149.53215331</v>
      </c>
      <c r="N1577" s="36">
        <v>535786147.41080594</v>
      </c>
      <c r="O1577" s="36">
        <v>156603604.26918501</v>
      </c>
      <c r="P1577">
        <v>215277104.59305891</v>
      </c>
    </row>
    <row r="1578" spans="1:16" hidden="1" x14ac:dyDescent="0.35">
      <c r="A1578" s="3">
        <f xml:space="preserve"> ROW( data_scaledImpacts[[#This Row],[row_id]] ) - ROW( data_scaledImpacts[[#Headers],[row_id]] )</f>
        <v>1577</v>
      </c>
      <c r="B1578" s="41" t="str">
        <f xml:space="preserve"> _xlfn.TEXTJOIN( "", , data_scaledImpacts[[#This Row],[sector]:[impactType]] )</f>
        <v>ElecTDCCSM41Proactive</v>
      </c>
      <c r="C1578" s="33" t="s">
        <v>997</v>
      </c>
      <c r="D1578" s="33" t="s">
        <v>1</v>
      </c>
      <c r="E1578" s="34">
        <v>1</v>
      </c>
      <c r="F1578" s="34"/>
      <c r="G1578" s="34" t="s">
        <v>208</v>
      </c>
      <c r="H1578" s="35"/>
      <c r="I1578" s="43" t="s">
        <v>36</v>
      </c>
      <c r="J1578" s="36">
        <v>402273918.40309232</v>
      </c>
      <c r="K1578" s="36">
        <v>280156047.14520848</v>
      </c>
      <c r="L1578" s="37">
        <v>150058643.77171987</v>
      </c>
      <c r="M1578" s="36">
        <v>143863970.64822572</v>
      </c>
      <c r="N1578" s="36">
        <v>831982830.22664678</v>
      </c>
      <c r="O1578" s="36">
        <v>424573866.12070292</v>
      </c>
      <c r="P1578">
        <v>205829751.72427467</v>
      </c>
    </row>
    <row r="1579" spans="1:16" hidden="1" x14ac:dyDescent="0.35">
      <c r="A1579" s="3">
        <f xml:space="preserve"> ROW( data_scaledImpacts[[#This Row],[row_id]] ) - ROW( data_scaledImpacts[[#Headers],[row_id]] )</f>
        <v>1578</v>
      </c>
      <c r="B1579" s="41" t="str">
        <f xml:space="preserve"> _xlfn.TEXTJOIN( "", , data_scaledImpacts[[#This Row],[sector]:[impactType]] )</f>
        <v>ElecTDGISS-E2-R1Proactive</v>
      </c>
      <c r="C1579" s="33" t="s">
        <v>997</v>
      </c>
      <c r="D1579" s="33" t="s">
        <v>2</v>
      </c>
      <c r="E1579" s="34">
        <v>1</v>
      </c>
      <c r="F1579" s="34"/>
      <c r="G1579" s="34" t="s">
        <v>208</v>
      </c>
      <c r="H1579" s="35"/>
      <c r="I1579" s="43" t="s">
        <v>37</v>
      </c>
      <c r="J1579" s="36">
        <v>454863707.2640835</v>
      </c>
      <c r="K1579" s="36">
        <v>187348108.49338147</v>
      </c>
      <c r="L1579" s="37">
        <v>119589566.81160355</v>
      </c>
      <c r="M1579" s="36">
        <v>133879032.55388774</v>
      </c>
      <c r="N1579" s="36">
        <v>955488152.63479567</v>
      </c>
      <c r="O1579" s="36">
        <v>258654624.63180438</v>
      </c>
      <c r="P1579">
        <v>150443718.37333399</v>
      </c>
    </row>
    <row r="1580" spans="1:16" hidden="1" x14ac:dyDescent="0.35">
      <c r="A1580" s="3">
        <f xml:space="preserve"> ROW( data_scaledImpacts[[#This Row],[row_id]] ) - ROW( data_scaledImpacts[[#Headers],[row_id]] )</f>
        <v>1579</v>
      </c>
      <c r="B1580" s="41" t="str">
        <f xml:space="preserve"> _xlfn.TEXTJOIN( "", , data_scaledImpacts[[#This Row],[sector]:[impactType]] )</f>
        <v>ElecTDHadGEM2-ES1Proactive</v>
      </c>
      <c r="C1580" s="33" t="s">
        <v>997</v>
      </c>
      <c r="D1580" s="33" t="s">
        <v>3</v>
      </c>
      <c r="E1580" s="34">
        <v>1</v>
      </c>
      <c r="F1580" s="34"/>
      <c r="G1580" s="34" t="s">
        <v>208</v>
      </c>
      <c r="H1580" s="35"/>
      <c r="I1580" s="43" t="s">
        <v>38</v>
      </c>
      <c r="J1580" s="36">
        <v>794380090.67803979</v>
      </c>
      <c r="K1580" s="36">
        <v>572796153.86352968</v>
      </c>
      <c r="L1580" s="37">
        <v>65670162.199820466</v>
      </c>
      <c r="M1580" s="36">
        <v>111148589.35837325</v>
      </c>
      <c r="N1580" s="36">
        <v>1441227274.7954993</v>
      </c>
      <c r="O1580" s="36">
        <v>386363090.29827315</v>
      </c>
      <c r="P1580">
        <v>102515117.77176711</v>
      </c>
    </row>
    <row r="1581" spans="1:16" hidden="1" x14ac:dyDescent="0.35">
      <c r="A1581" s="3">
        <f xml:space="preserve"> ROW( data_scaledImpacts[[#This Row],[row_id]] ) - ROW( data_scaledImpacts[[#Headers],[row_id]] )</f>
        <v>1580</v>
      </c>
      <c r="B1581" s="41" t="str">
        <f xml:space="preserve"> _xlfn.TEXTJOIN( "", , data_scaledImpacts[[#This Row],[sector]:[impactType]] )</f>
        <v>ElecTDMIROC51Proactive</v>
      </c>
      <c r="C1581" s="33" t="s">
        <v>997</v>
      </c>
      <c r="D1581" s="33" t="s">
        <v>4</v>
      </c>
      <c r="E1581" s="34">
        <v>1</v>
      </c>
      <c r="F1581" s="34"/>
      <c r="G1581" s="34" t="s">
        <v>208</v>
      </c>
      <c r="H1581" s="35"/>
      <c r="I1581" s="43" t="s">
        <v>39</v>
      </c>
      <c r="J1581" s="36">
        <v>719146949.46208692</v>
      </c>
      <c r="K1581" s="36">
        <v>309937679.47208154</v>
      </c>
      <c r="L1581" s="37">
        <v>66673354.487575777</v>
      </c>
      <c r="M1581" s="36">
        <v>120226922.32755755</v>
      </c>
      <c r="N1581" s="36">
        <v>956337718.2504462</v>
      </c>
      <c r="O1581" s="36">
        <v>174514869.22767422</v>
      </c>
      <c r="P1581">
        <v>100929979.11092198</v>
      </c>
    </row>
    <row r="1582" spans="1:16" hidden="1" x14ac:dyDescent="0.35">
      <c r="A1582" s="3">
        <f xml:space="preserve"> ROW( data_scaledImpacts[[#This Row],[row_id]] ) - ROW( data_scaledImpacts[[#Headers],[row_id]] )</f>
        <v>1581</v>
      </c>
      <c r="B1582" s="41" t="str">
        <f xml:space="preserve"> _xlfn.TEXTJOIN( "", , data_scaledImpacts[[#This Row],[sector]:[impactType]] )</f>
        <v>ElecTDGFDL-CM31Proactive</v>
      </c>
      <c r="C1582" s="33" t="s">
        <v>997</v>
      </c>
      <c r="D1582" s="33" t="s">
        <v>5</v>
      </c>
      <c r="E1582" s="34">
        <v>1</v>
      </c>
      <c r="F1582" s="34"/>
      <c r="G1582" s="34" t="s">
        <v>208</v>
      </c>
      <c r="H1582" s="35"/>
      <c r="I1582" s="43" t="s">
        <v>40</v>
      </c>
      <c r="J1582" s="36">
        <v>597364959.76654649</v>
      </c>
      <c r="K1582" s="36">
        <v>310413321.57839322</v>
      </c>
      <c r="L1582" s="37">
        <v>75826646.91901736</v>
      </c>
      <c r="M1582" s="36">
        <v>138693425.62795421</v>
      </c>
      <c r="N1582" s="36">
        <v>1080508352.6150863</v>
      </c>
      <c r="O1582" s="36">
        <v>259183042.67095777</v>
      </c>
      <c r="P1582">
        <v>77936141.925695062</v>
      </c>
    </row>
    <row r="1583" spans="1:16" hidden="1" x14ac:dyDescent="0.35">
      <c r="A1583" s="3">
        <f xml:space="preserve"> ROW( data_scaledImpacts[[#This Row],[row_id]] ) - ROW( data_scaledImpacts[[#Headers],[row_id]] )</f>
        <v>1582</v>
      </c>
      <c r="B1583" s="41" t="str">
        <f xml:space="preserve"> _xlfn.TEXTJOIN( "", , data_scaledImpacts[[#This Row],[sector]:[impactType]] )</f>
        <v>ElecTDGCM Average1Proactive</v>
      </c>
      <c r="C1583" s="33" t="s">
        <v>997</v>
      </c>
      <c r="D1583" s="33" t="s">
        <v>15</v>
      </c>
      <c r="E1583" s="34">
        <v>1</v>
      </c>
      <c r="F1583" s="34"/>
      <c r="G1583" s="34" t="s">
        <v>208</v>
      </c>
      <c r="H1583" s="35"/>
      <c r="I1583" s="43" t="s">
        <v>41</v>
      </c>
      <c r="J1583" s="36">
        <v>541338084.34968984</v>
      </c>
      <c r="K1583" s="36">
        <v>315395750.96379769</v>
      </c>
      <c r="L1583" s="37">
        <v>90625340.901254192</v>
      </c>
      <c r="M1583" s="36">
        <v>129240515.0080253</v>
      </c>
      <c r="N1583" s="36">
        <v>966888412.65554667</v>
      </c>
      <c r="O1583" s="36">
        <v>276648849.53643292</v>
      </c>
      <c r="P1583">
        <v>142155302.24984196</v>
      </c>
    </row>
    <row r="1584" spans="1:16" hidden="1" x14ac:dyDescent="0.35">
      <c r="A1584" s="3">
        <f xml:space="preserve"> ROW( data_scaledImpacts[[#This Row],[row_id]] ) - ROW( data_scaledImpacts[[#Headers],[row_id]] )</f>
        <v>1583</v>
      </c>
      <c r="B1584" s="41" t="str">
        <f xml:space="preserve"> _xlfn.TEXTJOIN( "", , data_scaledImpacts[[#This Row],[sector]:[impactType]] )</f>
        <v>ElecTDCanESM22Proactive</v>
      </c>
      <c r="C1584" s="33" t="s">
        <v>997</v>
      </c>
      <c r="D1584" s="33" t="s">
        <v>0</v>
      </c>
      <c r="E1584" s="34">
        <v>2</v>
      </c>
      <c r="F1584" s="34"/>
      <c r="G1584" s="34" t="s">
        <v>208</v>
      </c>
      <c r="H1584" s="35"/>
      <c r="I1584" s="43" t="s">
        <v>42</v>
      </c>
      <c r="J1584" s="36">
        <v>417338678.02638185</v>
      </c>
      <c r="K1584" s="36">
        <v>236341043.52992645</v>
      </c>
      <c r="L1584" s="37">
        <v>179058369.09292603</v>
      </c>
      <c r="M1584" s="36">
        <v>182963702.56484789</v>
      </c>
      <c r="N1584" s="36">
        <v>709097119.44348562</v>
      </c>
      <c r="O1584" s="36">
        <v>152108996.2083618</v>
      </c>
      <c r="P1584">
        <v>176334913.92393711</v>
      </c>
    </row>
    <row r="1585" spans="1:16" hidden="1" x14ac:dyDescent="0.35">
      <c r="A1585" s="3">
        <f xml:space="preserve"> ROW( data_scaledImpacts[[#This Row],[row_id]] ) - ROW( data_scaledImpacts[[#Headers],[row_id]] )</f>
        <v>1584</v>
      </c>
      <c r="B1585" s="41" t="str">
        <f xml:space="preserve"> _xlfn.TEXTJOIN( "", , data_scaledImpacts[[#This Row],[sector]:[impactType]] )</f>
        <v>ElecTDCCSM42Proactive</v>
      </c>
      <c r="C1585" s="33" t="s">
        <v>997</v>
      </c>
      <c r="D1585" s="33" t="s">
        <v>1</v>
      </c>
      <c r="E1585" s="34">
        <v>2</v>
      </c>
      <c r="F1585" s="34"/>
      <c r="G1585" s="34" t="s">
        <v>208</v>
      </c>
      <c r="H1585" s="35"/>
      <c r="I1585" s="43" t="s">
        <v>43</v>
      </c>
      <c r="J1585" s="36">
        <v>352942706.23370415</v>
      </c>
      <c r="K1585" s="36">
        <v>388344084.45101082</v>
      </c>
      <c r="L1585" s="37">
        <v>105736438.02562203</v>
      </c>
      <c r="M1585" s="36">
        <v>180128121.24967355</v>
      </c>
      <c r="N1585" s="36">
        <v>1229659192.0394566</v>
      </c>
      <c r="O1585" s="36">
        <v>213172869.50751308</v>
      </c>
      <c r="P1585">
        <v>208520421.09428859</v>
      </c>
    </row>
    <row r="1586" spans="1:16" hidden="1" x14ac:dyDescent="0.35">
      <c r="A1586" s="3">
        <f xml:space="preserve"> ROW( data_scaledImpacts[[#This Row],[row_id]] ) - ROW( data_scaledImpacts[[#Headers],[row_id]] )</f>
        <v>1585</v>
      </c>
      <c r="B1586" s="41" t="str">
        <f xml:space="preserve"> _xlfn.TEXTJOIN( "", , data_scaledImpacts[[#This Row],[sector]:[impactType]] )</f>
        <v>ElecTDGISS-E2-R2Proactive</v>
      </c>
      <c r="C1586" s="33" t="s">
        <v>997</v>
      </c>
      <c r="D1586" s="33" t="s">
        <v>2</v>
      </c>
      <c r="E1586" s="34">
        <v>2</v>
      </c>
      <c r="F1586" s="34"/>
      <c r="G1586" s="34" t="s">
        <v>208</v>
      </c>
      <c r="H1586" s="35"/>
      <c r="I1586" s="43" t="s">
        <v>44</v>
      </c>
      <c r="J1586" s="36">
        <v>637986184.08270407</v>
      </c>
      <c r="K1586" s="36">
        <v>464293924.8553617</v>
      </c>
      <c r="L1586" s="37">
        <v>125937050.27127983</v>
      </c>
      <c r="M1586" s="36">
        <v>161168455.50603592</v>
      </c>
      <c r="N1586" s="36">
        <v>1395036991.3793757</v>
      </c>
      <c r="O1586" s="36">
        <v>354422841.71664298</v>
      </c>
      <c r="P1586">
        <v>204290589.10823601</v>
      </c>
    </row>
    <row r="1587" spans="1:16" hidden="1" x14ac:dyDescent="0.35">
      <c r="A1587" s="3">
        <f xml:space="preserve"> ROW( data_scaledImpacts[[#This Row],[row_id]] ) - ROW( data_scaledImpacts[[#Headers],[row_id]] )</f>
        <v>1586</v>
      </c>
      <c r="B1587" s="41" t="str">
        <f xml:space="preserve"> _xlfn.TEXTJOIN( "", , data_scaledImpacts[[#This Row],[sector]:[impactType]] )</f>
        <v>ElecTDHadGEM2-ES2Proactive</v>
      </c>
      <c r="C1587" s="33" t="s">
        <v>997</v>
      </c>
      <c r="D1587" s="33" t="s">
        <v>3</v>
      </c>
      <c r="E1587" s="34">
        <v>2</v>
      </c>
      <c r="F1587" s="34"/>
      <c r="G1587" s="34" t="s">
        <v>208</v>
      </c>
      <c r="H1587" s="35"/>
      <c r="I1587" s="43" t="s">
        <v>45</v>
      </c>
      <c r="J1587" s="36">
        <v>841098087.26841843</v>
      </c>
      <c r="K1587" s="36">
        <v>298800533.51790142</v>
      </c>
      <c r="L1587" s="37">
        <v>181134336.83480924</v>
      </c>
      <c r="M1587" s="36">
        <v>182937495.44314292</v>
      </c>
      <c r="N1587" s="36">
        <v>985022227.01056325</v>
      </c>
      <c r="O1587" s="36">
        <v>697300679.91214478</v>
      </c>
      <c r="P1587">
        <v>173704201.09991437</v>
      </c>
    </row>
    <row r="1588" spans="1:16" hidden="1" x14ac:dyDescent="0.35">
      <c r="A1588" s="3">
        <f xml:space="preserve"> ROW( data_scaledImpacts[[#This Row],[row_id]] ) - ROW( data_scaledImpacts[[#Headers],[row_id]] )</f>
        <v>1587</v>
      </c>
      <c r="B1588" s="41" t="str">
        <f xml:space="preserve"> _xlfn.TEXTJOIN( "", , data_scaledImpacts[[#This Row],[sector]:[impactType]] )</f>
        <v>ElecTDMIROC52Proactive</v>
      </c>
      <c r="C1588" s="33" t="s">
        <v>997</v>
      </c>
      <c r="D1588" s="33" t="s">
        <v>4</v>
      </c>
      <c r="E1588" s="34">
        <v>2</v>
      </c>
      <c r="F1588" s="34"/>
      <c r="G1588" s="34" t="s">
        <v>208</v>
      </c>
      <c r="H1588" s="35"/>
      <c r="I1588" s="43" t="s">
        <v>46</v>
      </c>
      <c r="J1588" s="36">
        <v>881698916.09651411</v>
      </c>
      <c r="K1588" s="36">
        <v>942521911.20351934</v>
      </c>
      <c r="L1588" s="37">
        <v>228712926.20875642</v>
      </c>
      <c r="M1588" s="36">
        <v>146970572.9761849</v>
      </c>
      <c r="N1588" s="36">
        <v>1131347387.1392171</v>
      </c>
      <c r="O1588" s="36">
        <v>270876186.76869047</v>
      </c>
      <c r="P1588">
        <v>262600827.64364505</v>
      </c>
    </row>
    <row r="1589" spans="1:16" hidden="1" x14ac:dyDescent="0.35">
      <c r="A1589" s="3">
        <f xml:space="preserve"> ROW( data_scaledImpacts[[#This Row],[row_id]] ) - ROW( data_scaledImpacts[[#Headers],[row_id]] )</f>
        <v>1588</v>
      </c>
      <c r="B1589" s="41" t="str">
        <f xml:space="preserve"> _xlfn.TEXTJOIN( "", , data_scaledImpacts[[#This Row],[sector]:[impactType]] )</f>
        <v>ElecTDGFDL-CM32Proactive</v>
      </c>
      <c r="C1589" s="33" t="s">
        <v>997</v>
      </c>
      <c r="D1589" s="33" t="s">
        <v>5</v>
      </c>
      <c r="E1589" s="34">
        <v>2</v>
      </c>
      <c r="F1589" s="34"/>
      <c r="G1589" s="34" t="s">
        <v>208</v>
      </c>
      <c r="H1589" s="35"/>
      <c r="I1589" s="43" t="s">
        <v>47</v>
      </c>
      <c r="J1589" s="36">
        <v>701512226.73061538</v>
      </c>
      <c r="K1589" s="36">
        <v>549388818.37730134</v>
      </c>
      <c r="L1589" s="37">
        <v>136766020.24908727</v>
      </c>
      <c r="M1589" s="36">
        <v>146914279.61280748</v>
      </c>
      <c r="N1589" s="36">
        <v>1162182636.3563526</v>
      </c>
      <c r="O1589" s="36">
        <v>400048892.8755284</v>
      </c>
      <c r="P1589">
        <v>280154848.12978286</v>
      </c>
    </row>
    <row r="1590" spans="1:16" hidden="1" x14ac:dyDescent="0.35">
      <c r="A1590" s="3">
        <f xml:space="preserve"> ROW( data_scaledImpacts[[#This Row],[row_id]] ) - ROW( data_scaledImpacts[[#Headers],[row_id]] )</f>
        <v>1589</v>
      </c>
      <c r="B1590" s="41" t="str">
        <f xml:space="preserve"> _xlfn.TEXTJOIN( "", , data_scaledImpacts[[#This Row],[sector]:[impactType]] )</f>
        <v>ElecTDGCM Average2Proactive</v>
      </c>
      <c r="C1590" s="33" t="s">
        <v>997</v>
      </c>
      <c r="D1590" s="33" t="s">
        <v>15</v>
      </c>
      <c r="E1590" s="34">
        <v>2</v>
      </c>
      <c r="F1590" s="34"/>
      <c r="G1590" s="34" t="s">
        <v>208</v>
      </c>
      <c r="H1590" s="35"/>
      <c r="I1590" s="43" t="s">
        <v>48</v>
      </c>
      <c r="J1590" s="36">
        <v>638762799.73972309</v>
      </c>
      <c r="K1590" s="36">
        <v>479948385.98917013</v>
      </c>
      <c r="L1590" s="37">
        <v>159557523.44708014</v>
      </c>
      <c r="M1590" s="36">
        <v>166847104.5587821</v>
      </c>
      <c r="N1590" s="36">
        <v>1102057592.2280753</v>
      </c>
      <c r="O1590" s="36">
        <v>347988411.16481358</v>
      </c>
      <c r="P1590">
        <v>217600966.83330068</v>
      </c>
    </row>
    <row r="1591" spans="1:16" hidden="1" x14ac:dyDescent="0.35">
      <c r="A1591" s="3">
        <f xml:space="preserve"> ROW( data_scaledImpacts[[#This Row],[row_id]] ) - ROW( data_scaledImpacts[[#Headers],[row_id]] )</f>
        <v>1590</v>
      </c>
      <c r="B1591" s="41" t="str">
        <f xml:space="preserve"> _xlfn.TEXTJOIN( "", , data_scaledImpacts[[#This Row],[sector]:[impactType]] )</f>
        <v>ElecTDCanESM23Proactive</v>
      </c>
      <c r="C1591" s="33" t="s">
        <v>997</v>
      </c>
      <c r="D1591" s="33" t="s">
        <v>0</v>
      </c>
      <c r="E1591" s="34">
        <v>3</v>
      </c>
      <c r="F1591" s="34"/>
      <c r="G1591" s="34" t="s">
        <v>208</v>
      </c>
      <c r="H1591" s="35"/>
      <c r="I1591" s="43" t="s">
        <v>49</v>
      </c>
      <c r="J1591" s="36">
        <v>498115477.4014222</v>
      </c>
      <c r="K1591" s="36">
        <v>204900926.33623323</v>
      </c>
      <c r="L1591" s="37">
        <v>188064429.85992384</v>
      </c>
      <c r="M1591" s="36">
        <v>235464153.9438149</v>
      </c>
      <c r="N1591" s="36">
        <v>948502978.84356272</v>
      </c>
      <c r="O1591" s="36">
        <v>457874595.69905603</v>
      </c>
      <c r="P1591">
        <v>542119217.22741175</v>
      </c>
    </row>
    <row r="1592" spans="1:16" hidden="1" x14ac:dyDescent="0.35">
      <c r="A1592" s="3">
        <f xml:space="preserve"> ROW( data_scaledImpacts[[#This Row],[row_id]] ) - ROW( data_scaledImpacts[[#Headers],[row_id]] )</f>
        <v>1591</v>
      </c>
      <c r="B1592" s="41" t="str">
        <f xml:space="preserve"> _xlfn.TEXTJOIN( "", , data_scaledImpacts[[#This Row],[sector]:[impactType]] )</f>
        <v>ElecTDCCSM43Proactive</v>
      </c>
      <c r="C1592" s="33" t="s">
        <v>997</v>
      </c>
      <c r="D1592" s="33" t="s">
        <v>1</v>
      </c>
      <c r="E1592" s="34">
        <v>3</v>
      </c>
      <c r="F1592" s="34"/>
      <c r="G1592" s="34" t="s">
        <v>208</v>
      </c>
      <c r="H1592" s="35"/>
      <c r="I1592" s="43" t="s">
        <v>50</v>
      </c>
      <c r="J1592" s="36">
        <v>638410994.11909711</v>
      </c>
      <c r="K1592" s="36">
        <v>372697676.0636394</v>
      </c>
      <c r="L1592" s="37">
        <v>155582218.57503083</v>
      </c>
      <c r="M1592" s="36">
        <v>195454190.35582951</v>
      </c>
      <c r="N1592" s="36">
        <v>2044943834.2567554</v>
      </c>
      <c r="O1592" s="36">
        <v>244377159.23602077</v>
      </c>
      <c r="P1592">
        <v>230488477.59172872</v>
      </c>
    </row>
    <row r="1593" spans="1:16" hidden="1" x14ac:dyDescent="0.35">
      <c r="A1593" s="3">
        <f xml:space="preserve"> ROW( data_scaledImpacts[[#This Row],[row_id]] ) - ROW( data_scaledImpacts[[#Headers],[row_id]] )</f>
        <v>1592</v>
      </c>
      <c r="B1593" s="41" t="str">
        <f xml:space="preserve"> _xlfn.TEXTJOIN( "", , data_scaledImpacts[[#This Row],[sector]:[impactType]] )</f>
        <v>ElecTDGISS-E2-R3Proactive</v>
      </c>
      <c r="C1593" s="33" t="s">
        <v>997</v>
      </c>
      <c r="D1593" s="33" t="s">
        <v>2</v>
      </c>
      <c r="E1593" s="34">
        <v>3</v>
      </c>
      <c r="F1593" s="34"/>
      <c r="G1593" s="34" t="s">
        <v>208</v>
      </c>
      <c r="H1593" s="35"/>
      <c r="I1593" s="43" t="s">
        <v>51</v>
      </c>
      <c r="J1593" s="36">
        <v>466840854.46279061</v>
      </c>
      <c r="K1593" s="36">
        <v>428597668.24159569</v>
      </c>
      <c r="L1593" s="37">
        <v>80437963.604282632</v>
      </c>
      <c r="M1593" s="36">
        <v>276183304.35872346</v>
      </c>
      <c r="N1593" s="36">
        <v>2370401558.6690044</v>
      </c>
      <c r="O1593" s="36">
        <v>635696518.70160735</v>
      </c>
      <c r="P1593">
        <v>238736357.90308243</v>
      </c>
    </row>
    <row r="1594" spans="1:16" hidden="1" x14ac:dyDescent="0.35">
      <c r="A1594" s="3">
        <f xml:space="preserve"> ROW( data_scaledImpacts[[#This Row],[row_id]] ) - ROW( data_scaledImpacts[[#Headers],[row_id]] )</f>
        <v>1593</v>
      </c>
      <c r="B1594" s="41" t="str">
        <f xml:space="preserve"> _xlfn.TEXTJOIN( "", , data_scaledImpacts[[#This Row],[sector]:[impactType]] )</f>
        <v>ElecTDHadGEM2-ES3Proactive</v>
      </c>
      <c r="C1594" s="33" t="s">
        <v>997</v>
      </c>
      <c r="D1594" s="33" t="s">
        <v>3</v>
      </c>
      <c r="E1594" s="34">
        <v>3</v>
      </c>
      <c r="F1594" s="34"/>
      <c r="G1594" s="34" t="s">
        <v>208</v>
      </c>
      <c r="H1594" s="35"/>
      <c r="I1594" s="43" t="s">
        <v>52</v>
      </c>
      <c r="J1594" s="36">
        <v>662988158.07301188</v>
      </c>
      <c r="K1594" s="36">
        <v>522717809.95490223</v>
      </c>
      <c r="L1594" s="37">
        <v>197794884.57947472</v>
      </c>
      <c r="M1594" s="36">
        <v>216754700.53603715</v>
      </c>
      <c r="N1594" s="36">
        <v>1143409831.8506117</v>
      </c>
      <c r="O1594" s="36">
        <v>569046554.02013123</v>
      </c>
      <c r="P1594">
        <v>195963019.34685373</v>
      </c>
    </row>
    <row r="1595" spans="1:16" hidden="1" x14ac:dyDescent="0.35">
      <c r="A1595" s="3">
        <f xml:space="preserve"> ROW( data_scaledImpacts[[#This Row],[row_id]] ) - ROW( data_scaledImpacts[[#Headers],[row_id]] )</f>
        <v>1594</v>
      </c>
      <c r="B1595" s="41" t="str">
        <f xml:space="preserve"> _xlfn.TEXTJOIN( "", , data_scaledImpacts[[#This Row],[sector]:[impactType]] )</f>
        <v>ElecTDMIROC53Proactive</v>
      </c>
      <c r="C1595" s="33" t="s">
        <v>997</v>
      </c>
      <c r="D1595" s="33" t="s">
        <v>4</v>
      </c>
      <c r="E1595" s="34">
        <v>3</v>
      </c>
      <c r="F1595" s="34"/>
      <c r="G1595" s="34" t="s">
        <v>208</v>
      </c>
      <c r="H1595" s="35"/>
      <c r="I1595" s="43" t="s">
        <v>53</v>
      </c>
      <c r="J1595" s="36">
        <v>531146228.71491069</v>
      </c>
      <c r="K1595" s="36">
        <v>470508822.63225478</v>
      </c>
      <c r="L1595" s="37">
        <v>118173211.21852489</v>
      </c>
      <c r="M1595" s="36">
        <v>134678926.38007852</v>
      </c>
      <c r="N1595" s="36">
        <v>1410357492.1427209</v>
      </c>
      <c r="O1595" s="36">
        <v>256235772.18328533</v>
      </c>
      <c r="P1595">
        <v>216977426.5702194</v>
      </c>
    </row>
    <row r="1596" spans="1:16" hidden="1" x14ac:dyDescent="0.35">
      <c r="A1596" s="3">
        <f xml:space="preserve"> ROW( data_scaledImpacts[[#This Row],[row_id]] ) - ROW( data_scaledImpacts[[#Headers],[row_id]] )</f>
        <v>1595</v>
      </c>
      <c r="B1596" s="41" t="str">
        <f xml:space="preserve"> _xlfn.TEXTJOIN( "", , data_scaledImpacts[[#This Row],[sector]:[impactType]] )</f>
        <v>ElecTDGFDL-CM33Proactive</v>
      </c>
      <c r="C1596" s="33" t="s">
        <v>997</v>
      </c>
      <c r="D1596" s="33" t="s">
        <v>5</v>
      </c>
      <c r="E1596" s="34">
        <v>3</v>
      </c>
      <c r="F1596" s="34"/>
      <c r="G1596" s="34" t="s">
        <v>208</v>
      </c>
      <c r="H1596" s="35"/>
      <c r="I1596" s="43" t="s">
        <v>54</v>
      </c>
      <c r="J1596" s="36">
        <v>480765936.23018682</v>
      </c>
      <c r="K1596" s="36">
        <v>315624843.89006388</v>
      </c>
      <c r="L1596" s="37">
        <v>133568690.03709297</v>
      </c>
      <c r="M1596" s="36">
        <v>218364784.86451158</v>
      </c>
      <c r="N1596" s="36">
        <v>1186307661.6647115</v>
      </c>
      <c r="O1596" s="36">
        <v>205204424.15478221</v>
      </c>
      <c r="P1596">
        <v>259214683.16997638</v>
      </c>
    </row>
    <row r="1597" spans="1:16" hidden="1" x14ac:dyDescent="0.35">
      <c r="A1597" s="3">
        <f xml:space="preserve"> ROW( data_scaledImpacts[[#This Row],[row_id]] ) - ROW( data_scaledImpacts[[#Headers],[row_id]] )</f>
        <v>1596</v>
      </c>
      <c r="B1597" s="41" t="str">
        <f xml:space="preserve"> _xlfn.TEXTJOIN( "", , data_scaledImpacts[[#This Row],[sector]:[impactType]] )</f>
        <v>ElecTDGCM Average3Proactive</v>
      </c>
      <c r="C1597" s="33" t="s">
        <v>997</v>
      </c>
      <c r="D1597" s="33" t="s">
        <v>15</v>
      </c>
      <c r="E1597" s="34">
        <v>3</v>
      </c>
      <c r="F1597" s="34"/>
      <c r="G1597" s="34" t="s">
        <v>208</v>
      </c>
      <c r="H1597" s="35"/>
      <c r="I1597" s="43" t="s">
        <v>55</v>
      </c>
      <c r="J1597" s="36">
        <v>546377941.50023651</v>
      </c>
      <c r="K1597" s="36">
        <v>385841291.18644816</v>
      </c>
      <c r="L1597" s="37">
        <v>145603566.3123883</v>
      </c>
      <c r="M1597" s="36">
        <v>212816676.73983252</v>
      </c>
      <c r="N1597" s="36">
        <v>1517320559.5712278</v>
      </c>
      <c r="O1597" s="36">
        <v>394739170.66581386</v>
      </c>
      <c r="P1597">
        <v>280583196.96821207</v>
      </c>
    </row>
    <row r="1598" spans="1:16" hidden="1" x14ac:dyDescent="0.35">
      <c r="A1598" s="3">
        <f xml:space="preserve"> ROW( data_scaledImpacts[[#This Row],[row_id]] ) - ROW( data_scaledImpacts[[#Headers],[row_id]] )</f>
        <v>1597</v>
      </c>
      <c r="B1598" s="41" t="str">
        <f xml:space="preserve"> _xlfn.TEXTJOIN( "", , data_scaledImpacts[[#This Row],[sector]:[impactType]] )</f>
        <v>ElecTDCanESM24Proactive</v>
      </c>
      <c r="C1598" s="33" t="s">
        <v>997</v>
      </c>
      <c r="D1598" s="33" t="s">
        <v>0</v>
      </c>
      <c r="E1598" s="34">
        <v>4</v>
      </c>
      <c r="F1598" s="34"/>
      <c r="G1598" s="34" t="s">
        <v>208</v>
      </c>
      <c r="H1598" s="35"/>
      <c r="I1598" s="43" t="s">
        <v>56</v>
      </c>
      <c r="J1598" s="36">
        <v>228859423.46332425</v>
      </c>
      <c r="K1598" s="36">
        <v>112535834.00622128</v>
      </c>
      <c r="L1598" s="37">
        <v>77544660.118495107</v>
      </c>
      <c r="M1598" s="36">
        <v>194959024.0917381</v>
      </c>
      <c r="N1598" s="36">
        <v>1150875528.3073583</v>
      </c>
      <c r="O1598" s="36">
        <v>209157030.23232278</v>
      </c>
      <c r="P1598">
        <v>396430485.67199564</v>
      </c>
    </row>
    <row r="1599" spans="1:16" hidden="1" x14ac:dyDescent="0.35">
      <c r="A1599" s="3">
        <f xml:space="preserve"> ROW( data_scaledImpacts[[#This Row],[row_id]] ) - ROW( data_scaledImpacts[[#Headers],[row_id]] )</f>
        <v>1598</v>
      </c>
      <c r="B1599" s="41" t="str">
        <f xml:space="preserve"> _xlfn.TEXTJOIN( "", , data_scaledImpacts[[#This Row],[sector]:[impactType]] )</f>
        <v>ElecTDCCSM44Proactive</v>
      </c>
      <c r="C1599" s="33" t="s">
        <v>997</v>
      </c>
      <c r="D1599" s="33" t="s">
        <v>1</v>
      </c>
      <c r="E1599" s="34">
        <v>4</v>
      </c>
      <c r="F1599" s="34"/>
      <c r="G1599" s="34" t="s">
        <v>208</v>
      </c>
      <c r="H1599" s="35"/>
      <c r="I1599" s="43" t="s">
        <v>57</v>
      </c>
      <c r="J1599" s="36">
        <v>400484982.20293772</v>
      </c>
      <c r="K1599" s="36">
        <v>456481884.85798919</v>
      </c>
      <c r="L1599" s="37">
        <v>57551428.211432822</v>
      </c>
      <c r="M1599" s="36">
        <v>320551147.90126777</v>
      </c>
      <c r="N1599" s="36">
        <v>2904870756.7780194</v>
      </c>
      <c r="O1599" s="36">
        <v>449533737.25016981</v>
      </c>
      <c r="P1599">
        <v>430239514.33147109</v>
      </c>
    </row>
    <row r="1600" spans="1:16" hidden="1" x14ac:dyDescent="0.35">
      <c r="A1600" s="3">
        <f xml:space="preserve"> ROW( data_scaledImpacts[[#This Row],[row_id]] ) - ROW( data_scaledImpacts[[#Headers],[row_id]] )</f>
        <v>1599</v>
      </c>
      <c r="B1600" s="41" t="str">
        <f xml:space="preserve"> _xlfn.TEXTJOIN( "", , data_scaledImpacts[[#This Row],[sector]:[impactType]] )</f>
        <v>ElecTDGISS-E2-R4Proactive</v>
      </c>
      <c r="C1600" s="33" t="s">
        <v>997</v>
      </c>
      <c r="D1600" s="33" t="s">
        <v>2</v>
      </c>
      <c r="E1600" s="34">
        <v>4</v>
      </c>
      <c r="F1600" s="34"/>
      <c r="G1600" s="34" t="s">
        <v>208</v>
      </c>
      <c r="H1600" s="35"/>
      <c r="I1600" s="43" t="s">
        <v>58</v>
      </c>
      <c r="J1600" s="36"/>
      <c r="K1600" s="36"/>
      <c r="L1600" s="37"/>
      <c r="M1600" s="36"/>
      <c r="N1600" s="36"/>
      <c r="O1600" s="36"/>
    </row>
    <row r="1601" spans="1:16" hidden="1" x14ac:dyDescent="0.35">
      <c r="A1601" s="3">
        <f xml:space="preserve"> ROW( data_scaledImpacts[[#This Row],[row_id]] ) - ROW( data_scaledImpacts[[#Headers],[row_id]] )</f>
        <v>1600</v>
      </c>
      <c r="B1601" s="41" t="str">
        <f xml:space="preserve"> _xlfn.TEXTJOIN( "", , data_scaledImpacts[[#This Row],[sector]:[impactType]] )</f>
        <v>ElecTDHadGEM2-ES4Proactive</v>
      </c>
      <c r="C1601" s="33" t="s">
        <v>997</v>
      </c>
      <c r="D1601" s="33" t="s">
        <v>3</v>
      </c>
      <c r="E1601" s="34">
        <v>4</v>
      </c>
      <c r="F1601" s="34"/>
      <c r="G1601" s="34" t="s">
        <v>208</v>
      </c>
      <c r="H1601" s="35"/>
      <c r="I1601" s="43" t="s">
        <v>59</v>
      </c>
      <c r="J1601" s="36">
        <v>1108657200.3275437</v>
      </c>
      <c r="K1601" s="36">
        <v>441458383.52368611</v>
      </c>
      <c r="L1601" s="37">
        <v>165982386.85541907</v>
      </c>
      <c r="M1601" s="36">
        <v>232736895.10536069</v>
      </c>
      <c r="N1601" s="36">
        <v>1459458936.2647674</v>
      </c>
      <c r="O1601" s="36">
        <v>274592620.67650628</v>
      </c>
      <c r="P1601">
        <v>192518940.17825884</v>
      </c>
    </row>
    <row r="1602" spans="1:16" hidden="1" x14ac:dyDescent="0.35">
      <c r="A1602" s="3">
        <f xml:space="preserve"> ROW( data_scaledImpacts[[#This Row],[row_id]] ) - ROW( data_scaledImpacts[[#Headers],[row_id]] )</f>
        <v>1601</v>
      </c>
      <c r="B1602" s="41" t="str">
        <f xml:space="preserve"> _xlfn.TEXTJOIN( "", , data_scaledImpacts[[#This Row],[sector]:[impactType]] )</f>
        <v>ElecTDMIROC54Proactive</v>
      </c>
      <c r="C1602" s="33" t="s">
        <v>997</v>
      </c>
      <c r="D1602" s="33" t="s">
        <v>4</v>
      </c>
      <c r="E1602" s="34">
        <v>4</v>
      </c>
      <c r="F1602" s="34"/>
      <c r="G1602" s="34" t="s">
        <v>208</v>
      </c>
      <c r="H1602" s="35"/>
      <c r="I1602" s="43" t="s">
        <v>60</v>
      </c>
      <c r="J1602" s="36">
        <v>503865499.31657159</v>
      </c>
      <c r="K1602" s="36">
        <v>578133655.25974846</v>
      </c>
      <c r="L1602" s="37">
        <v>54365470.678778082</v>
      </c>
      <c r="M1602" s="36">
        <v>255497613.49271354</v>
      </c>
      <c r="N1602" s="36">
        <v>2254204223.4150581</v>
      </c>
      <c r="O1602" s="36">
        <v>604606618.4167583</v>
      </c>
      <c r="P1602">
        <v>161211848.92862761</v>
      </c>
    </row>
    <row r="1603" spans="1:16" hidden="1" x14ac:dyDescent="0.35">
      <c r="A1603" s="3">
        <f xml:space="preserve"> ROW( data_scaledImpacts[[#This Row],[row_id]] ) - ROW( data_scaledImpacts[[#Headers],[row_id]] )</f>
        <v>1602</v>
      </c>
      <c r="B1603" s="41" t="str">
        <f xml:space="preserve"> _xlfn.TEXTJOIN( "", , data_scaledImpacts[[#This Row],[sector]:[impactType]] )</f>
        <v>ElecTDGFDL-CM34Proactive</v>
      </c>
      <c r="C1603" s="33" t="s">
        <v>997</v>
      </c>
      <c r="D1603" s="33" t="s">
        <v>5</v>
      </c>
      <c r="E1603" s="34">
        <v>4</v>
      </c>
      <c r="F1603" s="34"/>
      <c r="G1603" s="34" t="s">
        <v>208</v>
      </c>
      <c r="H1603" s="35"/>
      <c r="I1603" s="43" t="s">
        <v>61</v>
      </c>
      <c r="J1603" s="36">
        <v>1004130724.7827706</v>
      </c>
      <c r="K1603" s="36">
        <v>601871653.00401926</v>
      </c>
      <c r="L1603" s="37">
        <v>180978632.46268517</v>
      </c>
      <c r="M1603" s="36">
        <v>361523718.45276469</v>
      </c>
      <c r="N1603" s="36">
        <v>2657826187.1161366</v>
      </c>
      <c r="O1603" s="36">
        <v>763180932.34860134</v>
      </c>
      <c r="P1603">
        <v>446654831.81116706</v>
      </c>
    </row>
    <row r="1604" spans="1:16" hidden="1" x14ac:dyDescent="0.35">
      <c r="A1604" s="3">
        <f xml:space="preserve"> ROW( data_scaledImpacts[[#This Row],[row_id]] ) - ROW( data_scaledImpacts[[#Headers],[row_id]] )</f>
        <v>1603</v>
      </c>
      <c r="B1604" s="41" t="str">
        <f xml:space="preserve"> _xlfn.TEXTJOIN( "", , data_scaledImpacts[[#This Row],[sector]:[impactType]] )</f>
        <v>ElecTDGCM Average4Proactive</v>
      </c>
      <c r="C1604" s="33" t="s">
        <v>997</v>
      </c>
      <c r="D1604" s="33" t="s">
        <v>15</v>
      </c>
      <c r="E1604" s="34">
        <v>4</v>
      </c>
      <c r="F1604" s="34"/>
      <c r="G1604" s="34" t="s">
        <v>208</v>
      </c>
      <c r="H1604" s="35"/>
      <c r="I1604" s="43" t="s">
        <v>62</v>
      </c>
      <c r="J1604" s="36">
        <v>649199566.01862955</v>
      </c>
      <c r="K1604" s="36">
        <v>438096282.13033283</v>
      </c>
      <c r="L1604" s="37">
        <v>107284515.66536203</v>
      </c>
      <c r="M1604" s="36">
        <v>273053679.80876893</v>
      </c>
      <c r="N1604" s="36">
        <v>2085447126.3762679</v>
      </c>
      <c r="O1604" s="36">
        <v>460214187.7848717</v>
      </c>
      <c r="P1604">
        <v>325411124.184304</v>
      </c>
    </row>
    <row r="1605" spans="1:16" hidden="1" x14ac:dyDescent="0.35">
      <c r="A1605" s="3">
        <f xml:space="preserve"> ROW( data_scaledImpacts[[#This Row],[row_id]] ) - ROW( data_scaledImpacts[[#Headers],[row_id]] )</f>
        <v>1604</v>
      </c>
      <c r="B1605" s="41" t="str">
        <f xml:space="preserve"> _xlfn.TEXTJOIN( "", , data_scaledImpacts[[#This Row],[sector]:[impactType]] )</f>
        <v>ElecTDCanESM25Proactive</v>
      </c>
      <c r="C1605" s="33" t="s">
        <v>997</v>
      </c>
      <c r="D1605" s="33" t="s">
        <v>0</v>
      </c>
      <c r="E1605" s="34">
        <v>5</v>
      </c>
      <c r="F1605" s="34"/>
      <c r="G1605" s="34" t="s">
        <v>208</v>
      </c>
      <c r="H1605" s="35"/>
      <c r="I1605" s="43" t="s">
        <v>63</v>
      </c>
      <c r="J1605" s="36">
        <v>558192880.90181398</v>
      </c>
      <c r="K1605" s="36">
        <v>392089161.46151435</v>
      </c>
      <c r="L1605" s="37">
        <v>221808262.21723568</v>
      </c>
      <c r="M1605" s="36">
        <v>209197846.0736877</v>
      </c>
      <c r="N1605" s="36">
        <v>1740126317.1735809</v>
      </c>
      <c r="O1605" s="36">
        <v>412887493.83126646</v>
      </c>
      <c r="P1605">
        <v>367427916.6680755</v>
      </c>
    </row>
    <row r="1606" spans="1:16" hidden="1" x14ac:dyDescent="0.35">
      <c r="A1606" s="3">
        <f xml:space="preserve"> ROW( data_scaledImpacts[[#This Row],[row_id]] ) - ROW( data_scaledImpacts[[#Headers],[row_id]] )</f>
        <v>1605</v>
      </c>
      <c r="B1606" s="41" t="str">
        <f xml:space="preserve"> _xlfn.TEXTJOIN( "", , data_scaledImpacts[[#This Row],[sector]:[impactType]] )</f>
        <v>ElecTDCCSM45Proactive</v>
      </c>
      <c r="C1606" s="33" t="s">
        <v>997</v>
      </c>
      <c r="D1606" s="33" t="s">
        <v>1</v>
      </c>
      <c r="E1606" s="34">
        <v>5</v>
      </c>
      <c r="F1606" s="34"/>
      <c r="G1606" s="34" t="s">
        <v>208</v>
      </c>
      <c r="H1606" s="35"/>
      <c r="I1606" s="43" t="s">
        <v>64</v>
      </c>
      <c r="J1606" s="36">
        <v>657794043.99635482</v>
      </c>
      <c r="K1606" s="36">
        <v>672525927.5227232</v>
      </c>
      <c r="L1606" s="37">
        <v>191805143.32007679</v>
      </c>
      <c r="M1606" s="36">
        <v>336247152.38410538</v>
      </c>
      <c r="N1606" s="36">
        <v>3495819448.3304191</v>
      </c>
      <c r="O1606" s="36">
        <v>680038899.18872273</v>
      </c>
      <c r="P1606">
        <v>266929398.60023749</v>
      </c>
    </row>
    <row r="1607" spans="1:16" hidden="1" x14ac:dyDescent="0.35">
      <c r="A1607" s="3">
        <f xml:space="preserve"> ROW( data_scaledImpacts[[#This Row],[row_id]] ) - ROW( data_scaledImpacts[[#Headers],[row_id]] )</f>
        <v>1606</v>
      </c>
      <c r="B1607" s="41" t="str">
        <f xml:space="preserve"> _xlfn.TEXTJOIN( "", , data_scaledImpacts[[#This Row],[sector]:[impactType]] )</f>
        <v>ElecTDGISS-E2-R5Proactive</v>
      </c>
      <c r="C1607" s="33" t="s">
        <v>997</v>
      </c>
      <c r="D1607" s="33" t="s">
        <v>2</v>
      </c>
      <c r="E1607" s="34">
        <v>5</v>
      </c>
      <c r="F1607" s="34"/>
      <c r="G1607" s="34" t="s">
        <v>208</v>
      </c>
      <c r="H1607" s="35"/>
      <c r="I1607" s="43" t="s">
        <v>65</v>
      </c>
      <c r="J1607" s="36"/>
      <c r="K1607" s="36"/>
      <c r="L1607" s="37"/>
      <c r="M1607" s="36"/>
      <c r="N1607" s="36"/>
      <c r="O1607" s="36"/>
    </row>
    <row r="1608" spans="1:16" hidden="1" x14ac:dyDescent="0.35">
      <c r="A1608" s="3">
        <f xml:space="preserve"> ROW( data_scaledImpacts[[#This Row],[row_id]] ) - ROW( data_scaledImpacts[[#Headers],[row_id]] )</f>
        <v>1607</v>
      </c>
      <c r="B1608" s="41" t="str">
        <f xml:space="preserve"> _xlfn.TEXTJOIN( "", , data_scaledImpacts[[#This Row],[sector]:[impactType]] )</f>
        <v>ElecTDHadGEM2-ES5Proactive</v>
      </c>
      <c r="C1608" s="33" t="s">
        <v>997</v>
      </c>
      <c r="D1608" s="33" t="s">
        <v>3</v>
      </c>
      <c r="E1608" s="34">
        <v>5</v>
      </c>
      <c r="F1608" s="34"/>
      <c r="G1608" s="34" t="s">
        <v>208</v>
      </c>
      <c r="H1608" s="35"/>
      <c r="I1608" s="43" t="s">
        <v>66</v>
      </c>
      <c r="J1608" s="36">
        <v>1381128761.3143837</v>
      </c>
      <c r="K1608" s="36">
        <v>529633768.29896283</v>
      </c>
      <c r="L1608" s="37">
        <v>338371491.01456457</v>
      </c>
      <c r="M1608" s="36">
        <v>337318255.88659656</v>
      </c>
      <c r="N1608" s="36">
        <v>1873325787.1094785</v>
      </c>
      <c r="O1608" s="36">
        <v>442612135.09874821</v>
      </c>
      <c r="P1608">
        <v>294756491.0907777</v>
      </c>
    </row>
    <row r="1609" spans="1:16" hidden="1" x14ac:dyDescent="0.35">
      <c r="A1609" s="3">
        <f xml:space="preserve"> ROW( data_scaledImpacts[[#This Row],[row_id]] ) - ROW( data_scaledImpacts[[#Headers],[row_id]] )</f>
        <v>1608</v>
      </c>
      <c r="B1609" s="41" t="str">
        <f xml:space="preserve"> _xlfn.TEXTJOIN( "", , data_scaledImpacts[[#This Row],[sector]:[impactType]] )</f>
        <v>ElecTDMIROC55Proactive</v>
      </c>
      <c r="C1609" s="33" t="s">
        <v>997</v>
      </c>
      <c r="D1609" s="33" t="s">
        <v>4</v>
      </c>
      <c r="E1609" s="34">
        <v>5</v>
      </c>
      <c r="F1609" s="34"/>
      <c r="G1609" s="34" t="s">
        <v>208</v>
      </c>
      <c r="H1609" s="35"/>
      <c r="I1609" s="43" t="s">
        <v>67</v>
      </c>
      <c r="J1609" s="36">
        <v>849088762.74499822</v>
      </c>
      <c r="K1609" s="36">
        <v>768665987.75664902</v>
      </c>
      <c r="L1609" s="37">
        <v>109314811.40349697</v>
      </c>
      <c r="M1609" s="36">
        <v>286734432.33254099</v>
      </c>
      <c r="N1609" s="36">
        <v>1946087489.9410019</v>
      </c>
      <c r="O1609" s="36">
        <v>-437606760.66764259</v>
      </c>
      <c r="P1609">
        <v>155805906.93512085</v>
      </c>
    </row>
    <row r="1610" spans="1:16" hidden="1" x14ac:dyDescent="0.35">
      <c r="A1610" s="3">
        <f xml:space="preserve"> ROW( data_scaledImpacts[[#This Row],[row_id]] ) - ROW( data_scaledImpacts[[#Headers],[row_id]] )</f>
        <v>1609</v>
      </c>
      <c r="B1610" s="41" t="str">
        <f xml:space="preserve"> _xlfn.TEXTJOIN( "", , data_scaledImpacts[[#This Row],[sector]:[impactType]] )</f>
        <v>ElecTDGFDL-CM35Proactive</v>
      </c>
      <c r="C1610" s="33" t="s">
        <v>997</v>
      </c>
      <c r="D1610" s="33" t="s">
        <v>5</v>
      </c>
      <c r="E1610" s="34">
        <v>5</v>
      </c>
      <c r="F1610" s="34"/>
      <c r="G1610" s="34" t="s">
        <v>208</v>
      </c>
      <c r="H1610" s="35"/>
      <c r="I1610" s="43" t="s">
        <v>68</v>
      </c>
      <c r="J1610" s="36">
        <v>811705733.30499554</v>
      </c>
      <c r="K1610" s="36">
        <v>506898125.1898241</v>
      </c>
      <c r="L1610" s="37">
        <v>107965022.40838276</v>
      </c>
      <c r="M1610" s="36">
        <v>165782596.82248357</v>
      </c>
      <c r="N1610" s="36">
        <v>2025555369.2453625</v>
      </c>
      <c r="O1610" s="36">
        <v>404927510.27868205</v>
      </c>
      <c r="P1610">
        <v>259081081.8897453</v>
      </c>
    </row>
    <row r="1611" spans="1:16" hidden="1" x14ac:dyDescent="0.35">
      <c r="A1611" s="3">
        <f xml:space="preserve"> ROW( data_scaledImpacts[[#This Row],[row_id]] ) - ROW( data_scaledImpacts[[#Headers],[row_id]] )</f>
        <v>1610</v>
      </c>
      <c r="B1611" s="41" t="str">
        <f xml:space="preserve"> _xlfn.TEXTJOIN( "", , data_scaledImpacts[[#This Row],[sector]:[impactType]] )</f>
        <v>ElecTDGCM Average5Proactive</v>
      </c>
      <c r="C1611" s="33" t="s">
        <v>997</v>
      </c>
      <c r="D1611" s="33" t="s">
        <v>15</v>
      </c>
      <c r="E1611" s="34">
        <v>5</v>
      </c>
      <c r="F1611" s="34"/>
      <c r="G1611" s="34" t="s">
        <v>208</v>
      </c>
      <c r="H1611" s="35"/>
      <c r="I1611" s="43" t="s">
        <v>69</v>
      </c>
      <c r="J1611" s="36">
        <v>851582036.45250928</v>
      </c>
      <c r="K1611" s="36">
        <v>573962594.04593468</v>
      </c>
      <c r="L1611" s="37">
        <v>193852946.07275134</v>
      </c>
      <c r="M1611" s="36">
        <v>267056056.69988284</v>
      </c>
      <c r="N1611" s="36">
        <v>2216182882.3599687</v>
      </c>
      <c r="O1611" s="36">
        <v>300571855.54595536</v>
      </c>
      <c r="P1611">
        <v>268800159.03679132</v>
      </c>
    </row>
    <row r="1612" spans="1:16" hidden="1" x14ac:dyDescent="0.35">
      <c r="A1612" s="3">
        <f xml:space="preserve"> ROW( data_scaledImpacts[[#This Row],[row_id]] ) - ROW( data_scaledImpacts[[#Headers],[row_id]] )</f>
        <v>1611</v>
      </c>
      <c r="B1612" s="41" t="str">
        <f xml:space="preserve"> _xlfn.TEXTJOIN( "", , data_scaledImpacts[[#This Row],[sector]:[impactType]] )</f>
        <v>ElecTDCanESM26Proactive</v>
      </c>
      <c r="C1612" s="33" t="s">
        <v>997</v>
      </c>
      <c r="D1612" s="33" t="s">
        <v>0</v>
      </c>
      <c r="E1612" s="34">
        <v>6</v>
      </c>
      <c r="F1612" s="34"/>
      <c r="G1612" s="34" t="s">
        <v>208</v>
      </c>
      <c r="H1612" s="35"/>
      <c r="I1612" s="43" t="s">
        <v>70</v>
      </c>
      <c r="J1612" s="36">
        <v>505045562.00843769</v>
      </c>
      <c r="K1612" s="36">
        <v>467411611.21048814</v>
      </c>
      <c r="L1612" s="37">
        <v>131126649.93360506</v>
      </c>
      <c r="M1612" s="36">
        <v>243044591.46776357</v>
      </c>
      <c r="N1612" s="36">
        <v>2268276445.7424245</v>
      </c>
      <c r="O1612" s="36">
        <v>584555654.95749474</v>
      </c>
      <c r="P1612">
        <v>292326365.06356138</v>
      </c>
    </row>
    <row r="1613" spans="1:16" hidden="1" x14ac:dyDescent="0.35">
      <c r="A1613" s="3">
        <f xml:space="preserve"> ROW( data_scaledImpacts[[#This Row],[row_id]] ) - ROW( data_scaledImpacts[[#Headers],[row_id]] )</f>
        <v>1612</v>
      </c>
      <c r="B1613" s="41" t="str">
        <f xml:space="preserve"> _xlfn.TEXTJOIN( "", , data_scaledImpacts[[#This Row],[sector]:[impactType]] )</f>
        <v>ElecTDCCSM46Proactive</v>
      </c>
      <c r="C1613" s="33" t="s">
        <v>997</v>
      </c>
      <c r="D1613" s="33" t="s">
        <v>1</v>
      </c>
      <c r="E1613" s="34">
        <v>6</v>
      </c>
      <c r="F1613" s="34"/>
      <c r="G1613" s="34" t="s">
        <v>208</v>
      </c>
      <c r="H1613" s="35"/>
      <c r="I1613" s="43" t="s">
        <v>71</v>
      </c>
      <c r="J1613" s="36"/>
      <c r="K1613" s="36"/>
      <c r="L1613" s="37"/>
      <c r="M1613" s="36"/>
      <c r="N1613" s="36"/>
      <c r="O1613" s="36"/>
    </row>
    <row r="1614" spans="1:16" hidden="1" x14ac:dyDescent="0.35">
      <c r="A1614" s="3">
        <f xml:space="preserve"> ROW( data_scaledImpacts[[#This Row],[row_id]] ) - ROW( data_scaledImpacts[[#Headers],[row_id]] )</f>
        <v>1613</v>
      </c>
      <c r="B1614" s="41" t="str">
        <f xml:space="preserve"> _xlfn.TEXTJOIN( "", , data_scaledImpacts[[#This Row],[sector]:[impactType]] )</f>
        <v>ElecTDGISS-E2-R6Proactive</v>
      </c>
      <c r="C1614" s="33" t="s">
        <v>997</v>
      </c>
      <c r="D1614" s="33" t="s">
        <v>2</v>
      </c>
      <c r="E1614" s="34">
        <v>6</v>
      </c>
      <c r="F1614" s="34"/>
      <c r="G1614" s="34" t="s">
        <v>208</v>
      </c>
      <c r="H1614" s="35"/>
      <c r="I1614" s="43" t="s">
        <v>72</v>
      </c>
      <c r="J1614" s="36"/>
      <c r="K1614" s="36"/>
      <c r="L1614" s="37"/>
      <c r="M1614" s="36"/>
      <c r="N1614" s="36"/>
      <c r="O1614" s="36"/>
    </row>
    <row r="1615" spans="1:16" hidden="1" x14ac:dyDescent="0.35">
      <c r="A1615" s="3">
        <f xml:space="preserve"> ROW( data_scaledImpacts[[#This Row],[row_id]] ) - ROW( data_scaledImpacts[[#Headers],[row_id]] )</f>
        <v>1614</v>
      </c>
      <c r="B1615" s="41" t="str">
        <f xml:space="preserve"> _xlfn.TEXTJOIN( "", , data_scaledImpacts[[#This Row],[sector]:[impactType]] )</f>
        <v>ElecTDHadGEM2-ES6Proactive</v>
      </c>
      <c r="C1615" s="33" t="s">
        <v>997</v>
      </c>
      <c r="D1615" s="33" t="s">
        <v>3</v>
      </c>
      <c r="E1615" s="34">
        <v>6</v>
      </c>
      <c r="F1615" s="34"/>
      <c r="G1615" s="34" t="s">
        <v>208</v>
      </c>
      <c r="H1615" s="35"/>
      <c r="I1615" s="43" t="s">
        <v>73</v>
      </c>
      <c r="J1615" s="36">
        <v>1549887042.6845343</v>
      </c>
      <c r="K1615" s="36">
        <v>625307596.18716526</v>
      </c>
      <c r="L1615" s="37">
        <v>150673704.42428359</v>
      </c>
      <c r="M1615" s="36">
        <v>336312404.92849576</v>
      </c>
      <c r="N1615" s="36">
        <v>2322754825.9467649</v>
      </c>
      <c r="O1615" s="36">
        <v>1008236870.3399998</v>
      </c>
      <c r="P1615">
        <v>382624510.657704</v>
      </c>
    </row>
    <row r="1616" spans="1:16" hidden="1" x14ac:dyDescent="0.35">
      <c r="A1616" s="3">
        <f xml:space="preserve"> ROW( data_scaledImpacts[[#This Row],[row_id]] ) - ROW( data_scaledImpacts[[#Headers],[row_id]] )</f>
        <v>1615</v>
      </c>
      <c r="B1616" s="41" t="str">
        <f xml:space="preserve"> _xlfn.TEXTJOIN( "", , data_scaledImpacts[[#This Row],[sector]:[impactType]] )</f>
        <v>ElecTDMIROC56Proactive</v>
      </c>
      <c r="C1616" s="33" t="s">
        <v>997</v>
      </c>
      <c r="D1616" s="33" t="s">
        <v>4</v>
      </c>
      <c r="E1616" s="34">
        <v>6</v>
      </c>
      <c r="F1616" s="34"/>
      <c r="G1616" s="34" t="s">
        <v>208</v>
      </c>
      <c r="H1616" s="35"/>
      <c r="I1616" s="43" t="s">
        <v>74</v>
      </c>
      <c r="J1616" s="36"/>
      <c r="K1616" s="36"/>
      <c r="L1616" s="37"/>
      <c r="M1616" s="36"/>
      <c r="N1616" s="36"/>
      <c r="O1616" s="36"/>
    </row>
    <row r="1617" spans="1:16" hidden="1" x14ac:dyDescent="0.35">
      <c r="A1617" s="3">
        <f xml:space="preserve"> ROW( data_scaledImpacts[[#This Row],[row_id]] ) - ROW( data_scaledImpacts[[#Headers],[row_id]] )</f>
        <v>1616</v>
      </c>
      <c r="B1617" s="41" t="str">
        <f xml:space="preserve"> _xlfn.TEXTJOIN( "", , data_scaledImpacts[[#This Row],[sector]:[impactType]] )</f>
        <v>ElecTDGFDL-CM36Proactive</v>
      </c>
      <c r="C1617" s="33" t="s">
        <v>997</v>
      </c>
      <c r="D1617" s="33" t="s">
        <v>5</v>
      </c>
      <c r="E1617" s="34">
        <v>6</v>
      </c>
      <c r="F1617" s="34"/>
      <c r="G1617" s="34" t="s">
        <v>208</v>
      </c>
      <c r="H1617" s="35"/>
      <c r="I1617" s="43" t="s">
        <v>75</v>
      </c>
      <c r="J1617" s="36">
        <v>1121078114.5937216</v>
      </c>
      <c r="K1617" s="36">
        <v>615941238.19723332</v>
      </c>
      <c r="L1617" s="37">
        <v>175811773.0846467</v>
      </c>
      <c r="M1617" s="36">
        <v>328750403.48692715</v>
      </c>
      <c r="N1617" s="36">
        <v>2762635608.7686677</v>
      </c>
      <c r="O1617" s="36">
        <v>529129183.66110313</v>
      </c>
      <c r="P1617">
        <v>376362229.41968071</v>
      </c>
    </row>
    <row r="1618" spans="1:16" hidden="1" x14ac:dyDescent="0.35">
      <c r="A1618" s="3">
        <f xml:space="preserve"> ROW( data_scaledImpacts[[#This Row],[row_id]] ) - ROW( data_scaledImpacts[[#Headers],[row_id]] )</f>
        <v>1617</v>
      </c>
      <c r="B1618" s="41" t="str">
        <f xml:space="preserve"> _xlfn.TEXTJOIN( "", , data_scaledImpacts[[#This Row],[sector]:[impactType]] )</f>
        <v>ElecTDGCM Average6Proactive</v>
      </c>
      <c r="C1618" s="33" t="s">
        <v>997</v>
      </c>
      <c r="D1618" s="33" t="s">
        <v>15</v>
      </c>
      <c r="E1618" s="34">
        <v>6</v>
      </c>
      <c r="F1618" s="34"/>
      <c r="G1618" s="34" t="s">
        <v>208</v>
      </c>
      <c r="H1618" s="35"/>
      <c r="I1618" s="43" t="s">
        <v>76</v>
      </c>
      <c r="J1618" s="36">
        <v>1058670239.7622312</v>
      </c>
      <c r="K1618" s="36">
        <v>569553481.86496222</v>
      </c>
      <c r="L1618" s="37">
        <v>152537375.81417844</v>
      </c>
      <c r="M1618" s="36">
        <v>302702466.62772882</v>
      </c>
      <c r="N1618" s="36">
        <v>2451222293.4859524</v>
      </c>
      <c r="O1618" s="36">
        <v>707307236.31953251</v>
      </c>
      <c r="P1618">
        <v>350437701.71364868</v>
      </c>
    </row>
    <row r="1619" spans="1:16" hidden="1" x14ac:dyDescent="0.35">
      <c r="A1619" s="3">
        <f xml:space="preserve"> ROW( data_scaledImpacts[[#This Row],[row_id]] ) - ROW( data_scaledImpacts[[#Headers],[row_id]] )</f>
        <v>1618</v>
      </c>
      <c r="B1619" s="41" t="str">
        <f xml:space="preserve"> _xlfn.TEXTJOIN( "", , data_scaledImpacts[[#This Row],[sector]:[impactType]] )</f>
        <v>ElecTDCanESM27Proactive</v>
      </c>
      <c r="C1619" s="33" t="s">
        <v>997</v>
      </c>
      <c r="D1619" s="33" t="s">
        <v>0</v>
      </c>
      <c r="E1619" s="34">
        <v>7</v>
      </c>
      <c r="F1619" s="34"/>
      <c r="G1619" s="34" t="s">
        <v>208</v>
      </c>
      <c r="H1619" s="35"/>
      <c r="I1619" s="43" t="s">
        <v>77</v>
      </c>
      <c r="J1619" s="36"/>
      <c r="K1619" s="36"/>
      <c r="L1619" s="37"/>
      <c r="M1619" s="36"/>
      <c r="N1619" s="36"/>
      <c r="O1619" s="36"/>
    </row>
    <row r="1620" spans="1:16" hidden="1" x14ac:dyDescent="0.35">
      <c r="A1620" s="3">
        <f xml:space="preserve"> ROW( data_scaledImpacts[[#This Row],[row_id]] ) - ROW( data_scaledImpacts[[#Headers],[row_id]] )</f>
        <v>1619</v>
      </c>
      <c r="B1620" s="41" t="str">
        <f xml:space="preserve"> _xlfn.TEXTJOIN( "", , data_scaledImpacts[[#This Row],[sector]:[impactType]] )</f>
        <v>ElecTDCCSM47Proactive</v>
      </c>
      <c r="C1620" s="33" t="s">
        <v>997</v>
      </c>
      <c r="D1620" s="33" t="s">
        <v>1</v>
      </c>
      <c r="E1620" s="34">
        <v>7</v>
      </c>
      <c r="F1620" s="34"/>
      <c r="G1620" s="34" t="s">
        <v>208</v>
      </c>
      <c r="H1620" s="35"/>
      <c r="I1620" s="43" t="s">
        <v>78</v>
      </c>
      <c r="J1620" s="36"/>
      <c r="K1620" s="36"/>
      <c r="L1620" s="37"/>
      <c r="M1620" s="36"/>
      <c r="N1620" s="36"/>
      <c r="O1620" s="36"/>
    </row>
    <row r="1621" spans="1:16" hidden="1" x14ac:dyDescent="0.35">
      <c r="A1621" s="3">
        <f xml:space="preserve"> ROW( data_scaledImpacts[[#This Row],[row_id]] ) - ROW( data_scaledImpacts[[#Headers],[row_id]] )</f>
        <v>1620</v>
      </c>
      <c r="B1621" s="41" t="str">
        <f xml:space="preserve"> _xlfn.TEXTJOIN( "", , data_scaledImpacts[[#This Row],[sector]:[impactType]] )</f>
        <v>ElecTDGISS-E2-R7Proactive</v>
      </c>
      <c r="C1621" s="33" t="s">
        <v>997</v>
      </c>
      <c r="D1621" s="33" t="s">
        <v>2</v>
      </c>
      <c r="E1621" s="34">
        <v>7</v>
      </c>
      <c r="F1621" s="34"/>
      <c r="G1621" s="34" t="s">
        <v>208</v>
      </c>
      <c r="H1621" s="35"/>
      <c r="I1621" s="43" t="s">
        <v>79</v>
      </c>
      <c r="J1621" s="36"/>
      <c r="K1621" s="36"/>
      <c r="L1621" s="37"/>
      <c r="M1621" s="36"/>
      <c r="N1621" s="36"/>
      <c r="O1621" s="36"/>
    </row>
    <row r="1622" spans="1:16" hidden="1" x14ac:dyDescent="0.35">
      <c r="A1622" s="3">
        <f xml:space="preserve"> ROW( data_scaledImpacts[[#This Row],[row_id]] ) - ROW( data_scaledImpacts[[#Headers],[row_id]] )</f>
        <v>1621</v>
      </c>
      <c r="B1622" s="41" t="str">
        <f xml:space="preserve"> _xlfn.TEXTJOIN( "", , data_scaledImpacts[[#This Row],[sector]:[impactType]] )</f>
        <v>ElecTDHadGEM2-ES7Proactive</v>
      </c>
      <c r="C1622" s="33" t="s">
        <v>997</v>
      </c>
      <c r="D1622" s="33" t="s">
        <v>3</v>
      </c>
      <c r="E1622" s="34">
        <v>7</v>
      </c>
      <c r="F1622" s="34"/>
      <c r="G1622" s="34" t="s">
        <v>208</v>
      </c>
      <c r="H1622" s="35"/>
      <c r="I1622" s="43" t="s">
        <v>80</v>
      </c>
      <c r="J1622" s="36"/>
      <c r="K1622" s="36"/>
      <c r="L1622" s="37"/>
      <c r="M1622" s="36"/>
      <c r="N1622" s="36"/>
      <c r="O1622" s="36"/>
    </row>
    <row r="1623" spans="1:16" hidden="1" x14ac:dyDescent="0.35">
      <c r="A1623" s="3">
        <f xml:space="preserve"> ROW( data_scaledImpacts[[#This Row],[row_id]] ) - ROW( data_scaledImpacts[[#Headers],[row_id]] )</f>
        <v>1622</v>
      </c>
      <c r="B1623" s="41" t="str">
        <f xml:space="preserve"> _xlfn.TEXTJOIN( "", , data_scaledImpacts[[#This Row],[sector]:[impactType]] )</f>
        <v>ElecTDMIROC57Proactive</v>
      </c>
      <c r="C1623" s="33" t="s">
        <v>997</v>
      </c>
      <c r="D1623" s="33" t="s">
        <v>4</v>
      </c>
      <c r="E1623" s="34">
        <v>7</v>
      </c>
      <c r="F1623" s="34"/>
      <c r="G1623" s="34" t="s">
        <v>208</v>
      </c>
      <c r="H1623" s="35"/>
      <c r="I1623" s="43" t="s">
        <v>81</v>
      </c>
      <c r="J1623" s="36"/>
      <c r="K1623" s="36"/>
      <c r="L1623" s="37"/>
      <c r="M1623" s="36"/>
      <c r="N1623" s="36"/>
      <c r="O1623" s="36"/>
    </row>
    <row r="1624" spans="1:16" hidden="1" x14ac:dyDescent="0.35">
      <c r="A1624" s="3">
        <f xml:space="preserve"> ROW( data_scaledImpacts[[#This Row],[row_id]] ) - ROW( data_scaledImpacts[[#Headers],[row_id]] )</f>
        <v>1623</v>
      </c>
      <c r="B1624" s="41" t="str">
        <f xml:space="preserve"> _xlfn.TEXTJOIN( "", , data_scaledImpacts[[#This Row],[sector]:[impactType]] )</f>
        <v>ElecTDGFDL-CM37Proactive</v>
      </c>
      <c r="C1624" s="33" t="s">
        <v>997</v>
      </c>
      <c r="D1624" s="33" t="s">
        <v>5</v>
      </c>
      <c r="E1624" s="34">
        <v>7</v>
      </c>
      <c r="F1624" s="34"/>
      <c r="G1624" s="34" t="s">
        <v>208</v>
      </c>
      <c r="H1624" s="35"/>
      <c r="I1624" s="43" t="s">
        <v>82</v>
      </c>
      <c r="J1624" s="36"/>
      <c r="K1624" s="36"/>
      <c r="L1624" s="37"/>
      <c r="M1624" s="36"/>
      <c r="N1624" s="36"/>
      <c r="O1624" s="36"/>
    </row>
    <row r="1625" spans="1:16" hidden="1" x14ac:dyDescent="0.35">
      <c r="A1625" s="3">
        <f xml:space="preserve"> ROW( data_scaledImpacts[[#This Row],[row_id]] ) - ROW( data_scaledImpacts[[#Headers],[row_id]] )</f>
        <v>1624</v>
      </c>
      <c r="B1625" s="41" t="str">
        <f xml:space="preserve"> _xlfn.TEXTJOIN( "", , data_scaledImpacts[[#This Row],[sector]:[impactType]] )</f>
        <v>ElecTDGCM Average7Proactive</v>
      </c>
      <c r="C1625" s="33" t="s">
        <v>997</v>
      </c>
      <c r="D1625" s="33" t="s">
        <v>15</v>
      </c>
      <c r="E1625" s="34">
        <v>7</v>
      </c>
      <c r="F1625" s="34"/>
      <c r="G1625" s="34" t="s">
        <v>208</v>
      </c>
      <c r="H1625" s="35"/>
      <c r="I1625" s="43" t="s">
        <v>83</v>
      </c>
      <c r="J1625" s="36" t="s">
        <v>26</v>
      </c>
      <c r="K1625" s="36" t="s">
        <v>26</v>
      </c>
      <c r="L1625" s="37" t="s">
        <v>26</v>
      </c>
      <c r="M1625" s="36" t="s">
        <v>26</v>
      </c>
      <c r="N1625" s="36" t="s">
        <v>26</v>
      </c>
      <c r="O1625" s="36" t="s">
        <v>26</v>
      </c>
      <c r="P1625" t="s">
        <v>26</v>
      </c>
    </row>
    <row r="1626" spans="1:16" hidden="1" x14ac:dyDescent="0.35">
      <c r="A1626" s="3">
        <f xml:space="preserve"> ROW( data_scaledImpacts[[#This Row],[row_id]] ) - ROW( data_scaledImpacts[[#Headers],[row_id]] )</f>
        <v>1625</v>
      </c>
      <c r="B1626" s="41" t="str">
        <f xml:space="preserve"> _xlfn.TEXTJOIN( "", , data_scaledImpacts[[#This Row],[sector]:[impactType]] )</f>
        <v/>
      </c>
      <c r="C1626" s="33"/>
      <c r="D1626" s="33"/>
      <c r="E1626" s="34"/>
      <c r="F1626" s="34"/>
      <c r="G1626" s="34"/>
      <c r="H1626" s="35"/>
      <c r="I1626" s="43"/>
      <c r="J1626" s="36"/>
      <c r="K1626" s="36"/>
      <c r="L1626" s="37"/>
      <c r="M1626" s="36"/>
      <c r="N1626" s="36"/>
      <c r="O1626" s="36"/>
    </row>
    <row r="1627" spans="1:16" hidden="1" x14ac:dyDescent="0.35">
      <c r="A1627" s="3">
        <f xml:space="preserve"> ROW( data_scaledImpacts[[#This Row],[row_id]] ) - ROW( data_scaledImpacts[[#Headers],[row_id]] )</f>
        <v>1626</v>
      </c>
      <c r="B1627" s="41" t="str">
        <f xml:space="preserve"> _xlfn.TEXTJOIN( "", , data_scaledImpacts[[#This Row],[sector]:[impactType]] )</f>
        <v>ElecSDCanESM21N/A</v>
      </c>
      <c r="C1627" s="33" t="s">
        <v>220</v>
      </c>
      <c r="D1627" s="33" t="s">
        <v>0</v>
      </c>
      <c r="E1627" s="34">
        <v>1</v>
      </c>
      <c r="F1627" s="34"/>
      <c r="G1627" s="34" t="s">
        <v>201</v>
      </c>
      <c r="H1627" s="35"/>
      <c r="I1627" s="43" t="s">
        <v>35</v>
      </c>
      <c r="J1627" s="36">
        <v>6.3073337560548559E-4</v>
      </c>
      <c r="K1627" s="36">
        <v>7.3599378703925744E-4</v>
      </c>
      <c r="L1627" s="37">
        <v>7.1349991377545052E-4</v>
      </c>
      <c r="M1627" s="36">
        <v>5.2002743203538593E-4</v>
      </c>
      <c r="N1627" s="36">
        <v>1.2848855167428841E-3</v>
      </c>
      <c r="O1627" s="36">
        <v>1.5923037519915972E-3</v>
      </c>
      <c r="P1627">
        <v>1.1737051408118315E-3</v>
      </c>
    </row>
    <row r="1628" spans="1:16" hidden="1" x14ac:dyDescent="0.35">
      <c r="A1628" s="3">
        <f xml:space="preserve"> ROW( data_scaledImpacts[[#This Row],[row_id]] ) - ROW( data_scaledImpacts[[#Headers],[row_id]] )</f>
        <v>1627</v>
      </c>
      <c r="B1628" s="41" t="str">
        <f xml:space="preserve"> _xlfn.TEXTJOIN( "", , data_scaledImpacts[[#This Row],[sector]:[impactType]] )</f>
        <v>ElecSDCCSM41N/A</v>
      </c>
      <c r="C1628" s="33" t="s">
        <v>220</v>
      </c>
      <c r="D1628" s="33" t="s">
        <v>1</v>
      </c>
      <c r="E1628" s="34">
        <v>1</v>
      </c>
      <c r="F1628" s="34"/>
      <c r="G1628" s="34" t="s">
        <v>201</v>
      </c>
      <c r="H1628" s="35"/>
      <c r="I1628" s="43" t="s">
        <v>36</v>
      </c>
      <c r="J1628" s="36">
        <v>3.4590339960471894E-4</v>
      </c>
      <c r="K1628" s="36">
        <v>5.43646876204118E-4</v>
      </c>
      <c r="L1628" s="37">
        <v>2.3427789020202816E-4</v>
      </c>
      <c r="M1628" s="36">
        <v>1.0986255762546193E-4</v>
      </c>
      <c r="N1628" s="36">
        <v>9.1744204441268629E-4</v>
      </c>
      <c r="O1628" s="36">
        <v>1.2149755419608166E-3</v>
      </c>
      <c r="P1628">
        <v>3.2037385458627554E-4</v>
      </c>
    </row>
    <row r="1629" spans="1:16" hidden="1" x14ac:dyDescent="0.35">
      <c r="A1629" s="3">
        <f xml:space="preserve"> ROW( data_scaledImpacts[[#This Row],[row_id]] ) - ROW( data_scaledImpacts[[#Headers],[row_id]] )</f>
        <v>1628</v>
      </c>
      <c r="B1629" s="41" t="str">
        <f xml:space="preserve"> _xlfn.TEXTJOIN( "", , data_scaledImpacts[[#This Row],[sector]:[impactType]] )</f>
        <v>ElecSDGISS-E2-R1N/A</v>
      </c>
      <c r="C1629" s="33" t="s">
        <v>220</v>
      </c>
      <c r="D1629" s="33" t="s">
        <v>2</v>
      </c>
      <c r="E1629" s="34">
        <v>1</v>
      </c>
      <c r="F1629" s="34"/>
      <c r="G1629" s="34" t="s">
        <v>201</v>
      </c>
      <c r="H1629" s="35"/>
      <c r="I1629" s="43" t="s">
        <v>37</v>
      </c>
      <c r="J1629" s="36">
        <v>1.8038338975951973E-3</v>
      </c>
      <c r="K1629" s="36">
        <v>1.5536676687801787E-3</v>
      </c>
      <c r="L1629" s="37">
        <v>3.3361416710684377E-3</v>
      </c>
      <c r="M1629" s="36">
        <v>5.7118106334594909E-3</v>
      </c>
      <c r="N1629" s="36">
        <v>6.2519260958264766E-3</v>
      </c>
      <c r="O1629" s="36">
        <v>8.6617374715634021E-3</v>
      </c>
      <c r="P1629">
        <v>8.0458438408734789E-3</v>
      </c>
    </row>
    <row r="1630" spans="1:16" hidden="1" x14ac:dyDescent="0.35">
      <c r="A1630" s="3">
        <f xml:space="preserve"> ROW( data_scaledImpacts[[#This Row],[row_id]] ) - ROW( data_scaledImpacts[[#Headers],[row_id]] )</f>
        <v>1629</v>
      </c>
      <c r="B1630" s="41" t="str">
        <f xml:space="preserve"> _xlfn.TEXTJOIN( "", , data_scaledImpacts[[#This Row],[sector]:[impactType]] )</f>
        <v>ElecSDHadGEM2-ES1N/A</v>
      </c>
      <c r="C1630" s="33" t="s">
        <v>220</v>
      </c>
      <c r="D1630" s="33" t="s">
        <v>3</v>
      </c>
      <c r="E1630" s="34">
        <v>1</v>
      </c>
      <c r="F1630" s="34"/>
      <c r="G1630" s="34" t="s">
        <v>201</v>
      </c>
      <c r="H1630" s="35"/>
      <c r="I1630" s="43" t="s">
        <v>38</v>
      </c>
      <c r="J1630" s="36">
        <v>8.7702151969404341E-4</v>
      </c>
      <c r="K1630" s="36">
        <v>7.3188791471734405E-4</v>
      </c>
      <c r="L1630" s="37">
        <v>7.7002517133806236E-4</v>
      </c>
      <c r="M1630" s="36">
        <v>6.9242270423264252E-4</v>
      </c>
      <c r="N1630" s="36">
        <v>2.2240644015161237E-3</v>
      </c>
      <c r="O1630" s="36">
        <v>2.9937552906946774E-3</v>
      </c>
      <c r="P1630">
        <v>1.412832032635869E-3</v>
      </c>
    </row>
    <row r="1631" spans="1:16" hidden="1" x14ac:dyDescent="0.35">
      <c r="A1631" s="3">
        <f xml:space="preserve"> ROW( data_scaledImpacts[[#This Row],[row_id]] ) - ROW( data_scaledImpacts[[#Headers],[row_id]] )</f>
        <v>1630</v>
      </c>
      <c r="B1631" s="41" t="str">
        <f xml:space="preserve"> _xlfn.TEXTJOIN( "", , data_scaledImpacts[[#This Row],[sector]:[impactType]] )</f>
        <v>ElecSDMIROC51N/A</v>
      </c>
      <c r="C1631" s="33" t="s">
        <v>220</v>
      </c>
      <c r="D1631" s="33" t="s">
        <v>4</v>
      </c>
      <c r="E1631" s="34">
        <v>1</v>
      </c>
      <c r="F1631" s="34"/>
      <c r="G1631" s="34" t="s">
        <v>201</v>
      </c>
      <c r="H1631" s="35"/>
      <c r="I1631" s="43" t="s">
        <v>39</v>
      </c>
      <c r="J1631" s="36">
        <v>9.8719532796454068E-4</v>
      </c>
      <c r="K1631" s="36">
        <v>8.4025853918801019E-4</v>
      </c>
      <c r="L1631" s="37">
        <v>9.4226782524220454E-4</v>
      </c>
      <c r="M1631" s="36">
        <v>6.4325284485966527E-4</v>
      </c>
      <c r="N1631" s="36">
        <v>3.2094349310123338E-3</v>
      </c>
      <c r="O1631" s="36">
        <v>5.9944444790862583E-3</v>
      </c>
      <c r="P1631">
        <v>2.1955120109993231E-3</v>
      </c>
    </row>
    <row r="1632" spans="1:16" hidden="1" x14ac:dyDescent="0.35">
      <c r="A1632" s="3">
        <f xml:space="preserve"> ROW( data_scaledImpacts[[#This Row],[row_id]] ) - ROW( data_scaledImpacts[[#Headers],[row_id]] )</f>
        <v>1631</v>
      </c>
      <c r="B1632" s="41" t="str">
        <f xml:space="preserve"> _xlfn.TEXTJOIN( "", , data_scaledImpacts[[#This Row],[sector]:[impactType]] )</f>
        <v>ElecSDGFDL-CM31N/A</v>
      </c>
      <c r="C1632" s="33" t="s">
        <v>220</v>
      </c>
      <c r="D1632" s="33" t="s">
        <v>5</v>
      </c>
      <c r="E1632" s="34">
        <v>1</v>
      </c>
      <c r="F1632" s="34"/>
      <c r="G1632" s="34" t="s">
        <v>201</v>
      </c>
      <c r="H1632" s="35"/>
      <c r="I1632" s="43" t="s">
        <v>40</v>
      </c>
      <c r="J1632" s="36">
        <v>1.2196653370919464E-3</v>
      </c>
      <c r="K1632" s="36">
        <v>1.2548709572732797E-3</v>
      </c>
      <c r="L1632" s="37">
        <v>1.2316198033370807E-3</v>
      </c>
      <c r="M1632" s="36">
        <v>1.3670604406619269E-3</v>
      </c>
      <c r="N1632" s="36">
        <v>2.1608361542206911E-3</v>
      </c>
      <c r="O1632" s="36">
        <v>2.8973308230773043E-3</v>
      </c>
      <c r="P1632">
        <v>1.656701916544101E-3</v>
      </c>
    </row>
    <row r="1633" spans="1:16" hidden="1" x14ac:dyDescent="0.35">
      <c r="A1633" s="3">
        <f xml:space="preserve"> ROW( data_scaledImpacts[[#This Row],[row_id]] ) - ROW( data_scaledImpacts[[#Headers],[row_id]] )</f>
        <v>1632</v>
      </c>
      <c r="B1633" s="41" t="str">
        <f xml:space="preserve"> _xlfn.TEXTJOIN( "", , data_scaledImpacts[[#This Row],[sector]:[impactType]] )</f>
        <v>ElecSDGCM Average1N/A</v>
      </c>
      <c r="C1633" s="33" t="s">
        <v>220</v>
      </c>
      <c r="D1633" s="33" t="s">
        <v>15</v>
      </c>
      <c r="E1633" s="34">
        <v>1</v>
      </c>
      <c r="F1633" s="34"/>
      <c r="G1633" s="34" t="s">
        <v>201</v>
      </c>
      <c r="H1633" s="35"/>
      <c r="I1633" s="43" t="s">
        <v>41</v>
      </c>
      <c r="J1633" s="36">
        <v>9.7739214292598864E-4</v>
      </c>
      <c r="K1633" s="36">
        <v>9.4338762386703134E-4</v>
      </c>
      <c r="L1633" s="37">
        <v>1.2046387124938773E-3</v>
      </c>
      <c r="M1633" s="36">
        <v>1.5074061021457623E-3</v>
      </c>
      <c r="N1633" s="36">
        <v>2.6747648572885327E-3</v>
      </c>
      <c r="O1633" s="36">
        <v>3.8924245597290095E-3</v>
      </c>
      <c r="P1633">
        <v>2.4674947994084797E-3</v>
      </c>
    </row>
    <row r="1634" spans="1:16" hidden="1" x14ac:dyDescent="0.35">
      <c r="A1634" s="3">
        <f xml:space="preserve"> ROW( data_scaledImpacts[[#This Row],[row_id]] ) - ROW( data_scaledImpacts[[#Headers],[row_id]] )</f>
        <v>1633</v>
      </c>
      <c r="B1634" s="41" t="str">
        <f xml:space="preserve"> _xlfn.TEXTJOIN( "", , data_scaledImpacts[[#This Row],[sector]:[impactType]] )</f>
        <v>ElecSDCanESM22N/A</v>
      </c>
      <c r="C1634" s="33" t="s">
        <v>220</v>
      </c>
      <c r="D1634" s="33" t="s">
        <v>0</v>
      </c>
      <c r="E1634" s="34">
        <v>2</v>
      </c>
      <c r="F1634" s="34"/>
      <c r="G1634" s="34" t="s">
        <v>201</v>
      </c>
      <c r="H1634" s="35"/>
      <c r="I1634" s="43" t="s">
        <v>42</v>
      </c>
      <c r="J1634" s="36">
        <v>6.3745958970802263E-3</v>
      </c>
      <c r="K1634" s="36">
        <v>7.7775556028238935E-3</v>
      </c>
      <c r="L1634" s="37">
        <v>6.8168152530025949E-3</v>
      </c>
      <c r="M1634" s="36">
        <v>1.7880105709090044E-2</v>
      </c>
      <c r="N1634" s="36">
        <v>1.6828033367692896E-2</v>
      </c>
      <c r="O1634" s="36">
        <v>1.9914038770022069E-2</v>
      </c>
      <c r="P1634">
        <v>1.3497964364155735E-2</v>
      </c>
    </row>
    <row r="1635" spans="1:16" hidden="1" x14ac:dyDescent="0.35">
      <c r="A1635" s="3">
        <f xml:space="preserve"> ROW( data_scaledImpacts[[#This Row],[row_id]] ) - ROW( data_scaledImpacts[[#Headers],[row_id]] )</f>
        <v>1634</v>
      </c>
      <c r="B1635" s="41" t="str">
        <f xml:space="preserve"> _xlfn.TEXTJOIN( "", , data_scaledImpacts[[#This Row],[sector]:[impactType]] )</f>
        <v>ElecSDCCSM42N/A</v>
      </c>
      <c r="C1635" s="33" t="s">
        <v>220</v>
      </c>
      <c r="D1635" s="33" t="s">
        <v>1</v>
      </c>
      <c r="E1635" s="34">
        <v>2</v>
      </c>
      <c r="F1635" s="34"/>
      <c r="G1635" s="34" t="s">
        <v>201</v>
      </c>
      <c r="H1635" s="35"/>
      <c r="I1635" s="43" t="s">
        <v>43</v>
      </c>
      <c r="J1635" s="36">
        <v>7.4820799542902883E-3</v>
      </c>
      <c r="K1635" s="36">
        <v>4.4212409489672311E-3</v>
      </c>
      <c r="L1635" s="37">
        <v>6.9196317125002071E-3</v>
      </c>
      <c r="M1635" s="36">
        <v>9.1570139156122998E-3</v>
      </c>
      <c r="N1635" s="36">
        <v>1.5419717974553437E-2</v>
      </c>
      <c r="O1635" s="36">
        <v>2.2133297117687079E-2</v>
      </c>
      <c r="P1635">
        <v>1.0459492718395413E-2</v>
      </c>
    </row>
    <row r="1636" spans="1:16" hidden="1" x14ac:dyDescent="0.35">
      <c r="A1636" s="3">
        <f xml:space="preserve"> ROW( data_scaledImpacts[[#This Row],[row_id]] ) - ROW( data_scaledImpacts[[#Headers],[row_id]] )</f>
        <v>1635</v>
      </c>
      <c r="B1636" s="41" t="str">
        <f xml:space="preserve"> _xlfn.TEXTJOIN( "", , data_scaledImpacts[[#This Row],[sector]:[impactType]] )</f>
        <v>ElecSDGISS-E2-R2N/A</v>
      </c>
      <c r="C1636" s="33" t="s">
        <v>220</v>
      </c>
      <c r="D1636" s="33" t="s">
        <v>2</v>
      </c>
      <c r="E1636" s="34">
        <v>2</v>
      </c>
      <c r="F1636" s="34"/>
      <c r="G1636" s="34" t="s">
        <v>201</v>
      </c>
      <c r="H1636" s="35"/>
      <c r="I1636" s="43" t="s">
        <v>44</v>
      </c>
      <c r="J1636" s="36">
        <v>6.395437826582473E-3</v>
      </c>
      <c r="K1636" s="36">
        <v>2.1313170423107319E-3</v>
      </c>
      <c r="L1636" s="37">
        <v>1.4148652027665909E-2</v>
      </c>
      <c r="M1636" s="36">
        <v>4.6889717931356767E-2</v>
      </c>
      <c r="N1636" s="36">
        <v>2.217160597886636E-2</v>
      </c>
      <c r="O1636" s="36">
        <v>2.8963042888998203E-2</v>
      </c>
      <c r="P1636">
        <v>2.7900477108811161E-2</v>
      </c>
    </row>
    <row r="1637" spans="1:16" hidden="1" x14ac:dyDescent="0.35">
      <c r="A1637" s="3">
        <f xml:space="preserve"> ROW( data_scaledImpacts[[#This Row],[row_id]] ) - ROW( data_scaledImpacts[[#Headers],[row_id]] )</f>
        <v>1636</v>
      </c>
      <c r="B1637" s="41" t="str">
        <f xml:space="preserve"> _xlfn.TEXTJOIN( "", , data_scaledImpacts[[#This Row],[sector]:[impactType]] )</f>
        <v>ElecSDHadGEM2-ES2N/A</v>
      </c>
      <c r="C1637" s="33" t="s">
        <v>220</v>
      </c>
      <c r="D1637" s="33" t="s">
        <v>3</v>
      </c>
      <c r="E1637" s="34">
        <v>2</v>
      </c>
      <c r="F1637" s="34"/>
      <c r="G1637" s="34" t="s">
        <v>201</v>
      </c>
      <c r="H1637" s="35"/>
      <c r="I1637" s="43" t="s">
        <v>45</v>
      </c>
      <c r="J1637" s="36">
        <v>4.9587340582937234E-3</v>
      </c>
      <c r="K1637" s="36">
        <v>4.2422200676710542E-3</v>
      </c>
      <c r="L1637" s="37">
        <v>4.0392742982902075E-3</v>
      </c>
      <c r="M1637" s="36">
        <v>3.846798893124781E-3</v>
      </c>
      <c r="N1637" s="36">
        <v>1.5215137147678304E-2</v>
      </c>
      <c r="O1637" s="36">
        <v>1.8096327149629277E-2</v>
      </c>
      <c r="P1637">
        <v>9.0413740117307739E-3</v>
      </c>
    </row>
    <row r="1638" spans="1:16" hidden="1" x14ac:dyDescent="0.35">
      <c r="A1638" s="3">
        <f xml:space="preserve"> ROW( data_scaledImpacts[[#This Row],[row_id]] ) - ROW( data_scaledImpacts[[#Headers],[row_id]] )</f>
        <v>1637</v>
      </c>
      <c r="B1638" s="41" t="str">
        <f xml:space="preserve"> _xlfn.TEXTJOIN( "", , data_scaledImpacts[[#This Row],[sector]:[impactType]] )</f>
        <v>ElecSDMIROC52N/A</v>
      </c>
      <c r="C1638" s="33" t="s">
        <v>220</v>
      </c>
      <c r="D1638" s="33" t="s">
        <v>4</v>
      </c>
      <c r="E1638" s="34">
        <v>2</v>
      </c>
      <c r="F1638" s="34"/>
      <c r="G1638" s="34" t="s">
        <v>201</v>
      </c>
      <c r="H1638" s="35"/>
      <c r="I1638" s="43" t="s">
        <v>46</v>
      </c>
      <c r="J1638" s="36">
        <v>1.8573094450358152E-3</v>
      </c>
      <c r="K1638" s="36">
        <v>1.1974931737650518E-3</v>
      </c>
      <c r="L1638" s="37">
        <v>3.7386445204139473E-3</v>
      </c>
      <c r="M1638" s="36">
        <v>5.9790544773918874E-3</v>
      </c>
      <c r="N1638" s="36">
        <v>1.0284906131856397E-2</v>
      </c>
      <c r="O1638" s="36">
        <v>1.6937424977297999E-2</v>
      </c>
      <c r="P1638">
        <v>1.065278370639966E-2</v>
      </c>
    </row>
    <row r="1639" spans="1:16" hidden="1" x14ac:dyDescent="0.35">
      <c r="A1639" s="3">
        <f xml:space="preserve"> ROW( data_scaledImpacts[[#This Row],[row_id]] ) - ROW( data_scaledImpacts[[#Headers],[row_id]] )</f>
        <v>1638</v>
      </c>
      <c r="B1639" s="41" t="str">
        <f xml:space="preserve"> _xlfn.TEXTJOIN( "", , data_scaledImpacts[[#This Row],[sector]:[impactType]] )</f>
        <v>ElecSDGFDL-CM32N/A</v>
      </c>
      <c r="C1639" s="33" t="s">
        <v>220</v>
      </c>
      <c r="D1639" s="33" t="s">
        <v>5</v>
      </c>
      <c r="E1639" s="34">
        <v>2</v>
      </c>
      <c r="F1639" s="34"/>
      <c r="G1639" s="34" t="s">
        <v>201</v>
      </c>
      <c r="H1639" s="35"/>
      <c r="I1639" s="43" t="s">
        <v>47</v>
      </c>
      <c r="J1639" s="36">
        <v>6.9104236086148241E-3</v>
      </c>
      <c r="K1639" s="36">
        <v>7.0188792065968286E-3</v>
      </c>
      <c r="L1639" s="37">
        <v>6.6699859042727017E-3</v>
      </c>
      <c r="M1639" s="36">
        <v>1.03837630199064E-2</v>
      </c>
      <c r="N1639" s="36">
        <v>1.5191864258883303E-2</v>
      </c>
      <c r="O1639" s="36">
        <v>1.7319694545339992E-2</v>
      </c>
      <c r="P1639">
        <v>1.1951657155463202E-2</v>
      </c>
    </row>
    <row r="1640" spans="1:16" hidden="1" x14ac:dyDescent="0.35">
      <c r="A1640" s="3">
        <f xml:space="preserve"> ROW( data_scaledImpacts[[#This Row],[row_id]] ) - ROW( data_scaledImpacts[[#Headers],[row_id]] )</f>
        <v>1639</v>
      </c>
      <c r="B1640" s="41" t="str">
        <f xml:space="preserve"> _xlfn.TEXTJOIN( "", , data_scaledImpacts[[#This Row],[sector]:[impactType]] )</f>
        <v>ElecSDGCM Average2N/A</v>
      </c>
      <c r="C1640" s="33" t="s">
        <v>220</v>
      </c>
      <c r="D1640" s="33" t="s">
        <v>15</v>
      </c>
      <c r="E1640" s="34">
        <v>2</v>
      </c>
      <c r="F1640" s="34"/>
      <c r="G1640" s="34" t="s">
        <v>201</v>
      </c>
      <c r="H1640" s="35"/>
      <c r="I1640" s="43" t="s">
        <v>48</v>
      </c>
      <c r="J1640" s="36">
        <v>5.663096798316225E-3</v>
      </c>
      <c r="K1640" s="36">
        <v>4.4647843403557985E-3</v>
      </c>
      <c r="L1640" s="37">
        <v>7.0555006193575949E-3</v>
      </c>
      <c r="M1640" s="36">
        <v>1.5689408991080362E-2</v>
      </c>
      <c r="N1640" s="36">
        <v>1.585187747658845E-2</v>
      </c>
      <c r="O1640" s="36">
        <v>2.0560637574829104E-2</v>
      </c>
      <c r="P1640">
        <v>1.3917291510825991E-2</v>
      </c>
    </row>
    <row r="1641" spans="1:16" hidden="1" x14ac:dyDescent="0.35">
      <c r="A1641" s="3">
        <f xml:space="preserve"> ROW( data_scaledImpacts[[#This Row],[row_id]] ) - ROW( data_scaledImpacts[[#Headers],[row_id]] )</f>
        <v>1640</v>
      </c>
      <c r="B1641" s="41" t="str">
        <f xml:space="preserve"> _xlfn.TEXTJOIN( "", , data_scaledImpacts[[#This Row],[sector]:[impactType]] )</f>
        <v>ElecSDCanESM23N/A</v>
      </c>
      <c r="C1641" s="33" t="s">
        <v>220</v>
      </c>
      <c r="D1641" s="33" t="s">
        <v>0</v>
      </c>
      <c r="E1641" s="34">
        <v>3</v>
      </c>
      <c r="F1641" s="34"/>
      <c r="G1641" s="34" t="s">
        <v>201</v>
      </c>
      <c r="H1641" s="35"/>
      <c r="I1641" s="43" t="s">
        <v>49</v>
      </c>
      <c r="J1641" s="36">
        <v>1.0012063046124897E-2</v>
      </c>
      <c r="K1641" s="36">
        <v>1.3419042706426243E-2</v>
      </c>
      <c r="L1641" s="37">
        <v>1.3012809798855329E-2</v>
      </c>
      <c r="M1641" s="36">
        <v>7.454511019394916E-2</v>
      </c>
      <c r="N1641" s="36">
        <v>3.0507787139145259E-2</v>
      </c>
      <c r="O1641" s="36">
        <v>3.4499417547781519E-2</v>
      </c>
      <c r="P1641">
        <v>2.4671718956286171E-2</v>
      </c>
    </row>
    <row r="1642" spans="1:16" hidden="1" x14ac:dyDescent="0.35">
      <c r="A1642" s="3">
        <f xml:space="preserve"> ROW( data_scaledImpacts[[#This Row],[row_id]] ) - ROW( data_scaledImpacts[[#Headers],[row_id]] )</f>
        <v>1641</v>
      </c>
      <c r="B1642" s="41" t="str">
        <f xml:space="preserve"> _xlfn.TEXTJOIN( "", , data_scaledImpacts[[#This Row],[sector]:[impactType]] )</f>
        <v>ElecSDCCSM43N/A</v>
      </c>
      <c r="C1642" s="33" t="s">
        <v>220</v>
      </c>
      <c r="D1642" s="33" t="s">
        <v>1</v>
      </c>
      <c r="E1642" s="34">
        <v>3</v>
      </c>
      <c r="F1642" s="34"/>
      <c r="G1642" s="34" t="s">
        <v>201</v>
      </c>
      <c r="H1642" s="35"/>
      <c r="I1642" s="43" t="s">
        <v>50</v>
      </c>
      <c r="J1642" s="36">
        <v>1.0501368629341812E-2</v>
      </c>
      <c r="K1642" s="36">
        <v>5.6490415850096731E-3</v>
      </c>
      <c r="L1642" s="37">
        <v>1.4448648892082305E-2</v>
      </c>
      <c r="M1642" s="36">
        <v>3.5026804953754542E-2</v>
      </c>
      <c r="N1642" s="36">
        <v>2.8905461966237223E-2</v>
      </c>
      <c r="O1642" s="36">
        <v>3.5546594791672437E-2</v>
      </c>
      <c r="P1642">
        <v>2.166651498800487E-2</v>
      </c>
    </row>
    <row r="1643" spans="1:16" hidden="1" x14ac:dyDescent="0.35">
      <c r="A1643" s="3">
        <f xml:space="preserve"> ROW( data_scaledImpacts[[#This Row],[row_id]] ) - ROW( data_scaledImpacts[[#Headers],[row_id]] )</f>
        <v>1642</v>
      </c>
      <c r="B1643" s="41" t="str">
        <f xml:space="preserve"> _xlfn.TEXTJOIN( "", , data_scaledImpacts[[#This Row],[sector]:[impactType]] )</f>
        <v>ElecSDGISS-E2-R3N/A</v>
      </c>
      <c r="C1643" s="33" t="s">
        <v>220</v>
      </c>
      <c r="D1643" s="33" t="s">
        <v>2</v>
      </c>
      <c r="E1643" s="34">
        <v>3</v>
      </c>
      <c r="F1643" s="34"/>
      <c r="G1643" s="34" t="s">
        <v>201</v>
      </c>
      <c r="H1643" s="35"/>
      <c r="I1643" s="43" t="s">
        <v>51</v>
      </c>
      <c r="J1643" s="36">
        <v>1.1517947490775837E-2</v>
      </c>
      <c r="K1643" s="36">
        <v>6.3931258534126734E-3</v>
      </c>
      <c r="L1643" s="37">
        <v>2.2843545859984049E-2</v>
      </c>
      <c r="M1643" s="36">
        <v>4.6203371010842043E-2</v>
      </c>
      <c r="N1643" s="36">
        <v>3.9813167856006082E-2</v>
      </c>
      <c r="O1643" s="36">
        <v>4.4373492757596722E-2</v>
      </c>
      <c r="P1643">
        <v>3.8577652618449809E-2</v>
      </c>
    </row>
    <row r="1644" spans="1:16" hidden="1" x14ac:dyDescent="0.35">
      <c r="A1644" s="3">
        <f xml:space="preserve"> ROW( data_scaledImpacts[[#This Row],[row_id]] ) - ROW( data_scaledImpacts[[#Headers],[row_id]] )</f>
        <v>1643</v>
      </c>
      <c r="B1644" s="41" t="str">
        <f xml:space="preserve"> _xlfn.TEXTJOIN( "", , data_scaledImpacts[[#This Row],[sector]:[impactType]] )</f>
        <v>ElecSDHadGEM2-ES3N/A</v>
      </c>
      <c r="C1644" s="33" t="s">
        <v>220</v>
      </c>
      <c r="D1644" s="33" t="s">
        <v>3</v>
      </c>
      <c r="E1644" s="34">
        <v>3</v>
      </c>
      <c r="F1644" s="34"/>
      <c r="G1644" s="34" t="s">
        <v>201</v>
      </c>
      <c r="H1644" s="35"/>
      <c r="I1644" s="43" t="s">
        <v>52</v>
      </c>
      <c r="J1644" s="36">
        <v>9.3915028295732395E-3</v>
      </c>
      <c r="K1644" s="36">
        <v>7.753399344112788E-3</v>
      </c>
      <c r="L1644" s="37">
        <v>9.3540494906958482E-3</v>
      </c>
      <c r="M1644" s="36">
        <v>3.2228701032822604E-2</v>
      </c>
      <c r="N1644" s="36">
        <v>3.1932461944189638E-2</v>
      </c>
      <c r="O1644" s="36">
        <v>3.2869389028030493E-2</v>
      </c>
      <c r="P1644">
        <v>2.063487978487899E-2</v>
      </c>
    </row>
    <row r="1645" spans="1:16" hidden="1" x14ac:dyDescent="0.35">
      <c r="A1645" s="3">
        <f xml:space="preserve"> ROW( data_scaledImpacts[[#This Row],[row_id]] ) - ROW( data_scaledImpacts[[#Headers],[row_id]] )</f>
        <v>1644</v>
      </c>
      <c r="B1645" s="41" t="str">
        <f xml:space="preserve"> _xlfn.TEXTJOIN( "", , data_scaledImpacts[[#This Row],[sector]:[impactType]] )</f>
        <v>ElecSDMIROC53N/A</v>
      </c>
      <c r="C1645" s="33" t="s">
        <v>220</v>
      </c>
      <c r="D1645" s="33" t="s">
        <v>4</v>
      </c>
      <c r="E1645" s="34">
        <v>3</v>
      </c>
      <c r="F1645" s="34"/>
      <c r="G1645" s="34" t="s">
        <v>201</v>
      </c>
      <c r="H1645" s="35"/>
      <c r="I1645" s="43" t="s">
        <v>53</v>
      </c>
      <c r="J1645" s="36">
        <v>3.2873359335805485E-3</v>
      </c>
      <c r="K1645" s="36">
        <v>1.0784650014077357E-3</v>
      </c>
      <c r="L1645" s="37">
        <v>8.6132663862961145E-3</v>
      </c>
      <c r="M1645" s="36">
        <v>2.9979832974512899E-2</v>
      </c>
      <c r="N1645" s="36">
        <v>2.0796554047360916E-2</v>
      </c>
      <c r="O1645" s="36">
        <v>2.9839487595356706E-2</v>
      </c>
      <c r="P1645">
        <v>2.1439214728014466E-2</v>
      </c>
    </row>
    <row r="1646" spans="1:16" hidden="1" x14ac:dyDescent="0.35">
      <c r="A1646" s="3">
        <f xml:space="preserve"> ROW( data_scaledImpacts[[#This Row],[row_id]] ) - ROW( data_scaledImpacts[[#Headers],[row_id]] )</f>
        <v>1645</v>
      </c>
      <c r="B1646" s="41" t="str">
        <f xml:space="preserve"> _xlfn.TEXTJOIN( "", , data_scaledImpacts[[#This Row],[sector]:[impactType]] )</f>
        <v>ElecSDGFDL-CM33N/A</v>
      </c>
      <c r="C1646" s="33" t="s">
        <v>220</v>
      </c>
      <c r="D1646" s="33" t="s">
        <v>5</v>
      </c>
      <c r="E1646" s="34">
        <v>3</v>
      </c>
      <c r="F1646" s="34"/>
      <c r="G1646" s="34" t="s">
        <v>201</v>
      </c>
      <c r="H1646" s="35"/>
      <c r="I1646" s="43" t="s">
        <v>54</v>
      </c>
      <c r="J1646" s="36">
        <v>1.2285594814080092E-2</v>
      </c>
      <c r="K1646" s="36">
        <v>1.1423793774220314E-2</v>
      </c>
      <c r="L1646" s="37">
        <v>1.4791072242730907E-2</v>
      </c>
      <c r="M1646" s="36">
        <v>5.1411170316459476E-2</v>
      </c>
      <c r="N1646" s="36">
        <v>3.0951026693720962E-2</v>
      </c>
      <c r="O1646" s="36">
        <v>3.5700628432672854E-2</v>
      </c>
      <c r="P1646">
        <v>2.6873810765057682E-2</v>
      </c>
    </row>
    <row r="1647" spans="1:16" hidden="1" x14ac:dyDescent="0.35">
      <c r="A1647" s="3">
        <f xml:space="preserve"> ROW( data_scaledImpacts[[#This Row],[row_id]] ) - ROW( data_scaledImpacts[[#Headers],[row_id]] )</f>
        <v>1646</v>
      </c>
      <c r="B1647" s="41" t="str">
        <f xml:space="preserve"> _xlfn.TEXTJOIN( "", , data_scaledImpacts[[#This Row],[sector]:[impactType]] )</f>
        <v>ElecSDGCM Average3N/A</v>
      </c>
      <c r="C1647" s="33" t="s">
        <v>220</v>
      </c>
      <c r="D1647" s="33" t="s">
        <v>15</v>
      </c>
      <c r="E1647" s="34">
        <v>3</v>
      </c>
      <c r="F1647" s="34"/>
      <c r="G1647" s="34" t="s">
        <v>201</v>
      </c>
      <c r="H1647" s="35"/>
      <c r="I1647" s="43" t="s">
        <v>55</v>
      </c>
      <c r="J1647" s="36">
        <v>9.4993021239127371E-3</v>
      </c>
      <c r="K1647" s="36">
        <v>7.6194780440982379E-3</v>
      </c>
      <c r="L1647" s="37">
        <v>1.3843898778440758E-2</v>
      </c>
      <c r="M1647" s="36">
        <v>4.4899165080390123E-2</v>
      </c>
      <c r="N1647" s="36">
        <v>3.0484409941110013E-2</v>
      </c>
      <c r="O1647" s="36">
        <v>3.5471501692185124E-2</v>
      </c>
      <c r="P1647">
        <v>2.5643965306781997E-2</v>
      </c>
    </row>
    <row r="1648" spans="1:16" hidden="1" x14ac:dyDescent="0.35">
      <c r="A1648" s="3">
        <f xml:space="preserve"> ROW( data_scaledImpacts[[#This Row],[row_id]] ) - ROW( data_scaledImpacts[[#Headers],[row_id]] )</f>
        <v>1647</v>
      </c>
      <c r="B1648" s="41" t="str">
        <f xml:space="preserve"> _xlfn.TEXTJOIN( "", , data_scaledImpacts[[#This Row],[sector]:[impactType]] )</f>
        <v>ElecSDCanESM24N/A</v>
      </c>
      <c r="C1648" s="33" t="s">
        <v>220</v>
      </c>
      <c r="D1648" s="33" t="s">
        <v>0</v>
      </c>
      <c r="E1648" s="34">
        <v>4</v>
      </c>
      <c r="F1648" s="34"/>
      <c r="G1648" s="34" t="s">
        <v>201</v>
      </c>
      <c r="H1648" s="35"/>
      <c r="I1648" s="43" t="s">
        <v>56</v>
      </c>
      <c r="J1648" s="36">
        <v>1.3323655332183826E-2</v>
      </c>
      <c r="K1648" s="36">
        <v>1.8131338771238958E-2</v>
      </c>
      <c r="L1648" s="37">
        <v>2.2084122099212289E-2</v>
      </c>
      <c r="M1648" s="36">
        <v>8.4853727153331837E-2</v>
      </c>
      <c r="N1648" s="36">
        <v>4.1890824675461014E-2</v>
      </c>
      <c r="O1648" s="36">
        <v>4.6356660811093686E-2</v>
      </c>
      <c r="P1648">
        <v>3.5878772840563178E-2</v>
      </c>
    </row>
    <row r="1649" spans="1:16" hidden="1" x14ac:dyDescent="0.35">
      <c r="A1649" s="3">
        <f xml:space="preserve"> ROW( data_scaledImpacts[[#This Row],[row_id]] ) - ROW( data_scaledImpacts[[#Headers],[row_id]] )</f>
        <v>1648</v>
      </c>
      <c r="B1649" s="41" t="str">
        <f xml:space="preserve"> _xlfn.TEXTJOIN( "", , data_scaledImpacts[[#This Row],[sector]:[impactType]] )</f>
        <v>ElecSDCCSM44N/A</v>
      </c>
      <c r="C1649" s="33" t="s">
        <v>220</v>
      </c>
      <c r="D1649" s="33" t="s">
        <v>1</v>
      </c>
      <c r="E1649" s="34">
        <v>4</v>
      </c>
      <c r="F1649" s="34"/>
      <c r="G1649" s="34" t="s">
        <v>201</v>
      </c>
      <c r="H1649" s="35"/>
      <c r="I1649" s="43" t="s">
        <v>57</v>
      </c>
      <c r="J1649" s="36">
        <v>1.0347613312917225E-2</v>
      </c>
      <c r="K1649" s="36">
        <v>6.9102847766564501E-3</v>
      </c>
      <c r="L1649" s="37">
        <v>1.803428773277993E-2</v>
      </c>
      <c r="M1649" s="36">
        <v>5.2562188211508598E-2</v>
      </c>
      <c r="N1649" s="36">
        <v>4.1002674172053943E-2</v>
      </c>
      <c r="O1649" s="36">
        <v>4.2378091841366317E-2</v>
      </c>
      <c r="P1649">
        <v>2.9325086250264532E-2</v>
      </c>
    </row>
    <row r="1650" spans="1:16" hidden="1" x14ac:dyDescent="0.35">
      <c r="A1650" s="3">
        <f xml:space="preserve"> ROW( data_scaledImpacts[[#This Row],[row_id]] ) - ROW( data_scaledImpacts[[#Headers],[row_id]] )</f>
        <v>1649</v>
      </c>
      <c r="B1650" s="41" t="str">
        <f xml:space="preserve"> _xlfn.TEXTJOIN( "", , data_scaledImpacts[[#This Row],[sector]:[impactType]] )</f>
        <v>ElecSDGISS-E2-R4N/A</v>
      </c>
      <c r="C1650" s="33" t="s">
        <v>220</v>
      </c>
      <c r="D1650" s="33" t="s">
        <v>2</v>
      </c>
      <c r="E1650" s="34">
        <v>4</v>
      </c>
      <c r="F1650" s="34"/>
      <c r="G1650" s="34" t="s">
        <v>201</v>
      </c>
      <c r="H1650" s="35"/>
      <c r="I1650" s="43" t="s">
        <v>58</v>
      </c>
      <c r="J1650" s="36"/>
      <c r="K1650" s="36"/>
      <c r="L1650" s="37"/>
      <c r="M1650" s="36"/>
      <c r="N1650" s="36"/>
      <c r="O1650" s="36"/>
    </row>
    <row r="1651" spans="1:16" hidden="1" x14ac:dyDescent="0.35">
      <c r="A1651" s="3">
        <f xml:space="preserve"> ROW( data_scaledImpacts[[#This Row],[row_id]] ) - ROW( data_scaledImpacts[[#Headers],[row_id]] )</f>
        <v>1650</v>
      </c>
      <c r="B1651" s="41" t="str">
        <f xml:space="preserve"> _xlfn.TEXTJOIN( "", , data_scaledImpacts[[#This Row],[sector]:[impactType]] )</f>
        <v>ElecSDHadGEM2-ES4N/A</v>
      </c>
      <c r="C1651" s="33" t="s">
        <v>220</v>
      </c>
      <c r="D1651" s="33" t="s">
        <v>3</v>
      </c>
      <c r="E1651" s="34">
        <v>4</v>
      </c>
      <c r="F1651" s="34"/>
      <c r="G1651" s="34" t="s">
        <v>201</v>
      </c>
      <c r="H1651" s="35"/>
      <c r="I1651" s="43" t="s">
        <v>59</v>
      </c>
      <c r="J1651" s="36">
        <v>1.2599596725045181E-2</v>
      </c>
      <c r="K1651" s="36">
        <v>1.154459658029805E-2</v>
      </c>
      <c r="L1651" s="37">
        <v>1.6201798960271629E-2</v>
      </c>
      <c r="M1651" s="36">
        <v>5.3863784048709062E-2</v>
      </c>
      <c r="N1651" s="36">
        <v>4.4211250199087226E-2</v>
      </c>
      <c r="O1651" s="36">
        <v>4.326205831400709E-2</v>
      </c>
      <c r="P1651">
        <v>3.2111567559862886E-2</v>
      </c>
    </row>
    <row r="1652" spans="1:16" hidden="1" x14ac:dyDescent="0.35">
      <c r="A1652" s="3">
        <f xml:space="preserve"> ROW( data_scaledImpacts[[#This Row],[row_id]] ) - ROW( data_scaledImpacts[[#Headers],[row_id]] )</f>
        <v>1651</v>
      </c>
      <c r="B1652" s="41" t="str">
        <f xml:space="preserve"> _xlfn.TEXTJOIN( "", , data_scaledImpacts[[#This Row],[sector]:[impactType]] )</f>
        <v>ElecSDMIROC54N/A</v>
      </c>
      <c r="C1652" s="33" t="s">
        <v>220</v>
      </c>
      <c r="D1652" s="33" t="s">
        <v>4</v>
      </c>
      <c r="E1652" s="34">
        <v>4</v>
      </c>
      <c r="F1652" s="34"/>
      <c r="G1652" s="34" t="s">
        <v>201</v>
      </c>
      <c r="H1652" s="35"/>
      <c r="I1652" s="43" t="s">
        <v>60</v>
      </c>
      <c r="J1652" s="36">
        <v>6.6597444634635128E-3</v>
      </c>
      <c r="K1652" s="36">
        <v>2.7802656662856418E-3</v>
      </c>
      <c r="L1652" s="37">
        <v>1.5996026504042193E-2</v>
      </c>
      <c r="M1652" s="36">
        <v>4.0798444256118227E-2</v>
      </c>
      <c r="N1652" s="36">
        <v>3.3898952329987964E-2</v>
      </c>
      <c r="O1652" s="36">
        <v>4.6189877345466535E-2</v>
      </c>
      <c r="P1652">
        <v>3.0777211892968337E-2</v>
      </c>
    </row>
    <row r="1653" spans="1:16" hidden="1" x14ac:dyDescent="0.35">
      <c r="A1653" s="3">
        <f xml:space="preserve"> ROW( data_scaledImpacts[[#This Row],[row_id]] ) - ROW( data_scaledImpacts[[#Headers],[row_id]] )</f>
        <v>1652</v>
      </c>
      <c r="B1653" s="41" t="str">
        <f xml:space="preserve"> _xlfn.TEXTJOIN( "", , data_scaledImpacts[[#This Row],[sector]:[impactType]] )</f>
        <v>ElecSDGFDL-CM34N/A</v>
      </c>
      <c r="C1653" s="33" t="s">
        <v>220</v>
      </c>
      <c r="D1653" s="33" t="s">
        <v>5</v>
      </c>
      <c r="E1653" s="34">
        <v>4</v>
      </c>
      <c r="F1653" s="34"/>
      <c r="G1653" s="34" t="s">
        <v>201</v>
      </c>
      <c r="H1653" s="35"/>
      <c r="I1653" s="43" t="s">
        <v>61</v>
      </c>
      <c r="J1653" s="36">
        <v>1.6448129736343464E-2</v>
      </c>
      <c r="K1653" s="36">
        <v>1.4140110035887998E-2</v>
      </c>
      <c r="L1653" s="37">
        <v>2.4656891316211516E-2</v>
      </c>
      <c r="M1653" s="36">
        <v>6.2066059719940947E-2</v>
      </c>
      <c r="N1653" s="36">
        <v>4.1997616581447073E-2</v>
      </c>
      <c r="O1653" s="36">
        <v>5.1000578305873123E-2</v>
      </c>
      <c r="P1653">
        <v>3.9308153726876682E-2</v>
      </c>
    </row>
    <row r="1654" spans="1:16" hidden="1" x14ac:dyDescent="0.35">
      <c r="A1654" s="3">
        <f xml:space="preserve"> ROW( data_scaledImpacts[[#This Row],[row_id]] ) - ROW( data_scaledImpacts[[#Headers],[row_id]] )</f>
        <v>1653</v>
      </c>
      <c r="B1654" s="41" t="str">
        <f xml:space="preserve"> _xlfn.TEXTJOIN( "", , data_scaledImpacts[[#This Row],[sector]:[impactType]] )</f>
        <v>ElecSDGCM Average4N/A</v>
      </c>
      <c r="C1654" s="33" t="s">
        <v>220</v>
      </c>
      <c r="D1654" s="33" t="s">
        <v>15</v>
      </c>
      <c r="E1654" s="34">
        <v>4</v>
      </c>
      <c r="F1654" s="34"/>
      <c r="G1654" s="34" t="s">
        <v>201</v>
      </c>
      <c r="H1654" s="35"/>
      <c r="I1654" s="43" t="s">
        <v>62</v>
      </c>
      <c r="J1654" s="36">
        <v>1.1875747913990643E-2</v>
      </c>
      <c r="K1654" s="36">
        <v>1.070131916607342E-2</v>
      </c>
      <c r="L1654" s="37">
        <v>1.9394625322503512E-2</v>
      </c>
      <c r="M1654" s="36">
        <v>5.8828840677921733E-2</v>
      </c>
      <c r="N1654" s="36">
        <v>4.0600263591607441E-2</v>
      </c>
      <c r="O1654" s="36">
        <v>4.5837453323561352E-2</v>
      </c>
      <c r="P1654">
        <v>3.3480158454107123E-2</v>
      </c>
    </row>
    <row r="1655" spans="1:16" hidden="1" x14ac:dyDescent="0.35">
      <c r="A1655" s="3">
        <f xml:space="preserve"> ROW( data_scaledImpacts[[#This Row],[row_id]] ) - ROW( data_scaledImpacts[[#Headers],[row_id]] )</f>
        <v>1654</v>
      </c>
      <c r="B1655" s="41" t="str">
        <f xml:space="preserve"> _xlfn.TEXTJOIN( "", , data_scaledImpacts[[#This Row],[sector]:[impactType]] )</f>
        <v>ElecSDCanESM25N/A</v>
      </c>
      <c r="C1655" s="33" t="s">
        <v>220</v>
      </c>
      <c r="D1655" s="33" t="s">
        <v>0</v>
      </c>
      <c r="E1655" s="34">
        <v>5</v>
      </c>
      <c r="F1655" s="34"/>
      <c r="G1655" s="34" t="s">
        <v>201</v>
      </c>
      <c r="H1655" s="35"/>
      <c r="I1655" s="43" t="s">
        <v>63</v>
      </c>
      <c r="J1655" s="36">
        <v>1.7628367994540595E-2</v>
      </c>
      <c r="K1655" s="36">
        <v>2.2591169347570883E-2</v>
      </c>
      <c r="L1655" s="37">
        <v>3.1028025903765188E-2</v>
      </c>
      <c r="M1655" s="36">
        <v>0.10800748699004115</v>
      </c>
      <c r="N1655" s="36">
        <v>5.5554233558030797E-2</v>
      </c>
      <c r="O1655" s="36">
        <v>5.9499186014120298E-2</v>
      </c>
      <c r="P1655">
        <v>4.9695661415065207E-2</v>
      </c>
    </row>
    <row r="1656" spans="1:16" hidden="1" x14ac:dyDescent="0.35">
      <c r="A1656" s="3">
        <f xml:space="preserve"> ROW( data_scaledImpacts[[#This Row],[row_id]] ) - ROW( data_scaledImpacts[[#Headers],[row_id]] )</f>
        <v>1655</v>
      </c>
      <c r="B1656" s="41" t="str">
        <f xml:space="preserve"> _xlfn.TEXTJOIN( "", , data_scaledImpacts[[#This Row],[sector]:[impactType]] )</f>
        <v>ElecSDCCSM45N/A</v>
      </c>
      <c r="C1656" s="33" t="s">
        <v>220</v>
      </c>
      <c r="D1656" s="33" t="s">
        <v>1</v>
      </c>
      <c r="E1656" s="34">
        <v>5</v>
      </c>
      <c r="F1656" s="34"/>
      <c r="G1656" s="34" t="s">
        <v>201</v>
      </c>
      <c r="H1656" s="35"/>
      <c r="I1656" s="43" t="s">
        <v>64</v>
      </c>
      <c r="J1656" s="36">
        <v>1.2744492979163358E-2</v>
      </c>
      <c r="K1656" s="36">
        <v>1.0898181175828858E-2</v>
      </c>
      <c r="L1656" s="37">
        <v>2.3009327545107316E-2</v>
      </c>
      <c r="M1656" s="36">
        <v>6.1478133135528745E-2</v>
      </c>
      <c r="N1656" s="36">
        <v>5.3578315893381578E-2</v>
      </c>
      <c r="O1656" s="36">
        <v>5.2558943824821291E-2</v>
      </c>
      <c r="P1656">
        <v>3.6476205135644202E-2</v>
      </c>
    </row>
    <row r="1657" spans="1:16" hidden="1" x14ac:dyDescent="0.35">
      <c r="A1657" s="3">
        <f xml:space="preserve"> ROW( data_scaledImpacts[[#This Row],[row_id]] ) - ROW( data_scaledImpacts[[#Headers],[row_id]] )</f>
        <v>1656</v>
      </c>
      <c r="B1657" s="41" t="str">
        <f xml:space="preserve"> _xlfn.TEXTJOIN( "", , data_scaledImpacts[[#This Row],[sector]:[impactType]] )</f>
        <v>ElecSDGISS-E2-R5N/A</v>
      </c>
      <c r="C1657" s="33" t="s">
        <v>220</v>
      </c>
      <c r="D1657" s="33" t="s">
        <v>2</v>
      </c>
      <c r="E1657" s="34">
        <v>5</v>
      </c>
      <c r="F1657" s="34"/>
      <c r="G1657" s="34" t="s">
        <v>201</v>
      </c>
      <c r="H1657" s="35"/>
      <c r="I1657" s="43" t="s">
        <v>65</v>
      </c>
      <c r="J1657" s="36"/>
      <c r="K1657" s="36"/>
      <c r="L1657" s="37"/>
      <c r="M1657" s="36"/>
      <c r="N1657" s="36"/>
      <c r="O1657" s="36"/>
    </row>
    <row r="1658" spans="1:16" hidden="1" x14ac:dyDescent="0.35">
      <c r="A1658" s="3">
        <f xml:space="preserve"> ROW( data_scaledImpacts[[#This Row],[row_id]] ) - ROW( data_scaledImpacts[[#Headers],[row_id]] )</f>
        <v>1657</v>
      </c>
      <c r="B1658" s="41" t="str">
        <f xml:space="preserve"> _xlfn.TEXTJOIN( "", , data_scaledImpacts[[#This Row],[sector]:[impactType]] )</f>
        <v>ElecSDHadGEM2-ES5N/A</v>
      </c>
      <c r="C1658" s="33" t="s">
        <v>220</v>
      </c>
      <c r="D1658" s="33" t="s">
        <v>3</v>
      </c>
      <c r="E1658" s="34">
        <v>5</v>
      </c>
      <c r="F1658" s="34"/>
      <c r="G1658" s="34" t="s">
        <v>201</v>
      </c>
      <c r="H1658" s="35"/>
      <c r="I1658" s="43" t="s">
        <v>66</v>
      </c>
      <c r="J1658" s="36">
        <v>1.5190499904596644E-2</v>
      </c>
      <c r="K1658" s="36">
        <v>1.514318950924376E-2</v>
      </c>
      <c r="L1658" s="37">
        <v>2.3403106122147799E-2</v>
      </c>
      <c r="M1658" s="36">
        <v>7.0442848686798065E-2</v>
      </c>
      <c r="N1658" s="36">
        <v>5.36421233830362E-2</v>
      </c>
      <c r="O1658" s="36">
        <v>5.0294371136269334E-2</v>
      </c>
      <c r="P1658">
        <v>4.2253222140216984E-2</v>
      </c>
    </row>
    <row r="1659" spans="1:16" hidden="1" x14ac:dyDescent="0.35">
      <c r="A1659" s="3">
        <f xml:space="preserve"> ROW( data_scaledImpacts[[#This Row],[row_id]] ) - ROW( data_scaledImpacts[[#Headers],[row_id]] )</f>
        <v>1658</v>
      </c>
      <c r="B1659" s="41" t="str">
        <f xml:space="preserve"> _xlfn.TEXTJOIN( "", , data_scaledImpacts[[#This Row],[sector]:[impactType]] )</f>
        <v>ElecSDMIROC55N/A</v>
      </c>
      <c r="C1659" s="33" t="s">
        <v>220</v>
      </c>
      <c r="D1659" s="33" t="s">
        <v>4</v>
      </c>
      <c r="E1659" s="34">
        <v>5</v>
      </c>
      <c r="F1659" s="34"/>
      <c r="G1659" s="34" t="s">
        <v>201</v>
      </c>
      <c r="H1659" s="35"/>
      <c r="I1659" s="43" t="s">
        <v>67</v>
      </c>
      <c r="J1659" s="36">
        <v>1.0538053553816651E-2</v>
      </c>
      <c r="K1659" s="36">
        <v>6.1243643153805483E-3</v>
      </c>
      <c r="L1659" s="37">
        <v>2.2091708210408179E-2</v>
      </c>
      <c r="M1659" s="36">
        <v>5.481201075245945E-2</v>
      </c>
      <c r="N1659" s="36">
        <v>4.7284584013699948E-2</v>
      </c>
      <c r="O1659" s="36">
        <v>6.2090550863754368E-2</v>
      </c>
      <c r="P1659">
        <v>3.9544948914534306E-2</v>
      </c>
    </row>
    <row r="1660" spans="1:16" hidden="1" x14ac:dyDescent="0.35">
      <c r="A1660" s="3">
        <f xml:space="preserve"> ROW( data_scaledImpacts[[#This Row],[row_id]] ) - ROW( data_scaledImpacts[[#Headers],[row_id]] )</f>
        <v>1659</v>
      </c>
      <c r="B1660" s="41" t="str">
        <f xml:space="preserve"> _xlfn.TEXTJOIN( "", , data_scaledImpacts[[#This Row],[sector]:[impactType]] )</f>
        <v>ElecSDGFDL-CM35N/A</v>
      </c>
      <c r="C1660" s="33" t="s">
        <v>220</v>
      </c>
      <c r="D1660" s="33" t="s">
        <v>5</v>
      </c>
      <c r="E1660" s="34">
        <v>5</v>
      </c>
      <c r="F1660" s="34"/>
      <c r="G1660" s="34" t="s">
        <v>201</v>
      </c>
      <c r="H1660" s="35"/>
      <c r="I1660" s="43" t="s">
        <v>68</v>
      </c>
      <c r="J1660" s="36">
        <v>2.0782461194291724E-2</v>
      </c>
      <c r="K1660" s="36">
        <v>1.6581542850351738E-2</v>
      </c>
      <c r="L1660" s="37">
        <v>3.2840110521399346E-2</v>
      </c>
      <c r="M1660" s="36">
        <v>7.8689938200065424E-2</v>
      </c>
      <c r="N1660" s="36">
        <v>5.3396889076700704E-2</v>
      </c>
      <c r="O1660" s="36">
        <v>6.5584284255719938E-2</v>
      </c>
      <c r="P1660">
        <v>5.1502698848672646E-2</v>
      </c>
    </row>
    <row r="1661" spans="1:16" hidden="1" x14ac:dyDescent="0.35">
      <c r="A1661" s="3">
        <f xml:space="preserve"> ROW( data_scaledImpacts[[#This Row],[row_id]] ) - ROW( data_scaledImpacts[[#Headers],[row_id]] )</f>
        <v>1660</v>
      </c>
      <c r="B1661" s="41" t="str">
        <f xml:space="preserve"> _xlfn.TEXTJOIN( "", , data_scaledImpacts[[#This Row],[sector]:[impactType]] )</f>
        <v>ElecSDGCM Average5N/A</v>
      </c>
      <c r="C1661" s="33" t="s">
        <v>220</v>
      </c>
      <c r="D1661" s="33" t="s">
        <v>15</v>
      </c>
      <c r="E1661" s="34">
        <v>5</v>
      </c>
      <c r="F1661" s="34"/>
      <c r="G1661" s="34" t="s">
        <v>201</v>
      </c>
      <c r="H1661" s="35"/>
      <c r="I1661" s="43" t="s">
        <v>69</v>
      </c>
      <c r="J1661" s="36">
        <v>1.5376775125281794E-2</v>
      </c>
      <c r="K1661" s="36">
        <v>1.4267689439675157E-2</v>
      </c>
      <c r="L1661" s="37">
        <v>2.6474455660565565E-2</v>
      </c>
      <c r="M1661" s="36">
        <v>7.4686083552978566E-2</v>
      </c>
      <c r="N1661" s="36">
        <v>5.2691229184969844E-2</v>
      </c>
      <c r="O1661" s="36">
        <v>5.8005467218937047E-2</v>
      </c>
      <c r="P1661">
        <v>4.3894547290826667E-2</v>
      </c>
    </row>
    <row r="1662" spans="1:16" hidden="1" x14ac:dyDescent="0.35">
      <c r="A1662" s="3">
        <f xml:space="preserve"> ROW( data_scaledImpacts[[#This Row],[row_id]] ) - ROW( data_scaledImpacts[[#Headers],[row_id]] )</f>
        <v>1661</v>
      </c>
      <c r="B1662" s="41" t="str">
        <f xml:space="preserve"> _xlfn.TEXTJOIN( "", , data_scaledImpacts[[#This Row],[sector]:[impactType]] )</f>
        <v>ElecSDCanESM26N/A</v>
      </c>
      <c r="C1662" s="33" t="s">
        <v>220</v>
      </c>
      <c r="D1662" s="33" t="s">
        <v>0</v>
      </c>
      <c r="E1662" s="34">
        <v>6</v>
      </c>
      <c r="F1662" s="34"/>
      <c r="G1662" s="34" t="s">
        <v>201</v>
      </c>
      <c r="H1662" s="35"/>
      <c r="I1662" s="43" t="s">
        <v>70</v>
      </c>
      <c r="J1662" s="36">
        <v>2.2003445159048285E-2</v>
      </c>
      <c r="K1662" s="36">
        <v>2.6778678608473827E-2</v>
      </c>
      <c r="L1662" s="37">
        <v>4.1644896426900724E-2</v>
      </c>
      <c r="M1662" s="36">
        <v>0.13807159368933997</v>
      </c>
      <c r="N1662" s="36">
        <v>6.9488764685437632E-2</v>
      </c>
      <c r="O1662" s="36">
        <v>7.2793189724457585E-2</v>
      </c>
      <c r="P1662">
        <v>6.5231063733654393E-2</v>
      </c>
    </row>
    <row r="1663" spans="1:16" hidden="1" x14ac:dyDescent="0.35">
      <c r="A1663" s="3">
        <f xml:space="preserve"> ROW( data_scaledImpacts[[#This Row],[row_id]] ) - ROW( data_scaledImpacts[[#Headers],[row_id]] )</f>
        <v>1662</v>
      </c>
      <c r="B1663" s="41" t="str">
        <f xml:space="preserve"> _xlfn.TEXTJOIN( "", , data_scaledImpacts[[#This Row],[sector]:[impactType]] )</f>
        <v>ElecSDCCSM46N/A</v>
      </c>
      <c r="C1663" s="33" t="s">
        <v>220</v>
      </c>
      <c r="D1663" s="33" t="s">
        <v>1</v>
      </c>
      <c r="E1663" s="34">
        <v>6</v>
      </c>
      <c r="F1663" s="34"/>
      <c r="G1663" s="34" t="s">
        <v>201</v>
      </c>
      <c r="H1663" s="35"/>
      <c r="I1663" s="43" t="s">
        <v>71</v>
      </c>
      <c r="J1663" s="36"/>
      <c r="K1663" s="36"/>
      <c r="L1663" s="37"/>
      <c r="M1663" s="36"/>
      <c r="N1663" s="36"/>
      <c r="O1663" s="36"/>
    </row>
    <row r="1664" spans="1:16" hidden="1" x14ac:dyDescent="0.35">
      <c r="A1664" s="3">
        <f xml:space="preserve"> ROW( data_scaledImpacts[[#This Row],[row_id]] ) - ROW( data_scaledImpacts[[#Headers],[row_id]] )</f>
        <v>1663</v>
      </c>
      <c r="B1664" s="41" t="str">
        <f xml:space="preserve"> _xlfn.TEXTJOIN( "", , data_scaledImpacts[[#This Row],[sector]:[impactType]] )</f>
        <v>ElecSDGISS-E2-R6N/A</v>
      </c>
      <c r="C1664" s="33" t="s">
        <v>220</v>
      </c>
      <c r="D1664" s="33" t="s">
        <v>2</v>
      </c>
      <c r="E1664" s="34">
        <v>6</v>
      </c>
      <c r="F1664" s="34"/>
      <c r="G1664" s="34" t="s">
        <v>201</v>
      </c>
      <c r="H1664" s="35"/>
      <c r="I1664" s="43" t="s">
        <v>72</v>
      </c>
      <c r="J1664" s="36"/>
      <c r="K1664" s="36"/>
      <c r="L1664" s="37"/>
      <c r="M1664" s="36"/>
      <c r="N1664" s="36"/>
      <c r="O1664" s="36"/>
    </row>
    <row r="1665" spans="1:16" hidden="1" x14ac:dyDescent="0.35">
      <c r="A1665" s="3">
        <f xml:space="preserve"> ROW( data_scaledImpacts[[#This Row],[row_id]] ) - ROW( data_scaledImpacts[[#Headers],[row_id]] )</f>
        <v>1664</v>
      </c>
      <c r="B1665" s="41" t="str">
        <f xml:space="preserve"> _xlfn.TEXTJOIN( "", , data_scaledImpacts[[#This Row],[sector]:[impactType]] )</f>
        <v>ElecSDHadGEM2-ES6N/A</v>
      </c>
      <c r="C1665" s="33" t="s">
        <v>220</v>
      </c>
      <c r="D1665" s="33" t="s">
        <v>3</v>
      </c>
      <c r="E1665" s="34">
        <v>6</v>
      </c>
      <c r="F1665" s="34"/>
      <c r="G1665" s="34" t="s">
        <v>201</v>
      </c>
      <c r="H1665" s="35"/>
      <c r="I1665" s="43" t="s">
        <v>73</v>
      </c>
      <c r="J1665" s="36">
        <v>1.9162159283940827E-2</v>
      </c>
      <c r="K1665" s="36">
        <v>2.122391300890647E-2</v>
      </c>
      <c r="L1665" s="37">
        <v>3.2737449885755554E-2</v>
      </c>
      <c r="M1665" s="36">
        <v>0.10077492854660663</v>
      </c>
      <c r="N1665" s="36">
        <v>6.8404812510574509E-2</v>
      </c>
      <c r="O1665" s="36">
        <v>6.161467757082284E-2</v>
      </c>
      <c r="P1665">
        <v>5.7624126055739966E-2</v>
      </c>
    </row>
    <row r="1666" spans="1:16" hidden="1" x14ac:dyDescent="0.35">
      <c r="A1666" s="3">
        <f xml:space="preserve"> ROW( data_scaledImpacts[[#This Row],[row_id]] ) - ROW( data_scaledImpacts[[#Headers],[row_id]] )</f>
        <v>1665</v>
      </c>
      <c r="B1666" s="41" t="str">
        <f xml:space="preserve"> _xlfn.TEXTJOIN( "", , data_scaledImpacts[[#This Row],[sector]:[impactType]] )</f>
        <v>ElecSDMIROC56N/A</v>
      </c>
      <c r="C1666" s="33" t="s">
        <v>220</v>
      </c>
      <c r="D1666" s="33" t="s">
        <v>4</v>
      </c>
      <c r="E1666" s="34">
        <v>6</v>
      </c>
      <c r="F1666" s="34"/>
      <c r="G1666" s="34" t="s">
        <v>201</v>
      </c>
      <c r="H1666" s="35"/>
      <c r="I1666" s="43" t="s">
        <v>74</v>
      </c>
      <c r="J1666" s="36"/>
      <c r="K1666" s="36"/>
      <c r="L1666" s="37"/>
      <c r="M1666" s="36"/>
      <c r="N1666" s="36"/>
      <c r="O1666" s="36"/>
    </row>
    <row r="1667" spans="1:16" hidden="1" x14ac:dyDescent="0.35">
      <c r="A1667" s="3">
        <f xml:space="preserve"> ROW( data_scaledImpacts[[#This Row],[row_id]] ) - ROW( data_scaledImpacts[[#Headers],[row_id]] )</f>
        <v>1666</v>
      </c>
      <c r="B1667" s="41" t="str">
        <f xml:space="preserve"> _xlfn.TEXTJOIN( "", , data_scaledImpacts[[#This Row],[sector]:[impactType]] )</f>
        <v>ElecSDGFDL-CM36N/A</v>
      </c>
      <c r="C1667" s="33" t="s">
        <v>220</v>
      </c>
      <c r="D1667" s="33" t="s">
        <v>5</v>
      </c>
      <c r="E1667" s="34">
        <v>6</v>
      </c>
      <c r="F1667" s="34"/>
      <c r="G1667" s="34" t="s">
        <v>201</v>
      </c>
      <c r="H1667" s="35"/>
      <c r="I1667" s="43" t="s">
        <v>75</v>
      </c>
      <c r="J1667" s="36">
        <v>2.730311642901051E-2</v>
      </c>
      <c r="K1667" s="36">
        <v>2.1821639208932986E-2</v>
      </c>
      <c r="L1667" s="37">
        <v>4.5752478926132767E-2</v>
      </c>
      <c r="M1667" s="36">
        <v>0.10948717416598375</v>
      </c>
      <c r="N1667" s="36">
        <v>7.2067408400165345E-2</v>
      </c>
      <c r="O1667" s="36">
        <v>8.2906098872446821E-2</v>
      </c>
      <c r="P1667">
        <v>6.9728756157005689E-2</v>
      </c>
    </row>
    <row r="1668" spans="1:16" hidden="1" x14ac:dyDescent="0.35">
      <c r="A1668" s="3">
        <f xml:space="preserve"> ROW( data_scaledImpacts[[#This Row],[row_id]] ) - ROW( data_scaledImpacts[[#Headers],[row_id]] )</f>
        <v>1667</v>
      </c>
      <c r="B1668" s="41" t="str">
        <f xml:space="preserve"> _xlfn.TEXTJOIN( "", , data_scaledImpacts[[#This Row],[sector]:[impactType]] )</f>
        <v>ElecSDGCM Average6N/A</v>
      </c>
      <c r="C1668" s="33" t="s">
        <v>220</v>
      </c>
      <c r="D1668" s="33" t="s">
        <v>15</v>
      </c>
      <c r="E1668" s="34">
        <v>6</v>
      </c>
      <c r="F1668" s="34"/>
      <c r="G1668" s="34" t="s">
        <v>201</v>
      </c>
      <c r="H1668" s="35"/>
      <c r="I1668" s="43" t="s">
        <v>76</v>
      </c>
      <c r="J1668" s="36">
        <v>2.2822906957333206E-2</v>
      </c>
      <c r="K1668" s="36">
        <v>2.3274743608771093E-2</v>
      </c>
      <c r="L1668" s="37">
        <v>4.0044941746263017E-2</v>
      </c>
      <c r="M1668" s="36">
        <v>0.11611123213397678</v>
      </c>
      <c r="N1668" s="36">
        <v>6.9986995198725824E-2</v>
      </c>
      <c r="O1668" s="36">
        <v>7.2437988722575744E-2</v>
      </c>
      <c r="P1668">
        <v>6.4194648648800021E-2</v>
      </c>
    </row>
    <row r="1669" spans="1:16" hidden="1" x14ac:dyDescent="0.35">
      <c r="A1669" s="3">
        <f xml:space="preserve"> ROW( data_scaledImpacts[[#This Row],[row_id]] ) - ROW( data_scaledImpacts[[#Headers],[row_id]] )</f>
        <v>1668</v>
      </c>
      <c r="B1669" s="41" t="str">
        <f xml:space="preserve"> _xlfn.TEXTJOIN( "", , data_scaledImpacts[[#This Row],[sector]:[impactType]] )</f>
        <v>ElecSDCanESM27N/A</v>
      </c>
      <c r="C1669" s="33" t="s">
        <v>220</v>
      </c>
      <c r="D1669" s="33" t="s">
        <v>0</v>
      </c>
      <c r="E1669" s="34">
        <v>7</v>
      </c>
      <c r="F1669" s="34"/>
      <c r="G1669" s="34" t="s">
        <v>201</v>
      </c>
      <c r="H1669" s="35"/>
      <c r="I1669" s="43" t="s">
        <v>77</v>
      </c>
      <c r="J1669" s="36"/>
      <c r="K1669" s="36"/>
      <c r="L1669" s="37"/>
      <c r="M1669" s="36"/>
      <c r="N1669" s="36"/>
      <c r="O1669" s="36"/>
    </row>
    <row r="1670" spans="1:16" hidden="1" x14ac:dyDescent="0.35">
      <c r="A1670" s="3">
        <f xml:space="preserve"> ROW( data_scaledImpacts[[#This Row],[row_id]] ) - ROW( data_scaledImpacts[[#Headers],[row_id]] )</f>
        <v>1669</v>
      </c>
      <c r="B1670" s="41" t="str">
        <f xml:space="preserve"> _xlfn.TEXTJOIN( "", , data_scaledImpacts[[#This Row],[sector]:[impactType]] )</f>
        <v>ElecSDCCSM47N/A</v>
      </c>
      <c r="C1670" s="33" t="s">
        <v>220</v>
      </c>
      <c r="D1670" s="33" t="s">
        <v>1</v>
      </c>
      <c r="E1670" s="34">
        <v>7</v>
      </c>
      <c r="F1670" s="34"/>
      <c r="G1670" s="34" t="s">
        <v>201</v>
      </c>
      <c r="H1670" s="35"/>
      <c r="I1670" s="43" t="s">
        <v>78</v>
      </c>
      <c r="J1670" s="36"/>
      <c r="K1670" s="36"/>
      <c r="L1670" s="37"/>
      <c r="M1670" s="36"/>
      <c r="N1670" s="36"/>
      <c r="O1670" s="36"/>
    </row>
    <row r="1671" spans="1:16" hidden="1" x14ac:dyDescent="0.35">
      <c r="A1671" s="3">
        <f xml:space="preserve"> ROW( data_scaledImpacts[[#This Row],[row_id]] ) - ROW( data_scaledImpacts[[#Headers],[row_id]] )</f>
        <v>1670</v>
      </c>
      <c r="B1671" s="41" t="str">
        <f xml:space="preserve"> _xlfn.TEXTJOIN( "", , data_scaledImpacts[[#This Row],[sector]:[impactType]] )</f>
        <v>ElecSDGISS-E2-R7N/A</v>
      </c>
      <c r="C1671" s="33" t="s">
        <v>220</v>
      </c>
      <c r="D1671" s="33" t="s">
        <v>2</v>
      </c>
      <c r="E1671" s="34">
        <v>7</v>
      </c>
      <c r="F1671" s="34"/>
      <c r="G1671" s="34" t="s">
        <v>201</v>
      </c>
      <c r="H1671" s="35"/>
      <c r="I1671" s="43" t="s">
        <v>79</v>
      </c>
      <c r="J1671" s="36"/>
      <c r="K1671" s="36"/>
      <c r="L1671" s="37"/>
      <c r="M1671" s="36"/>
      <c r="N1671" s="36"/>
      <c r="O1671" s="36"/>
    </row>
    <row r="1672" spans="1:16" hidden="1" x14ac:dyDescent="0.35">
      <c r="A1672" s="3">
        <f xml:space="preserve"> ROW( data_scaledImpacts[[#This Row],[row_id]] ) - ROW( data_scaledImpacts[[#Headers],[row_id]] )</f>
        <v>1671</v>
      </c>
      <c r="B1672" s="41" t="str">
        <f xml:space="preserve"> _xlfn.TEXTJOIN( "", , data_scaledImpacts[[#This Row],[sector]:[impactType]] )</f>
        <v>ElecSDHadGEM2-ES7N/A</v>
      </c>
      <c r="C1672" s="33" t="s">
        <v>220</v>
      </c>
      <c r="D1672" s="33" t="s">
        <v>3</v>
      </c>
      <c r="E1672" s="34">
        <v>7</v>
      </c>
      <c r="F1672" s="34"/>
      <c r="G1672" s="34" t="s">
        <v>201</v>
      </c>
      <c r="H1672" s="35"/>
      <c r="I1672" s="43" t="s">
        <v>80</v>
      </c>
      <c r="J1672" s="36"/>
      <c r="K1672" s="36"/>
      <c r="L1672" s="37"/>
      <c r="M1672" s="36"/>
      <c r="N1672" s="36"/>
      <c r="O1672" s="36"/>
    </row>
    <row r="1673" spans="1:16" hidden="1" x14ac:dyDescent="0.35">
      <c r="A1673" s="3">
        <f xml:space="preserve"> ROW( data_scaledImpacts[[#This Row],[row_id]] ) - ROW( data_scaledImpacts[[#Headers],[row_id]] )</f>
        <v>1672</v>
      </c>
      <c r="B1673" s="41" t="str">
        <f xml:space="preserve"> _xlfn.TEXTJOIN( "", , data_scaledImpacts[[#This Row],[sector]:[impactType]] )</f>
        <v>ElecSDMIROC57N/A</v>
      </c>
      <c r="C1673" s="33" t="s">
        <v>220</v>
      </c>
      <c r="D1673" s="33" t="s">
        <v>4</v>
      </c>
      <c r="E1673" s="34">
        <v>7</v>
      </c>
      <c r="F1673" s="34"/>
      <c r="G1673" s="34" t="s">
        <v>201</v>
      </c>
      <c r="H1673" s="35"/>
      <c r="I1673" s="43" t="s">
        <v>81</v>
      </c>
      <c r="J1673" s="36"/>
      <c r="K1673" s="36"/>
      <c r="L1673" s="37"/>
      <c r="M1673" s="36"/>
      <c r="N1673" s="36"/>
      <c r="O1673" s="36"/>
    </row>
    <row r="1674" spans="1:16" hidden="1" x14ac:dyDescent="0.35">
      <c r="A1674" s="3">
        <f xml:space="preserve"> ROW( data_scaledImpacts[[#This Row],[row_id]] ) - ROW( data_scaledImpacts[[#Headers],[row_id]] )</f>
        <v>1673</v>
      </c>
      <c r="B1674" s="41" t="str">
        <f xml:space="preserve"> _xlfn.TEXTJOIN( "", , data_scaledImpacts[[#This Row],[sector]:[impactType]] )</f>
        <v>ElecSDGFDL-CM37N/A</v>
      </c>
      <c r="C1674" s="33" t="s">
        <v>220</v>
      </c>
      <c r="D1674" s="33" t="s">
        <v>5</v>
      </c>
      <c r="E1674" s="34">
        <v>7</v>
      </c>
      <c r="F1674" s="34"/>
      <c r="G1674" s="34" t="s">
        <v>201</v>
      </c>
      <c r="H1674" s="35"/>
      <c r="I1674" s="43" t="s">
        <v>82</v>
      </c>
      <c r="J1674" s="36"/>
      <c r="K1674" s="36"/>
      <c r="L1674" s="37"/>
      <c r="M1674" s="36"/>
      <c r="N1674" s="36"/>
      <c r="O1674" s="36"/>
    </row>
    <row r="1675" spans="1:16" hidden="1" x14ac:dyDescent="0.35">
      <c r="A1675" s="3">
        <f xml:space="preserve"> ROW( data_scaledImpacts[[#This Row],[row_id]] ) - ROW( data_scaledImpacts[[#Headers],[row_id]] )</f>
        <v>1674</v>
      </c>
      <c r="B1675" s="41" t="str">
        <f xml:space="preserve"> _xlfn.TEXTJOIN( "", , data_scaledImpacts[[#This Row],[sector]:[impactType]] )</f>
        <v>ElecSDGCM Average7N/A</v>
      </c>
      <c r="C1675" s="33" t="s">
        <v>220</v>
      </c>
      <c r="D1675" s="33" t="s">
        <v>15</v>
      </c>
      <c r="E1675" s="34">
        <v>7</v>
      </c>
      <c r="F1675" s="34"/>
      <c r="G1675" s="34" t="s">
        <v>201</v>
      </c>
      <c r="H1675" s="35"/>
      <c r="I1675" s="43" t="s">
        <v>83</v>
      </c>
      <c r="J1675" s="36" t="s">
        <v>26</v>
      </c>
      <c r="K1675" s="36" t="s">
        <v>26</v>
      </c>
      <c r="L1675" s="37" t="s">
        <v>26</v>
      </c>
      <c r="M1675" s="36" t="s">
        <v>26</v>
      </c>
      <c r="N1675" s="36" t="s">
        <v>26</v>
      </c>
      <c r="O1675" s="36" t="s">
        <v>26</v>
      </c>
      <c r="P1675" t="s">
        <v>26</v>
      </c>
    </row>
    <row r="1676" spans="1:16" hidden="1" x14ac:dyDescent="0.35">
      <c r="A1676" s="3">
        <f xml:space="preserve"> ROW( data_scaledImpacts[[#This Row],[row_id]] ) - ROW( data_scaledImpacts[[#Headers],[row_id]] )</f>
        <v>1675</v>
      </c>
      <c r="B1676" s="41" t="str">
        <f xml:space="preserve"> _xlfn.TEXTJOIN( "", , data_scaledImpacts[[#This Row],[sector]:[impactType]] )</f>
        <v>UrbanDrainageCanESM21N/A</v>
      </c>
      <c r="C1676" s="33" t="s">
        <v>225</v>
      </c>
      <c r="D1676" s="33" t="s">
        <v>0</v>
      </c>
      <c r="E1676" s="34">
        <v>1</v>
      </c>
      <c r="F1676" s="34"/>
      <c r="G1676" s="34" t="s">
        <v>201</v>
      </c>
      <c r="H1676" s="35"/>
      <c r="I1676" s="43" t="s">
        <v>35</v>
      </c>
      <c r="J1676" s="36">
        <v>67.0545812608907</v>
      </c>
      <c r="K1676" s="36">
        <v>18.741462413644101</v>
      </c>
      <c r="L1676" s="37">
        <v>33.809536265599903</v>
      </c>
      <c r="M1676" s="36">
        <v>35.1807440595394</v>
      </c>
      <c r="N1676" s="36">
        <v>698.97619605997204</v>
      </c>
      <c r="O1676" s="36">
        <v>169.242671344152</v>
      </c>
      <c r="P1676">
        <v>403.62965376033702</v>
      </c>
    </row>
    <row r="1677" spans="1:16" hidden="1" x14ac:dyDescent="0.35">
      <c r="A1677" s="3">
        <f xml:space="preserve"> ROW( data_scaledImpacts[[#This Row],[row_id]] ) - ROW( data_scaledImpacts[[#Headers],[row_id]] )</f>
        <v>1676</v>
      </c>
      <c r="B1677" s="41" t="str">
        <f xml:space="preserve"> _xlfn.TEXTJOIN( "", , data_scaledImpacts[[#This Row],[sector]:[impactType]] )</f>
        <v>UrbanDrainageCCSM41N/A</v>
      </c>
      <c r="C1677" s="33" t="s">
        <v>225</v>
      </c>
      <c r="D1677" s="33" t="s">
        <v>1</v>
      </c>
      <c r="E1677" s="34">
        <v>1</v>
      </c>
      <c r="F1677" s="34"/>
      <c r="G1677" s="34" t="s">
        <v>201</v>
      </c>
      <c r="H1677" s="35"/>
      <c r="I1677" s="43" t="s">
        <v>36</v>
      </c>
      <c r="J1677" s="36">
        <v>118.637445632344</v>
      </c>
      <c r="K1677" s="36">
        <v>228.26433915632299</v>
      </c>
      <c r="L1677" s="37">
        <v>0</v>
      </c>
      <c r="M1677" s="36">
        <v>38.0102853616159</v>
      </c>
      <c r="N1677" s="36">
        <v>517.809540658233</v>
      </c>
      <c r="O1677" s="36">
        <v>698.07341040888502</v>
      </c>
      <c r="P1677">
        <v>104.087829120828</v>
      </c>
    </row>
    <row r="1678" spans="1:16" hidden="1" x14ac:dyDescent="0.35">
      <c r="A1678" s="3">
        <f xml:space="preserve"> ROW( data_scaledImpacts[[#This Row],[row_id]] ) - ROW( data_scaledImpacts[[#Headers],[row_id]] )</f>
        <v>1677</v>
      </c>
      <c r="B1678" s="41" t="str">
        <f xml:space="preserve"> _xlfn.TEXTJOIN( "", , data_scaledImpacts[[#This Row],[sector]:[impactType]] )</f>
        <v>UrbanDrainageGISS-E2-R1N/A</v>
      </c>
      <c r="C1678" s="33" t="s">
        <v>225</v>
      </c>
      <c r="D1678" s="33" t="s">
        <v>2</v>
      </c>
      <c r="E1678" s="34">
        <v>1</v>
      </c>
      <c r="F1678" s="34"/>
      <c r="G1678" s="34" t="s">
        <v>201</v>
      </c>
      <c r="H1678" s="35"/>
      <c r="I1678" s="43" t="s">
        <v>37</v>
      </c>
      <c r="J1678" s="36">
        <v>623.86630228598995</v>
      </c>
      <c r="K1678" s="36">
        <v>280.45394407639702</v>
      </c>
      <c r="L1678" s="37">
        <v>30.1482117278514</v>
      </c>
      <c r="M1678" s="36">
        <v>71.877013582697202</v>
      </c>
      <c r="N1678" s="36">
        <v>1101.18542458914</v>
      </c>
      <c r="O1678" s="36">
        <v>1515.22585253903</v>
      </c>
      <c r="P1678">
        <v>1068.6901251612601</v>
      </c>
    </row>
    <row r="1679" spans="1:16" hidden="1" x14ac:dyDescent="0.35">
      <c r="A1679" s="3">
        <f xml:space="preserve"> ROW( data_scaledImpacts[[#This Row],[row_id]] ) - ROW( data_scaledImpacts[[#Headers],[row_id]] )</f>
        <v>1678</v>
      </c>
      <c r="B1679" s="41" t="str">
        <f xml:space="preserve"> _xlfn.TEXTJOIN( "", , data_scaledImpacts[[#This Row],[sector]:[impactType]] )</f>
        <v>UrbanDrainageHadGEM2-ES1N/A</v>
      </c>
      <c r="C1679" s="33" t="s">
        <v>225</v>
      </c>
      <c r="D1679" s="33" t="s">
        <v>3</v>
      </c>
      <c r="E1679" s="34">
        <v>1</v>
      </c>
      <c r="F1679" s="34"/>
      <c r="G1679" s="34" t="s">
        <v>201</v>
      </c>
      <c r="H1679" s="35"/>
      <c r="I1679" s="43" t="s">
        <v>38</v>
      </c>
      <c r="J1679" s="36">
        <v>38.882257941553902</v>
      </c>
      <c r="K1679" s="36">
        <v>167.724868248549</v>
      </c>
      <c r="L1679" s="37">
        <v>3.7584616250531799</v>
      </c>
      <c r="M1679" s="36">
        <v>82.950106400704897</v>
      </c>
      <c r="N1679" s="36">
        <v>1034.2279414045499</v>
      </c>
      <c r="O1679" s="36">
        <v>454.49324809266699</v>
      </c>
      <c r="P1679">
        <v>271.27961254698801</v>
      </c>
    </row>
    <row r="1680" spans="1:16" hidden="1" x14ac:dyDescent="0.35">
      <c r="A1680" s="3">
        <f xml:space="preserve"> ROW( data_scaledImpacts[[#This Row],[row_id]] ) - ROW( data_scaledImpacts[[#Headers],[row_id]] )</f>
        <v>1679</v>
      </c>
      <c r="B1680" s="41" t="str">
        <f xml:space="preserve"> _xlfn.TEXTJOIN( "", , data_scaledImpacts[[#This Row],[sector]:[impactType]] )</f>
        <v>UrbanDrainageMIROC51N/A</v>
      </c>
      <c r="C1680" s="33" t="s">
        <v>225</v>
      </c>
      <c r="D1680" s="33" t="s">
        <v>4</v>
      </c>
      <c r="E1680" s="34">
        <v>1</v>
      </c>
      <c r="F1680" s="34"/>
      <c r="G1680" s="34" t="s">
        <v>201</v>
      </c>
      <c r="H1680" s="35"/>
      <c r="I1680" s="43" t="s">
        <v>39</v>
      </c>
      <c r="J1680" s="36">
        <v>188.26567918052501</v>
      </c>
      <c r="K1680" s="36">
        <v>3.53928177083194</v>
      </c>
      <c r="L1680" s="37">
        <v>18.245496854097802</v>
      </c>
      <c r="M1680" s="36">
        <v>127.93721480705101</v>
      </c>
      <c r="N1680" s="36">
        <v>1331.17744339605</v>
      </c>
      <c r="O1680" s="36">
        <v>2057.1231750125498</v>
      </c>
      <c r="P1680">
        <v>185.46079016011399</v>
      </c>
    </row>
    <row r="1681" spans="1:16" hidden="1" x14ac:dyDescent="0.35">
      <c r="A1681" s="3">
        <f xml:space="preserve"> ROW( data_scaledImpacts[[#This Row],[row_id]] ) - ROW( data_scaledImpacts[[#Headers],[row_id]] )</f>
        <v>1680</v>
      </c>
      <c r="B1681" s="41" t="str">
        <f xml:space="preserve"> _xlfn.TEXTJOIN( "", , data_scaledImpacts[[#This Row],[sector]:[impactType]] )</f>
        <v>UrbanDrainageGFDL-CM31N/A</v>
      </c>
      <c r="C1681" s="33" t="s">
        <v>225</v>
      </c>
      <c r="D1681" s="33" t="s">
        <v>5</v>
      </c>
      <c r="E1681" s="34">
        <v>1</v>
      </c>
      <c r="F1681" s="34"/>
      <c r="G1681" s="34" t="s">
        <v>201</v>
      </c>
      <c r="H1681" s="35"/>
      <c r="I1681" s="43" t="s">
        <v>40</v>
      </c>
      <c r="J1681" s="36"/>
      <c r="K1681" s="36"/>
      <c r="L1681" s="37"/>
      <c r="M1681" s="36"/>
      <c r="N1681" s="36"/>
      <c r="O1681" s="36"/>
    </row>
    <row r="1682" spans="1:16" hidden="1" x14ac:dyDescent="0.35">
      <c r="A1682" s="3">
        <f xml:space="preserve"> ROW( data_scaledImpacts[[#This Row],[row_id]] ) - ROW( data_scaledImpacts[[#Headers],[row_id]] )</f>
        <v>1681</v>
      </c>
      <c r="B1682" s="41" t="str">
        <f xml:space="preserve"> _xlfn.TEXTJOIN( "", , data_scaledImpacts[[#This Row],[sector]:[impactType]] )</f>
        <v>UrbanDrainageGCM Average1N/A</v>
      </c>
      <c r="C1682" s="33" t="s">
        <v>225</v>
      </c>
      <c r="D1682" s="33" t="s">
        <v>15</v>
      </c>
      <c r="E1682" s="34">
        <v>1</v>
      </c>
      <c r="F1682" s="34"/>
      <c r="G1682" s="34" t="s">
        <v>201</v>
      </c>
      <c r="H1682" s="35"/>
      <c r="I1682" s="43" t="s">
        <v>41</v>
      </c>
      <c r="J1682" s="36">
        <v>207.341253260261</v>
      </c>
      <c r="K1682" s="36">
        <v>139.744779133149</v>
      </c>
      <c r="L1682" s="37">
        <v>17.192341294520499</v>
      </c>
      <c r="M1682" s="36">
        <v>71.191072842321603</v>
      </c>
      <c r="N1682" s="36">
        <v>936.67530922159096</v>
      </c>
      <c r="O1682" s="36">
        <v>978.83167147945801</v>
      </c>
      <c r="P1682">
        <v>406.629602149905</v>
      </c>
    </row>
    <row r="1683" spans="1:16" hidden="1" x14ac:dyDescent="0.35">
      <c r="A1683" s="3">
        <f xml:space="preserve"> ROW( data_scaledImpacts[[#This Row],[row_id]] ) - ROW( data_scaledImpacts[[#Headers],[row_id]] )</f>
        <v>1682</v>
      </c>
      <c r="B1683" s="41" t="str">
        <f xml:space="preserve"> _xlfn.TEXTJOIN( "", , data_scaledImpacts[[#This Row],[sector]:[impactType]] )</f>
        <v>UrbanDrainageCanESM22N/A</v>
      </c>
      <c r="C1683" s="33" t="s">
        <v>225</v>
      </c>
      <c r="D1683" s="33" t="s">
        <v>0</v>
      </c>
      <c r="E1683" s="34">
        <v>2</v>
      </c>
      <c r="F1683" s="34"/>
      <c r="G1683" s="34" t="s">
        <v>201</v>
      </c>
      <c r="H1683" s="35"/>
      <c r="I1683" s="43" t="s">
        <v>42</v>
      </c>
      <c r="J1683" s="36">
        <v>141.11113441587901</v>
      </c>
      <c r="K1683" s="36">
        <v>104.705455222499</v>
      </c>
      <c r="L1683" s="37">
        <v>68.109108792938102</v>
      </c>
      <c r="M1683" s="36">
        <v>76.277965948079199</v>
      </c>
      <c r="N1683" s="36">
        <v>1499.90763757115</v>
      </c>
      <c r="O1683" s="36">
        <v>468.62634276998898</v>
      </c>
      <c r="P1683">
        <v>797.10209927932897</v>
      </c>
    </row>
    <row r="1684" spans="1:16" hidden="1" x14ac:dyDescent="0.35">
      <c r="A1684" s="3">
        <f xml:space="preserve"> ROW( data_scaledImpacts[[#This Row],[row_id]] ) - ROW( data_scaledImpacts[[#Headers],[row_id]] )</f>
        <v>1683</v>
      </c>
      <c r="B1684" s="41" t="str">
        <f xml:space="preserve"> _xlfn.TEXTJOIN( "", , data_scaledImpacts[[#This Row],[sector]:[impactType]] )</f>
        <v>UrbanDrainageCCSM42N/A</v>
      </c>
      <c r="C1684" s="33" t="s">
        <v>225</v>
      </c>
      <c r="D1684" s="33" t="s">
        <v>1</v>
      </c>
      <c r="E1684" s="34">
        <v>2</v>
      </c>
      <c r="F1684" s="34"/>
      <c r="G1684" s="34" t="s">
        <v>201</v>
      </c>
      <c r="H1684" s="35"/>
      <c r="I1684" s="43" t="s">
        <v>43</v>
      </c>
      <c r="J1684" s="36">
        <v>224.60573669062299</v>
      </c>
      <c r="K1684" s="36">
        <v>331.049822670688</v>
      </c>
      <c r="L1684" s="37">
        <v>5.9598140105013497</v>
      </c>
      <c r="M1684" s="36">
        <v>94.448795773424095</v>
      </c>
      <c r="N1684" s="36">
        <v>1247.03351207744</v>
      </c>
      <c r="O1684" s="36">
        <v>1052.8582041195</v>
      </c>
      <c r="P1684">
        <v>206.442039800895</v>
      </c>
    </row>
    <row r="1685" spans="1:16" hidden="1" x14ac:dyDescent="0.35">
      <c r="A1685" s="3">
        <f xml:space="preserve"> ROW( data_scaledImpacts[[#This Row],[row_id]] ) - ROW( data_scaledImpacts[[#Headers],[row_id]] )</f>
        <v>1684</v>
      </c>
      <c r="B1685" s="41" t="str">
        <f xml:space="preserve"> _xlfn.TEXTJOIN( "", , data_scaledImpacts[[#This Row],[sector]:[impactType]] )</f>
        <v>UrbanDrainageGISS-E2-R2N/A</v>
      </c>
      <c r="C1685" s="33" t="s">
        <v>225</v>
      </c>
      <c r="D1685" s="33" t="s">
        <v>2</v>
      </c>
      <c r="E1685" s="34">
        <v>2</v>
      </c>
      <c r="F1685" s="34"/>
      <c r="G1685" s="34" t="s">
        <v>201</v>
      </c>
      <c r="H1685" s="35"/>
      <c r="I1685" s="43" t="s">
        <v>44</v>
      </c>
      <c r="J1685" s="36">
        <v>816.43092006318204</v>
      </c>
      <c r="K1685" s="36">
        <v>385.65607664992302</v>
      </c>
      <c r="L1685" s="37">
        <v>9.6775498478096704</v>
      </c>
      <c r="M1685" s="36">
        <v>49.755169025044701</v>
      </c>
      <c r="N1685" s="36">
        <v>1515.36841077958</v>
      </c>
      <c r="O1685" s="36">
        <v>668.53762688489599</v>
      </c>
      <c r="P1685">
        <v>1021.2486669327</v>
      </c>
    </row>
    <row r="1686" spans="1:16" hidden="1" x14ac:dyDescent="0.35">
      <c r="A1686" s="3">
        <f xml:space="preserve"> ROW( data_scaledImpacts[[#This Row],[row_id]] ) - ROW( data_scaledImpacts[[#Headers],[row_id]] )</f>
        <v>1685</v>
      </c>
      <c r="B1686" s="41" t="str">
        <f xml:space="preserve"> _xlfn.TEXTJOIN( "", , data_scaledImpacts[[#This Row],[sector]:[impactType]] )</f>
        <v>UrbanDrainageHadGEM2-ES2N/A</v>
      </c>
      <c r="C1686" s="33" t="s">
        <v>225</v>
      </c>
      <c r="D1686" s="33" t="s">
        <v>3</v>
      </c>
      <c r="E1686" s="34">
        <v>2</v>
      </c>
      <c r="F1686" s="34"/>
      <c r="G1686" s="34" t="s">
        <v>201</v>
      </c>
      <c r="H1686" s="35"/>
      <c r="I1686" s="43" t="s">
        <v>45</v>
      </c>
      <c r="J1686" s="36">
        <v>99.737512382344207</v>
      </c>
      <c r="K1686" s="36">
        <v>317.83469996054299</v>
      </c>
      <c r="L1686" s="37">
        <v>8.3635618868202499</v>
      </c>
      <c r="M1686" s="36">
        <v>151.23498462641399</v>
      </c>
      <c r="N1686" s="36">
        <v>1858.8160489812101</v>
      </c>
      <c r="O1686" s="36">
        <v>865.95099628693504</v>
      </c>
      <c r="P1686">
        <v>501.09737448822</v>
      </c>
    </row>
    <row r="1687" spans="1:16" hidden="1" x14ac:dyDescent="0.35">
      <c r="A1687" s="3">
        <f xml:space="preserve"> ROW( data_scaledImpacts[[#This Row],[row_id]] ) - ROW( data_scaledImpacts[[#Headers],[row_id]] )</f>
        <v>1686</v>
      </c>
      <c r="B1687" s="41" t="str">
        <f xml:space="preserve"> _xlfn.TEXTJOIN( "", , data_scaledImpacts[[#This Row],[sector]:[impactType]] )</f>
        <v>UrbanDrainageMIROC52N/A</v>
      </c>
      <c r="C1687" s="33" t="s">
        <v>225</v>
      </c>
      <c r="D1687" s="33" t="s">
        <v>4</v>
      </c>
      <c r="E1687" s="34">
        <v>2</v>
      </c>
      <c r="F1687" s="34"/>
      <c r="G1687" s="34" t="s">
        <v>201</v>
      </c>
      <c r="H1687" s="35"/>
      <c r="I1687" s="43" t="s">
        <v>46</v>
      </c>
      <c r="J1687" s="36">
        <v>305.33918583169901</v>
      </c>
      <c r="K1687" s="36">
        <v>10.397216067984701</v>
      </c>
      <c r="L1687" s="37">
        <v>25.2237434647936</v>
      </c>
      <c r="M1687" s="36">
        <v>176.19460703935599</v>
      </c>
      <c r="N1687" s="36">
        <v>2007.2869406365401</v>
      </c>
      <c r="O1687" s="36">
        <v>2976.3274274126202</v>
      </c>
      <c r="P1687">
        <v>342.03974562374901</v>
      </c>
    </row>
    <row r="1688" spans="1:16" hidden="1" x14ac:dyDescent="0.35">
      <c r="A1688" s="3">
        <f xml:space="preserve"> ROW( data_scaledImpacts[[#This Row],[row_id]] ) - ROW( data_scaledImpacts[[#Headers],[row_id]] )</f>
        <v>1687</v>
      </c>
      <c r="B1688" s="41" t="str">
        <f xml:space="preserve"> _xlfn.TEXTJOIN( "", , data_scaledImpacts[[#This Row],[sector]:[impactType]] )</f>
        <v>UrbanDrainageGFDL-CM32N/A</v>
      </c>
      <c r="C1688" s="33" t="s">
        <v>225</v>
      </c>
      <c r="D1688" s="33" t="s">
        <v>5</v>
      </c>
      <c r="E1688" s="34">
        <v>2</v>
      </c>
      <c r="F1688" s="34"/>
      <c r="G1688" s="34" t="s">
        <v>201</v>
      </c>
      <c r="H1688" s="35"/>
      <c r="I1688" s="43" t="s">
        <v>47</v>
      </c>
      <c r="J1688" s="36"/>
      <c r="K1688" s="36"/>
      <c r="L1688" s="37"/>
      <c r="M1688" s="36"/>
      <c r="N1688" s="36"/>
      <c r="O1688" s="36"/>
    </row>
    <row r="1689" spans="1:16" hidden="1" x14ac:dyDescent="0.35">
      <c r="A1689" s="3">
        <f xml:space="preserve"> ROW( data_scaledImpacts[[#This Row],[row_id]] ) - ROW( data_scaledImpacts[[#Headers],[row_id]] )</f>
        <v>1688</v>
      </c>
      <c r="B1689" s="41" t="str">
        <f xml:space="preserve"> _xlfn.TEXTJOIN( "", , data_scaledImpacts[[#This Row],[sector]:[impactType]] )</f>
        <v>UrbanDrainageGCM Average2N/A</v>
      </c>
      <c r="C1689" s="33" t="s">
        <v>225</v>
      </c>
      <c r="D1689" s="33" t="s">
        <v>15</v>
      </c>
      <c r="E1689" s="34">
        <v>2</v>
      </c>
      <c r="F1689" s="34"/>
      <c r="G1689" s="34" t="s">
        <v>201</v>
      </c>
      <c r="H1689" s="35"/>
      <c r="I1689" s="43" t="s">
        <v>48</v>
      </c>
      <c r="J1689" s="36">
        <v>317.44489787674598</v>
      </c>
      <c r="K1689" s="36">
        <v>229.928654114327</v>
      </c>
      <c r="L1689" s="37">
        <v>23.466755600572601</v>
      </c>
      <c r="M1689" s="36">
        <v>109.582304482463</v>
      </c>
      <c r="N1689" s="36">
        <v>1625.6825100091801</v>
      </c>
      <c r="O1689" s="36">
        <v>1206.46011949479</v>
      </c>
      <c r="P1689">
        <v>573.585985224978</v>
      </c>
    </row>
    <row r="1690" spans="1:16" hidden="1" x14ac:dyDescent="0.35">
      <c r="A1690" s="3">
        <f xml:space="preserve"> ROW( data_scaledImpacts[[#This Row],[row_id]] ) - ROW( data_scaledImpacts[[#Headers],[row_id]] )</f>
        <v>1689</v>
      </c>
      <c r="B1690" s="41" t="str">
        <f xml:space="preserve"> _xlfn.TEXTJOIN( "", , data_scaledImpacts[[#This Row],[sector]:[impactType]] )</f>
        <v>UrbanDrainageCanESM23N/A</v>
      </c>
      <c r="C1690" s="33" t="s">
        <v>225</v>
      </c>
      <c r="D1690" s="33" t="s">
        <v>0</v>
      </c>
      <c r="E1690" s="34">
        <v>3</v>
      </c>
      <c r="F1690" s="34"/>
      <c r="G1690" s="34" t="s">
        <v>201</v>
      </c>
      <c r="H1690" s="35"/>
      <c r="I1690" s="43" t="s">
        <v>49</v>
      </c>
      <c r="J1690" s="36">
        <v>141.02770317726501</v>
      </c>
      <c r="K1690" s="36">
        <v>375.69913695642202</v>
      </c>
      <c r="L1690" s="37">
        <v>45.341566999946998</v>
      </c>
      <c r="M1690" s="36">
        <v>76.615001184112202</v>
      </c>
      <c r="N1690" s="36">
        <v>1428.34440343706</v>
      </c>
      <c r="O1690" s="36">
        <v>903.86709498472999</v>
      </c>
      <c r="P1690">
        <v>468.34698658296702</v>
      </c>
    </row>
    <row r="1691" spans="1:16" hidden="1" x14ac:dyDescent="0.35">
      <c r="A1691" s="3">
        <f xml:space="preserve"> ROW( data_scaledImpacts[[#This Row],[row_id]] ) - ROW( data_scaledImpacts[[#Headers],[row_id]] )</f>
        <v>1690</v>
      </c>
      <c r="B1691" s="41" t="str">
        <f xml:space="preserve"> _xlfn.TEXTJOIN( "", , data_scaledImpacts[[#This Row],[sector]:[impactType]] )</f>
        <v>UrbanDrainageCCSM43N/A</v>
      </c>
      <c r="C1691" s="33" t="s">
        <v>225</v>
      </c>
      <c r="D1691" s="33" t="s">
        <v>1</v>
      </c>
      <c r="E1691" s="34">
        <v>3</v>
      </c>
      <c r="F1691" s="34"/>
      <c r="G1691" s="34" t="s">
        <v>201</v>
      </c>
      <c r="H1691" s="35"/>
      <c r="I1691" s="43" t="s">
        <v>50</v>
      </c>
      <c r="J1691" s="36">
        <v>631.23038204915895</v>
      </c>
      <c r="K1691" s="36">
        <v>89.969589038656594</v>
      </c>
      <c r="L1691" s="37">
        <v>53.285907375252101</v>
      </c>
      <c r="M1691" s="36">
        <v>100.829901783398</v>
      </c>
      <c r="N1691" s="36">
        <v>1497.3486289887401</v>
      </c>
      <c r="O1691" s="36">
        <v>164.655692798545</v>
      </c>
      <c r="P1691">
        <v>184.98786288900499</v>
      </c>
    </row>
    <row r="1692" spans="1:16" hidden="1" x14ac:dyDescent="0.35">
      <c r="A1692" s="3">
        <f xml:space="preserve"> ROW( data_scaledImpacts[[#This Row],[row_id]] ) - ROW( data_scaledImpacts[[#Headers],[row_id]] )</f>
        <v>1691</v>
      </c>
      <c r="B1692" s="41" t="str">
        <f xml:space="preserve"> _xlfn.TEXTJOIN( "", , data_scaledImpacts[[#This Row],[sector]:[impactType]] )</f>
        <v>UrbanDrainageGISS-E2-R3N/A</v>
      </c>
      <c r="C1692" s="33" t="s">
        <v>225</v>
      </c>
      <c r="D1692" s="33" t="s">
        <v>2</v>
      </c>
      <c r="E1692" s="34">
        <v>3</v>
      </c>
      <c r="F1692" s="34"/>
      <c r="G1692" s="34" t="s">
        <v>201</v>
      </c>
      <c r="H1692" s="35"/>
      <c r="I1692" s="43" t="s">
        <v>51</v>
      </c>
      <c r="J1692" s="36">
        <v>671.69741503675903</v>
      </c>
      <c r="K1692" s="36">
        <v>304.77599812363002</v>
      </c>
      <c r="L1692" s="37">
        <v>77.248528663859403</v>
      </c>
      <c r="M1692" s="36">
        <v>62.890076238091197</v>
      </c>
      <c r="N1692" s="36">
        <v>1835.8293957563201</v>
      </c>
      <c r="O1692" s="36">
        <v>2119.14362430854</v>
      </c>
      <c r="P1692">
        <v>558.35203855166003</v>
      </c>
    </row>
    <row r="1693" spans="1:16" hidden="1" x14ac:dyDescent="0.35">
      <c r="A1693" s="3">
        <f xml:space="preserve"> ROW( data_scaledImpacts[[#This Row],[row_id]] ) - ROW( data_scaledImpacts[[#Headers],[row_id]] )</f>
        <v>1692</v>
      </c>
      <c r="B1693" s="41" t="str">
        <f xml:space="preserve"> _xlfn.TEXTJOIN( "", , data_scaledImpacts[[#This Row],[sector]:[impactType]] )</f>
        <v>UrbanDrainageHadGEM2-ES3N/A</v>
      </c>
      <c r="C1693" s="33" t="s">
        <v>225</v>
      </c>
      <c r="D1693" s="33" t="s">
        <v>3</v>
      </c>
      <c r="E1693" s="34">
        <v>3</v>
      </c>
      <c r="F1693" s="34"/>
      <c r="G1693" s="34" t="s">
        <v>201</v>
      </c>
      <c r="H1693" s="35"/>
      <c r="I1693" s="43" t="s">
        <v>52</v>
      </c>
      <c r="J1693" s="36">
        <v>510.76215629575302</v>
      </c>
      <c r="K1693" s="36">
        <v>472.30868657227199</v>
      </c>
      <c r="L1693" s="37">
        <v>29.700748209790898</v>
      </c>
      <c r="M1693" s="36">
        <v>141.900957814869</v>
      </c>
      <c r="N1693" s="36">
        <v>1356.62376594387</v>
      </c>
      <c r="O1693" s="36">
        <v>1352.1733681086801</v>
      </c>
      <c r="P1693">
        <v>564.16044962960405</v>
      </c>
    </row>
    <row r="1694" spans="1:16" hidden="1" x14ac:dyDescent="0.35">
      <c r="A1694" s="3">
        <f xml:space="preserve"> ROW( data_scaledImpacts[[#This Row],[row_id]] ) - ROW( data_scaledImpacts[[#Headers],[row_id]] )</f>
        <v>1693</v>
      </c>
      <c r="B1694" s="41" t="str">
        <f xml:space="preserve"> _xlfn.TEXTJOIN( "", , data_scaledImpacts[[#This Row],[sector]:[impactType]] )</f>
        <v>UrbanDrainageMIROC53N/A</v>
      </c>
      <c r="C1694" s="33" t="s">
        <v>225</v>
      </c>
      <c r="D1694" s="33" t="s">
        <v>4</v>
      </c>
      <c r="E1694" s="34">
        <v>3</v>
      </c>
      <c r="F1694" s="34"/>
      <c r="G1694" s="34" t="s">
        <v>201</v>
      </c>
      <c r="H1694" s="35"/>
      <c r="I1694" s="43" t="s">
        <v>53</v>
      </c>
      <c r="J1694" s="36">
        <v>347.85658134963597</v>
      </c>
      <c r="K1694" s="36">
        <v>33.772949748587997</v>
      </c>
      <c r="L1694" s="37">
        <v>9.1635574136136793</v>
      </c>
      <c r="M1694" s="36">
        <v>61.035700342183901</v>
      </c>
      <c r="N1694" s="36">
        <v>1617.5664546130199</v>
      </c>
      <c r="O1694" s="36">
        <v>1810.34260791475</v>
      </c>
      <c r="P1694">
        <v>586.95782737360901</v>
      </c>
    </row>
    <row r="1695" spans="1:16" hidden="1" x14ac:dyDescent="0.35">
      <c r="A1695" s="3">
        <f xml:space="preserve"> ROW( data_scaledImpacts[[#This Row],[row_id]] ) - ROW( data_scaledImpacts[[#Headers],[row_id]] )</f>
        <v>1694</v>
      </c>
      <c r="B1695" s="41" t="str">
        <f xml:space="preserve"> _xlfn.TEXTJOIN( "", , data_scaledImpacts[[#This Row],[sector]:[impactType]] )</f>
        <v>UrbanDrainageGFDL-CM33N/A</v>
      </c>
      <c r="C1695" s="33" t="s">
        <v>225</v>
      </c>
      <c r="D1695" s="33" t="s">
        <v>5</v>
      </c>
      <c r="E1695" s="34">
        <v>3</v>
      </c>
      <c r="F1695" s="34"/>
      <c r="G1695" s="34" t="s">
        <v>201</v>
      </c>
      <c r="H1695" s="35"/>
      <c r="I1695" s="43" t="s">
        <v>54</v>
      </c>
      <c r="J1695" s="36"/>
      <c r="K1695" s="36"/>
      <c r="L1695" s="37"/>
      <c r="M1695" s="36"/>
      <c r="N1695" s="36"/>
      <c r="O1695" s="36"/>
    </row>
    <row r="1696" spans="1:16" hidden="1" x14ac:dyDescent="0.35">
      <c r="A1696" s="3">
        <f xml:space="preserve"> ROW( data_scaledImpacts[[#This Row],[row_id]] ) - ROW( data_scaledImpacts[[#Headers],[row_id]] )</f>
        <v>1695</v>
      </c>
      <c r="B1696" s="41" t="str">
        <f xml:space="preserve"> _xlfn.TEXTJOIN( "", , data_scaledImpacts[[#This Row],[sector]:[impactType]] )</f>
        <v>UrbanDrainageGCM Average3N/A</v>
      </c>
      <c r="C1696" s="33" t="s">
        <v>225</v>
      </c>
      <c r="D1696" s="33" t="s">
        <v>15</v>
      </c>
      <c r="E1696" s="34">
        <v>3</v>
      </c>
      <c r="F1696" s="34"/>
      <c r="G1696" s="34" t="s">
        <v>201</v>
      </c>
      <c r="H1696" s="35"/>
      <c r="I1696" s="43" t="s">
        <v>55</v>
      </c>
      <c r="J1696" s="36">
        <v>460.51484758171398</v>
      </c>
      <c r="K1696" s="36">
        <v>255.30527208791401</v>
      </c>
      <c r="L1696" s="37">
        <v>42.948061732492597</v>
      </c>
      <c r="M1696" s="36">
        <v>88.654327472530696</v>
      </c>
      <c r="N1696" s="36">
        <v>1547.1425297477999</v>
      </c>
      <c r="O1696" s="36">
        <v>1270.0364776230499</v>
      </c>
      <c r="P1696">
        <v>472.56103300536898</v>
      </c>
    </row>
    <row r="1697" spans="1:16" hidden="1" x14ac:dyDescent="0.35">
      <c r="A1697" s="3">
        <f xml:space="preserve"> ROW( data_scaledImpacts[[#This Row],[row_id]] ) - ROW( data_scaledImpacts[[#Headers],[row_id]] )</f>
        <v>1696</v>
      </c>
      <c r="B1697" s="41" t="str">
        <f xml:space="preserve"> _xlfn.TEXTJOIN( "", , data_scaledImpacts[[#This Row],[sector]:[impactType]] )</f>
        <v>UrbanDrainageCanESM24N/A</v>
      </c>
      <c r="C1697" s="33" t="s">
        <v>225</v>
      </c>
      <c r="D1697" s="33" t="s">
        <v>0</v>
      </c>
      <c r="E1697" s="34">
        <v>4</v>
      </c>
      <c r="F1697" s="34"/>
      <c r="G1697" s="34" t="s">
        <v>201</v>
      </c>
      <c r="H1697" s="35"/>
      <c r="I1697" s="43" t="s">
        <v>56</v>
      </c>
      <c r="J1697" s="36">
        <v>514.75787229954301</v>
      </c>
      <c r="K1697" s="36">
        <v>283.11276105095999</v>
      </c>
      <c r="L1697" s="37">
        <v>30.8584381664168</v>
      </c>
      <c r="M1697" s="36">
        <v>78.339056740800501</v>
      </c>
      <c r="N1697" s="36">
        <v>1226.09261978475</v>
      </c>
      <c r="O1697" s="36">
        <v>844.47862105250397</v>
      </c>
      <c r="P1697">
        <v>543.74927659129901</v>
      </c>
    </row>
    <row r="1698" spans="1:16" hidden="1" x14ac:dyDescent="0.35">
      <c r="A1698" s="3">
        <f xml:space="preserve"> ROW( data_scaledImpacts[[#This Row],[row_id]] ) - ROW( data_scaledImpacts[[#Headers],[row_id]] )</f>
        <v>1697</v>
      </c>
      <c r="B1698" s="41" t="str">
        <f xml:space="preserve"> _xlfn.TEXTJOIN( "", , data_scaledImpacts[[#This Row],[sector]:[impactType]] )</f>
        <v>UrbanDrainageCCSM44N/A</v>
      </c>
      <c r="C1698" s="33" t="s">
        <v>225</v>
      </c>
      <c r="D1698" s="33" t="s">
        <v>1</v>
      </c>
      <c r="E1698" s="34">
        <v>4</v>
      </c>
      <c r="F1698" s="34"/>
      <c r="G1698" s="34" t="s">
        <v>201</v>
      </c>
      <c r="H1698" s="35"/>
      <c r="I1698" s="43" t="s">
        <v>57</v>
      </c>
      <c r="J1698" s="36">
        <v>812.94727515869795</v>
      </c>
      <c r="K1698" s="36">
        <v>204.38275271742901</v>
      </c>
      <c r="L1698" s="37">
        <v>63.440701073746503</v>
      </c>
      <c r="M1698" s="36">
        <v>91.715236774392906</v>
      </c>
      <c r="N1698" s="36">
        <v>1824.51753716148</v>
      </c>
      <c r="O1698" s="36">
        <v>203.85954459346499</v>
      </c>
      <c r="P1698">
        <v>223.52812481706999</v>
      </c>
    </row>
    <row r="1699" spans="1:16" hidden="1" x14ac:dyDescent="0.35">
      <c r="A1699" s="3">
        <f xml:space="preserve"> ROW( data_scaledImpacts[[#This Row],[row_id]] ) - ROW( data_scaledImpacts[[#Headers],[row_id]] )</f>
        <v>1698</v>
      </c>
      <c r="B1699" s="41" t="str">
        <f xml:space="preserve"> _xlfn.TEXTJOIN( "", , data_scaledImpacts[[#This Row],[sector]:[impactType]] )</f>
        <v>UrbanDrainageGISS-E2-R4N/A</v>
      </c>
      <c r="C1699" s="33" t="s">
        <v>225</v>
      </c>
      <c r="D1699" s="33" t="s">
        <v>2</v>
      </c>
      <c r="E1699" s="34">
        <v>4</v>
      </c>
      <c r="F1699" s="34"/>
      <c r="G1699" s="34" t="s">
        <v>201</v>
      </c>
      <c r="H1699" s="35"/>
      <c r="I1699" s="43" t="s">
        <v>58</v>
      </c>
      <c r="J1699" s="36"/>
      <c r="K1699" s="36"/>
      <c r="L1699" s="37"/>
      <c r="M1699" s="36"/>
      <c r="N1699" s="36"/>
      <c r="O1699" s="36"/>
    </row>
    <row r="1700" spans="1:16" hidden="1" x14ac:dyDescent="0.35">
      <c r="A1700" s="3">
        <f xml:space="preserve"> ROW( data_scaledImpacts[[#This Row],[row_id]] ) - ROW( data_scaledImpacts[[#Headers],[row_id]] )</f>
        <v>1699</v>
      </c>
      <c r="B1700" s="41" t="str">
        <f xml:space="preserve"> _xlfn.TEXTJOIN( "", , data_scaledImpacts[[#This Row],[sector]:[impactType]] )</f>
        <v>UrbanDrainageHadGEM2-ES4N/A</v>
      </c>
      <c r="C1700" s="33" t="s">
        <v>225</v>
      </c>
      <c r="D1700" s="33" t="s">
        <v>3</v>
      </c>
      <c r="E1700" s="34">
        <v>4</v>
      </c>
      <c r="F1700" s="34"/>
      <c r="G1700" s="34" t="s">
        <v>201</v>
      </c>
      <c r="H1700" s="35"/>
      <c r="I1700" s="43" t="s">
        <v>59</v>
      </c>
      <c r="J1700" s="36">
        <v>895.05544676298302</v>
      </c>
      <c r="K1700" s="36">
        <v>503.52730080501999</v>
      </c>
      <c r="L1700" s="37">
        <v>34.6540722594332</v>
      </c>
      <c r="M1700" s="36">
        <v>126.258303520227</v>
      </c>
      <c r="N1700" s="36">
        <v>1424.0589463081701</v>
      </c>
      <c r="O1700" s="36">
        <v>1713.2953170554199</v>
      </c>
      <c r="P1700">
        <v>667.87447427330096</v>
      </c>
    </row>
    <row r="1701" spans="1:16" hidden="1" x14ac:dyDescent="0.35">
      <c r="A1701" s="3">
        <f xml:space="preserve"> ROW( data_scaledImpacts[[#This Row],[row_id]] ) - ROW( data_scaledImpacts[[#Headers],[row_id]] )</f>
        <v>1700</v>
      </c>
      <c r="B1701" s="41" t="str">
        <f xml:space="preserve"> _xlfn.TEXTJOIN( "", , data_scaledImpacts[[#This Row],[sector]:[impactType]] )</f>
        <v>UrbanDrainageMIROC54N/A</v>
      </c>
      <c r="C1701" s="33" t="s">
        <v>225</v>
      </c>
      <c r="D1701" s="33" t="s">
        <v>4</v>
      </c>
      <c r="E1701" s="34">
        <v>4</v>
      </c>
      <c r="F1701" s="34"/>
      <c r="G1701" s="34" t="s">
        <v>201</v>
      </c>
      <c r="H1701" s="35"/>
      <c r="I1701" s="43" t="s">
        <v>60</v>
      </c>
      <c r="J1701" s="36">
        <v>376.75495163702499</v>
      </c>
      <c r="K1701" s="36">
        <v>44.1209779601189</v>
      </c>
      <c r="L1701" s="37">
        <v>13.3109893702498</v>
      </c>
      <c r="M1701" s="36">
        <v>96.5980707465271</v>
      </c>
      <c r="N1701" s="36">
        <v>1982.9749446425801</v>
      </c>
      <c r="O1701" s="36">
        <v>2592.5080763025699</v>
      </c>
      <c r="P1701">
        <v>733.66633121517305</v>
      </c>
    </row>
    <row r="1702" spans="1:16" hidden="1" x14ac:dyDescent="0.35">
      <c r="A1702" s="3">
        <f xml:space="preserve"> ROW( data_scaledImpacts[[#This Row],[row_id]] ) - ROW( data_scaledImpacts[[#Headers],[row_id]] )</f>
        <v>1701</v>
      </c>
      <c r="B1702" s="41" t="str">
        <f xml:space="preserve"> _xlfn.TEXTJOIN( "", , data_scaledImpacts[[#This Row],[sector]:[impactType]] )</f>
        <v>UrbanDrainageGFDL-CM34N/A</v>
      </c>
      <c r="C1702" s="33" t="s">
        <v>225</v>
      </c>
      <c r="D1702" s="33" t="s">
        <v>5</v>
      </c>
      <c r="E1702" s="34">
        <v>4</v>
      </c>
      <c r="F1702" s="34"/>
      <c r="G1702" s="34" t="s">
        <v>201</v>
      </c>
      <c r="H1702" s="35"/>
      <c r="I1702" s="43" t="s">
        <v>61</v>
      </c>
      <c r="J1702" s="36"/>
      <c r="K1702" s="36"/>
      <c r="L1702" s="37"/>
      <c r="M1702" s="36"/>
      <c r="N1702" s="36"/>
      <c r="O1702" s="36"/>
    </row>
    <row r="1703" spans="1:16" hidden="1" x14ac:dyDescent="0.35">
      <c r="A1703" s="3">
        <f xml:space="preserve"> ROW( data_scaledImpacts[[#This Row],[row_id]] ) - ROW( data_scaledImpacts[[#Headers],[row_id]] )</f>
        <v>1702</v>
      </c>
      <c r="B1703" s="41" t="str">
        <f xml:space="preserve"> _xlfn.TEXTJOIN( "", , data_scaledImpacts[[#This Row],[sector]:[impactType]] )</f>
        <v>UrbanDrainageGCM Average4N/A</v>
      </c>
      <c r="C1703" s="33" t="s">
        <v>225</v>
      </c>
      <c r="D1703" s="33" t="s">
        <v>15</v>
      </c>
      <c r="E1703" s="34">
        <v>4</v>
      </c>
      <c r="F1703" s="34"/>
      <c r="G1703" s="34" t="s">
        <v>201</v>
      </c>
      <c r="H1703" s="35"/>
      <c r="I1703" s="43" t="s">
        <v>62</v>
      </c>
      <c r="J1703" s="36">
        <v>649.87888646456202</v>
      </c>
      <c r="K1703" s="36">
        <v>258.78594813338202</v>
      </c>
      <c r="L1703" s="37">
        <v>35.566050217461601</v>
      </c>
      <c r="M1703" s="36">
        <v>98.227666945486902</v>
      </c>
      <c r="N1703" s="36">
        <v>1614.41101197425</v>
      </c>
      <c r="O1703" s="36">
        <v>1338.5353897509899</v>
      </c>
      <c r="P1703">
        <v>542.204551724211</v>
      </c>
    </row>
    <row r="1704" spans="1:16" hidden="1" x14ac:dyDescent="0.35">
      <c r="A1704" s="3">
        <f xml:space="preserve"> ROW( data_scaledImpacts[[#This Row],[row_id]] ) - ROW( data_scaledImpacts[[#Headers],[row_id]] )</f>
        <v>1703</v>
      </c>
      <c r="B1704" s="41" t="str">
        <f xml:space="preserve"> _xlfn.TEXTJOIN( "", , data_scaledImpacts[[#This Row],[sector]:[impactType]] )</f>
        <v>UrbanDrainageCanESM25N/A</v>
      </c>
      <c r="C1704" s="33" t="s">
        <v>225</v>
      </c>
      <c r="D1704" s="33" t="s">
        <v>0</v>
      </c>
      <c r="E1704" s="34">
        <v>5</v>
      </c>
      <c r="F1704" s="34"/>
      <c r="G1704" s="34" t="s">
        <v>201</v>
      </c>
      <c r="H1704" s="35"/>
      <c r="I1704" s="43" t="s">
        <v>63</v>
      </c>
      <c r="J1704" s="36">
        <v>652.17962127692999</v>
      </c>
      <c r="K1704" s="36">
        <v>176.64894919503499</v>
      </c>
      <c r="L1704" s="37">
        <v>42.8493836104903</v>
      </c>
      <c r="M1704" s="36">
        <v>75.027263492946702</v>
      </c>
      <c r="N1704" s="36">
        <v>1197.87323183783</v>
      </c>
      <c r="O1704" s="36">
        <v>1151.7475107114601</v>
      </c>
      <c r="P1704">
        <v>739.57063781243403</v>
      </c>
    </row>
    <row r="1705" spans="1:16" hidden="1" x14ac:dyDescent="0.35">
      <c r="A1705" s="3">
        <f xml:space="preserve"> ROW( data_scaledImpacts[[#This Row],[row_id]] ) - ROW( data_scaledImpacts[[#Headers],[row_id]] )</f>
        <v>1704</v>
      </c>
      <c r="B1705" s="41" t="str">
        <f xml:space="preserve"> _xlfn.TEXTJOIN( "", , data_scaledImpacts[[#This Row],[sector]:[impactType]] )</f>
        <v>UrbanDrainageCCSM45N/A</v>
      </c>
      <c r="C1705" s="33" t="s">
        <v>225</v>
      </c>
      <c r="D1705" s="33" t="s">
        <v>1</v>
      </c>
      <c r="E1705" s="34">
        <v>5</v>
      </c>
      <c r="F1705" s="34"/>
      <c r="G1705" s="34" t="s">
        <v>201</v>
      </c>
      <c r="H1705" s="35"/>
      <c r="I1705" s="43" t="s">
        <v>64</v>
      </c>
      <c r="J1705" s="36">
        <v>23.912702402857999</v>
      </c>
      <c r="K1705" s="36">
        <v>258.58571624136499</v>
      </c>
      <c r="L1705" s="37">
        <v>-4.8800539287514599</v>
      </c>
      <c r="M1705" s="36">
        <v>109.191946221485</v>
      </c>
      <c r="N1705" s="36">
        <v>2385.9738070862199</v>
      </c>
      <c r="O1705" s="36">
        <v>300.81416460463703</v>
      </c>
      <c r="P1705">
        <v>256.583546034633</v>
      </c>
    </row>
    <row r="1706" spans="1:16" hidden="1" x14ac:dyDescent="0.35">
      <c r="A1706" s="3">
        <f xml:space="preserve"> ROW( data_scaledImpacts[[#This Row],[row_id]] ) - ROW( data_scaledImpacts[[#Headers],[row_id]] )</f>
        <v>1705</v>
      </c>
      <c r="B1706" s="41" t="str">
        <f xml:space="preserve"> _xlfn.TEXTJOIN( "", , data_scaledImpacts[[#This Row],[sector]:[impactType]] )</f>
        <v>UrbanDrainageGISS-E2-R5N/A</v>
      </c>
      <c r="C1706" s="33" t="s">
        <v>225</v>
      </c>
      <c r="D1706" s="33" t="s">
        <v>2</v>
      </c>
      <c r="E1706" s="34">
        <v>5</v>
      </c>
      <c r="F1706" s="34"/>
      <c r="G1706" s="34" t="s">
        <v>201</v>
      </c>
      <c r="H1706" s="35"/>
      <c r="I1706" s="43" t="s">
        <v>65</v>
      </c>
      <c r="J1706" s="36"/>
      <c r="K1706" s="36"/>
      <c r="L1706" s="37"/>
      <c r="M1706" s="36"/>
      <c r="N1706" s="36"/>
      <c r="O1706" s="36"/>
    </row>
    <row r="1707" spans="1:16" hidden="1" x14ac:dyDescent="0.35">
      <c r="A1707" s="3">
        <f xml:space="preserve"> ROW( data_scaledImpacts[[#This Row],[row_id]] ) - ROW( data_scaledImpacts[[#Headers],[row_id]] )</f>
        <v>1706</v>
      </c>
      <c r="B1707" s="41" t="str">
        <f xml:space="preserve"> _xlfn.TEXTJOIN( "", , data_scaledImpacts[[#This Row],[sector]:[impactType]] )</f>
        <v>UrbanDrainageHadGEM2-ES5N/A</v>
      </c>
      <c r="C1707" s="33" t="s">
        <v>225</v>
      </c>
      <c r="D1707" s="33" t="s">
        <v>3</v>
      </c>
      <c r="E1707" s="34">
        <v>5</v>
      </c>
      <c r="F1707" s="34"/>
      <c r="G1707" s="34" t="s">
        <v>201</v>
      </c>
      <c r="H1707" s="35"/>
      <c r="I1707" s="43" t="s">
        <v>66</v>
      </c>
      <c r="J1707" s="36">
        <v>1251.0902359453</v>
      </c>
      <c r="K1707" s="36">
        <v>446.95569344106599</v>
      </c>
      <c r="L1707" s="37">
        <v>26.295742224534401</v>
      </c>
      <c r="M1707" s="36">
        <v>113.06023221946</v>
      </c>
      <c r="N1707" s="36">
        <v>2050.2458493424201</v>
      </c>
      <c r="O1707" s="36">
        <v>2001.9495276146799</v>
      </c>
      <c r="P1707">
        <v>826.26964773814996</v>
      </c>
    </row>
    <row r="1708" spans="1:16" hidden="1" x14ac:dyDescent="0.35">
      <c r="A1708" s="3">
        <f xml:space="preserve"> ROW( data_scaledImpacts[[#This Row],[row_id]] ) - ROW( data_scaledImpacts[[#Headers],[row_id]] )</f>
        <v>1707</v>
      </c>
      <c r="B1708" s="41" t="str">
        <f xml:space="preserve"> _xlfn.TEXTJOIN( "", , data_scaledImpacts[[#This Row],[sector]:[impactType]] )</f>
        <v>UrbanDrainageMIROC55N/A</v>
      </c>
      <c r="C1708" s="33" t="s">
        <v>225</v>
      </c>
      <c r="D1708" s="33" t="s">
        <v>4</v>
      </c>
      <c r="E1708" s="34">
        <v>5</v>
      </c>
      <c r="F1708" s="34"/>
      <c r="G1708" s="34" t="s">
        <v>201</v>
      </c>
      <c r="H1708" s="35"/>
      <c r="I1708" s="43" t="s">
        <v>67</v>
      </c>
      <c r="J1708" s="36">
        <v>551.38298692658498</v>
      </c>
      <c r="K1708" s="36">
        <v>41.903339771237498</v>
      </c>
      <c r="L1708" s="37">
        <v>12.1958678567507</v>
      </c>
      <c r="M1708" s="36">
        <v>81.920884202613905</v>
      </c>
      <c r="N1708" s="36">
        <v>2459.5867189557298</v>
      </c>
      <c r="O1708" s="36">
        <v>2499.5283439129498</v>
      </c>
      <c r="P1708">
        <v>741.84083864980096</v>
      </c>
    </row>
    <row r="1709" spans="1:16" hidden="1" x14ac:dyDescent="0.35">
      <c r="A1709" s="3">
        <f xml:space="preserve"> ROW( data_scaledImpacts[[#This Row],[row_id]] ) - ROW( data_scaledImpacts[[#Headers],[row_id]] )</f>
        <v>1708</v>
      </c>
      <c r="B1709" s="41" t="str">
        <f xml:space="preserve"> _xlfn.TEXTJOIN( "", , data_scaledImpacts[[#This Row],[sector]:[impactType]] )</f>
        <v>UrbanDrainageGFDL-CM35N/A</v>
      </c>
      <c r="C1709" s="33" t="s">
        <v>225</v>
      </c>
      <c r="D1709" s="33" t="s">
        <v>5</v>
      </c>
      <c r="E1709" s="34">
        <v>5</v>
      </c>
      <c r="F1709" s="34"/>
      <c r="G1709" s="34" t="s">
        <v>201</v>
      </c>
      <c r="H1709" s="35"/>
      <c r="I1709" s="43" t="s">
        <v>68</v>
      </c>
      <c r="J1709" s="36"/>
      <c r="K1709" s="36"/>
      <c r="L1709" s="37"/>
      <c r="M1709" s="36"/>
      <c r="N1709" s="36"/>
      <c r="O1709" s="36"/>
    </row>
    <row r="1710" spans="1:16" hidden="1" x14ac:dyDescent="0.35">
      <c r="A1710" s="3">
        <f xml:space="preserve"> ROW( data_scaledImpacts[[#This Row],[row_id]] ) - ROW( data_scaledImpacts[[#Headers],[row_id]] )</f>
        <v>1709</v>
      </c>
      <c r="B1710" s="41" t="str">
        <f xml:space="preserve"> _xlfn.TEXTJOIN( "", , data_scaledImpacts[[#This Row],[sector]:[impactType]] )</f>
        <v>UrbanDrainageGCM Average5N/A</v>
      </c>
      <c r="C1710" s="33" t="s">
        <v>225</v>
      </c>
      <c r="D1710" s="33" t="s">
        <v>15</v>
      </c>
      <c r="E1710" s="34">
        <v>5</v>
      </c>
      <c r="F1710" s="34"/>
      <c r="G1710" s="34" t="s">
        <v>201</v>
      </c>
      <c r="H1710" s="35"/>
      <c r="I1710" s="43" t="s">
        <v>69</v>
      </c>
      <c r="J1710" s="36">
        <v>619.64138663791698</v>
      </c>
      <c r="K1710" s="36">
        <v>231.02342466217601</v>
      </c>
      <c r="L1710" s="37">
        <v>19.115234940756</v>
      </c>
      <c r="M1710" s="36">
        <v>94.800081534126406</v>
      </c>
      <c r="N1710" s="36">
        <v>2023.4199018055499</v>
      </c>
      <c r="O1710" s="36">
        <v>1488.50988671093</v>
      </c>
      <c r="P1710">
        <v>641.06616755875405</v>
      </c>
    </row>
    <row r="1711" spans="1:16" hidden="1" x14ac:dyDescent="0.35">
      <c r="A1711" s="3">
        <f xml:space="preserve"> ROW( data_scaledImpacts[[#This Row],[row_id]] ) - ROW( data_scaledImpacts[[#Headers],[row_id]] )</f>
        <v>1710</v>
      </c>
      <c r="B1711" s="41" t="str">
        <f xml:space="preserve"> _xlfn.TEXTJOIN( "", , data_scaledImpacts[[#This Row],[sector]:[impactType]] )</f>
        <v>UrbanDrainageCanESM26N/A</v>
      </c>
      <c r="C1711" s="33" t="s">
        <v>225</v>
      </c>
      <c r="D1711" s="33" t="s">
        <v>0</v>
      </c>
      <c r="E1711" s="34">
        <v>6</v>
      </c>
      <c r="F1711" s="34"/>
      <c r="G1711" s="34" t="s">
        <v>201</v>
      </c>
      <c r="H1711" s="35"/>
      <c r="I1711" s="43" t="s">
        <v>70</v>
      </c>
      <c r="J1711" s="36">
        <v>337.17621089315099</v>
      </c>
      <c r="K1711" s="36">
        <v>159.099725743747</v>
      </c>
      <c r="L1711" s="37">
        <v>90.953949746026694</v>
      </c>
      <c r="M1711" s="36">
        <v>63.628556862544997</v>
      </c>
      <c r="N1711" s="36">
        <v>1457.1204922709301</v>
      </c>
      <c r="O1711" s="36">
        <v>2161.1720428691801</v>
      </c>
      <c r="P1711">
        <v>990.24271897799099</v>
      </c>
    </row>
    <row r="1712" spans="1:16" hidden="1" x14ac:dyDescent="0.35">
      <c r="A1712" s="3">
        <f xml:space="preserve"> ROW( data_scaledImpacts[[#This Row],[row_id]] ) - ROW( data_scaledImpacts[[#Headers],[row_id]] )</f>
        <v>1711</v>
      </c>
      <c r="B1712" s="41" t="str">
        <f xml:space="preserve"> _xlfn.TEXTJOIN( "", , data_scaledImpacts[[#This Row],[sector]:[impactType]] )</f>
        <v>UrbanDrainageCCSM46N/A</v>
      </c>
      <c r="C1712" s="33" t="s">
        <v>225</v>
      </c>
      <c r="D1712" s="33" t="s">
        <v>1</v>
      </c>
      <c r="E1712" s="34">
        <v>6</v>
      </c>
      <c r="F1712" s="34"/>
      <c r="G1712" s="34" t="s">
        <v>201</v>
      </c>
      <c r="H1712" s="35"/>
      <c r="I1712" s="43" t="s">
        <v>71</v>
      </c>
      <c r="J1712" s="36"/>
      <c r="K1712" s="36"/>
      <c r="L1712" s="37"/>
      <c r="M1712" s="36"/>
      <c r="N1712" s="36"/>
      <c r="O1712" s="36"/>
    </row>
    <row r="1713" spans="1:16" hidden="1" x14ac:dyDescent="0.35">
      <c r="A1713" s="3">
        <f xml:space="preserve"> ROW( data_scaledImpacts[[#This Row],[row_id]] ) - ROW( data_scaledImpacts[[#Headers],[row_id]] )</f>
        <v>1712</v>
      </c>
      <c r="B1713" s="41" t="str">
        <f xml:space="preserve"> _xlfn.TEXTJOIN( "", , data_scaledImpacts[[#This Row],[sector]:[impactType]] )</f>
        <v>UrbanDrainageGISS-E2-R6N/A</v>
      </c>
      <c r="C1713" s="33" t="s">
        <v>225</v>
      </c>
      <c r="D1713" s="33" t="s">
        <v>2</v>
      </c>
      <c r="E1713" s="34">
        <v>6</v>
      </c>
      <c r="F1713" s="34"/>
      <c r="G1713" s="34" t="s">
        <v>201</v>
      </c>
      <c r="H1713" s="35"/>
      <c r="I1713" s="43" t="s">
        <v>72</v>
      </c>
      <c r="J1713" s="36"/>
      <c r="K1713" s="36"/>
      <c r="L1713" s="37"/>
      <c r="M1713" s="36"/>
      <c r="N1713" s="36"/>
      <c r="O1713" s="36"/>
    </row>
    <row r="1714" spans="1:16" hidden="1" x14ac:dyDescent="0.35">
      <c r="A1714" s="3">
        <f xml:space="preserve"> ROW( data_scaledImpacts[[#This Row],[row_id]] ) - ROW( data_scaledImpacts[[#Headers],[row_id]] )</f>
        <v>1713</v>
      </c>
      <c r="B1714" s="41" t="str">
        <f xml:space="preserve"> _xlfn.TEXTJOIN( "", , data_scaledImpacts[[#This Row],[sector]:[impactType]] )</f>
        <v>UrbanDrainageHadGEM2-ES6N/A</v>
      </c>
      <c r="C1714" s="33" t="s">
        <v>225</v>
      </c>
      <c r="D1714" s="33" t="s">
        <v>3</v>
      </c>
      <c r="E1714" s="34">
        <v>6</v>
      </c>
      <c r="F1714" s="34"/>
      <c r="G1714" s="34" t="s">
        <v>201</v>
      </c>
      <c r="H1714" s="35"/>
      <c r="I1714" s="43" t="s">
        <v>73</v>
      </c>
      <c r="J1714" s="36">
        <v>1261.85542529187</v>
      </c>
      <c r="K1714" s="36">
        <v>320.96038640711299</v>
      </c>
      <c r="L1714" s="37">
        <v>58.290867426627997</v>
      </c>
      <c r="M1714" s="36">
        <v>110.43717515162101</v>
      </c>
      <c r="N1714" s="36">
        <v>2456.6359946762</v>
      </c>
      <c r="O1714" s="36">
        <v>2324.77529099291</v>
      </c>
      <c r="P1714">
        <v>884.17437604639895</v>
      </c>
    </row>
    <row r="1715" spans="1:16" hidden="1" x14ac:dyDescent="0.35">
      <c r="A1715" s="3">
        <f xml:space="preserve"> ROW( data_scaledImpacts[[#This Row],[row_id]] ) - ROW( data_scaledImpacts[[#Headers],[row_id]] )</f>
        <v>1714</v>
      </c>
      <c r="B1715" s="41" t="str">
        <f xml:space="preserve"> _xlfn.TEXTJOIN( "", , data_scaledImpacts[[#This Row],[sector]:[impactType]] )</f>
        <v>UrbanDrainageMIROC56N/A</v>
      </c>
      <c r="C1715" s="33" t="s">
        <v>225</v>
      </c>
      <c r="D1715" s="33" t="s">
        <v>4</v>
      </c>
      <c r="E1715" s="34">
        <v>6</v>
      </c>
      <c r="F1715" s="34"/>
      <c r="G1715" s="34" t="s">
        <v>201</v>
      </c>
      <c r="H1715" s="35"/>
      <c r="I1715" s="43" t="s">
        <v>74</v>
      </c>
      <c r="J1715" s="36"/>
      <c r="K1715" s="36"/>
      <c r="L1715" s="37"/>
      <c r="M1715" s="36"/>
      <c r="N1715" s="36"/>
      <c r="O1715" s="36"/>
    </row>
    <row r="1716" spans="1:16" hidden="1" x14ac:dyDescent="0.35">
      <c r="A1716" s="3">
        <f xml:space="preserve"> ROW( data_scaledImpacts[[#This Row],[row_id]] ) - ROW( data_scaledImpacts[[#Headers],[row_id]] )</f>
        <v>1715</v>
      </c>
      <c r="B1716" s="41" t="str">
        <f xml:space="preserve"> _xlfn.TEXTJOIN( "", , data_scaledImpacts[[#This Row],[sector]:[impactType]] )</f>
        <v>UrbanDrainageGFDL-CM36N/A</v>
      </c>
      <c r="C1716" s="33" t="s">
        <v>225</v>
      </c>
      <c r="D1716" s="33" t="s">
        <v>5</v>
      </c>
      <c r="E1716" s="34">
        <v>6</v>
      </c>
      <c r="F1716" s="34"/>
      <c r="G1716" s="34" t="s">
        <v>201</v>
      </c>
      <c r="H1716" s="35"/>
      <c r="I1716" s="43" t="s">
        <v>75</v>
      </c>
      <c r="J1716" s="36"/>
      <c r="K1716" s="36"/>
      <c r="L1716" s="37"/>
      <c r="M1716" s="36"/>
      <c r="N1716" s="36"/>
      <c r="O1716" s="36"/>
    </row>
    <row r="1717" spans="1:16" hidden="1" x14ac:dyDescent="0.35">
      <c r="A1717" s="3">
        <f xml:space="preserve"> ROW( data_scaledImpacts[[#This Row],[row_id]] ) - ROW( data_scaledImpacts[[#Headers],[row_id]] )</f>
        <v>1716</v>
      </c>
      <c r="B1717" s="41" t="str">
        <f xml:space="preserve"> _xlfn.TEXTJOIN( "", , data_scaledImpacts[[#This Row],[sector]:[impactType]] )</f>
        <v>UrbanDrainageGCM Average6N/A</v>
      </c>
      <c r="C1717" s="33" t="s">
        <v>225</v>
      </c>
      <c r="D1717" s="33" t="s">
        <v>15</v>
      </c>
      <c r="E1717" s="34">
        <v>6</v>
      </c>
      <c r="F1717" s="34"/>
      <c r="G1717" s="34" t="s">
        <v>201</v>
      </c>
      <c r="H1717" s="35"/>
      <c r="I1717" s="43" t="s">
        <v>76</v>
      </c>
      <c r="J1717" s="36">
        <v>799.51581809251297</v>
      </c>
      <c r="K1717" s="36">
        <v>240.03005607543</v>
      </c>
      <c r="L1717" s="37">
        <v>74.622408586327296</v>
      </c>
      <c r="M1717" s="36">
        <v>87.032866007083001</v>
      </c>
      <c r="N1717" s="36">
        <v>1956.8782434735599</v>
      </c>
      <c r="O1717" s="36">
        <v>2242.97366693104</v>
      </c>
      <c r="P1717">
        <v>937.20854751219497</v>
      </c>
    </row>
    <row r="1718" spans="1:16" hidden="1" x14ac:dyDescent="0.35">
      <c r="A1718" s="3">
        <f xml:space="preserve"> ROW( data_scaledImpacts[[#This Row],[row_id]] ) - ROW( data_scaledImpacts[[#Headers],[row_id]] )</f>
        <v>1717</v>
      </c>
      <c r="B1718" s="41" t="str">
        <f xml:space="preserve"> _xlfn.TEXTJOIN( "", , data_scaledImpacts[[#This Row],[sector]:[impactType]] )</f>
        <v>UrbanDrainageCanESM27N/A</v>
      </c>
      <c r="C1718" s="33" t="s">
        <v>225</v>
      </c>
      <c r="D1718" s="33" t="s">
        <v>0</v>
      </c>
      <c r="E1718" s="34">
        <v>7</v>
      </c>
      <c r="F1718" s="34"/>
      <c r="G1718" s="34" t="s">
        <v>201</v>
      </c>
      <c r="H1718" s="35"/>
      <c r="I1718" s="43" t="s">
        <v>77</v>
      </c>
      <c r="J1718" s="36"/>
      <c r="K1718" s="36"/>
      <c r="L1718" s="37"/>
      <c r="M1718" s="36"/>
      <c r="N1718" s="36"/>
      <c r="O1718" s="36"/>
    </row>
    <row r="1719" spans="1:16" hidden="1" x14ac:dyDescent="0.35">
      <c r="A1719" s="3">
        <f xml:space="preserve"> ROW( data_scaledImpacts[[#This Row],[row_id]] ) - ROW( data_scaledImpacts[[#Headers],[row_id]] )</f>
        <v>1718</v>
      </c>
      <c r="B1719" s="41" t="str">
        <f xml:space="preserve"> _xlfn.TEXTJOIN( "", , data_scaledImpacts[[#This Row],[sector]:[impactType]] )</f>
        <v>UrbanDrainageCCSM47N/A</v>
      </c>
      <c r="C1719" s="33" t="s">
        <v>225</v>
      </c>
      <c r="D1719" s="33" t="s">
        <v>1</v>
      </c>
      <c r="E1719" s="34">
        <v>7</v>
      </c>
      <c r="F1719" s="34"/>
      <c r="G1719" s="34" t="s">
        <v>201</v>
      </c>
      <c r="H1719" s="35"/>
      <c r="I1719" s="43" t="s">
        <v>78</v>
      </c>
      <c r="J1719" s="36"/>
      <c r="K1719" s="36"/>
      <c r="L1719" s="37"/>
      <c r="M1719" s="36"/>
      <c r="N1719" s="36"/>
      <c r="O1719" s="36"/>
    </row>
    <row r="1720" spans="1:16" hidden="1" x14ac:dyDescent="0.35">
      <c r="A1720" s="3">
        <f xml:space="preserve"> ROW( data_scaledImpacts[[#This Row],[row_id]] ) - ROW( data_scaledImpacts[[#Headers],[row_id]] )</f>
        <v>1719</v>
      </c>
      <c r="B1720" s="41" t="str">
        <f xml:space="preserve"> _xlfn.TEXTJOIN( "", , data_scaledImpacts[[#This Row],[sector]:[impactType]] )</f>
        <v>UrbanDrainageGISS-E2-R7N/A</v>
      </c>
      <c r="C1720" s="33" t="s">
        <v>225</v>
      </c>
      <c r="D1720" s="33" t="s">
        <v>2</v>
      </c>
      <c r="E1720" s="34">
        <v>7</v>
      </c>
      <c r="F1720" s="34"/>
      <c r="G1720" s="34" t="s">
        <v>201</v>
      </c>
      <c r="H1720" s="35"/>
      <c r="I1720" s="43" t="s">
        <v>79</v>
      </c>
      <c r="J1720" s="36"/>
      <c r="K1720" s="36"/>
      <c r="L1720" s="37"/>
      <c r="M1720" s="36"/>
      <c r="N1720" s="36"/>
      <c r="O1720" s="36"/>
    </row>
    <row r="1721" spans="1:16" hidden="1" x14ac:dyDescent="0.35">
      <c r="A1721" s="3">
        <f xml:space="preserve"> ROW( data_scaledImpacts[[#This Row],[row_id]] ) - ROW( data_scaledImpacts[[#Headers],[row_id]] )</f>
        <v>1720</v>
      </c>
      <c r="B1721" s="41" t="str">
        <f xml:space="preserve"> _xlfn.TEXTJOIN( "", , data_scaledImpacts[[#This Row],[sector]:[impactType]] )</f>
        <v>UrbanDrainageHadGEM2-ES7N/A</v>
      </c>
      <c r="C1721" s="33" t="s">
        <v>225</v>
      </c>
      <c r="D1721" s="33" t="s">
        <v>3</v>
      </c>
      <c r="E1721" s="34">
        <v>7</v>
      </c>
      <c r="F1721" s="34"/>
      <c r="G1721" s="34" t="s">
        <v>201</v>
      </c>
      <c r="H1721" s="35"/>
      <c r="I1721" s="43" t="s">
        <v>80</v>
      </c>
      <c r="J1721" s="36"/>
      <c r="K1721" s="36"/>
      <c r="L1721" s="37"/>
      <c r="M1721" s="36"/>
      <c r="N1721" s="36"/>
      <c r="O1721" s="36"/>
    </row>
    <row r="1722" spans="1:16" hidden="1" x14ac:dyDescent="0.35">
      <c r="A1722" s="3">
        <f xml:space="preserve"> ROW( data_scaledImpacts[[#This Row],[row_id]] ) - ROW( data_scaledImpacts[[#Headers],[row_id]] )</f>
        <v>1721</v>
      </c>
      <c r="B1722" s="41" t="str">
        <f xml:space="preserve"> _xlfn.TEXTJOIN( "", , data_scaledImpacts[[#This Row],[sector]:[impactType]] )</f>
        <v>UrbanDrainageMIROC57N/A</v>
      </c>
      <c r="C1722" s="33" t="s">
        <v>225</v>
      </c>
      <c r="D1722" s="33" t="s">
        <v>4</v>
      </c>
      <c r="E1722" s="34">
        <v>7</v>
      </c>
      <c r="F1722" s="34"/>
      <c r="G1722" s="34" t="s">
        <v>201</v>
      </c>
      <c r="H1722" s="35"/>
      <c r="I1722" s="43" t="s">
        <v>81</v>
      </c>
      <c r="J1722" s="36"/>
      <c r="K1722" s="36"/>
      <c r="L1722" s="37"/>
      <c r="M1722" s="36"/>
      <c r="N1722" s="36"/>
      <c r="O1722" s="36"/>
    </row>
    <row r="1723" spans="1:16" hidden="1" x14ac:dyDescent="0.35">
      <c r="A1723" s="3">
        <f xml:space="preserve"> ROW( data_scaledImpacts[[#This Row],[row_id]] ) - ROW( data_scaledImpacts[[#Headers],[row_id]] )</f>
        <v>1722</v>
      </c>
      <c r="B1723" s="41" t="str">
        <f xml:space="preserve"> _xlfn.TEXTJOIN( "", , data_scaledImpacts[[#This Row],[sector]:[impactType]] )</f>
        <v>UrbanDrainageGFDL-CM37N/A</v>
      </c>
      <c r="C1723" s="33" t="s">
        <v>225</v>
      </c>
      <c r="D1723" s="33" t="s">
        <v>5</v>
      </c>
      <c r="E1723" s="34">
        <v>7</v>
      </c>
      <c r="F1723" s="34"/>
      <c r="G1723" s="34" t="s">
        <v>201</v>
      </c>
      <c r="H1723" s="35"/>
      <c r="I1723" s="43" t="s">
        <v>82</v>
      </c>
      <c r="J1723" s="36"/>
      <c r="K1723" s="36"/>
      <c r="L1723" s="37"/>
      <c r="M1723" s="36"/>
      <c r="N1723" s="36"/>
      <c r="O1723" s="36"/>
    </row>
    <row r="1724" spans="1:16" hidden="1" x14ac:dyDescent="0.35">
      <c r="A1724" s="3">
        <f xml:space="preserve"> ROW( data_scaledImpacts[[#This Row],[row_id]] ) - ROW( data_scaledImpacts[[#Headers],[row_id]] )</f>
        <v>1723</v>
      </c>
      <c r="B1724" s="41" t="str">
        <f xml:space="preserve"> _xlfn.TEXTJOIN( "", , data_scaledImpacts[[#This Row],[sector]:[impactType]] )</f>
        <v>UrbanDrainageGCM Average7N/A</v>
      </c>
      <c r="C1724" s="33" t="s">
        <v>225</v>
      </c>
      <c r="D1724" s="33" t="s">
        <v>15</v>
      </c>
      <c r="E1724" s="34">
        <v>7</v>
      </c>
      <c r="F1724" s="34"/>
      <c r="G1724" s="34" t="s">
        <v>201</v>
      </c>
      <c r="H1724" s="35"/>
      <c r="I1724" s="43" t="s">
        <v>83</v>
      </c>
      <c r="J1724" s="36"/>
      <c r="K1724" s="36"/>
      <c r="L1724" s="37"/>
      <c r="M1724" s="36"/>
      <c r="N1724" s="36"/>
      <c r="O1724" s="36"/>
    </row>
    <row r="1725" spans="1:16" hidden="1" x14ac:dyDescent="0.35">
      <c r="A1725" s="3">
        <f xml:space="preserve"> ROW( data_scaledImpacts[[#This Row],[row_id]] ) - ROW( data_scaledImpacts[[#Headers],[row_id]] )</f>
        <v>1724</v>
      </c>
      <c r="B1725" s="41" t="str">
        <f xml:space="preserve"> _xlfn.TEXTJOIN( "", , data_scaledImpacts[[#This Row],[sector]:[impactType]] )</f>
        <v/>
      </c>
      <c r="C1725" s="33"/>
      <c r="D1725" s="33"/>
      <c r="E1725" s="34"/>
      <c r="F1725" s="34"/>
      <c r="G1725" s="34"/>
      <c r="H1725" s="35"/>
      <c r="I1725" s="43"/>
      <c r="J1725" s="36"/>
      <c r="K1725" s="36"/>
      <c r="L1725" s="37"/>
      <c r="M1725" s="36"/>
      <c r="N1725" s="36"/>
      <c r="O1725" s="36"/>
    </row>
    <row r="1726" spans="1:16" hidden="1" x14ac:dyDescent="0.35">
      <c r="A1726" s="3">
        <f xml:space="preserve"> ROW( data_scaledImpacts[[#This Row],[row_id]] ) - ROW( data_scaledImpacts[[#Headers],[row_id]] )</f>
        <v>1725</v>
      </c>
      <c r="B1726" s="41" t="str">
        <f xml:space="preserve"> _xlfn.TEXTJOIN( "", , data_scaledImpacts[[#This Row],[sector]:[impactType]] )</f>
        <v>WaterQualityCanESM21N/A</v>
      </c>
      <c r="C1726" s="33" t="s">
        <v>227</v>
      </c>
      <c r="D1726" s="33" t="s">
        <v>0</v>
      </c>
      <c r="E1726" s="34">
        <v>1</v>
      </c>
      <c r="F1726" s="34"/>
      <c r="G1726" s="34" t="s">
        <v>201</v>
      </c>
      <c r="H1726" s="35"/>
      <c r="I1726" s="43" t="s">
        <v>35</v>
      </c>
      <c r="J1726" s="36">
        <v>1.52966632669348</v>
      </c>
      <c r="K1726" s="36">
        <v>2.13320347573729</v>
      </c>
      <c r="L1726" s="37">
        <v>1.2993146883479101</v>
      </c>
      <c r="M1726" s="36">
        <v>2.1468781634061398</v>
      </c>
      <c r="N1726" s="36">
        <v>1.08177236835922</v>
      </c>
      <c r="O1726" s="36">
        <v>1.0814849768412</v>
      </c>
      <c r="P1726">
        <v>1.60413564605505</v>
      </c>
    </row>
    <row r="1727" spans="1:16" hidden="1" x14ac:dyDescent="0.35">
      <c r="A1727" s="3">
        <f xml:space="preserve"> ROW( data_scaledImpacts[[#This Row],[row_id]] ) - ROW( data_scaledImpacts[[#Headers],[row_id]] )</f>
        <v>1726</v>
      </c>
      <c r="B1727" s="41" t="str">
        <f xml:space="preserve"> _xlfn.TEXTJOIN( "", , data_scaledImpacts[[#This Row],[sector]:[impactType]] )</f>
        <v>WaterQualityCCSM41N/A</v>
      </c>
      <c r="C1727" s="33" t="s">
        <v>227</v>
      </c>
      <c r="D1727" s="33" t="s">
        <v>1</v>
      </c>
      <c r="E1727" s="34">
        <v>1</v>
      </c>
      <c r="F1727" s="34"/>
      <c r="G1727" s="34" t="s">
        <v>201</v>
      </c>
      <c r="H1727" s="35"/>
      <c r="I1727" s="43" t="s">
        <v>36</v>
      </c>
      <c r="J1727" s="36">
        <v>1.1226962513040399</v>
      </c>
      <c r="K1727" s="36">
        <v>1.5439006579085399</v>
      </c>
      <c r="L1727" s="37">
        <v>1.2669580796451001</v>
      </c>
      <c r="M1727" s="36">
        <v>1.4542998276655199</v>
      </c>
      <c r="N1727" s="36">
        <v>0.92956127643947195</v>
      </c>
      <c r="O1727" s="36">
        <v>1.0017774081623401</v>
      </c>
      <c r="P1727">
        <v>1.46305857318322</v>
      </c>
    </row>
    <row r="1728" spans="1:16" hidden="1" x14ac:dyDescent="0.35">
      <c r="A1728" s="3">
        <f xml:space="preserve"> ROW( data_scaledImpacts[[#This Row],[row_id]] ) - ROW( data_scaledImpacts[[#Headers],[row_id]] )</f>
        <v>1727</v>
      </c>
      <c r="B1728" s="41" t="str">
        <f xml:space="preserve"> _xlfn.TEXTJOIN( "", , data_scaledImpacts[[#This Row],[sector]:[impactType]] )</f>
        <v>WaterQualityGISS-E2-R1N/A</v>
      </c>
      <c r="C1728" s="33" t="s">
        <v>227</v>
      </c>
      <c r="D1728" s="33" t="s">
        <v>2</v>
      </c>
      <c r="E1728" s="34">
        <v>1</v>
      </c>
      <c r="F1728" s="34"/>
      <c r="G1728" s="34" t="s">
        <v>201</v>
      </c>
      <c r="H1728" s="35"/>
      <c r="I1728" s="43" t="s">
        <v>37</v>
      </c>
      <c r="J1728" s="36">
        <v>1.9321635643720201</v>
      </c>
      <c r="K1728" s="36">
        <v>3.1383200620144902</v>
      </c>
      <c r="L1728" s="37">
        <v>1.77498005411588</v>
      </c>
      <c r="M1728" s="36">
        <v>1.9877502748825999</v>
      </c>
      <c r="N1728" s="36">
        <v>1.7847242143656801</v>
      </c>
      <c r="O1728" s="36">
        <v>1.20028579139368</v>
      </c>
      <c r="P1728">
        <v>2.0486689808224101</v>
      </c>
    </row>
    <row r="1729" spans="1:16" hidden="1" x14ac:dyDescent="0.35">
      <c r="A1729" s="3">
        <f xml:space="preserve"> ROW( data_scaledImpacts[[#This Row],[row_id]] ) - ROW( data_scaledImpacts[[#Headers],[row_id]] )</f>
        <v>1728</v>
      </c>
      <c r="B1729" s="41" t="str">
        <f xml:space="preserve"> _xlfn.TEXTJOIN( "", , data_scaledImpacts[[#This Row],[sector]:[impactType]] )</f>
        <v>WaterQualityHadGEM2-ES1N/A</v>
      </c>
      <c r="C1729" s="33" t="s">
        <v>227</v>
      </c>
      <c r="D1729" s="33" t="s">
        <v>3</v>
      </c>
      <c r="E1729" s="34">
        <v>1</v>
      </c>
      <c r="F1729" s="34"/>
      <c r="G1729" s="34" t="s">
        <v>201</v>
      </c>
      <c r="H1729" s="35"/>
      <c r="I1729" s="43" t="s">
        <v>38</v>
      </c>
      <c r="J1729" s="36">
        <v>2.3172729688053901</v>
      </c>
      <c r="K1729" s="36">
        <v>2.9432419253201401</v>
      </c>
      <c r="L1729" s="37">
        <v>2.1951050716328702</v>
      </c>
      <c r="M1729" s="36">
        <v>2.3491909570099101</v>
      </c>
      <c r="N1729" s="36">
        <v>2.29785019716895</v>
      </c>
      <c r="O1729" s="36">
        <v>2.48903407612283</v>
      </c>
      <c r="P1729">
        <v>1.96197052117249</v>
      </c>
    </row>
    <row r="1730" spans="1:16" hidden="1" x14ac:dyDescent="0.35">
      <c r="A1730" s="3">
        <f xml:space="preserve"> ROW( data_scaledImpacts[[#This Row],[row_id]] ) - ROW( data_scaledImpacts[[#Headers],[row_id]] )</f>
        <v>1729</v>
      </c>
      <c r="B1730" s="41" t="str">
        <f xml:space="preserve"> _xlfn.TEXTJOIN( "", , data_scaledImpacts[[#This Row],[sector]:[impactType]] )</f>
        <v>WaterQualityMIROC51N/A</v>
      </c>
      <c r="C1730" s="33" t="s">
        <v>227</v>
      </c>
      <c r="D1730" s="33" t="s">
        <v>4</v>
      </c>
      <c r="E1730" s="34">
        <v>1</v>
      </c>
      <c r="F1730" s="34"/>
      <c r="G1730" s="34" t="s">
        <v>201</v>
      </c>
      <c r="H1730" s="35"/>
      <c r="I1730" s="43" t="s">
        <v>39</v>
      </c>
      <c r="J1730" s="36">
        <v>2.3868075692849602</v>
      </c>
      <c r="K1730" s="36">
        <v>3.0858710322781602</v>
      </c>
      <c r="L1730" s="37">
        <v>2.2580685772077</v>
      </c>
      <c r="M1730" s="36">
        <v>1.71558333757504</v>
      </c>
      <c r="N1730" s="36">
        <v>1.5200180546362601</v>
      </c>
      <c r="O1730" s="36">
        <v>1.8532725289538801</v>
      </c>
      <c r="P1730">
        <v>1.86736099413138</v>
      </c>
    </row>
    <row r="1731" spans="1:16" hidden="1" x14ac:dyDescent="0.35">
      <c r="A1731" s="3">
        <f xml:space="preserve"> ROW( data_scaledImpacts[[#This Row],[row_id]] ) - ROW( data_scaledImpacts[[#Headers],[row_id]] )</f>
        <v>1730</v>
      </c>
      <c r="B1731" s="41" t="str">
        <f xml:space="preserve"> _xlfn.TEXTJOIN( "", , data_scaledImpacts[[#This Row],[sector]:[impactType]] )</f>
        <v>WaterQualityGFDL-CM31N/A</v>
      </c>
      <c r="C1731" s="33" t="s">
        <v>227</v>
      </c>
      <c r="D1731" s="33" t="s">
        <v>5</v>
      </c>
      <c r="E1731" s="34">
        <v>1</v>
      </c>
      <c r="F1731" s="34"/>
      <c r="G1731" s="34" t="s">
        <v>201</v>
      </c>
      <c r="H1731" s="35"/>
      <c r="I1731" s="43" t="s">
        <v>40</v>
      </c>
      <c r="J1731" s="36"/>
      <c r="K1731" s="36"/>
      <c r="L1731" s="37"/>
      <c r="M1731" s="36"/>
      <c r="N1731" s="36"/>
      <c r="O1731" s="36"/>
    </row>
    <row r="1732" spans="1:16" hidden="1" x14ac:dyDescent="0.35">
      <c r="A1732" s="3">
        <f xml:space="preserve"> ROW( data_scaledImpacts[[#This Row],[row_id]] ) - ROW( data_scaledImpacts[[#Headers],[row_id]] )</f>
        <v>1731</v>
      </c>
      <c r="B1732" s="41" t="str">
        <f xml:space="preserve"> _xlfn.TEXTJOIN( "", , data_scaledImpacts[[#This Row],[sector]:[impactType]] )</f>
        <v>WaterQualityGCM Average1N/A</v>
      </c>
      <c r="C1732" s="33" t="s">
        <v>227</v>
      </c>
      <c r="D1732" s="33" t="s">
        <v>15</v>
      </c>
      <c r="E1732" s="34">
        <v>1</v>
      </c>
      <c r="F1732" s="34"/>
      <c r="G1732" s="34" t="s">
        <v>201</v>
      </c>
      <c r="H1732" s="35"/>
      <c r="I1732" s="43" t="s">
        <v>41</v>
      </c>
      <c r="J1732" s="36">
        <v>1.85772133609198</v>
      </c>
      <c r="K1732" s="36">
        <v>2.5689074306517199</v>
      </c>
      <c r="L1732" s="37">
        <v>1.75888529418989</v>
      </c>
      <c r="M1732" s="36">
        <v>1.93074051210784</v>
      </c>
      <c r="N1732" s="36">
        <v>1.52278522219392</v>
      </c>
      <c r="O1732" s="36">
        <v>1.5251709562947899</v>
      </c>
      <c r="P1732">
        <v>1.7890389430729099</v>
      </c>
    </row>
    <row r="1733" spans="1:16" hidden="1" x14ac:dyDescent="0.35">
      <c r="A1733" s="3">
        <f xml:space="preserve"> ROW( data_scaledImpacts[[#This Row],[row_id]] ) - ROW( data_scaledImpacts[[#Headers],[row_id]] )</f>
        <v>1732</v>
      </c>
      <c r="B1733" s="41" t="str">
        <f xml:space="preserve"> _xlfn.TEXTJOIN( "", , data_scaledImpacts[[#This Row],[sector]:[impactType]] )</f>
        <v>WaterQualityCanESM22N/A</v>
      </c>
      <c r="C1733" s="33" t="s">
        <v>227</v>
      </c>
      <c r="D1733" s="33" t="s">
        <v>0</v>
      </c>
      <c r="E1733" s="34">
        <v>2</v>
      </c>
      <c r="F1733" s="34"/>
      <c r="G1733" s="34" t="s">
        <v>201</v>
      </c>
      <c r="H1733" s="35"/>
      <c r="I1733" s="43" t="s">
        <v>42</v>
      </c>
      <c r="J1733" s="36">
        <v>3.6329575258969902</v>
      </c>
      <c r="K1733" s="36">
        <v>5.0663582548760502</v>
      </c>
      <c r="L1733" s="37">
        <v>3.0858723848262701</v>
      </c>
      <c r="M1733" s="36">
        <v>5.0988356380895103</v>
      </c>
      <c r="N1733" s="36">
        <v>2.5692093748531701</v>
      </c>
      <c r="O1733" s="36">
        <v>2.5685268199978299</v>
      </c>
      <c r="P1733">
        <v>3.8098221593807202</v>
      </c>
    </row>
    <row r="1734" spans="1:16" hidden="1" x14ac:dyDescent="0.35">
      <c r="A1734" s="3">
        <f xml:space="preserve"> ROW( data_scaledImpacts[[#This Row],[row_id]] ) - ROW( data_scaledImpacts[[#Headers],[row_id]] )</f>
        <v>1733</v>
      </c>
      <c r="B1734" s="41" t="str">
        <f xml:space="preserve"> _xlfn.TEXTJOIN( "", , data_scaledImpacts[[#This Row],[sector]:[impactType]] )</f>
        <v>WaterQualityCCSM42N/A</v>
      </c>
      <c r="C1734" s="33" t="s">
        <v>227</v>
      </c>
      <c r="D1734" s="33" t="s">
        <v>1</v>
      </c>
      <c r="E1734" s="34">
        <v>2</v>
      </c>
      <c r="F1734" s="34"/>
      <c r="G1734" s="34" t="s">
        <v>201</v>
      </c>
      <c r="H1734" s="35"/>
      <c r="I1734" s="43" t="s">
        <v>43</v>
      </c>
      <c r="J1734" s="36">
        <v>2.9470776596730701</v>
      </c>
      <c r="K1734" s="36">
        <v>4.0527392270098703</v>
      </c>
      <c r="L1734" s="37">
        <v>3.32576495906837</v>
      </c>
      <c r="M1734" s="36">
        <v>3.8175370476219799</v>
      </c>
      <c r="N1734" s="36">
        <v>2.4400983506535998</v>
      </c>
      <c r="O1734" s="36">
        <v>2.6296656964260898</v>
      </c>
      <c r="P1734">
        <v>3.8405287546059301</v>
      </c>
    </row>
    <row r="1735" spans="1:16" hidden="1" x14ac:dyDescent="0.35">
      <c r="A1735" s="3">
        <f xml:space="preserve"> ROW( data_scaledImpacts[[#This Row],[row_id]] ) - ROW( data_scaledImpacts[[#Headers],[row_id]] )</f>
        <v>1734</v>
      </c>
      <c r="B1735" s="41" t="str">
        <f xml:space="preserve"> _xlfn.TEXTJOIN( "", , data_scaledImpacts[[#This Row],[sector]:[impactType]] )</f>
        <v>WaterQualityGISS-E2-R2N/A</v>
      </c>
      <c r="C1735" s="33" t="s">
        <v>227</v>
      </c>
      <c r="D1735" s="33" t="s">
        <v>2</v>
      </c>
      <c r="E1735" s="34">
        <v>2</v>
      </c>
      <c r="F1735" s="34"/>
      <c r="G1735" s="34" t="s">
        <v>201</v>
      </c>
      <c r="H1735" s="35"/>
      <c r="I1735" s="43" t="s">
        <v>44</v>
      </c>
      <c r="J1735" s="36">
        <v>3.5956652805121601</v>
      </c>
      <c r="K1735" s="36">
        <v>5.8841232628826896</v>
      </c>
      <c r="L1735" s="37">
        <v>3.2845639537729001</v>
      </c>
      <c r="M1735" s="36">
        <v>3.8403208872461501</v>
      </c>
      <c r="N1735" s="36">
        <v>3.51258252364098</v>
      </c>
      <c r="O1735" s="36">
        <v>2.4415864824936002</v>
      </c>
      <c r="P1735">
        <v>3.8074868746777901</v>
      </c>
    </row>
    <row r="1736" spans="1:16" hidden="1" x14ac:dyDescent="0.35">
      <c r="A1736" s="3">
        <f xml:space="preserve"> ROW( data_scaledImpacts[[#This Row],[row_id]] ) - ROW( data_scaledImpacts[[#Headers],[row_id]] )</f>
        <v>1735</v>
      </c>
      <c r="B1736" s="41" t="str">
        <f xml:space="preserve"> _xlfn.TEXTJOIN( "", , data_scaledImpacts[[#This Row],[sector]:[impactType]] )</f>
        <v>WaterQualityHadGEM2-ES2N/A</v>
      </c>
      <c r="C1736" s="33" t="s">
        <v>227</v>
      </c>
      <c r="D1736" s="33" t="s">
        <v>3</v>
      </c>
      <c r="E1736" s="34">
        <v>2</v>
      </c>
      <c r="F1736" s="34"/>
      <c r="G1736" s="34" t="s">
        <v>201</v>
      </c>
      <c r="H1736" s="35"/>
      <c r="I1736" s="43" t="s">
        <v>45</v>
      </c>
      <c r="J1736" s="36">
        <v>4.3770711632990702</v>
      </c>
      <c r="K1736" s="36">
        <v>5.5594569700491503</v>
      </c>
      <c r="L1736" s="37">
        <v>4.1463095797509304</v>
      </c>
      <c r="M1736" s="36">
        <v>4.4373606965742196</v>
      </c>
      <c r="N1736" s="36">
        <v>4.3403837057635997</v>
      </c>
      <c r="O1736" s="36">
        <v>4.7015088104542402</v>
      </c>
      <c r="P1736">
        <v>3.70594431777024</v>
      </c>
    </row>
    <row r="1737" spans="1:16" hidden="1" x14ac:dyDescent="0.35">
      <c r="A1737" s="3">
        <f xml:space="preserve"> ROW( data_scaledImpacts[[#This Row],[row_id]] ) - ROW( data_scaledImpacts[[#Headers],[row_id]] )</f>
        <v>1736</v>
      </c>
      <c r="B1737" s="41" t="str">
        <f xml:space="preserve"> _xlfn.TEXTJOIN( "", , data_scaledImpacts[[#This Row],[sector]:[impactType]] )</f>
        <v>WaterQualityMIROC52N/A</v>
      </c>
      <c r="C1737" s="33" t="s">
        <v>227</v>
      </c>
      <c r="D1737" s="33" t="s">
        <v>4</v>
      </c>
      <c r="E1737" s="34">
        <v>2</v>
      </c>
      <c r="F1737" s="34"/>
      <c r="G1737" s="34" t="s">
        <v>201</v>
      </c>
      <c r="H1737" s="35"/>
      <c r="I1737" s="43" t="s">
        <v>46</v>
      </c>
      <c r="J1737" s="36">
        <v>4.1226676196739902</v>
      </c>
      <c r="K1737" s="36">
        <v>5.330140873935</v>
      </c>
      <c r="L1737" s="37">
        <v>3.9003002697224098</v>
      </c>
      <c r="M1737" s="36">
        <v>2.9632803103568701</v>
      </c>
      <c r="N1737" s="36">
        <v>2.6254857307353601</v>
      </c>
      <c r="O1737" s="36">
        <v>3.2011070954658001</v>
      </c>
      <c r="P1737">
        <v>3.2254417171360199</v>
      </c>
    </row>
    <row r="1738" spans="1:16" hidden="1" x14ac:dyDescent="0.35">
      <c r="A1738" s="3">
        <f xml:space="preserve"> ROW( data_scaledImpacts[[#This Row],[row_id]] ) - ROW( data_scaledImpacts[[#Headers],[row_id]] )</f>
        <v>1737</v>
      </c>
      <c r="B1738" s="41" t="str">
        <f xml:space="preserve"> _xlfn.TEXTJOIN( "", , data_scaledImpacts[[#This Row],[sector]:[impactType]] )</f>
        <v>WaterQualityGFDL-CM32N/A</v>
      </c>
      <c r="C1738" s="33" t="s">
        <v>227</v>
      </c>
      <c r="D1738" s="33" t="s">
        <v>5</v>
      </c>
      <c r="E1738" s="34">
        <v>2</v>
      </c>
      <c r="F1738" s="34"/>
      <c r="G1738" s="34" t="s">
        <v>201</v>
      </c>
      <c r="H1738" s="35"/>
      <c r="I1738" s="43" t="s">
        <v>47</v>
      </c>
      <c r="J1738" s="36"/>
      <c r="K1738" s="36"/>
      <c r="L1738" s="37"/>
      <c r="M1738" s="36"/>
      <c r="N1738" s="36"/>
      <c r="O1738" s="36"/>
    </row>
    <row r="1739" spans="1:16" hidden="1" x14ac:dyDescent="0.35">
      <c r="A1739" s="3">
        <f xml:space="preserve"> ROW( data_scaledImpacts[[#This Row],[row_id]] ) - ROW( data_scaledImpacts[[#Headers],[row_id]] )</f>
        <v>1738</v>
      </c>
      <c r="B1739" s="41" t="str">
        <f xml:space="preserve"> _xlfn.TEXTJOIN( "", , data_scaledImpacts[[#This Row],[sector]:[impactType]] )</f>
        <v>WaterQualityGCM Average2N/A</v>
      </c>
      <c r="C1739" s="33" t="s">
        <v>227</v>
      </c>
      <c r="D1739" s="33" t="s">
        <v>15</v>
      </c>
      <c r="E1739" s="34">
        <v>2</v>
      </c>
      <c r="F1739" s="34"/>
      <c r="G1739" s="34" t="s">
        <v>201</v>
      </c>
      <c r="H1739" s="35"/>
      <c r="I1739" s="43" t="s">
        <v>48</v>
      </c>
      <c r="J1739" s="36">
        <v>3.7350878498110598</v>
      </c>
      <c r="K1739" s="36">
        <v>5.1785637177505501</v>
      </c>
      <c r="L1739" s="37">
        <v>3.54856222942818</v>
      </c>
      <c r="M1739" s="36">
        <v>4.0314669159777496</v>
      </c>
      <c r="N1739" s="36">
        <v>3.0975519371293401</v>
      </c>
      <c r="O1739" s="36">
        <v>3.1084789809675102</v>
      </c>
      <c r="P1739">
        <v>3.6778447647141399</v>
      </c>
    </row>
    <row r="1740" spans="1:16" hidden="1" x14ac:dyDescent="0.35">
      <c r="A1740" s="3">
        <f xml:space="preserve"> ROW( data_scaledImpacts[[#This Row],[row_id]] ) - ROW( data_scaledImpacts[[#Headers],[row_id]] )</f>
        <v>1739</v>
      </c>
      <c r="B1740" s="41" t="str">
        <f xml:space="preserve"> _xlfn.TEXTJOIN( "", , data_scaledImpacts[[#This Row],[sector]:[impactType]] )</f>
        <v>WaterQualityCanESM23N/A</v>
      </c>
      <c r="C1740" s="33" t="s">
        <v>227</v>
      </c>
      <c r="D1740" s="33" t="s">
        <v>0</v>
      </c>
      <c r="E1740" s="34">
        <v>3</v>
      </c>
      <c r="F1740" s="34"/>
      <c r="G1740" s="34" t="s">
        <v>201</v>
      </c>
      <c r="H1740" s="35"/>
      <c r="I1740" s="43" t="s">
        <v>49</v>
      </c>
      <c r="J1740" s="36">
        <v>5.0838196638270903</v>
      </c>
      <c r="K1740" s="36">
        <v>7.1123717371917499</v>
      </c>
      <c r="L1740" s="37">
        <v>4.3102044345428601</v>
      </c>
      <c r="M1740" s="36">
        <v>7.1286976654977803</v>
      </c>
      <c r="N1740" s="36">
        <v>3.68018274968377</v>
      </c>
      <c r="O1740" s="36">
        <v>3.6423290754952902</v>
      </c>
      <c r="P1740">
        <v>5.31477074703432</v>
      </c>
    </row>
    <row r="1741" spans="1:16" hidden="1" x14ac:dyDescent="0.35">
      <c r="A1741" s="3">
        <f xml:space="preserve"> ROW( data_scaledImpacts[[#This Row],[row_id]] ) - ROW( data_scaledImpacts[[#Headers],[row_id]] )</f>
        <v>1740</v>
      </c>
      <c r="B1741" s="41" t="str">
        <f xml:space="preserve"> _xlfn.TEXTJOIN( "", , data_scaledImpacts[[#This Row],[sector]:[impactType]] )</f>
        <v>WaterQualityCCSM43N/A</v>
      </c>
      <c r="C1741" s="33" t="s">
        <v>227</v>
      </c>
      <c r="D1741" s="33" t="s">
        <v>1</v>
      </c>
      <c r="E1741" s="34">
        <v>3</v>
      </c>
      <c r="F1741" s="34"/>
      <c r="G1741" s="34" t="s">
        <v>201</v>
      </c>
      <c r="H1741" s="35"/>
      <c r="I1741" s="43" t="s">
        <v>50</v>
      </c>
      <c r="J1741" s="36">
        <v>4.9850297191449</v>
      </c>
      <c r="K1741" s="36">
        <v>7.1858264624044104</v>
      </c>
      <c r="L1741" s="37">
        <v>5.0897109640913802</v>
      </c>
      <c r="M1741" s="36">
        <v>6.2178054756060099</v>
      </c>
      <c r="N1741" s="36">
        <v>5.0865041466805296</v>
      </c>
      <c r="O1741" s="36">
        <v>4.9885659756310901</v>
      </c>
      <c r="P1741">
        <v>6.1186599208025401</v>
      </c>
    </row>
    <row r="1742" spans="1:16" hidden="1" x14ac:dyDescent="0.35">
      <c r="A1742" s="3">
        <f xml:space="preserve"> ROW( data_scaledImpacts[[#This Row],[row_id]] ) - ROW( data_scaledImpacts[[#Headers],[row_id]] )</f>
        <v>1741</v>
      </c>
      <c r="B1742" s="41" t="str">
        <f xml:space="preserve"> _xlfn.TEXTJOIN( "", , data_scaledImpacts[[#This Row],[sector]:[impactType]] )</f>
        <v>WaterQualityGISS-E2-R3N/A</v>
      </c>
      <c r="C1742" s="33" t="s">
        <v>227</v>
      </c>
      <c r="D1742" s="33" t="s">
        <v>2</v>
      </c>
      <c r="E1742" s="34">
        <v>3</v>
      </c>
      <c r="F1742" s="34"/>
      <c r="G1742" s="34" t="s">
        <v>201</v>
      </c>
      <c r="H1742" s="35"/>
      <c r="I1742" s="43" t="s">
        <v>51</v>
      </c>
      <c r="J1742" s="36">
        <v>5.9628113228098103</v>
      </c>
      <c r="K1742" s="36">
        <v>10.2364596674935</v>
      </c>
      <c r="L1742" s="37">
        <v>5.2440247345792601</v>
      </c>
      <c r="M1742" s="36">
        <v>7.9095848801835604</v>
      </c>
      <c r="N1742" s="36">
        <v>7.9126521280316497</v>
      </c>
      <c r="O1742" s="36">
        <v>6.3179190855783496</v>
      </c>
      <c r="P1742">
        <v>6.2596313162977602</v>
      </c>
    </row>
    <row r="1743" spans="1:16" hidden="1" x14ac:dyDescent="0.35">
      <c r="A1743" s="3">
        <f xml:space="preserve"> ROW( data_scaledImpacts[[#This Row],[row_id]] ) - ROW( data_scaledImpacts[[#Headers],[row_id]] )</f>
        <v>1742</v>
      </c>
      <c r="B1743" s="41" t="str">
        <f xml:space="preserve"> _xlfn.TEXTJOIN( "", , data_scaledImpacts[[#This Row],[sector]:[impactType]] )</f>
        <v>WaterQualityHadGEM2-ES3N/A</v>
      </c>
      <c r="C1743" s="33" t="s">
        <v>227</v>
      </c>
      <c r="D1743" s="33" t="s">
        <v>3</v>
      </c>
      <c r="E1743" s="34">
        <v>3</v>
      </c>
      <c r="F1743" s="34"/>
      <c r="G1743" s="34" t="s">
        <v>201</v>
      </c>
      <c r="H1743" s="35"/>
      <c r="I1743" s="43" t="s">
        <v>52</v>
      </c>
      <c r="J1743" s="36">
        <v>6.3081319706369001</v>
      </c>
      <c r="K1743" s="36">
        <v>8.0121585744825605</v>
      </c>
      <c r="L1743" s="37">
        <v>5.9755638061115999</v>
      </c>
      <c r="M1743" s="36">
        <v>6.3950198274157497</v>
      </c>
      <c r="N1743" s="36">
        <v>6.2552588700710796</v>
      </c>
      <c r="O1743" s="36">
        <v>6.77570387388994</v>
      </c>
      <c r="P1743">
        <v>5.3409197520806204</v>
      </c>
    </row>
    <row r="1744" spans="1:16" hidden="1" x14ac:dyDescent="0.35">
      <c r="A1744" s="3">
        <f xml:space="preserve"> ROW( data_scaledImpacts[[#This Row],[row_id]] ) - ROW( data_scaledImpacts[[#Headers],[row_id]] )</f>
        <v>1743</v>
      </c>
      <c r="B1744" s="41" t="str">
        <f xml:space="preserve"> _xlfn.TEXTJOIN( "", , data_scaledImpacts[[#This Row],[sector]:[impactType]] )</f>
        <v>WaterQualityMIROC53N/A</v>
      </c>
      <c r="C1744" s="33" t="s">
        <v>227</v>
      </c>
      <c r="D1744" s="33" t="s">
        <v>4</v>
      </c>
      <c r="E1744" s="34">
        <v>3</v>
      </c>
      <c r="F1744" s="34"/>
      <c r="G1744" s="34" t="s">
        <v>201</v>
      </c>
      <c r="H1744" s="35"/>
      <c r="I1744" s="43" t="s">
        <v>53</v>
      </c>
      <c r="J1744" s="36">
        <v>5.9303707808054398</v>
      </c>
      <c r="K1744" s="36">
        <v>7.7752618591020504</v>
      </c>
      <c r="L1744" s="37">
        <v>5.6113564536975504</v>
      </c>
      <c r="M1744" s="36">
        <v>4.4070491204570503</v>
      </c>
      <c r="N1744" s="36">
        <v>3.9549428563604101</v>
      </c>
      <c r="O1744" s="36">
        <v>4.73062047390491</v>
      </c>
      <c r="P1744">
        <v>4.6913001789800903</v>
      </c>
    </row>
    <row r="1745" spans="1:16" hidden="1" x14ac:dyDescent="0.35">
      <c r="A1745" s="3">
        <f xml:space="preserve"> ROW( data_scaledImpacts[[#This Row],[row_id]] ) - ROW( data_scaledImpacts[[#Headers],[row_id]] )</f>
        <v>1744</v>
      </c>
      <c r="B1745" s="41" t="str">
        <f xml:space="preserve"> _xlfn.TEXTJOIN( "", , data_scaledImpacts[[#This Row],[sector]:[impactType]] )</f>
        <v>WaterQualityGFDL-CM33N/A</v>
      </c>
      <c r="C1745" s="33" t="s">
        <v>227</v>
      </c>
      <c r="D1745" s="33" t="s">
        <v>5</v>
      </c>
      <c r="E1745" s="34">
        <v>3</v>
      </c>
      <c r="F1745" s="34"/>
      <c r="G1745" s="34" t="s">
        <v>201</v>
      </c>
      <c r="H1745" s="35"/>
      <c r="I1745" s="43" t="s">
        <v>54</v>
      </c>
      <c r="J1745" s="36"/>
      <c r="K1745" s="36"/>
      <c r="L1745" s="37"/>
      <c r="M1745" s="36"/>
      <c r="N1745" s="36"/>
      <c r="O1745" s="36"/>
    </row>
    <row r="1746" spans="1:16" hidden="1" x14ac:dyDescent="0.35">
      <c r="A1746" s="3">
        <f xml:space="preserve"> ROW( data_scaledImpacts[[#This Row],[row_id]] ) - ROW( data_scaledImpacts[[#Headers],[row_id]] )</f>
        <v>1745</v>
      </c>
      <c r="B1746" s="41" t="str">
        <f xml:space="preserve"> _xlfn.TEXTJOIN( "", , data_scaledImpacts[[#This Row],[sector]:[impactType]] )</f>
        <v>WaterQualityGCM Average3N/A</v>
      </c>
      <c r="C1746" s="33" t="s">
        <v>227</v>
      </c>
      <c r="D1746" s="33" t="s">
        <v>15</v>
      </c>
      <c r="E1746" s="34">
        <v>3</v>
      </c>
      <c r="F1746" s="34"/>
      <c r="G1746" s="34" t="s">
        <v>201</v>
      </c>
      <c r="H1746" s="35"/>
      <c r="I1746" s="43" t="s">
        <v>55</v>
      </c>
      <c r="J1746" s="36">
        <v>5.6540326914448302</v>
      </c>
      <c r="K1746" s="36">
        <v>8.0644156601348609</v>
      </c>
      <c r="L1746" s="37">
        <v>5.2461720786045296</v>
      </c>
      <c r="M1746" s="36">
        <v>6.41163139383203</v>
      </c>
      <c r="N1746" s="36">
        <v>5.3779081501654904</v>
      </c>
      <c r="O1746" s="36">
        <v>5.2910276968999197</v>
      </c>
      <c r="P1746">
        <v>5.5450563830390696</v>
      </c>
    </row>
    <row r="1747" spans="1:16" hidden="1" x14ac:dyDescent="0.35">
      <c r="A1747" s="3">
        <f xml:space="preserve"> ROW( data_scaledImpacts[[#This Row],[row_id]] ) - ROW( data_scaledImpacts[[#Headers],[row_id]] )</f>
        <v>1746</v>
      </c>
      <c r="B1747" s="41" t="str">
        <f xml:space="preserve"> _xlfn.TEXTJOIN( "", , data_scaledImpacts[[#This Row],[sector]:[impactType]] )</f>
        <v>WaterQualityCanESM24N/A</v>
      </c>
      <c r="C1747" s="33" t="s">
        <v>227</v>
      </c>
      <c r="D1747" s="33" t="s">
        <v>0</v>
      </c>
      <c r="E1747" s="34">
        <v>4</v>
      </c>
      <c r="F1747" s="34"/>
      <c r="G1747" s="34" t="s">
        <v>201</v>
      </c>
      <c r="H1747" s="35"/>
      <c r="I1747" s="43" t="s">
        <v>56</v>
      </c>
      <c r="J1747" s="36">
        <v>6.77507678943826</v>
      </c>
      <c r="K1747" s="36">
        <v>9.9477644785131805</v>
      </c>
      <c r="L1747" s="37">
        <v>5.5778199040458603</v>
      </c>
      <c r="M1747" s="36">
        <v>9.3676547919939406</v>
      </c>
      <c r="N1747" s="36">
        <v>6.6597809413676297</v>
      </c>
      <c r="O1747" s="36">
        <v>5.8467403141168797</v>
      </c>
      <c r="P1747">
        <v>6.7408892463492798</v>
      </c>
    </row>
    <row r="1748" spans="1:16" hidden="1" x14ac:dyDescent="0.35">
      <c r="A1748" s="3">
        <f xml:space="preserve"> ROW( data_scaledImpacts[[#This Row],[row_id]] ) - ROW( data_scaledImpacts[[#Headers],[row_id]] )</f>
        <v>1747</v>
      </c>
      <c r="B1748" s="41" t="str">
        <f xml:space="preserve"> _xlfn.TEXTJOIN( "", , data_scaledImpacts[[#This Row],[sector]:[impactType]] )</f>
        <v>WaterQualityCCSM44N/A</v>
      </c>
      <c r="C1748" s="33" t="s">
        <v>227</v>
      </c>
      <c r="D1748" s="33" t="s">
        <v>1</v>
      </c>
      <c r="E1748" s="34">
        <v>4</v>
      </c>
      <c r="F1748" s="34"/>
      <c r="G1748" s="34" t="s">
        <v>201</v>
      </c>
      <c r="H1748" s="35"/>
      <c r="I1748" s="43" t="s">
        <v>57</v>
      </c>
      <c r="J1748" s="36">
        <v>7.2365524297194996</v>
      </c>
      <c r="K1748" s="36">
        <v>10.943162364092</v>
      </c>
      <c r="L1748" s="37">
        <v>6.5587960947140598</v>
      </c>
      <c r="M1748" s="36">
        <v>8.6551051116174698</v>
      </c>
      <c r="N1748" s="36">
        <v>8.8687786645201996</v>
      </c>
      <c r="O1748" s="36">
        <v>8.0784782457772604</v>
      </c>
      <c r="P1748">
        <v>8.2974520717729607</v>
      </c>
    </row>
    <row r="1749" spans="1:16" hidden="1" x14ac:dyDescent="0.35">
      <c r="A1749" s="3">
        <f xml:space="preserve"> ROW( data_scaledImpacts[[#This Row],[row_id]] ) - ROW( data_scaledImpacts[[#Headers],[row_id]] )</f>
        <v>1748</v>
      </c>
      <c r="B1749" s="41" t="str">
        <f xml:space="preserve"> _xlfn.TEXTJOIN( "", , data_scaledImpacts[[#This Row],[sector]:[impactType]] )</f>
        <v>WaterQualityGISS-E2-R4N/A</v>
      </c>
      <c r="C1749" s="33" t="s">
        <v>227</v>
      </c>
      <c r="D1749" s="33" t="s">
        <v>2</v>
      </c>
      <c r="E1749" s="34">
        <v>4</v>
      </c>
      <c r="F1749" s="34"/>
      <c r="G1749" s="34" t="s">
        <v>201</v>
      </c>
      <c r="H1749" s="35"/>
      <c r="I1749" s="43" t="s">
        <v>58</v>
      </c>
      <c r="J1749" s="36"/>
      <c r="K1749" s="36"/>
      <c r="L1749" s="37"/>
      <c r="M1749" s="36"/>
      <c r="N1749" s="36"/>
      <c r="O1749" s="36"/>
    </row>
    <row r="1750" spans="1:16" hidden="1" x14ac:dyDescent="0.35">
      <c r="A1750" s="3">
        <f xml:space="preserve"> ROW( data_scaledImpacts[[#This Row],[row_id]] ) - ROW( data_scaledImpacts[[#Headers],[row_id]] )</f>
        <v>1749</v>
      </c>
      <c r="B1750" s="41" t="str">
        <f xml:space="preserve"> _xlfn.TEXTJOIN( "", , data_scaledImpacts[[#This Row],[sector]:[impactType]] )</f>
        <v>WaterQualityHadGEM2-ES4N/A</v>
      </c>
      <c r="C1750" s="33" t="s">
        <v>227</v>
      </c>
      <c r="D1750" s="33" t="s">
        <v>3</v>
      </c>
      <c r="E1750" s="34">
        <v>4</v>
      </c>
      <c r="F1750" s="34"/>
      <c r="G1750" s="34" t="s">
        <v>201</v>
      </c>
      <c r="H1750" s="35"/>
      <c r="I1750" s="43" t="s">
        <v>59</v>
      </c>
      <c r="J1750" s="36">
        <v>7.4721629598729402</v>
      </c>
      <c r="K1750" s="36">
        <v>10.0620251121405</v>
      </c>
      <c r="L1750" s="37">
        <v>7.0268332510470799</v>
      </c>
      <c r="M1750" s="36">
        <v>8.1655620084633203</v>
      </c>
      <c r="N1750" s="36">
        <v>8.0392490666424905</v>
      </c>
      <c r="O1750" s="36">
        <v>8.0595430578799192</v>
      </c>
      <c r="P1750">
        <v>6.4801823630553104</v>
      </c>
    </row>
    <row r="1751" spans="1:16" hidden="1" x14ac:dyDescent="0.35">
      <c r="A1751" s="3">
        <f xml:space="preserve"> ROW( data_scaledImpacts[[#This Row],[row_id]] ) - ROW( data_scaledImpacts[[#Headers],[row_id]] )</f>
        <v>1750</v>
      </c>
      <c r="B1751" s="41" t="str">
        <f xml:space="preserve"> _xlfn.TEXTJOIN( "", , data_scaledImpacts[[#This Row],[sector]:[impactType]] )</f>
        <v>WaterQualityMIROC54N/A</v>
      </c>
      <c r="C1751" s="33" t="s">
        <v>227</v>
      </c>
      <c r="D1751" s="33" t="s">
        <v>4</v>
      </c>
      <c r="E1751" s="34">
        <v>4</v>
      </c>
      <c r="F1751" s="34"/>
      <c r="G1751" s="34" t="s">
        <v>201</v>
      </c>
      <c r="H1751" s="35"/>
      <c r="I1751" s="43" t="s">
        <v>60</v>
      </c>
      <c r="J1751" s="36">
        <v>7.3544900514115703</v>
      </c>
      <c r="K1751" s="36">
        <v>10.8544982915919</v>
      </c>
      <c r="L1751" s="37">
        <v>6.9684824161051804</v>
      </c>
      <c r="M1751" s="36">
        <v>7.0868347247940102</v>
      </c>
      <c r="N1751" s="36">
        <v>6.9056627822417997</v>
      </c>
      <c r="O1751" s="36">
        <v>7.2799969715885098</v>
      </c>
      <c r="P1751">
        <v>6.3968211677110602</v>
      </c>
    </row>
    <row r="1752" spans="1:16" hidden="1" x14ac:dyDescent="0.35">
      <c r="A1752" s="3">
        <f xml:space="preserve"> ROW( data_scaledImpacts[[#This Row],[row_id]] ) - ROW( data_scaledImpacts[[#Headers],[row_id]] )</f>
        <v>1751</v>
      </c>
      <c r="B1752" s="41" t="str">
        <f xml:space="preserve"> _xlfn.TEXTJOIN( "", , data_scaledImpacts[[#This Row],[sector]:[impactType]] )</f>
        <v>WaterQualityGFDL-CM34N/A</v>
      </c>
      <c r="C1752" s="33" t="s">
        <v>227</v>
      </c>
      <c r="D1752" s="33" t="s">
        <v>5</v>
      </c>
      <c r="E1752" s="34">
        <v>4</v>
      </c>
      <c r="F1752" s="34"/>
      <c r="G1752" s="34" t="s">
        <v>201</v>
      </c>
      <c r="H1752" s="35"/>
      <c r="I1752" s="43" t="s">
        <v>61</v>
      </c>
      <c r="J1752" s="36"/>
      <c r="K1752" s="36"/>
      <c r="L1752" s="37"/>
      <c r="M1752" s="36"/>
      <c r="N1752" s="36"/>
      <c r="O1752" s="36"/>
    </row>
    <row r="1753" spans="1:16" hidden="1" x14ac:dyDescent="0.35">
      <c r="A1753" s="3">
        <f xml:space="preserve"> ROW( data_scaledImpacts[[#This Row],[row_id]] ) - ROW( data_scaledImpacts[[#Headers],[row_id]] )</f>
        <v>1752</v>
      </c>
      <c r="B1753" s="41" t="str">
        <f xml:space="preserve"> _xlfn.TEXTJOIN( "", , data_scaledImpacts[[#This Row],[sector]:[impactType]] )</f>
        <v>WaterQualityGCM Average4N/A</v>
      </c>
      <c r="C1753" s="33" t="s">
        <v>227</v>
      </c>
      <c r="D1753" s="33" t="s">
        <v>15</v>
      </c>
      <c r="E1753" s="34">
        <v>4</v>
      </c>
      <c r="F1753" s="34"/>
      <c r="G1753" s="34" t="s">
        <v>201</v>
      </c>
      <c r="H1753" s="35"/>
      <c r="I1753" s="43" t="s">
        <v>62</v>
      </c>
      <c r="J1753" s="36">
        <v>7.2095705576105704</v>
      </c>
      <c r="K1753" s="36">
        <v>10.451862561584401</v>
      </c>
      <c r="L1753" s="37">
        <v>6.5329829164780504</v>
      </c>
      <c r="M1753" s="36">
        <v>8.3187891592171894</v>
      </c>
      <c r="N1753" s="36">
        <v>7.6183678636930301</v>
      </c>
      <c r="O1753" s="36">
        <v>7.3161896473406403</v>
      </c>
      <c r="P1753">
        <v>6.9788362122221503</v>
      </c>
    </row>
    <row r="1754" spans="1:16" hidden="1" x14ac:dyDescent="0.35">
      <c r="A1754" s="3">
        <f xml:space="preserve"> ROW( data_scaledImpacts[[#This Row],[row_id]] ) - ROW( data_scaledImpacts[[#Headers],[row_id]] )</f>
        <v>1753</v>
      </c>
      <c r="B1754" s="41" t="str">
        <f xml:space="preserve"> _xlfn.TEXTJOIN( "", , data_scaledImpacts[[#This Row],[sector]:[impactType]] )</f>
        <v>WaterQualityCanESM25N/A</v>
      </c>
      <c r="C1754" s="33" t="s">
        <v>227</v>
      </c>
      <c r="D1754" s="33" t="s">
        <v>0</v>
      </c>
      <c r="E1754" s="34">
        <v>5</v>
      </c>
      <c r="F1754" s="34"/>
      <c r="G1754" s="34" t="s">
        <v>201</v>
      </c>
      <c r="H1754" s="35"/>
      <c r="I1754" s="43" t="s">
        <v>63</v>
      </c>
      <c r="J1754" s="36">
        <v>8.5447337127725707</v>
      </c>
      <c r="K1754" s="36">
        <v>12.998454930956999</v>
      </c>
      <c r="L1754" s="37">
        <v>6.8744831773707196</v>
      </c>
      <c r="M1754" s="36">
        <v>11.6867094148269</v>
      </c>
      <c r="N1754" s="36">
        <v>10.091167437355701</v>
      </c>
      <c r="O1754" s="36">
        <v>8.3307319713796293</v>
      </c>
      <c r="P1754">
        <v>8.1720077032234606</v>
      </c>
    </row>
    <row r="1755" spans="1:16" hidden="1" x14ac:dyDescent="0.35">
      <c r="A1755" s="3">
        <f xml:space="preserve"> ROW( data_scaledImpacts[[#This Row],[row_id]] ) - ROW( data_scaledImpacts[[#Headers],[row_id]] )</f>
        <v>1754</v>
      </c>
      <c r="B1755" s="41" t="str">
        <f xml:space="preserve"> _xlfn.TEXTJOIN( "", , data_scaledImpacts[[#This Row],[sector]:[impactType]] )</f>
        <v>WaterQualityCCSM45N/A</v>
      </c>
      <c r="C1755" s="33" t="s">
        <v>227</v>
      </c>
      <c r="D1755" s="33" t="s">
        <v>1</v>
      </c>
      <c r="E1755" s="34">
        <v>5</v>
      </c>
      <c r="F1755" s="34"/>
      <c r="G1755" s="34" t="s">
        <v>201</v>
      </c>
      <c r="H1755" s="35"/>
      <c r="I1755" s="43" t="s">
        <v>64</v>
      </c>
      <c r="J1755" s="36">
        <v>8.9877367601664009</v>
      </c>
      <c r="K1755" s="36">
        <v>13.865534732071101</v>
      </c>
      <c r="L1755" s="37">
        <v>7.7014178629761503</v>
      </c>
      <c r="M1755" s="36">
        <v>10.550782606293099</v>
      </c>
      <c r="N1755" s="36">
        <v>11.8105477339511</v>
      </c>
      <c r="O1755" s="36">
        <v>10.481743344779799</v>
      </c>
      <c r="P1755">
        <v>9.9920681891943897</v>
      </c>
    </row>
    <row r="1756" spans="1:16" hidden="1" x14ac:dyDescent="0.35">
      <c r="A1756" s="3">
        <f xml:space="preserve"> ROW( data_scaledImpacts[[#This Row],[row_id]] ) - ROW( data_scaledImpacts[[#Headers],[row_id]] )</f>
        <v>1755</v>
      </c>
      <c r="B1756" s="41" t="str">
        <f xml:space="preserve"> _xlfn.TEXTJOIN( "", , data_scaledImpacts[[#This Row],[sector]:[impactType]] )</f>
        <v>WaterQualityGISS-E2-R5N/A</v>
      </c>
      <c r="C1756" s="33" t="s">
        <v>227</v>
      </c>
      <c r="D1756" s="33" t="s">
        <v>2</v>
      </c>
      <c r="E1756" s="34">
        <v>5</v>
      </c>
      <c r="F1756" s="34"/>
      <c r="G1756" s="34" t="s">
        <v>201</v>
      </c>
      <c r="H1756" s="35"/>
      <c r="I1756" s="43" t="s">
        <v>65</v>
      </c>
      <c r="J1756" s="36"/>
      <c r="K1756" s="36"/>
      <c r="L1756" s="37"/>
      <c r="M1756" s="36"/>
      <c r="N1756" s="36"/>
      <c r="O1756" s="36"/>
    </row>
    <row r="1757" spans="1:16" hidden="1" x14ac:dyDescent="0.35">
      <c r="A1757" s="3">
        <f xml:space="preserve"> ROW( data_scaledImpacts[[#This Row],[row_id]] ) - ROW( data_scaledImpacts[[#Headers],[row_id]] )</f>
        <v>1756</v>
      </c>
      <c r="B1757" s="41" t="str">
        <f xml:space="preserve"> _xlfn.TEXTJOIN( "", , data_scaledImpacts[[#This Row],[sector]:[impactType]] )</f>
        <v>WaterQualityHadGEM2-ES5N/A</v>
      </c>
      <c r="C1757" s="33" t="s">
        <v>227</v>
      </c>
      <c r="D1757" s="33" t="s">
        <v>3</v>
      </c>
      <c r="E1757" s="34">
        <v>5</v>
      </c>
      <c r="F1757" s="34"/>
      <c r="G1757" s="34" t="s">
        <v>201</v>
      </c>
      <c r="H1757" s="35"/>
      <c r="I1757" s="43" t="s">
        <v>66</v>
      </c>
      <c r="J1757" s="36">
        <v>8.1770549592145194</v>
      </c>
      <c r="K1757" s="36">
        <v>11.985839724732701</v>
      </c>
      <c r="L1757" s="37">
        <v>7.6020552089512696</v>
      </c>
      <c r="M1757" s="36">
        <v>9.9430233601428402</v>
      </c>
      <c r="N1757" s="36">
        <v>9.8717213021693695</v>
      </c>
      <c r="O1757" s="36">
        <v>8.8770331433881005</v>
      </c>
      <c r="P1757">
        <v>7.3536727501062096</v>
      </c>
    </row>
    <row r="1758" spans="1:16" hidden="1" x14ac:dyDescent="0.35">
      <c r="A1758" s="3">
        <f xml:space="preserve"> ROW( data_scaledImpacts[[#This Row],[row_id]] ) - ROW( data_scaledImpacts[[#Headers],[row_id]] )</f>
        <v>1757</v>
      </c>
      <c r="B1758" s="41" t="str">
        <f xml:space="preserve"> _xlfn.TEXTJOIN( "", , data_scaledImpacts[[#This Row],[sector]:[impactType]] )</f>
        <v>WaterQualityMIROC55N/A</v>
      </c>
      <c r="C1758" s="33" t="s">
        <v>227</v>
      </c>
      <c r="D1758" s="33" t="s">
        <v>4</v>
      </c>
      <c r="E1758" s="34">
        <v>5</v>
      </c>
      <c r="F1758" s="34"/>
      <c r="G1758" s="34" t="s">
        <v>201</v>
      </c>
      <c r="H1758" s="35"/>
      <c r="I1758" s="43" t="s">
        <v>67</v>
      </c>
      <c r="J1758" s="36">
        <v>8.4971133334580298</v>
      </c>
      <c r="K1758" s="36">
        <v>13.440232994683001</v>
      </c>
      <c r="L1758" s="37">
        <v>8.0582679233523606</v>
      </c>
      <c r="M1758" s="36">
        <v>9.3909682149110107</v>
      </c>
      <c r="N1758" s="36">
        <v>9.4632302551309095</v>
      </c>
      <c r="O1758" s="36">
        <v>9.4597275062268693</v>
      </c>
      <c r="P1758">
        <v>7.8202247884966898</v>
      </c>
    </row>
    <row r="1759" spans="1:16" hidden="1" x14ac:dyDescent="0.35">
      <c r="A1759" s="3">
        <f xml:space="preserve"> ROW( data_scaledImpacts[[#This Row],[row_id]] ) - ROW( data_scaledImpacts[[#Headers],[row_id]] )</f>
        <v>1758</v>
      </c>
      <c r="B1759" s="41" t="str">
        <f xml:space="preserve"> _xlfn.TEXTJOIN( "", , data_scaledImpacts[[#This Row],[sector]:[impactType]] )</f>
        <v>WaterQualityGFDL-CM35N/A</v>
      </c>
      <c r="C1759" s="33" t="s">
        <v>227</v>
      </c>
      <c r="D1759" s="33" t="s">
        <v>5</v>
      </c>
      <c r="E1759" s="34">
        <v>5</v>
      </c>
      <c r="F1759" s="34"/>
      <c r="G1759" s="34" t="s">
        <v>201</v>
      </c>
      <c r="H1759" s="35"/>
      <c r="I1759" s="43" t="s">
        <v>68</v>
      </c>
      <c r="J1759" s="36"/>
      <c r="K1759" s="36"/>
      <c r="L1759" s="37"/>
      <c r="M1759" s="36"/>
      <c r="N1759" s="36"/>
      <c r="O1759" s="36"/>
    </row>
    <row r="1760" spans="1:16" hidden="1" x14ac:dyDescent="0.35">
      <c r="A1760" s="3">
        <f xml:space="preserve"> ROW( data_scaledImpacts[[#This Row],[row_id]] ) - ROW( data_scaledImpacts[[#Headers],[row_id]] )</f>
        <v>1759</v>
      </c>
      <c r="B1760" s="41" t="str">
        <f xml:space="preserve"> _xlfn.TEXTJOIN( "", , data_scaledImpacts[[#This Row],[sector]:[impactType]] )</f>
        <v>WaterQualityGCM Average5N/A</v>
      </c>
      <c r="C1760" s="33" t="s">
        <v>227</v>
      </c>
      <c r="D1760" s="33" t="s">
        <v>15</v>
      </c>
      <c r="E1760" s="34">
        <v>5</v>
      </c>
      <c r="F1760" s="34"/>
      <c r="G1760" s="34" t="s">
        <v>201</v>
      </c>
      <c r="H1760" s="35"/>
      <c r="I1760" s="43" t="s">
        <v>69</v>
      </c>
      <c r="J1760" s="36">
        <v>8.5516596914028806</v>
      </c>
      <c r="K1760" s="36">
        <v>13.0725155956109</v>
      </c>
      <c r="L1760" s="37">
        <v>7.5590560431626299</v>
      </c>
      <c r="M1760" s="36">
        <v>10.392870899043499</v>
      </c>
      <c r="N1760" s="36">
        <v>10.309166682151799</v>
      </c>
      <c r="O1760" s="36">
        <v>9.2873089914436093</v>
      </c>
      <c r="P1760">
        <v>8.3344933577551892</v>
      </c>
    </row>
    <row r="1761" spans="1:16" hidden="1" x14ac:dyDescent="0.35">
      <c r="A1761" s="3">
        <f xml:space="preserve"> ROW( data_scaledImpacts[[#This Row],[row_id]] ) - ROW( data_scaledImpacts[[#Headers],[row_id]] )</f>
        <v>1760</v>
      </c>
      <c r="B1761" s="41" t="str">
        <f xml:space="preserve"> _xlfn.TEXTJOIN( "", , data_scaledImpacts[[#This Row],[sector]:[impactType]] )</f>
        <v>WaterQualityCanESM26N/A</v>
      </c>
      <c r="C1761" s="33" t="s">
        <v>227</v>
      </c>
      <c r="D1761" s="33" t="s">
        <v>0</v>
      </c>
      <c r="E1761" s="34">
        <v>6</v>
      </c>
      <c r="F1761" s="34"/>
      <c r="G1761" s="34" t="s">
        <v>201</v>
      </c>
      <c r="H1761" s="35"/>
      <c r="I1761" s="43" t="s">
        <v>70</v>
      </c>
      <c r="J1761" s="36">
        <v>10.4407947020593</v>
      </c>
      <c r="K1761" s="36">
        <v>16.2670518442896</v>
      </c>
      <c r="L1761" s="37">
        <v>8.2637652559330697</v>
      </c>
      <c r="M1761" s="36">
        <v>14.171410796433699</v>
      </c>
      <c r="N1761" s="36">
        <v>13.767652968771401</v>
      </c>
      <c r="O1761" s="36">
        <v>10.9921516041611</v>
      </c>
      <c r="P1761">
        <v>9.7053489070172194</v>
      </c>
    </row>
    <row r="1762" spans="1:16" hidden="1" x14ac:dyDescent="0.35">
      <c r="A1762" s="3">
        <f xml:space="preserve"> ROW( data_scaledImpacts[[#This Row],[row_id]] ) - ROW( data_scaledImpacts[[#Headers],[row_id]] )</f>
        <v>1761</v>
      </c>
      <c r="B1762" s="41" t="str">
        <f xml:space="preserve"> _xlfn.TEXTJOIN( "", , data_scaledImpacts[[#This Row],[sector]:[impactType]] )</f>
        <v>WaterQualityCCSM46N/A</v>
      </c>
      <c r="C1762" s="33" t="s">
        <v>227</v>
      </c>
      <c r="D1762" s="33" t="s">
        <v>1</v>
      </c>
      <c r="E1762" s="34">
        <v>6</v>
      </c>
      <c r="F1762" s="34"/>
      <c r="G1762" s="34" t="s">
        <v>201</v>
      </c>
      <c r="H1762" s="35"/>
      <c r="I1762" s="43" t="s">
        <v>71</v>
      </c>
      <c r="J1762" s="36"/>
      <c r="K1762" s="36"/>
      <c r="L1762" s="37"/>
      <c r="M1762" s="36"/>
      <c r="N1762" s="36"/>
      <c r="O1762" s="36"/>
    </row>
    <row r="1763" spans="1:16" hidden="1" x14ac:dyDescent="0.35">
      <c r="A1763" s="3">
        <f xml:space="preserve"> ROW( data_scaledImpacts[[#This Row],[row_id]] ) - ROW( data_scaledImpacts[[#Headers],[row_id]] )</f>
        <v>1762</v>
      </c>
      <c r="B1763" s="41" t="str">
        <f xml:space="preserve"> _xlfn.TEXTJOIN( "", , data_scaledImpacts[[#This Row],[sector]:[impactType]] )</f>
        <v>WaterQualityGISS-E2-R6N/A</v>
      </c>
      <c r="C1763" s="33" t="s">
        <v>227</v>
      </c>
      <c r="D1763" s="33" t="s">
        <v>2</v>
      </c>
      <c r="E1763" s="34">
        <v>6</v>
      </c>
      <c r="F1763" s="34"/>
      <c r="G1763" s="34" t="s">
        <v>201</v>
      </c>
      <c r="H1763" s="35"/>
      <c r="I1763" s="43" t="s">
        <v>72</v>
      </c>
      <c r="J1763" s="36"/>
      <c r="K1763" s="36"/>
      <c r="L1763" s="37"/>
      <c r="M1763" s="36"/>
      <c r="N1763" s="36"/>
      <c r="O1763" s="36"/>
    </row>
    <row r="1764" spans="1:16" hidden="1" x14ac:dyDescent="0.35">
      <c r="A1764" s="3">
        <f xml:space="preserve"> ROW( data_scaledImpacts[[#This Row],[row_id]] ) - ROW( data_scaledImpacts[[#Headers],[row_id]] )</f>
        <v>1763</v>
      </c>
      <c r="B1764" s="41" t="str">
        <f xml:space="preserve"> _xlfn.TEXTJOIN( "", , data_scaledImpacts[[#This Row],[sector]:[impactType]] )</f>
        <v>WaterQualityHadGEM2-ES6N/A</v>
      </c>
      <c r="C1764" s="33" t="s">
        <v>227</v>
      </c>
      <c r="D1764" s="33" t="s">
        <v>3</v>
      </c>
      <c r="E1764" s="34">
        <v>6</v>
      </c>
      <c r="F1764" s="34"/>
      <c r="G1764" s="34" t="s">
        <v>201</v>
      </c>
      <c r="H1764" s="35"/>
      <c r="I1764" s="43" t="s">
        <v>73</v>
      </c>
      <c r="J1764" s="36">
        <v>9.1952322915968008</v>
      </c>
      <c r="K1764" s="36">
        <v>14.764683054032499</v>
      </c>
      <c r="L1764" s="37">
        <v>8.4329313703684203</v>
      </c>
      <c r="M1764" s="36">
        <v>12.510467534790999</v>
      </c>
      <c r="N1764" s="36">
        <v>12.518625642374801</v>
      </c>
      <c r="O1764" s="36">
        <v>10.057852155788799</v>
      </c>
      <c r="P1764">
        <v>8.6153810869575107</v>
      </c>
    </row>
    <row r="1765" spans="1:16" hidden="1" x14ac:dyDescent="0.35">
      <c r="A1765" s="3">
        <f xml:space="preserve"> ROW( data_scaledImpacts[[#This Row],[row_id]] ) - ROW( data_scaledImpacts[[#Headers],[row_id]] )</f>
        <v>1764</v>
      </c>
      <c r="B1765" s="41" t="str">
        <f xml:space="preserve"> _xlfn.TEXTJOIN( "", , data_scaledImpacts[[#This Row],[sector]:[impactType]] )</f>
        <v>WaterQualityMIROC56N/A</v>
      </c>
      <c r="C1765" s="33" t="s">
        <v>227</v>
      </c>
      <c r="D1765" s="33" t="s">
        <v>4</v>
      </c>
      <c r="E1765" s="34">
        <v>6</v>
      </c>
      <c r="F1765" s="34"/>
      <c r="G1765" s="34" t="s">
        <v>201</v>
      </c>
      <c r="H1765" s="35"/>
      <c r="I1765" s="43" t="s">
        <v>74</v>
      </c>
      <c r="J1765" s="36"/>
      <c r="K1765" s="36"/>
      <c r="L1765" s="37"/>
      <c r="M1765" s="36"/>
      <c r="N1765" s="36"/>
      <c r="O1765" s="36"/>
    </row>
    <row r="1766" spans="1:16" hidden="1" x14ac:dyDescent="0.35">
      <c r="A1766" s="3">
        <f xml:space="preserve"> ROW( data_scaledImpacts[[#This Row],[row_id]] ) - ROW( data_scaledImpacts[[#Headers],[row_id]] )</f>
        <v>1765</v>
      </c>
      <c r="B1766" s="41" t="str">
        <f xml:space="preserve"> _xlfn.TEXTJOIN( "", , data_scaledImpacts[[#This Row],[sector]:[impactType]] )</f>
        <v>WaterQualityGFDL-CM36N/A</v>
      </c>
      <c r="C1766" s="33" t="s">
        <v>227</v>
      </c>
      <c r="D1766" s="33" t="s">
        <v>5</v>
      </c>
      <c r="E1766" s="34">
        <v>6</v>
      </c>
      <c r="F1766" s="34"/>
      <c r="G1766" s="34" t="s">
        <v>201</v>
      </c>
      <c r="H1766" s="35"/>
      <c r="I1766" s="43" t="s">
        <v>75</v>
      </c>
      <c r="J1766" s="36"/>
      <c r="K1766" s="36"/>
      <c r="L1766" s="37"/>
      <c r="M1766" s="36"/>
      <c r="N1766" s="36"/>
      <c r="O1766" s="36"/>
    </row>
    <row r="1767" spans="1:16" hidden="1" x14ac:dyDescent="0.35">
      <c r="A1767" s="3">
        <f xml:space="preserve"> ROW( data_scaledImpacts[[#This Row],[row_id]] ) - ROW( data_scaledImpacts[[#Headers],[row_id]] )</f>
        <v>1766</v>
      </c>
      <c r="B1767" s="41" t="str">
        <f xml:space="preserve"> _xlfn.TEXTJOIN( "", , data_scaledImpacts[[#This Row],[sector]:[impactType]] )</f>
        <v>WaterQualityGCM Average6N/A</v>
      </c>
      <c r="C1767" s="33" t="s">
        <v>227</v>
      </c>
      <c r="D1767" s="33" t="s">
        <v>15</v>
      </c>
      <c r="E1767" s="34">
        <v>6</v>
      </c>
      <c r="F1767" s="34"/>
      <c r="G1767" s="34" t="s">
        <v>201</v>
      </c>
      <c r="H1767" s="35"/>
      <c r="I1767" s="43" t="s">
        <v>76</v>
      </c>
      <c r="J1767" s="36">
        <v>9.8180134968280708</v>
      </c>
      <c r="K1767" s="36">
        <v>15.515867449161</v>
      </c>
      <c r="L1767" s="37">
        <v>8.3483483131507406</v>
      </c>
      <c r="M1767" s="36">
        <v>13.3409391656123</v>
      </c>
      <c r="N1767" s="36">
        <v>13.143139305573101</v>
      </c>
      <c r="O1767" s="36">
        <v>10.525001879974999</v>
      </c>
      <c r="P1767">
        <v>9.1603649969873704</v>
      </c>
    </row>
    <row r="1768" spans="1:16" hidden="1" x14ac:dyDescent="0.35">
      <c r="A1768" s="3">
        <f xml:space="preserve"> ROW( data_scaledImpacts[[#This Row],[row_id]] ) - ROW( data_scaledImpacts[[#Headers],[row_id]] )</f>
        <v>1767</v>
      </c>
      <c r="B1768" s="41" t="str">
        <f xml:space="preserve"> _xlfn.TEXTJOIN( "", , data_scaledImpacts[[#This Row],[sector]:[impactType]] )</f>
        <v>WaterQualityCanESM27N/A</v>
      </c>
      <c r="C1768" s="33" t="s">
        <v>227</v>
      </c>
      <c r="D1768" s="33" t="s">
        <v>0</v>
      </c>
      <c r="E1768" s="34">
        <v>7</v>
      </c>
      <c r="F1768" s="34"/>
      <c r="G1768" s="34" t="s">
        <v>201</v>
      </c>
      <c r="H1768" s="35"/>
      <c r="I1768" s="43" t="s">
        <v>77</v>
      </c>
      <c r="J1768" s="36"/>
      <c r="K1768" s="36"/>
      <c r="L1768" s="37"/>
      <c r="M1768" s="36"/>
      <c r="N1768" s="36"/>
      <c r="O1768" s="36"/>
    </row>
    <row r="1769" spans="1:16" hidden="1" x14ac:dyDescent="0.35">
      <c r="A1769" s="3">
        <f xml:space="preserve"> ROW( data_scaledImpacts[[#This Row],[row_id]] ) - ROW( data_scaledImpacts[[#Headers],[row_id]] )</f>
        <v>1768</v>
      </c>
      <c r="B1769" s="41" t="str">
        <f xml:space="preserve"> _xlfn.TEXTJOIN( "", , data_scaledImpacts[[#This Row],[sector]:[impactType]] )</f>
        <v>WaterQualityCCSM47N/A</v>
      </c>
      <c r="C1769" s="33" t="s">
        <v>227</v>
      </c>
      <c r="D1769" s="33" t="s">
        <v>1</v>
      </c>
      <c r="E1769" s="34">
        <v>7</v>
      </c>
      <c r="F1769" s="34"/>
      <c r="G1769" s="34" t="s">
        <v>201</v>
      </c>
      <c r="H1769" s="35"/>
      <c r="I1769" s="43" t="s">
        <v>78</v>
      </c>
      <c r="J1769" s="36"/>
      <c r="K1769" s="36"/>
      <c r="L1769" s="37"/>
      <c r="M1769" s="36"/>
      <c r="N1769" s="36"/>
      <c r="O1769" s="36"/>
    </row>
    <row r="1770" spans="1:16" hidden="1" x14ac:dyDescent="0.35">
      <c r="A1770" s="3">
        <f xml:space="preserve"> ROW( data_scaledImpacts[[#This Row],[row_id]] ) - ROW( data_scaledImpacts[[#Headers],[row_id]] )</f>
        <v>1769</v>
      </c>
      <c r="B1770" s="41" t="str">
        <f xml:space="preserve"> _xlfn.TEXTJOIN( "", , data_scaledImpacts[[#This Row],[sector]:[impactType]] )</f>
        <v>WaterQualityGISS-E2-R7N/A</v>
      </c>
      <c r="C1770" s="33" t="s">
        <v>227</v>
      </c>
      <c r="D1770" s="33" t="s">
        <v>2</v>
      </c>
      <c r="E1770" s="34">
        <v>7</v>
      </c>
      <c r="F1770" s="34"/>
      <c r="G1770" s="34" t="s">
        <v>201</v>
      </c>
      <c r="H1770" s="35"/>
      <c r="I1770" s="43" t="s">
        <v>79</v>
      </c>
      <c r="J1770" s="36"/>
      <c r="K1770" s="36"/>
      <c r="L1770" s="37"/>
      <c r="M1770" s="36"/>
      <c r="N1770" s="36"/>
      <c r="O1770" s="36"/>
    </row>
    <row r="1771" spans="1:16" hidden="1" x14ac:dyDescent="0.35">
      <c r="A1771" s="3">
        <f xml:space="preserve"> ROW( data_scaledImpacts[[#This Row],[row_id]] ) - ROW( data_scaledImpacts[[#Headers],[row_id]] )</f>
        <v>1770</v>
      </c>
      <c r="B1771" s="41" t="str">
        <f xml:space="preserve"> _xlfn.TEXTJOIN( "", , data_scaledImpacts[[#This Row],[sector]:[impactType]] )</f>
        <v>WaterQualityHadGEM2-ES7N/A</v>
      </c>
      <c r="C1771" s="33" t="s">
        <v>227</v>
      </c>
      <c r="D1771" s="33" t="s">
        <v>3</v>
      </c>
      <c r="E1771" s="34">
        <v>7</v>
      </c>
      <c r="F1771" s="34"/>
      <c r="G1771" s="34" t="s">
        <v>201</v>
      </c>
      <c r="H1771" s="35"/>
      <c r="I1771" s="43" t="s">
        <v>80</v>
      </c>
      <c r="J1771" s="36"/>
      <c r="K1771" s="36"/>
      <c r="L1771" s="37"/>
      <c r="M1771" s="36"/>
      <c r="N1771" s="36"/>
      <c r="O1771" s="36"/>
    </row>
    <row r="1772" spans="1:16" hidden="1" x14ac:dyDescent="0.35">
      <c r="A1772" s="3">
        <f xml:space="preserve"> ROW( data_scaledImpacts[[#This Row],[row_id]] ) - ROW( data_scaledImpacts[[#Headers],[row_id]] )</f>
        <v>1771</v>
      </c>
      <c r="B1772" s="41" t="str">
        <f xml:space="preserve"> _xlfn.TEXTJOIN( "", , data_scaledImpacts[[#This Row],[sector]:[impactType]] )</f>
        <v>WaterQualityMIROC57N/A</v>
      </c>
      <c r="C1772" s="33" t="s">
        <v>227</v>
      </c>
      <c r="D1772" s="33" t="s">
        <v>4</v>
      </c>
      <c r="E1772" s="34">
        <v>7</v>
      </c>
      <c r="F1772" s="34"/>
      <c r="G1772" s="34" t="s">
        <v>201</v>
      </c>
      <c r="H1772" s="35"/>
      <c r="I1772" s="43" t="s">
        <v>81</v>
      </c>
      <c r="J1772" s="36"/>
      <c r="K1772" s="36"/>
      <c r="L1772" s="37"/>
      <c r="M1772" s="36"/>
      <c r="N1772" s="36"/>
      <c r="O1772" s="36"/>
    </row>
    <row r="1773" spans="1:16" hidden="1" x14ac:dyDescent="0.35">
      <c r="A1773" s="3">
        <f xml:space="preserve"> ROW( data_scaledImpacts[[#This Row],[row_id]] ) - ROW( data_scaledImpacts[[#Headers],[row_id]] )</f>
        <v>1772</v>
      </c>
      <c r="B1773" s="41" t="str">
        <f xml:space="preserve"> _xlfn.TEXTJOIN( "", , data_scaledImpacts[[#This Row],[sector]:[impactType]] )</f>
        <v>WaterQualityGFDL-CM37N/A</v>
      </c>
      <c r="C1773" s="33" t="s">
        <v>227</v>
      </c>
      <c r="D1773" s="33" t="s">
        <v>5</v>
      </c>
      <c r="E1773" s="34">
        <v>7</v>
      </c>
      <c r="F1773" s="34"/>
      <c r="G1773" s="34" t="s">
        <v>201</v>
      </c>
      <c r="H1773" s="35"/>
      <c r="I1773" s="43" t="s">
        <v>82</v>
      </c>
      <c r="J1773" s="36"/>
      <c r="K1773" s="36"/>
      <c r="L1773" s="37"/>
      <c r="M1773" s="36"/>
      <c r="N1773" s="36"/>
      <c r="O1773" s="36"/>
    </row>
    <row r="1774" spans="1:16" hidden="1" x14ac:dyDescent="0.35">
      <c r="A1774" s="3">
        <f xml:space="preserve"> ROW( data_scaledImpacts[[#This Row],[row_id]] ) - ROW( data_scaledImpacts[[#Headers],[row_id]] )</f>
        <v>1773</v>
      </c>
      <c r="B1774" s="41" t="str">
        <f xml:space="preserve"> _xlfn.TEXTJOIN( "", , data_scaledImpacts[[#This Row],[sector]:[impactType]] )</f>
        <v>WaterQualityGCM Average7N/A</v>
      </c>
      <c r="C1774" s="33" t="s">
        <v>227</v>
      </c>
      <c r="D1774" s="33" t="s">
        <v>15</v>
      </c>
      <c r="E1774" s="34">
        <v>7</v>
      </c>
      <c r="F1774" s="34"/>
      <c r="G1774" s="34" t="s">
        <v>201</v>
      </c>
      <c r="H1774" s="35"/>
      <c r="I1774" s="43" t="s">
        <v>83</v>
      </c>
      <c r="J1774" s="36"/>
      <c r="K1774" s="36"/>
      <c r="L1774" s="37"/>
      <c r="M1774" s="36"/>
      <c r="N1774" s="36"/>
      <c r="O1774" s="36"/>
    </row>
    <row r="1775" spans="1:16" hidden="1" x14ac:dyDescent="0.35">
      <c r="A1775" s="3">
        <f xml:space="preserve"> ROW( data_scaledImpacts[[#This Row],[row_id]] ) - ROW( data_scaledImpacts[[#Headers],[row_id]] )</f>
        <v>1774</v>
      </c>
      <c r="B1775" s="41" t="str">
        <f xml:space="preserve"> _xlfn.TEXTJOIN( "", , data_scaledImpacts[[#This Row],[sector]:[impactType]] )</f>
        <v/>
      </c>
      <c r="C1775" s="33"/>
      <c r="D1775" s="33"/>
      <c r="E1775" s="34"/>
      <c r="F1775" s="34"/>
      <c r="G1775" s="34"/>
      <c r="H1775" s="35"/>
      <c r="I1775" s="43"/>
      <c r="J1775" s="36"/>
      <c r="K1775" s="36"/>
      <c r="L1775" s="37"/>
      <c r="M1775" s="36"/>
      <c r="N1775" s="36"/>
      <c r="O1775" s="36"/>
    </row>
    <row r="1776" spans="1:16" hidden="1" x14ac:dyDescent="0.35">
      <c r="A1776" s="3">
        <f xml:space="preserve"> ROW( data_scaledImpacts[[#This Row],[row_id]] ) - ROW( data_scaledImpacts[[#Headers],[row_id]] )</f>
        <v>1775</v>
      </c>
      <c r="B1776" s="41" t="str">
        <f xml:space="preserve"> _xlfn.TEXTJOIN( "", , data_scaledImpacts[[#This Row],[sector]:[impactType]] )</f>
        <v>AirQualityCanESM212011O3</v>
      </c>
      <c r="C1776" s="33" t="s">
        <v>559</v>
      </c>
      <c r="D1776" s="33" t="s">
        <v>0</v>
      </c>
      <c r="E1776" s="34">
        <v>1</v>
      </c>
      <c r="F1776" s="34"/>
      <c r="G1776" s="34">
        <v>2011</v>
      </c>
      <c r="H1776" s="35" t="s">
        <v>560</v>
      </c>
      <c r="I1776" s="43" t="s">
        <v>561</v>
      </c>
      <c r="J1776" s="36"/>
      <c r="K1776" s="36"/>
      <c r="L1776" s="37"/>
      <c r="M1776" s="36"/>
      <c r="N1776" s="36"/>
      <c r="O1776" s="36"/>
    </row>
    <row r="1777" spans="1:16" hidden="1" x14ac:dyDescent="0.35">
      <c r="A1777" s="3">
        <f xml:space="preserve"> ROW( data_scaledImpacts[[#This Row],[row_id]] ) - ROW( data_scaledImpacts[[#Headers],[row_id]] )</f>
        <v>1776</v>
      </c>
      <c r="B1777" s="41" t="str">
        <f xml:space="preserve"> _xlfn.TEXTJOIN( "", , data_scaledImpacts[[#This Row],[sector]:[impactType]] )</f>
        <v>AirQualityCCSM412011O3</v>
      </c>
      <c r="C1777" s="33" t="s">
        <v>559</v>
      </c>
      <c r="D1777" s="33" t="s">
        <v>1</v>
      </c>
      <c r="E1777" s="34">
        <v>1</v>
      </c>
      <c r="F1777" s="34"/>
      <c r="G1777" s="34">
        <v>2011</v>
      </c>
      <c r="H1777" s="35" t="s">
        <v>560</v>
      </c>
      <c r="I1777" s="43" t="s">
        <v>562</v>
      </c>
      <c r="J1777" s="36">
        <v>3.4577013863178907E-6</v>
      </c>
      <c r="K1777" s="36">
        <v>2.1967720292044068E-6</v>
      </c>
      <c r="L1777" s="37">
        <v>1.8857207835587452E-6</v>
      </c>
      <c r="M1777" s="36">
        <v>1.7270820879676162E-7</v>
      </c>
      <c r="N1777" s="36">
        <v>1.1026134284253546E-6</v>
      </c>
      <c r="O1777" s="36">
        <v>4.6705838775764755E-7</v>
      </c>
      <c r="P1777">
        <v>3.7345536434807414E-7</v>
      </c>
    </row>
    <row r="1778" spans="1:16" hidden="1" x14ac:dyDescent="0.35">
      <c r="A1778" s="3">
        <f xml:space="preserve"> ROW( data_scaledImpacts[[#This Row],[row_id]] ) - ROW( data_scaledImpacts[[#Headers],[row_id]] )</f>
        <v>1777</v>
      </c>
      <c r="B1778" s="41" t="str">
        <f xml:space="preserve"> _xlfn.TEXTJOIN( "", , data_scaledImpacts[[#This Row],[sector]:[impactType]] )</f>
        <v>AirQualityGISS-E2-R12011O3</v>
      </c>
      <c r="C1778" s="33" t="s">
        <v>559</v>
      </c>
      <c r="D1778" s="33" t="s">
        <v>2</v>
      </c>
      <c r="E1778" s="34">
        <v>1</v>
      </c>
      <c r="F1778" s="34"/>
      <c r="G1778" s="34">
        <v>2011</v>
      </c>
      <c r="H1778" s="35" t="s">
        <v>560</v>
      </c>
      <c r="I1778" s="43" t="s">
        <v>563</v>
      </c>
      <c r="J1778" s="36"/>
      <c r="K1778" s="36"/>
      <c r="L1778" s="37"/>
      <c r="M1778" s="36"/>
      <c r="N1778" s="36"/>
      <c r="O1778" s="36"/>
    </row>
    <row r="1779" spans="1:16" hidden="1" x14ac:dyDescent="0.35">
      <c r="A1779" s="3">
        <f xml:space="preserve"> ROW( data_scaledImpacts[[#This Row],[row_id]] ) - ROW( data_scaledImpacts[[#Headers],[row_id]] )</f>
        <v>1778</v>
      </c>
      <c r="B1779" s="41" t="str">
        <f xml:space="preserve"> _xlfn.TEXTJOIN( "", , data_scaledImpacts[[#This Row],[sector]:[impactType]] )</f>
        <v>AirQualityHadGEM2-ES12011O3</v>
      </c>
      <c r="C1779" s="33" t="s">
        <v>559</v>
      </c>
      <c r="D1779" s="33" t="s">
        <v>3</v>
      </c>
      <c r="E1779" s="34">
        <v>1</v>
      </c>
      <c r="F1779" s="34"/>
      <c r="G1779" s="34">
        <v>2011</v>
      </c>
      <c r="H1779" s="35" t="s">
        <v>560</v>
      </c>
      <c r="I1779" s="43" t="s">
        <v>564</v>
      </c>
      <c r="J1779" s="36"/>
      <c r="K1779" s="36"/>
      <c r="L1779" s="37"/>
      <c r="M1779" s="36"/>
      <c r="N1779" s="36"/>
      <c r="O1779" s="36"/>
    </row>
    <row r="1780" spans="1:16" hidden="1" x14ac:dyDescent="0.35">
      <c r="A1780" s="3">
        <f xml:space="preserve"> ROW( data_scaledImpacts[[#This Row],[row_id]] ) - ROW( data_scaledImpacts[[#Headers],[row_id]] )</f>
        <v>1779</v>
      </c>
      <c r="B1780" s="41" t="str">
        <f xml:space="preserve"> _xlfn.TEXTJOIN( "", , data_scaledImpacts[[#This Row],[sector]:[impactType]] )</f>
        <v>AirQualityMIROC512011O3</v>
      </c>
      <c r="C1780" s="33" t="s">
        <v>559</v>
      </c>
      <c r="D1780" s="33" t="s">
        <v>4</v>
      </c>
      <c r="E1780" s="34">
        <v>1</v>
      </c>
      <c r="F1780" s="34"/>
      <c r="G1780" s="34">
        <v>2011</v>
      </c>
      <c r="H1780" s="35" t="s">
        <v>560</v>
      </c>
      <c r="I1780" s="43" t="s">
        <v>565</v>
      </c>
      <c r="J1780" s="36"/>
      <c r="K1780" s="36"/>
      <c r="L1780" s="37"/>
      <c r="M1780" s="36"/>
      <c r="N1780" s="36"/>
      <c r="O1780" s="36"/>
    </row>
    <row r="1781" spans="1:16" hidden="1" x14ac:dyDescent="0.35">
      <c r="A1781" s="3">
        <f xml:space="preserve"> ROW( data_scaledImpacts[[#This Row],[row_id]] ) - ROW( data_scaledImpacts[[#Headers],[row_id]] )</f>
        <v>1780</v>
      </c>
      <c r="B1781" s="41" t="str">
        <f xml:space="preserve"> _xlfn.TEXTJOIN( "", , data_scaledImpacts[[#This Row],[sector]:[impactType]] )</f>
        <v>AirQualityGFDL-CM312011O3</v>
      </c>
      <c r="C1781" s="33" t="s">
        <v>559</v>
      </c>
      <c r="D1781" s="33" t="s">
        <v>5</v>
      </c>
      <c r="E1781" s="34">
        <v>1</v>
      </c>
      <c r="F1781" s="34"/>
      <c r="G1781" s="34">
        <v>2011</v>
      </c>
      <c r="H1781" s="35" t="s">
        <v>560</v>
      </c>
      <c r="I1781" s="43" t="s">
        <v>566</v>
      </c>
      <c r="J1781" s="36">
        <v>1.6632120094542892E-6</v>
      </c>
      <c r="K1781" s="36">
        <v>7.3004416230310566E-7</v>
      </c>
      <c r="L1781" s="37">
        <v>5.8077417324064537E-7</v>
      </c>
      <c r="M1781" s="36">
        <v>1.0643735075977631E-6</v>
      </c>
      <c r="N1781" s="36">
        <v>6.2169308084591392E-7</v>
      </c>
      <c r="O1781" s="36">
        <v>1.1232504000413722E-6</v>
      </c>
      <c r="P1781">
        <v>4.2973698013463037E-7</v>
      </c>
    </row>
    <row r="1782" spans="1:16" hidden="1" x14ac:dyDescent="0.35">
      <c r="A1782" s="3">
        <f xml:space="preserve"> ROW( data_scaledImpacts[[#This Row],[row_id]] ) - ROW( data_scaledImpacts[[#Headers],[row_id]] )</f>
        <v>1781</v>
      </c>
      <c r="B1782" s="41" t="str">
        <f xml:space="preserve"> _xlfn.TEXTJOIN( "", , data_scaledImpacts[[#This Row],[sector]:[impactType]] )</f>
        <v>AirQualityGCM Average12011O3</v>
      </c>
      <c r="C1782" s="33" t="s">
        <v>559</v>
      </c>
      <c r="D1782" s="33" t="s">
        <v>15</v>
      </c>
      <c r="E1782" s="34">
        <v>1</v>
      </c>
      <c r="F1782" s="34"/>
      <c r="G1782" s="34">
        <v>2011</v>
      </c>
      <c r="H1782" s="35" t="s">
        <v>560</v>
      </c>
      <c r="I1782" s="43" t="s">
        <v>567</v>
      </c>
      <c r="J1782" s="36">
        <v>2.5604566978860899E-6</v>
      </c>
      <c r="K1782" s="36">
        <v>1.4634080957537563E-6</v>
      </c>
      <c r="L1782" s="37">
        <v>1.2332474783996953E-6</v>
      </c>
      <c r="M1782" s="36">
        <v>6.185408581972624E-7</v>
      </c>
      <c r="N1782" s="36">
        <v>8.621532546356343E-7</v>
      </c>
      <c r="O1782" s="36">
        <v>7.9515439389950989E-7</v>
      </c>
      <c r="P1782">
        <v>4.0159617224135228E-7</v>
      </c>
    </row>
    <row r="1783" spans="1:16" hidden="1" x14ac:dyDescent="0.35">
      <c r="A1783" s="3">
        <f xml:space="preserve"> ROW( data_scaledImpacts[[#This Row],[row_id]] ) - ROW( data_scaledImpacts[[#Headers],[row_id]] )</f>
        <v>1782</v>
      </c>
      <c r="B1783" s="41" t="str">
        <f xml:space="preserve"> _xlfn.TEXTJOIN( "", , data_scaledImpacts[[#This Row],[sector]:[impactType]] )</f>
        <v>AirQualityCanESM222011O3</v>
      </c>
      <c r="C1783" s="33" t="s">
        <v>559</v>
      </c>
      <c r="D1783" s="33" t="s">
        <v>0</v>
      </c>
      <c r="E1783" s="34">
        <v>2</v>
      </c>
      <c r="F1783" s="34"/>
      <c r="G1783" s="34">
        <v>2011</v>
      </c>
      <c r="H1783" s="35" t="s">
        <v>560</v>
      </c>
      <c r="I1783" s="43" t="s">
        <v>568</v>
      </c>
      <c r="J1783" s="36"/>
      <c r="K1783" s="36"/>
      <c r="L1783" s="37"/>
      <c r="M1783" s="36"/>
      <c r="N1783" s="36"/>
      <c r="O1783" s="36"/>
    </row>
    <row r="1784" spans="1:16" hidden="1" x14ac:dyDescent="0.35">
      <c r="A1784" s="3">
        <f xml:space="preserve"> ROW( data_scaledImpacts[[#This Row],[row_id]] ) - ROW( data_scaledImpacts[[#Headers],[row_id]] )</f>
        <v>1783</v>
      </c>
      <c r="B1784" s="41" t="str">
        <f xml:space="preserve"> _xlfn.TEXTJOIN( "", , data_scaledImpacts[[#This Row],[sector]:[impactType]] )</f>
        <v>AirQualityCCSM422011O3</v>
      </c>
      <c r="C1784" s="33" t="s">
        <v>559</v>
      </c>
      <c r="D1784" s="33" t="s">
        <v>1</v>
      </c>
      <c r="E1784" s="34">
        <v>2</v>
      </c>
      <c r="F1784" s="34"/>
      <c r="G1784" s="34">
        <v>2011</v>
      </c>
      <c r="H1784" s="35" t="s">
        <v>560</v>
      </c>
      <c r="I1784" s="43" t="s">
        <v>569</v>
      </c>
      <c r="J1784" s="36">
        <v>7.667909476504137E-6</v>
      </c>
      <c r="K1784" s="36">
        <v>4.7934384672140076E-6</v>
      </c>
      <c r="L1784" s="37">
        <v>4.2752201310955636E-6</v>
      </c>
      <c r="M1784" s="36">
        <v>8.7470873915223279E-7</v>
      </c>
      <c r="N1784" s="36">
        <v>2.4936257301376976E-6</v>
      </c>
      <c r="O1784" s="36">
        <v>9.0421085506860962E-7</v>
      </c>
      <c r="P1784">
        <v>1.0614827422856832E-6</v>
      </c>
    </row>
    <row r="1785" spans="1:16" hidden="1" x14ac:dyDescent="0.35">
      <c r="A1785" s="3">
        <f xml:space="preserve"> ROW( data_scaledImpacts[[#This Row],[row_id]] ) - ROW( data_scaledImpacts[[#Headers],[row_id]] )</f>
        <v>1784</v>
      </c>
      <c r="B1785" s="41" t="str">
        <f xml:space="preserve"> _xlfn.TEXTJOIN( "", , data_scaledImpacts[[#This Row],[sector]:[impactType]] )</f>
        <v>AirQualityGISS-E2-R22011O3</v>
      </c>
      <c r="C1785" s="33" t="s">
        <v>559</v>
      </c>
      <c r="D1785" s="33" t="s">
        <v>2</v>
      </c>
      <c r="E1785" s="34">
        <v>2</v>
      </c>
      <c r="F1785" s="34"/>
      <c r="G1785" s="34">
        <v>2011</v>
      </c>
      <c r="H1785" s="35" t="s">
        <v>560</v>
      </c>
      <c r="I1785" s="43" t="s">
        <v>570</v>
      </c>
      <c r="J1785" s="36"/>
      <c r="K1785" s="36"/>
      <c r="L1785" s="37"/>
      <c r="M1785" s="36"/>
      <c r="N1785" s="36"/>
      <c r="O1785" s="36"/>
    </row>
    <row r="1786" spans="1:16" hidden="1" x14ac:dyDescent="0.35">
      <c r="A1786" s="3">
        <f xml:space="preserve"> ROW( data_scaledImpacts[[#This Row],[row_id]] ) - ROW( data_scaledImpacts[[#Headers],[row_id]] )</f>
        <v>1785</v>
      </c>
      <c r="B1786" s="41" t="str">
        <f xml:space="preserve"> _xlfn.TEXTJOIN( "", , data_scaledImpacts[[#This Row],[sector]:[impactType]] )</f>
        <v>AirQualityHadGEM2-ES22011O3</v>
      </c>
      <c r="C1786" s="33" t="s">
        <v>559</v>
      </c>
      <c r="D1786" s="33" t="s">
        <v>3</v>
      </c>
      <c r="E1786" s="34">
        <v>2</v>
      </c>
      <c r="F1786" s="34"/>
      <c r="G1786" s="34">
        <v>2011</v>
      </c>
      <c r="H1786" s="35" t="s">
        <v>560</v>
      </c>
      <c r="I1786" s="43" t="s">
        <v>571</v>
      </c>
      <c r="J1786" s="36"/>
      <c r="K1786" s="36"/>
      <c r="L1786" s="37"/>
      <c r="M1786" s="36"/>
      <c r="N1786" s="36"/>
      <c r="O1786" s="36"/>
    </row>
    <row r="1787" spans="1:16" hidden="1" x14ac:dyDescent="0.35">
      <c r="A1787" s="3">
        <f xml:space="preserve"> ROW( data_scaledImpacts[[#This Row],[row_id]] ) - ROW( data_scaledImpacts[[#Headers],[row_id]] )</f>
        <v>1786</v>
      </c>
      <c r="B1787" s="41" t="str">
        <f xml:space="preserve"> _xlfn.TEXTJOIN( "", , data_scaledImpacts[[#This Row],[sector]:[impactType]] )</f>
        <v>AirQualityMIROC522011O3</v>
      </c>
      <c r="C1787" s="33" t="s">
        <v>559</v>
      </c>
      <c r="D1787" s="33" t="s">
        <v>4</v>
      </c>
      <c r="E1787" s="34">
        <v>2</v>
      </c>
      <c r="F1787" s="34"/>
      <c r="G1787" s="34">
        <v>2011</v>
      </c>
      <c r="H1787" s="35" t="s">
        <v>560</v>
      </c>
      <c r="I1787" s="43" t="s">
        <v>572</v>
      </c>
      <c r="J1787" s="36"/>
      <c r="K1787" s="36"/>
      <c r="L1787" s="37"/>
      <c r="M1787" s="36"/>
      <c r="N1787" s="36"/>
      <c r="O1787" s="36"/>
    </row>
    <row r="1788" spans="1:16" hidden="1" x14ac:dyDescent="0.35">
      <c r="A1788" s="3">
        <f xml:space="preserve"> ROW( data_scaledImpacts[[#This Row],[row_id]] ) - ROW( data_scaledImpacts[[#Headers],[row_id]] )</f>
        <v>1787</v>
      </c>
      <c r="B1788" s="41" t="str">
        <f xml:space="preserve"> _xlfn.TEXTJOIN( "", , data_scaledImpacts[[#This Row],[sector]:[impactType]] )</f>
        <v>AirQualityGFDL-CM322011O3</v>
      </c>
      <c r="C1788" s="33" t="s">
        <v>559</v>
      </c>
      <c r="D1788" s="33" t="s">
        <v>5</v>
      </c>
      <c r="E1788" s="34">
        <v>2</v>
      </c>
      <c r="F1788" s="34"/>
      <c r="G1788" s="34">
        <v>2011</v>
      </c>
      <c r="H1788" s="35" t="s">
        <v>560</v>
      </c>
      <c r="I1788" s="43" t="s">
        <v>573</v>
      </c>
      <c r="J1788" s="36">
        <v>3.3632345545782855E-6</v>
      </c>
      <c r="K1788" s="36">
        <v>1.8510605626840056E-6</v>
      </c>
      <c r="L1788" s="37">
        <v>1.0443014428272476E-6</v>
      </c>
      <c r="M1788" s="36">
        <v>2.2252215359412012E-6</v>
      </c>
      <c r="N1788" s="36">
        <v>1.2121640681570606E-6</v>
      </c>
      <c r="O1788" s="36">
        <v>2.0429251775795655E-6</v>
      </c>
      <c r="P1788">
        <v>8.4681351459972515E-7</v>
      </c>
    </row>
    <row r="1789" spans="1:16" hidden="1" x14ac:dyDescent="0.35">
      <c r="A1789" s="3">
        <f xml:space="preserve"> ROW( data_scaledImpacts[[#This Row],[row_id]] ) - ROW( data_scaledImpacts[[#Headers],[row_id]] )</f>
        <v>1788</v>
      </c>
      <c r="B1789" s="41" t="str">
        <f xml:space="preserve"> _xlfn.TEXTJOIN( "", , data_scaledImpacts[[#This Row],[sector]:[impactType]] )</f>
        <v>AirQualityGCM Average22011O3</v>
      </c>
      <c r="C1789" s="33" t="s">
        <v>559</v>
      </c>
      <c r="D1789" s="33" t="s">
        <v>15</v>
      </c>
      <c r="E1789" s="34">
        <v>2</v>
      </c>
      <c r="F1789" s="34"/>
      <c r="G1789" s="34">
        <v>2011</v>
      </c>
      <c r="H1789" s="35" t="s">
        <v>560</v>
      </c>
      <c r="I1789" s="43" t="s">
        <v>574</v>
      </c>
      <c r="J1789" s="36">
        <v>5.5155720155412117E-6</v>
      </c>
      <c r="K1789" s="36">
        <v>3.3222495149490064E-6</v>
      </c>
      <c r="L1789" s="37">
        <v>2.6597607869614055E-6</v>
      </c>
      <c r="M1789" s="36">
        <v>1.549965137546717E-6</v>
      </c>
      <c r="N1789" s="36">
        <v>1.852894899147379E-6</v>
      </c>
      <c r="O1789" s="36">
        <v>1.4735680163240875E-6</v>
      </c>
      <c r="P1789">
        <v>9.541481284427043E-7</v>
      </c>
    </row>
    <row r="1790" spans="1:16" hidden="1" x14ac:dyDescent="0.35">
      <c r="A1790" s="3">
        <f xml:space="preserve"> ROW( data_scaledImpacts[[#This Row],[row_id]] ) - ROW( data_scaledImpacts[[#Headers],[row_id]] )</f>
        <v>1789</v>
      </c>
      <c r="B1790" s="41" t="str">
        <f xml:space="preserve"> _xlfn.TEXTJOIN( "", , data_scaledImpacts[[#This Row],[sector]:[impactType]] )</f>
        <v>AirQualityCanESM232011O3</v>
      </c>
      <c r="C1790" s="33" t="s">
        <v>559</v>
      </c>
      <c r="D1790" s="33" t="s">
        <v>0</v>
      </c>
      <c r="E1790" s="34">
        <v>3</v>
      </c>
      <c r="F1790" s="34"/>
      <c r="G1790" s="34">
        <v>2011</v>
      </c>
      <c r="H1790" s="35" t="s">
        <v>560</v>
      </c>
      <c r="I1790" s="43" t="s">
        <v>575</v>
      </c>
      <c r="J1790" s="36"/>
      <c r="K1790" s="36"/>
      <c r="L1790" s="37"/>
      <c r="M1790" s="36"/>
      <c r="N1790" s="36"/>
      <c r="O1790" s="36"/>
    </row>
    <row r="1791" spans="1:16" hidden="1" x14ac:dyDescent="0.35">
      <c r="A1791" s="3">
        <f xml:space="preserve"> ROW( data_scaledImpacts[[#This Row],[row_id]] ) - ROW( data_scaledImpacts[[#Headers],[row_id]] )</f>
        <v>1790</v>
      </c>
      <c r="B1791" s="41" t="str">
        <f xml:space="preserve"> _xlfn.TEXTJOIN( "", , data_scaledImpacts[[#This Row],[sector]:[impactType]] )</f>
        <v>AirQualityCCSM432011O3</v>
      </c>
      <c r="C1791" s="33" t="s">
        <v>559</v>
      </c>
      <c r="D1791" s="33" t="s">
        <v>1</v>
      </c>
      <c r="E1791" s="34">
        <v>3</v>
      </c>
      <c r="F1791" s="34"/>
      <c r="G1791" s="34">
        <v>2011</v>
      </c>
      <c r="H1791" s="35" t="s">
        <v>560</v>
      </c>
      <c r="I1791" s="43" t="s">
        <v>576</v>
      </c>
      <c r="J1791" s="36">
        <v>9.4760246220392982E-6</v>
      </c>
      <c r="K1791" s="36">
        <v>6.6165943196235176E-6</v>
      </c>
      <c r="L1791" s="37">
        <v>5.013543646739013E-6</v>
      </c>
      <c r="M1791" s="36">
        <v>3.4651725370909647E-6</v>
      </c>
      <c r="N1791" s="36">
        <v>2.6962050008935245E-6</v>
      </c>
      <c r="O1791" s="36">
        <v>3.2945954542093395E-7</v>
      </c>
      <c r="P1791">
        <v>1.6569826018373123E-6</v>
      </c>
    </row>
    <row r="1792" spans="1:16" hidden="1" x14ac:dyDescent="0.35">
      <c r="A1792" s="3">
        <f xml:space="preserve"> ROW( data_scaledImpacts[[#This Row],[row_id]] ) - ROW( data_scaledImpacts[[#Headers],[row_id]] )</f>
        <v>1791</v>
      </c>
      <c r="B1792" s="41" t="str">
        <f xml:space="preserve"> _xlfn.TEXTJOIN( "", , data_scaledImpacts[[#This Row],[sector]:[impactType]] )</f>
        <v>AirQualityGISS-E2-R32011O3</v>
      </c>
      <c r="C1792" s="33" t="s">
        <v>559</v>
      </c>
      <c r="D1792" s="33" t="s">
        <v>2</v>
      </c>
      <c r="E1792" s="34">
        <v>3</v>
      </c>
      <c r="F1792" s="34"/>
      <c r="G1792" s="34">
        <v>2011</v>
      </c>
      <c r="H1792" s="35" t="s">
        <v>560</v>
      </c>
      <c r="I1792" s="43" t="s">
        <v>577</v>
      </c>
      <c r="J1792" s="36"/>
      <c r="K1792" s="36"/>
      <c r="L1792" s="37"/>
      <c r="M1792" s="36"/>
      <c r="N1792" s="36"/>
      <c r="O1792" s="36"/>
    </row>
    <row r="1793" spans="1:16" hidden="1" x14ac:dyDescent="0.35">
      <c r="A1793" s="3">
        <f xml:space="preserve"> ROW( data_scaledImpacts[[#This Row],[row_id]] ) - ROW( data_scaledImpacts[[#Headers],[row_id]] )</f>
        <v>1792</v>
      </c>
      <c r="B1793" s="41" t="str">
        <f xml:space="preserve"> _xlfn.TEXTJOIN( "", , data_scaledImpacts[[#This Row],[sector]:[impactType]] )</f>
        <v>AirQualityHadGEM2-ES32011O3</v>
      </c>
      <c r="C1793" s="33" t="s">
        <v>559</v>
      </c>
      <c r="D1793" s="33" t="s">
        <v>3</v>
      </c>
      <c r="E1793" s="34">
        <v>3</v>
      </c>
      <c r="F1793" s="34"/>
      <c r="G1793" s="34">
        <v>2011</v>
      </c>
      <c r="H1793" s="35" t="s">
        <v>560</v>
      </c>
      <c r="I1793" s="43" t="s">
        <v>578</v>
      </c>
      <c r="J1793" s="36"/>
      <c r="K1793" s="36"/>
      <c r="L1793" s="37"/>
      <c r="M1793" s="36"/>
      <c r="N1793" s="36"/>
      <c r="O1793" s="36"/>
    </row>
    <row r="1794" spans="1:16" hidden="1" x14ac:dyDescent="0.35">
      <c r="A1794" s="3">
        <f xml:space="preserve"> ROW( data_scaledImpacts[[#This Row],[row_id]] ) - ROW( data_scaledImpacts[[#Headers],[row_id]] )</f>
        <v>1793</v>
      </c>
      <c r="B1794" s="41" t="str">
        <f xml:space="preserve"> _xlfn.TEXTJOIN( "", , data_scaledImpacts[[#This Row],[sector]:[impactType]] )</f>
        <v>AirQualityMIROC532011O3</v>
      </c>
      <c r="C1794" s="33" t="s">
        <v>559</v>
      </c>
      <c r="D1794" s="33" t="s">
        <v>4</v>
      </c>
      <c r="E1794" s="34">
        <v>3</v>
      </c>
      <c r="F1794" s="34"/>
      <c r="G1794" s="34">
        <v>2011</v>
      </c>
      <c r="H1794" s="35" t="s">
        <v>560</v>
      </c>
      <c r="I1794" s="43" t="s">
        <v>579</v>
      </c>
      <c r="J1794" s="36"/>
      <c r="K1794" s="36"/>
      <c r="L1794" s="37"/>
      <c r="M1794" s="36"/>
      <c r="N1794" s="36"/>
      <c r="O1794" s="36"/>
    </row>
    <row r="1795" spans="1:16" hidden="1" x14ac:dyDescent="0.35">
      <c r="A1795" s="3">
        <f xml:space="preserve"> ROW( data_scaledImpacts[[#This Row],[row_id]] ) - ROW( data_scaledImpacts[[#Headers],[row_id]] )</f>
        <v>1794</v>
      </c>
      <c r="B1795" s="41" t="str">
        <f xml:space="preserve"> _xlfn.TEXTJOIN( "", , data_scaledImpacts[[#This Row],[sector]:[impactType]] )</f>
        <v>AirQualityGFDL-CM332011O3</v>
      </c>
      <c r="C1795" s="33" t="s">
        <v>559</v>
      </c>
      <c r="D1795" s="33" t="s">
        <v>5</v>
      </c>
      <c r="E1795" s="34">
        <v>3</v>
      </c>
      <c r="F1795" s="34"/>
      <c r="G1795" s="34">
        <v>2011</v>
      </c>
      <c r="H1795" s="35" t="s">
        <v>560</v>
      </c>
      <c r="I1795" s="43" t="s">
        <v>580</v>
      </c>
      <c r="J1795" s="36">
        <v>4.787624216113684E-6</v>
      </c>
      <c r="K1795" s="36">
        <v>4.8289709769627042E-6</v>
      </c>
      <c r="L1795" s="37">
        <v>7.929058329754525E-7</v>
      </c>
      <c r="M1795" s="36">
        <v>3.4217457630566143E-6</v>
      </c>
      <c r="N1795" s="36">
        <v>1.4891703748568181E-6</v>
      </c>
      <c r="O1795" s="36">
        <v>1.5571399630766953E-6</v>
      </c>
      <c r="P1795">
        <v>1.0610565207938043E-6</v>
      </c>
    </row>
    <row r="1796" spans="1:16" hidden="1" x14ac:dyDescent="0.35">
      <c r="A1796" s="3">
        <f xml:space="preserve"> ROW( data_scaledImpacts[[#This Row],[row_id]] ) - ROW( data_scaledImpacts[[#Headers],[row_id]] )</f>
        <v>1795</v>
      </c>
      <c r="B1796" s="41" t="str">
        <f xml:space="preserve"> _xlfn.TEXTJOIN( "", , data_scaledImpacts[[#This Row],[sector]:[impactType]] )</f>
        <v>AirQualityGCM Average32011O3</v>
      </c>
      <c r="C1796" s="33" t="s">
        <v>559</v>
      </c>
      <c r="D1796" s="33" t="s">
        <v>15</v>
      </c>
      <c r="E1796" s="34">
        <v>3</v>
      </c>
      <c r="F1796" s="34"/>
      <c r="G1796" s="34">
        <v>2011</v>
      </c>
      <c r="H1796" s="35" t="s">
        <v>560</v>
      </c>
      <c r="I1796" s="43" t="s">
        <v>581</v>
      </c>
      <c r="J1796" s="36">
        <v>7.1318244190764911E-6</v>
      </c>
      <c r="K1796" s="36">
        <v>5.7227826482931109E-6</v>
      </c>
      <c r="L1796" s="37">
        <v>2.9032247398572326E-6</v>
      </c>
      <c r="M1796" s="36">
        <v>3.4434591500737897E-6</v>
      </c>
      <c r="N1796" s="36">
        <v>2.0926876878751712E-6</v>
      </c>
      <c r="O1796" s="36">
        <v>9.4329975424881465E-7</v>
      </c>
      <c r="P1796">
        <v>1.3590195613155583E-6</v>
      </c>
    </row>
    <row r="1797" spans="1:16" hidden="1" x14ac:dyDescent="0.35">
      <c r="A1797" s="3">
        <f xml:space="preserve"> ROW( data_scaledImpacts[[#This Row],[row_id]] ) - ROW( data_scaledImpacts[[#Headers],[row_id]] )</f>
        <v>1796</v>
      </c>
      <c r="B1797" s="41" t="str">
        <f xml:space="preserve"> _xlfn.TEXTJOIN( "", , data_scaledImpacts[[#This Row],[sector]:[impactType]] )</f>
        <v>AirQualityCanESM242011O3</v>
      </c>
      <c r="C1797" s="33" t="s">
        <v>559</v>
      </c>
      <c r="D1797" s="33" t="s">
        <v>0</v>
      </c>
      <c r="E1797" s="34">
        <v>4</v>
      </c>
      <c r="F1797" s="34"/>
      <c r="G1797" s="34">
        <v>2011</v>
      </c>
      <c r="H1797" s="35" t="s">
        <v>560</v>
      </c>
      <c r="I1797" s="43" t="s">
        <v>582</v>
      </c>
      <c r="J1797" s="36"/>
      <c r="K1797" s="36"/>
      <c r="L1797" s="37"/>
      <c r="M1797" s="36"/>
      <c r="N1797" s="36"/>
      <c r="O1797" s="36"/>
    </row>
    <row r="1798" spans="1:16" hidden="1" x14ac:dyDescent="0.35">
      <c r="A1798" s="3">
        <f xml:space="preserve"> ROW( data_scaledImpacts[[#This Row],[row_id]] ) - ROW( data_scaledImpacts[[#Headers],[row_id]] )</f>
        <v>1797</v>
      </c>
      <c r="B1798" s="41" t="str">
        <f xml:space="preserve"> _xlfn.TEXTJOIN( "", , data_scaledImpacts[[#This Row],[sector]:[impactType]] )</f>
        <v>AirQualityCCSM442011O3</v>
      </c>
      <c r="C1798" s="33" t="s">
        <v>559</v>
      </c>
      <c r="D1798" s="33" t="s">
        <v>1</v>
      </c>
      <c r="E1798" s="34">
        <v>4</v>
      </c>
      <c r="F1798" s="34"/>
      <c r="G1798" s="34">
        <v>2011</v>
      </c>
      <c r="H1798" s="35" t="s">
        <v>560</v>
      </c>
      <c r="I1798" s="43" t="s">
        <v>583</v>
      </c>
      <c r="J1798" s="36">
        <v>1.3002881017369415E-5</v>
      </c>
      <c r="K1798" s="36">
        <v>1.0319836717270845E-5</v>
      </c>
      <c r="L1798" s="37">
        <v>6.012482530308821E-6</v>
      </c>
      <c r="M1798" s="36">
        <v>6.3577535696660669E-6</v>
      </c>
      <c r="N1798" s="36">
        <v>3.1221662366995415E-6</v>
      </c>
      <c r="O1798" s="36">
        <v>7.770432202217375E-9</v>
      </c>
      <c r="P1798">
        <v>2.0965908824396505E-6</v>
      </c>
    </row>
    <row r="1799" spans="1:16" hidden="1" x14ac:dyDescent="0.35">
      <c r="A1799" s="3">
        <f xml:space="preserve"> ROW( data_scaledImpacts[[#This Row],[row_id]] ) - ROW( data_scaledImpacts[[#Headers],[row_id]] )</f>
        <v>1798</v>
      </c>
      <c r="B1799" s="41" t="str">
        <f xml:space="preserve"> _xlfn.TEXTJOIN( "", , data_scaledImpacts[[#This Row],[sector]:[impactType]] )</f>
        <v>AirQualityGISS-E2-R42011O3</v>
      </c>
      <c r="C1799" s="33" t="s">
        <v>559</v>
      </c>
      <c r="D1799" s="33" t="s">
        <v>2</v>
      </c>
      <c r="E1799" s="34">
        <v>4</v>
      </c>
      <c r="F1799" s="34"/>
      <c r="G1799" s="34">
        <v>2011</v>
      </c>
      <c r="H1799" s="35" t="s">
        <v>560</v>
      </c>
      <c r="I1799" s="43" t="s">
        <v>584</v>
      </c>
      <c r="J1799" s="36"/>
      <c r="K1799" s="36"/>
      <c r="L1799" s="37"/>
      <c r="M1799" s="36"/>
      <c r="N1799" s="36"/>
      <c r="O1799" s="36"/>
    </row>
    <row r="1800" spans="1:16" hidden="1" x14ac:dyDescent="0.35">
      <c r="A1800" s="3">
        <f xml:space="preserve"> ROW( data_scaledImpacts[[#This Row],[row_id]] ) - ROW( data_scaledImpacts[[#Headers],[row_id]] )</f>
        <v>1799</v>
      </c>
      <c r="B1800" s="41" t="str">
        <f xml:space="preserve"> _xlfn.TEXTJOIN( "", , data_scaledImpacts[[#This Row],[sector]:[impactType]] )</f>
        <v>AirQualityHadGEM2-ES42011O3</v>
      </c>
      <c r="C1800" s="33" t="s">
        <v>559</v>
      </c>
      <c r="D1800" s="33" t="s">
        <v>3</v>
      </c>
      <c r="E1800" s="34">
        <v>4</v>
      </c>
      <c r="F1800" s="34"/>
      <c r="G1800" s="34">
        <v>2011</v>
      </c>
      <c r="H1800" s="35" t="s">
        <v>560</v>
      </c>
      <c r="I1800" s="43" t="s">
        <v>585</v>
      </c>
      <c r="J1800" s="36"/>
      <c r="K1800" s="36"/>
      <c r="L1800" s="37"/>
      <c r="M1800" s="36"/>
      <c r="N1800" s="36"/>
      <c r="O1800" s="36"/>
    </row>
    <row r="1801" spans="1:16" hidden="1" x14ac:dyDescent="0.35">
      <c r="A1801" s="3">
        <f xml:space="preserve"> ROW( data_scaledImpacts[[#This Row],[row_id]] ) - ROW( data_scaledImpacts[[#Headers],[row_id]] )</f>
        <v>1800</v>
      </c>
      <c r="B1801" s="41" t="str">
        <f xml:space="preserve"> _xlfn.TEXTJOIN( "", , data_scaledImpacts[[#This Row],[sector]:[impactType]] )</f>
        <v>AirQualityMIROC542011O3</v>
      </c>
      <c r="C1801" s="33" t="s">
        <v>559</v>
      </c>
      <c r="D1801" s="33" t="s">
        <v>4</v>
      </c>
      <c r="E1801" s="34">
        <v>4</v>
      </c>
      <c r="F1801" s="34"/>
      <c r="G1801" s="34">
        <v>2011</v>
      </c>
      <c r="H1801" s="35" t="s">
        <v>560</v>
      </c>
      <c r="I1801" s="43" t="s">
        <v>586</v>
      </c>
      <c r="J1801" s="36"/>
      <c r="K1801" s="36"/>
      <c r="L1801" s="37"/>
      <c r="M1801" s="36"/>
      <c r="N1801" s="36"/>
      <c r="O1801" s="36"/>
    </row>
    <row r="1802" spans="1:16" hidden="1" x14ac:dyDescent="0.35">
      <c r="A1802" s="3">
        <f xml:space="preserve"> ROW( data_scaledImpacts[[#This Row],[row_id]] ) - ROW( data_scaledImpacts[[#Headers],[row_id]] )</f>
        <v>1801</v>
      </c>
      <c r="B1802" s="41" t="str">
        <f xml:space="preserve"> _xlfn.TEXTJOIN( "", , data_scaledImpacts[[#This Row],[sector]:[impactType]] )</f>
        <v>AirQualityGFDL-CM342011O3</v>
      </c>
      <c r="C1802" s="33" t="s">
        <v>559</v>
      </c>
      <c r="D1802" s="33" t="s">
        <v>5</v>
      </c>
      <c r="E1802" s="34">
        <v>4</v>
      </c>
      <c r="F1802" s="34"/>
      <c r="G1802" s="34">
        <v>2011</v>
      </c>
      <c r="H1802" s="35" t="s">
        <v>560</v>
      </c>
      <c r="I1802" s="43" t="s">
        <v>587</v>
      </c>
      <c r="J1802" s="36">
        <v>7.9978742763583673E-6</v>
      </c>
      <c r="K1802" s="36">
        <v>7.2256567618122414E-6</v>
      </c>
      <c r="L1802" s="37">
        <v>2.3243348658956752E-6</v>
      </c>
      <c r="M1802" s="36">
        <v>3.7511395508439392E-6</v>
      </c>
      <c r="N1802" s="36">
        <v>2.8695301554079281E-6</v>
      </c>
      <c r="O1802" s="36">
        <v>2.9693527818684189E-6</v>
      </c>
      <c r="P1802">
        <v>1.6698308909166431E-6</v>
      </c>
    </row>
    <row r="1803" spans="1:16" hidden="1" x14ac:dyDescent="0.35">
      <c r="A1803" s="3">
        <f xml:space="preserve"> ROW( data_scaledImpacts[[#This Row],[row_id]] ) - ROW( data_scaledImpacts[[#Headers],[row_id]] )</f>
        <v>1802</v>
      </c>
      <c r="B1803" s="41" t="str">
        <f xml:space="preserve"> _xlfn.TEXTJOIN( "", , data_scaledImpacts[[#This Row],[sector]:[impactType]] )</f>
        <v>AirQualityGCM Average42011O3</v>
      </c>
      <c r="C1803" s="33" t="s">
        <v>559</v>
      </c>
      <c r="D1803" s="33" t="s">
        <v>15</v>
      </c>
      <c r="E1803" s="34">
        <v>4</v>
      </c>
      <c r="F1803" s="34"/>
      <c r="G1803" s="34">
        <v>2011</v>
      </c>
      <c r="H1803" s="35" t="s">
        <v>560</v>
      </c>
      <c r="I1803" s="43" t="s">
        <v>588</v>
      </c>
      <c r="J1803" s="36">
        <v>1.0500377646863892E-5</v>
      </c>
      <c r="K1803" s="36">
        <v>8.772746739541543E-6</v>
      </c>
      <c r="L1803" s="37">
        <v>4.1684086981022485E-6</v>
      </c>
      <c r="M1803" s="36">
        <v>5.0544465602550033E-6</v>
      </c>
      <c r="N1803" s="36">
        <v>2.995848196053735E-6</v>
      </c>
      <c r="O1803" s="36">
        <v>1.4885616070353181E-6</v>
      </c>
      <c r="P1803">
        <v>1.8832108866781468E-6</v>
      </c>
    </row>
    <row r="1804" spans="1:16" hidden="1" x14ac:dyDescent="0.35">
      <c r="A1804" s="3">
        <f xml:space="preserve"> ROW( data_scaledImpacts[[#This Row],[row_id]] ) - ROW( data_scaledImpacts[[#Headers],[row_id]] )</f>
        <v>1803</v>
      </c>
      <c r="B1804" s="41" t="str">
        <f xml:space="preserve"> _xlfn.TEXTJOIN( "", , data_scaledImpacts[[#This Row],[sector]:[impactType]] )</f>
        <v>AirQualityCanESM252011O3</v>
      </c>
      <c r="C1804" s="33" t="s">
        <v>559</v>
      </c>
      <c r="D1804" s="33" t="s">
        <v>0</v>
      </c>
      <c r="E1804" s="34">
        <v>5</v>
      </c>
      <c r="F1804" s="34"/>
      <c r="G1804" s="34">
        <v>2011</v>
      </c>
      <c r="H1804" s="35" t="s">
        <v>560</v>
      </c>
      <c r="I1804" s="43" t="s">
        <v>589</v>
      </c>
      <c r="J1804" s="36"/>
      <c r="K1804" s="36"/>
      <c r="L1804" s="37"/>
      <c r="M1804" s="36"/>
      <c r="N1804" s="36"/>
      <c r="O1804" s="36"/>
    </row>
    <row r="1805" spans="1:16" hidden="1" x14ac:dyDescent="0.35">
      <c r="A1805" s="3">
        <f xml:space="preserve"> ROW( data_scaledImpacts[[#This Row],[row_id]] ) - ROW( data_scaledImpacts[[#Headers],[row_id]] )</f>
        <v>1804</v>
      </c>
      <c r="B1805" s="41" t="str">
        <f xml:space="preserve"> _xlfn.TEXTJOIN( "", , data_scaledImpacts[[#This Row],[sector]:[impactType]] )</f>
        <v>AirQualityCCSM452011O3</v>
      </c>
      <c r="C1805" s="33" t="s">
        <v>559</v>
      </c>
      <c r="D1805" s="33" t="s">
        <v>1</v>
      </c>
      <c r="E1805" s="34">
        <v>5</v>
      </c>
      <c r="F1805" s="34"/>
      <c r="G1805" s="34">
        <v>2011</v>
      </c>
      <c r="H1805" s="35" t="s">
        <v>560</v>
      </c>
      <c r="I1805" s="43" t="s">
        <v>590</v>
      </c>
      <c r="J1805" s="36">
        <v>1.7087593876493081E-5</v>
      </c>
      <c r="K1805" s="36">
        <v>1.3255845333868904E-5</v>
      </c>
      <c r="L1805" s="37">
        <v>7.1509694486305245E-6</v>
      </c>
      <c r="M1805" s="36">
        <v>6.6119538273498829E-6</v>
      </c>
      <c r="N1805" s="36">
        <v>4.9145232635359935E-6</v>
      </c>
      <c r="O1805" s="36">
        <v>1.5222516789540109E-6</v>
      </c>
      <c r="P1805">
        <v>3.1459565443716136E-6</v>
      </c>
    </row>
    <row r="1806" spans="1:16" hidden="1" x14ac:dyDescent="0.35">
      <c r="A1806" s="3">
        <f xml:space="preserve"> ROW( data_scaledImpacts[[#This Row],[row_id]] ) - ROW( data_scaledImpacts[[#Headers],[row_id]] )</f>
        <v>1805</v>
      </c>
      <c r="B1806" s="41" t="str">
        <f xml:space="preserve"> _xlfn.TEXTJOIN( "", , data_scaledImpacts[[#This Row],[sector]:[impactType]] )</f>
        <v>AirQualityGISS-E2-R52011O3</v>
      </c>
      <c r="C1806" s="33" t="s">
        <v>559</v>
      </c>
      <c r="D1806" s="33" t="s">
        <v>2</v>
      </c>
      <c r="E1806" s="34">
        <v>5</v>
      </c>
      <c r="F1806" s="34"/>
      <c r="G1806" s="34">
        <v>2011</v>
      </c>
      <c r="H1806" s="35" t="s">
        <v>560</v>
      </c>
      <c r="I1806" s="43" t="s">
        <v>591</v>
      </c>
      <c r="J1806" s="36"/>
      <c r="K1806" s="36"/>
      <c r="L1806" s="37"/>
      <c r="M1806" s="36"/>
      <c r="N1806" s="36"/>
      <c r="O1806" s="36"/>
    </row>
    <row r="1807" spans="1:16" hidden="1" x14ac:dyDescent="0.35">
      <c r="A1807" s="3">
        <f xml:space="preserve"> ROW( data_scaledImpacts[[#This Row],[row_id]] ) - ROW( data_scaledImpacts[[#Headers],[row_id]] )</f>
        <v>1806</v>
      </c>
      <c r="B1807" s="41" t="str">
        <f xml:space="preserve"> _xlfn.TEXTJOIN( "", , data_scaledImpacts[[#This Row],[sector]:[impactType]] )</f>
        <v>AirQualityHadGEM2-ES52011O3</v>
      </c>
      <c r="C1807" s="33" t="s">
        <v>559</v>
      </c>
      <c r="D1807" s="33" t="s">
        <v>3</v>
      </c>
      <c r="E1807" s="34">
        <v>5</v>
      </c>
      <c r="F1807" s="34"/>
      <c r="G1807" s="34">
        <v>2011</v>
      </c>
      <c r="H1807" s="35" t="s">
        <v>560</v>
      </c>
      <c r="I1807" s="43" t="s">
        <v>592</v>
      </c>
      <c r="J1807" s="36"/>
      <c r="K1807" s="36"/>
      <c r="L1807" s="37"/>
      <c r="M1807" s="36"/>
      <c r="N1807" s="36"/>
      <c r="O1807" s="36"/>
    </row>
    <row r="1808" spans="1:16" hidden="1" x14ac:dyDescent="0.35">
      <c r="A1808" s="3">
        <f xml:space="preserve"> ROW( data_scaledImpacts[[#This Row],[row_id]] ) - ROW( data_scaledImpacts[[#Headers],[row_id]] )</f>
        <v>1807</v>
      </c>
      <c r="B1808" s="41" t="str">
        <f xml:space="preserve"> _xlfn.TEXTJOIN( "", , data_scaledImpacts[[#This Row],[sector]:[impactType]] )</f>
        <v>AirQualityMIROC552011O3</v>
      </c>
      <c r="C1808" s="33" t="s">
        <v>559</v>
      </c>
      <c r="D1808" s="33" t="s">
        <v>4</v>
      </c>
      <c r="E1808" s="34">
        <v>5</v>
      </c>
      <c r="F1808" s="34"/>
      <c r="G1808" s="34">
        <v>2011</v>
      </c>
      <c r="H1808" s="35" t="s">
        <v>560</v>
      </c>
      <c r="I1808" s="43" t="s">
        <v>593</v>
      </c>
      <c r="J1808" s="36"/>
      <c r="K1808" s="36"/>
      <c r="L1808" s="37"/>
      <c r="M1808" s="36"/>
      <c r="N1808" s="36"/>
      <c r="O1808" s="36"/>
    </row>
    <row r="1809" spans="1:16" hidden="1" x14ac:dyDescent="0.35">
      <c r="A1809" s="3">
        <f xml:space="preserve"> ROW( data_scaledImpacts[[#This Row],[row_id]] ) - ROW( data_scaledImpacts[[#Headers],[row_id]] )</f>
        <v>1808</v>
      </c>
      <c r="B1809" s="41" t="str">
        <f xml:space="preserve"> _xlfn.TEXTJOIN( "", , data_scaledImpacts[[#This Row],[sector]:[impactType]] )</f>
        <v>AirQualityGFDL-CM352011O3</v>
      </c>
      <c r="C1809" s="33" t="s">
        <v>559</v>
      </c>
      <c r="D1809" s="33" t="s">
        <v>5</v>
      </c>
      <c r="E1809" s="34">
        <v>5</v>
      </c>
      <c r="F1809" s="34"/>
      <c r="G1809" s="34">
        <v>2011</v>
      </c>
      <c r="H1809" s="35" t="s">
        <v>560</v>
      </c>
      <c r="I1809" s="43" t="s">
        <v>594</v>
      </c>
      <c r="J1809" s="36">
        <v>1.1039616616071678E-5</v>
      </c>
      <c r="K1809" s="36">
        <v>9.2673599612549301E-6</v>
      </c>
      <c r="L1809" s="37">
        <v>3.8894316685329155E-6</v>
      </c>
      <c r="M1809" s="36">
        <v>3.9520493207721008E-6</v>
      </c>
      <c r="N1809" s="36">
        <v>4.2175604399953461E-6</v>
      </c>
      <c r="O1809" s="36">
        <v>4.4379352972544054E-6</v>
      </c>
      <c r="P1809">
        <v>2.2552138683169931E-6</v>
      </c>
    </row>
    <row r="1810" spans="1:16" hidden="1" x14ac:dyDescent="0.35">
      <c r="A1810" s="3">
        <f xml:space="preserve"> ROW( data_scaledImpacts[[#This Row],[row_id]] ) - ROW( data_scaledImpacts[[#Headers],[row_id]] )</f>
        <v>1809</v>
      </c>
      <c r="B1810" s="41" t="str">
        <f xml:space="preserve"> _xlfn.TEXTJOIN( "", , data_scaledImpacts[[#This Row],[sector]:[impactType]] )</f>
        <v>AirQualityGCM Average52011O3</v>
      </c>
      <c r="C1810" s="33" t="s">
        <v>559</v>
      </c>
      <c r="D1810" s="33" t="s">
        <v>15</v>
      </c>
      <c r="E1810" s="34">
        <v>5</v>
      </c>
      <c r="F1810" s="34"/>
      <c r="G1810" s="34">
        <v>2011</v>
      </c>
      <c r="H1810" s="35" t="s">
        <v>560</v>
      </c>
      <c r="I1810" s="43" t="s">
        <v>595</v>
      </c>
      <c r="J1810" s="36">
        <v>1.4063605246282381E-5</v>
      </c>
      <c r="K1810" s="36">
        <v>1.1261602647561917E-5</v>
      </c>
      <c r="L1810" s="37">
        <v>5.52020055858172E-6</v>
      </c>
      <c r="M1810" s="36">
        <v>5.2820015740609919E-6</v>
      </c>
      <c r="N1810" s="36">
        <v>4.5660418517656698E-6</v>
      </c>
      <c r="O1810" s="36">
        <v>2.9800934881042081E-6</v>
      </c>
      <c r="P1810">
        <v>2.7005852063443036E-6</v>
      </c>
    </row>
    <row r="1811" spans="1:16" hidden="1" x14ac:dyDescent="0.35">
      <c r="A1811" s="3">
        <f xml:space="preserve"> ROW( data_scaledImpacts[[#This Row],[row_id]] ) - ROW( data_scaledImpacts[[#Headers],[row_id]] )</f>
        <v>1810</v>
      </c>
      <c r="B1811" s="41" t="str">
        <f xml:space="preserve"> _xlfn.TEXTJOIN( "", , data_scaledImpacts[[#This Row],[sector]:[impactType]] )</f>
        <v>AirQualityCanESM262011O3</v>
      </c>
      <c r="C1811" s="33" t="s">
        <v>559</v>
      </c>
      <c r="D1811" s="33" t="s">
        <v>0</v>
      </c>
      <c r="E1811" s="34">
        <v>6</v>
      </c>
      <c r="F1811" s="34"/>
      <c r="G1811" s="34">
        <v>2011</v>
      </c>
      <c r="H1811" s="35" t="s">
        <v>560</v>
      </c>
      <c r="I1811" s="43" t="s">
        <v>596</v>
      </c>
      <c r="J1811" s="36"/>
      <c r="K1811" s="36"/>
      <c r="L1811" s="37"/>
      <c r="M1811" s="36"/>
      <c r="N1811" s="36"/>
      <c r="O1811" s="36"/>
    </row>
    <row r="1812" spans="1:16" hidden="1" x14ac:dyDescent="0.35">
      <c r="A1812" s="3">
        <f xml:space="preserve"> ROW( data_scaledImpacts[[#This Row],[row_id]] ) - ROW( data_scaledImpacts[[#Headers],[row_id]] )</f>
        <v>1811</v>
      </c>
      <c r="B1812" s="41" t="str">
        <f xml:space="preserve"> _xlfn.TEXTJOIN( "", , data_scaledImpacts[[#This Row],[sector]:[impactType]] )</f>
        <v>AirQualityCCSM462011O3</v>
      </c>
      <c r="C1812" s="33" t="s">
        <v>559</v>
      </c>
      <c r="D1812" s="33" t="s">
        <v>1</v>
      </c>
      <c r="E1812" s="34">
        <v>6</v>
      </c>
      <c r="F1812" s="34"/>
      <c r="G1812" s="34">
        <v>2011</v>
      </c>
      <c r="H1812" s="35" t="s">
        <v>560</v>
      </c>
      <c r="I1812" s="43" t="s">
        <v>597</v>
      </c>
      <c r="J1812" s="36"/>
      <c r="K1812" s="36"/>
      <c r="L1812" s="37"/>
      <c r="M1812" s="36"/>
      <c r="N1812" s="36"/>
      <c r="O1812" s="36"/>
    </row>
    <row r="1813" spans="1:16" hidden="1" x14ac:dyDescent="0.35">
      <c r="A1813" s="3">
        <f xml:space="preserve"> ROW( data_scaledImpacts[[#This Row],[row_id]] ) - ROW( data_scaledImpacts[[#Headers],[row_id]] )</f>
        <v>1812</v>
      </c>
      <c r="B1813" s="41" t="str">
        <f xml:space="preserve"> _xlfn.TEXTJOIN( "", , data_scaledImpacts[[#This Row],[sector]:[impactType]] )</f>
        <v>AirQualityGISS-E2-R62011O3</v>
      </c>
      <c r="C1813" s="33" t="s">
        <v>559</v>
      </c>
      <c r="D1813" s="33" t="s">
        <v>2</v>
      </c>
      <c r="E1813" s="34">
        <v>6</v>
      </c>
      <c r="F1813" s="34"/>
      <c r="G1813" s="34">
        <v>2011</v>
      </c>
      <c r="H1813" s="35" t="s">
        <v>560</v>
      </c>
      <c r="I1813" s="43" t="s">
        <v>598</v>
      </c>
      <c r="J1813" s="36"/>
      <c r="K1813" s="36"/>
      <c r="L1813" s="37"/>
      <c r="M1813" s="36"/>
      <c r="N1813" s="36"/>
      <c r="O1813" s="36"/>
    </row>
    <row r="1814" spans="1:16" hidden="1" x14ac:dyDescent="0.35">
      <c r="A1814" s="3">
        <f xml:space="preserve"> ROW( data_scaledImpacts[[#This Row],[row_id]] ) - ROW( data_scaledImpacts[[#Headers],[row_id]] )</f>
        <v>1813</v>
      </c>
      <c r="B1814" s="41" t="str">
        <f xml:space="preserve"> _xlfn.TEXTJOIN( "", , data_scaledImpacts[[#This Row],[sector]:[impactType]] )</f>
        <v>AirQualityHadGEM2-ES62011O3</v>
      </c>
      <c r="C1814" s="33" t="s">
        <v>559</v>
      </c>
      <c r="D1814" s="33" t="s">
        <v>3</v>
      </c>
      <c r="E1814" s="34">
        <v>6</v>
      </c>
      <c r="F1814" s="34"/>
      <c r="G1814" s="34">
        <v>2011</v>
      </c>
      <c r="H1814" s="35" t="s">
        <v>560</v>
      </c>
      <c r="I1814" s="43" t="s">
        <v>599</v>
      </c>
      <c r="J1814" s="36"/>
      <c r="K1814" s="36"/>
      <c r="L1814" s="37"/>
      <c r="M1814" s="36"/>
      <c r="N1814" s="36"/>
      <c r="O1814" s="36"/>
    </row>
    <row r="1815" spans="1:16" hidden="1" x14ac:dyDescent="0.35">
      <c r="A1815" s="3">
        <f xml:space="preserve"> ROW( data_scaledImpacts[[#This Row],[row_id]] ) - ROW( data_scaledImpacts[[#Headers],[row_id]] )</f>
        <v>1814</v>
      </c>
      <c r="B1815" s="41" t="str">
        <f xml:space="preserve"> _xlfn.TEXTJOIN( "", , data_scaledImpacts[[#This Row],[sector]:[impactType]] )</f>
        <v>AirQualityMIROC562011O3</v>
      </c>
      <c r="C1815" s="33" t="s">
        <v>559</v>
      </c>
      <c r="D1815" s="33" t="s">
        <v>4</v>
      </c>
      <c r="E1815" s="34">
        <v>6</v>
      </c>
      <c r="F1815" s="34"/>
      <c r="G1815" s="34">
        <v>2011</v>
      </c>
      <c r="H1815" s="35" t="s">
        <v>560</v>
      </c>
      <c r="I1815" s="43" t="s">
        <v>600</v>
      </c>
      <c r="J1815" s="36"/>
      <c r="K1815" s="36"/>
      <c r="L1815" s="37"/>
      <c r="M1815" s="36"/>
      <c r="N1815" s="36"/>
      <c r="O1815" s="36"/>
    </row>
    <row r="1816" spans="1:16" hidden="1" x14ac:dyDescent="0.35">
      <c r="A1816" s="3">
        <f xml:space="preserve"> ROW( data_scaledImpacts[[#This Row],[row_id]] ) - ROW( data_scaledImpacts[[#Headers],[row_id]] )</f>
        <v>1815</v>
      </c>
      <c r="B1816" s="41" t="str">
        <f xml:space="preserve"> _xlfn.TEXTJOIN( "", , data_scaledImpacts[[#This Row],[sector]:[impactType]] )</f>
        <v>AirQualityGFDL-CM362011O3</v>
      </c>
      <c r="C1816" s="33" t="s">
        <v>559</v>
      </c>
      <c r="D1816" s="33" t="s">
        <v>5</v>
      </c>
      <c r="E1816" s="34">
        <v>6</v>
      </c>
      <c r="F1816" s="34"/>
      <c r="G1816" s="34">
        <v>2011</v>
      </c>
      <c r="H1816" s="35" t="s">
        <v>560</v>
      </c>
      <c r="I1816" s="43" t="s">
        <v>601</v>
      </c>
      <c r="J1816" s="36">
        <v>1.5118168737297447E-5</v>
      </c>
      <c r="K1816" s="36">
        <v>1.3023677086585133E-5</v>
      </c>
      <c r="L1816" s="37">
        <v>6.0549304093055154E-6</v>
      </c>
      <c r="M1816" s="36">
        <v>6.099243490922734E-6</v>
      </c>
      <c r="N1816" s="36">
        <v>5.9309776349750116E-6</v>
      </c>
      <c r="O1816" s="36">
        <v>5.424440985105725E-6</v>
      </c>
      <c r="P1816">
        <v>3.2055981567248814E-6</v>
      </c>
    </row>
    <row r="1817" spans="1:16" hidden="1" x14ac:dyDescent="0.35">
      <c r="A1817" s="3">
        <f xml:space="preserve"> ROW( data_scaledImpacts[[#This Row],[row_id]] ) - ROW( data_scaledImpacts[[#Headers],[row_id]] )</f>
        <v>1816</v>
      </c>
      <c r="B1817" s="41" t="str">
        <f xml:space="preserve"> _xlfn.TEXTJOIN( "", , data_scaledImpacts[[#This Row],[sector]:[impactType]] )</f>
        <v>AirQualityGCM Average62011O3</v>
      </c>
      <c r="C1817" s="33" t="s">
        <v>559</v>
      </c>
      <c r="D1817" s="33" t="s">
        <v>15</v>
      </c>
      <c r="E1817" s="34">
        <v>6</v>
      </c>
      <c r="F1817" s="34"/>
      <c r="G1817" s="34">
        <v>2011</v>
      </c>
      <c r="H1817" s="35" t="s">
        <v>560</v>
      </c>
      <c r="I1817" s="43" t="s">
        <v>602</v>
      </c>
      <c r="J1817" s="36">
        <v>1.5118168737297447E-5</v>
      </c>
      <c r="K1817" s="36">
        <v>1.3023677086585133E-5</v>
      </c>
      <c r="L1817" s="37">
        <v>6.0549304093055154E-6</v>
      </c>
      <c r="M1817" s="36">
        <v>6.099243490922734E-6</v>
      </c>
      <c r="N1817" s="36">
        <v>5.9309776349750116E-6</v>
      </c>
      <c r="O1817" s="36">
        <v>5.424440985105725E-6</v>
      </c>
      <c r="P1817">
        <v>3.2055981567248814E-6</v>
      </c>
    </row>
    <row r="1818" spans="1:16" hidden="1" x14ac:dyDescent="0.35">
      <c r="A1818" s="3">
        <f xml:space="preserve"> ROW( data_scaledImpacts[[#This Row],[row_id]] ) - ROW( data_scaledImpacts[[#Headers],[row_id]] )</f>
        <v>1817</v>
      </c>
      <c r="B1818" s="41" t="str">
        <f xml:space="preserve"> _xlfn.TEXTJOIN( "", , data_scaledImpacts[[#This Row],[sector]:[impactType]] )</f>
        <v>AirQualityCanESM272011O3</v>
      </c>
      <c r="C1818" s="33" t="s">
        <v>559</v>
      </c>
      <c r="D1818" s="33" t="s">
        <v>0</v>
      </c>
      <c r="E1818" s="34">
        <v>7</v>
      </c>
      <c r="F1818" s="34"/>
      <c r="G1818" s="34">
        <v>2011</v>
      </c>
      <c r="H1818" s="35" t="s">
        <v>560</v>
      </c>
      <c r="I1818" s="43" t="s">
        <v>603</v>
      </c>
      <c r="J1818" s="36"/>
      <c r="K1818" s="36"/>
      <c r="L1818" s="37"/>
      <c r="M1818" s="36"/>
      <c r="N1818" s="36"/>
      <c r="O1818" s="36"/>
    </row>
    <row r="1819" spans="1:16" hidden="1" x14ac:dyDescent="0.35">
      <c r="A1819" s="3">
        <f xml:space="preserve"> ROW( data_scaledImpacts[[#This Row],[row_id]] ) - ROW( data_scaledImpacts[[#Headers],[row_id]] )</f>
        <v>1818</v>
      </c>
      <c r="B1819" s="41" t="str">
        <f xml:space="preserve"> _xlfn.TEXTJOIN( "", , data_scaledImpacts[[#This Row],[sector]:[impactType]] )</f>
        <v>AirQualityCCSM472011O3</v>
      </c>
      <c r="C1819" s="33" t="s">
        <v>559</v>
      </c>
      <c r="D1819" s="33" t="s">
        <v>1</v>
      </c>
      <c r="E1819" s="34">
        <v>7</v>
      </c>
      <c r="F1819" s="34"/>
      <c r="G1819" s="34">
        <v>2011</v>
      </c>
      <c r="H1819" s="35" t="s">
        <v>560</v>
      </c>
      <c r="I1819" s="43" t="s">
        <v>604</v>
      </c>
      <c r="J1819" s="36"/>
      <c r="K1819" s="36"/>
      <c r="L1819" s="37"/>
      <c r="M1819" s="36"/>
      <c r="N1819" s="36"/>
      <c r="O1819" s="36"/>
    </row>
    <row r="1820" spans="1:16" hidden="1" x14ac:dyDescent="0.35">
      <c r="A1820" s="3">
        <f xml:space="preserve"> ROW( data_scaledImpacts[[#This Row],[row_id]] ) - ROW( data_scaledImpacts[[#Headers],[row_id]] )</f>
        <v>1819</v>
      </c>
      <c r="B1820" s="41" t="str">
        <f xml:space="preserve"> _xlfn.TEXTJOIN( "", , data_scaledImpacts[[#This Row],[sector]:[impactType]] )</f>
        <v>AirQualityGISS-E2-R72011O3</v>
      </c>
      <c r="C1820" s="33" t="s">
        <v>559</v>
      </c>
      <c r="D1820" s="33" t="s">
        <v>2</v>
      </c>
      <c r="E1820" s="34">
        <v>7</v>
      </c>
      <c r="F1820" s="34"/>
      <c r="G1820" s="34">
        <v>2011</v>
      </c>
      <c r="H1820" s="35" t="s">
        <v>560</v>
      </c>
      <c r="I1820" s="43" t="s">
        <v>605</v>
      </c>
      <c r="J1820" s="36"/>
      <c r="K1820" s="36"/>
      <c r="L1820" s="37"/>
      <c r="M1820" s="36"/>
      <c r="N1820" s="36"/>
      <c r="O1820" s="36"/>
    </row>
    <row r="1821" spans="1:16" hidden="1" x14ac:dyDescent="0.35">
      <c r="A1821" s="3">
        <f xml:space="preserve"> ROW( data_scaledImpacts[[#This Row],[row_id]] ) - ROW( data_scaledImpacts[[#Headers],[row_id]] )</f>
        <v>1820</v>
      </c>
      <c r="B1821" s="41" t="str">
        <f xml:space="preserve"> _xlfn.TEXTJOIN( "", , data_scaledImpacts[[#This Row],[sector]:[impactType]] )</f>
        <v>AirQualityHadGEM2-ES72011O3</v>
      </c>
      <c r="C1821" s="33" t="s">
        <v>559</v>
      </c>
      <c r="D1821" s="33" t="s">
        <v>3</v>
      </c>
      <c r="E1821" s="34">
        <v>7</v>
      </c>
      <c r="F1821" s="34"/>
      <c r="G1821" s="34">
        <v>2011</v>
      </c>
      <c r="H1821" s="35" t="s">
        <v>560</v>
      </c>
      <c r="I1821" s="43" t="s">
        <v>606</v>
      </c>
      <c r="J1821" s="36"/>
      <c r="K1821" s="36"/>
      <c r="L1821" s="37"/>
      <c r="M1821" s="36"/>
      <c r="N1821" s="36"/>
      <c r="O1821" s="36"/>
    </row>
    <row r="1822" spans="1:16" hidden="1" x14ac:dyDescent="0.35">
      <c r="A1822" s="3">
        <f xml:space="preserve"> ROW( data_scaledImpacts[[#This Row],[row_id]] ) - ROW( data_scaledImpacts[[#Headers],[row_id]] )</f>
        <v>1821</v>
      </c>
      <c r="B1822" s="41" t="str">
        <f xml:space="preserve"> _xlfn.TEXTJOIN( "", , data_scaledImpacts[[#This Row],[sector]:[impactType]] )</f>
        <v>AirQualityMIROC572011O3</v>
      </c>
      <c r="C1822" s="33" t="s">
        <v>559</v>
      </c>
      <c r="D1822" s="33" t="s">
        <v>4</v>
      </c>
      <c r="E1822" s="34">
        <v>7</v>
      </c>
      <c r="F1822" s="34"/>
      <c r="G1822" s="34">
        <v>2011</v>
      </c>
      <c r="H1822" s="35" t="s">
        <v>560</v>
      </c>
      <c r="I1822" s="43" t="s">
        <v>607</v>
      </c>
      <c r="J1822" s="36"/>
      <c r="K1822" s="36"/>
      <c r="L1822" s="37"/>
      <c r="M1822" s="36"/>
      <c r="N1822" s="36"/>
      <c r="O1822" s="36"/>
    </row>
    <row r="1823" spans="1:16" hidden="1" x14ac:dyDescent="0.35">
      <c r="A1823" s="3">
        <f xml:space="preserve"> ROW( data_scaledImpacts[[#This Row],[row_id]] ) - ROW( data_scaledImpacts[[#Headers],[row_id]] )</f>
        <v>1822</v>
      </c>
      <c r="B1823" s="41" t="str">
        <f xml:space="preserve"> _xlfn.TEXTJOIN( "", , data_scaledImpacts[[#This Row],[sector]:[impactType]] )</f>
        <v>AirQualityGFDL-CM372011O3</v>
      </c>
      <c r="C1823" s="33" t="s">
        <v>559</v>
      </c>
      <c r="D1823" s="33" t="s">
        <v>5</v>
      </c>
      <c r="E1823" s="34">
        <v>7</v>
      </c>
      <c r="F1823" s="34"/>
      <c r="G1823" s="34">
        <v>2011</v>
      </c>
      <c r="H1823" s="35" t="s">
        <v>560</v>
      </c>
      <c r="I1823" s="43" t="s">
        <v>608</v>
      </c>
      <c r="J1823" s="36"/>
      <c r="K1823" s="36"/>
      <c r="L1823" s="37"/>
      <c r="M1823" s="36"/>
      <c r="N1823" s="36"/>
      <c r="O1823" s="36"/>
    </row>
    <row r="1824" spans="1:16" hidden="1" x14ac:dyDescent="0.35">
      <c r="A1824" s="3">
        <f xml:space="preserve"> ROW( data_scaledImpacts[[#This Row],[row_id]] ) - ROW( data_scaledImpacts[[#Headers],[row_id]] )</f>
        <v>1823</v>
      </c>
      <c r="B1824" s="41" t="str">
        <f xml:space="preserve"> _xlfn.TEXTJOIN( "", , data_scaledImpacts[[#This Row],[sector]:[impactType]] )</f>
        <v>AirQualityGCM Average72011O3</v>
      </c>
      <c r="C1824" s="33" t="s">
        <v>559</v>
      </c>
      <c r="D1824" s="33" t="s">
        <v>15</v>
      </c>
      <c r="E1824" s="34">
        <v>7</v>
      </c>
      <c r="F1824" s="34"/>
      <c r="G1824" s="34">
        <v>2011</v>
      </c>
      <c r="H1824" s="35" t="s">
        <v>560</v>
      </c>
      <c r="I1824" s="43" t="s">
        <v>609</v>
      </c>
      <c r="J1824" s="36"/>
      <c r="K1824" s="36"/>
      <c r="L1824" s="37"/>
      <c r="M1824" s="36"/>
      <c r="N1824" s="36"/>
      <c r="O1824" s="36"/>
    </row>
    <row r="1825" spans="1:16" hidden="1" x14ac:dyDescent="0.35">
      <c r="A1825" s="3">
        <f xml:space="preserve"> ROW( data_scaledImpacts[[#This Row],[row_id]] ) - ROW( data_scaledImpacts[[#Headers],[row_id]] )</f>
        <v>1824</v>
      </c>
      <c r="B1825" s="41" t="str">
        <f xml:space="preserve"> _xlfn.TEXTJOIN( "", , data_scaledImpacts[[#This Row],[sector]:[impactType]] )</f>
        <v>AirQualityCanESM212040O3</v>
      </c>
      <c r="C1825" s="33" t="s">
        <v>559</v>
      </c>
      <c r="D1825" s="33" t="s">
        <v>0</v>
      </c>
      <c r="E1825" s="34">
        <v>1</v>
      </c>
      <c r="F1825" s="34"/>
      <c r="G1825" s="34">
        <v>2040</v>
      </c>
      <c r="H1825" s="35" t="s">
        <v>560</v>
      </c>
      <c r="I1825" s="43" t="s">
        <v>610</v>
      </c>
      <c r="J1825" s="36"/>
      <c r="K1825" s="36"/>
      <c r="L1825" s="37"/>
      <c r="M1825" s="36"/>
      <c r="N1825" s="36"/>
      <c r="O1825" s="36"/>
    </row>
    <row r="1826" spans="1:16" hidden="1" x14ac:dyDescent="0.35">
      <c r="A1826" s="3">
        <f xml:space="preserve"> ROW( data_scaledImpacts[[#This Row],[row_id]] ) - ROW( data_scaledImpacts[[#Headers],[row_id]] )</f>
        <v>1825</v>
      </c>
      <c r="B1826" s="41" t="str">
        <f xml:space="preserve"> _xlfn.TEXTJOIN( "", , data_scaledImpacts[[#This Row],[sector]:[impactType]] )</f>
        <v>AirQualityCCSM412040O3</v>
      </c>
      <c r="C1826" s="33" t="s">
        <v>559</v>
      </c>
      <c r="D1826" s="33" t="s">
        <v>1</v>
      </c>
      <c r="E1826" s="34">
        <v>1</v>
      </c>
      <c r="F1826" s="34"/>
      <c r="G1826" s="34">
        <v>2040</v>
      </c>
      <c r="H1826" s="35" t="s">
        <v>560</v>
      </c>
      <c r="I1826" s="43" t="s">
        <v>611</v>
      </c>
      <c r="J1826" s="36">
        <v>2.5531638450667898E-6</v>
      </c>
      <c r="K1826" s="36">
        <v>1.1338383390888166E-6</v>
      </c>
      <c r="L1826" s="37">
        <v>1.6289000224701713E-6</v>
      </c>
      <c r="M1826" s="36">
        <v>5.7067779895684195E-8</v>
      </c>
      <c r="N1826" s="36">
        <v>3.6110163467592151E-7</v>
      </c>
      <c r="O1826" s="36">
        <v>1.4849730036529107E-7</v>
      </c>
      <c r="P1826">
        <v>2.3516304034414111E-7</v>
      </c>
    </row>
    <row r="1827" spans="1:16" hidden="1" x14ac:dyDescent="0.35">
      <c r="A1827" s="3">
        <f xml:space="preserve"> ROW( data_scaledImpacts[[#This Row],[row_id]] ) - ROW( data_scaledImpacts[[#Headers],[row_id]] )</f>
        <v>1826</v>
      </c>
      <c r="B1827" s="41" t="str">
        <f xml:space="preserve"> _xlfn.TEXTJOIN( "", , data_scaledImpacts[[#This Row],[sector]:[impactType]] )</f>
        <v>AirQualityGISS-E2-R12040O3</v>
      </c>
      <c r="C1827" s="33" t="s">
        <v>559</v>
      </c>
      <c r="D1827" s="33" t="s">
        <v>2</v>
      </c>
      <c r="E1827" s="34">
        <v>1</v>
      </c>
      <c r="F1827" s="34"/>
      <c r="G1827" s="34">
        <v>2040</v>
      </c>
      <c r="H1827" s="35" t="s">
        <v>560</v>
      </c>
      <c r="I1827" s="43" t="s">
        <v>612</v>
      </c>
      <c r="J1827" s="36"/>
      <c r="K1827" s="36"/>
      <c r="L1827" s="37"/>
      <c r="M1827" s="36"/>
      <c r="N1827" s="36"/>
      <c r="O1827" s="36"/>
    </row>
    <row r="1828" spans="1:16" hidden="1" x14ac:dyDescent="0.35">
      <c r="A1828" s="3">
        <f xml:space="preserve"> ROW( data_scaledImpacts[[#This Row],[row_id]] ) - ROW( data_scaledImpacts[[#Headers],[row_id]] )</f>
        <v>1827</v>
      </c>
      <c r="B1828" s="41" t="str">
        <f xml:space="preserve"> _xlfn.TEXTJOIN( "", , data_scaledImpacts[[#This Row],[sector]:[impactType]] )</f>
        <v>AirQualityHadGEM2-ES12040O3</v>
      </c>
      <c r="C1828" s="33" t="s">
        <v>559</v>
      </c>
      <c r="D1828" s="33" t="s">
        <v>3</v>
      </c>
      <c r="E1828" s="34">
        <v>1</v>
      </c>
      <c r="F1828" s="34"/>
      <c r="G1828" s="34">
        <v>2040</v>
      </c>
      <c r="H1828" s="35" t="s">
        <v>560</v>
      </c>
      <c r="I1828" s="43" t="s">
        <v>613</v>
      </c>
      <c r="J1828" s="36"/>
      <c r="K1828" s="36"/>
      <c r="L1828" s="37"/>
      <c r="M1828" s="36"/>
      <c r="N1828" s="36"/>
      <c r="O1828" s="36"/>
    </row>
    <row r="1829" spans="1:16" hidden="1" x14ac:dyDescent="0.35">
      <c r="A1829" s="3">
        <f xml:space="preserve"> ROW( data_scaledImpacts[[#This Row],[row_id]] ) - ROW( data_scaledImpacts[[#Headers],[row_id]] )</f>
        <v>1828</v>
      </c>
      <c r="B1829" s="41" t="str">
        <f xml:space="preserve"> _xlfn.TEXTJOIN( "", , data_scaledImpacts[[#This Row],[sector]:[impactType]] )</f>
        <v>AirQualityMIROC512040O3</v>
      </c>
      <c r="C1829" s="33" t="s">
        <v>559</v>
      </c>
      <c r="D1829" s="33" t="s">
        <v>4</v>
      </c>
      <c r="E1829" s="34">
        <v>1</v>
      </c>
      <c r="F1829" s="34"/>
      <c r="G1829" s="34">
        <v>2040</v>
      </c>
      <c r="H1829" s="35" t="s">
        <v>560</v>
      </c>
      <c r="I1829" s="43" t="s">
        <v>614</v>
      </c>
      <c r="J1829" s="36"/>
      <c r="K1829" s="36"/>
      <c r="L1829" s="37"/>
      <c r="M1829" s="36"/>
      <c r="N1829" s="36"/>
      <c r="O1829" s="36"/>
    </row>
    <row r="1830" spans="1:16" hidden="1" x14ac:dyDescent="0.35">
      <c r="A1830" s="3">
        <f xml:space="preserve"> ROW( data_scaledImpacts[[#This Row],[row_id]] ) - ROW( data_scaledImpacts[[#Headers],[row_id]] )</f>
        <v>1829</v>
      </c>
      <c r="B1830" s="41" t="str">
        <f xml:space="preserve"> _xlfn.TEXTJOIN( "", , data_scaledImpacts[[#This Row],[sector]:[impactType]] )</f>
        <v>AirQualityGFDL-CM312040O3</v>
      </c>
      <c r="C1830" s="33" t="s">
        <v>559</v>
      </c>
      <c r="D1830" s="33" t="s">
        <v>5</v>
      </c>
      <c r="E1830" s="34">
        <v>1</v>
      </c>
      <c r="F1830" s="34"/>
      <c r="G1830" s="34">
        <v>2040</v>
      </c>
      <c r="H1830" s="35" t="s">
        <v>560</v>
      </c>
      <c r="I1830" s="43" t="s">
        <v>615</v>
      </c>
      <c r="J1830" s="36">
        <v>5.87991613727063E-7</v>
      </c>
      <c r="K1830" s="36">
        <v>-4.4900279094201792E-7</v>
      </c>
      <c r="L1830" s="37">
        <v>1.1102533634619889E-7</v>
      </c>
      <c r="M1830" s="36">
        <v>4.6922147964748001E-7</v>
      </c>
      <c r="N1830" s="36">
        <v>-5.6104003732465394E-7</v>
      </c>
      <c r="O1830" s="36">
        <v>3.3570159645442655E-7</v>
      </c>
      <c r="P1830">
        <v>-1.727529797633275E-7</v>
      </c>
    </row>
    <row r="1831" spans="1:16" hidden="1" x14ac:dyDescent="0.35">
      <c r="A1831" s="3">
        <f xml:space="preserve"> ROW( data_scaledImpacts[[#This Row],[row_id]] ) - ROW( data_scaledImpacts[[#Headers],[row_id]] )</f>
        <v>1830</v>
      </c>
      <c r="B1831" s="41" t="str">
        <f xml:space="preserve"> _xlfn.TEXTJOIN( "", , data_scaledImpacts[[#This Row],[sector]:[impactType]] )</f>
        <v>AirQualityGCM Average12040O3</v>
      </c>
      <c r="C1831" s="33" t="s">
        <v>559</v>
      </c>
      <c r="D1831" s="33" t="s">
        <v>15</v>
      </c>
      <c r="E1831" s="34">
        <v>1</v>
      </c>
      <c r="F1831" s="34"/>
      <c r="G1831" s="34">
        <v>2040</v>
      </c>
      <c r="H1831" s="35" t="s">
        <v>560</v>
      </c>
      <c r="I1831" s="43" t="s">
        <v>616</v>
      </c>
      <c r="J1831" s="36">
        <v>1.5705777293969265E-6</v>
      </c>
      <c r="K1831" s="36">
        <v>3.4241777407339931E-7</v>
      </c>
      <c r="L1831" s="37">
        <v>8.6996267940818514E-7</v>
      </c>
      <c r="M1831" s="36">
        <v>2.6314462977158208E-7</v>
      </c>
      <c r="N1831" s="36">
        <v>-9.9969201324366213E-8</v>
      </c>
      <c r="O1831" s="36">
        <v>2.420994484098588E-7</v>
      </c>
      <c r="P1831">
        <v>3.1205030290406805E-8</v>
      </c>
    </row>
    <row r="1832" spans="1:16" hidden="1" x14ac:dyDescent="0.35">
      <c r="A1832" s="3">
        <f xml:space="preserve"> ROW( data_scaledImpacts[[#This Row],[row_id]] ) - ROW( data_scaledImpacts[[#Headers],[row_id]] )</f>
        <v>1831</v>
      </c>
      <c r="B1832" s="41" t="str">
        <f xml:space="preserve"> _xlfn.TEXTJOIN( "", , data_scaledImpacts[[#This Row],[sector]:[impactType]] )</f>
        <v>AirQualityCanESM222040O3</v>
      </c>
      <c r="C1832" s="33" t="s">
        <v>559</v>
      </c>
      <c r="D1832" s="33" t="s">
        <v>0</v>
      </c>
      <c r="E1832" s="34">
        <v>2</v>
      </c>
      <c r="F1832" s="34"/>
      <c r="G1832" s="34">
        <v>2040</v>
      </c>
      <c r="H1832" s="35" t="s">
        <v>560</v>
      </c>
      <c r="I1832" s="43" t="s">
        <v>617</v>
      </c>
      <c r="J1832" s="36"/>
      <c r="K1832" s="36"/>
      <c r="L1832" s="37"/>
      <c r="M1832" s="36"/>
      <c r="N1832" s="36"/>
      <c r="O1832" s="36"/>
    </row>
    <row r="1833" spans="1:16" hidden="1" x14ac:dyDescent="0.35">
      <c r="A1833" s="3">
        <f xml:space="preserve"> ROW( data_scaledImpacts[[#This Row],[row_id]] ) - ROW( data_scaledImpacts[[#Headers],[row_id]] )</f>
        <v>1832</v>
      </c>
      <c r="B1833" s="41" t="str">
        <f xml:space="preserve"> _xlfn.TEXTJOIN( "", , data_scaledImpacts[[#This Row],[sector]:[impactType]] )</f>
        <v>AirQualityCCSM422040O3</v>
      </c>
      <c r="C1833" s="33" t="s">
        <v>559</v>
      </c>
      <c r="D1833" s="33" t="s">
        <v>1</v>
      </c>
      <c r="E1833" s="34">
        <v>2</v>
      </c>
      <c r="F1833" s="34"/>
      <c r="G1833" s="34">
        <v>2040</v>
      </c>
      <c r="H1833" s="35" t="s">
        <v>560</v>
      </c>
      <c r="I1833" s="43" t="s">
        <v>618</v>
      </c>
      <c r="J1833" s="36">
        <v>5.6673139224238987E-6</v>
      </c>
      <c r="K1833" s="36">
        <v>2.3479377125218248E-6</v>
      </c>
      <c r="L1833" s="37">
        <v>3.6487762626847747E-6</v>
      </c>
      <c r="M1833" s="36">
        <v>2.666635771241622E-7</v>
      </c>
      <c r="N1833" s="36">
        <v>5.4114784803087988E-7</v>
      </c>
      <c r="O1833" s="36">
        <v>1.9905349972315955E-7</v>
      </c>
      <c r="P1833">
        <v>5.1823720624090521E-7</v>
      </c>
    </row>
    <row r="1834" spans="1:16" hidden="1" x14ac:dyDescent="0.35">
      <c r="A1834" s="3">
        <f xml:space="preserve"> ROW( data_scaledImpacts[[#This Row],[row_id]] ) - ROW( data_scaledImpacts[[#Headers],[row_id]] )</f>
        <v>1833</v>
      </c>
      <c r="B1834" s="41" t="str">
        <f xml:space="preserve"> _xlfn.TEXTJOIN( "", , data_scaledImpacts[[#This Row],[sector]:[impactType]] )</f>
        <v>AirQualityGISS-E2-R22040O3</v>
      </c>
      <c r="C1834" s="33" t="s">
        <v>559</v>
      </c>
      <c r="D1834" s="33" t="s">
        <v>2</v>
      </c>
      <c r="E1834" s="34">
        <v>2</v>
      </c>
      <c r="F1834" s="34"/>
      <c r="G1834" s="34">
        <v>2040</v>
      </c>
      <c r="H1834" s="35" t="s">
        <v>560</v>
      </c>
      <c r="I1834" s="43" t="s">
        <v>619</v>
      </c>
      <c r="J1834" s="36"/>
      <c r="K1834" s="36"/>
      <c r="L1834" s="37"/>
      <c r="M1834" s="36"/>
      <c r="N1834" s="36"/>
      <c r="O1834" s="36"/>
    </row>
    <row r="1835" spans="1:16" hidden="1" x14ac:dyDescent="0.35">
      <c r="A1835" s="3">
        <f xml:space="preserve"> ROW( data_scaledImpacts[[#This Row],[row_id]] ) - ROW( data_scaledImpacts[[#Headers],[row_id]] )</f>
        <v>1834</v>
      </c>
      <c r="B1835" s="41" t="str">
        <f xml:space="preserve"> _xlfn.TEXTJOIN( "", , data_scaledImpacts[[#This Row],[sector]:[impactType]] )</f>
        <v>AirQualityHadGEM2-ES22040O3</v>
      </c>
      <c r="C1835" s="33" t="s">
        <v>559</v>
      </c>
      <c r="D1835" s="33" t="s">
        <v>3</v>
      </c>
      <c r="E1835" s="34">
        <v>2</v>
      </c>
      <c r="F1835" s="34"/>
      <c r="G1835" s="34">
        <v>2040</v>
      </c>
      <c r="H1835" s="35" t="s">
        <v>560</v>
      </c>
      <c r="I1835" s="43" t="s">
        <v>620</v>
      </c>
      <c r="J1835" s="36"/>
      <c r="K1835" s="36"/>
      <c r="L1835" s="37"/>
      <c r="M1835" s="36"/>
      <c r="N1835" s="36"/>
      <c r="O1835" s="36"/>
    </row>
    <row r="1836" spans="1:16" hidden="1" x14ac:dyDescent="0.35">
      <c r="A1836" s="3">
        <f xml:space="preserve"> ROW( data_scaledImpacts[[#This Row],[row_id]] ) - ROW( data_scaledImpacts[[#Headers],[row_id]] )</f>
        <v>1835</v>
      </c>
      <c r="B1836" s="41" t="str">
        <f xml:space="preserve"> _xlfn.TEXTJOIN( "", , data_scaledImpacts[[#This Row],[sector]:[impactType]] )</f>
        <v>AirQualityMIROC522040O3</v>
      </c>
      <c r="C1836" s="33" t="s">
        <v>559</v>
      </c>
      <c r="D1836" s="33" t="s">
        <v>4</v>
      </c>
      <c r="E1836" s="34">
        <v>2</v>
      </c>
      <c r="F1836" s="34"/>
      <c r="G1836" s="34">
        <v>2040</v>
      </c>
      <c r="H1836" s="35" t="s">
        <v>560</v>
      </c>
      <c r="I1836" s="43" t="s">
        <v>621</v>
      </c>
      <c r="J1836" s="36"/>
      <c r="K1836" s="36"/>
      <c r="L1836" s="37"/>
      <c r="M1836" s="36"/>
      <c r="N1836" s="36"/>
      <c r="O1836" s="36"/>
    </row>
    <row r="1837" spans="1:16" hidden="1" x14ac:dyDescent="0.35">
      <c r="A1837" s="3">
        <f xml:space="preserve"> ROW( data_scaledImpacts[[#This Row],[row_id]] ) - ROW( data_scaledImpacts[[#Headers],[row_id]] )</f>
        <v>1836</v>
      </c>
      <c r="B1837" s="41" t="str">
        <f xml:space="preserve"> _xlfn.TEXTJOIN( "", , data_scaledImpacts[[#This Row],[sector]:[impactType]] )</f>
        <v>AirQualityGFDL-CM322040O3</v>
      </c>
      <c r="C1837" s="33" t="s">
        <v>559</v>
      </c>
      <c r="D1837" s="33" t="s">
        <v>5</v>
      </c>
      <c r="E1837" s="34">
        <v>2</v>
      </c>
      <c r="F1837" s="34"/>
      <c r="G1837" s="34">
        <v>2040</v>
      </c>
      <c r="H1837" s="35" t="s">
        <v>560</v>
      </c>
      <c r="I1837" s="43" t="s">
        <v>622</v>
      </c>
      <c r="J1837" s="36">
        <v>1.1311704655835129E-6</v>
      </c>
      <c r="K1837" s="36">
        <v>-7.3977201096959565E-7</v>
      </c>
      <c r="L1837" s="37">
        <v>6.9414202677278314E-8</v>
      </c>
      <c r="M1837" s="36">
        <v>9.1361064081960886E-7</v>
      </c>
      <c r="N1837" s="36">
        <v>-1.2849404906494175E-6</v>
      </c>
      <c r="O1837" s="36">
        <v>4.398525589742326E-7</v>
      </c>
      <c r="P1837">
        <v>-5.0868003749805199E-7</v>
      </c>
    </row>
    <row r="1838" spans="1:16" hidden="1" x14ac:dyDescent="0.35">
      <c r="A1838" s="3">
        <f xml:space="preserve"> ROW( data_scaledImpacts[[#This Row],[row_id]] ) - ROW( data_scaledImpacts[[#Headers],[row_id]] )</f>
        <v>1837</v>
      </c>
      <c r="B1838" s="41" t="str">
        <f xml:space="preserve"> _xlfn.TEXTJOIN( "", , data_scaledImpacts[[#This Row],[sector]:[impactType]] )</f>
        <v>AirQualityGCM Average22040O3</v>
      </c>
      <c r="C1838" s="33" t="s">
        <v>559</v>
      </c>
      <c r="D1838" s="33" t="s">
        <v>15</v>
      </c>
      <c r="E1838" s="34">
        <v>2</v>
      </c>
      <c r="F1838" s="34"/>
      <c r="G1838" s="34">
        <v>2040</v>
      </c>
      <c r="H1838" s="35" t="s">
        <v>560</v>
      </c>
      <c r="I1838" s="43" t="s">
        <v>623</v>
      </c>
      <c r="J1838" s="36">
        <v>3.3992421940037057E-6</v>
      </c>
      <c r="K1838" s="36">
        <v>8.0408285077611458E-7</v>
      </c>
      <c r="L1838" s="37">
        <v>1.8590952326810265E-6</v>
      </c>
      <c r="M1838" s="36">
        <v>5.901371089718855E-7</v>
      </c>
      <c r="N1838" s="36">
        <v>-3.7189632130926881E-7</v>
      </c>
      <c r="O1838" s="36">
        <v>3.1945302934869609E-7</v>
      </c>
      <c r="P1838">
        <v>4.7785843714266133E-9</v>
      </c>
    </row>
    <row r="1839" spans="1:16" hidden="1" x14ac:dyDescent="0.35">
      <c r="A1839" s="3">
        <f xml:space="preserve"> ROW( data_scaledImpacts[[#This Row],[row_id]] ) - ROW( data_scaledImpacts[[#Headers],[row_id]] )</f>
        <v>1838</v>
      </c>
      <c r="B1839" s="41" t="str">
        <f xml:space="preserve"> _xlfn.TEXTJOIN( "", , data_scaledImpacts[[#This Row],[sector]:[impactType]] )</f>
        <v>AirQualityCanESM232040O3</v>
      </c>
      <c r="C1839" s="33" t="s">
        <v>559</v>
      </c>
      <c r="D1839" s="33" t="s">
        <v>0</v>
      </c>
      <c r="E1839" s="34">
        <v>3</v>
      </c>
      <c r="F1839" s="34"/>
      <c r="G1839" s="34">
        <v>2040</v>
      </c>
      <c r="H1839" s="35" t="s">
        <v>560</v>
      </c>
      <c r="I1839" s="43" t="s">
        <v>624</v>
      </c>
      <c r="J1839" s="36"/>
      <c r="K1839" s="36"/>
      <c r="L1839" s="37"/>
      <c r="M1839" s="36"/>
      <c r="N1839" s="36"/>
      <c r="O1839" s="36"/>
    </row>
    <row r="1840" spans="1:16" hidden="1" x14ac:dyDescent="0.35">
      <c r="A1840" s="3">
        <f xml:space="preserve"> ROW( data_scaledImpacts[[#This Row],[row_id]] ) - ROW( data_scaledImpacts[[#Headers],[row_id]] )</f>
        <v>1839</v>
      </c>
      <c r="B1840" s="41" t="str">
        <f xml:space="preserve"> _xlfn.TEXTJOIN( "", , data_scaledImpacts[[#This Row],[sector]:[impactType]] )</f>
        <v>AirQualityCCSM432040O3</v>
      </c>
      <c r="C1840" s="33" t="s">
        <v>559</v>
      </c>
      <c r="D1840" s="33" t="s">
        <v>1</v>
      </c>
      <c r="E1840" s="34">
        <v>3</v>
      </c>
      <c r="F1840" s="34"/>
      <c r="G1840" s="34">
        <v>2040</v>
      </c>
      <c r="H1840" s="35" t="s">
        <v>560</v>
      </c>
      <c r="I1840" s="43" t="s">
        <v>625</v>
      </c>
      <c r="J1840" s="36">
        <v>6.880587668621067E-6</v>
      </c>
      <c r="K1840" s="36">
        <v>2.9771590189388469E-6</v>
      </c>
      <c r="L1840" s="37">
        <v>4.2136834248916369E-6</v>
      </c>
      <c r="M1840" s="36">
        <v>1.6027740067860524E-6</v>
      </c>
      <c r="N1840" s="36">
        <v>-2.7672025393976365E-7</v>
      </c>
      <c r="O1840" s="36">
        <v>-5.4521508309063937E-7</v>
      </c>
      <c r="P1840">
        <v>2.5180966574950391E-7</v>
      </c>
    </row>
    <row r="1841" spans="1:16" hidden="1" x14ac:dyDescent="0.35">
      <c r="A1841" s="3">
        <f xml:space="preserve"> ROW( data_scaledImpacts[[#This Row],[row_id]] ) - ROW( data_scaledImpacts[[#Headers],[row_id]] )</f>
        <v>1840</v>
      </c>
      <c r="B1841" s="41" t="str">
        <f xml:space="preserve"> _xlfn.TEXTJOIN( "", , data_scaledImpacts[[#This Row],[sector]:[impactType]] )</f>
        <v>AirQualityGISS-E2-R32040O3</v>
      </c>
      <c r="C1841" s="33" t="s">
        <v>559</v>
      </c>
      <c r="D1841" s="33" t="s">
        <v>2</v>
      </c>
      <c r="E1841" s="34">
        <v>3</v>
      </c>
      <c r="F1841" s="34"/>
      <c r="G1841" s="34">
        <v>2040</v>
      </c>
      <c r="H1841" s="35" t="s">
        <v>560</v>
      </c>
      <c r="I1841" s="43" t="s">
        <v>626</v>
      </c>
      <c r="J1841" s="36"/>
      <c r="K1841" s="36"/>
      <c r="L1841" s="37"/>
      <c r="M1841" s="36"/>
      <c r="N1841" s="36"/>
      <c r="O1841" s="36"/>
    </row>
    <row r="1842" spans="1:16" hidden="1" x14ac:dyDescent="0.35">
      <c r="A1842" s="3">
        <f xml:space="preserve"> ROW( data_scaledImpacts[[#This Row],[row_id]] ) - ROW( data_scaledImpacts[[#Headers],[row_id]] )</f>
        <v>1841</v>
      </c>
      <c r="B1842" s="41" t="str">
        <f xml:space="preserve"> _xlfn.TEXTJOIN( "", , data_scaledImpacts[[#This Row],[sector]:[impactType]] )</f>
        <v>AirQualityHadGEM2-ES32040O3</v>
      </c>
      <c r="C1842" s="33" t="s">
        <v>559</v>
      </c>
      <c r="D1842" s="33" t="s">
        <v>3</v>
      </c>
      <c r="E1842" s="34">
        <v>3</v>
      </c>
      <c r="F1842" s="34"/>
      <c r="G1842" s="34">
        <v>2040</v>
      </c>
      <c r="H1842" s="35" t="s">
        <v>560</v>
      </c>
      <c r="I1842" s="43" t="s">
        <v>627</v>
      </c>
      <c r="J1842" s="36"/>
      <c r="K1842" s="36"/>
      <c r="L1842" s="37"/>
      <c r="M1842" s="36"/>
      <c r="N1842" s="36"/>
      <c r="O1842" s="36"/>
    </row>
    <row r="1843" spans="1:16" hidden="1" x14ac:dyDescent="0.35">
      <c r="A1843" s="3">
        <f xml:space="preserve"> ROW( data_scaledImpacts[[#This Row],[row_id]] ) - ROW( data_scaledImpacts[[#Headers],[row_id]] )</f>
        <v>1842</v>
      </c>
      <c r="B1843" s="41" t="str">
        <f xml:space="preserve"> _xlfn.TEXTJOIN( "", , data_scaledImpacts[[#This Row],[sector]:[impactType]] )</f>
        <v>AirQualityMIROC532040O3</v>
      </c>
      <c r="C1843" s="33" t="s">
        <v>559</v>
      </c>
      <c r="D1843" s="33" t="s">
        <v>4</v>
      </c>
      <c r="E1843" s="34">
        <v>3</v>
      </c>
      <c r="F1843" s="34"/>
      <c r="G1843" s="34">
        <v>2040</v>
      </c>
      <c r="H1843" s="35" t="s">
        <v>560</v>
      </c>
      <c r="I1843" s="43" t="s">
        <v>628</v>
      </c>
      <c r="J1843" s="36"/>
      <c r="K1843" s="36"/>
      <c r="L1843" s="37"/>
      <c r="M1843" s="36"/>
      <c r="N1843" s="36"/>
      <c r="O1843" s="36"/>
    </row>
    <row r="1844" spans="1:16" hidden="1" x14ac:dyDescent="0.35">
      <c r="A1844" s="3">
        <f xml:space="preserve"> ROW( data_scaledImpacts[[#This Row],[row_id]] ) - ROW( data_scaledImpacts[[#Headers],[row_id]] )</f>
        <v>1843</v>
      </c>
      <c r="B1844" s="41" t="str">
        <f xml:space="preserve"> _xlfn.TEXTJOIN( "", , data_scaledImpacts[[#This Row],[sector]:[impactType]] )</f>
        <v>AirQualityGFDL-CM332040O3</v>
      </c>
      <c r="C1844" s="33" t="s">
        <v>559</v>
      </c>
      <c r="D1844" s="33" t="s">
        <v>5</v>
      </c>
      <c r="E1844" s="34">
        <v>3</v>
      </c>
      <c r="F1844" s="34"/>
      <c r="G1844" s="34">
        <v>2040</v>
      </c>
      <c r="H1844" s="35" t="s">
        <v>560</v>
      </c>
      <c r="I1844" s="43" t="s">
        <v>629</v>
      </c>
      <c r="J1844" s="36">
        <v>1.3591706628131575E-6</v>
      </c>
      <c r="K1844" s="36">
        <v>4.7806899689109375E-8</v>
      </c>
      <c r="L1844" s="37">
        <v>-7.0425041186012784E-7</v>
      </c>
      <c r="M1844" s="36">
        <v>9.9916195149214673E-7</v>
      </c>
      <c r="N1844" s="36">
        <v>-2.5687597997748715E-6</v>
      </c>
      <c r="O1844" s="36">
        <v>-7.1596861818440393E-7</v>
      </c>
      <c r="P1844">
        <v>-1.5896108146460543E-6</v>
      </c>
    </row>
    <row r="1845" spans="1:16" hidden="1" x14ac:dyDescent="0.35">
      <c r="A1845" s="3">
        <f xml:space="preserve"> ROW( data_scaledImpacts[[#This Row],[row_id]] ) - ROW( data_scaledImpacts[[#Headers],[row_id]] )</f>
        <v>1844</v>
      </c>
      <c r="B1845" s="41" t="str">
        <f xml:space="preserve"> _xlfn.TEXTJOIN( "", , data_scaledImpacts[[#This Row],[sector]:[impactType]] )</f>
        <v>AirQualityGCM Average32040O3</v>
      </c>
      <c r="C1845" s="33" t="s">
        <v>559</v>
      </c>
      <c r="D1845" s="33" t="s">
        <v>15</v>
      </c>
      <c r="E1845" s="34">
        <v>3</v>
      </c>
      <c r="F1845" s="34"/>
      <c r="G1845" s="34">
        <v>2040</v>
      </c>
      <c r="H1845" s="35" t="s">
        <v>560</v>
      </c>
      <c r="I1845" s="43" t="s">
        <v>630</v>
      </c>
      <c r="J1845" s="36">
        <v>4.1198791657171123E-6</v>
      </c>
      <c r="K1845" s="36">
        <v>1.5124829593139782E-6</v>
      </c>
      <c r="L1845" s="37">
        <v>1.7547165065157544E-6</v>
      </c>
      <c r="M1845" s="36">
        <v>1.3009679791390997E-6</v>
      </c>
      <c r="N1845" s="36">
        <v>-1.4227400268573175E-6</v>
      </c>
      <c r="O1845" s="36">
        <v>-6.305918506375217E-7</v>
      </c>
      <c r="P1845">
        <v>-6.6890057444827517E-7</v>
      </c>
    </row>
    <row r="1846" spans="1:16" hidden="1" x14ac:dyDescent="0.35">
      <c r="A1846" s="3">
        <f xml:space="preserve"> ROW( data_scaledImpacts[[#This Row],[row_id]] ) - ROW( data_scaledImpacts[[#Headers],[row_id]] )</f>
        <v>1845</v>
      </c>
      <c r="B1846" s="41" t="str">
        <f xml:space="preserve"> _xlfn.TEXTJOIN( "", , data_scaledImpacts[[#This Row],[sector]:[impactType]] )</f>
        <v>AirQualityCanESM242040O3</v>
      </c>
      <c r="C1846" s="33" t="s">
        <v>559</v>
      </c>
      <c r="D1846" s="33" t="s">
        <v>0</v>
      </c>
      <c r="E1846" s="34">
        <v>4</v>
      </c>
      <c r="F1846" s="34"/>
      <c r="G1846" s="34">
        <v>2040</v>
      </c>
      <c r="H1846" s="35" t="s">
        <v>560</v>
      </c>
      <c r="I1846" s="43" t="s">
        <v>631</v>
      </c>
      <c r="J1846" s="36"/>
      <c r="K1846" s="36"/>
      <c r="L1846" s="37"/>
      <c r="M1846" s="36"/>
      <c r="N1846" s="36"/>
      <c r="O1846" s="36"/>
    </row>
    <row r="1847" spans="1:16" hidden="1" x14ac:dyDescent="0.35">
      <c r="A1847" s="3">
        <f xml:space="preserve"> ROW( data_scaledImpacts[[#This Row],[row_id]] ) - ROW( data_scaledImpacts[[#Headers],[row_id]] )</f>
        <v>1846</v>
      </c>
      <c r="B1847" s="41" t="str">
        <f xml:space="preserve"> _xlfn.TEXTJOIN( "", , data_scaledImpacts[[#This Row],[sector]:[impactType]] )</f>
        <v>AirQualityCCSM442040O3</v>
      </c>
      <c r="C1847" s="33" t="s">
        <v>559</v>
      </c>
      <c r="D1847" s="33" t="s">
        <v>1</v>
      </c>
      <c r="E1847" s="34">
        <v>4</v>
      </c>
      <c r="F1847" s="34"/>
      <c r="G1847" s="34">
        <v>2040</v>
      </c>
      <c r="H1847" s="35" t="s">
        <v>560</v>
      </c>
      <c r="I1847" s="43" t="s">
        <v>632</v>
      </c>
      <c r="J1847" s="36">
        <v>9.2120536995786558E-6</v>
      </c>
      <c r="K1847" s="36">
        <v>4.7255745961601696E-6</v>
      </c>
      <c r="L1847" s="37">
        <v>5.0123774708743348E-6</v>
      </c>
      <c r="M1847" s="36">
        <v>3.3938670755800231E-6</v>
      </c>
      <c r="N1847" s="36">
        <v>-8.0854748070464993E-7</v>
      </c>
      <c r="O1847" s="36">
        <v>-1.2647899505422103E-6</v>
      </c>
      <c r="P1847">
        <v>-1.0932439076370231E-7</v>
      </c>
    </row>
    <row r="1848" spans="1:16" hidden="1" x14ac:dyDescent="0.35">
      <c r="A1848" s="3">
        <f xml:space="preserve"> ROW( data_scaledImpacts[[#This Row],[row_id]] ) - ROW( data_scaledImpacts[[#Headers],[row_id]] )</f>
        <v>1847</v>
      </c>
      <c r="B1848" s="41" t="str">
        <f xml:space="preserve"> _xlfn.TEXTJOIN( "", , data_scaledImpacts[[#This Row],[sector]:[impactType]] )</f>
        <v>AirQualityGISS-E2-R42040O3</v>
      </c>
      <c r="C1848" s="33" t="s">
        <v>559</v>
      </c>
      <c r="D1848" s="33" t="s">
        <v>2</v>
      </c>
      <c r="E1848" s="34">
        <v>4</v>
      </c>
      <c r="F1848" s="34"/>
      <c r="G1848" s="34">
        <v>2040</v>
      </c>
      <c r="H1848" s="35" t="s">
        <v>560</v>
      </c>
      <c r="I1848" s="43" t="s">
        <v>633</v>
      </c>
      <c r="J1848" s="36"/>
      <c r="K1848" s="36"/>
      <c r="L1848" s="37"/>
      <c r="M1848" s="36"/>
      <c r="N1848" s="36"/>
      <c r="O1848" s="36"/>
    </row>
    <row r="1849" spans="1:16" hidden="1" x14ac:dyDescent="0.35">
      <c r="A1849" s="3">
        <f xml:space="preserve"> ROW( data_scaledImpacts[[#This Row],[row_id]] ) - ROW( data_scaledImpacts[[#Headers],[row_id]] )</f>
        <v>1848</v>
      </c>
      <c r="B1849" s="41" t="str">
        <f xml:space="preserve"> _xlfn.TEXTJOIN( "", , data_scaledImpacts[[#This Row],[sector]:[impactType]] )</f>
        <v>AirQualityHadGEM2-ES42040O3</v>
      </c>
      <c r="C1849" s="33" t="s">
        <v>559</v>
      </c>
      <c r="D1849" s="33" t="s">
        <v>3</v>
      </c>
      <c r="E1849" s="34">
        <v>4</v>
      </c>
      <c r="F1849" s="34"/>
      <c r="G1849" s="34">
        <v>2040</v>
      </c>
      <c r="H1849" s="35" t="s">
        <v>560</v>
      </c>
      <c r="I1849" s="43" t="s">
        <v>634</v>
      </c>
      <c r="J1849" s="36"/>
      <c r="K1849" s="36"/>
      <c r="L1849" s="37"/>
      <c r="M1849" s="36"/>
      <c r="N1849" s="36"/>
      <c r="O1849" s="36"/>
    </row>
    <row r="1850" spans="1:16" hidden="1" x14ac:dyDescent="0.35">
      <c r="A1850" s="3">
        <f xml:space="preserve"> ROW( data_scaledImpacts[[#This Row],[row_id]] ) - ROW( data_scaledImpacts[[#Headers],[row_id]] )</f>
        <v>1849</v>
      </c>
      <c r="B1850" s="41" t="str">
        <f xml:space="preserve"> _xlfn.TEXTJOIN( "", , data_scaledImpacts[[#This Row],[sector]:[impactType]] )</f>
        <v>AirQualityMIROC542040O3</v>
      </c>
      <c r="C1850" s="33" t="s">
        <v>559</v>
      </c>
      <c r="D1850" s="33" t="s">
        <v>4</v>
      </c>
      <c r="E1850" s="34">
        <v>4</v>
      </c>
      <c r="F1850" s="34"/>
      <c r="G1850" s="34">
        <v>2040</v>
      </c>
      <c r="H1850" s="35" t="s">
        <v>560</v>
      </c>
      <c r="I1850" s="43" t="s">
        <v>635</v>
      </c>
      <c r="J1850" s="36"/>
      <c r="K1850" s="36"/>
      <c r="L1850" s="37"/>
      <c r="M1850" s="36"/>
      <c r="N1850" s="36"/>
      <c r="O1850" s="36"/>
    </row>
    <row r="1851" spans="1:16" hidden="1" x14ac:dyDescent="0.35">
      <c r="A1851" s="3">
        <f xml:space="preserve"> ROW( data_scaledImpacts[[#This Row],[row_id]] ) - ROW( data_scaledImpacts[[#Headers],[row_id]] )</f>
        <v>1850</v>
      </c>
      <c r="B1851" s="41" t="str">
        <f xml:space="preserve"> _xlfn.TEXTJOIN( "", , data_scaledImpacts[[#This Row],[sector]:[impactType]] )</f>
        <v>AirQualityGFDL-CM342040O3</v>
      </c>
      <c r="C1851" s="33" t="s">
        <v>559</v>
      </c>
      <c r="D1851" s="33" t="s">
        <v>5</v>
      </c>
      <c r="E1851" s="34">
        <v>4</v>
      </c>
      <c r="F1851" s="34"/>
      <c r="G1851" s="34">
        <v>2040</v>
      </c>
      <c r="H1851" s="35" t="s">
        <v>560</v>
      </c>
      <c r="I1851" s="43" t="s">
        <v>636</v>
      </c>
      <c r="J1851" s="36">
        <v>3.3119894901236185E-6</v>
      </c>
      <c r="K1851" s="36">
        <v>9.175098362637217E-7</v>
      </c>
      <c r="L1851" s="37">
        <v>2.6431686345293396E-7</v>
      </c>
      <c r="M1851" s="36">
        <v>7.5490224782214825E-7</v>
      </c>
      <c r="N1851" s="36">
        <v>-2.4831053248494527E-6</v>
      </c>
      <c r="O1851" s="36">
        <v>-6.7776626425334966E-8</v>
      </c>
      <c r="P1851">
        <v>-1.5964124091530507E-6</v>
      </c>
    </row>
    <row r="1852" spans="1:16" hidden="1" x14ac:dyDescent="0.35">
      <c r="A1852" s="3">
        <f xml:space="preserve"> ROW( data_scaledImpacts[[#This Row],[row_id]] ) - ROW( data_scaledImpacts[[#Headers],[row_id]] )</f>
        <v>1851</v>
      </c>
      <c r="B1852" s="41" t="str">
        <f xml:space="preserve"> _xlfn.TEXTJOIN( "", , data_scaledImpacts[[#This Row],[sector]:[impactType]] )</f>
        <v>AirQualityGCM Average42040O3</v>
      </c>
      <c r="C1852" s="33" t="s">
        <v>559</v>
      </c>
      <c r="D1852" s="33" t="s">
        <v>15</v>
      </c>
      <c r="E1852" s="34">
        <v>4</v>
      </c>
      <c r="F1852" s="34"/>
      <c r="G1852" s="34">
        <v>2040</v>
      </c>
      <c r="H1852" s="35" t="s">
        <v>560</v>
      </c>
      <c r="I1852" s="43" t="s">
        <v>637</v>
      </c>
      <c r="J1852" s="36">
        <v>6.2620215948511374E-6</v>
      </c>
      <c r="K1852" s="36">
        <v>2.8215422162119457E-6</v>
      </c>
      <c r="L1852" s="37">
        <v>2.6383471671636344E-6</v>
      </c>
      <c r="M1852" s="36">
        <v>2.0743846617010855E-6</v>
      </c>
      <c r="N1852" s="36">
        <v>-1.6458264027770513E-6</v>
      </c>
      <c r="O1852" s="36">
        <v>-6.6628328848377262E-7</v>
      </c>
      <c r="P1852">
        <v>-8.5286839995837654E-7</v>
      </c>
    </row>
    <row r="1853" spans="1:16" hidden="1" x14ac:dyDescent="0.35">
      <c r="A1853" s="3">
        <f xml:space="preserve"> ROW( data_scaledImpacts[[#This Row],[row_id]] ) - ROW( data_scaledImpacts[[#Headers],[row_id]] )</f>
        <v>1852</v>
      </c>
      <c r="B1853" s="41" t="str">
        <f xml:space="preserve"> _xlfn.TEXTJOIN( "", , data_scaledImpacts[[#This Row],[sector]:[impactType]] )</f>
        <v>AirQualityCanESM252040O3</v>
      </c>
      <c r="C1853" s="33" t="s">
        <v>559</v>
      </c>
      <c r="D1853" s="33" t="s">
        <v>0</v>
      </c>
      <c r="E1853" s="34">
        <v>5</v>
      </c>
      <c r="F1853" s="34"/>
      <c r="G1853" s="34">
        <v>2040</v>
      </c>
      <c r="H1853" s="35" t="s">
        <v>560</v>
      </c>
      <c r="I1853" s="43" t="s">
        <v>638</v>
      </c>
      <c r="J1853" s="36"/>
      <c r="K1853" s="36"/>
      <c r="L1853" s="37"/>
      <c r="M1853" s="36"/>
      <c r="N1853" s="36"/>
      <c r="O1853" s="36"/>
    </row>
    <row r="1854" spans="1:16" hidden="1" x14ac:dyDescent="0.35">
      <c r="A1854" s="3">
        <f xml:space="preserve"> ROW( data_scaledImpacts[[#This Row],[row_id]] ) - ROW( data_scaledImpacts[[#Headers],[row_id]] )</f>
        <v>1853</v>
      </c>
      <c r="B1854" s="41" t="str">
        <f xml:space="preserve"> _xlfn.TEXTJOIN( "", , data_scaledImpacts[[#This Row],[sector]:[impactType]] )</f>
        <v>AirQualityCCSM452040O3</v>
      </c>
      <c r="C1854" s="33" t="s">
        <v>559</v>
      </c>
      <c r="D1854" s="33" t="s">
        <v>1</v>
      </c>
      <c r="E1854" s="34">
        <v>5</v>
      </c>
      <c r="F1854" s="34"/>
      <c r="G1854" s="34">
        <v>2040</v>
      </c>
      <c r="H1854" s="35" t="s">
        <v>560</v>
      </c>
      <c r="I1854" s="43" t="s">
        <v>639</v>
      </c>
      <c r="J1854" s="36">
        <v>1.1974271157671486E-5</v>
      </c>
      <c r="K1854" s="36">
        <v>6.0784568939331225E-6</v>
      </c>
      <c r="L1854" s="37">
        <v>5.5734687519766645E-6</v>
      </c>
      <c r="M1854" s="36">
        <v>3.1896027076499683E-6</v>
      </c>
      <c r="N1854" s="36">
        <v>-4.1105119135425543E-7</v>
      </c>
      <c r="O1854" s="36">
        <v>-4.6412948105581946E-7</v>
      </c>
      <c r="P1854">
        <v>4.4782966135790964E-7</v>
      </c>
    </row>
    <row r="1855" spans="1:16" hidden="1" x14ac:dyDescent="0.35">
      <c r="A1855" s="3">
        <f xml:space="preserve"> ROW( data_scaledImpacts[[#This Row],[row_id]] ) - ROW( data_scaledImpacts[[#Headers],[row_id]] )</f>
        <v>1854</v>
      </c>
      <c r="B1855" s="41" t="str">
        <f xml:space="preserve"> _xlfn.TEXTJOIN( "", , data_scaledImpacts[[#This Row],[sector]:[impactType]] )</f>
        <v>AirQualityGISS-E2-R52040O3</v>
      </c>
      <c r="C1855" s="33" t="s">
        <v>559</v>
      </c>
      <c r="D1855" s="33" t="s">
        <v>2</v>
      </c>
      <c r="E1855" s="34">
        <v>5</v>
      </c>
      <c r="F1855" s="34"/>
      <c r="G1855" s="34">
        <v>2040</v>
      </c>
      <c r="H1855" s="35" t="s">
        <v>560</v>
      </c>
      <c r="I1855" s="43" t="s">
        <v>640</v>
      </c>
      <c r="J1855" s="36"/>
      <c r="K1855" s="36"/>
      <c r="L1855" s="37"/>
      <c r="M1855" s="36"/>
      <c r="N1855" s="36"/>
      <c r="O1855" s="36"/>
    </row>
    <row r="1856" spans="1:16" hidden="1" x14ac:dyDescent="0.35">
      <c r="A1856" s="3">
        <f xml:space="preserve"> ROW( data_scaledImpacts[[#This Row],[row_id]] ) - ROW( data_scaledImpacts[[#Headers],[row_id]] )</f>
        <v>1855</v>
      </c>
      <c r="B1856" s="41" t="str">
        <f xml:space="preserve"> _xlfn.TEXTJOIN( "", , data_scaledImpacts[[#This Row],[sector]:[impactType]] )</f>
        <v>AirQualityHadGEM2-ES52040O3</v>
      </c>
      <c r="C1856" s="33" t="s">
        <v>559</v>
      </c>
      <c r="D1856" s="33" t="s">
        <v>3</v>
      </c>
      <c r="E1856" s="34">
        <v>5</v>
      </c>
      <c r="F1856" s="34"/>
      <c r="G1856" s="34">
        <v>2040</v>
      </c>
      <c r="H1856" s="35" t="s">
        <v>560</v>
      </c>
      <c r="I1856" s="43" t="s">
        <v>641</v>
      </c>
      <c r="J1856" s="36"/>
      <c r="K1856" s="36"/>
      <c r="L1856" s="37"/>
      <c r="M1856" s="36"/>
      <c r="N1856" s="36"/>
      <c r="O1856" s="36"/>
    </row>
    <row r="1857" spans="1:16" hidden="1" x14ac:dyDescent="0.35">
      <c r="A1857" s="3">
        <f xml:space="preserve"> ROW( data_scaledImpacts[[#This Row],[row_id]] ) - ROW( data_scaledImpacts[[#Headers],[row_id]] )</f>
        <v>1856</v>
      </c>
      <c r="B1857" s="41" t="str">
        <f xml:space="preserve"> _xlfn.TEXTJOIN( "", , data_scaledImpacts[[#This Row],[sector]:[impactType]] )</f>
        <v>AirQualityMIROC552040O3</v>
      </c>
      <c r="C1857" s="33" t="s">
        <v>559</v>
      </c>
      <c r="D1857" s="33" t="s">
        <v>4</v>
      </c>
      <c r="E1857" s="34">
        <v>5</v>
      </c>
      <c r="F1857" s="34"/>
      <c r="G1857" s="34">
        <v>2040</v>
      </c>
      <c r="H1857" s="35" t="s">
        <v>560</v>
      </c>
      <c r="I1857" s="43" t="s">
        <v>642</v>
      </c>
      <c r="J1857" s="36"/>
      <c r="K1857" s="36"/>
      <c r="L1857" s="37"/>
      <c r="M1857" s="36"/>
      <c r="N1857" s="36"/>
      <c r="O1857" s="36"/>
    </row>
    <row r="1858" spans="1:16" hidden="1" x14ac:dyDescent="0.35">
      <c r="A1858" s="3">
        <f xml:space="preserve"> ROW( data_scaledImpacts[[#This Row],[row_id]] ) - ROW( data_scaledImpacts[[#Headers],[row_id]] )</f>
        <v>1857</v>
      </c>
      <c r="B1858" s="41" t="str">
        <f xml:space="preserve"> _xlfn.TEXTJOIN( "", , data_scaledImpacts[[#This Row],[sector]:[impactType]] )</f>
        <v>AirQualityGFDL-CM352040O3</v>
      </c>
      <c r="C1858" s="33" t="s">
        <v>559</v>
      </c>
      <c r="D1858" s="33" t="s">
        <v>5</v>
      </c>
      <c r="E1858" s="34">
        <v>5</v>
      </c>
      <c r="F1858" s="34"/>
      <c r="G1858" s="34">
        <v>2040</v>
      </c>
      <c r="H1858" s="35" t="s">
        <v>560</v>
      </c>
      <c r="I1858" s="43" t="s">
        <v>643</v>
      </c>
      <c r="J1858" s="36">
        <v>5.2384485681089163E-6</v>
      </c>
      <c r="K1858" s="36">
        <v>1.6917336119872788E-6</v>
      </c>
      <c r="L1858" s="37">
        <v>1.3289952090742589E-6</v>
      </c>
      <c r="M1858" s="36">
        <v>5.1025017076643309E-7</v>
      </c>
      <c r="N1858" s="36">
        <v>-2.2453235226472284E-6</v>
      </c>
      <c r="O1858" s="36">
        <v>7.1660397850066707E-7</v>
      </c>
      <c r="P1858">
        <v>-1.4735290404827999E-6</v>
      </c>
    </row>
    <row r="1859" spans="1:16" hidden="1" x14ac:dyDescent="0.35">
      <c r="A1859" s="3">
        <f xml:space="preserve"> ROW( data_scaledImpacts[[#This Row],[row_id]] ) - ROW( data_scaledImpacts[[#Headers],[row_id]] )</f>
        <v>1858</v>
      </c>
      <c r="B1859" s="41" t="str">
        <f xml:space="preserve"> _xlfn.TEXTJOIN( "", , data_scaledImpacts[[#This Row],[sector]:[impactType]] )</f>
        <v>AirQualityGCM Average52040O3</v>
      </c>
      <c r="C1859" s="33" t="s">
        <v>559</v>
      </c>
      <c r="D1859" s="33" t="s">
        <v>15</v>
      </c>
      <c r="E1859" s="34">
        <v>5</v>
      </c>
      <c r="F1859" s="34"/>
      <c r="G1859" s="34">
        <v>2040</v>
      </c>
      <c r="H1859" s="35" t="s">
        <v>560</v>
      </c>
      <c r="I1859" s="43" t="s">
        <v>644</v>
      </c>
      <c r="J1859" s="36">
        <v>8.6063598628902009E-6</v>
      </c>
      <c r="K1859" s="36">
        <v>3.8850952529602004E-6</v>
      </c>
      <c r="L1859" s="37">
        <v>3.4512319805254616E-6</v>
      </c>
      <c r="M1859" s="36">
        <v>1.8499264392082006E-6</v>
      </c>
      <c r="N1859" s="36">
        <v>-1.3281873570007418E-6</v>
      </c>
      <c r="O1859" s="36">
        <v>1.2623724872242381E-7</v>
      </c>
      <c r="P1859">
        <v>-5.1284968956244515E-7</v>
      </c>
    </row>
    <row r="1860" spans="1:16" hidden="1" x14ac:dyDescent="0.35">
      <c r="A1860" s="3">
        <f xml:space="preserve"> ROW( data_scaledImpacts[[#This Row],[row_id]] ) - ROW( data_scaledImpacts[[#Headers],[row_id]] )</f>
        <v>1859</v>
      </c>
      <c r="B1860" s="41" t="str">
        <f xml:space="preserve"> _xlfn.TEXTJOIN( "", , data_scaledImpacts[[#This Row],[sector]:[impactType]] )</f>
        <v>AirQualityCanESM262040O3</v>
      </c>
      <c r="C1860" s="33" t="s">
        <v>559</v>
      </c>
      <c r="D1860" s="33" t="s">
        <v>0</v>
      </c>
      <c r="E1860" s="34">
        <v>6</v>
      </c>
      <c r="F1860" s="34"/>
      <c r="G1860" s="34">
        <v>2040</v>
      </c>
      <c r="H1860" s="35" t="s">
        <v>560</v>
      </c>
      <c r="I1860" s="43" t="s">
        <v>645</v>
      </c>
    </row>
    <row r="1861" spans="1:16" hidden="1" x14ac:dyDescent="0.35">
      <c r="A1861" s="3">
        <f xml:space="preserve"> ROW( data_scaledImpacts[[#This Row],[row_id]] ) - ROW( data_scaledImpacts[[#Headers],[row_id]] )</f>
        <v>1860</v>
      </c>
      <c r="B1861" s="41" t="str">
        <f xml:space="preserve"> _xlfn.TEXTJOIN( "", , data_scaledImpacts[[#This Row],[sector]:[impactType]] )</f>
        <v>AirQualityCCSM462040O3</v>
      </c>
      <c r="C1861" s="33" t="s">
        <v>559</v>
      </c>
      <c r="D1861" s="33" t="s">
        <v>1</v>
      </c>
      <c r="E1861" s="34">
        <v>6</v>
      </c>
      <c r="F1861" s="34"/>
      <c r="G1861" s="34">
        <v>2040</v>
      </c>
      <c r="H1861" s="35" t="s">
        <v>560</v>
      </c>
      <c r="I1861" s="43" t="s">
        <v>646</v>
      </c>
    </row>
    <row r="1862" spans="1:16" hidden="1" x14ac:dyDescent="0.35">
      <c r="A1862" s="3">
        <f xml:space="preserve"> ROW( data_scaledImpacts[[#This Row],[row_id]] ) - ROW( data_scaledImpacts[[#Headers],[row_id]] )</f>
        <v>1861</v>
      </c>
      <c r="B1862" s="41" t="str">
        <f xml:space="preserve"> _xlfn.TEXTJOIN( "", , data_scaledImpacts[[#This Row],[sector]:[impactType]] )</f>
        <v>AirQualityGISS-E2-R62040O3</v>
      </c>
      <c r="C1862" s="33" t="s">
        <v>559</v>
      </c>
      <c r="D1862" s="33" t="s">
        <v>2</v>
      </c>
      <c r="E1862" s="34">
        <v>6</v>
      </c>
      <c r="F1862" s="34"/>
      <c r="G1862" s="34">
        <v>2040</v>
      </c>
      <c r="H1862" s="35" t="s">
        <v>560</v>
      </c>
      <c r="I1862" s="43" t="s">
        <v>647</v>
      </c>
    </row>
    <row r="1863" spans="1:16" hidden="1" x14ac:dyDescent="0.35">
      <c r="A1863" s="3">
        <f xml:space="preserve"> ROW( data_scaledImpacts[[#This Row],[row_id]] ) - ROW( data_scaledImpacts[[#Headers],[row_id]] )</f>
        <v>1862</v>
      </c>
      <c r="B1863" s="41" t="str">
        <f xml:space="preserve"> _xlfn.TEXTJOIN( "", , data_scaledImpacts[[#This Row],[sector]:[impactType]] )</f>
        <v>AirQualityHadGEM2-ES62040O3</v>
      </c>
      <c r="C1863" s="33" t="s">
        <v>559</v>
      </c>
      <c r="D1863" s="33" t="s">
        <v>3</v>
      </c>
      <c r="E1863" s="34">
        <v>6</v>
      </c>
      <c r="F1863" s="34"/>
      <c r="G1863" s="34">
        <v>2040</v>
      </c>
      <c r="H1863" s="35" t="s">
        <v>560</v>
      </c>
      <c r="I1863" s="43" t="s">
        <v>648</v>
      </c>
    </row>
    <row r="1864" spans="1:16" hidden="1" x14ac:dyDescent="0.35">
      <c r="A1864" s="3">
        <f xml:space="preserve"> ROW( data_scaledImpacts[[#This Row],[row_id]] ) - ROW( data_scaledImpacts[[#Headers],[row_id]] )</f>
        <v>1863</v>
      </c>
      <c r="B1864" s="41" t="str">
        <f xml:space="preserve"> _xlfn.TEXTJOIN( "", , data_scaledImpacts[[#This Row],[sector]:[impactType]] )</f>
        <v>AirQualityMIROC562040O3</v>
      </c>
      <c r="C1864" s="33" t="s">
        <v>559</v>
      </c>
      <c r="D1864" s="33" t="s">
        <v>4</v>
      </c>
      <c r="E1864" s="34">
        <v>6</v>
      </c>
      <c r="F1864" s="34"/>
      <c r="G1864" s="34">
        <v>2040</v>
      </c>
      <c r="H1864" s="35" t="s">
        <v>560</v>
      </c>
      <c r="I1864" s="43" t="s">
        <v>649</v>
      </c>
    </row>
    <row r="1865" spans="1:16" hidden="1" x14ac:dyDescent="0.35">
      <c r="A1865" s="3">
        <f xml:space="preserve"> ROW( data_scaledImpacts[[#This Row],[row_id]] ) - ROW( data_scaledImpacts[[#Headers],[row_id]] )</f>
        <v>1864</v>
      </c>
      <c r="B1865" s="41" t="str">
        <f xml:space="preserve"> _xlfn.TEXTJOIN( "", , data_scaledImpacts[[#This Row],[sector]:[impactType]] )</f>
        <v>AirQualityGFDL-CM362040O3</v>
      </c>
      <c r="C1865" s="33" t="s">
        <v>559</v>
      </c>
      <c r="D1865" s="33" t="s">
        <v>5</v>
      </c>
      <c r="E1865" s="34">
        <v>6</v>
      </c>
      <c r="F1865" s="34"/>
      <c r="G1865" s="34">
        <v>2040</v>
      </c>
      <c r="H1865" s="35" t="s">
        <v>560</v>
      </c>
      <c r="I1865" s="43" t="s">
        <v>650</v>
      </c>
      <c r="J1865" s="36">
        <v>7.7318083787336601E-6</v>
      </c>
      <c r="K1865" s="36">
        <v>3.0999348290387947E-6</v>
      </c>
      <c r="L1865" s="37">
        <v>2.8352525433067946E-6</v>
      </c>
      <c r="M1865" s="36">
        <v>1.2696190137833701E-6</v>
      </c>
      <c r="N1865" s="36">
        <v>-2.3757463048050881E-6</v>
      </c>
      <c r="O1865" s="36">
        <v>8.5257930503119209E-7</v>
      </c>
      <c r="P1865">
        <v>-1.6234967104980174E-6</v>
      </c>
    </row>
    <row r="1866" spans="1:16" hidden="1" x14ac:dyDescent="0.35">
      <c r="A1866" s="3">
        <f xml:space="preserve"> ROW( data_scaledImpacts[[#This Row],[row_id]] ) - ROW( data_scaledImpacts[[#Headers],[row_id]] )</f>
        <v>1865</v>
      </c>
      <c r="B1866" s="41" t="str">
        <f xml:space="preserve"> _xlfn.TEXTJOIN( "", , data_scaledImpacts[[#This Row],[sector]:[impactType]] )</f>
        <v>AirQualityGCM Average62040O3</v>
      </c>
      <c r="C1866" s="33" t="s">
        <v>559</v>
      </c>
      <c r="D1866" s="33" t="s">
        <v>15</v>
      </c>
      <c r="E1866" s="34">
        <v>6</v>
      </c>
      <c r="F1866" s="34"/>
      <c r="G1866" s="34">
        <v>2040</v>
      </c>
      <c r="H1866" s="35" t="s">
        <v>560</v>
      </c>
      <c r="I1866" s="43" t="s">
        <v>651</v>
      </c>
      <c r="J1866" s="36">
        <v>7.7318083787336601E-6</v>
      </c>
      <c r="K1866" s="36">
        <v>3.0999348290387947E-6</v>
      </c>
      <c r="L1866" s="37">
        <v>2.8352525433067946E-6</v>
      </c>
      <c r="M1866" s="36">
        <v>1.2696190137833701E-6</v>
      </c>
      <c r="N1866" s="36">
        <v>-2.3757463048050881E-6</v>
      </c>
      <c r="O1866" s="36">
        <v>8.5257930503119209E-7</v>
      </c>
      <c r="P1866">
        <v>-1.6234967104980174E-6</v>
      </c>
    </row>
    <row r="1867" spans="1:16" hidden="1" x14ac:dyDescent="0.35">
      <c r="A1867" s="3">
        <f xml:space="preserve"> ROW( data_scaledImpacts[[#This Row],[row_id]] ) - ROW( data_scaledImpacts[[#Headers],[row_id]] )</f>
        <v>1866</v>
      </c>
      <c r="B1867" s="41" t="str">
        <f xml:space="preserve"> _xlfn.TEXTJOIN( "", , data_scaledImpacts[[#This Row],[sector]:[impactType]] )</f>
        <v>AirQualityCanESM272040O3</v>
      </c>
      <c r="C1867" s="33" t="s">
        <v>559</v>
      </c>
      <c r="D1867" s="33" t="s">
        <v>0</v>
      </c>
      <c r="E1867" s="34">
        <v>7</v>
      </c>
      <c r="F1867" s="34"/>
      <c r="G1867" s="34">
        <v>2040</v>
      </c>
      <c r="H1867" s="35" t="s">
        <v>560</v>
      </c>
      <c r="I1867" s="43" t="s">
        <v>652</v>
      </c>
    </row>
    <row r="1868" spans="1:16" hidden="1" x14ac:dyDescent="0.35">
      <c r="A1868" s="3">
        <f xml:space="preserve"> ROW( data_scaledImpacts[[#This Row],[row_id]] ) - ROW( data_scaledImpacts[[#Headers],[row_id]] )</f>
        <v>1867</v>
      </c>
      <c r="B1868" s="41" t="str">
        <f xml:space="preserve"> _xlfn.TEXTJOIN( "", , data_scaledImpacts[[#This Row],[sector]:[impactType]] )</f>
        <v>AirQualityCCSM472040O3</v>
      </c>
      <c r="C1868" s="33" t="s">
        <v>559</v>
      </c>
      <c r="D1868" s="33" t="s">
        <v>1</v>
      </c>
      <c r="E1868" s="34">
        <v>7</v>
      </c>
      <c r="F1868" s="34"/>
      <c r="G1868" s="34">
        <v>2040</v>
      </c>
      <c r="H1868" s="35" t="s">
        <v>560</v>
      </c>
      <c r="I1868" s="43" t="s">
        <v>653</v>
      </c>
    </row>
    <row r="1869" spans="1:16" hidden="1" x14ac:dyDescent="0.35">
      <c r="A1869" s="3">
        <f xml:space="preserve"> ROW( data_scaledImpacts[[#This Row],[row_id]] ) - ROW( data_scaledImpacts[[#Headers],[row_id]] )</f>
        <v>1868</v>
      </c>
      <c r="B1869" s="41" t="str">
        <f xml:space="preserve"> _xlfn.TEXTJOIN( "", , data_scaledImpacts[[#This Row],[sector]:[impactType]] )</f>
        <v>AirQualityGISS-E2-R72040O3</v>
      </c>
      <c r="C1869" s="33" t="s">
        <v>559</v>
      </c>
      <c r="D1869" s="33" t="s">
        <v>2</v>
      </c>
      <c r="E1869" s="34">
        <v>7</v>
      </c>
      <c r="F1869" s="34"/>
      <c r="G1869" s="34">
        <v>2040</v>
      </c>
      <c r="H1869" s="35" t="s">
        <v>560</v>
      </c>
      <c r="I1869" s="43" t="s">
        <v>654</v>
      </c>
    </row>
    <row r="1870" spans="1:16" hidden="1" x14ac:dyDescent="0.35">
      <c r="A1870" s="3">
        <f xml:space="preserve"> ROW( data_scaledImpacts[[#This Row],[row_id]] ) - ROW( data_scaledImpacts[[#Headers],[row_id]] )</f>
        <v>1869</v>
      </c>
      <c r="B1870" s="41" t="str">
        <f xml:space="preserve"> _xlfn.TEXTJOIN( "", , data_scaledImpacts[[#This Row],[sector]:[impactType]] )</f>
        <v>AirQualityHadGEM2-ES72040O3</v>
      </c>
      <c r="C1870" s="33" t="s">
        <v>559</v>
      </c>
      <c r="D1870" s="33" t="s">
        <v>3</v>
      </c>
      <c r="E1870" s="34">
        <v>7</v>
      </c>
      <c r="F1870" s="34"/>
      <c r="G1870" s="34">
        <v>2040</v>
      </c>
      <c r="H1870" s="35" t="s">
        <v>560</v>
      </c>
      <c r="I1870" s="43" t="s">
        <v>655</v>
      </c>
    </row>
    <row r="1871" spans="1:16" hidden="1" x14ac:dyDescent="0.35">
      <c r="A1871" s="3">
        <f xml:space="preserve"> ROW( data_scaledImpacts[[#This Row],[row_id]] ) - ROW( data_scaledImpacts[[#Headers],[row_id]] )</f>
        <v>1870</v>
      </c>
      <c r="B1871" s="41" t="str">
        <f xml:space="preserve"> _xlfn.TEXTJOIN( "", , data_scaledImpacts[[#This Row],[sector]:[impactType]] )</f>
        <v>AirQualityMIROC572040O3</v>
      </c>
      <c r="C1871" s="33" t="s">
        <v>559</v>
      </c>
      <c r="D1871" s="33" t="s">
        <v>4</v>
      </c>
      <c r="E1871" s="34">
        <v>7</v>
      </c>
      <c r="F1871" s="34"/>
      <c r="G1871" s="34">
        <v>2040</v>
      </c>
      <c r="H1871" s="35" t="s">
        <v>560</v>
      </c>
      <c r="I1871" s="43" t="s">
        <v>656</v>
      </c>
    </row>
    <row r="1872" spans="1:16" hidden="1" x14ac:dyDescent="0.35">
      <c r="A1872" s="3">
        <f xml:space="preserve"> ROW( data_scaledImpacts[[#This Row],[row_id]] ) - ROW( data_scaledImpacts[[#Headers],[row_id]] )</f>
        <v>1871</v>
      </c>
      <c r="B1872" s="41" t="str">
        <f xml:space="preserve"> _xlfn.TEXTJOIN( "", , data_scaledImpacts[[#This Row],[sector]:[impactType]] )</f>
        <v>AirQualityGFDL-CM372040O3</v>
      </c>
      <c r="C1872" s="33" t="s">
        <v>559</v>
      </c>
      <c r="D1872" s="33" t="s">
        <v>5</v>
      </c>
      <c r="E1872" s="34">
        <v>7</v>
      </c>
      <c r="F1872" s="34"/>
      <c r="G1872" s="34">
        <v>2040</v>
      </c>
      <c r="H1872" s="35" t="s">
        <v>560</v>
      </c>
      <c r="I1872" s="43" t="s">
        <v>657</v>
      </c>
    </row>
    <row r="1873" spans="1:16" hidden="1" x14ac:dyDescent="0.35">
      <c r="A1873" s="3">
        <f xml:space="preserve"> ROW( data_scaledImpacts[[#This Row],[row_id]] ) - ROW( data_scaledImpacts[[#Headers],[row_id]] )</f>
        <v>1872</v>
      </c>
      <c r="B1873" s="41" t="str">
        <f xml:space="preserve"> _xlfn.TEXTJOIN( "", , data_scaledImpacts[[#This Row],[sector]:[impactType]] )</f>
        <v>AirQualityGCM Average72040O3</v>
      </c>
      <c r="C1873" s="33" t="s">
        <v>559</v>
      </c>
      <c r="D1873" s="33" t="s">
        <v>15</v>
      </c>
      <c r="E1873" s="34">
        <v>7</v>
      </c>
      <c r="F1873" s="34"/>
      <c r="G1873" s="34">
        <v>2040</v>
      </c>
      <c r="H1873" s="35" t="s">
        <v>560</v>
      </c>
      <c r="I1873" s="43" t="s">
        <v>658</v>
      </c>
    </row>
    <row r="1874" spans="1:16" hidden="1" x14ac:dyDescent="0.35">
      <c r="A1874" s="3">
        <f xml:space="preserve"> ROW( data_scaledImpacts[[#This Row],[row_id]] ) - ROW( data_scaledImpacts[[#Headers],[row_id]] )</f>
        <v>1873</v>
      </c>
      <c r="B1874" s="41" t="str">
        <f xml:space="preserve"> _xlfn.TEXTJOIN( "", , data_scaledImpacts[[#This Row],[sector]:[impactType]] )</f>
        <v>AirQualityCanESM212011PM</v>
      </c>
      <c r="C1874" s="33" t="s">
        <v>559</v>
      </c>
      <c r="D1874" s="33" t="s">
        <v>0</v>
      </c>
      <c r="E1874" s="34">
        <v>1</v>
      </c>
      <c r="F1874" s="34"/>
      <c r="G1874" s="34">
        <v>2011</v>
      </c>
      <c r="H1874" s="35" t="s">
        <v>659</v>
      </c>
      <c r="I1874" s="43" t="s">
        <v>660</v>
      </c>
    </row>
    <row r="1875" spans="1:16" hidden="1" x14ac:dyDescent="0.35">
      <c r="A1875" s="3">
        <f xml:space="preserve"> ROW( data_scaledImpacts[[#This Row],[row_id]] ) - ROW( data_scaledImpacts[[#Headers],[row_id]] )</f>
        <v>1874</v>
      </c>
      <c r="B1875" s="41" t="str">
        <f xml:space="preserve"> _xlfn.TEXTJOIN( "", , data_scaledImpacts[[#This Row],[sector]:[impactType]] )</f>
        <v>AirQualityCCSM412011PM</v>
      </c>
      <c r="C1875" s="33" t="s">
        <v>559</v>
      </c>
      <c r="D1875" s="33" t="s">
        <v>1</v>
      </c>
      <c r="E1875" s="34">
        <v>1</v>
      </c>
      <c r="F1875" s="34"/>
      <c r="G1875" s="34">
        <v>2011</v>
      </c>
      <c r="H1875" s="35" t="s">
        <v>659</v>
      </c>
      <c r="I1875" s="43" t="s">
        <v>661</v>
      </c>
      <c r="J1875" s="36">
        <v>-8.5743870972001561E-6</v>
      </c>
      <c r="K1875" s="36">
        <v>9.7212625966185363E-6</v>
      </c>
      <c r="L1875" s="37">
        <v>-6.4387426436817849E-6</v>
      </c>
      <c r="M1875" s="36">
        <v>-1.3742834761013582E-6</v>
      </c>
      <c r="N1875" s="36">
        <v>1.0359794208190973E-5</v>
      </c>
      <c r="O1875" s="36">
        <v>-6.2923466428550648E-6</v>
      </c>
      <c r="P1875">
        <v>2.2499759288075299E-6</v>
      </c>
    </row>
    <row r="1876" spans="1:16" hidden="1" x14ac:dyDescent="0.35">
      <c r="A1876" s="3">
        <f xml:space="preserve"> ROW( data_scaledImpacts[[#This Row],[row_id]] ) - ROW( data_scaledImpacts[[#Headers],[row_id]] )</f>
        <v>1875</v>
      </c>
      <c r="B1876" s="41" t="str">
        <f xml:space="preserve"> _xlfn.TEXTJOIN( "", , data_scaledImpacts[[#This Row],[sector]:[impactType]] )</f>
        <v>AirQualityGISS-E2-R12011PM</v>
      </c>
      <c r="C1876" s="33" t="s">
        <v>559</v>
      </c>
      <c r="D1876" s="33" t="s">
        <v>2</v>
      </c>
      <c r="E1876" s="34">
        <v>1</v>
      </c>
      <c r="F1876" s="34"/>
      <c r="G1876" s="34">
        <v>2011</v>
      </c>
      <c r="H1876" s="35" t="s">
        <v>659</v>
      </c>
      <c r="I1876" s="43" t="s">
        <v>662</v>
      </c>
      <c r="J1876" s="36"/>
      <c r="K1876" s="36"/>
      <c r="L1876" s="37"/>
      <c r="M1876" s="36"/>
      <c r="N1876" s="36"/>
      <c r="O1876" s="36"/>
    </row>
    <row r="1877" spans="1:16" hidden="1" x14ac:dyDescent="0.35">
      <c r="A1877" s="3">
        <f xml:space="preserve"> ROW( data_scaledImpacts[[#This Row],[row_id]] ) - ROW( data_scaledImpacts[[#Headers],[row_id]] )</f>
        <v>1876</v>
      </c>
      <c r="B1877" s="41" t="str">
        <f xml:space="preserve"> _xlfn.TEXTJOIN( "", , data_scaledImpacts[[#This Row],[sector]:[impactType]] )</f>
        <v>AirQualityHadGEM2-ES12011PM</v>
      </c>
      <c r="C1877" s="33" t="s">
        <v>559</v>
      </c>
      <c r="D1877" s="33" t="s">
        <v>3</v>
      </c>
      <c r="E1877" s="34">
        <v>1</v>
      </c>
      <c r="F1877" s="34"/>
      <c r="G1877" s="34">
        <v>2011</v>
      </c>
      <c r="H1877" s="35" t="s">
        <v>659</v>
      </c>
      <c r="I1877" s="43" t="s">
        <v>663</v>
      </c>
      <c r="J1877" s="36"/>
      <c r="K1877" s="36"/>
      <c r="L1877" s="37"/>
      <c r="M1877" s="36"/>
      <c r="N1877" s="36"/>
      <c r="O1877" s="36"/>
    </row>
    <row r="1878" spans="1:16" hidden="1" x14ac:dyDescent="0.35">
      <c r="A1878" s="3">
        <f xml:space="preserve"> ROW( data_scaledImpacts[[#This Row],[row_id]] ) - ROW( data_scaledImpacts[[#Headers],[row_id]] )</f>
        <v>1877</v>
      </c>
      <c r="B1878" s="41" t="str">
        <f xml:space="preserve"> _xlfn.TEXTJOIN( "", , data_scaledImpacts[[#This Row],[sector]:[impactType]] )</f>
        <v>AirQualityMIROC512011PM</v>
      </c>
      <c r="C1878" s="33" t="s">
        <v>559</v>
      </c>
      <c r="D1878" s="33" t="s">
        <v>4</v>
      </c>
      <c r="E1878" s="34">
        <v>1</v>
      </c>
      <c r="F1878" s="34"/>
      <c r="G1878" s="34">
        <v>2011</v>
      </c>
      <c r="H1878" s="35" t="s">
        <v>659</v>
      </c>
      <c r="I1878" s="43" t="s">
        <v>664</v>
      </c>
      <c r="J1878" s="36"/>
      <c r="K1878" s="36"/>
      <c r="L1878" s="37"/>
      <c r="M1878" s="36"/>
      <c r="N1878" s="36"/>
      <c r="O1878" s="36"/>
    </row>
    <row r="1879" spans="1:16" hidden="1" x14ac:dyDescent="0.35">
      <c r="A1879" s="3">
        <f xml:space="preserve"> ROW( data_scaledImpacts[[#This Row],[row_id]] ) - ROW( data_scaledImpacts[[#Headers],[row_id]] )</f>
        <v>1878</v>
      </c>
      <c r="B1879" s="41" t="str">
        <f xml:space="preserve"> _xlfn.TEXTJOIN( "", , data_scaledImpacts[[#This Row],[sector]:[impactType]] )</f>
        <v>AirQualityGFDL-CM312011PM</v>
      </c>
      <c r="C1879" s="33" t="s">
        <v>559</v>
      </c>
      <c r="D1879" s="33" t="s">
        <v>5</v>
      </c>
      <c r="E1879" s="34">
        <v>1</v>
      </c>
      <c r="F1879" s="34"/>
      <c r="G1879" s="34">
        <v>2011</v>
      </c>
      <c r="H1879" s="35" t="s">
        <v>659</v>
      </c>
      <c r="I1879" s="43" t="s">
        <v>665</v>
      </c>
      <c r="J1879" s="36">
        <v>-4.2155068519170759E-6</v>
      </c>
      <c r="K1879" s="36">
        <v>-1.2263972300793004E-6</v>
      </c>
      <c r="L1879" s="37">
        <v>-1.0485501560975873E-7</v>
      </c>
      <c r="M1879" s="36">
        <v>5.6905942413681865E-6</v>
      </c>
      <c r="N1879" s="36">
        <v>1.3675504074571091E-5</v>
      </c>
      <c r="O1879" s="36">
        <v>8.0332838420007245E-6</v>
      </c>
      <c r="P1879">
        <v>6.755317518692096E-6</v>
      </c>
    </row>
    <row r="1880" spans="1:16" hidden="1" x14ac:dyDescent="0.35">
      <c r="A1880" s="3">
        <f xml:space="preserve"> ROW( data_scaledImpacts[[#This Row],[row_id]] ) - ROW( data_scaledImpacts[[#Headers],[row_id]] )</f>
        <v>1879</v>
      </c>
      <c r="B1880" s="41" t="str">
        <f xml:space="preserve"> _xlfn.TEXTJOIN( "", , data_scaledImpacts[[#This Row],[sector]:[impactType]] )</f>
        <v>AirQualityGCM Average12011PM</v>
      </c>
      <c r="C1880" s="33" t="s">
        <v>559</v>
      </c>
      <c r="D1880" s="33" t="s">
        <v>15</v>
      </c>
      <c r="E1880" s="34">
        <v>1</v>
      </c>
      <c r="F1880" s="34"/>
      <c r="G1880" s="34">
        <v>2011</v>
      </c>
      <c r="H1880" s="35" t="s">
        <v>659</v>
      </c>
      <c r="I1880" s="43" t="s">
        <v>666</v>
      </c>
      <c r="J1880" s="36">
        <v>-6.3949469745586156E-6</v>
      </c>
      <c r="K1880" s="36">
        <v>4.2474326832696176E-6</v>
      </c>
      <c r="L1880" s="37">
        <v>-3.271798829645772E-6</v>
      </c>
      <c r="M1880" s="36">
        <v>2.1581553826334143E-6</v>
      </c>
      <c r="N1880" s="36">
        <v>1.2017649141381033E-5</v>
      </c>
      <c r="O1880" s="36">
        <v>8.7046859957282984E-7</v>
      </c>
      <c r="P1880">
        <v>4.5026467237498131E-6</v>
      </c>
    </row>
    <row r="1881" spans="1:16" hidden="1" x14ac:dyDescent="0.35">
      <c r="A1881" s="3">
        <f xml:space="preserve"> ROW( data_scaledImpacts[[#This Row],[row_id]] ) - ROW( data_scaledImpacts[[#Headers],[row_id]] )</f>
        <v>1880</v>
      </c>
      <c r="B1881" s="41" t="str">
        <f xml:space="preserve"> _xlfn.TEXTJOIN( "", , data_scaledImpacts[[#This Row],[sector]:[impactType]] )</f>
        <v>AirQualityCanESM222011PM</v>
      </c>
      <c r="C1881" s="33" t="s">
        <v>559</v>
      </c>
      <c r="D1881" s="33" t="s">
        <v>0</v>
      </c>
      <c r="E1881" s="34">
        <v>2</v>
      </c>
      <c r="F1881" s="34"/>
      <c r="G1881" s="34">
        <v>2011</v>
      </c>
      <c r="H1881" s="35" t="s">
        <v>659</v>
      </c>
      <c r="I1881" s="43" t="s">
        <v>667</v>
      </c>
      <c r="J1881" s="36"/>
      <c r="K1881" s="36"/>
      <c r="L1881" s="37"/>
      <c r="M1881" s="36"/>
      <c r="N1881" s="36"/>
      <c r="O1881" s="36"/>
    </row>
    <row r="1882" spans="1:16" hidden="1" x14ac:dyDescent="0.35">
      <c r="A1882" s="3">
        <f xml:space="preserve"> ROW( data_scaledImpacts[[#This Row],[row_id]] ) - ROW( data_scaledImpacts[[#Headers],[row_id]] )</f>
        <v>1881</v>
      </c>
      <c r="B1882" s="41" t="str">
        <f xml:space="preserve"> _xlfn.TEXTJOIN( "", , data_scaledImpacts[[#This Row],[sector]:[impactType]] )</f>
        <v>AirQualityCCSM422011PM</v>
      </c>
      <c r="C1882" s="33" t="s">
        <v>559</v>
      </c>
      <c r="D1882" s="33" t="s">
        <v>1</v>
      </c>
      <c r="E1882" s="34">
        <v>2</v>
      </c>
      <c r="F1882" s="34"/>
      <c r="G1882" s="34">
        <v>2011</v>
      </c>
      <c r="H1882" s="35" t="s">
        <v>659</v>
      </c>
      <c r="I1882" s="43" t="s">
        <v>668</v>
      </c>
      <c r="J1882" s="36">
        <v>-1.8766161254961999E-5</v>
      </c>
      <c r="K1882" s="36">
        <v>1.734918057945682E-5</v>
      </c>
      <c r="L1882" s="37">
        <v>-1.5321078017411827E-5</v>
      </c>
      <c r="M1882" s="36">
        <v>-1.0372330579579135E-6</v>
      </c>
      <c r="N1882" s="36">
        <v>2.519097175697282E-5</v>
      </c>
      <c r="O1882" s="36">
        <v>-1.4939748776372071E-5</v>
      </c>
      <c r="P1882">
        <v>6.8946209797126673E-6</v>
      </c>
    </row>
    <row r="1883" spans="1:16" hidden="1" x14ac:dyDescent="0.35">
      <c r="A1883" s="3">
        <f xml:space="preserve"> ROW( data_scaledImpacts[[#This Row],[row_id]] ) - ROW( data_scaledImpacts[[#Headers],[row_id]] )</f>
        <v>1882</v>
      </c>
      <c r="B1883" s="41" t="str">
        <f xml:space="preserve"> _xlfn.TEXTJOIN( "", , data_scaledImpacts[[#This Row],[sector]:[impactType]] )</f>
        <v>AirQualityGISS-E2-R22011PM</v>
      </c>
      <c r="C1883" s="33" t="s">
        <v>559</v>
      </c>
      <c r="D1883" s="33" t="s">
        <v>2</v>
      </c>
      <c r="E1883" s="34">
        <v>2</v>
      </c>
      <c r="F1883" s="34"/>
      <c r="G1883" s="34">
        <v>2011</v>
      </c>
      <c r="H1883" s="35" t="s">
        <v>659</v>
      </c>
      <c r="I1883" s="43" t="s">
        <v>669</v>
      </c>
      <c r="J1883" s="36"/>
      <c r="K1883" s="36"/>
      <c r="L1883" s="37"/>
      <c r="M1883" s="36"/>
      <c r="N1883" s="36"/>
      <c r="O1883" s="36"/>
    </row>
    <row r="1884" spans="1:16" hidden="1" x14ac:dyDescent="0.35">
      <c r="A1884" s="3">
        <f xml:space="preserve"> ROW( data_scaledImpacts[[#This Row],[row_id]] ) - ROW( data_scaledImpacts[[#Headers],[row_id]] )</f>
        <v>1883</v>
      </c>
      <c r="B1884" s="41" t="str">
        <f xml:space="preserve"> _xlfn.TEXTJOIN( "", , data_scaledImpacts[[#This Row],[sector]:[impactType]] )</f>
        <v>AirQualityHadGEM2-ES22011PM</v>
      </c>
      <c r="C1884" s="33" t="s">
        <v>559</v>
      </c>
      <c r="D1884" s="33" t="s">
        <v>3</v>
      </c>
      <c r="E1884" s="34">
        <v>2</v>
      </c>
      <c r="F1884" s="34"/>
      <c r="G1884" s="34">
        <v>2011</v>
      </c>
      <c r="H1884" s="35" t="s">
        <v>659</v>
      </c>
      <c r="I1884" s="43" t="s">
        <v>670</v>
      </c>
      <c r="J1884" s="36"/>
      <c r="K1884" s="36"/>
      <c r="L1884" s="37"/>
      <c r="M1884" s="36"/>
      <c r="N1884" s="36"/>
      <c r="O1884" s="36"/>
    </row>
    <row r="1885" spans="1:16" hidden="1" x14ac:dyDescent="0.35">
      <c r="A1885" s="3">
        <f xml:space="preserve"> ROW( data_scaledImpacts[[#This Row],[row_id]] ) - ROW( data_scaledImpacts[[#Headers],[row_id]] )</f>
        <v>1884</v>
      </c>
      <c r="B1885" s="41" t="str">
        <f xml:space="preserve"> _xlfn.TEXTJOIN( "", , data_scaledImpacts[[#This Row],[sector]:[impactType]] )</f>
        <v>AirQualityMIROC522011PM</v>
      </c>
      <c r="C1885" s="33" t="s">
        <v>559</v>
      </c>
      <c r="D1885" s="33" t="s">
        <v>4</v>
      </c>
      <c r="E1885" s="34">
        <v>2</v>
      </c>
      <c r="F1885" s="34"/>
      <c r="G1885" s="34">
        <v>2011</v>
      </c>
      <c r="H1885" s="35" t="s">
        <v>659</v>
      </c>
      <c r="I1885" s="43" t="s">
        <v>671</v>
      </c>
      <c r="J1885" s="36"/>
      <c r="K1885" s="36"/>
      <c r="L1885" s="37"/>
      <c r="M1885" s="36"/>
      <c r="N1885" s="36"/>
      <c r="O1885" s="36"/>
    </row>
    <row r="1886" spans="1:16" hidden="1" x14ac:dyDescent="0.35">
      <c r="A1886" s="3">
        <f xml:space="preserve"> ROW( data_scaledImpacts[[#This Row],[row_id]] ) - ROW( data_scaledImpacts[[#Headers],[row_id]] )</f>
        <v>1885</v>
      </c>
      <c r="B1886" s="41" t="str">
        <f xml:space="preserve"> _xlfn.TEXTJOIN( "", , data_scaledImpacts[[#This Row],[sector]:[impactType]] )</f>
        <v>AirQualityGFDL-CM322011PM</v>
      </c>
      <c r="C1886" s="33" t="s">
        <v>559</v>
      </c>
      <c r="D1886" s="33" t="s">
        <v>5</v>
      </c>
      <c r="E1886" s="34">
        <v>2</v>
      </c>
      <c r="F1886" s="34"/>
      <c r="G1886" s="34">
        <v>2011</v>
      </c>
      <c r="H1886" s="35" t="s">
        <v>659</v>
      </c>
      <c r="I1886" s="43" t="s">
        <v>672</v>
      </c>
      <c r="J1886" s="36">
        <v>-9.8199888736715351E-6</v>
      </c>
      <c r="K1886" s="36">
        <v>-1.332920338881831E-6</v>
      </c>
      <c r="L1886" s="37">
        <v>-1.095109846806484E-6</v>
      </c>
      <c r="M1886" s="36">
        <v>1.1516735727365376E-5</v>
      </c>
      <c r="N1886" s="36">
        <v>2.7462210157015145E-5</v>
      </c>
      <c r="O1886" s="36">
        <v>1.5453104895106357E-5</v>
      </c>
      <c r="P1886">
        <v>1.403850221108625E-5</v>
      </c>
    </row>
    <row r="1887" spans="1:16" hidden="1" x14ac:dyDescent="0.35">
      <c r="A1887" s="3">
        <f xml:space="preserve"> ROW( data_scaledImpacts[[#This Row],[row_id]] ) - ROW( data_scaledImpacts[[#Headers],[row_id]] )</f>
        <v>1886</v>
      </c>
      <c r="B1887" s="41" t="str">
        <f xml:space="preserve"> _xlfn.TEXTJOIN( "", , data_scaledImpacts[[#This Row],[sector]:[impactType]] )</f>
        <v>AirQualityGCM Average22011PM</v>
      </c>
      <c r="C1887" s="33" t="s">
        <v>559</v>
      </c>
      <c r="D1887" s="33" t="s">
        <v>15</v>
      </c>
      <c r="E1887" s="34">
        <v>2</v>
      </c>
      <c r="F1887" s="34"/>
      <c r="G1887" s="34">
        <v>2011</v>
      </c>
      <c r="H1887" s="35" t="s">
        <v>659</v>
      </c>
      <c r="I1887" s="43" t="s">
        <v>673</v>
      </c>
      <c r="J1887" s="36">
        <v>-1.4293075064316767E-5</v>
      </c>
      <c r="K1887" s="36">
        <v>8.0081301202874953E-6</v>
      </c>
      <c r="L1887" s="37">
        <v>-8.2080939321091561E-6</v>
      </c>
      <c r="M1887" s="36">
        <v>5.2397513347037311E-6</v>
      </c>
      <c r="N1887" s="36">
        <v>2.6326590956993984E-5</v>
      </c>
      <c r="O1887" s="36">
        <v>2.5667805936714277E-7</v>
      </c>
      <c r="P1887">
        <v>1.0466561595399458E-5</v>
      </c>
    </row>
    <row r="1888" spans="1:16" hidden="1" x14ac:dyDescent="0.35">
      <c r="A1888" s="3">
        <f xml:space="preserve"> ROW( data_scaledImpacts[[#This Row],[row_id]] ) - ROW( data_scaledImpacts[[#Headers],[row_id]] )</f>
        <v>1887</v>
      </c>
      <c r="B1888" s="41" t="str">
        <f xml:space="preserve"> _xlfn.TEXTJOIN( "", , data_scaledImpacts[[#This Row],[sector]:[impactType]] )</f>
        <v>AirQualityCanESM232011PM</v>
      </c>
      <c r="C1888" s="33" t="s">
        <v>559</v>
      </c>
      <c r="D1888" s="33" t="s">
        <v>0</v>
      </c>
      <c r="E1888" s="34">
        <v>3</v>
      </c>
      <c r="F1888" s="34"/>
      <c r="G1888" s="34">
        <v>2011</v>
      </c>
      <c r="H1888" s="35" t="s">
        <v>659</v>
      </c>
      <c r="I1888" s="43" t="s">
        <v>674</v>
      </c>
      <c r="J1888" s="36"/>
      <c r="K1888" s="36"/>
      <c r="L1888" s="37"/>
      <c r="M1888" s="36"/>
      <c r="N1888" s="36"/>
      <c r="O1888" s="36"/>
    </row>
    <row r="1889" spans="1:16" hidden="1" x14ac:dyDescent="0.35">
      <c r="A1889" s="3">
        <f xml:space="preserve"> ROW( data_scaledImpacts[[#This Row],[row_id]] ) - ROW( data_scaledImpacts[[#Headers],[row_id]] )</f>
        <v>1888</v>
      </c>
      <c r="B1889" s="41" t="str">
        <f xml:space="preserve"> _xlfn.TEXTJOIN( "", , data_scaledImpacts[[#This Row],[sector]:[impactType]] )</f>
        <v>AirQualityCCSM432011PM</v>
      </c>
      <c r="C1889" s="33" t="s">
        <v>559</v>
      </c>
      <c r="D1889" s="33" t="s">
        <v>1</v>
      </c>
      <c r="E1889" s="34">
        <v>3</v>
      </c>
      <c r="F1889" s="34"/>
      <c r="G1889" s="34">
        <v>2011</v>
      </c>
      <c r="H1889" s="35" t="s">
        <v>659</v>
      </c>
      <c r="I1889" s="43" t="s">
        <v>675</v>
      </c>
      <c r="J1889" s="36">
        <v>-2.2269797360366755E-5</v>
      </c>
      <c r="K1889" s="36">
        <v>1.3680029007516705E-5</v>
      </c>
      <c r="L1889" s="37">
        <v>-1.6997387752672107E-5</v>
      </c>
      <c r="M1889" s="36">
        <v>6.9140399931301135E-6</v>
      </c>
      <c r="N1889" s="36">
        <v>2.7958437984567013E-5</v>
      </c>
      <c r="O1889" s="36">
        <v>-1.6553209469422604E-5</v>
      </c>
      <c r="P1889">
        <v>1.3068615864351008E-5</v>
      </c>
    </row>
    <row r="1890" spans="1:16" hidden="1" x14ac:dyDescent="0.35">
      <c r="A1890" s="3">
        <f xml:space="preserve"> ROW( data_scaledImpacts[[#This Row],[row_id]] ) - ROW( data_scaledImpacts[[#Headers],[row_id]] )</f>
        <v>1889</v>
      </c>
      <c r="B1890" s="41" t="str">
        <f xml:space="preserve"> _xlfn.TEXTJOIN( "", , data_scaledImpacts[[#This Row],[sector]:[impactType]] )</f>
        <v>AirQualityGISS-E2-R32011PM</v>
      </c>
      <c r="C1890" s="33" t="s">
        <v>559</v>
      </c>
      <c r="D1890" s="33" t="s">
        <v>2</v>
      </c>
      <c r="E1890" s="34">
        <v>3</v>
      </c>
      <c r="F1890" s="34"/>
      <c r="G1890" s="34">
        <v>2011</v>
      </c>
      <c r="H1890" s="35" t="s">
        <v>659</v>
      </c>
      <c r="I1890" s="43" t="s">
        <v>676</v>
      </c>
      <c r="J1890" s="36"/>
      <c r="K1890" s="36"/>
      <c r="L1890" s="37"/>
      <c r="M1890" s="36"/>
      <c r="N1890" s="36"/>
      <c r="O1890" s="36"/>
    </row>
    <row r="1891" spans="1:16" hidden="1" x14ac:dyDescent="0.35">
      <c r="A1891" s="3">
        <f xml:space="preserve"> ROW( data_scaledImpacts[[#This Row],[row_id]] ) - ROW( data_scaledImpacts[[#Headers],[row_id]] )</f>
        <v>1890</v>
      </c>
      <c r="B1891" s="41" t="str">
        <f xml:space="preserve"> _xlfn.TEXTJOIN( "", , data_scaledImpacts[[#This Row],[sector]:[impactType]] )</f>
        <v>AirQualityHadGEM2-ES32011PM</v>
      </c>
      <c r="C1891" s="33" t="s">
        <v>559</v>
      </c>
      <c r="D1891" s="33" t="s">
        <v>3</v>
      </c>
      <c r="E1891" s="34">
        <v>3</v>
      </c>
      <c r="F1891" s="34"/>
      <c r="G1891" s="34">
        <v>2011</v>
      </c>
      <c r="H1891" s="35" t="s">
        <v>659</v>
      </c>
      <c r="I1891" s="43" t="s">
        <v>677</v>
      </c>
      <c r="J1891" s="36"/>
      <c r="K1891" s="36"/>
      <c r="L1891" s="37"/>
      <c r="M1891" s="36"/>
      <c r="N1891" s="36"/>
      <c r="O1891" s="36"/>
    </row>
    <row r="1892" spans="1:16" hidden="1" x14ac:dyDescent="0.35">
      <c r="A1892" s="3">
        <f xml:space="preserve"> ROW( data_scaledImpacts[[#This Row],[row_id]] ) - ROW( data_scaledImpacts[[#Headers],[row_id]] )</f>
        <v>1891</v>
      </c>
      <c r="B1892" s="41" t="str">
        <f xml:space="preserve"> _xlfn.TEXTJOIN( "", , data_scaledImpacts[[#This Row],[sector]:[impactType]] )</f>
        <v>AirQualityMIROC532011PM</v>
      </c>
      <c r="C1892" s="33" t="s">
        <v>559</v>
      </c>
      <c r="D1892" s="33" t="s">
        <v>4</v>
      </c>
      <c r="E1892" s="34">
        <v>3</v>
      </c>
      <c r="F1892" s="34"/>
      <c r="G1892" s="34">
        <v>2011</v>
      </c>
      <c r="H1892" s="35" t="s">
        <v>659</v>
      </c>
      <c r="I1892" s="43" t="s">
        <v>678</v>
      </c>
      <c r="J1892" s="36"/>
      <c r="K1892" s="36"/>
      <c r="L1892" s="37"/>
      <c r="M1892" s="36"/>
      <c r="N1892" s="36"/>
      <c r="O1892" s="36"/>
    </row>
    <row r="1893" spans="1:16" hidden="1" x14ac:dyDescent="0.35">
      <c r="A1893" s="3">
        <f xml:space="preserve"> ROW( data_scaledImpacts[[#This Row],[row_id]] ) - ROW( data_scaledImpacts[[#Headers],[row_id]] )</f>
        <v>1892</v>
      </c>
      <c r="B1893" s="41" t="str">
        <f xml:space="preserve"> _xlfn.TEXTJOIN( "", , data_scaledImpacts[[#This Row],[sector]:[impactType]] )</f>
        <v>AirQualityGFDL-CM332011PM</v>
      </c>
      <c r="C1893" s="33" t="s">
        <v>559</v>
      </c>
      <c r="D1893" s="33" t="s">
        <v>5</v>
      </c>
      <c r="E1893" s="34">
        <v>3</v>
      </c>
      <c r="F1893" s="34"/>
      <c r="G1893" s="34">
        <v>2011</v>
      </c>
      <c r="H1893" s="35" t="s">
        <v>659</v>
      </c>
      <c r="I1893" s="43" t="s">
        <v>679</v>
      </c>
      <c r="J1893" s="36">
        <v>-2.0065581298004935E-5</v>
      </c>
      <c r="K1893" s="36">
        <v>5.803403482324123E-6</v>
      </c>
      <c r="L1893" s="37">
        <v>-6.4600584614981335E-6</v>
      </c>
      <c r="M1893" s="36">
        <v>1.6041948465179921E-5</v>
      </c>
      <c r="N1893" s="36">
        <v>3.7251018833642531E-5</v>
      </c>
      <c r="O1893" s="36">
        <v>1.699361913891271E-5</v>
      </c>
      <c r="P1893">
        <v>2.173298991400954E-5</v>
      </c>
    </row>
    <row r="1894" spans="1:16" hidden="1" x14ac:dyDescent="0.35">
      <c r="A1894" s="3">
        <f xml:space="preserve"> ROW( data_scaledImpacts[[#This Row],[row_id]] ) - ROW( data_scaledImpacts[[#Headers],[row_id]] )</f>
        <v>1893</v>
      </c>
      <c r="B1894" s="41" t="str">
        <f xml:space="preserve"> _xlfn.TEXTJOIN( "", , data_scaledImpacts[[#This Row],[sector]:[impactType]] )</f>
        <v>AirQualityGCM Average32011PM</v>
      </c>
      <c r="C1894" s="33" t="s">
        <v>559</v>
      </c>
      <c r="D1894" s="33" t="s">
        <v>15</v>
      </c>
      <c r="E1894" s="34">
        <v>3</v>
      </c>
      <c r="F1894" s="34"/>
      <c r="G1894" s="34">
        <v>2011</v>
      </c>
      <c r="H1894" s="35" t="s">
        <v>659</v>
      </c>
      <c r="I1894" s="43" t="s">
        <v>680</v>
      </c>
      <c r="J1894" s="36">
        <v>-2.1167689329185844E-5</v>
      </c>
      <c r="K1894" s="36">
        <v>9.7417162449204143E-6</v>
      </c>
      <c r="L1894" s="37">
        <v>-1.172872310708512E-5</v>
      </c>
      <c r="M1894" s="36">
        <v>1.1477994229155017E-5</v>
      </c>
      <c r="N1894" s="36">
        <v>3.260472840910477E-5</v>
      </c>
      <c r="O1894" s="36">
        <v>2.2020483474505313E-7</v>
      </c>
      <c r="P1894">
        <v>1.7400802889180273E-5</v>
      </c>
    </row>
    <row r="1895" spans="1:16" hidden="1" x14ac:dyDescent="0.35">
      <c r="A1895" s="3">
        <f xml:space="preserve"> ROW( data_scaledImpacts[[#This Row],[row_id]] ) - ROW( data_scaledImpacts[[#Headers],[row_id]] )</f>
        <v>1894</v>
      </c>
      <c r="B1895" s="41" t="str">
        <f xml:space="preserve"> _xlfn.TEXTJOIN( "", , data_scaledImpacts[[#This Row],[sector]:[impactType]] )</f>
        <v>AirQualityCanESM242011PM</v>
      </c>
      <c r="C1895" s="33" t="s">
        <v>559</v>
      </c>
      <c r="D1895" s="33" t="s">
        <v>0</v>
      </c>
      <c r="E1895" s="34">
        <v>4</v>
      </c>
      <c r="F1895" s="34"/>
      <c r="G1895" s="34">
        <v>2011</v>
      </c>
      <c r="H1895" s="35" t="s">
        <v>659</v>
      </c>
      <c r="I1895" s="43" t="s">
        <v>681</v>
      </c>
      <c r="J1895" s="36"/>
      <c r="K1895" s="36"/>
      <c r="L1895" s="37"/>
      <c r="M1895" s="36"/>
      <c r="N1895" s="36"/>
      <c r="O1895" s="36"/>
    </row>
    <row r="1896" spans="1:16" hidden="1" x14ac:dyDescent="0.35">
      <c r="A1896" s="3">
        <f xml:space="preserve"> ROW( data_scaledImpacts[[#This Row],[row_id]] ) - ROW( data_scaledImpacts[[#Headers],[row_id]] )</f>
        <v>1895</v>
      </c>
      <c r="B1896" s="41" t="str">
        <f xml:space="preserve"> _xlfn.TEXTJOIN( "", , data_scaledImpacts[[#This Row],[sector]:[impactType]] )</f>
        <v>AirQualityCCSM442011PM</v>
      </c>
      <c r="C1896" s="33" t="s">
        <v>559</v>
      </c>
      <c r="D1896" s="33" t="s">
        <v>1</v>
      </c>
      <c r="E1896" s="34">
        <v>4</v>
      </c>
      <c r="F1896" s="34"/>
      <c r="G1896" s="34">
        <v>2011</v>
      </c>
      <c r="H1896" s="35" t="s">
        <v>659</v>
      </c>
      <c r="I1896" s="43" t="s">
        <v>682</v>
      </c>
      <c r="J1896" s="36">
        <v>-2.9412615288727444E-5</v>
      </c>
      <c r="K1896" s="36">
        <v>1.9399553945066949E-5</v>
      </c>
      <c r="L1896" s="37">
        <v>-1.5139627219875955E-5</v>
      </c>
      <c r="M1896" s="36">
        <v>1.4567304165056009E-5</v>
      </c>
      <c r="N1896" s="36">
        <v>2.7246353029450897E-5</v>
      </c>
      <c r="O1896" s="36">
        <v>-1.5174770549070436E-5</v>
      </c>
      <c r="P1896">
        <v>1.7678638026658449E-5</v>
      </c>
    </row>
    <row r="1897" spans="1:16" hidden="1" x14ac:dyDescent="0.35">
      <c r="A1897" s="3">
        <f xml:space="preserve"> ROW( data_scaledImpacts[[#This Row],[row_id]] ) - ROW( data_scaledImpacts[[#Headers],[row_id]] )</f>
        <v>1896</v>
      </c>
      <c r="B1897" s="41" t="str">
        <f xml:space="preserve"> _xlfn.TEXTJOIN( "", , data_scaledImpacts[[#This Row],[sector]:[impactType]] )</f>
        <v>AirQualityGISS-E2-R42011PM</v>
      </c>
      <c r="C1897" s="33" t="s">
        <v>559</v>
      </c>
      <c r="D1897" s="33" t="s">
        <v>2</v>
      </c>
      <c r="E1897" s="34">
        <v>4</v>
      </c>
      <c r="F1897" s="34"/>
      <c r="G1897" s="34">
        <v>2011</v>
      </c>
      <c r="H1897" s="35" t="s">
        <v>659</v>
      </c>
      <c r="I1897" s="43" t="s">
        <v>683</v>
      </c>
      <c r="J1897" s="36"/>
      <c r="K1897" s="36"/>
      <c r="L1897" s="37"/>
      <c r="M1897" s="36"/>
      <c r="N1897" s="36"/>
      <c r="O1897" s="36"/>
    </row>
    <row r="1898" spans="1:16" hidden="1" x14ac:dyDescent="0.35">
      <c r="A1898" s="3">
        <f xml:space="preserve"> ROW( data_scaledImpacts[[#This Row],[row_id]] ) - ROW( data_scaledImpacts[[#Headers],[row_id]] )</f>
        <v>1897</v>
      </c>
      <c r="B1898" s="41" t="str">
        <f xml:space="preserve"> _xlfn.TEXTJOIN( "", , data_scaledImpacts[[#This Row],[sector]:[impactType]] )</f>
        <v>AirQualityHadGEM2-ES42011PM</v>
      </c>
      <c r="C1898" s="33" t="s">
        <v>559</v>
      </c>
      <c r="D1898" s="33" t="s">
        <v>3</v>
      </c>
      <c r="E1898" s="34">
        <v>4</v>
      </c>
      <c r="F1898" s="34"/>
      <c r="G1898" s="34">
        <v>2011</v>
      </c>
      <c r="H1898" s="35" t="s">
        <v>659</v>
      </c>
      <c r="I1898" s="43" t="s">
        <v>684</v>
      </c>
      <c r="J1898" s="36"/>
      <c r="K1898" s="36"/>
      <c r="L1898" s="37"/>
      <c r="M1898" s="36"/>
      <c r="N1898" s="36"/>
      <c r="O1898" s="36"/>
    </row>
    <row r="1899" spans="1:16" hidden="1" x14ac:dyDescent="0.35">
      <c r="A1899" s="3">
        <f xml:space="preserve"> ROW( data_scaledImpacts[[#This Row],[row_id]] ) - ROW( data_scaledImpacts[[#Headers],[row_id]] )</f>
        <v>1898</v>
      </c>
      <c r="B1899" s="41" t="str">
        <f xml:space="preserve"> _xlfn.TEXTJOIN( "", , data_scaledImpacts[[#This Row],[sector]:[impactType]] )</f>
        <v>AirQualityMIROC542011PM</v>
      </c>
      <c r="C1899" s="33" t="s">
        <v>559</v>
      </c>
      <c r="D1899" s="33" t="s">
        <v>4</v>
      </c>
      <c r="E1899" s="34">
        <v>4</v>
      </c>
      <c r="F1899" s="34"/>
      <c r="G1899" s="34">
        <v>2011</v>
      </c>
      <c r="H1899" s="35" t="s">
        <v>659</v>
      </c>
      <c r="I1899" s="43" t="s">
        <v>685</v>
      </c>
      <c r="J1899" s="36"/>
      <c r="K1899" s="36"/>
      <c r="L1899" s="37"/>
      <c r="M1899" s="36"/>
      <c r="N1899" s="36"/>
      <c r="O1899" s="36"/>
    </row>
    <row r="1900" spans="1:16" hidden="1" x14ac:dyDescent="0.35">
      <c r="A1900" s="3">
        <f xml:space="preserve"> ROW( data_scaledImpacts[[#This Row],[row_id]] ) - ROW( data_scaledImpacts[[#Headers],[row_id]] )</f>
        <v>1899</v>
      </c>
      <c r="B1900" s="41" t="str">
        <f xml:space="preserve"> _xlfn.TEXTJOIN( "", , data_scaledImpacts[[#This Row],[sector]:[impactType]] )</f>
        <v>AirQualityGFDL-CM342011PM</v>
      </c>
      <c r="C1900" s="33" t="s">
        <v>559</v>
      </c>
      <c r="D1900" s="33" t="s">
        <v>5</v>
      </c>
      <c r="E1900" s="34">
        <v>4</v>
      </c>
      <c r="F1900" s="34"/>
      <c r="G1900" s="34">
        <v>2011</v>
      </c>
      <c r="H1900" s="35" t="s">
        <v>659</v>
      </c>
      <c r="I1900" s="43" t="s">
        <v>686</v>
      </c>
      <c r="J1900" s="36">
        <v>-1.4993782144131541E-5</v>
      </c>
      <c r="K1900" s="36">
        <v>1.7412569842319868E-5</v>
      </c>
      <c r="L1900" s="37">
        <v>-6.0156126589423669E-6</v>
      </c>
      <c r="M1900" s="36">
        <v>2.2516228882308566E-5</v>
      </c>
      <c r="N1900" s="36">
        <v>5.5137139464483071E-5</v>
      </c>
      <c r="O1900" s="36">
        <v>2.6278565304223518E-5</v>
      </c>
      <c r="P1900">
        <v>3.0598801565754703E-5</v>
      </c>
    </row>
    <row r="1901" spans="1:16" hidden="1" x14ac:dyDescent="0.35">
      <c r="A1901" s="3">
        <f xml:space="preserve"> ROW( data_scaledImpacts[[#This Row],[row_id]] ) - ROW( data_scaledImpacts[[#Headers],[row_id]] )</f>
        <v>1900</v>
      </c>
      <c r="B1901" s="41" t="str">
        <f xml:space="preserve"> _xlfn.TEXTJOIN( "", , data_scaledImpacts[[#This Row],[sector]:[impactType]] )</f>
        <v>AirQualityGCM Average42011PM</v>
      </c>
      <c r="C1901" s="33" t="s">
        <v>559</v>
      </c>
      <c r="D1901" s="33" t="s">
        <v>15</v>
      </c>
      <c r="E1901" s="34">
        <v>4</v>
      </c>
      <c r="F1901" s="34"/>
      <c r="G1901" s="34">
        <v>2011</v>
      </c>
      <c r="H1901" s="35" t="s">
        <v>659</v>
      </c>
      <c r="I1901" s="43" t="s">
        <v>687</v>
      </c>
      <c r="J1901" s="36">
        <v>-2.2203198716429492E-5</v>
      </c>
      <c r="K1901" s="36">
        <v>1.840606189369341E-5</v>
      </c>
      <c r="L1901" s="37">
        <v>-1.0577619939409162E-5</v>
      </c>
      <c r="M1901" s="36">
        <v>1.8541766523682287E-5</v>
      </c>
      <c r="N1901" s="36">
        <v>4.1191746246966984E-5</v>
      </c>
      <c r="O1901" s="36">
        <v>5.5518973775765409E-6</v>
      </c>
      <c r="P1901">
        <v>2.4138719796206578E-5</v>
      </c>
    </row>
    <row r="1902" spans="1:16" hidden="1" x14ac:dyDescent="0.35">
      <c r="A1902" s="3">
        <f xml:space="preserve"> ROW( data_scaledImpacts[[#This Row],[row_id]] ) - ROW( data_scaledImpacts[[#Headers],[row_id]] )</f>
        <v>1901</v>
      </c>
      <c r="B1902" s="41" t="str">
        <f xml:space="preserve"> _xlfn.TEXTJOIN( "", , data_scaledImpacts[[#This Row],[sector]:[impactType]] )</f>
        <v>AirQualityCanESM252011PM</v>
      </c>
      <c r="C1902" s="33" t="s">
        <v>559</v>
      </c>
      <c r="D1902" s="33" t="s">
        <v>0</v>
      </c>
      <c r="E1902" s="34">
        <v>5</v>
      </c>
      <c r="F1902" s="34"/>
      <c r="G1902" s="34">
        <v>2011</v>
      </c>
      <c r="H1902" s="35" t="s">
        <v>659</v>
      </c>
      <c r="I1902" s="43" t="s">
        <v>688</v>
      </c>
      <c r="J1902" s="36"/>
      <c r="K1902" s="36"/>
      <c r="L1902" s="37"/>
      <c r="M1902" s="36"/>
      <c r="N1902" s="36"/>
      <c r="O1902" s="36"/>
    </row>
    <row r="1903" spans="1:16" hidden="1" x14ac:dyDescent="0.35">
      <c r="A1903" s="3">
        <f xml:space="preserve"> ROW( data_scaledImpacts[[#This Row],[row_id]] ) - ROW( data_scaledImpacts[[#Headers],[row_id]] )</f>
        <v>1902</v>
      </c>
      <c r="B1903" s="41" t="str">
        <f xml:space="preserve"> _xlfn.TEXTJOIN( "", , data_scaledImpacts[[#This Row],[sector]:[impactType]] )</f>
        <v>AirQualityCCSM452011PM</v>
      </c>
      <c r="C1903" s="33" t="s">
        <v>559</v>
      </c>
      <c r="D1903" s="33" t="s">
        <v>1</v>
      </c>
      <c r="E1903" s="34">
        <v>5</v>
      </c>
      <c r="F1903" s="34"/>
      <c r="G1903" s="34">
        <v>2011</v>
      </c>
      <c r="H1903" s="35" t="s">
        <v>659</v>
      </c>
      <c r="I1903" s="43" t="s">
        <v>689</v>
      </c>
      <c r="J1903" s="36">
        <v>-3.5741410198100031E-5</v>
      </c>
      <c r="K1903" s="36">
        <v>1.714199064867638E-5</v>
      </c>
      <c r="L1903" s="37">
        <v>-1.0907432705490929E-5</v>
      </c>
      <c r="M1903" s="36">
        <v>1.6301277138750383E-5</v>
      </c>
      <c r="N1903" s="36">
        <v>4.0875023674331915E-5</v>
      </c>
      <c r="O1903" s="36">
        <v>-1.3019929227313397E-5</v>
      </c>
      <c r="P1903">
        <v>1.941401925829403E-5</v>
      </c>
    </row>
    <row r="1904" spans="1:16" hidden="1" x14ac:dyDescent="0.35">
      <c r="A1904" s="3">
        <f xml:space="preserve"> ROW( data_scaledImpacts[[#This Row],[row_id]] ) - ROW( data_scaledImpacts[[#Headers],[row_id]] )</f>
        <v>1903</v>
      </c>
      <c r="B1904" s="41" t="str">
        <f xml:space="preserve"> _xlfn.TEXTJOIN( "", , data_scaledImpacts[[#This Row],[sector]:[impactType]] )</f>
        <v>AirQualityGISS-E2-R52011PM</v>
      </c>
      <c r="C1904" s="33" t="s">
        <v>559</v>
      </c>
      <c r="D1904" s="33" t="s">
        <v>2</v>
      </c>
      <c r="E1904" s="34">
        <v>5</v>
      </c>
      <c r="F1904" s="34"/>
      <c r="G1904" s="34">
        <v>2011</v>
      </c>
      <c r="H1904" s="35" t="s">
        <v>659</v>
      </c>
      <c r="I1904" s="43" t="s">
        <v>690</v>
      </c>
      <c r="J1904" s="36"/>
      <c r="K1904" s="36"/>
      <c r="L1904" s="37"/>
      <c r="M1904" s="36"/>
      <c r="N1904" s="36"/>
      <c r="O1904" s="36"/>
    </row>
    <row r="1905" spans="1:16" hidden="1" x14ac:dyDescent="0.35">
      <c r="A1905" s="3">
        <f xml:space="preserve"> ROW( data_scaledImpacts[[#This Row],[row_id]] ) - ROW( data_scaledImpacts[[#Headers],[row_id]] )</f>
        <v>1904</v>
      </c>
      <c r="B1905" s="41" t="str">
        <f xml:space="preserve"> _xlfn.TEXTJOIN( "", , data_scaledImpacts[[#This Row],[sector]:[impactType]] )</f>
        <v>AirQualityHadGEM2-ES52011PM</v>
      </c>
      <c r="C1905" s="33" t="s">
        <v>559</v>
      </c>
      <c r="D1905" s="33" t="s">
        <v>3</v>
      </c>
      <c r="E1905" s="34">
        <v>5</v>
      </c>
      <c r="F1905" s="34"/>
      <c r="G1905" s="34">
        <v>2011</v>
      </c>
      <c r="H1905" s="35" t="s">
        <v>659</v>
      </c>
      <c r="I1905" s="43" t="s">
        <v>691</v>
      </c>
      <c r="J1905" s="36"/>
      <c r="K1905" s="36"/>
      <c r="L1905" s="37"/>
      <c r="M1905" s="36"/>
      <c r="N1905" s="36"/>
      <c r="O1905" s="36"/>
    </row>
    <row r="1906" spans="1:16" hidden="1" x14ac:dyDescent="0.35">
      <c r="A1906" s="3">
        <f xml:space="preserve"> ROW( data_scaledImpacts[[#This Row],[row_id]] ) - ROW( data_scaledImpacts[[#Headers],[row_id]] )</f>
        <v>1905</v>
      </c>
      <c r="B1906" s="41" t="str">
        <f xml:space="preserve"> _xlfn.TEXTJOIN( "", , data_scaledImpacts[[#This Row],[sector]:[impactType]] )</f>
        <v>AirQualityMIROC552011PM</v>
      </c>
      <c r="C1906" s="33" t="s">
        <v>559</v>
      </c>
      <c r="D1906" s="33" t="s">
        <v>4</v>
      </c>
      <c r="E1906" s="34">
        <v>5</v>
      </c>
      <c r="F1906" s="34"/>
      <c r="G1906" s="34">
        <v>2011</v>
      </c>
      <c r="H1906" s="35" t="s">
        <v>659</v>
      </c>
      <c r="I1906" s="43" t="s">
        <v>692</v>
      </c>
      <c r="J1906" s="36"/>
      <c r="K1906" s="36"/>
      <c r="L1906" s="37"/>
      <c r="M1906" s="36"/>
      <c r="N1906" s="36"/>
      <c r="O1906" s="36"/>
    </row>
    <row r="1907" spans="1:16" hidden="1" x14ac:dyDescent="0.35">
      <c r="A1907" s="3">
        <f xml:space="preserve"> ROW( data_scaledImpacts[[#This Row],[row_id]] ) - ROW( data_scaledImpacts[[#Headers],[row_id]] )</f>
        <v>1906</v>
      </c>
      <c r="B1907" s="41" t="str">
        <f xml:space="preserve"> _xlfn.TEXTJOIN( "", , data_scaledImpacts[[#This Row],[sector]:[impactType]] )</f>
        <v>AirQualityGFDL-CM352011PM</v>
      </c>
      <c r="C1907" s="33" t="s">
        <v>559</v>
      </c>
      <c r="D1907" s="33" t="s">
        <v>5</v>
      </c>
      <c r="E1907" s="34">
        <v>5</v>
      </c>
      <c r="F1907" s="34"/>
      <c r="G1907" s="34">
        <v>2011</v>
      </c>
      <c r="H1907" s="35" t="s">
        <v>659</v>
      </c>
      <c r="I1907" s="43" t="s">
        <v>693</v>
      </c>
      <c r="J1907" s="36">
        <v>-8.7695967411632484E-6</v>
      </c>
      <c r="K1907" s="36">
        <v>2.8108472410077185E-5</v>
      </c>
      <c r="L1907" s="37">
        <v>-4.9543631717189021E-6</v>
      </c>
      <c r="M1907" s="36">
        <v>2.8517656495394144E-5</v>
      </c>
      <c r="N1907" s="36">
        <v>7.1851287404661119E-5</v>
      </c>
      <c r="O1907" s="36">
        <v>3.5349536414351133E-5</v>
      </c>
      <c r="P1907">
        <v>3.8545496219232918E-5</v>
      </c>
    </row>
    <row r="1908" spans="1:16" hidden="1" x14ac:dyDescent="0.35">
      <c r="A1908" s="3">
        <f xml:space="preserve"> ROW( data_scaledImpacts[[#This Row],[row_id]] ) - ROW( data_scaledImpacts[[#Headers],[row_id]] )</f>
        <v>1907</v>
      </c>
      <c r="B1908" s="41" t="str">
        <f xml:space="preserve"> _xlfn.TEXTJOIN( "", , data_scaledImpacts[[#This Row],[sector]:[impactType]] )</f>
        <v>AirQualityGCM Average52011PM</v>
      </c>
      <c r="C1908" s="33" t="s">
        <v>559</v>
      </c>
      <c r="D1908" s="33" t="s">
        <v>15</v>
      </c>
      <c r="E1908" s="34">
        <v>5</v>
      </c>
      <c r="F1908" s="34"/>
      <c r="G1908" s="34">
        <v>2011</v>
      </c>
      <c r="H1908" s="35" t="s">
        <v>659</v>
      </c>
      <c r="I1908" s="43" t="s">
        <v>694</v>
      </c>
      <c r="J1908" s="36">
        <v>-2.225550346963164E-5</v>
      </c>
      <c r="K1908" s="36">
        <v>2.2625231529376781E-5</v>
      </c>
      <c r="L1908" s="37">
        <v>-7.9308979386049159E-6</v>
      </c>
      <c r="M1908" s="36">
        <v>2.2409466817072263E-5</v>
      </c>
      <c r="N1908" s="36">
        <v>5.6363155539496514E-5</v>
      </c>
      <c r="O1908" s="36">
        <v>1.1164803593518868E-5</v>
      </c>
      <c r="P1908">
        <v>2.8979757738763474E-5</v>
      </c>
    </row>
    <row r="1909" spans="1:16" hidden="1" x14ac:dyDescent="0.35">
      <c r="A1909" s="3">
        <f xml:space="preserve"> ROW( data_scaledImpacts[[#This Row],[row_id]] ) - ROW( data_scaledImpacts[[#Headers],[row_id]] )</f>
        <v>1908</v>
      </c>
      <c r="B1909" s="41" t="str">
        <f xml:space="preserve"> _xlfn.TEXTJOIN( "", , data_scaledImpacts[[#This Row],[sector]:[impactType]] )</f>
        <v>AirQualityCanESM262011PM</v>
      </c>
      <c r="C1909" s="33" t="s">
        <v>559</v>
      </c>
      <c r="D1909" s="33" t="s">
        <v>0</v>
      </c>
      <c r="E1909" s="34">
        <v>6</v>
      </c>
      <c r="F1909" s="34"/>
      <c r="G1909" s="34">
        <v>2011</v>
      </c>
      <c r="H1909" s="35" t="s">
        <v>659</v>
      </c>
      <c r="I1909" s="43" t="s">
        <v>695</v>
      </c>
      <c r="J1909" s="36"/>
      <c r="K1909" s="36"/>
      <c r="L1909" s="37"/>
      <c r="M1909" s="36"/>
      <c r="N1909" s="36"/>
      <c r="O1909" s="36"/>
    </row>
    <row r="1910" spans="1:16" hidden="1" x14ac:dyDescent="0.35">
      <c r="A1910" s="3">
        <f xml:space="preserve"> ROW( data_scaledImpacts[[#This Row],[row_id]] ) - ROW( data_scaledImpacts[[#Headers],[row_id]] )</f>
        <v>1909</v>
      </c>
      <c r="B1910" s="41" t="str">
        <f xml:space="preserve"> _xlfn.TEXTJOIN( "", , data_scaledImpacts[[#This Row],[sector]:[impactType]] )</f>
        <v>AirQualityCCSM462011PM</v>
      </c>
      <c r="C1910" s="33" t="s">
        <v>559</v>
      </c>
      <c r="D1910" s="33" t="s">
        <v>1</v>
      </c>
      <c r="E1910" s="34">
        <v>6</v>
      </c>
      <c r="F1910" s="34"/>
      <c r="G1910" s="34">
        <v>2011</v>
      </c>
      <c r="H1910" s="35" t="s">
        <v>659</v>
      </c>
      <c r="I1910" s="43" t="s">
        <v>696</v>
      </c>
      <c r="J1910" s="36"/>
      <c r="K1910" s="36"/>
      <c r="L1910" s="37"/>
      <c r="M1910" s="36"/>
      <c r="N1910" s="36"/>
      <c r="O1910" s="36"/>
    </row>
    <row r="1911" spans="1:16" hidden="1" x14ac:dyDescent="0.35">
      <c r="A1911" s="3">
        <f xml:space="preserve"> ROW( data_scaledImpacts[[#This Row],[row_id]] ) - ROW( data_scaledImpacts[[#Headers],[row_id]] )</f>
        <v>1910</v>
      </c>
      <c r="B1911" s="41" t="str">
        <f xml:space="preserve"> _xlfn.TEXTJOIN( "", , data_scaledImpacts[[#This Row],[sector]:[impactType]] )</f>
        <v>AirQualityGISS-E2-R62011PM</v>
      </c>
      <c r="C1911" s="33" t="s">
        <v>559</v>
      </c>
      <c r="D1911" s="33" t="s">
        <v>2</v>
      </c>
      <c r="E1911" s="34">
        <v>6</v>
      </c>
      <c r="F1911" s="34"/>
      <c r="G1911" s="34">
        <v>2011</v>
      </c>
      <c r="H1911" s="35" t="s">
        <v>659</v>
      </c>
      <c r="I1911" s="43" t="s">
        <v>697</v>
      </c>
      <c r="J1911" s="36"/>
      <c r="K1911" s="36"/>
      <c r="L1911" s="37"/>
      <c r="M1911" s="36"/>
      <c r="N1911" s="36"/>
      <c r="O1911" s="36"/>
    </row>
    <row r="1912" spans="1:16" hidden="1" x14ac:dyDescent="0.35">
      <c r="A1912" s="3">
        <f xml:space="preserve"> ROW( data_scaledImpacts[[#This Row],[row_id]] ) - ROW( data_scaledImpacts[[#Headers],[row_id]] )</f>
        <v>1911</v>
      </c>
      <c r="B1912" s="41" t="str">
        <f xml:space="preserve"> _xlfn.TEXTJOIN( "", , data_scaledImpacts[[#This Row],[sector]:[impactType]] )</f>
        <v>AirQualityHadGEM2-ES62011PM</v>
      </c>
      <c r="C1912" s="33" t="s">
        <v>559</v>
      </c>
      <c r="D1912" s="33" t="s">
        <v>3</v>
      </c>
      <c r="E1912" s="34">
        <v>6</v>
      </c>
      <c r="F1912" s="34"/>
      <c r="G1912" s="34">
        <v>2011</v>
      </c>
      <c r="H1912" s="35" t="s">
        <v>659</v>
      </c>
      <c r="I1912" s="43" t="s">
        <v>698</v>
      </c>
      <c r="J1912" s="36"/>
      <c r="K1912" s="36"/>
      <c r="L1912" s="37"/>
      <c r="M1912" s="36"/>
      <c r="N1912" s="36"/>
      <c r="O1912" s="36"/>
    </row>
    <row r="1913" spans="1:16" hidden="1" x14ac:dyDescent="0.35">
      <c r="A1913" s="3">
        <f xml:space="preserve"> ROW( data_scaledImpacts[[#This Row],[row_id]] ) - ROW( data_scaledImpacts[[#Headers],[row_id]] )</f>
        <v>1912</v>
      </c>
      <c r="B1913" s="41" t="str">
        <f xml:space="preserve"> _xlfn.TEXTJOIN( "", , data_scaledImpacts[[#This Row],[sector]:[impactType]] )</f>
        <v>AirQualityMIROC562011PM</v>
      </c>
      <c r="C1913" s="33" t="s">
        <v>559</v>
      </c>
      <c r="D1913" s="33" t="s">
        <v>4</v>
      </c>
      <c r="E1913" s="34">
        <v>6</v>
      </c>
      <c r="F1913" s="34"/>
      <c r="G1913" s="34">
        <v>2011</v>
      </c>
      <c r="H1913" s="35" t="s">
        <v>659</v>
      </c>
      <c r="I1913" s="43" t="s">
        <v>699</v>
      </c>
      <c r="J1913" s="36"/>
      <c r="K1913" s="36"/>
      <c r="L1913" s="37"/>
      <c r="M1913" s="36"/>
      <c r="N1913" s="36"/>
      <c r="O1913" s="36"/>
    </row>
    <row r="1914" spans="1:16" hidden="1" x14ac:dyDescent="0.35">
      <c r="A1914" s="3">
        <f xml:space="preserve"> ROW( data_scaledImpacts[[#This Row],[row_id]] ) - ROW( data_scaledImpacts[[#Headers],[row_id]] )</f>
        <v>1913</v>
      </c>
      <c r="B1914" s="41" t="str">
        <f xml:space="preserve"> _xlfn.TEXTJOIN( "", , data_scaledImpacts[[#This Row],[sector]:[impactType]] )</f>
        <v>AirQualityGFDL-CM362011PM</v>
      </c>
      <c r="C1914" s="33" t="s">
        <v>559</v>
      </c>
      <c r="D1914" s="33" t="s">
        <v>5</v>
      </c>
      <c r="E1914" s="34">
        <v>6</v>
      </c>
      <c r="F1914" s="34"/>
      <c r="G1914" s="34">
        <v>2011</v>
      </c>
      <c r="H1914" s="35" t="s">
        <v>659</v>
      </c>
      <c r="I1914" s="43" t="s">
        <v>700</v>
      </c>
      <c r="J1914" s="36">
        <v>-1.2174794572610177E-5</v>
      </c>
      <c r="K1914" s="36">
        <v>3.815681646533009E-5</v>
      </c>
      <c r="L1914" s="37">
        <v>-8.9436140805956374E-6</v>
      </c>
      <c r="M1914" s="36">
        <v>4.4506754809862919E-5</v>
      </c>
      <c r="N1914" s="36">
        <v>9.1412190859403882E-5</v>
      </c>
      <c r="O1914" s="36">
        <v>4.0333493837737008E-5</v>
      </c>
      <c r="P1914">
        <v>4.9211995022387964E-5</v>
      </c>
    </row>
    <row r="1915" spans="1:16" hidden="1" x14ac:dyDescent="0.35">
      <c r="A1915" s="3">
        <f xml:space="preserve"> ROW( data_scaledImpacts[[#This Row],[row_id]] ) - ROW( data_scaledImpacts[[#Headers],[row_id]] )</f>
        <v>1914</v>
      </c>
      <c r="B1915" s="41" t="str">
        <f xml:space="preserve"> _xlfn.TEXTJOIN( "", , data_scaledImpacts[[#This Row],[sector]:[impactType]] )</f>
        <v>AirQualityGCM Average62011PM</v>
      </c>
      <c r="C1915" s="33" t="s">
        <v>559</v>
      </c>
      <c r="D1915" s="33" t="s">
        <v>15</v>
      </c>
      <c r="E1915" s="34">
        <v>6</v>
      </c>
      <c r="F1915" s="34"/>
      <c r="G1915" s="34">
        <v>2011</v>
      </c>
      <c r="H1915" s="35" t="s">
        <v>659</v>
      </c>
      <c r="I1915" s="43" t="s">
        <v>701</v>
      </c>
      <c r="J1915" s="36">
        <v>-1.2174794572610177E-5</v>
      </c>
      <c r="K1915" s="36">
        <v>3.815681646533009E-5</v>
      </c>
      <c r="L1915" s="37">
        <v>-8.9436140805956374E-6</v>
      </c>
      <c r="M1915" s="36">
        <v>4.4506754809862919E-5</v>
      </c>
      <c r="N1915" s="36">
        <v>9.1412190859403882E-5</v>
      </c>
      <c r="O1915" s="36">
        <v>4.0333493837737008E-5</v>
      </c>
      <c r="P1915">
        <v>4.9211995022387964E-5</v>
      </c>
    </row>
    <row r="1916" spans="1:16" hidden="1" x14ac:dyDescent="0.35">
      <c r="A1916" s="3">
        <f xml:space="preserve"> ROW( data_scaledImpacts[[#This Row],[row_id]] ) - ROW( data_scaledImpacts[[#Headers],[row_id]] )</f>
        <v>1915</v>
      </c>
      <c r="B1916" s="41" t="str">
        <f xml:space="preserve"> _xlfn.TEXTJOIN( "", , data_scaledImpacts[[#This Row],[sector]:[impactType]] )</f>
        <v>AirQualityCanESM272011PM</v>
      </c>
      <c r="C1916" s="33" t="s">
        <v>559</v>
      </c>
      <c r="D1916" s="33" t="s">
        <v>0</v>
      </c>
      <c r="E1916" s="34">
        <v>7</v>
      </c>
      <c r="F1916" s="34"/>
      <c r="G1916" s="34">
        <v>2011</v>
      </c>
      <c r="H1916" s="35" t="s">
        <v>659</v>
      </c>
      <c r="I1916" s="43" t="s">
        <v>702</v>
      </c>
      <c r="J1916" s="36"/>
      <c r="K1916" s="36"/>
      <c r="L1916" s="37"/>
      <c r="M1916" s="36"/>
      <c r="N1916" s="36"/>
      <c r="O1916" s="36"/>
    </row>
    <row r="1917" spans="1:16" hidden="1" x14ac:dyDescent="0.35">
      <c r="A1917" s="3">
        <f xml:space="preserve"> ROW( data_scaledImpacts[[#This Row],[row_id]] ) - ROW( data_scaledImpacts[[#Headers],[row_id]] )</f>
        <v>1916</v>
      </c>
      <c r="B1917" s="41" t="str">
        <f xml:space="preserve"> _xlfn.TEXTJOIN( "", , data_scaledImpacts[[#This Row],[sector]:[impactType]] )</f>
        <v>AirQualityCCSM472011PM</v>
      </c>
      <c r="C1917" s="33" t="s">
        <v>559</v>
      </c>
      <c r="D1917" s="33" t="s">
        <v>1</v>
      </c>
      <c r="E1917" s="34">
        <v>7</v>
      </c>
      <c r="F1917" s="34"/>
      <c r="G1917" s="34">
        <v>2011</v>
      </c>
      <c r="H1917" s="35" t="s">
        <v>659</v>
      </c>
      <c r="I1917" s="43" t="s">
        <v>703</v>
      </c>
      <c r="J1917" s="36"/>
      <c r="K1917" s="36"/>
      <c r="L1917" s="37"/>
      <c r="M1917" s="36"/>
      <c r="N1917" s="36"/>
      <c r="O1917" s="36"/>
    </row>
    <row r="1918" spans="1:16" hidden="1" x14ac:dyDescent="0.35">
      <c r="A1918" s="3">
        <f xml:space="preserve"> ROW( data_scaledImpacts[[#This Row],[row_id]] ) - ROW( data_scaledImpacts[[#Headers],[row_id]] )</f>
        <v>1917</v>
      </c>
      <c r="B1918" s="41" t="str">
        <f xml:space="preserve"> _xlfn.TEXTJOIN( "", , data_scaledImpacts[[#This Row],[sector]:[impactType]] )</f>
        <v>AirQualityGISS-E2-R72011PM</v>
      </c>
      <c r="C1918" s="33" t="s">
        <v>559</v>
      </c>
      <c r="D1918" s="33" t="s">
        <v>2</v>
      </c>
      <c r="E1918" s="34">
        <v>7</v>
      </c>
      <c r="F1918" s="34"/>
      <c r="G1918" s="34">
        <v>2011</v>
      </c>
      <c r="H1918" s="35" t="s">
        <v>659</v>
      </c>
      <c r="I1918" s="43" t="s">
        <v>704</v>
      </c>
      <c r="J1918" s="36"/>
      <c r="K1918" s="36"/>
      <c r="L1918" s="37"/>
      <c r="M1918" s="36"/>
      <c r="N1918" s="36"/>
      <c r="O1918" s="36"/>
    </row>
    <row r="1919" spans="1:16" hidden="1" x14ac:dyDescent="0.35">
      <c r="A1919" s="3">
        <f xml:space="preserve"> ROW( data_scaledImpacts[[#This Row],[row_id]] ) - ROW( data_scaledImpacts[[#Headers],[row_id]] )</f>
        <v>1918</v>
      </c>
      <c r="B1919" s="41" t="str">
        <f xml:space="preserve"> _xlfn.TEXTJOIN( "", , data_scaledImpacts[[#This Row],[sector]:[impactType]] )</f>
        <v>AirQualityHadGEM2-ES72011PM</v>
      </c>
      <c r="C1919" s="33" t="s">
        <v>559</v>
      </c>
      <c r="D1919" s="33" t="s">
        <v>3</v>
      </c>
      <c r="E1919" s="34">
        <v>7</v>
      </c>
      <c r="F1919" s="34"/>
      <c r="G1919" s="34">
        <v>2011</v>
      </c>
      <c r="H1919" s="35" t="s">
        <v>659</v>
      </c>
      <c r="I1919" s="43" t="s">
        <v>705</v>
      </c>
      <c r="J1919" s="36"/>
      <c r="K1919" s="36"/>
      <c r="L1919" s="37"/>
      <c r="M1919" s="36"/>
      <c r="N1919" s="36"/>
      <c r="O1919" s="36"/>
    </row>
    <row r="1920" spans="1:16" hidden="1" x14ac:dyDescent="0.35">
      <c r="A1920" s="3">
        <f xml:space="preserve"> ROW( data_scaledImpacts[[#This Row],[row_id]] ) - ROW( data_scaledImpacts[[#Headers],[row_id]] )</f>
        <v>1919</v>
      </c>
      <c r="B1920" s="41" t="str">
        <f xml:space="preserve"> _xlfn.TEXTJOIN( "", , data_scaledImpacts[[#This Row],[sector]:[impactType]] )</f>
        <v>AirQualityMIROC572011PM</v>
      </c>
      <c r="C1920" s="33" t="s">
        <v>559</v>
      </c>
      <c r="D1920" s="33" t="s">
        <v>4</v>
      </c>
      <c r="E1920" s="34">
        <v>7</v>
      </c>
      <c r="F1920" s="34"/>
      <c r="G1920" s="34">
        <v>2011</v>
      </c>
      <c r="H1920" s="35" t="s">
        <v>659</v>
      </c>
      <c r="I1920" s="43" t="s">
        <v>706</v>
      </c>
      <c r="J1920" s="36"/>
      <c r="K1920" s="36"/>
      <c r="L1920" s="37"/>
      <c r="M1920" s="36"/>
      <c r="N1920" s="36"/>
      <c r="O1920" s="36"/>
    </row>
    <row r="1921" spans="1:16" hidden="1" x14ac:dyDescent="0.35">
      <c r="A1921" s="3">
        <f xml:space="preserve"> ROW( data_scaledImpacts[[#This Row],[row_id]] ) - ROW( data_scaledImpacts[[#Headers],[row_id]] )</f>
        <v>1920</v>
      </c>
      <c r="B1921" s="41" t="str">
        <f xml:space="preserve"> _xlfn.TEXTJOIN( "", , data_scaledImpacts[[#This Row],[sector]:[impactType]] )</f>
        <v>AirQualityGFDL-CM372011PM</v>
      </c>
      <c r="C1921" s="33" t="s">
        <v>559</v>
      </c>
      <c r="D1921" s="33" t="s">
        <v>5</v>
      </c>
      <c r="E1921" s="34">
        <v>7</v>
      </c>
      <c r="F1921" s="34"/>
      <c r="G1921" s="34">
        <v>2011</v>
      </c>
      <c r="H1921" s="35" t="s">
        <v>659</v>
      </c>
      <c r="I1921" s="43" t="s">
        <v>707</v>
      </c>
      <c r="J1921" s="36"/>
      <c r="K1921" s="36"/>
      <c r="L1921" s="37"/>
      <c r="M1921" s="36"/>
      <c r="N1921" s="36"/>
      <c r="O1921" s="36"/>
    </row>
    <row r="1922" spans="1:16" hidden="1" x14ac:dyDescent="0.35">
      <c r="A1922" s="3">
        <f xml:space="preserve"> ROW( data_scaledImpacts[[#This Row],[row_id]] ) - ROW( data_scaledImpacts[[#Headers],[row_id]] )</f>
        <v>1921</v>
      </c>
      <c r="B1922" s="41" t="str">
        <f xml:space="preserve"> _xlfn.TEXTJOIN( "", , data_scaledImpacts[[#This Row],[sector]:[impactType]] )</f>
        <v>AirQualityGCM Average72011PM</v>
      </c>
      <c r="C1922" s="33" t="s">
        <v>559</v>
      </c>
      <c r="D1922" s="33" t="s">
        <v>15</v>
      </c>
      <c r="E1922" s="34">
        <v>7</v>
      </c>
      <c r="F1922" s="34"/>
      <c r="G1922" s="34">
        <v>2011</v>
      </c>
      <c r="H1922" s="35" t="s">
        <v>659</v>
      </c>
      <c r="I1922" s="43" t="s">
        <v>708</v>
      </c>
      <c r="J1922" s="36"/>
      <c r="K1922" s="36"/>
      <c r="L1922" s="37"/>
      <c r="M1922" s="36"/>
      <c r="N1922" s="36"/>
      <c r="O1922" s="36"/>
    </row>
    <row r="1923" spans="1:16" hidden="1" x14ac:dyDescent="0.35">
      <c r="A1923" s="3">
        <f xml:space="preserve"> ROW( data_scaledImpacts[[#This Row],[row_id]] ) - ROW( data_scaledImpacts[[#Headers],[row_id]] )</f>
        <v>1922</v>
      </c>
      <c r="B1923" s="41" t="str">
        <f xml:space="preserve"> _xlfn.TEXTJOIN( "", , data_scaledImpacts[[#This Row],[sector]:[impactType]] )</f>
        <v>AirQualityCanESM212040PM</v>
      </c>
      <c r="C1923" s="33" t="s">
        <v>559</v>
      </c>
      <c r="D1923" s="33" t="s">
        <v>0</v>
      </c>
      <c r="E1923" s="34">
        <v>1</v>
      </c>
      <c r="F1923" s="34"/>
      <c r="G1923" s="34">
        <v>2040</v>
      </c>
      <c r="H1923" s="35" t="s">
        <v>659</v>
      </c>
      <c r="I1923" s="43" t="s">
        <v>709</v>
      </c>
      <c r="J1923" s="36"/>
      <c r="K1923" s="36"/>
      <c r="L1923" s="37"/>
      <c r="M1923" s="36"/>
      <c r="N1923" s="36"/>
      <c r="O1923" s="36"/>
    </row>
    <row r="1924" spans="1:16" hidden="1" x14ac:dyDescent="0.35">
      <c r="A1924" s="3">
        <f xml:space="preserve"> ROW( data_scaledImpacts[[#This Row],[row_id]] ) - ROW( data_scaledImpacts[[#Headers],[row_id]] )</f>
        <v>1923</v>
      </c>
      <c r="B1924" s="41" t="str">
        <f xml:space="preserve"> _xlfn.TEXTJOIN( "", , data_scaledImpacts[[#This Row],[sector]:[impactType]] )</f>
        <v>AirQualityCCSM412040PM</v>
      </c>
      <c r="C1924" s="33" t="s">
        <v>559</v>
      </c>
      <c r="D1924" s="33" t="s">
        <v>1</v>
      </c>
      <c r="E1924" s="34">
        <v>1</v>
      </c>
      <c r="F1924" s="34"/>
      <c r="G1924" s="34">
        <v>2040</v>
      </c>
      <c r="H1924" s="35" t="s">
        <v>659</v>
      </c>
      <c r="I1924" s="43" t="s">
        <v>710</v>
      </c>
      <c r="J1924" s="36">
        <v>-5.4634311626294253E-6</v>
      </c>
      <c r="K1924" s="36">
        <v>5.3411802667854071E-6</v>
      </c>
      <c r="L1924" s="37">
        <v>-3.8024324608082814E-6</v>
      </c>
      <c r="M1924" s="36">
        <v>-6.5498073707791378E-7</v>
      </c>
      <c r="N1924" s="36">
        <v>8.0156633669003245E-6</v>
      </c>
      <c r="O1924" s="36">
        <v>-3.0975597178567887E-6</v>
      </c>
      <c r="P1924">
        <v>2.5617974275455047E-6</v>
      </c>
    </row>
    <row r="1925" spans="1:16" hidden="1" x14ac:dyDescent="0.35">
      <c r="A1925" s="3">
        <f xml:space="preserve"> ROW( data_scaledImpacts[[#This Row],[row_id]] ) - ROW( data_scaledImpacts[[#Headers],[row_id]] )</f>
        <v>1924</v>
      </c>
      <c r="B1925" s="41" t="str">
        <f xml:space="preserve"> _xlfn.TEXTJOIN( "", , data_scaledImpacts[[#This Row],[sector]:[impactType]] )</f>
        <v>AirQualityGISS-E2-R12040PM</v>
      </c>
      <c r="C1925" s="33" t="s">
        <v>559</v>
      </c>
      <c r="D1925" s="33" t="s">
        <v>2</v>
      </c>
      <c r="E1925" s="34">
        <v>1</v>
      </c>
      <c r="F1925" s="34"/>
      <c r="G1925" s="34">
        <v>2040</v>
      </c>
      <c r="H1925" s="35" t="s">
        <v>659</v>
      </c>
      <c r="I1925" s="43" t="s">
        <v>711</v>
      </c>
      <c r="J1925" s="36"/>
      <c r="K1925" s="36"/>
      <c r="L1925" s="37"/>
      <c r="M1925" s="36"/>
      <c r="N1925" s="36"/>
      <c r="O1925" s="36"/>
    </row>
    <row r="1926" spans="1:16" hidden="1" x14ac:dyDescent="0.35">
      <c r="A1926" s="3">
        <f xml:space="preserve"> ROW( data_scaledImpacts[[#This Row],[row_id]] ) - ROW( data_scaledImpacts[[#Headers],[row_id]] )</f>
        <v>1925</v>
      </c>
      <c r="B1926" s="41" t="str">
        <f xml:space="preserve"> _xlfn.TEXTJOIN( "", , data_scaledImpacts[[#This Row],[sector]:[impactType]] )</f>
        <v>AirQualityHadGEM2-ES12040PM</v>
      </c>
      <c r="C1926" s="33" t="s">
        <v>559</v>
      </c>
      <c r="D1926" s="33" t="s">
        <v>3</v>
      </c>
      <c r="E1926" s="34">
        <v>1</v>
      </c>
      <c r="F1926" s="34"/>
      <c r="G1926" s="34">
        <v>2040</v>
      </c>
      <c r="H1926" s="35" t="s">
        <v>659</v>
      </c>
      <c r="I1926" s="43" t="s">
        <v>712</v>
      </c>
      <c r="J1926" s="36"/>
      <c r="K1926" s="36"/>
      <c r="L1926" s="37"/>
      <c r="M1926" s="36"/>
      <c r="N1926" s="36"/>
      <c r="O1926" s="36"/>
    </row>
    <row r="1927" spans="1:16" hidden="1" x14ac:dyDescent="0.35">
      <c r="A1927" s="3">
        <f xml:space="preserve"> ROW( data_scaledImpacts[[#This Row],[row_id]] ) - ROW( data_scaledImpacts[[#Headers],[row_id]] )</f>
        <v>1926</v>
      </c>
      <c r="B1927" s="41" t="str">
        <f xml:space="preserve"> _xlfn.TEXTJOIN( "", , data_scaledImpacts[[#This Row],[sector]:[impactType]] )</f>
        <v>AirQualityMIROC512040PM</v>
      </c>
      <c r="C1927" s="33" t="s">
        <v>559</v>
      </c>
      <c r="D1927" s="33" t="s">
        <v>4</v>
      </c>
      <c r="E1927" s="34">
        <v>1</v>
      </c>
      <c r="F1927" s="34"/>
      <c r="G1927" s="34">
        <v>2040</v>
      </c>
      <c r="H1927" s="35" t="s">
        <v>659</v>
      </c>
      <c r="I1927" s="43" t="s">
        <v>713</v>
      </c>
      <c r="J1927" s="36"/>
      <c r="K1927" s="36"/>
      <c r="L1927" s="37"/>
      <c r="M1927" s="36"/>
      <c r="N1927" s="36"/>
      <c r="O1927" s="36"/>
    </row>
    <row r="1928" spans="1:16" hidden="1" x14ac:dyDescent="0.35">
      <c r="A1928" s="3">
        <f xml:space="preserve"> ROW( data_scaledImpacts[[#This Row],[row_id]] ) - ROW( data_scaledImpacts[[#Headers],[row_id]] )</f>
        <v>1927</v>
      </c>
      <c r="B1928" s="41" t="str">
        <f xml:space="preserve"> _xlfn.TEXTJOIN( "", , data_scaledImpacts[[#This Row],[sector]:[impactType]] )</f>
        <v>AirQualityGFDL-CM312040PM</v>
      </c>
      <c r="C1928" s="33" t="s">
        <v>559</v>
      </c>
      <c r="D1928" s="33" t="s">
        <v>5</v>
      </c>
      <c r="E1928" s="34">
        <v>1</v>
      </c>
      <c r="F1928" s="34"/>
      <c r="G1928" s="34">
        <v>2040</v>
      </c>
      <c r="H1928" s="35" t="s">
        <v>659</v>
      </c>
      <c r="I1928" s="43" t="s">
        <v>714</v>
      </c>
      <c r="J1928" s="36">
        <v>-4.3266568054259605E-6</v>
      </c>
      <c r="K1928" s="36">
        <v>-3.8548673658414927E-6</v>
      </c>
      <c r="L1928" s="37">
        <v>1.8115501321080877E-7</v>
      </c>
      <c r="M1928" s="36">
        <v>5.4837646013120458E-6</v>
      </c>
      <c r="N1928" s="36">
        <v>8.2823557920161405E-6</v>
      </c>
      <c r="O1928" s="36">
        <v>6.227666388499819E-6</v>
      </c>
      <c r="P1928">
        <v>5.8492423868087361E-6</v>
      </c>
    </row>
    <row r="1929" spans="1:16" hidden="1" x14ac:dyDescent="0.35">
      <c r="A1929" s="3">
        <f xml:space="preserve"> ROW( data_scaledImpacts[[#This Row],[row_id]] ) - ROW( data_scaledImpacts[[#Headers],[row_id]] )</f>
        <v>1928</v>
      </c>
      <c r="B1929" s="41" t="str">
        <f xml:space="preserve"> _xlfn.TEXTJOIN( "", , data_scaledImpacts[[#This Row],[sector]:[impactType]] )</f>
        <v>AirQualityGCM Average12040PM</v>
      </c>
      <c r="C1929" s="33" t="s">
        <v>559</v>
      </c>
      <c r="D1929" s="33" t="s">
        <v>15</v>
      </c>
      <c r="E1929" s="34">
        <v>1</v>
      </c>
      <c r="F1929" s="34"/>
      <c r="G1929" s="34">
        <v>2040</v>
      </c>
      <c r="H1929" s="35" t="s">
        <v>659</v>
      </c>
      <c r="I1929" s="43" t="s">
        <v>715</v>
      </c>
      <c r="J1929" s="36">
        <v>-4.8950439840276929E-6</v>
      </c>
      <c r="K1929" s="36">
        <v>7.4315645047195716E-7</v>
      </c>
      <c r="L1929" s="37">
        <v>-1.8106387237987362E-6</v>
      </c>
      <c r="M1929" s="36">
        <v>2.414391932117066E-6</v>
      </c>
      <c r="N1929" s="36">
        <v>8.1490095794582316E-6</v>
      </c>
      <c r="O1929" s="36">
        <v>1.5650533353215152E-6</v>
      </c>
      <c r="P1929">
        <v>4.2055199071771206E-6</v>
      </c>
    </row>
    <row r="1930" spans="1:16" hidden="1" x14ac:dyDescent="0.35">
      <c r="A1930" s="3">
        <f xml:space="preserve"> ROW( data_scaledImpacts[[#This Row],[row_id]] ) - ROW( data_scaledImpacts[[#Headers],[row_id]] )</f>
        <v>1929</v>
      </c>
      <c r="B1930" s="41" t="str">
        <f xml:space="preserve"> _xlfn.TEXTJOIN( "", , data_scaledImpacts[[#This Row],[sector]:[impactType]] )</f>
        <v>AirQualityCanESM222040PM</v>
      </c>
      <c r="C1930" s="33" t="s">
        <v>559</v>
      </c>
      <c r="D1930" s="33" t="s">
        <v>0</v>
      </c>
      <c r="E1930" s="34">
        <v>2</v>
      </c>
      <c r="F1930" s="34"/>
      <c r="G1930" s="34">
        <v>2040</v>
      </c>
      <c r="H1930" s="35" t="s">
        <v>659</v>
      </c>
      <c r="I1930" s="43" t="s">
        <v>716</v>
      </c>
      <c r="J1930" s="36"/>
      <c r="K1930" s="36"/>
      <c r="L1930" s="37"/>
      <c r="M1930" s="36"/>
      <c r="N1930" s="36"/>
      <c r="O1930" s="36"/>
    </row>
    <row r="1931" spans="1:16" hidden="1" x14ac:dyDescent="0.35">
      <c r="A1931" s="3">
        <f xml:space="preserve"> ROW( data_scaledImpacts[[#This Row],[row_id]] ) - ROW( data_scaledImpacts[[#Headers],[row_id]] )</f>
        <v>1930</v>
      </c>
      <c r="B1931" s="41" t="str">
        <f xml:space="preserve"> _xlfn.TEXTJOIN( "", , data_scaledImpacts[[#This Row],[sector]:[impactType]] )</f>
        <v>AirQualityCCSM422040PM</v>
      </c>
      <c r="C1931" s="33" t="s">
        <v>559</v>
      </c>
      <c r="D1931" s="33" t="s">
        <v>1</v>
      </c>
      <c r="E1931" s="34">
        <v>2</v>
      </c>
      <c r="F1931" s="34"/>
      <c r="G1931" s="34">
        <v>2040</v>
      </c>
      <c r="H1931" s="35" t="s">
        <v>659</v>
      </c>
      <c r="I1931" s="43" t="s">
        <v>717</v>
      </c>
      <c r="J1931" s="36">
        <v>-1.1113670969374081E-5</v>
      </c>
      <c r="K1931" s="36">
        <v>9.5293318894524709E-6</v>
      </c>
      <c r="L1931" s="37">
        <v>-8.8592473305901679E-6</v>
      </c>
      <c r="M1931" s="36">
        <v>6.2520803936986255E-7</v>
      </c>
      <c r="N1931" s="36">
        <v>2.0575578197525684E-5</v>
      </c>
      <c r="O1931" s="36">
        <v>-6.5173654706060893E-6</v>
      </c>
      <c r="P1931">
        <v>7.7154719679958741E-6</v>
      </c>
    </row>
    <row r="1932" spans="1:16" hidden="1" x14ac:dyDescent="0.35">
      <c r="A1932" s="3">
        <f xml:space="preserve"> ROW( data_scaledImpacts[[#This Row],[row_id]] ) - ROW( data_scaledImpacts[[#Headers],[row_id]] )</f>
        <v>1931</v>
      </c>
      <c r="B1932" s="41" t="str">
        <f xml:space="preserve"> _xlfn.TEXTJOIN( "", , data_scaledImpacts[[#This Row],[sector]:[impactType]] )</f>
        <v>AirQualityGISS-E2-R22040PM</v>
      </c>
      <c r="C1932" s="33" t="s">
        <v>559</v>
      </c>
      <c r="D1932" s="33" t="s">
        <v>2</v>
      </c>
      <c r="E1932" s="34">
        <v>2</v>
      </c>
      <c r="F1932" s="34"/>
      <c r="G1932" s="34">
        <v>2040</v>
      </c>
      <c r="H1932" s="35" t="s">
        <v>659</v>
      </c>
      <c r="I1932" s="43" t="s">
        <v>718</v>
      </c>
      <c r="J1932" s="36"/>
      <c r="K1932" s="36"/>
      <c r="L1932" s="37"/>
      <c r="M1932" s="36"/>
      <c r="N1932" s="36"/>
      <c r="O1932" s="36"/>
    </row>
    <row r="1933" spans="1:16" hidden="1" x14ac:dyDescent="0.35">
      <c r="A1933" s="3">
        <f xml:space="preserve"> ROW( data_scaledImpacts[[#This Row],[row_id]] ) - ROW( data_scaledImpacts[[#Headers],[row_id]] )</f>
        <v>1932</v>
      </c>
      <c r="B1933" s="41" t="str">
        <f xml:space="preserve"> _xlfn.TEXTJOIN( "", , data_scaledImpacts[[#This Row],[sector]:[impactType]] )</f>
        <v>AirQualityHadGEM2-ES22040PM</v>
      </c>
      <c r="C1933" s="33" t="s">
        <v>559</v>
      </c>
      <c r="D1933" s="33" t="s">
        <v>3</v>
      </c>
      <c r="E1933" s="34">
        <v>2</v>
      </c>
      <c r="F1933" s="34"/>
      <c r="G1933" s="34">
        <v>2040</v>
      </c>
      <c r="H1933" s="35" t="s">
        <v>659</v>
      </c>
      <c r="I1933" s="43" t="s">
        <v>719</v>
      </c>
      <c r="J1933" s="36"/>
      <c r="K1933" s="36"/>
      <c r="L1933" s="37"/>
      <c r="M1933" s="36"/>
      <c r="N1933" s="36"/>
      <c r="O1933" s="36"/>
    </row>
    <row r="1934" spans="1:16" hidden="1" x14ac:dyDescent="0.35">
      <c r="A1934" s="3">
        <f xml:space="preserve"> ROW( data_scaledImpacts[[#This Row],[row_id]] ) - ROW( data_scaledImpacts[[#Headers],[row_id]] )</f>
        <v>1933</v>
      </c>
      <c r="B1934" s="41" t="str">
        <f xml:space="preserve"> _xlfn.TEXTJOIN( "", , data_scaledImpacts[[#This Row],[sector]:[impactType]] )</f>
        <v>AirQualityMIROC522040PM</v>
      </c>
      <c r="C1934" s="33" t="s">
        <v>559</v>
      </c>
      <c r="D1934" s="33" t="s">
        <v>4</v>
      </c>
      <c r="E1934" s="34">
        <v>2</v>
      </c>
      <c r="F1934" s="34"/>
      <c r="G1934" s="34">
        <v>2040</v>
      </c>
      <c r="H1934" s="35" t="s">
        <v>659</v>
      </c>
      <c r="I1934" s="43" t="s">
        <v>720</v>
      </c>
      <c r="J1934" s="36"/>
      <c r="K1934" s="36"/>
      <c r="L1934" s="37"/>
      <c r="M1934" s="36"/>
      <c r="N1934" s="36"/>
      <c r="O1934" s="36"/>
    </row>
    <row r="1935" spans="1:16" hidden="1" x14ac:dyDescent="0.35">
      <c r="A1935" s="3">
        <f xml:space="preserve"> ROW( data_scaledImpacts[[#This Row],[row_id]] ) - ROW( data_scaledImpacts[[#Headers],[row_id]] )</f>
        <v>1934</v>
      </c>
      <c r="B1935" s="41" t="str">
        <f xml:space="preserve"> _xlfn.TEXTJOIN( "", , data_scaledImpacts[[#This Row],[sector]:[impactType]] )</f>
        <v>AirQualityGFDL-CM322040PM</v>
      </c>
      <c r="C1935" s="33" t="s">
        <v>559</v>
      </c>
      <c r="D1935" s="33" t="s">
        <v>5</v>
      </c>
      <c r="E1935" s="34">
        <v>2</v>
      </c>
      <c r="F1935" s="34"/>
      <c r="G1935" s="34">
        <v>2040</v>
      </c>
      <c r="H1935" s="35" t="s">
        <v>659</v>
      </c>
      <c r="I1935" s="43" t="s">
        <v>721</v>
      </c>
      <c r="J1935" s="36">
        <v>-9.7623319135477929E-6</v>
      </c>
      <c r="K1935" s="36">
        <v>-7.1980930427873939E-6</v>
      </c>
      <c r="L1935" s="37">
        <v>-2.5027758052395414E-7</v>
      </c>
      <c r="M1935" s="36">
        <v>1.1065191536547253E-5</v>
      </c>
      <c r="N1935" s="36">
        <v>1.6310428908232171E-5</v>
      </c>
      <c r="O1935" s="36">
        <v>1.2329761828076167E-5</v>
      </c>
      <c r="P1935">
        <v>1.2291403090216955E-5</v>
      </c>
    </row>
    <row r="1936" spans="1:16" hidden="1" x14ac:dyDescent="0.35">
      <c r="A1936" s="3">
        <f xml:space="preserve"> ROW( data_scaledImpacts[[#This Row],[row_id]] ) - ROW( data_scaledImpacts[[#Headers],[row_id]] )</f>
        <v>1935</v>
      </c>
      <c r="B1936" s="41" t="str">
        <f xml:space="preserve"> _xlfn.TEXTJOIN( "", , data_scaledImpacts[[#This Row],[sector]:[impactType]] )</f>
        <v>AirQualityGCM Average22040PM</v>
      </c>
      <c r="C1936" s="33" t="s">
        <v>559</v>
      </c>
      <c r="D1936" s="33" t="s">
        <v>15</v>
      </c>
      <c r="E1936" s="34">
        <v>2</v>
      </c>
      <c r="F1936" s="34"/>
      <c r="G1936" s="34">
        <v>2040</v>
      </c>
      <c r="H1936" s="35" t="s">
        <v>659</v>
      </c>
      <c r="I1936" s="43" t="s">
        <v>722</v>
      </c>
      <c r="J1936" s="36">
        <v>-1.0438001441460938E-5</v>
      </c>
      <c r="K1936" s="36">
        <v>1.1656194233325385E-6</v>
      </c>
      <c r="L1936" s="37">
        <v>-4.5547624555570612E-6</v>
      </c>
      <c r="M1936" s="36">
        <v>5.8451997879585581E-6</v>
      </c>
      <c r="N1936" s="36">
        <v>1.8443003552878928E-5</v>
      </c>
      <c r="O1936" s="36">
        <v>2.9061981787350389E-6</v>
      </c>
      <c r="P1936">
        <v>1.0003437529106414E-5</v>
      </c>
    </row>
    <row r="1937" spans="1:16" hidden="1" x14ac:dyDescent="0.35">
      <c r="A1937" s="3">
        <f xml:space="preserve"> ROW( data_scaledImpacts[[#This Row],[row_id]] ) - ROW( data_scaledImpacts[[#Headers],[row_id]] )</f>
        <v>1936</v>
      </c>
      <c r="B1937" s="41" t="str">
        <f xml:space="preserve"> _xlfn.TEXTJOIN( "", , data_scaledImpacts[[#This Row],[sector]:[impactType]] )</f>
        <v>AirQualityCanESM232040PM</v>
      </c>
      <c r="C1937" s="33" t="s">
        <v>559</v>
      </c>
      <c r="D1937" s="33" t="s">
        <v>0</v>
      </c>
      <c r="E1937" s="34">
        <v>3</v>
      </c>
      <c r="F1937" s="34"/>
      <c r="G1937" s="34">
        <v>2040</v>
      </c>
      <c r="H1937" s="35" t="s">
        <v>659</v>
      </c>
      <c r="I1937" s="43" t="s">
        <v>723</v>
      </c>
      <c r="J1937" s="36"/>
      <c r="K1937" s="36"/>
      <c r="L1937" s="37"/>
      <c r="M1937" s="36"/>
      <c r="N1937" s="36"/>
      <c r="O1937" s="36"/>
    </row>
    <row r="1938" spans="1:16" hidden="1" x14ac:dyDescent="0.35">
      <c r="A1938" s="3">
        <f xml:space="preserve"> ROW( data_scaledImpacts[[#This Row],[row_id]] ) - ROW( data_scaledImpacts[[#Headers],[row_id]] )</f>
        <v>1937</v>
      </c>
      <c r="B1938" s="41" t="str">
        <f xml:space="preserve"> _xlfn.TEXTJOIN( "", , data_scaledImpacts[[#This Row],[sector]:[impactType]] )</f>
        <v>AirQualityCCSM432040PM</v>
      </c>
      <c r="C1938" s="33" t="s">
        <v>559</v>
      </c>
      <c r="D1938" s="33" t="s">
        <v>1</v>
      </c>
      <c r="E1938" s="34">
        <v>3</v>
      </c>
      <c r="F1938" s="34"/>
      <c r="G1938" s="34">
        <v>2040</v>
      </c>
      <c r="H1938" s="35" t="s">
        <v>659</v>
      </c>
      <c r="I1938" s="43" t="s">
        <v>724</v>
      </c>
      <c r="J1938" s="36">
        <v>-1.2254365041116865E-5</v>
      </c>
      <c r="K1938" s="36">
        <v>6.1915735725029923E-6</v>
      </c>
      <c r="L1938" s="37">
        <v>-9.027544419534016E-6</v>
      </c>
      <c r="M1938" s="36">
        <v>8.4668102384237562E-6</v>
      </c>
      <c r="N1938" s="36">
        <v>2.3774555084936115E-5</v>
      </c>
      <c r="O1938" s="36">
        <v>-5.5953747417064928E-6</v>
      </c>
      <c r="P1938">
        <v>1.3901480093669521E-5</v>
      </c>
    </row>
    <row r="1939" spans="1:16" hidden="1" x14ac:dyDescent="0.35">
      <c r="A1939" s="3">
        <f xml:space="preserve"> ROW( data_scaledImpacts[[#This Row],[row_id]] ) - ROW( data_scaledImpacts[[#Headers],[row_id]] )</f>
        <v>1938</v>
      </c>
      <c r="B1939" s="41" t="str">
        <f xml:space="preserve"> _xlfn.TEXTJOIN( "", , data_scaledImpacts[[#This Row],[sector]:[impactType]] )</f>
        <v>AirQualityGISS-E2-R32040PM</v>
      </c>
      <c r="C1939" s="33" t="s">
        <v>559</v>
      </c>
      <c r="D1939" s="33" t="s">
        <v>2</v>
      </c>
      <c r="E1939" s="34">
        <v>3</v>
      </c>
      <c r="F1939" s="34"/>
      <c r="G1939" s="34">
        <v>2040</v>
      </c>
      <c r="H1939" s="35" t="s">
        <v>659</v>
      </c>
      <c r="I1939" s="43" t="s">
        <v>725</v>
      </c>
      <c r="J1939" s="36"/>
      <c r="K1939" s="36"/>
      <c r="L1939" s="37"/>
      <c r="M1939" s="36"/>
      <c r="N1939" s="36"/>
      <c r="O1939" s="36"/>
    </row>
    <row r="1940" spans="1:16" hidden="1" x14ac:dyDescent="0.35">
      <c r="A1940" s="3">
        <f xml:space="preserve"> ROW( data_scaledImpacts[[#This Row],[row_id]] ) - ROW( data_scaledImpacts[[#Headers],[row_id]] )</f>
        <v>1939</v>
      </c>
      <c r="B1940" s="41" t="str">
        <f xml:space="preserve"> _xlfn.TEXTJOIN( "", , data_scaledImpacts[[#This Row],[sector]:[impactType]] )</f>
        <v>AirQualityHadGEM2-ES32040PM</v>
      </c>
      <c r="C1940" s="33" t="s">
        <v>559</v>
      </c>
      <c r="D1940" s="33" t="s">
        <v>3</v>
      </c>
      <c r="E1940" s="34">
        <v>3</v>
      </c>
      <c r="F1940" s="34"/>
      <c r="G1940" s="34">
        <v>2040</v>
      </c>
      <c r="H1940" s="35" t="s">
        <v>659</v>
      </c>
      <c r="I1940" s="43" t="s">
        <v>726</v>
      </c>
      <c r="J1940" s="36"/>
      <c r="K1940" s="36"/>
      <c r="L1940" s="37"/>
      <c r="M1940" s="36"/>
      <c r="N1940" s="36"/>
      <c r="O1940" s="36"/>
    </row>
    <row r="1941" spans="1:16" hidden="1" x14ac:dyDescent="0.35">
      <c r="A1941" s="3">
        <f xml:space="preserve"> ROW( data_scaledImpacts[[#This Row],[row_id]] ) - ROW( data_scaledImpacts[[#Headers],[row_id]] )</f>
        <v>1940</v>
      </c>
      <c r="B1941" s="41" t="str">
        <f xml:space="preserve"> _xlfn.TEXTJOIN( "", , data_scaledImpacts[[#This Row],[sector]:[impactType]] )</f>
        <v>AirQualityMIROC532040PM</v>
      </c>
      <c r="C1941" s="33" t="s">
        <v>559</v>
      </c>
      <c r="D1941" s="33" t="s">
        <v>4</v>
      </c>
      <c r="E1941" s="34">
        <v>3</v>
      </c>
      <c r="F1941" s="34"/>
      <c r="G1941" s="34">
        <v>2040</v>
      </c>
      <c r="H1941" s="35" t="s">
        <v>659</v>
      </c>
      <c r="I1941" s="43" t="s">
        <v>727</v>
      </c>
      <c r="J1941" s="36"/>
      <c r="K1941" s="36"/>
      <c r="L1941" s="37"/>
      <c r="M1941" s="36"/>
      <c r="N1941" s="36"/>
      <c r="O1941" s="36"/>
    </row>
    <row r="1942" spans="1:16" hidden="1" x14ac:dyDescent="0.35">
      <c r="A1942" s="3">
        <f xml:space="preserve"> ROW( data_scaledImpacts[[#This Row],[row_id]] ) - ROW( data_scaledImpacts[[#Headers],[row_id]] )</f>
        <v>1941</v>
      </c>
      <c r="B1942" s="41" t="str">
        <f xml:space="preserve"> _xlfn.TEXTJOIN( "", , data_scaledImpacts[[#This Row],[sector]:[impactType]] )</f>
        <v>AirQualityGFDL-CM332040PM</v>
      </c>
      <c r="C1942" s="33" t="s">
        <v>559</v>
      </c>
      <c r="D1942" s="33" t="s">
        <v>5</v>
      </c>
      <c r="E1942" s="34">
        <v>3</v>
      </c>
      <c r="F1942" s="34"/>
      <c r="G1942" s="34">
        <v>2040</v>
      </c>
      <c r="H1942" s="35" t="s">
        <v>659</v>
      </c>
      <c r="I1942" s="43" t="s">
        <v>728</v>
      </c>
      <c r="J1942" s="36">
        <v>-1.8561624219852596E-5</v>
      </c>
      <c r="K1942" s="36">
        <v>-5.6804010718805467E-6</v>
      </c>
      <c r="L1942" s="37">
        <v>-3.7025540348930279E-6</v>
      </c>
      <c r="M1942" s="36">
        <v>1.5219867122400496E-5</v>
      </c>
      <c r="N1942" s="36">
        <v>2.0409585969850354E-5</v>
      </c>
      <c r="O1942" s="36">
        <v>1.5882573032651594E-5</v>
      </c>
      <c r="P1942">
        <v>1.9813762288616691E-5</v>
      </c>
    </row>
    <row r="1943" spans="1:16" hidden="1" x14ac:dyDescent="0.35">
      <c r="A1943" s="3">
        <f xml:space="preserve"> ROW( data_scaledImpacts[[#This Row],[row_id]] ) - ROW( data_scaledImpacts[[#Headers],[row_id]] )</f>
        <v>1942</v>
      </c>
      <c r="B1943" s="41" t="str">
        <f xml:space="preserve"> _xlfn.TEXTJOIN( "", , data_scaledImpacts[[#This Row],[sector]:[impactType]] )</f>
        <v>AirQualityGCM Average32040PM</v>
      </c>
      <c r="C1943" s="33" t="s">
        <v>559</v>
      </c>
      <c r="D1943" s="33" t="s">
        <v>15</v>
      </c>
      <c r="E1943" s="34">
        <v>3</v>
      </c>
      <c r="F1943" s="34"/>
      <c r="G1943" s="34">
        <v>2040</v>
      </c>
      <c r="H1943" s="35" t="s">
        <v>659</v>
      </c>
      <c r="I1943" s="43" t="s">
        <v>729</v>
      </c>
      <c r="J1943" s="36">
        <v>-1.5407994630484731E-5</v>
      </c>
      <c r="K1943" s="36">
        <v>2.555862503112228E-7</v>
      </c>
      <c r="L1943" s="37">
        <v>-6.3650492272135218E-6</v>
      </c>
      <c r="M1943" s="36">
        <v>1.1843338680412127E-5</v>
      </c>
      <c r="N1943" s="36">
        <v>2.2092070527393236E-5</v>
      </c>
      <c r="O1943" s="36">
        <v>5.1435991454725503E-6</v>
      </c>
      <c r="P1943">
        <v>1.6857621191143105E-5</v>
      </c>
    </row>
    <row r="1944" spans="1:16" hidden="1" x14ac:dyDescent="0.35">
      <c r="A1944" s="3">
        <f xml:space="preserve"> ROW( data_scaledImpacts[[#This Row],[row_id]] ) - ROW( data_scaledImpacts[[#Headers],[row_id]] )</f>
        <v>1943</v>
      </c>
      <c r="B1944" s="41" t="str">
        <f xml:space="preserve"> _xlfn.TEXTJOIN( "", , data_scaledImpacts[[#This Row],[sector]:[impactType]] )</f>
        <v>AirQualityCanESM242040PM</v>
      </c>
      <c r="C1944" s="33" t="s">
        <v>559</v>
      </c>
      <c r="D1944" s="33" t="s">
        <v>0</v>
      </c>
      <c r="E1944" s="34">
        <v>4</v>
      </c>
      <c r="F1944" s="34"/>
      <c r="G1944" s="34">
        <v>2040</v>
      </c>
      <c r="H1944" s="35" t="s">
        <v>659</v>
      </c>
      <c r="I1944" s="43" t="s">
        <v>730</v>
      </c>
      <c r="J1944" s="36"/>
      <c r="K1944" s="36"/>
      <c r="L1944" s="37"/>
      <c r="M1944" s="36"/>
      <c r="N1944" s="36"/>
      <c r="O1944" s="36"/>
    </row>
    <row r="1945" spans="1:16" hidden="1" x14ac:dyDescent="0.35">
      <c r="A1945" s="3">
        <f xml:space="preserve"> ROW( data_scaledImpacts[[#This Row],[row_id]] ) - ROW( data_scaledImpacts[[#Headers],[row_id]] )</f>
        <v>1944</v>
      </c>
      <c r="B1945" s="41" t="str">
        <f xml:space="preserve"> _xlfn.TEXTJOIN( "", , data_scaledImpacts[[#This Row],[sector]:[impactType]] )</f>
        <v>AirQualityCCSM442040PM</v>
      </c>
      <c r="C1945" s="33" t="s">
        <v>559</v>
      </c>
      <c r="D1945" s="33" t="s">
        <v>1</v>
      </c>
      <c r="E1945" s="34">
        <v>4</v>
      </c>
      <c r="F1945" s="34"/>
      <c r="G1945" s="34">
        <v>2040</v>
      </c>
      <c r="H1945" s="35" t="s">
        <v>659</v>
      </c>
      <c r="I1945" s="43" t="s">
        <v>731</v>
      </c>
      <c r="J1945" s="36">
        <v>-1.7685047266209529E-5</v>
      </c>
      <c r="K1945" s="36">
        <v>6.7819407008799081E-6</v>
      </c>
      <c r="L1945" s="37">
        <v>-7.0257842953008915E-6</v>
      </c>
      <c r="M1945" s="36">
        <v>1.5630250106535947E-5</v>
      </c>
      <c r="N1945" s="36">
        <v>2.1479746772054431E-5</v>
      </c>
      <c r="O1945" s="36">
        <v>-4.1154212104629722E-6</v>
      </c>
      <c r="P1945">
        <v>1.8196689334060052E-5</v>
      </c>
    </row>
    <row r="1946" spans="1:16" hidden="1" x14ac:dyDescent="0.35">
      <c r="A1946" s="3">
        <f xml:space="preserve"> ROW( data_scaledImpacts[[#This Row],[row_id]] ) - ROW( data_scaledImpacts[[#Headers],[row_id]] )</f>
        <v>1945</v>
      </c>
      <c r="B1946" s="41" t="str">
        <f xml:space="preserve"> _xlfn.TEXTJOIN( "", , data_scaledImpacts[[#This Row],[sector]:[impactType]] )</f>
        <v>AirQualityGISS-E2-R42040PM</v>
      </c>
      <c r="C1946" s="33" t="s">
        <v>559</v>
      </c>
      <c r="D1946" s="33" t="s">
        <v>2</v>
      </c>
      <c r="E1946" s="34">
        <v>4</v>
      </c>
      <c r="F1946" s="34"/>
      <c r="G1946" s="34">
        <v>2040</v>
      </c>
      <c r="H1946" s="35" t="s">
        <v>659</v>
      </c>
      <c r="I1946" s="43" t="s">
        <v>732</v>
      </c>
      <c r="J1946" s="36"/>
      <c r="K1946" s="36"/>
      <c r="L1946" s="37"/>
      <c r="M1946" s="36"/>
      <c r="N1946" s="36"/>
      <c r="O1946" s="36"/>
    </row>
    <row r="1947" spans="1:16" hidden="1" x14ac:dyDescent="0.35">
      <c r="A1947" s="3">
        <f xml:space="preserve"> ROW( data_scaledImpacts[[#This Row],[row_id]] ) - ROW( data_scaledImpacts[[#Headers],[row_id]] )</f>
        <v>1946</v>
      </c>
      <c r="B1947" s="41" t="str">
        <f xml:space="preserve"> _xlfn.TEXTJOIN( "", , data_scaledImpacts[[#This Row],[sector]:[impactType]] )</f>
        <v>AirQualityHadGEM2-ES42040PM</v>
      </c>
      <c r="C1947" s="33" t="s">
        <v>559</v>
      </c>
      <c r="D1947" s="33" t="s">
        <v>3</v>
      </c>
      <c r="E1947" s="34">
        <v>4</v>
      </c>
      <c r="F1947" s="34"/>
      <c r="G1947" s="34">
        <v>2040</v>
      </c>
      <c r="H1947" s="35" t="s">
        <v>659</v>
      </c>
      <c r="I1947" s="43" t="s">
        <v>733</v>
      </c>
      <c r="J1947" s="36"/>
      <c r="K1947" s="36"/>
      <c r="L1947" s="37"/>
      <c r="M1947" s="36"/>
      <c r="N1947" s="36"/>
      <c r="O1947" s="36"/>
    </row>
    <row r="1948" spans="1:16" hidden="1" x14ac:dyDescent="0.35">
      <c r="A1948" s="3">
        <f xml:space="preserve"> ROW( data_scaledImpacts[[#This Row],[row_id]] ) - ROW( data_scaledImpacts[[#Headers],[row_id]] )</f>
        <v>1947</v>
      </c>
      <c r="B1948" s="41" t="str">
        <f xml:space="preserve"> _xlfn.TEXTJOIN( "", , data_scaledImpacts[[#This Row],[sector]:[impactType]] )</f>
        <v>AirQualityMIROC542040PM</v>
      </c>
      <c r="C1948" s="33" t="s">
        <v>559</v>
      </c>
      <c r="D1948" s="33" t="s">
        <v>4</v>
      </c>
      <c r="E1948" s="34">
        <v>4</v>
      </c>
      <c r="F1948" s="34"/>
      <c r="G1948" s="34">
        <v>2040</v>
      </c>
      <c r="H1948" s="35" t="s">
        <v>659</v>
      </c>
      <c r="I1948" s="43" t="s">
        <v>734</v>
      </c>
      <c r="J1948" s="36"/>
      <c r="K1948" s="36"/>
      <c r="L1948" s="37"/>
      <c r="M1948" s="36"/>
      <c r="N1948" s="36"/>
      <c r="O1948" s="36"/>
    </row>
    <row r="1949" spans="1:16" hidden="1" x14ac:dyDescent="0.35">
      <c r="A1949" s="3">
        <f xml:space="preserve"> ROW( data_scaledImpacts[[#This Row],[row_id]] ) - ROW( data_scaledImpacts[[#Headers],[row_id]] )</f>
        <v>1948</v>
      </c>
      <c r="B1949" s="41" t="str">
        <f xml:space="preserve"> _xlfn.TEXTJOIN( "", , data_scaledImpacts[[#This Row],[sector]:[impactType]] )</f>
        <v>AirQualityGFDL-CM342040PM</v>
      </c>
      <c r="C1949" s="33" t="s">
        <v>559</v>
      </c>
      <c r="D1949" s="33" t="s">
        <v>5</v>
      </c>
      <c r="E1949" s="34">
        <v>4</v>
      </c>
      <c r="F1949" s="34"/>
      <c r="G1949" s="34">
        <v>2040</v>
      </c>
      <c r="H1949" s="35" t="s">
        <v>659</v>
      </c>
      <c r="I1949" s="43" t="s">
        <v>735</v>
      </c>
      <c r="J1949" s="36">
        <v>-1.552684753235974E-5</v>
      </c>
      <c r="K1949" s="36">
        <v>3.5074804080027268E-7</v>
      </c>
      <c r="L1949" s="37">
        <v>-2.059030857175856E-6</v>
      </c>
      <c r="M1949" s="36">
        <v>2.1381022842717525E-5</v>
      </c>
      <c r="N1949" s="36">
        <v>3.2498877635585238E-5</v>
      </c>
      <c r="O1949" s="36">
        <v>2.5796389431510055E-5</v>
      </c>
      <c r="P1949">
        <v>2.7928012394234244E-5</v>
      </c>
    </row>
    <row r="1950" spans="1:16" hidden="1" x14ac:dyDescent="0.35">
      <c r="A1950" s="3">
        <f xml:space="preserve"> ROW( data_scaledImpacts[[#This Row],[row_id]] ) - ROW( data_scaledImpacts[[#Headers],[row_id]] )</f>
        <v>1949</v>
      </c>
      <c r="B1950" s="41" t="str">
        <f xml:space="preserve"> _xlfn.TEXTJOIN( "", , data_scaledImpacts[[#This Row],[sector]:[impactType]] )</f>
        <v>AirQualityGCM Average42040PM</v>
      </c>
      <c r="C1950" s="33" t="s">
        <v>559</v>
      </c>
      <c r="D1950" s="33" t="s">
        <v>15</v>
      </c>
      <c r="E1950" s="34">
        <v>4</v>
      </c>
      <c r="F1950" s="34"/>
      <c r="G1950" s="34">
        <v>2040</v>
      </c>
      <c r="H1950" s="35" t="s">
        <v>659</v>
      </c>
      <c r="I1950" s="43" t="s">
        <v>736</v>
      </c>
      <c r="J1950" s="36">
        <v>-1.6605947399284635E-5</v>
      </c>
      <c r="K1950" s="36">
        <v>3.5663443708400905E-6</v>
      </c>
      <c r="L1950" s="37">
        <v>-4.542407576238374E-6</v>
      </c>
      <c r="M1950" s="36">
        <v>1.8505636474626736E-5</v>
      </c>
      <c r="N1950" s="36">
        <v>2.6989312203819833E-5</v>
      </c>
      <c r="O1950" s="36">
        <v>1.0840484110523541E-5</v>
      </c>
      <c r="P1950">
        <v>2.3062350864147148E-5</v>
      </c>
    </row>
    <row r="1951" spans="1:16" hidden="1" x14ac:dyDescent="0.35">
      <c r="A1951" s="3">
        <f xml:space="preserve"> ROW( data_scaledImpacts[[#This Row],[row_id]] ) - ROW( data_scaledImpacts[[#Headers],[row_id]] )</f>
        <v>1950</v>
      </c>
      <c r="B1951" s="41" t="str">
        <f xml:space="preserve"> _xlfn.TEXTJOIN( "", , data_scaledImpacts[[#This Row],[sector]:[impactType]] )</f>
        <v>AirQualityCanESM252040PM</v>
      </c>
      <c r="C1951" s="33" t="s">
        <v>559</v>
      </c>
      <c r="D1951" s="33" t="s">
        <v>0</v>
      </c>
      <c r="E1951" s="34">
        <v>5</v>
      </c>
      <c r="F1951" s="34"/>
      <c r="G1951" s="34">
        <v>2040</v>
      </c>
      <c r="H1951" s="35" t="s">
        <v>659</v>
      </c>
      <c r="I1951" s="43" t="s">
        <v>737</v>
      </c>
      <c r="J1951" s="36"/>
      <c r="K1951" s="36"/>
      <c r="L1951" s="37"/>
      <c r="M1951" s="36"/>
      <c r="N1951" s="36"/>
      <c r="O1951" s="36"/>
    </row>
    <row r="1952" spans="1:16" hidden="1" x14ac:dyDescent="0.35">
      <c r="A1952" s="3">
        <f xml:space="preserve"> ROW( data_scaledImpacts[[#This Row],[row_id]] ) - ROW( data_scaledImpacts[[#Headers],[row_id]] )</f>
        <v>1951</v>
      </c>
      <c r="B1952" s="41" t="str">
        <f xml:space="preserve"> _xlfn.TEXTJOIN( "", , data_scaledImpacts[[#This Row],[sector]:[impactType]] )</f>
        <v>AirQualityCCSM452040PM</v>
      </c>
      <c r="C1952" s="33" t="s">
        <v>559</v>
      </c>
      <c r="D1952" s="33" t="s">
        <v>1</v>
      </c>
      <c r="E1952" s="34">
        <v>5</v>
      </c>
      <c r="F1952" s="34"/>
      <c r="G1952" s="34">
        <v>2040</v>
      </c>
      <c r="H1952" s="35" t="s">
        <v>659</v>
      </c>
      <c r="I1952" s="43" t="s">
        <v>738</v>
      </c>
      <c r="J1952" s="36">
        <v>-2.2081408311397989E-5</v>
      </c>
      <c r="K1952" s="36">
        <v>3.9208188344478578E-6</v>
      </c>
      <c r="L1952" s="37">
        <v>-3.9932216890512662E-6</v>
      </c>
      <c r="M1952" s="36">
        <v>1.7253561914901744E-5</v>
      </c>
      <c r="N1952" s="36">
        <v>3.1431530434188412E-5</v>
      </c>
      <c r="O1952" s="36">
        <v>-2.7632086817210571E-7</v>
      </c>
      <c r="P1952">
        <v>2.0482803835023038E-5</v>
      </c>
    </row>
    <row r="1953" spans="1:16" hidden="1" x14ac:dyDescent="0.35">
      <c r="A1953" s="3">
        <f xml:space="preserve"> ROW( data_scaledImpacts[[#This Row],[row_id]] ) - ROW( data_scaledImpacts[[#Headers],[row_id]] )</f>
        <v>1952</v>
      </c>
      <c r="B1953" s="41" t="str">
        <f xml:space="preserve"> _xlfn.TEXTJOIN( "", , data_scaledImpacts[[#This Row],[sector]:[impactType]] )</f>
        <v>AirQualityGISS-E2-R52040PM</v>
      </c>
      <c r="C1953" s="33" t="s">
        <v>559</v>
      </c>
      <c r="D1953" s="33" t="s">
        <v>2</v>
      </c>
      <c r="E1953" s="34">
        <v>5</v>
      </c>
      <c r="F1953" s="34"/>
      <c r="G1953" s="34">
        <v>2040</v>
      </c>
      <c r="H1953" s="35" t="s">
        <v>659</v>
      </c>
      <c r="I1953" s="43" t="s">
        <v>739</v>
      </c>
    </row>
    <row r="1954" spans="1:16" hidden="1" x14ac:dyDescent="0.35">
      <c r="A1954" s="3">
        <f xml:space="preserve"> ROW( data_scaledImpacts[[#This Row],[row_id]] ) - ROW( data_scaledImpacts[[#Headers],[row_id]] )</f>
        <v>1953</v>
      </c>
      <c r="B1954" s="41" t="str">
        <f xml:space="preserve"> _xlfn.TEXTJOIN( "", , data_scaledImpacts[[#This Row],[sector]:[impactType]] )</f>
        <v>AirQualityHadGEM2-ES52040PM</v>
      </c>
      <c r="C1954" s="33" t="s">
        <v>559</v>
      </c>
      <c r="D1954" s="33" t="s">
        <v>3</v>
      </c>
      <c r="E1954" s="34">
        <v>5</v>
      </c>
      <c r="F1954" s="34"/>
      <c r="G1954" s="34">
        <v>2040</v>
      </c>
      <c r="H1954" s="35" t="s">
        <v>659</v>
      </c>
      <c r="I1954" s="43" t="s">
        <v>740</v>
      </c>
    </row>
    <row r="1955" spans="1:16" hidden="1" x14ac:dyDescent="0.35">
      <c r="A1955" s="3">
        <f xml:space="preserve"> ROW( data_scaledImpacts[[#This Row],[row_id]] ) - ROW( data_scaledImpacts[[#Headers],[row_id]] )</f>
        <v>1954</v>
      </c>
      <c r="B1955" s="41" t="str">
        <f xml:space="preserve"> _xlfn.TEXTJOIN( "", , data_scaledImpacts[[#This Row],[sector]:[impactType]] )</f>
        <v>AirQualityMIROC552040PM</v>
      </c>
      <c r="C1955" s="33" t="s">
        <v>559</v>
      </c>
      <c r="D1955" s="33" t="s">
        <v>4</v>
      </c>
      <c r="E1955" s="34">
        <v>5</v>
      </c>
      <c r="F1955" s="34"/>
      <c r="G1955" s="34">
        <v>2040</v>
      </c>
      <c r="H1955" s="35" t="s">
        <v>659</v>
      </c>
      <c r="I1955" s="43" t="s">
        <v>741</v>
      </c>
    </row>
    <row r="1956" spans="1:16" hidden="1" x14ac:dyDescent="0.35">
      <c r="A1956" s="3">
        <f xml:space="preserve"> ROW( data_scaledImpacts[[#This Row],[row_id]] ) - ROW( data_scaledImpacts[[#Headers],[row_id]] )</f>
        <v>1955</v>
      </c>
      <c r="B1956" s="41" t="str">
        <f xml:space="preserve"> _xlfn.TEXTJOIN( "", , data_scaledImpacts[[#This Row],[sector]:[impactType]] )</f>
        <v>AirQualityGFDL-CM352040PM</v>
      </c>
      <c r="C1956" s="33" t="s">
        <v>559</v>
      </c>
      <c r="D1956" s="33" t="s">
        <v>5</v>
      </c>
      <c r="E1956" s="34">
        <v>5</v>
      </c>
      <c r="F1956" s="34"/>
      <c r="G1956" s="34">
        <v>2040</v>
      </c>
      <c r="H1956" s="35" t="s">
        <v>659</v>
      </c>
      <c r="I1956" s="43" t="s">
        <v>742</v>
      </c>
      <c r="J1956" s="36">
        <v>-1.1476842382121206E-5</v>
      </c>
      <c r="K1956" s="36">
        <v>6.1583274339494162E-6</v>
      </c>
      <c r="L1956" s="37">
        <v>-1.9976841698369341E-8</v>
      </c>
      <c r="M1956" s="36">
        <v>2.7106369750021122E-5</v>
      </c>
      <c r="N1956" s="36">
        <v>4.4112465962191419E-5</v>
      </c>
      <c r="O1956" s="36">
        <v>3.5254439455358223E-5</v>
      </c>
      <c r="P1956">
        <v>3.5141619297682839E-5</v>
      </c>
    </row>
    <row r="1957" spans="1:16" hidden="1" x14ac:dyDescent="0.35">
      <c r="A1957" s="3">
        <f xml:space="preserve"> ROW( data_scaledImpacts[[#This Row],[row_id]] ) - ROW( data_scaledImpacts[[#Headers],[row_id]] )</f>
        <v>1956</v>
      </c>
      <c r="B1957" s="41" t="str">
        <f xml:space="preserve"> _xlfn.TEXTJOIN( "", , data_scaledImpacts[[#This Row],[sector]:[impactType]] )</f>
        <v>AirQualityGCM Average52040PM</v>
      </c>
      <c r="C1957" s="33" t="s">
        <v>559</v>
      </c>
      <c r="D1957" s="33" t="s">
        <v>15</v>
      </c>
      <c r="E1957" s="34">
        <v>5</v>
      </c>
      <c r="F1957" s="34"/>
      <c r="G1957" s="34">
        <v>2040</v>
      </c>
      <c r="H1957" s="35" t="s">
        <v>659</v>
      </c>
      <c r="I1957" s="43" t="s">
        <v>743</v>
      </c>
      <c r="J1957" s="36">
        <v>-1.6779125346759597E-5</v>
      </c>
      <c r="K1957" s="36">
        <v>5.039573134198637E-6</v>
      </c>
      <c r="L1957" s="37">
        <v>-2.0065992653748178E-6</v>
      </c>
      <c r="M1957" s="36">
        <v>2.2179965832461431E-5</v>
      </c>
      <c r="N1957" s="36">
        <v>3.7771998198189919E-5</v>
      </c>
      <c r="O1957" s="36">
        <v>1.7489059293593057E-5</v>
      </c>
      <c r="P1957">
        <v>2.7812211566352938E-5</v>
      </c>
    </row>
    <row r="1958" spans="1:16" hidden="1" x14ac:dyDescent="0.35">
      <c r="A1958" s="3">
        <f xml:space="preserve"> ROW( data_scaledImpacts[[#This Row],[row_id]] ) - ROW( data_scaledImpacts[[#Headers],[row_id]] )</f>
        <v>1957</v>
      </c>
      <c r="B1958" s="41" t="str">
        <f xml:space="preserve"> _xlfn.TEXTJOIN( "", , data_scaledImpacts[[#This Row],[sector]:[impactType]] )</f>
        <v>AirQualityCanESM262040PM</v>
      </c>
      <c r="C1958" s="33" t="s">
        <v>559</v>
      </c>
      <c r="D1958" s="33" t="s">
        <v>0</v>
      </c>
      <c r="E1958" s="34">
        <v>6</v>
      </c>
      <c r="F1958" s="34"/>
      <c r="G1958" s="34">
        <v>2040</v>
      </c>
      <c r="H1958" s="35" t="s">
        <v>659</v>
      </c>
      <c r="I1958" s="43" t="s">
        <v>744</v>
      </c>
    </row>
    <row r="1959" spans="1:16" hidden="1" x14ac:dyDescent="0.35">
      <c r="A1959" s="3">
        <f xml:space="preserve"> ROW( data_scaledImpacts[[#This Row],[row_id]] ) - ROW( data_scaledImpacts[[#Headers],[row_id]] )</f>
        <v>1958</v>
      </c>
      <c r="B1959" s="41" t="str">
        <f xml:space="preserve"> _xlfn.TEXTJOIN( "", , data_scaledImpacts[[#This Row],[sector]:[impactType]] )</f>
        <v>AirQualityCCSM462040PM</v>
      </c>
      <c r="C1959" s="33" t="s">
        <v>559</v>
      </c>
      <c r="D1959" s="33" t="s">
        <v>1</v>
      </c>
      <c r="E1959" s="34">
        <v>6</v>
      </c>
      <c r="F1959" s="34"/>
      <c r="G1959" s="34">
        <v>2040</v>
      </c>
      <c r="H1959" s="35" t="s">
        <v>659</v>
      </c>
      <c r="I1959" s="43" t="s">
        <v>745</v>
      </c>
    </row>
    <row r="1960" spans="1:16" hidden="1" x14ac:dyDescent="0.35">
      <c r="A1960" s="3">
        <f xml:space="preserve"> ROW( data_scaledImpacts[[#This Row],[row_id]] ) - ROW( data_scaledImpacts[[#Headers],[row_id]] )</f>
        <v>1959</v>
      </c>
      <c r="B1960" s="41" t="str">
        <f xml:space="preserve"> _xlfn.TEXTJOIN( "", , data_scaledImpacts[[#This Row],[sector]:[impactType]] )</f>
        <v>AirQualityGISS-E2-R62040PM</v>
      </c>
      <c r="C1960" s="33" t="s">
        <v>559</v>
      </c>
      <c r="D1960" s="33" t="s">
        <v>2</v>
      </c>
      <c r="E1960" s="34">
        <v>6</v>
      </c>
      <c r="F1960" s="34"/>
      <c r="G1960" s="34">
        <v>2040</v>
      </c>
      <c r="H1960" s="35" t="s">
        <v>659</v>
      </c>
      <c r="I1960" s="43" t="s">
        <v>746</v>
      </c>
    </row>
    <row r="1961" spans="1:16" hidden="1" x14ac:dyDescent="0.35">
      <c r="A1961" s="3">
        <f xml:space="preserve"> ROW( data_scaledImpacts[[#This Row],[row_id]] ) - ROW( data_scaledImpacts[[#Headers],[row_id]] )</f>
        <v>1960</v>
      </c>
      <c r="B1961" s="41" t="str">
        <f xml:space="preserve"> _xlfn.TEXTJOIN( "", , data_scaledImpacts[[#This Row],[sector]:[impactType]] )</f>
        <v>AirQualityHadGEM2-ES62040PM</v>
      </c>
      <c r="C1961" s="33" t="s">
        <v>559</v>
      </c>
      <c r="D1961" s="33" t="s">
        <v>3</v>
      </c>
      <c r="E1961" s="34">
        <v>6</v>
      </c>
      <c r="F1961" s="34"/>
      <c r="G1961" s="34">
        <v>2040</v>
      </c>
      <c r="H1961" s="35" t="s">
        <v>659</v>
      </c>
      <c r="I1961" s="43" t="s">
        <v>747</v>
      </c>
    </row>
    <row r="1962" spans="1:16" hidden="1" x14ac:dyDescent="0.35">
      <c r="A1962" s="3">
        <f xml:space="preserve"> ROW( data_scaledImpacts[[#This Row],[row_id]] ) - ROW( data_scaledImpacts[[#Headers],[row_id]] )</f>
        <v>1961</v>
      </c>
      <c r="B1962" s="41" t="str">
        <f xml:space="preserve"> _xlfn.TEXTJOIN( "", , data_scaledImpacts[[#This Row],[sector]:[impactType]] )</f>
        <v>AirQualityMIROC562040PM</v>
      </c>
      <c r="C1962" s="33" t="s">
        <v>559</v>
      </c>
      <c r="D1962" s="33" t="s">
        <v>4</v>
      </c>
      <c r="E1962" s="34">
        <v>6</v>
      </c>
      <c r="F1962" s="34"/>
      <c r="G1962" s="34">
        <v>2040</v>
      </c>
      <c r="H1962" s="35" t="s">
        <v>659</v>
      </c>
      <c r="I1962" s="43" t="s">
        <v>748</v>
      </c>
    </row>
    <row r="1963" spans="1:16" hidden="1" x14ac:dyDescent="0.35">
      <c r="A1963" s="3">
        <f xml:space="preserve"> ROW( data_scaledImpacts[[#This Row],[row_id]] ) - ROW( data_scaledImpacts[[#Headers],[row_id]] )</f>
        <v>1962</v>
      </c>
      <c r="B1963" s="41" t="str">
        <f xml:space="preserve"> _xlfn.TEXTJOIN( "", , data_scaledImpacts[[#This Row],[sector]:[impactType]] )</f>
        <v>AirQualityGFDL-CM362040PM</v>
      </c>
      <c r="C1963" s="33" t="s">
        <v>559</v>
      </c>
      <c r="D1963" s="33" t="s">
        <v>5</v>
      </c>
      <c r="E1963" s="34">
        <v>6</v>
      </c>
      <c r="F1963" s="34"/>
      <c r="G1963" s="34">
        <v>2040</v>
      </c>
      <c r="H1963" s="35" t="s">
        <v>659</v>
      </c>
      <c r="I1963" s="43" t="s">
        <v>749</v>
      </c>
      <c r="J1963" s="36">
        <v>-1.2476417945105284E-5</v>
      </c>
      <c r="K1963" s="36">
        <v>1.0927328838876592E-5</v>
      </c>
      <c r="L1963" s="37">
        <v>-1.0799750818491704E-6</v>
      </c>
      <c r="M1963" s="36">
        <v>4.1730697131927681E-5</v>
      </c>
      <c r="N1963" s="36">
        <v>5.9167284532505797E-5</v>
      </c>
      <c r="O1963" s="36">
        <v>4.2316469432397644E-5</v>
      </c>
      <c r="P1963">
        <v>4.4923957612273315E-5</v>
      </c>
    </row>
    <row r="1964" spans="1:16" hidden="1" x14ac:dyDescent="0.35">
      <c r="A1964" s="3">
        <f xml:space="preserve"> ROW( data_scaledImpacts[[#This Row],[row_id]] ) - ROW( data_scaledImpacts[[#Headers],[row_id]] )</f>
        <v>1963</v>
      </c>
      <c r="B1964" s="41" t="str">
        <f xml:space="preserve"> _xlfn.TEXTJOIN( "", , data_scaledImpacts[[#This Row],[sector]:[impactType]] )</f>
        <v>AirQualityGCM Average62040PM</v>
      </c>
      <c r="C1964" s="33" t="s">
        <v>559</v>
      </c>
      <c r="D1964" s="33" t="s">
        <v>15</v>
      </c>
      <c r="E1964" s="34">
        <v>6</v>
      </c>
      <c r="F1964" s="34"/>
      <c r="G1964" s="34">
        <v>2040</v>
      </c>
      <c r="H1964" s="35" t="s">
        <v>659</v>
      </c>
      <c r="I1964" s="43" t="s">
        <v>750</v>
      </c>
      <c r="J1964" s="36">
        <v>-1.2476417945105284E-5</v>
      </c>
      <c r="K1964" s="36">
        <v>1.0927328838876592E-5</v>
      </c>
      <c r="L1964" s="37">
        <v>-1.0799750818491704E-6</v>
      </c>
      <c r="M1964" s="36">
        <v>4.1730697131927681E-5</v>
      </c>
      <c r="N1964" s="36">
        <v>5.9167284532505797E-5</v>
      </c>
      <c r="O1964" s="36">
        <v>4.2316469432397644E-5</v>
      </c>
      <c r="P1964">
        <v>4.4923957612273315E-5</v>
      </c>
    </row>
    <row r="1965" spans="1:16" hidden="1" x14ac:dyDescent="0.35">
      <c r="A1965" s="3">
        <f xml:space="preserve"> ROW( data_scaledImpacts[[#This Row],[row_id]] ) - ROW( data_scaledImpacts[[#Headers],[row_id]] )</f>
        <v>1964</v>
      </c>
      <c r="B1965" s="41" t="str">
        <f xml:space="preserve"> _xlfn.TEXTJOIN( "", , data_scaledImpacts[[#This Row],[sector]:[impactType]] )</f>
        <v>AirQualityCanESM272040PM</v>
      </c>
      <c r="C1965" s="33" t="s">
        <v>559</v>
      </c>
      <c r="D1965" s="33" t="s">
        <v>0</v>
      </c>
      <c r="E1965" s="34">
        <v>7</v>
      </c>
      <c r="F1965" s="34"/>
      <c r="G1965" s="34">
        <v>2040</v>
      </c>
      <c r="H1965" s="35" t="s">
        <v>659</v>
      </c>
      <c r="I1965" s="43" t="s">
        <v>751</v>
      </c>
    </row>
    <row r="1966" spans="1:16" hidden="1" x14ac:dyDescent="0.35">
      <c r="A1966" s="3">
        <f xml:space="preserve"> ROW( data_scaledImpacts[[#This Row],[row_id]] ) - ROW( data_scaledImpacts[[#Headers],[row_id]] )</f>
        <v>1965</v>
      </c>
      <c r="B1966" s="41" t="str">
        <f xml:space="preserve"> _xlfn.TEXTJOIN( "", , data_scaledImpacts[[#This Row],[sector]:[impactType]] )</f>
        <v>AirQualityCCSM472040PM</v>
      </c>
      <c r="C1966" s="33" t="s">
        <v>559</v>
      </c>
      <c r="D1966" s="33" t="s">
        <v>1</v>
      </c>
      <c r="E1966" s="34">
        <v>7</v>
      </c>
      <c r="F1966" s="34"/>
      <c r="G1966" s="34">
        <v>2040</v>
      </c>
      <c r="H1966" s="35" t="s">
        <v>659</v>
      </c>
      <c r="I1966" s="43" t="s">
        <v>752</v>
      </c>
    </row>
    <row r="1967" spans="1:16" hidden="1" x14ac:dyDescent="0.35">
      <c r="A1967" s="3">
        <f xml:space="preserve"> ROW( data_scaledImpacts[[#This Row],[row_id]] ) - ROW( data_scaledImpacts[[#Headers],[row_id]] )</f>
        <v>1966</v>
      </c>
      <c r="B1967" s="41" t="str">
        <f xml:space="preserve"> _xlfn.TEXTJOIN( "", , data_scaledImpacts[[#This Row],[sector]:[impactType]] )</f>
        <v>AirQualityGISS-E2-R72040PM</v>
      </c>
      <c r="C1967" s="33" t="s">
        <v>559</v>
      </c>
      <c r="D1967" s="33" t="s">
        <v>2</v>
      </c>
      <c r="E1967" s="34">
        <v>7</v>
      </c>
      <c r="F1967" s="34"/>
      <c r="G1967" s="34">
        <v>2040</v>
      </c>
      <c r="H1967" s="35" t="s">
        <v>659</v>
      </c>
      <c r="I1967" s="43" t="s">
        <v>753</v>
      </c>
    </row>
    <row r="1968" spans="1:16" hidden="1" x14ac:dyDescent="0.35">
      <c r="A1968" s="3">
        <f xml:space="preserve"> ROW( data_scaledImpacts[[#This Row],[row_id]] ) - ROW( data_scaledImpacts[[#Headers],[row_id]] )</f>
        <v>1967</v>
      </c>
      <c r="B1968" s="41" t="str">
        <f xml:space="preserve"> _xlfn.TEXTJOIN( "", , data_scaledImpacts[[#This Row],[sector]:[impactType]] )</f>
        <v>AirQualityHadGEM2-ES72040PM</v>
      </c>
      <c r="C1968" s="33" t="s">
        <v>559</v>
      </c>
      <c r="D1968" s="33" t="s">
        <v>3</v>
      </c>
      <c r="E1968" s="34">
        <v>7</v>
      </c>
      <c r="F1968" s="34"/>
      <c r="G1968" s="34">
        <v>2040</v>
      </c>
      <c r="H1968" s="35" t="s">
        <v>659</v>
      </c>
      <c r="I1968" s="43" t="s">
        <v>754</v>
      </c>
    </row>
    <row r="1969" spans="1:16" hidden="1" x14ac:dyDescent="0.35">
      <c r="A1969" s="3">
        <f xml:space="preserve"> ROW( data_scaledImpacts[[#This Row],[row_id]] ) - ROW( data_scaledImpacts[[#Headers],[row_id]] )</f>
        <v>1968</v>
      </c>
      <c r="B1969" s="41" t="str">
        <f xml:space="preserve"> _xlfn.TEXTJOIN( "", , data_scaledImpacts[[#This Row],[sector]:[impactType]] )</f>
        <v>AirQualityMIROC572040PM</v>
      </c>
      <c r="C1969" s="33" t="s">
        <v>559</v>
      </c>
      <c r="D1969" s="33" t="s">
        <v>4</v>
      </c>
      <c r="E1969" s="34">
        <v>7</v>
      </c>
      <c r="F1969" s="34"/>
      <c r="G1969" s="34">
        <v>2040</v>
      </c>
      <c r="H1969" s="35" t="s">
        <v>659</v>
      </c>
      <c r="I1969" s="43" t="s">
        <v>755</v>
      </c>
    </row>
    <row r="1970" spans="1:16" hidden="1" x14ac:dyDescent="0.35">
      <c r="A1970" s="3">
        <f xml:space="preserve"> ROW( data_scaledImpacts[[#This Row],[row_id]] ) - ROW( data_scaledImpacts[[#Headers],[row_id]] )</f>
        <v>1969</v>
      </c>
      <c r="B1970" s="41" t="str">
        <f xml:space="preserve"> _xlfn.TEXTJOIN( "", , data_scaledImpacts[[#This Row],[sector]:[impactType]] )</f>
        <v>AirQualityGFDL-CM372040PM</v>
      </c>
      <c r="C1970" s="33" t="s">
        <v>559</v>
      </c>
      <c r="D1970" s="33" t="s">
        <v>5</v>
      </c>
      <c r="E1970" s="34">
        <v>7</v>
      </c>
      <c r="F1970" s="34"/>
      <c r="G1970" s="34">
        <v>2040</v>
      </c>
      <c r="H1970" s="35" t="s">
        <v>659</v>
      </c>
      <c r="I1970" s="43" t="s">
        <v>756</v>
      </c>
    </row>
    <row r="1971" spans="1:16" hidden="1" x14ac:dyDescent="0.35">
      <c r="A1971" s="3">
        <f xml:space="preserve"> ROW( data_scaledImpacts[[#This Row],[row_id]] ) - ROW( data_scaledImpacts[[#Headers],[row_id]] )</f>
        <v>1970</v>
      </c>
      <c r="B1971" s="41" t="str">
        <f xml:space="preserve"> _xlfn.TEXTJOIN( "", , data_scaledImpacts[[#This Row],[sector]:[impactType]] )</f>
        <v>AirQualityGCM Average72040PM</v>
      </c>
      <c r="C1971" s="33" t="s">
        <v>559</v>
      </c>
      <c r="D1971" s="33" t="s">
        <v>15</v>
      </c>
      <c r="E1971" s="34">
        <v>7</v>
      </c>
      <c r="F1971" s="34"/>
      <c r="G1971" s="34">
        <v>2040</v>
      </c>
      <c r="H1971" s="35" t="s">
        <v>659</v>
      </c>
      <c r="I1971" s="43" t="s">
        <v>757</v>
      </c>
    </row>
    <row r="1972" spans="1:16" hidden="1" x14ac:dyDescent="0.35">
      <c r="A1972" s="3">
        <f xml:space="preserve"> ROW( data_scaledImpacts[[#This Row],[row_id]] ) - ROW( data_scaledImpacts[[#Headers],[row_id]] )</f>
        <v>1971</v>
      </c>
      <c r="B1972" s="41" t="str">
        <f xml:space="preserve"> _xlfn.TEXTJOIN( "", , data_scaledImpacts[[#This Row],[sector]:[impactType]] )</f>
        <v/>
      </c>
      <c r="C1972" s="33"/>
      <c r="D1972" s="33"/>
      <c r="E1972" s="34"/>
      <c r="F1972" s="34"/>
      <c r="G1972" s="34"/>
      <c r="H1972" s="35"/>
      <c r="I1972" s="43"/>
      <c r="J1972" s="36"/>
      <c r="K1972" s="36"/>
      <c r="L1972" s="37"/>
      <c r="M1972" s="36"/>
      <c r="N1972" s="36"/>
      <c r="O1972" s="36"/>
    </row>
    <row r="1973" spans="1:16" hidden="1" x14ac:dyDescent="0.35">
      <c r="A1973" s="3">
        <f xml:space="preserve"> ROW( data_scaledImpacts[[#This Row],[row_id]] ) - ROW( data_scaledImpacts[[#Headers],[row_id]] )</f>
        <v>1972</v>
      </c>
      <c r="B1973" s="41" t="str">
        <f xml:space="preserve"> _xlfn.TEXTJOIN( "", , data_scaledImpacts[[#This Row],[sector]:[impactType]] )</f>
        <v>LaborCanESM21N/A</v>
      </c>
      <c r="C1973" s="33" t="s">
        <v>34</v>
      </c>
      <c r="D1973" s="33" t="s">
        <v>0</v>
      </c>
      <c r="E1973" s="34">
        <v>1</v>
      </c>
      <c r="F1973" s="34"/>
      <c r="G1973" s="34" t="s">
        <v>201</v>
      </c>
      <c r="H1973" s="35"/>
      <c r="I1973" s="43" t="s">
        <v>35</v>
      </c>
      <c r="J1973" s="36">
        <v>2.1349194568768772</v>
      </c>
      <c r="K1973" s="36">
        <v>1.4048648307522509</v>
      </c>
      <c r="L1973" s="37">
        <v>3.3733660363376088</v>
      </c>
      <c r="M1973" s="36">
        <v>0.89734940781143624</v>
      </c>
      <c r="N1973" s="36">
        <v>5.0773689368231194</v>
      </c>
      <c r="O1973" s="36">
        <v>7.8691943294561604</v>
      </c>
      <c r="P1973">
        <v>4.2199295586932273</v>
      </c>
    </row>
    <row r="1974" spans="1:16" hidden="1" x14ac:dyDescent="0.35">
      <c r="A1974" s="3">
        <f xml:space="preserve"> ROW( data_scaledImpacts[[#This Row],[row_id]] ) - ROW( data_scaledImpacts[[#Headers],[row_id]] )</f>
        <v>1973</v>
      </c>
      <c r="B1974" s="41" t="str">
        <f xml:space="preserve"> _xlfn.TEXTJOIN( "", , data_scaledImpacts[[#This Row],[sector]:[impactType]] )</f>
        <v>LaborCCSM41N/A</v>
      </c>
      <c r="C1974" s="33" t="s">
        <v>34</v>
      </c>
      <c r="D1974" s="33" t="s">
        <v>1</v>
      </c>
      <c r="E1974" s="34">
        <v>1</v>
      </c>
      <c r="F1974" s="34"/>
      <c r="G1974" s="34" t="s">
        <v>201</v>
      </c>
      <c r="H1974" s="35"/>
      <c r="I1974" s="43" t="s">
        <v>36</v>
      </c>
      <c r="J1974" s="36">
        <v>3.5569362815991767</v>
      </c>
      <c r="K1974" s="36">
        <v>1.405737521614288</v>
      </c>
      <c r="L1974" s="37">
        <v>5.2606131756430985</v>
      </c>
      <c r="M1974" s="36">
        <v>1.2983681387463013</v>
      </c>
      <c r="N1974" s="36">
        <v>4.9459996646354139</v>
      </c>
      <c r="O1974" s="36">
        <v>9.1672757994910619</v>
      </c>
      <c r="P1974">
        <v>4.65680620370168</v>
      </c>
    </row>
    <row r="1975" spans="1:16" hidden="1" x14ac:dyDescent="0.35">
      <c r="A1975" s="3">
        <f xml:space="preserve"> ROW( data_scaledImpacts[[#This Row],[row_id]] ) - ROW( data_scaledImpacts[[#Headers],[row_id]] )</f>
        <v>1974</v>
      </c>
      <c r="B1975" s="41" t="str">
        <f xml:space="preserve"> _xlfn.TEXTJOIN( "", , data_scaledImpacts[[#This Row],[sector]:[impactType]] )</f>
        <v>LaborGISS-E2-R1N/A</v>
      </c>
      <c r="C1975" s="33" t="s">
        <v>34</v>
      </c>
      <c r="D1975" s="33" t="s">
        <v>2</v>
      </c>
      <c r="E1975" s="34">
        <v>1</v>
      </c>
      <c r="F1975" s="34"/>
      <c r="G1975" s="34" t="s">
        <v>201</v>
      </c>
      <c r="H1975" s="35"/>
      <c r="I1975" s="43" t="s">
        <v>37</v>
      </c>
      <c r="J1975" s="36">
        <v>0.75993644571403296</v>
      </c>
      <c r="K1975" s="36">
        <v>0.99554278910294869</v>
      </c>
      <c r="L1975" s="37">
        <v>1.7474416186924235</v>
      </c>
      <c r="M1975" s="36">
        <v>0.96416536085191662</v>
      </c>
      <c r="N1975" s="36">
        <v>2.2905068183212216</v>
      </c>
      <c r="O1975" s="36">
        <v>5.688574054259635</v>
      </c>
      <c r="P1975">
        <v>5.0893738927087657</v>
      </c>
    </row>
    <row r="1976" spans="1:16" hidden="1" x14ac:dyDescent="0.35">
      <c r="A1976" s="3">
        <f xml:space="preserve"> ROW( data_scaledImpacts[[#This Row],[row_id]] ) - ROW( data_scaledImpacts[[#Headers],[row_id]] )</f>
        <v>1975</v>
      </c>
      <c r="B1976" s="41" t="str">
        <f xml:space="preserve"> _xlfn.TEXTJOIN( "", , data_scaledImpacts[[#This Row],[sector]:[impactType]] )</f>
        <v>LaborHadGEM2-ES1N/A</v>
      </c>
      <c r="C1976" s="33" t="s">
        <v>34</v>
      </c>
      <c r="D1976" s="33" t="s">
        <v>3</v>
      </c>
      <c r="E1976" s="34">
        <v>1</v>
      </c>
      <c r="F1976" s="34"/>
      <c r="G1976" s="34" t="s">
        <v>201</v>
      </c>
      <c r="H1976" s="35"/>
      <c r="I1976" s="43" t="s">
        <v>38</v>
      </c>
      <c r="J1976" s="36">
        <v>4.2180294963079064</v>
      </c>
      <c r="K1976" s="36">
        <v>1.6158585742559446</v>
      </c>
      <c r="L1976" s="37">
        <v>2.7495130832049441</v>
      </c>
      <c r="M1976" s="36">
        <v>0.87817065144320106</v>
      </c>
      <c r="N1976" s="36">
        <v>9.2941673914069689</v>
      </c>
      <c r="O1976" s="36">
        <v>10.422868481703368</v>
      </c>
      <c r="P1976">
        <v>4.1551043308619846</v>
      </c>
    </row>
    <row r="1977" spans="1:16" hidden="1" x14ac:dyDescent="0.35">
      <c r="A1977" s="3">
        <f xml:space="preserve"> ROW( data_scaledImpacts[[#This Row],[row_id]] ) - ROW( data_scaledImpacts[[#Headers],[row_id]] )</f>
        <v>1976</v>
      </c>
      <c r="B1977" s="41" t="str">
        <f xml:space="preserve"> _xlfn.TEXTJOIN( "", , data_scaledImpacts[[#This Row],[sector]:[impactType]] )</f>
        <v>LaborMIROC51N/A</v>
      </c>
      <c r="C1977" s="33" t="s">
        <v>34</v>
      </c>
      <c r="D1977" s="33" t="s">
        <v>4</v>
      </c>
      <c r="E1977" s="34">
        <v>1</v>
      </c>
      <c r="F1977" s="34"/>
      <c r="G1977" s="34" t="s">
        <v>201</v>
      </c>
      <c r="H1977" s="35"/>
      <c r="I1977" s="43" t="s">
        <v>39</v>
      </c>
      <c r="J1977" s="36">
        <v>2.0870956747805973</v>
      </c>
      <c r="K1977" s="36">
        <v>0.49866438142528602</v>
      </c>
      <c r="L1977" s="37">
        <v>2.7735184212054804</v>
      </c>
      <c r="M1977" s="36">
        <v>0.70849978048272944</v>
      </c>
      <c r="N1977" s="36">
        <v>4.5299859892350476</v>
      </c>
      <c r="O1977" s="36">
        <v>12.351084951899113</v>
      </c>
      <c r="P1977">
        <v>3.9294354280794881</v>
      </c>
    </row>
    <row r="1978" spans="1:16" hidden="1" x14ac:dyDescent="0.35">
      <c r="A1978" s="3">
        <f xml:space="preserve"> ROW( data_scaledImpacts[[#This Row],[row_id]] ) - ROW( data_scaledImpacts[[#Headers],[row_id]] )</f>
        <v>1977</v>
      </c>
      <c r="B1978" s="41" t="str">
        <f xml:space="preserve"> _xlfn.TEXTJOIN( "", , data_scaledImpacts[[#This Row],[sector]:[impactType]] )</f>
        <v>LaborGFDL-CM31N/A</v>
      </c>
      <c r="C1978" s="33" t="s">
        <v>34</v>
      </c>
      <c r="D1978" s="33" t="s">
        <v>5</v>
      </c>
      <c r="E1978" s="34">
        <v>1</v>
      </c>
      <c r="F1978" s="34"/>
      <c r="G1978" s="34" t="s">
        <v>201</v>
      </c>
      <c r="H1978" s="35"/>
      <c r="I1978" s="43" t="s">
        <v>40</v>
      </c>
      <c r="J1978" s="36">
        <v>2.8591312280919166</v>
      </c>
      <c r="K1978" s="36">
        <v>2.4397064805743893</v>
      </c>
      <c r="L1978" s="37">
        <v>2.210380249106914</v>
      </c>
      <c r="M1978" s="36">
        <v>0.89833188769711481</v>
      </c>
      <c r="N1978" s="36">
        <v>7.9339795627703333</v>
      </c>
      <c r="O1978" s="36">
        <v>15.563254459089944</v>
      </c>
      <c r="P1978">
        <v>8.2032314415860643</v>
      </c>
    </row>
    <row r="1979" spans="1:16" hidden="1" x14ac:dyDescent="0.35">
      <c r="A1979" s="3">
        <f xml:space="preserve"> ROW( data_scaledImpacts[[#This Row],[row_id]] ) - ROW( data_scaledImpacts[[#Headers],[row_id]] )</f>
        <v>1978</v>
      </c>
      <c r="B1979" s="41" t="str">
        <f xml:space="preserve"> _xlfn.TEXTJOIN( "", , data_scaledImpacts[[#This Row],[sector]:[impactType]] )</f>
        <v>LaborGCM Average1N/A</v>
      </c>
      <c r="C1979" s="33" t="s">
        <v>34</v>
      </c>
      <c r="D1979" s="33" t="s">
        <v>15</v>
      </c>
      <c r="E1979" s="34">
        <v>1</v>
      </c>
      <c r="F1979" s="34"/>
      <c r="G1979" s="34" t="s">
        <v>201</v>
      </c>
      <c r="H1979" s="35"/>
      <c r="I1979" s="43" t="s">
        <v>41</v>
      </c>
      <c r="J1979" s="36">
        <v>2.6026747638950845</v>
      </c>
      <c r="K1979" s="36">
        <v>1.3933957629541844</v>
      </c>
      <c r="L1979" s="37">
        <v>3.0191387640317449</v>
      </c>
      <c r="M1979" s="36">
        <v>0.94081420450544995</v>
      </c>
      <c r="N1979" s="36">
        <v>5.6786680605320177</v>
      </c>
      <c r="O1979" s="36">
        <v>10.17704201264988</v>
      </c>
      <c r="P1979">
        <v>5.0423134759385349</v>
      </c>
    </row>
    <row r="1980" spans="1:16" hidden="1" x14ac:dyDescent="0.35">
      <c r="A1980" s="3">
        <f xml:space="preserve"> ROW( data_scaledImpacts[[#This Row],[row_id]] ) - ROW( data_scaledImpacts[[#Headers],[row_id]] )</f>
        <v>1979</v>
      </c>
      <c r="B1980" s="41" t="str">
        <f xml:space="preserve"> _xlfn.TEXTJOIN( "", , data_scaledImpacts[[#This Row],[sector]:[impactType]] )</f>
        <v>LaborCanESM22N/A</v>
      </c>
      <c r="C1980" s="33" t="s">
        <v>34</v>
      </c>
      <c r="D1980" s="33" t="s">
        <v>0</v>
      </c>
      <c r="E1980" s="34">
        <v>2</v>
      </c>
      <c r="F1980" s="34"/>
      <c r="G1980" s="34" t="s">
        <v>201</v>
      </c>
      <c r="H1980" s="35"/>
      <c r="I1980" s="43" t="s">
        <v>42</v>
      </c>
      <c r="J1980" s="36">
        <v>5.35801103914726</v>
      </c>
      <c r="K1980" s="36">
        <v>4.7786132142814948</v>
      </c>
      <c r="L1980" s="37">
        <v>7.1621153438915082</v>
      </c>
      <c r="M1980" s="36">
        <v>2.8889333462713553</v>
      </c>
      <c r="N1980" s="36">
        <v>13.180304021237502</v>
      </c>
      <c r="O1980" s="36">
        <v>14.37866236801287</v>
      </c>
      <c r="P1980">
        <v>9.953529021810299</v>
      </c>
    </row>
    <row r="1981" spans="1:16" hidden="1" x14ac:dyDescent="0.35">
      <c r="A1981" s="3">
        <f xml:space="preserve"> ROW( data_scaledImpacts[[#This Row],[row_id]] ) - ROW( data_scaledImpacts[[#Headers],[row_id]] )</f>
        <v>1980</v>
      </c>
      <c r="B1981" s="41" t="str">
        <f xml:space="preserve"> _xlfn.TEXTJOIN( "", , data_scaledImpacts[[#This Row],[sector]:[impactType]] )</f>
        <v>LaborCCSM42N/A</v>
      </c>
      <c r="C1981" s="33" t="s">
        <v>34</v>
      </c>
      <c r="D1981" s="33" t="s">
        <v>1</v>
      </c>
      <c r="E1981" s="34">
        <v>2</v>
      </c>
      <c r="F1981" s="34"/>
      <c r="G1981" s="34" t="s">
        <v>201</v>
      </c>
      <c r="H1981" s="35"/>
      <c r="I1981" s="43" t="s">
        <v>43</v>
      </c>
      <c r="J1981" s="36">
        <v>9.7557663654245648</v>
      </c>
      <c r="K1981" s="36">
        <v>4.0465717490164472</v>
      </c>
      <c r="L1981" s="37">
        <v>10.343170419364505</v>
      </c>
      <c r="M1981" s="36">
        <v>2.8708848431155078</v>
      </c>
      <c r="N1981" s="36">
        <v>13.289850623051223</v>
      </c>
      <c r="O1981" s="36">
        <v>19.137877750969746</v>
      </c>
      <c r="P1981">
        <v>9.1104784971762776</v>
      </c>
    </row>
    <row r="1982" spans="1:16" hidden="1" x14ac:dyDescent="0.35">
      <c r="A1982" s="3">
        <f xml:space="preserve"> ROW( data_scaledImpacts[[#This Row],[row_id]] ) - ROW( data_scaledImpacts[[#Headers],[row_id]] )</f>
        <v>1981</v>
      </c>
      <c r="B1982" s="41" t="str">
        <f xml:space="preserve"> _xlfn.TEXTJOIN( "", , data_scaledImpacts[[#This Row],[sector]:[impactType]] )</f>
        <v>LaborGISS-E2-R2N/A</v>
      </c>
      <c r="C1982" s="33" t="s">
        <v>34</v>
      </c>
      <c r="D1982" s="33" t="s">
        <v>2</v>
      </c>
      <c r="E1982" s="34">
        <v>2</v>
      </c>
      <c r="F1982" s="34"/>
      <c r="G1982" s="34" t="s">
        <v>201</v>
      </c>
      <c r="H1982" s="35"/>
      <c r="I1982" s="43" t="s">
        <v>44</v>
      </c>
      <c r="J1982" s="36">
        <v>1.9426219220672629</v>
      </c>
      <c r="K1982" s="36">
        <v>1.6633106035342293</v>
      </c>
      <c r="L1982" s="37">
        <v>3.0786413038864779</v>
      </c>
      <c r="M1982" s="36">
        <v>2.9374007790291667</v>
      </c>
      <c r="N1982" s="36">
        <v>8.4953134739956582</v>
      </c>
      <c r="O1982" s="36">
        <v>13.029869090973909</v>
      </c>
      <c r="P1982">
        <v>11.975236997149819</v>
      </c>
    </row>
    <row r="1983" spans="1:16" hidden="1" x14ac:dyDescent="0.35">
      <c r="A1983" s="3">
        <f xml:space="preserve"> ROW( data_scaledImpacts[[#This Row],[row_id]] ) - ROW( data_scaledImpacts[[#Headers],[row_id]] )</f>
        <v>1982</v>
      </c>
      <c r="B1983" s="41" t="str">
        <f xml:space="preserve"> _xlfn.TEXTJOIN( "", , data_scaledImpacts[[#This Row],[sector]:[impactType]] )</f>
        <v>LaborHadGEM2-ES2N/A</v>
      </c>
      <c r="C1983" s="33" t="s">
        <v>34</v>
      </c>
      <c r="D1983" s="33" t="s">
        <v>3</v>
      </c>
      <c r="E1983" s="34">
        <v>2</v>
      </c>
      <c r="F1983" s="34"/>
      <c r="G1983" s="34" t="s">
        <v>201</v>
      </c>
      <c r="H1983" s="35"/>
      <c r="I1983" s="43" t="s">
        <v>45</v>
      </c>
      <c r="J1983" s="36">
        <v>10.177580723024192</v>
      </c>
      <c r="K1983" s="36">
        <v>4.649465632670629</v>
      </c>
      <c r="L1983" s="37">
        <v>7.1454628211047293</v>
      </c>
      <c r="M1983" s="36">
        <v>2.0679466722790703</v>
      </c>
      <c r="N1983" s="36">
        <v>16.462383267767386</v>
      </c>
      <c r="O1983" s="36">
        <v>21.110761462504815</v>
      </c>
      <c r="P1983">
        <v>8.5950177312593024</v>
      </c>
    </row>
    <row r="1984" spans="1:16" hidden="1" x14ac:dyDescent="0.35">
      <c r="A1984" s="3">
        <f xml:space="preserve"> ROW( data_scaledImpacts[[#This Row],[row_id]] ) - ROW( data_scaledImpacts[[#Headers],[row_id]] )</f>
        <v>1983</v>
      </c>
      <c r="B1984" s="41" t="str">
        <f xml:space="preserve"> _xlfn.TEXTJOIN( "", , data_scaledImpacts[[#This Row],[sector]:[impactType]] )</f>
        <v>LaborMIROC52N/A</v>
      </c>
      <c r="C1984" s="33" t="s">
        <v>34</v>
      </c>
      <c r="D1984" s="33" t="s">
        <v>4</v>
      </c>
      <c r="E1984" s="34">
        <v>2</v>
      </c>
      <c r="F1984" s="34"/>
      <c r="G1984" s="34" t="s">
        <v>201</v>
      </c>
      <c r="H1984" s="35"/>
      <c r="I1984" s="43" t="s">
        <v>46</v>
      </c>
      <c r="J1984" s="36">
        <v>4.44713537504831</v>
      </c>
      <c r="K1984" s="36">
        <v>2.0526147640792498</v>
      </c>
      <c r="L1984" s="37">
        <v>6.3958034891287214</v>
      </c>
      <c r="M1984" s="36">
        <v>1.1512776750496241</v>
      </c>
      <c r="N1984" s="36">
        <v>9.5495491812651494</v>
      </c>
      <c r="O1984" s="36">
        <v>19.518535500849978</v>
      </c>
      <c r="P1984">
        <v>8.0711658919417335</v>
      </c>
    </row>
    <row r="1985" spans="1:16" hidden="1" x14ac:dyDescent="0.35">
      <c r="A1985" s="3">
        <f xml:space="preserve"> ROW( data_scaledImpacts[[#This Row],[row_id]] ) - ROW( data_scaledImpacts[[#Headers],[row_id]] )</f>
        <v>1984</v>
      </c>
      <c r="B1985" s="41" t="str">
        <f xml:space="preserve"> _xlfn.TEXTJOIN( "", , data_scaledImpacts[[#This Row],[sector]:[impactType]] )</f>
        <v>LaborGFDL-CM32N/A</v>
      </c>
      <c r="C1985" s="33" t="s">
        <v>34</v>
      </c>
      <c r="D1985" s="33" t="s">
        <v>5</v>
      </c>
      <c r="E1985" s="34">
        <v>2</v>
      </c>
      <c r="F1985" s="34"/>
      <c r="G1985" s="34" t="s">
        <v>201</v>
      </c>
      <c r="H1985" s="35"/>
      <c r="I1985" s="43" t="s">
        <v>47</v>
      </c>
      <c r="J1985" s="36">
        <v>5.7690476265897095</v>
      </c>
      <c r="K1985" s="36">
        <v>3.9583617018897441</v>
      </c>
      <c r="L1985" s="37">
        <v>6.6008682774276428</v>
      </c>
      <c r="M1985" s="36">
        <v>3.4643959926360455</v>
      </c>
      <c r="N1985" s="36">
        <v>12.685967701664516</v>
      </c>
      <c r="O1985" s="36">
        <v>20.5992852203442</v>
      </c>
      <c r="P1985">
        <v>13.556762437469667</v>
      </c>
    </row>
    <row r="1986" spans="1:16" hidden="1" x14ac:dyDescent="0.35">
      <c r="A1986" s="3">
        <f xml:space="preserve"> ROW( data_scaledImpacts[[#This Row],[row_id]] ) - ROW( data_scaledImpacts[[#Headers],[row_id]] )</f>
        <v>1985</v>
      </c>
      <c r="B1986" s="41" t="str">
        <f xml:space="preserve"> _xlfn.TEXTJOIN( "", , data_scaledImpacts[[#This Row],[sector]:[impactType]] )</f>
        <v>LaborGCM Average2N/A</v>
      </c>
      <c r="C1986" s="33" t="s">
        <v>34</v>
      </c>
      <c r="D1986" s="33" t="s">
        <v>15</v>
      </c>
      <c r="E1986" s="34">
        <v>2</v>
      </c>
      <c r="F1986" s="34"/>
      <c r="G1986" s="34" t="s">
        <v>201</v>
      </c>
      <c r="H1986" s="35"/>
      <c r="I1986" s="43" t="s">
        <v>48</v>
      </c>
      <c r="J1986" s="36">
        <v>6.2416938418835501</v>
      </c>
      <c r="K1986" s="36">
        <v>3.5248229442452987</v>
      </c>
      <c r="L1986" s="37">
        <v>6.7876769424672645</v>
      </c>
      <c r="M1986" s="36">
        <v>2.5634732180634616</v>
      </c>
      <c r="N1986" s="36">
        <v>12.277228044830238</v>
      </c>
      <c r="O1986" s="36">
        <v>17.962498565609256</v>
      </c>
      <c r="P1986">
        <v>10.210365096134517</v>
      </c>
    </row>
    <row r="1987" spans="1:16" hidden="1" x14ac:dyDescent="0.35">
      <c r="A1987" s="3">
        <f xml:space="preserve"> ROW( data_scaledImpacts[[#This Row],[row_id]] ) - ROW( data_scaledImpacts[[#Headers],[row_id]] )</f>
        <v>1986</v>
      </c>
      <c r="B1987" s="41" t="str">
        <f xml:space="preserve"> _xlfn.TEXTJOIN( "", , data_scaledImpacts[[#This Row],[sector]:[impactType]] )</f>
        <v>LaborCanESM23N/A</v>
      </c>
      <c r="C1987" s="33" t="s">
        <v>34</v>
      </c>
      <c r="D1987" s="33" t="s">
        <v>0</v>
      </c>
      <c r="E1987" s="34">
        <v>3</v>
      </c>
      <c r="F1987" s="34"/>
      <c r="G1987" s="34" t="s">
        <v>201</v>
      </c>
      <c r="H1987" s="35"/>
      <c r="I1987" s="43" t="s">
        <v>49</v>
      </c>
      <c r="J1987" s="36">
        <v>7.326905552897097</v>
      </c>
      <c r="K1987" s="36">
        <v>6.6864482576865187</v>
      </c>
      <c r="L1987" s="37">
        <v>10.431221805183062</v>
      </c>
      <c r="M1987" s="36">
        <v>5.6369214712699778</v>
      </c>
      <c r="N1987" s="36">
        <v>17.761866261312914</v>
      </c>
      <c r="O1987" s="36">
        <v>21.958329505523054</v>
      </c>
      <c r="P1987">
        <v>15.136368803210537</v>
      </c>
    </row>
    <row r="1988" spans="1:16" hidden="1" x14ac:dyDescent="0.35">
      <c r="A1988" s="3">
        <f xml:space="preserve"> ROW( data_scaledImpacts[[#This Row],[row_id]] ) - ROW( data_scaledImpacts[[#Headers],[row_id]] )</f>
        <v>1987</v>
      </c>
      <c r="B1988" s="41" t="str">
        <f xml:space="preserve"> _xlfn.TEXTJOIN( "", , data_scaledImpacts[[#This Row],[sector]:[impactType]] )</f>
        <v>LaborCCSM43N/A</v>
      </c>
      <c r="C1988" s="33" t="s">
        <v>34</v>
      </c>
      <c r="D1988" s="33" t="s">
        <v>1</v>
      </c>
      <c r="E1988" s="34">
        <v>3</v>
      </c>
      <c r="F1988" s="34"/>
      <c r="G1988" s="34" t="s">
        <v>201</v>
      </c>
      <c r="H1988" s="35"/>
      <c r="I1988" s="43" t="s">
        <v>50</v>
      </c>
      <c r="J1988" s="36">
        <v>14.327002844949426</v>
      </c>
      <c r="K1988" s="36">
        <v>7.8461400676289834</v>
      </c>
      <c r="L1988" s="37">
        <v>15.785216986262908</v>
      </c>
      <c r="M1988" s="36">
        <v>4.3090928967463071</v>
      </c>
      <c r="N1988" s="36">
        <v>19.59654217989312</v>
      </c>
      <c r="O1988" s="36">
        <v>26.192679323869893</v>
      </c>
      <c r="P1988">
        <v>13.849218944859295</v>
      </c>
    </row>
    <row r="1989" spans="1:16" hidden="1" x14ac:dyDescent="0.35">
      <c r="A1989" s="3">
        <f xml:space="preserve"> ROW( data_scaledImpacts[[#This Row],[row_id]] ) - ROW( data_scaledImpacts[[#Headers],[row_id]] )</f>
        <v>1988</v>
      </c>
      <c r="B1989" s="41" t="str">
        <f xml:space="preserve"> _xlfn.TEXTJOIN( "", , data_scaledImpacts[[#This Row],[sector]:[impactType]] )</f>
        <v>LaborGISS-E2-R3N/A</v>
      </c>
      <c r="C1989" s="33" t="s">
        <v>34</v>
      </c>
      <c r="D1989" s="33" t="s">
        <v>2</v>
      </c>
      <c r="E1989" s="34">
        <v>3</v>
      </c>
      <c r="F1989" s="34"/>
      <c r="G1989" s="34" t="s">
        <v>201</v>
      </c>
      <c r="H1989" s="35"/>
      <c r="I1989" s="43" t="s">
        <v>51</v>
      </c>
      <c r="J1989" s="36">
        <v>7.9015670512060039</v>
      </c>
      <c r="K1989" s="36">
        <v>5.3901228880979701</v>
      </c>
      <c r="L1989" s="37">
        <v>10.995731455794127</v>
      </c>
      <c r="M1989" s="36">
        <v>4.3108030122614176</v>
      </c>
      <c r="N1989" s="36">
        <v>17.335318165964949</v>
      </c>
      <c r="O1989" s="36">
        <v>23.204302095595896</v>
      </c>
      <c r="P1989">
        <v>19.009956834026131</v>
      </c>
    </row>
    <row r="1990" spans="1:16" hidden="1" x14ac:dyDescent="0.35">
      <c r="A1990" s="3">
        <f xml:space="preserve"> ROW( data_scaledImpacts[[#This Row],[row_id]] ) - ROW( data_scaledImpacts[[#Headers],[row_id]] )</f>
        <v>1989</v>
      </c>
      <c r="B1990" s="41" t="str">
        <f xml:space="preserve"> _xlfn.TEXTJOIN( "", , data_scaledImpacts[[#This Row],[sector]:[impactType]] )</f>
        <v>LaborHadGEM2-ES3N/A</v>
      </c>
      <c r="C1990" s="33" t="s">
        <v>34</v>
      </c>
      <c r="D1990" s="33" t="s">
        <v>3</v>
      </c>
      <c r="E1990" s="34">
        <v>3</v>
      </c>
      <c r="F1990" s="34"/>
      <c r="G1990" s="34" t="s">
        <v>201</v>
      </c>
      <c r="H1990" s="35"/>
      <c r="I1990" s="43" t="s">
        <v>52</v>
      </c>
      <c r="J1990" s="36">
        <v>18.394832666380836</v>
      </c>
      <c r="K1990" s="36">
        <v>8.1694933572841055</v>
      </c>
      <c r="L1990" s="37">
        <v>12.749782457997599</v>
      </c>
      <c r="M1990" s="36">
        <v>3.1129097898320408</v>
      </c>
      <c r="N1990" s="36">
        <v>31.069490140157555</v>
      </c>
      <c r="O1990" s="36">
        <v>31.788038113593476</v>
      </c>
      <c r="P1990">
        <v>13.215181502833728</v>
      </c>
    </row>
    <row r="1991" spans="1:16" hidden="1" x14ac:dyDescent="0.35">
      <c r="A1991" s="3">
        <f xml:space="preserve"> ROW( data_scaledImpacts[[#This Row],[row_id]] ) - ROW( data_scaledImpacts[[#Headers],[row_id]] )</f>
        <v>1990</v>
      </c>
      <c r="B1991" s="41" t="str">
        <f xml:space="preserve"> _xlfn.TEXTJOIN( "", , data_scaledImpacts[[#This Row],[sector]:[impactType]] )</f>
        <v>LaborMIROC53N/A</v>
      </c>
      <c r="C1991" s="33" t="s">
        <v>34</v>
      </c>
      <c r="D1991" s="33" t="s">
        <v>4</v>
      </c>
      <c r="E1991" s="34">
        <v>3</v>
      </c>
      <c r="F1991" s="34"/>
      <c r="G1991" s="34" t="s">
        <v>201</v>
      </c>
      <c r="H1991" s="35"/>
      <c r="I1991" s="43" t="s">
        <v>53</v>
      </c>
      <c r="J1991" s="36">
        <v>5.7036429674810591</v>
      </c>
      <c r="K1991" s="36">
        <v>4.4820569607856084</v>
      </c>
      <c r="L1991" s="37">
        <v>8.3576000479376873</v>
      </c>
      <c r="M1991" s="36">
        <v>2.1278483249836273</v>
      </c>
      <c r="N1991" s="36">
        <v>14.387148325713126</v>
      </c>
      <c r="O1991" s="36">
        <v>25.45952652420273</v>
      </c>
      <c r="P1991">
        <v>12.611968807761166</v>
      </c>
    </row>
    <row r="1992" spans="1:16" hidden="1" x14ac:dyDescent="0.35">
      <c r="A1992" s="3">
        <f xml:space="preserve"> ROW( data_scaledImpacts[[#This Row],[row_id]] ) - ROW( data_scaledImpacts[[#Headers],[row_id]] )</f>
        <v>1991</v>
      </c>
      <c r="B1992" s="41" t="str">
        <f xml:space="preserve"> _xlfn.TEXTJOIN( "", , data_scaledImpacts[[#This Row],[sector]:[impactType]] )</f>
        <v>LaborGFDL-CM33N/A</v>
      </c>
      <c r="C1992" s="33" t="s">
        <v>34</v>
      </c>
      <c r="D1992" s="33" t="s">
        <v>5</v>
      </c>
      <c r="E1992" s="34">
        <v>3</v>
      </c>
      <c r="F1992" s="34"/>
      <c r="G1992" s="34" t="s">
        <v>201</v>
      </c>
      <c r="H1992" s="35"/>
      <c r="I1992" s="43" t="s">
        <v>54</v>
      </c>
      <c r="J1992" s="36">
        <v>9.0968758129298255</v>
      </c>
      <c r="K1992" s="36">
        <v>8.84740360764809</v>
      </c>
      <c r="L1992" s="37">
        <v>7.1951391860028444</v>
      </c>
      <c r="M1992" s="36">
        <v>4.4012527275643629</v>
      </c>
      <c r="N1992" s="36">
        <v>20.276245390147839</v>
      </c>
      <c r="O1992" s="36">
        <v>28.797386082229878</v>
      </c>
      <c r="P1992">
        <v>21.983527849440094</v>
      </c>
    </row>
    <row r="1993" spans="1:16" hidden="1" x14ac:dyDescent="0.35">
      <c r="A1993" s="3">
        <f xml:space="preserve"> ROW( data_scaledImpacts[[#This Row],[row_id]] ) - ROW( data_scaledImpacts[[#Headers],[row_id]] )</f>
        <v>1992</v>
      </c>
      <c r="B1993" s="41" t="str">
        <f xml:space="preserve"> _xlfn.TEXTJOIN( "", , data_scaledImpacts[[#This Row],[sector]:[impactType]] )</f>
        <v>LaborGCM Average3N/A</v>
      </c>
      <c r="C1993" s="33" t="s">
        <v>34</v>
      </c>
      <c r="D1993" s="33" t="s">
        <v>15</v>
      </c>
      <c r="E1993" s="34">
        <v>3</v>
      </c>
      <c r="F1993" s="34"/>
      <c r="G1993" s="34" t="s">
        <v>201</v>
      </c>
      <c r="H1993" s="35"/>
      <c r="I1993" s="43" t="s">
        <v>55</v>
      </c>
      <c r="J1993" s="36">
        <v>10.458471149307373</v>
      </c>
      <c r="K1993" s="36">
        <v>6.9036108565218788</v>
      </c>
      <c r="L1993" s="37">
        <v>10.919115323196371</v>
      </c>
      <c r="M1993" s="36">
        <v>3.9831380371096223</v>
      </c>
      <c r="N1993" s="36">
        <v>20.071101743864919</v>
      </c>
      <c r="O1993" s="36">
        <v>26.233376940835822</v>
      </c>
      <c r="P1993">
        <v>15.967703790355159</v>
      </c>
    </row>
    <row r="1994" spans="1:16" hidden="1" x14ac:dyDescent="0.35">
      <c r="A1994" s="3">
        <f xml:space="preserve"> ROW( data_scaledImpacts[[#This Row],[row_id]] ) - ROW( data_scaledImpacts[[#Headers],[row_id]] )</f>
        <v>1993</v>
      </c>
      <c r="B1994" s="41" t="str">
        <f xml:space="preserve"> _xlfn.TEXTJOIN( "", , data_scaledImpacts[[#This Row],[sector]:[impactType]] )</f>
        <v>LaborCanESM24N/A</v>
      </c>
      <c r="C1994" s="33" t="s">
        <v>34</v>
      </c>
      <c r="D1994" s="33" t="s">
        <v>0</v>
      </c>
      <c r="E1994" s="34">
        <v>4</v>
      </c>
      <c r="F1994" s="34"/>
      <c r="G1994" s="34" t="s">
        <v>201</v>
      </c>
      <c r="H1994" s="35"/>
      <c r="I1994" s="43" t="s">
        <v>56</v>
      </c>
      <c r="J1994" s="36">
        <v>12.143618512714157</v>
      </c>
      <c r="K1994" s="36">
        <v>12.041166636405734</v>
      </c>
      <c r="L1994" s="37">
        <v>16.166661880003929</v>
      </c>
      <c r="M1994" s="36">
        <v>9.8965975412924134</v>
      </c>
      <c r="N1994" s="36">
        <v>25.215473637334028</v>
      </c>
      <c r="O1994" s="36">
        <v>29.171755112341234</v>
      </c>
      <c r="P1994">
        <v>19.888683582724358</v>
      </c>
    </row>
    <row r="1995" spans="1:16" hidden="1" x14ac:dyDescent="0.35">
      <c r="A1995" s="3">
        <f xml:space="preserve"> ROW( data_scaledImpacts[[#This Row],[row_id]] ) - ROW( data_scaledImpacts[[#Headers],[row_id]] )</f>
        <v>1994</v>
      </c>
      <c r="B1995" s="41" t="str">
        <f xml:space="preserve"> _xlfn.TEXTJOIN( "", , data_scaledImpacts[[#This Row],[sector]:[impactType]] )</f>
        <v>LaborCCSM44N/A</v>
      </c>
      <c r="C1995" s="33" t="s">
        <v>34</v>
      </c>
      <c r="D1995" s="33" t="s">
        <v>1</v>
      </c>
      <c r="E1995" s="34">
        <v>4</v>
      </c>
      <c r="F1995" s="34"/>
      <c r="G1995" s="34" t="s">
        <v>201</v>
      </c>
      <c r="H1995" s="35"/>
      <c r="I1995" s="43" t="s">
        <v>57</v>
      </c>
      <c r="J1995" s="36">
        <v>16.652832572985371</v>
      </c>
      <c r="K1995" s="36">
        <v>11.46370504312025</v>
      </c>
      <c r="L1995" s="37">
        <v>19.468576613517993</v>
      </c>
      <c r="M1995" s="36">
        <v>8.165010401388118</v>
      </c>
      <c r="N1995" s="36">
        <v>28.12526920329951</v>
      </c>
      <c r="O1995" s="36">
        <v>29.214208081038848</v>
      </c>
      <c r="P1995">
        <v>18.226289236850114</v>
      </c>
    </row>
    <row r="1996" spans="1:16" hidden="1" x14ac:dyDescent="0.35">
      <c r="A1996" s="3">
        <f xml:space="preserve"> ROW( data_scaledImpacts[[#This Row],[row_id]] ) - ROW( data_scaledImpacts[[#Headers],[row_id]] )</f>
        <v>1995</v>
      </c>
      <c r="B1996" s="41" t="str">
        <f xml:space="preserve"> _xlfn.TEXTJOIN( "", , data_scaledImpacts[[#This Row],[sector]:[impactType]] )</f>
        <v>LaborGISS-E2-R4N/A</v>
      </c>
      <c r="C1996" s="33" t="s">
        <v>34</v>
      </c>
      <c r="D1996" s="33" t="s">
        <v>2</v>
      </c>
      <c r="E1996" s="34">
        <v>4</v>
      </c>
      <c r="F1996" s="34"/>
      <c r="G1996" s="34" t="s">
        <v>201</v>
      </c>
      <c r="H1996" s="35"/>
      <c r="I1996" s="43" t="s">
        <v>58</v>
      </c>
      <c r="J1996" s="36"/>
      <c r="K1996" s="36"/>
      <c r="L1996" s="37"/>
      <c r="M1996" s="36"/>
      <c r="N1996" s="36"/>
      <c r="O1996" s="36"/>
    </row>
    <row r="1997" spans="1:16" hidden="1" x14ac:dyDescent="0.35">
      <c r="A1997" s="3">
        <f xml:space="preserve"> ROW( data_scaledImpacts[[#This Row],[row_id]] ) - ROW( data_scaledImpacts[[#Headers],[row_id]] )</f>
        <v>1996</v>
      </c>
      <c r="B1997" s="41" t="str">
        <f xml:space="preserve"> _xlfn.TEXTJOIN( "", , data_scaledImpacts[[#This Row],[sector]:[impactType]] )</f>
        <v>LaborHadGEM2-ES4N/A</v>
      </c>
      <c r="C1997" s="33" t="s">
        <v>34</v>
      </c>
      <c r="D1997" s="33" t="s">
        <v>3</v>
      </c>
      <c r="E1997" s="34">
        <v>4</v>
      </c>
      <c r="F1997" s="34"/>
      <c r="G1997" s="34" t="s">
        <v>201</v>
      </c>
      <c r="H1997" s="35"/>
      <c r="I1997" s="43" t="s">
        <v>59</v>
      </c>
      <c r="J1997" s="36">
        <v>22.71572363054478</v>
      </c>
      <c r="K1997" s="36">
        <v>10.745394082677455</v>
      </c>
      <c r="L1997" s="37">
        <v>16.503870226881354</v>
      </c>
      <c r="M1997" s="36">
        <v>6.0035759477888524</v>
      </c>
      <c r="N1997" s="36">
        <v>38.136736839561607</v>
      </c>
      <c r="O1997" s="36">
        <v>39.625587000551022</v>
      </c>
      <c r="P1997">
        <v>18.446111726982561</v>
      </c>
    </row>
    <row r="1998" spans="1:16" hidden="1" x14ac:dyDescent="0.35">
      <c r="A1998" s="3">
        <f xml:space="preserve"> ROW( data_scaledImpacts[[#This Row],[row_id]] ) - ROW( data_scaledImpacts[[#Headers],[row_id]] )</f>
        <v>1997</v>
      </c>
      <c r="B1998" s="41" t="str">
        <f xml:space="preserve"> _xlfn.TEXTJOIN( "", , data_scaledImpacts[[#This Row],[sector]:[impactType]] )</f>
        <v>LaborMIROC54N/A</v>
      </c>
      <c r="C1998" s="33" t="s">
        <v>34</v>
      </c>
      <c r="D1998" s="33" t="s">
        <v>4</v>
      </c>
      <c r="E1998" s="34">
        <v>4</v>
      </c>
      <c r="F1998" s="34"/>
      <c r="G1998" s="34" t="s">
        <v>201</v>
      </c>
      <c r="H1998" s="35"/>
      <c r="I1998" s="43" t="s">
        <v>60</v>
      </c>
      <c r="J1998" s="36">
        <v>12.498276938582524</v>
      </c>
      <c r="K1998" s="36">
        <v>7.4689436518510259</v>
      </c>
      <c r="L1998" s="37">
        <v>17.778740371640136</v>
      </c>
      <c r="M1998" s="36">
        <v>4.1495521830941975</v>
      </c>
      <c r="N1998" s="36">
        <v>21.374547716870669</v>
      </c>
      <c r="O1998" s="36">
        <v>36.359703757455371</v>
      </c>
      <c r="P1998">
        <v>15.956507079672212</v>
      </c>
    </row>
    <row r="1999" spans="1:16" hidden="1" x14ac:dyDescent="0.35">
      <c r="A1999" s="3">
        <f xml:space="preserve"> ROW( data_scaledImpacts[[#This Row],[row_id]] ) - ROW( data_scaledImpacts[[#Headers],[row_id]] )</f>
        <v>1998</v>
      </c>
      <c r="B1999" s="41" t="str">
        <f xml:space="preserve"> _xlfn.TEXTJOIN( "", , data_scaledImpacts[[#This Row],[sector]:[impactType]] )</f>
        <v>LaborGFDL-CM34N/A</v>
      </c>
      <c r="C1999" s="33" t="s">
        <v>34</v>
      </c>
      <c r="D1999" s="33" t="s">
        <v>5</v>
      </c>
      <c r="E1999" s="34">
        <v>4</v>
      </c>
      <c r="F1999" s="34"/>
      <c r="G1999" s="34" t="s">
        <v>201</v>
      </c>
      <c r="H1999" s="35"/>
      <c r="I1999" s="43" t="s">
        <v>61</v>
      </c>
      <c r="J1999" s="36">
        <v>14.508755684789952</v>
      </c>
      <c r="K1999" s="36">
        <v>14.458735567202025</v>
      </c>
      <c r="L1999" s="37">
        <v>11.663818517943541</v>
      </c>
      <c r="M1999" s="36">
        <v>6.934535960180761</v>
      </c>
      <c r="N1999" s="36">
        <v>30.255386318390695</v>
      </c>
      <c r="O1999" s="36">
        <v>41.999576641694937</v>
      </c>
      <c r="P1999">
        <v>30.759523429262206</v>
      </c>
    </row>
    <row r="2000" spans="1:16" hidden="1" x14ac:dyDescent="0.35">
      <c r="A2000" s="3">
        <f xml:space="preserve"> ROW( data_scaledImpacts[[#This Row],[row_id]] ) - ROW( data_scaledImpacts[[#Headers],[row_id]] )</f>
        <v>1999</v>
      </c>
      <c r="B2000" s="41" t="str">
        <f xml:space="preserve"> _xlfn.TEXTJOIN( "", , data_scaledImpacts[[#This Row],[sector]:[impactType]] )</f>
        <v>LaborGCM Average4N/A</v>
      </c>
      <c r="C2000" s="33" t="s">
        <v>34</v>
      </c>
      <c r="D2000" s="33" t="s">
        <v>15</v>
      </c>
      <c r="E2000" s="34">
        <v>4</v>
      </c>
      <c r="F2000" s="34"/>
      <c r="G2000" s="34" t="s">
        <v>201</v>
      </c>
      <c r="H2000" s="35"/>
      <c r="I2000" s="43" t="s">
        <v>62</v>
      </c>
      <c r="J2000" s="36">
        <v>15.703841467923358</v>
      </c>
      <c r="K2000" s="36">
        <v>11.235588996251298</v>
      </c>
      <c r="L2000" s="37">
        <v>16.31633352199739</v>
      </c>
      <c r="M2000" s="36">
        <v>7.0298544067488695</v>
      </c>
      <c r="N2000" s="36">
        <v>28.621482743091303</v>
      </c>
      <c r="O2000" s="36">
        <v>35.274166118616286</v>
      </c>
      <c r="P2000">
        <v>20.655423011098289</v>
      </c>
    </row>
    <row r="2001" spans="1:16" hidden="1" x14ac:dyDescent="0.35">
      <c r="A2001" s="3">
        <f xml:space="preserve"> ROW( data_scaledImpacts[[#This Row],[row_id]] ) - ROW( data_scaledImpacts[[#Headers],[row_id]] )</f>
        <v>2000</v>
      </c>
      <c r="B2001" s="41" t="str">
        <f xml:space="preserve"> _xlfn.TEXTJOIN( "", , data_scaledImpacts[[#This Row],[sector]:[impactType]] )</f>
        <v>LaborCanESM25N/A</v>
      </c>
      <c r="C2001" s="33" t="s">
        <v>34</v>
      </c>
      <c r="D2001" s="33" t="s">
        <v>0</v>
      </c>
      <c r="E2001" s="34">
        <v>5</v>
      </c>
      <c r="F2001" s="34"/>
      <c r="G2001" s="34" t="s">
        <v>201</v>
      </c>
      <c r="H2001" s="35"/>
      <c r="I2001" s="43" t="s">
        <v>63</v>
      </c>
      <c r="J2001" s="36">
        <v>17.768156723432387</v>
      </c>
      <c r="K2001" s="36">
        <v>17.744081377906923</v>
      </c>
      <c r="L2001" s="37">
        <v>21.089169913600816</v>
      </c>
      <c r="M2001" s="36">
        <v>12.475946141482437</v>
      </c>
      <c r="N2001" s="36">
        <v>32.763884170964637</v>
      </c>
      <c r="O2001" s="36">
        <v>34.577493260306717</v>
      </c>
      <c r="P2001">
        <v>24.522530442442438</v>
      </c>
    </row>
    <row r="2002" spans="1:16" hidden="1" x14ac:dyDescent="0.35">
      <c r="A2002" s="3">
        <f xml:space="preserve"> ROW( data_scaledImpacts[[#This Row],[row_id]] ) - ROW( data_scaledImpacts[[#Headers],[row_id]] )</f>
        <v>2001</v>
      </c>
      <c r="B2002" s="41" t="str">
        <f xml:space="preserve"> _xlfn.TEXTJOIN( "", , data_scaledImpacts[[#This Row],[sector]:[impactType]] )</f>
        <v>LaborCCSM45N/A</v>
      </c>
      <c r="C2002" s="33" t="s">
        <v>34</v>
      </c>
      <c r="D2002" s="33" t="s">
        <v>1</v>
      </c>
      <c r="E2002" s="34">
        <v>5</v>
      </c>
      <c r="F2002" s="34"/>
      <c r="G2002" s="34" t="s">
        <v>201</v>
      </c>
      <c r="H2002" s="35"/>
      <c r="I2002" s="43" t="s">
        <v>64</v>
      </c>
      <c r="J2002" s="36">
        <v>23.346998963187165</v>
      </c>
      <c r="K2002" s="36">
        <v>16.063331908142064</v>
      </c>
      <c r="L2002" s="37">
        <v>25.035205170165401</v>
      </c>
      <c r="M2002" s="36">
        <v>10.830032822108695</v>
      </c>
      <c r="N2002" s="36">
        <v>36.435627811366366</v>
      </c>
      <c r="O2002" s="36">
        <v>39.922362199089129</v>
      </c>
      <c r="P2002">
        <v>23.76232649137215</v>
      </c>
    </row>
    <row r="2003" spans="1:16" hidden="1" x14ac:dyDescent="0.35">
      <c r="A2003" s="3">
        <f xml:space="preserve"> ROW( data_scaledImpacts[[#This Row],[row_id]] ) - ROW( data_scaledImpacts[[#Headers],[row_id]] )</f>
        <v>2002</v>
      </c>
      <c r="B2003" s="41" t="str">
        <f xml:space="preserve"> _xlfn.TEXTJOIN( "", , data_scaledImpacts[[#This Row],[sector]:[impactType]] )</f>
        <v>LaborGISS-E2-R5N/A</v>
      </c>
      <c r="C2003" s="33" t="s">
        <v>34</v>
      </c>
      <c r="D2003" s="33" t="s">
        <v>2</v>
      </c>
      <c r="E2003" s="34">
        <v>5</v>
      </c>
      <c r="F2003" s="34"/>
      <c r="G2003" s="34" t="s">
        <v>201</v>
      </c>
      <c r="H2003" s="35"/>
      <c r="I2003" s="43" t="s">
        <v>65</v>
      </c>
      <c r="J2003" s="36"/>
      <c r="K2003" s="36"/>
      <c r="L2003" s="37"/>
      <c r="M2003" s="36"/>
      <c r="N2003" s="36"/>
      <c r="O2003" s="36"/>
    </row>
    <row r="2004" spans="1:16" hidden="1" x14ac:dyDescent="0.35">
      <c r="A2004" s="3">
        <f xml:space="preserve"> ROW( data_scaledImpacts[[#This Row],[row_id]] ) - ROW( data_scaledImpacts[[#Headers],[row_id]] )</f>
        <v>2003</v>
      </c>
      <c r="B2004" s="41" t="str">
        <f xml:space="preserve"> _xlfn.TEXTJOIN( "", , data_scaledImpacts[[#This Row],[sector]:[impactType]] )</f>
        <v>LaborHadGEM2-ES5N/A</v>
      </c>
      <c r="C2004" s="33" t="s">
        <v>34</v>
      </c>
      <c r="D2004" s="33" t="s">
        <v>3</v>
      </c>
      <c r="E2004" s="34">
        <v>5</v>
      </c>
      <c r="F2004" s="34"/>
      <c r="G2004" s="34" t="s">
        <v>201</v>
      </c>
      <c r="H2004" s="35"/>
      <c r="I2004" s="43" t="s">
        <v>66</v>
      </c>
      <c r="J2004" s="36">
        <v>30.121299067868279</v>
      </c>
      <c r="K2004" s="36">
        <v>17.426516154088549</v>
      </c>
      <c r="L2004" s="37">
        <v>22.00037191638885</v>
      </c>
      <c r="M2004" s="36">
        <v>8.3758163075561765</v>
      </c>
      <c r="N2004" s="36">
        <v>45.502169720723039</v>
      </c>
      <c r="O2004" s="36">
        <v>42.03738014751945</v>
      </c>
      <c r="P2004">
        <v>22.918242393222762</v>
      </c>
    </row>
    <row r="2005" spans="1:16" hidden="1" x14ac:dyDescent="0.35">
      <c r="A2005" s="3">
        <f xml:space="preserve"> ROW( data_scaledImpacts[[#This Row],[row_id]] ) - ROW( data_scaledImpacts[[#Headers],[row_id]] )</f>
        <v>2004</v>
      </c>
      <c r="B2005" s="41" t="str">
        <f xml:space="preserve"> _xlfn.TEXTJOIN( "", , data_scaledImpacts[[#This Row],[sector]:[impactType]] )</f>
        <v>LaborMIROC55N/A</v>
      </c>
      <c r="C2005" s="33" t="s">
        <v>34</v>
      </c>
      <c r="D2005" s="33" t="s">
        <v>4</v>
      </c>
      <c r="E2005" s="34">
        <v>5</v>
      </c>
      <c r="F2005" s="34"/>
      <c r="G2005" s="34" t="s">
        <v>201</v>
      </c>
      <c r="H2005" s="35"/>
      <c r="I2005" s="43" t="s">
        <v>67</v>
      </c>
      <c r="J2005" s="36">
        <v>17.706717469608659</v>
      </c>
      <c r="K2005" s="36">
        <v>10.396664879285764</v>
      </c>
      <c r="L2005" s="37">
        <v>22.612209231567054</v>
      </c>
      <c r="M2005" s="36">
        <v>4.6036554910949761</v>
      </c>
      <c r="N2005" s="36">
        <v>30.887859377119749</v>
      </c>
      <c r="O2005" s="36">
        <v>53.655529409915765</v>
      </c>
      <c r="P2005">
        <v>20.693167378773413</v>
      </c>
    </row>
    <row r="2006" spans="1:16" hidden="1" x14ac:dyDescent="0.35">
      <c r="A2006" s="3">
        <f xml:space="preserve"> ROW( data_scaledImpacts[[#This Row],[row_id]] ) - ROW( data_scaledImpacts[[#Headers],[row_id]] )</f>
        <v>2005</v>
      </c>
      <c r="B2006" s="41" t="str">
        <f xml:space="preserve"> _xlfn.TEXTJOIN( "", , data_scaledImpacts[[#This Row],[sector]:[impactType]] )</f>
        <v>LaborGFDL-CM35N/A</v>
      </c>
      <c r="C2006" s="33" t="s">
        <v>34</v>
      </c>
      <c r="D2006" s="33" t="s">
        <v>5</v>
      </c>
      <c r="E2006" s="34">
        <v>5</v>
      </c>
      <c r="F2006" s="34"/>
      <c r="G2006" s="34" t="s">
        <v>201</v>
      </c>
      <c r="H2006" s="35"/>
      <c r="I2006" s="43" t="s">
        <v>68</v>
      </c>
      <c r="J2006" s="36">
        <v>27.530256728352821</v>
      </c>
      <c r="K2006" s="36">
        <v>21.085845806879504</v>
      </c>
      <c r="L2006" s="37">
        <v>25.844818069233668</v>
      </c>
      <c r="M2006" s="36">
        <v>9.2994328531243067</v>
      </c>
      <c r="N2006" s="36">
        <v>40.119091282704865</v>
      </c>
      <c r="O2006" s="36">
        <v>60.910059095817367</v>
      </c>
      <c r="P2006">
        <v>38.804911854851213</v>
      </c>
    </row>
    <row r="2007" spans="1:16" hidden="1" x14ac:dyDescent="0.35">
      <c r="A2007" s="3">
        <f xml:space="preserve"> ROW( data_scaledImpacts[[#This Row],[row_id]] ) - ROW( data_scaledImpacts[[#Headers],[row_id]] )</f>
        <v>2006</v>
      </c>
      <c r="B2007" s="41" t="str">
        <f xml:space="preserve"> _xlfn.TEXTJOIN( "", , data_scaledImpacts[[#This Row],[sector]:[impactType]] )</f>
        <v>LaborGCM Average5N/A</v>
      </c>
      <c r="C2007" s="33" t="s">
        <v>34</v>
      </c>
      <c r="D2007" s="33" t="s">
        <v>15</v>
      </c>
      <c r="E2007" s="34">
        <v>5</v>
      </c>
      <c r="F2007" s="34"/>
      <c r="G2007" s="34" t="s">
        <v>201</v>
      </c>
      <c r="H2007" s="35"/>
      <c r="I2007" s="43" t="s">
        <v>69</v>
      </c>
      <c r="J2007" s="36">
        <v>23.294685790489861</v>
      </c>
      <c r="K2007" s="36">
        <v>16.543288025260559</v>
      </c>
      <c r="L2007" s="37">
        <v>23.316354860191158</v>
      </c>
      <c r="M2007" s="36">
        <v>9.1169767230733179</v>
      </c>
      <c r="N2007" s="36">
        <v>37.141726472575733</v>
      </c>
      <c r="O2007" s="36">
        <v>46.220564822529681</v>
      </c>
      <c r="P2007">
        <v>26.140235712132391</v>
      </c>
    </row>
    <row r="2008" spans="1:16" hidden="1" x14ac:dyDescent="0.35">
      <c r="A2008" s="3">
        <f xml:space="preserve"> ROW( data_scaledImpacts[[#This Row],[row_id]] ) - ROW( data_scaledImpacts[[#Headers],[row_id]] )</f>
        <v>2007</v>
      </c>
      <c r="B2008" s="41" t="str">
        <f xml:space="preserve"> _xlfn.TEXTJOIN( "", , data_scaledImpacts[[#This Row],[sector]:[impactType]] )</f>
        <v>LaborCanESM26N/A</v>
      </c>
      <c r="C2008" s="33" t="s">
        <v>34</v>
      </c>
      <c r="D2008" s="33" t="s">
        <v>0</v>
      </c>
      <c r="E2008" s="34">
        <v>6</v>
      </c>
      <c r="F2008" s="34"/>
      <c r="G2008" s="34" t="s">
        <v>201</v>
      </c>
      <c r="H2008" s="35"/>
      <c r="I2008" s="43" t="s">
        <v>70</v>
      </c>
      <c r="J2008" s="36">
        <v>26.668232874619203</v>
      </c>
      <c r="K2008" s="36">
        <v>24.968114453242222</v>
      </c>
      <c r="L2008" s="37">
        <v>32.271459142250535</v>
      </c>
      <c r="M2008" s="36">
        <v>18.323135213319162</v>
      </c>
      <c r="N2008" s="36">
        <v>43.311678690438519</v>
      </c>
      <c r="O2008" s="36">
        <v>46.410171277505611</v>
      </c>
      <c r="P2008">
        <v>33.80068101393821</v>
      </c>
    </row>
    <row r="2009" spans="1:16" hidden="1" x14ac:dyDescent="0.35">
      <c r="A2009" s="3">
        <f xml:space="preserve"> ROW( data_scaledImpacts[[#This Row],[row_id]] ) - ROW( data_scaledImpacts[[#Headers],[row_id]] )</f>
        <v>2008</v>
      </c>
      <c r="B2009" s="41" t="str">
        <f xml:space="preserve"> _xlfn.TEXTJOIN( "", , data_scaledImpacts[[#This Row],[sector]:[impactType]] )</f>
        <v>LaborCCSM46N/A</v>
      </c>
      <c r="C2009" s="33" t="s">
        <v>34</v>
      </c>
      <c r="D2009" s="33" t="s">
        <v>1</v>
      </c>
      <c r="E2009" s="34">
        <v>6</v>
      </c>
      <c r="F2009" s="34"/>
      <c r="G2009" s="34" t="s">
        <v>201</v>
      </c>
      <c r="H2009" s="35"/>
      <c r="I2009" s="43" t="s">
        <v>71</v>
      </c>
      <c r="J2009" s="36"/>
      <c r="K2009" s="36"/>
      <c r="L2009" s="37"/>
      <c r="M2009" s="36"/>
      <c r="N2009" s="36"/>
      <c r="O2009" s="36"/>
    </row>
    <row r="2010" spans="1:16" hidden="1" x14ac:dyDescent="0.35">
      <c r="A2010" s="3">
        <f xml:space="preserve"> ROW( data_scaledImpacts[[#This Row],[row_id]] ) - ROW( data_scaledImpacts[[#Headers],[row_id]] )</f>
        <v>2009</v>
      </c>
      <c r="B2010" s="41" t="str">
        <f xml:space="preserve"> _xlfn.TEXTJOIN( "", , data_scaledImpacts[[#This Row],[sector]:[impactType]] )</f>
        <v>LaborGISS-E2-R6N/A</v>
      </c>
      <c r="C2010" s="33" t="s">
        <v>34</v>
      </c>
      <c r="D2010" s="33" t="s">
        <v>2</v>
      </c>
      <c r="E2010" s="34">
        <v>6</v>
      </c>
      <c r="F2010" s="34"/>
      <c r="G2010" s="34" t="s">
        <v>201</v>
      </c>
      <c r="H2010" s="35"/>
      <c r="I2010" s="43" t="s">
        <v>72</v>
      </c>
      <c r="J2010" s="36"/>
      <c r="K2010" s="36"/>
      <c r="L2010" s="37"/>
      <c r="M2010" s="36"/>
      <c r="N2010" s="36"/>
      <c r="O2010" s="36"/>
    </row>
    <row r="2011" spans="1:16" hidden="1" x14ac:dyDescent="0.35">
      <c r="A2011" s="3">
        <f xml:space="preserve"> ROW( data_scaledImpacts[[#This Row],[row_id]] ) - ROW( data_scaledImpacts[[#Headers],[row_id]] )</f>
        <v>2010</v>
      </c>
      <c r="B2011" s="41" t="str">
        <f xml:space="preserve"> _xlfn.TEXTJOIN( "", , data_scaledImpacts[[#This Row],[sector]:[impactType]] )</f>
        <v>LaborHadGEM2-ES6N/A</v>
      </c>
      <c r="C2011" s="33" t="s">
        <v>34</v>
      </c>
      <c r="D2011" s="33" t="s">
        <v>3</v>
      </c>
      <c r="E2011" s="34">
        <v>6</v>
      </c>
      <c r="F2011" s="34"/>
      <c r="G2011" s="34" t="s">
        <v>201</v>
      </c>
      <c r="H2011" s="35"/>
      <c r="I2011" s="43" t="s">
        <v>73</v>
      </c>
      <c r="J2011" s="36">
        <v>39.578551683948142</v>
      </c>
      <c r="K2011" s="36">
        <v>24.582045752272759</v>
      </c>
      <c r="L2011" s="37">
        <v>30.57086241098806</v>
      </c>
      <c r="M2011" s="36">
        <v>13.363538879126475</v>
      </c>
      <c r="N2011" s="36">
        <v>51.316366597548864</v>
      </c>
      <c r="O2011" s="36">
        <v>50.188686826633266</v>
      </c>
      <c r="P2011">
        <v>28.873097793388855</v>
      </c>
    </row>
    <row r="2012" spans="1:16" hidden="1" x14ac:dyDescent="0.35">
      <c r="A2012" s="3">
        <f xml:space="preserve"> ROW( data_scaledImpacts[[#This Row],[row_id]] ) - ROW( data_scaledImpacts[[#Headers],[row_id]] )</f>
        <v>2011</v>
      </c>
      <c r="B2012" s="41" t="str">
        <f xml:space="preserve"> _xlfn.TEXTJOIN( "", , data_scaledImpacts[[#This Row],[sector]:[impactType]] )</f>
        <v>LaborMIROC56N/A</v>
      </c>
      <c r="C2012" s="33" t="s">
        <v>34</v>
      </c>
      <c r="D2012" s="33" t="s">
        <v>4</v>
      </c>
      <c r="E2012" s="34">
        <v>6</v>
      </c>
      <c r="F2012" s="34"/>
      <c r="G2012" s="34" t="s">
        <v>201</v>
      </c>
      <c r="H2012" s="35"/>
      <c r="I2012" s="43" t="s">
        <v>74</v>
      </c>
      <c r="J2012" s="36"/>
      <c r="K2012" s="36"/>
      <c r="L2012" s="37"/>
      <c r="M2012" s="36"/>
      <c r="N2012" s="36"/>
      <c r="O2012" s="36"/>
    </row>
    <row r="2013" spans="1:16" hidden="1" x14ac:dyDescent="0.35">
      <c r="A2013" s="3">
        <f xml:space="preserve"> ROW( data_scaledImpacts[[#This Row],[row_id]] ) - ROW( data_scaledImpacts[[#Headers],[row_id]] )</f>
        <v>2012</v>
      </c>
      <c r="B2013" s="41" t="str">
        <f xml:space="preserve"> _xlfn.TEXTJOIN( "", , data_scaledImpacts[[#This Row],[sector]:[impactType]] )</f>
        <v>LaborGFDL-CM36N/A</v>
      </c>
      <c r="C2013" s="33" t="s">
        <v>34</v>
      </c>
      <c r="D2013" s="33" t="s">
        <v>5</v>
      </c>
      <c r="E2013" s="34">
        <v>6</v>
      </c>
      <c r="F2013" s="34"/>
      <c r="G2013" s="34" t="s">
        <v>201</v>
      </c>
      <c r="H2013" s="35"/>
      <c r="I2013" s="43" t="s">
        <v>75</v>
      </c>
      <c r="J2013" s="36">
        <v>34.372449239729171</v>
      </c>
      <c r="K2013" s="36">
        <v>27.573980533643759</v>
      </c>
      <c r="L2013" s="37">
        <v>32.513399698675642</v>
      </c>
      <c r="M2013" s="36">
        <v>15.71810636032053</v>
      </c>
      <c r="N2013" s="36">
        <v>49.420291440392923</v>
      </c>
      <c r="O2013" s="36">
        <v>65.133723449205306</v>
      </c>
      <c r="P2013">
        <v>52.357061868432986</v>
      </c>
    </row>
    <row r="2014" spans="1:16" hidden="1" x14ac:dyDescent="0.35">
      <c r="A2014" s="3">
        <f xml:space="preserve"> ROW( data_scaledImpacts[[#This Row],[row_id]] ) - ROW( data_scaledImpacts[[#Headers],[row_id]] )</f>
        <v>2013</v>
      </c>
      <c r="B2014" s="41" t="str">
        <f xml:space="preserve"> _xlfn.TEXTJOIN( "", , data_scaledImpacts[[#This Row],[sector]:[impactType]] )</f>
        <v>LaborGCM Average6N/A</v>
      </c>
      <c r="C2014" s="33" t="s">
        <v>34</v>
      </c>
      <c r="D2014" s="33" t="s">
        <v>15</v>
      </c>
      <c r="E2014" s="34">
        <v>6</v>
      </c>
      <c r="F2014" s="34"/>
      <c r="G2014" s="34" t="s">
        <v>201</v>
      </c>
      <c r="H2014" s="35"/>
      <c r="I2014" s="43" t="s">
        <v>76</v>
      </c>
      <c r="J2014" s="36">
        <v>33.539744599432169</v>
      </c>
      <c r="K2014" s="36">
        <v>25.708046913052915</v>
      </c>
      <c r="L2014" s="37">
        <v>31.785240417304745</v>
      </c>
      <c r="M2014" s="36">
        <v>15.801593484255386</v>
      </c>
      <c r="N2014" s="36">
        <v>48.01611224279344</v>
      </c>
      <c r="O2014" s="36">
        <v>53.910860517781394</v>
      </c>
      <c r="P2014">
        <v>38.343613558586689</v>
      </c>
    </row>
    <row r="2015" spans="1:16" hidden="1" x14ac:dyDescent="0.35">
      <c r="A2015" s="3">
        <f xml:space="preserve"> ROW( data_scaledImpacts[[#This Row],[row_id]] ) - ROW( data_scaledImpacts[[#Headers],[row_id]] )</f>
        <v>2014</v>
      </c>
      <c r="B2015" s="41" t="str">
        <f xml:space="preserve"> _xlfn.TEXTJOIN( "", , data_scaledImpacts[[#This Row],[sector]:[impactType]] )</f>
        <v>LaborCanESM27N/A</v>
      </c>
      <c r="C2015" s="33" t="s">
        <v>34</v>
      </c>
      <c r="D2015" s="33" t="s">
        <v>0</v>
      </c>
      <c r="E2015" s="34">
        <v>7</v>
      </c>
      <c r="F2015" s="34"/>
      <c r="G2015" s="34" t="s">
        <v>201</v>
      </c>
      <c r="H2015" s="35"/>
      <c r="I2015" s="43" t="s">
        <v>77</v>
      </c>
      <c r="J2015" s="36"/>
      <c r="K2015" s="36"/>
      <c r="L2015" s="37"/>
      <c r="M2015" s="36"/>
      <c r="N2015" s="36"/>
      <c r="O2015" s="36"/>
    </row>
    <row r="2016" spans="1:16" hidden="1" x14ac:dyDescent="0.35">
      <c r="A2016" s="3">
        <f xml:space="preserve"> ROW( data_scaledImpacts[[#This Row],[row_id]] ) - ROW( data_scaledImpacts[[#Headers],[row_id]] )</f>
        <v>2015</v>
      </c>
      <c r="B2016" s="41" t="str">
        <f xml:space="preserve"> _xlfn.TEXTJOIN( "", , data_scaledImpacts[[#This Row],[sector]:[impactType]] )</f>
        <v>LaborCCSM47N/A</v>
      </c>
      <c r="C2016" s="33" t="s">
        <v>34</v>
      </c>
      <c r="D2016" s="33" t="s">
        <v>1</v>
      </c>
      <c r="E2016" s="34">
        <v>7</v>
      </c>
      <c r="F2016" s="34"/>
      <c r="G2016" s="34" t="s">
        <v>201</v>
      </c>
      <c r="H2016" s="35"/>
      <c r="I2016" s="43" t="s">
        <v>78</v>
      </c>
      <c r="J2016" s="36"/>
      <c r="K2016" s="36"/>
      <c r="L2016" s="37"/>
      <c r="M2016" s="36"/>
      <c r="N2016" s="36"/>
      <c r="O2016" s="36"/>
    </row>
    <row r="2017" spans="1:16" hidden="1" x14ac:dyDescent="0.35">
      <c r="A2017" s="3">
        <f xml:space="preserve"> ROW( data_scaledImpacts[[#This Row],[row_id]] ) - ROW( data_scaledImpacts[[#Headers],[row_id]] )</f>
        <v>2016</v>
      </c>
      <c r="B2017" s="41" t="str">
        <f xml:space="preserve"> _xlfn.TEXTJOIN( "", , data_scaledImpacts[[#This Row],[sector]:[impactType]] )</f>
        <v>LaborGISS-E2-R7N/A</v>
      </c>
      <c r="C2017" s="33" t="s">
        <v>34</v>
      </c>
      <c r="D2017" s="33" t="s">
        <v>2</v>
      </c>
      <c r="E2017" s="34">
        <v>7</v>
      </c>
      <c r="F2017" s="34"/>
      <c r="G2017" s="34" t="s">
        <v>201</v>
      </c>
      <c r="H2017" s="35"/>
      <c r="I2017" s="43" t="s">
        <v>79</v>
      </c>
      <c r="J2017" s="36"/>
      <c r="K2017" s="36"/>
      <c r="L2017" s="37"/>
      <c r="M2017" s="36"/>
      <c r="N2017" s="36"/>
      <c r="O2017" s="36"/>
    </row>
    <row r="2018" spans="1:16" hidden="1" x14ac:dyDescent="0.35">
      <c r="A2018" s="3">
        <f xml:space="preserve"> ROW( data_scaledImpacts[[#This Row],[row_id]] ) - ROW( data_scaledImpacts[[#Headers],[row_id]] )</f>
        <v>2017</v>
      </c>
      <c r="B2018" s="41" t="str">
        <f xml:space="preserve"> _xlfn.TEXTJOIN( "", , data_scaledImpacts[[#This Row],[sector]:[impactType]] )</f>
        <v>LaborHadGEM2-ES7N/A</v>
      </c>
      <c r="C2018" s="33" t="s">
        <v>34</v>
      </c>
      <c r="D2018" s="33" t="s">
        <v>3</v>
      </c>
      <c r="E2018" s="34">
        <v>7</v>
      </c>
      <c r="F2018" s="34"/>
      <c r="G2018" s="34" t="s">
        <v>201</v>
      </c>
      <c r="H2018" s="35"/>
      <c r="I2018" s="43" t="s">
        <v>80</v>
      </c>
      <c r="J2018" s="36"/>
      <c r="K2018" s="36"/>
      <c r="L2018" s="37"/>
      <c r="M2018" s="36"/>
      <c r="N2018" s="36"/>
      <c r="O2018" s="36"/>
    </row>
    <row r="2019" spans="1:16" hidden="1" x14ac:dyDescent="0.35">
      <c r="A2019" s="3">
        <f xml:space="preserve"> ROW( data_scaledImpacts[[#This Row],[row_id]] ) - ROW( data_scaledImpacts[[#Headers],[row_id]] )</f>
        <v>2018</v>
      </c>
      <c r="B2019" s="41" t="str">
        <f xml:space="preserve"> _xlfn.TEXTJOIN( "", , data_scaledImpacts[[#This Row],[sector]:[impactType]] )</f>
        <v>LaborMIROC57N/A</v>
      </c>
      <c r="C2019" s="33" t="s">
        <v>34</v>
      </c>
      <c r="D2019" s="33" t="s">
        <v>4</v>
      </c>
      <c r="E2019" s="34">
        <v>7</v>
      </c>
      <c r="F2019" s="34"/>
      <c r="G2019" s="34" t="s">
        <v>201</v>
      </c>
      <c r="H2019" s="35"/>
      <c r="I2019" s="43" t="s">
        <v>81</v>
      </c>
      <c r="J2019" s="36"/>
      <c r="K2019" s="36"/>
      <c r="L2019" s="37"/>
      <c r="M2019" s="36"/>
      <c r="N2019" s="36"/>
      <c r="O2019" s="36"/>
    </row>
    <row r="2020" spans="1:16" hidden="1" x14ac:dyDescent="0.35">
      <c r="A2020" s="3">
        <f xml:space="preserve"> ROW( data_scaledImpacts[[#This Row],[row_id]] ) - ROW( data_scaledImpacts[[#Headers],[row_id]] )</f>
        <v>2019</v>
      </c>
      <c r="B2020" s="41" t="str">
        <f xml:space="preserve"> _xlfn.TEXTJOIN( "", , data_scaledImpacts[[#This Row],[sector]:[impactType]] )</f>
        <v>LaborGFDL-CM37N/A</v>
      </c>
      <c r="C2020" s="33" t="s">
        <v>34</v>
      </c>
      <c r="D2020" s="33" t="s">
        <v>5</v>
      </c>
      <c r="E2020" s="34">
        <v>7</v>
      </c>
      <c r="F2020" s="34"/>
      <c r="G2020" s="34" t="s">
        <v>201</v>
      </c>
      <c r="H2020" s="35"/>
      <c r="I2020" s="43" t="s">
        <v>82</v>
      </c>
      <c r="J2020" s="36"/>
      <c r="K2020" s="36"/>
      <c r="L2020" s="37"/>
      <c r="M2020" s="36"/>
      <c r="N2020" s="36"/>
      <c r="O2020" s="36"/>
    </row>
    <row r="2021" spans="1:16" hidden="1" x14ac:dyDescent="0.35">
      <c r="A2021" s="3">
        <f xml:space="preserve"> ROW( data_scaledImpacts[[#This Row],[row_id]] ) - ROW( data_scaledImpacts[[#Headers],[row_id]] )</f>
        <v>2020</v>
      </c>
      <c r="B2021" s="41" t="str">
        <f xml:space="preserve"> _xlfn.TEXTJOIN( "", , data_scaledImpacts[[#This Row],[sector]:[impactType]] )</f>
        <v>LaborGCM Average7N/A</v>
      </c>
      <c r="C2021" s="33" t="s">
        <v>34</v>
      </c>
      <c r="D2021" s="33" t="s">
        <v>15</v>
      </c>
      <c r="E2021" s="34">
        <v>7</v>
      </c>
      <c r="F2021" s="34"/>
      <c r="G2021" s="34" t="s">
        <v>201</v>
      </c>
      <c r="H2021" s="35"/>
      <c r="I2021" s="43" t="s">
        <v>83</v>
      </c>
      <c r="J2021" s="36"/>
      <c r="K2021" s="36"/>
      <c r="L2021" s="37"/>
      <c r="M2021" s="36"/>
      <c r="N2021" s="36"/>
      <c r="O2021" s="36"/>
    </row>
    <row r="2022" spans="1:16" hidden="1" x14ac:dyDescent="0.35">
      <c r="A2022" s="3">
        <f xml:space="preserve"> ROW( data_scaledImpacts[[#This Row],[row_id]] ) - ROW( data_scaledImpacts[[#Headers],[row_id]] )</f>
        <v>2021</v>
      </c>
      <c r="B2022" s="41" t="str">
        <f xml:space="preserve"> _xlfn.TEXTJOIN( "", , data_scaledImpacts[[#This Row],[sector]:[impactType]] )</f>
        <v/>
      </c>
      <c r="C2022" s="33"/>
      <c r="D2022" s="33"/>
      <c r="E2022" s="34"/>
      <c r="F2022" s="34"/>
      <c r="G2022" s="34"/>
      <c r="H2022" s="35"/>
      <c r="I2022" s="43"/>
      <c r="J2022" s="36"/>
      <c r="K2022" s="36"/>
      <c r="L2022" s="37"/>
      <c r="M2022" s="36"/>
      <c r="N2022" s="36"/>
      <c r="O2022" s="36"/>
    </row>
    <row r="2023" spans="1:16" hidden="1" x14ac:dyDescent="0.35">
      <c r="A2023" s="3">
        <f xml:space="preserve"> ROW( data_scaledImpacts[[#This Row],[row_id]] ) - ROW( data_scaledImpacts[[#Headers],[row_id]] )</f>
        <v>2022</v>
      </c>
      <c r="B2023" s="41" t="str">
        <f xml:space="preserve"> _xlfn.TEXTJOIN( "", , data_scaledImpacts[[#This Row],[sector]:[impactType]] )</f>
        <v>WildfireCanESM21N/AMorbidity</v>
      </c>
      <c r="C2023" s="33" t="s">
        <v>761</v>
      </c>
      <c r="D2023" s="33" t="s">
        <v>0</v>
      </c>
      <c r="E2023" s="34">
        <v>1</v>
      </c>
      <c r="F2023" s="34"/>
      <c r="G2023" s="34" t="s">
        <v>201</v>
      </c>
      <c r="H2023" s="35" t="s">
        <v>769</v>
      </c>
      <c r="I2023" s="43" t="s">
        <v>35</v>
      </c>
      <c r="J2023" s="36">
        <v>3.9722752093511081E-2</v>
      </c>
      <c r="K2023" s="36">
        <v>1.4585790193188569E-2</v>
      </c>
      <c r="L2023" s="37">
        <v>0.25392352278085073</v>
      </c>
      <c r="M2023" s="36">
        <v>1.0196458698441404</v>
      </c>
      <c r="N2023" s="36">
        <v>4.1009283180063201E-2</v>
      </c>
      <c r="O2023" s="36">
        <v>3.4764807501743503E-2</v>
      </c>
      <c r="P2023">
        <v>0.7190841943785854</v>
      </c>
    </row>
    <row r="2024" spans="1:16" hidden="1" x14ac:dyDescent="0.35">
      <c r="A2024" s="3">
        <f xml:space="preserve"> ROW( data_scaledImpacts[[#This Row],[row_id]] ) - ROW( data_scaledImpacts[[#Headers],[row_id]] )</f>
        <v>2023</v>
      </c>
      <c r="B2024" s="41" t="str">
        <f xml:space="preserve"> _xlfn.TEXTJOIN( "", , data_scaledImpacts[[#This Row],[sector]:[impactType]] )</f>
        <v>WildfireCanESM22N/AMorbidity</v>
      </c>
      <c r="C2024" s="33" t="s">
        <v>761</v>
      </c>
      <c r="D2024" s="33" t="s">
        <v>0</v>
      </c>
      <c r="E2024" s="34">
        <v>2</v>
      </c>
      <c r="F2024" s="34"/>
      <c r="G2024" s="34" t="s">
        <v>201</v>
      </c>
      <c r="H2024" s="35" t="s">
        <v>769</v>
      </c>
      <c r="I2024" s="43" t="s">
        <v>42</v>
      </c>
      <c r="J2024" s="36">
        <v>9.4341536222088823E-2</v>
      </c>
      <c r="K2024" s="36">
        <v>3.4641251708822852E-2</v>
      </c>
      <c r="L2024" s="37">
        <v>0.60306836660452035</v>
      </c>
      <c r="M2024" s="36">
        <v>2.421658940879833</v>
      </c>
      <c r="N2024" s="36">
        <v>9.7397047552650093E-2</v>
      </c>
      <c r="O2024" s="36">
        <v>8.2566417816640814E-2</v>
      </c>
      <c r="P2024">
        <v>1.7078249616491403</v>
      </c>
    </row>
    <row r="2025" spans="1:16" hidden="1" x14ac:dyDescent="0.35">
      <c r="A2025" s="3">
        <f xml:space="preserve"> ROW( data_scaledImpacts[[#This Row],[row_id]] ) - ROW( data_scaledImpacts[[#Headers],[row_id]] )</f>
        <v>2024</v>
      </c>
      <c r="B2025" s="41" t="str">
        <f xml:space="preserve"> _xlfn.TEXTJOIN( "", , data_scaledImpacts[[#This Row],[sector]:[impactType]] )</f>
        <v>WildfireCanESM23N/AMorbidity</v>
      </c>
      <c r="C2025" s="33" t="s">
        <v>761</v>
      </c>
      <c r="D2025" s="33" t="s">
        <v>0</v>
      </c>
      <c r="E2025" s="34">
        <v>3</v>
      </c>
      <c r="F2025" s="34"/>
      <c r="G2025" s="34" t="s">
        <v>201</v>
      </c>
      <c r="H2025" s="35" t="s">
        <v>769</v>
      </c>
      <c r="I2025" s="43" t="s">
        <v>49</v>
      </c>
      <c r="J2025" s="36">
        <v>0.13056315671819013</v>
      </c>
      <c r="K2025" s="36">
        <v>4.7896802236293778E-2</v>
      </c>
      <c r="L2025" s="37">
        <v>0.83720656677661753</v>
      </c>
      <c r="M2025" s="36">
        <v>3.3499044320682945</v>
      </c>
      <c r="N2025" s="36">
        <v>0.13472635914594486</v>
      </c>
      <c r="O2025" s="36">
        <v>0.11439192758798775</v>
      </c>
      <c r="P2025">
        <v>2.3635917588143163</v>
      </c>
    </row>
    <row r="2026" spans="1:16" hidden="1" x14ac:dyDescent="0.35">
      <c r="A2026" s="3">
        <f xml:space="preserve"> ROW( data_scaledImpacts[[#This Row],[row_id]] ) - ROW( data_scaledImpacts[[#Headers],[row_id]] )</f>
        <v>2025</v>
      </c>
      <c r="B2026" s="41" t="str">
        <f xml:space="preserve"> _xlfn.TEXTJOIN( "", , data_scaledImpacts[[#This Row],[sector]:[impactType]] )</f>
        <v>WildfireCanESM24N/AMorbidity</v>
      </c>
      <c r="C2026" s="33" t="s">
        <v>761</v>
      </c>
      <c r="D2026" s="33" t="s">
        <v>0</v>
      </c>
      <c r="E2026" s="34">
        <v>4</v>
      </c>
      <c r="F2026" s="34"/>
      <c r="G2026" s="34" t="s">
        <v>201</v>
      </c>
      <c r="H2026" s="35" t="s">
        <v>769</v>
      </c>
      <c r="I2026" s="43" t="s">
        <v>56</v>
      </c>
      <c r="J2026" s="36">
        <v>0.14393291337714051</v>
      </c>
      <c r="K2026" s="36">
        <v>5.1868185303823193E-2</v>
      </c>
      <c r="L2026" s="37">
        <v>0.97717249807590389</v>
      </c>
      <c r="M2026" s="36">
        <v>3.6609718205830961</v>
      </c>
      <c r="N2026" s="36">
        <v>0.14715476278019607</v>
      </c>
      <c r="O2026" s="36">
        <v>0.12871469165972382</v>
      </c>
      <c r="P2026">
        <v>2.6069230925358671</v>
      </c>
    </row>
    <row r="2027" spans="1:16" hidden="1" x14ac:dyDescent="0.35">
      <c r="A2027" s="3">
        <f xml:space="preserve"> ROW( data_scaledImpacts[[#This Row],[row_id]] ) - ROW( data_scaledImpacts[[#Headers],[row_id]] )</f>
        <v>2026</v>
      </c>
      <c r="B2027" s="41" t="str">
        <f xml:space="preserve"> _xlfn.TEXTJOIN( "", , data_scaledImpacts[[#This Row],[sector]:[impactType]] )</f>
        <v>WildfireCanESM25N/AMorbidity</v>
      </c>
      <c r="C2027" s="33" t="s">
        <v>761</v>
      </c>
      <c r="D2027" s="33" t="s">
        <v>0</v>
      </c>
      <c r="E2027" s="34">
        <v>5</v>
      </c>
      <c r="F2027" s="34"/>
      <c r="G2027" s="34" t="s">
        <v>201</v>
      </c>
      <c r="H2027" s="35" t="s">
        <v>769</v>
      </c>
      <c r="I2027" s="43" t="s">
        <v>63</v>
      </c>
      <c r="J2027" s="36">
        <v>0.152549858608786</v>
      </c>
      <c r="K2027" s="36">
        <v>5.3885972071016912E-2</v>
      </c>
      <c r="L2027" s="37">
        <v>1.0988679513454223</v>
      </c>
      <c r="M2027" s="36">
        <v>3.8429008207426048</v>
      </c>
      <c r="N2027" s="36">
        <v>0.15437100660371303</v>
      </c>
      <c r="O2027" s="36">
        <v>0.13946046851095115</v>
      </c>
      <c r="P2027">
        <v>2.764506129288594</v>
      </c>
    </row>
    <row r="2028" spans="1:16" hidden="1" x14ac:dyDescent="0.35">
      <c r="A2028" s="3">
        <f xml:space="preserve"> ROW( data_scaledImpacts[[#This Row],[row_id]] ) - ROW( data_scaledImpacts[[#Headers],[row_id]] )</f>
        <v>2027</v>
      </c>
      <c r="B2028" s="41" t="str">
        <f xml:space="preserve"> _xlfn.TEXTJOIN( "", , data_scaledImpacts[[#This Row],[sector]:[impactType]] )</f>
        <v>WildfireCanESM26N/AMorbidity</v>
      </c>
      <c r="C2028" s="33" t="s">
        <v>761</v>
      </c>
      <c r="D2028" s="33" t="s">
        <v>0</v>
      </c>
      <c r="E2028" s="34">
        <v>6</v>
      </c>
      <c r="F2028" s="34"/>
      <c r="G2028" s="34" t="s">
        <v>201</v>
      </c>
      <c r="H2028" s="35" t="s">
        <v>769</v>
      </c>
      <c r="I2028" s="43" t="s">
        <v>70</v>
      </c>
      <c r="J2028" s="36">
        <v>0.16178229992840618</v>
      </c>
      <c r="K2028" s="36">
        <v>5.6047886464438763E-2</v>
      </c>
      <c r="L2028" s="37">
        <v>1.2292559369913341</v>
      </c>
      <c r="M2028" s="36">
        <v>4.0378247494849342</v>
      </c>
      <c r="N2028" s="36">
        <v>0.16210269641462405</v>
      </c>
      <c r="O2028" s="36">
        <v>0.15097380085155179</v>
      </c>
      <c r="P2028">
        <v>2.933345097237944</v>
      </c>
    </row>
    <row r="2029" spans="1:16" hidden="1" x14ac:dyDescent="0.35">
      <c r="A2029" s="3">
        <f xml:space="preserve"> ROW( data_scaledImpacts[[#This Row],[row_id]] ) - ROW( data_scaledImpacts[[#Headers],[row_id]] )</f>
        <v>2028</v>
      </c>
      <c r="B2029" s="41" t="str">
        <f xml:space="preserve"> _xlfn.TEXTJOIN( "", , data_scaledImpacts[[#This Row],[sector]:[impactType]] )</f>
        <v>WildfireCanESM27N/AMorbidity</v>
      </c>
      <c r="C2029" s="33" t="s">
        <v>761</v>
      </c>
      <c r="D2029" s="33" t="s">
        <v>0</v>
      </c>
      <c r="E2029" s="34">
        <v>7</v>
      </c>
      <c r="F2029" s="34"/>
      <c r="G2029" s="34" t="s">
        <v>201</v>
      </c>
      <c r="H2029" s="35" t="s">
        <v>769</v>
      </c>
      <c r="I2029" s="43" t="s">
        <v>77</v>
      </c>
      <c r="J2029" s="36"/>
      <c r="K2029" s="36"/>
      <c r="L2029" s="37"/>
      <c r="M2029" s="36"/>
      <c r="N2029" s="36"/>
      <c r="O2029" s="36"/>
    </row>
    <row r="2030" spans="1:16" hidden="1" x14ac:dyDescent="0.35">
      <c r="A2030" s="3">
        <f xml:space="preserve"> ROW( data_scaledImpacts[[#This Row],[row_id]] ) - ROW( data_scaledImpacts[[#Headers],[row_id]] )</f>
        <v>2029</v>
      </c>
      <c r="B2030" s="41" t="str">
        <f xml:space="preserve"> _xlfn.TEXTJOIN( "", , data_scaledImpacts[[#This Row],[sector]:[impactType]] )</f>
        <v>WildfireCanESM21N/AMortality</v>
      </c>
      <c r="C2030" s="33" t="s">
        <v>761</v>
      </c>
      <c r="D2030" s="33" t="s">
        <v>0</v>
      </c>
      <c r="E2030" s="34">
        <v>1</v>
      </c>
      <c r="F2030" s="34"/>
      <c r="G2030" s="34" t="s">
        <v>201</v>
      </c>
      <c r="H2030" s="35" t="s">
        <v>768</v>
      </c>
      <c r="I2030" s="43" t="s">
        <v>35</v>
      </c>
      <c r="J2030" s="36">
        <v>1.0779391751677382E-7</v>
      </c>
      <c r="K2030" s="36">
        <v>3.9650231392879449E-8</v>
      </c>
      <c r="L2030" s="37">
        <v>9.916799387138091E-7</v>
      </c>
      <c r="M2030" s="36">
        <v>4.8090379206249675E-6</v>
      </c>
      <c r="N2030" s="36">
        <v>1.2611087267859067E-7</v>
      </c>
      <c r="O2030" s="36">
        <v>1.3334742772006188E-7</v>
      </c>
      <c r="P2030">
        <v>3.4053479051646271E-6</v>
      </c>
    </row>
    <row r="2031" spans="1:16" hidden="1" x14ac:dyDescent="0.35">
      <c r="A2031" s="3">
        <f xml:space="preserve"> ROW( data_scaledImpacts[[#This Row],[row_id]] ) - ROW( data_scaledImpacts[[#Headers],[row_id]] )</f>
        <v>2030</v>
      </c>
      <c r="B2031" s="41" t="str">
        <f xml:space="preserve"> _xlfn.TEXTJOIN( "", , data_scaledImpacts[[#This Row],[sector]:[impactType]] )</f>
        <v>WildfireCanESM22N/AMortality</v>
      </c>
      <c r="C2031" s="33" t="s">
        <v>761</v>
      </c>
      <c r="D2031" s="33" t="s">
        <v>0</v>
      </c>
      <c r="E2031" s="34">
        <v>2</v>
      </c>
      <c r="F2031" s="34"/>
      <c r="G2031" s="34" t="s">
        <v>201</v>
      </c>
      <c r="H2031" s="35" t="s">
        <v>768</v>
      </c>
      <c r="I2031" s="43" t="s">
        <v>42</v>
      </c>
      <c r="J2031" s="36">
        <v>2.5601055410233786E-7</v>
      </c>
      <c r="K2031" s="36">
        <v>9.4169299558088675E-8</v>
      </c>
      <c r="L2031" s="37">
        <v>2.3552398544452965E-6</v>
      </c>
      <c r="M2031" s="36">
        <v>1.1421465061484299E-5</v>
      </c>
      <c r="N2031" s="36">
        <v>2.9951332261165297E-7</v>
      </c>
      <c r="O2031" s="36">
        <v>3.1670014083514701E-7</v>
      </c>
      <c r="P2031">
        <v>8.0877012747659887E-6</v>
      </c>
    </row>
    <row r="2032" spans="1:16" hidden="1" x14ac:dyDescent="0.35">
      <c r="A2032" s="3">
        <f xml:space="preserve"> ROW( data_scaledImpacts[[#This Row],[row_id]] ) - ROW( data_scaledImpacts[[#Headers],[row_id]] )</f>
        <v>2031</v>
      </c>
      <c r="B2032" s="41" t="str">
        <f xml:space="preserve"> _xlfn.TEXTJOIN( "", , data_scaledImpacts[[#This Row],[sector]:[impactType]] )</f>
        <v>WildfireCanESM23N/AMortality</v>
      </c>
      <c r="C2032" s="33" t="s">
        <v>761</v>
      </c>
      <c r="D2032" s="33" t="s">
        <v>0</v>
      </c>
      <c r="E2032" s="34">
        <v>3</v>
      </c>
      <c r="F2032" s="34"/>
      <c r="G2032" s="34" t="s">
        <v>201</v>
      </c>
      <c r="H2032" s="35" t="s">
        <v>768</v>
      </c>
      <c r="I2032" s="43" t="s">
        <v>49</v>
      </c>
      <c r="J2032" s="36">
        <v>3.5559697341815874E-7</v>
      </c>
      <c r="K2032" s="36">
        <v>1.3030733551508783E-7</v>
      </c>
      <c r="L2032" s="37">
        <v>3.2889546276122511E-6</v>
      </c>
      <c r="M2032" s="36">
        <v>1.5829913167470375E-5</v>
      </c>
      <c r="N2032" s="36">
        <v>4.1526563596995133E-7</v>
      </c>
      <c r="O2032" s="36">
        <v>4.401588775818372E-7</v>
      </c>
      <c r="P2032">
        <v>1.1197013437137938E-5</v>
      </c>
    </row>
    <row r="2033" spans="1:16" hidden="1" x14ac:dyDescent="0.35">
      <c r="A2033" s="3">
        <f xml:space="preserve"> ROW( data_scaledImpacts[[#This Row],[row_id]] ) - ROW( data_scaledImpacts[[#Headers],[row_id]] )</f>
        <v>2032</v>
      </c>
      <c r="B2033" s="41" t="str">
        <f xml:space="preserve"> _xlfn.TEXTJOIN( "", , data_scaledImpacts[[#This Row],[sector]:[impactType]] )</f>
        <v>WildfireCanESM24N/AMortality</v>
      </c>
      <c r="C2033" s="33" t="s">
        <v>761</v>
      </c>
      <c r="D2033" s="33" t="s">
        <v>0</v>
      </c>
      <c r="E2033" s="34">
        <v>4</v>
      </c>
      <c r="F2033" s="34"/>
      <c r="G2033" s="34" t="s">
        <v>201</v>
      </c>
      <c r="H2033" s="35" t="s">
        <v>768</v>
      </c>
      <c r="I2033" s="43" t="s">
        <v>56</v>
      </c>
      <c r="J2033" s="36">
        <v>4.1903870576609031E-7</v>
      </c>
      <c r="K2033" s="36">
        <v>1.4328611253352537E-7</v>
      </c>
      <c r="L2033" s="37">
        <v>4.240986017064771E-6</v>
      </c>
      <c r="M2033" s="36">
        <v>1.793729751142073E-5</v>
      </c>
      <c r="N2033" s="36">
        <v>4.7360342422823275E-7</v>
      </c>
      <c r="O2033" s="36">
        <v>5.2419386527866767E-7</v>
      </c>
      <c r="P2033">
        <v>1.242946138103933E-5</v>
      </c>
    </row>
    <row r="2034" spans="1:16" hidden="1" x14ac:dyDescent="0.35">
      <c r="A2034" s="3">
        <f xml:space="preserve"> ROW( data_scaledImpacts[[#This Row],[row_id]] ) - ROW( data_scaledImpacts[[#Headers],[row_id]] )</f>
        <v>2033</v>
      </c>
      <c r="B2034" s="41" t="str">
        <f xml:space="preserve"> _xlfn.TEXTJOIN( "", , data_scaledImpacts[[#This Row],[sector]:[impactType]] )</f>
        <v>WildfireCanESM25N/AMortality</v>
      </c>
      <c r="C2034" s="33" t="s">
        <v>761</v>
      </c>
      <c r="D2034" s="33" t="s">
        <v>0</v>
      </c>
      <c r="E2034" s="34">
        <v>5</v>
      </c>
      <c r="F2034" s="34"/>
      <c r="G2034" s="34" t="s">
        <v>201</v>
      </c>
      <c r="H2034" s="35" t="s">
        <v>768</v>
      </c>
      <c r="I2034" s="43" t="s">
        <v>63</v>
      </c>
      <c r="J2034" s="36">
        <v>4.7561867245196743E-7</v>
      </c>
      <c r="K2034" s="36">
        <v>1.5143929500744467E-7</v>
      </c>
      <c r="L2034" s="37">
        <v>5.2117532827568319E-6</v>
      </c>
      <c r="M2034" s="36">
        <v>1.9577898780571868E-5</v>
      </c>
      <c r="N2034" s="36">
        <v>5.2038360685640585E-7</v>
      </c>
      <c r="O2034" s="36">
        <v>6.0097462818478153E-7</v>
      </c>
      <c r="P2034">
        <v>1.3273635664247905E-5</v>
      </c>
    </row>
    <row r="2035" spans="1:16" hidden="1" x14ac:dyDescent="0.35">
      <c r="A2035" s="3">
        <f xml:space="preserve"> ROW( data_scaledImpacts[[#This Row],[row_id]] ) - ROW( data_scaledImpacts[[#Headers],[row_id]] )</f>
        <v>2034</v>
      </c>
      <c r="B2035" s="41" t="str">
        <f xml:space="preserve"> _xlfn.TEXTJOIN( "", , data_scaledImpacts[[#This Row],[sector]:[impactType]] )</f>
        <v>WildfireCanESM26N/AMortality</v>
      </c>
      <c r="C2035" s="33" t="s">
        <v>761</v>
      </c>
      <c r="D2035" s="33" t="s">
        <v>0</v>
      </c>
      <c r="E2035" s="34">
        <v>6</v>
      </c>
      <c r="F2035" s="34"/>
      <c r="G2035" s="34" t="s">
        <v>201</v>
      </c>
      <c r="H2035" s="35" t="s">
        <v>768</v>
      </c>
      <c r="I2035" s="43" t="s">
        <v>70</v>
      </c>
      <c r="J2035" s="36">
        <v>5.3624006532969298E-7</v>
      </c>
      <c r="K2035" s="36">
        <v>1.6017484765807251E-7</v>
      </c>
      <c r="L2035" s="37">
        <v>6.2518610674268958E-6</v>
      </c>
      <c r="M2035" s="36">
        <v>2.1335685854662368E-5</v>
      </c>
      <c r="N2035" s="36">
        <v>5.7050523110087739E-7</v>
      </c>
      <c r="O2035" s="36">
        <v>6.8323973129847493E-7</v>
      </c>
      <c r="P2035">
        <v>1.417810811054281E-5</v>
      </c>
    </row>
    <row r="2036" spans="1:16" hidden="1" x14ac:dyDescent="0.35">
      <c r="A2036" s="3">
        <f xml:space="preserve"> ROW( data_scaledImpacts[[#This Row],[row_id]] ) - ROW( data_scaledImpacts[[#Headers],[row_id]] )</f>
        <v>2035</v>
      </c>
      <c r="B2036" s="41" t="str">
        <f xml:space="preserve"> _xlfn.TEXTJOIN( "", , data_scaledImpacts[[#This Row],[sector]:[impactType]] )</f>
        <v>WildfireCanESM27N/AMortality</v>
      </c>
      <c r="C2036" s="33" t="s">
        <v>761</v>
      </c>
      <c r="D2036" s="33" t="s">
        <v>0</v>
      </c>
      <c r="E2036" s="34">
        <v>7</v>
      </c>
      <c r="F2036" s="34"/>
      <c r="G2036" s="34" t="s">
        <v>201</v>
      </c>
      <c r="H2036" s="35" t="s">
        <v>768</v>
      </c>
      <c r="I2036" s="43" t="s">
        <v>77</v>
      </c>
      <c r="J2036" s="36"/>
      <c r="K2036" s="36"/>
      <c r="L2036" s="37"/>
      <c r="M2036" s="36"/>
      <c r="N2036" s="36"/>
      <c r="O2036" s="36"/>
    </row>
    <row r="2037" spans="1:16" hidden="1" x14ac:dyDescent="0.35">
      <c r="A2037" s="3">
        <f xml:space="preserve"> ROW( data_scaledImpacts[[#This Row],[row_id]] ) - ROW( data_scaledImpacts[[#Headers],[row_id]] )</f>
        <v>2036</v>
      </c>
      <c r="B2037" s="41" t="str">
        <f xml:space="preserve"> _xlfn.TEXTJOIN( "", , data_scaledImpacts[[#This Row],[sector]:[impactType]] )</f>
        <v>WildfireCanESM21N/AResponse Costs</v>
      </c>
      <c r="C2037" s="33" t="s">
        <v>761</v>
      </c>
      <c r="D2037" s="33" t="s">
        <v>0</v>
      </c>
      <c r="E2037" s="34">
        <v>1</v>
      </c>
      <c r="F2037" s="34"/>
      <c r="G2037" s="34" t="s">
        <v>201</v>
      </c>
      <c r="H2037" s="35" t="s">
        <v>802</v>
      </c>
      <c r="I2037" s="43" t="s">
        <v>35</v>
      </c>
      <c r="J2037" s="36"/>
      <c r="K2037" s="36"/>
      <c r="L2037" s="37">
        <v>423593.63270864374</v>
      </c>
      <c r="M2037" s="36">
        <v>744339.10547857929</v>
      </c>
      <c r="N2037" s="36"/>
      <c r="O2037" s="36">
        <v>19199.888514290811</v>
      </c>
      <c r="P2037">
        <v>1284142.8315791602</v>
      </c>
    </row>
    <row r="2038" spans="1:16" hidden="1" x14ac:dyDescent="0.35">
      <c r="A2038" s="3">
        <f xml:space="preserve"> ROW( data_scaledImpacts[[#This Row],[row_id]] ) - ROW( data_scaledImpacts[[#Headers],[row_id]] )</f>
        <v>2037</v>
      </c>
      <c r="B2038" s="41" t="str">
        <f xml:space="preserve"> _xlfn.TEXTJOIN( "", , data_scaledImpacts[[#This Row],[sector]:[impactType]] )</f>
        <v>WildfireCanESM22N/AResponse Costs</v>
      </c>
      <c r="C2038" s="33" t="s">
        <v>761</v>
      </c>
      <c r="D2038" s="33" t="s">
        <v>0</v>
      </c>
      <c r="E2038" s="34">
        <v>2</v>
      </c>
      <c r="F2038" s="34"/>
      <c r="G2038" s="34" t="s">
        <v>201</v>
      </c>
      <c r="H2038" s="35" t="s">
        <v>802</v>
      </c>
      <c r="I2038" s="43" t="s">
        <v>42</v>
      </c>
      <c r="J2038" s="36"/>
      <c r="K2038" s="36"/>
      <c r="L2038" s="37">
        <v>433155.60341376072</v>
      </c>
      <c r="M2038" s="36">
        <v>811551.972054068</v>
      </c>
      <c r="N2038" s="36"/>
      <c r="O2038" s="36">
        <v>28061.079402718271</v>
      </c>
      <c r="P2038">
        <v>1475547.0841203998</v>
      </c>
    </row>
    <row r="2039" spans="1:16" hidden="1" x14ac:dyDescent="0.35">
      <c r="A2039" s="3">
        <f xml:space="preserve"> ROW( data_scaledImpacts[[#This Row],[row_id]] ) - ROW( data_scaledImpacts[[#Headers],[row_id]] )</f>
        <v>2038</v>
      </c>
      <c r="B2039" s="41" t="str">
        <f xml:space="preserve"> _xlfn.TEXTJOIN( "", , data_scaledImpacts[[#This Row],[sector]:[impactType]] )</f>
        <v>WildfireCanESM23N/AResponse Costs</v>
      </c>
      <c r="C2039" s="33" t="s">
        <v>761</v>
      </c>
      <c r="D2039" s="33" t="s">
        <v>0</v>
      </c>
      <c r="E2039" s="34">
        <v>3</v>
      </c>
      <c r="F2039" s="34"/>
      <c r="G2039" s="34" t="s">
        <v>201</v>
      </c>
      <c r="H2039" s="35" t="s">
        <v>802</v>
      </c>
      <c r="I2039" s="43" t="s">
        <v>49</v>
      </c>
      <c r="J2039" s="36"/>
      <c r="K2039" s="36"/>
      <c r="L2039" s="37">
        <v>433205.36206122674</v>
      </c>
      <c r="M2039" s="36">
        <v>886468.99938430195</v>
      </c>
      <c r="N2039" s="36"/>
      <c r="O2039" s="36">
        <v>31901.632396695808</v>
      </c>
      <c r="P2039">
        <v>1789629.9206887907</v>
      </c>
    </row>
    <row r="2040" spans="1:16" hidden="1" x14ac:dyDescent="0.35">
      <c r="A2040" s="3">
        <f xml:space="preserve"> ROW( data_scaledImpacts[[#This Row],[row_id]] ) - ROW( data_scaledImpacts[[#Headers],[row_id]] )</f>
        <v>2039</v>
      </c>
      <c r="B2040" s="41" t="str">
        <f xml:space="preserve"> _xlfn.TEXTJOIN( "", , data_scaledImpacts[[#This Row],[sector]:[impactType]] )</f>
        <v>WildfireCanESM24N/AResponse Costs</v>
      </c>
      <c r="C2040" s="33" t="s">
        <v>761</v>
      </c>
      <c r="D2040" s="33" t="s">
        <v>0</v>
      </c>
      <c r="E2040" s="34">
        <v>4</v>
      </c>
      <c r="F2040" s="34"/>
      <c r="G2040" s="34" t="s">
        <v>201</v>
      </c>
      <c r="H2040" s="35" t="s">
        <v>802</v>
      </c>
      <c r="I2040" s="43" t="s">
        <v>56</v>
      </c>
      <c r="J2040" s="36"/>
      <c r="K2040" s="36"/>
      <c r="L2040" s="37">
        <v>380134.20946671919</v>
      </c>
      <c r="M2040" s="36">
        <v>896652.57849945675</v>
      </c>
      <c r="N2040" s="36"/>
      <c r="O2040" s="36">
        <v>33310.470262398136</v>
      </c>
      <c r="P2040">
        <v>1963572.1736155257</v>
      </c>
    </row>
    <row r="2041" spans="1:16" hidden="1" x14ac:dyDescent="0.35">
      <c r="A2041" s="3">
        <f xml:space="preserve"> ROW( data_scaledImpacts[[#This Row],[row_id]] ) - ROW( data_scaledImpacts[[#Headers],[row_id]] )</f>
        <v>2040</v>
      </c>
      <c r="B2041" s="41" t="str">
        <f xml:space="preserve"> _xlfn.TEXTJOIN( "", , data_scaledImpacts[[#This Row],[sector]:[impactType]] )</f>
        <v>WildfireCanESM25N/AResponse Costs</v>
      </c>
      <c r="C2041" s="33" t="s">
        <v>761</v>
      </c>
      <c r="D2041" s="33" t="s">
        <v>0</v>
      </c>
      <c r="E2041" s="34">
        <v>5</v>
      </c>
      <c r="F2041" s="34"/>
      <c r="G2041" s="34" t="s">
        <v>201</v>
      </c>
      <c r="H2041" s="35" t="s">
        <v>802</v>
      </c>
      <c r="I2041" s="43" t="s">
        <v>63</v>
      </c>
      <c r="J2041" s="36"/>
      <c r="K2041" s="36"/>
      <c r="L2041" s="37">
        <v>414261.30894805922</v>
      </c>
      <c r="M2041" s="36">
        <v>983999.80858218495</v>
      </c>
      <c r="N2041" s="36"/>
      <c r="O2041" s="36">
        <v>38572.955397438374</v>
      </c>
      <c r="P2041">
        <v>2116592.8237383999</v>
      </c>
    </row>
    <row r="2042" spans="1:16" hidden="1" x14ac:dyDescent="0.35">
      <c r="A2042" s="3">
        <f xml:space="preserve"> ROW( data_scaledImpacts[[#This Row],[row_id]] ) - ROW( data_scaledImpacts[[#Headers],[row_id]] )</f>
        <v>2041</v>
      </c>
      <c r="B2042" s="41" t="str">
        <f xml:space="preserve"> _xlfn.TEXTJOIN( "", , data_scaledImpacts[[#This Row],[sector]:[impactType]] )</f>
        <v>WildfireCanESM26N/AResponse Costs</v>
      </c>
      <c r="C2042" s="33" t="s">
        <v>761</v>
      </c>
      <c r="D2042" s="33" t="s">
        <v>0</v>
      </c>
      <c r="E2042" s="34">
        <v>6</v>
      </c>
      <c r="F2042" s="34"/>
      <c r="G2042" s="34" t="s">
        <v>201</v>
      </c>
      <c r="H2042" s="35" t="s">
        <v>802</v>
      </c>
      <c r="I2042" s="43" t="s">
        <v>70</v>
      </c>
      <c r="J2042" s="36"/>
      <c r="K2042" s="36"/>
      <c r="L2042" s="37">
        <v>528906.87481772376</v>
      </c>
      <c r="M2042" s="36">
        <v>1085809.4065122607</v>
      </c>
      <c r="N2042" s="36"/>
      <c r="O2042" s="36">
        <v>41419.434342488297</v>
      </c>
      <c r="P2042">
        <v>2440642.4952261304</v>
      </c>
    </row>
    <row r="2043" spans="1:16" hidden="1" x14ac:dyDescent="0.35">
      <c r="A2043" s="3">
        <f xml:space="preserve"> ROW( data_scaledImpacts[[#This Row],[row_id]] ) - ROW( data_scaledImpacts[[#Headers],[row_id]] )</f>
        <v>2042</v>
      </c>
      <c r="B2043" s="41" t="str">
        <f xml:space="preserve"> _xlfn.TEXTJOIN( "", , data_scaledImpacts[[#This Row],[sector]:[impactType]] )</f>
        <v>WildfireCanESM27N/AResponse Costs</v>
      </c>
      <c r="C2043" s="33" t="s">
        <v>761</v>
      </c>
      <c r="D2043" s="33" t="s">
        <v>0</v>
      </c>
      <c r="E2043" s="34">
        <v>7</v>
      </c>
      <c r="F2043" s="34"/>
      <c r="G2043" s="34" t="s">
        <v>201</v>
      </c>
      <c r="H2043" s="35" t="s">
        <v>802</v>
      </c>
      <c r="I2043" s="43" t="s">
        <v>77</v>
      </c>
      <c r="J2043" s="36"/>
      <c r="K2043" s="36"/>
      <c r="L2043" s="37"/>
      <c r="M2043" s="36"/>
      <c r="N2043" s="36"/>
      <c r="O2043" s="36"/>
    </row>
    <row r="2044" spans="1:16" hidden="1" x14ac:dyDescent="0.35">
      <c r="A2044" s="3">
        <f xml:space="preserve"> ROW( data_scaledImpacts[[#This Row],[row_id]] ) - ROW( data_scaledImpacts[[#Headers],[row_id]] )</f>
        <v>2043</v>
      </c>
      <c r="B2044" s="41" t="str">
        <f xml:space="preserve"> _xlfn.TEXTJOIN( "", , data_scaledImpacts[[#This Row],[sector]:[impactType]] )</f>
        <v>WildfireCCSM41N/AMorbidity</v>
      </c>
      <c r="C2044" s="33" t="s">
        <v>761</v>
      </c>
      <c r="D2044" s="33" t="s">
        <v>1</v>
      </c>
      <c r="E2044" s="34">
        <v>1</v>
      </c>
      <c r="F2044" s="34"/>
      <c r="G2044" s="34" t="s">
        <v>201</v>
      </c>
      <c r="H2044" s="35" t="s">
        <v>769</v>
      </c>
      <c r="I2044" s="43" t="s">
        <v>36</v>
      </c>
      <c r="J2044" s="36">
        <v>7.4470431675852697E-2</v>
      </c>
      <c r="K2044" s="36">
        <v>3.0011682602600422E-2</v>
      </c>
      <c r="L2044" s="37">
        <v>0.55719833680993169</v>
      </c>
      <c r="M2044" s="36">
        <v>1.1034301039639045</v>
      </c>
      <c r="N2044" s="36">
        <v>6.6452553720157057E-2</v>
      </c>
      <c r="O2044" s="36">
        <v>5.3157054184011329E-2</v>
      </c>
      <c r="P2044">
        <v>0.74716755113272049</v>
      </c>
    </row>
    <row r="2045" spans="1:16" hidden="1" x14ac:dyDescent="0.35">
      <c r="A2045" s="3">
        <f xml:space="preserve"> ROW( data_scaledImpacts[[#This Row],[row_id]] ) - ROW( data_scaledImpacts[[#Headers],[row_id]] )</f>
        <v>2044</v>
      </c>
      <c r="B2045" s="41" t="str">
        <f xml:space="preserve"> _xlfn.TEXTJOIN( "", , data_scaledImpacts[[#This Row],[sector]:[impactType]] )</f>
        <v>WildfireCCSM42N/AMorbidity</v>
      </c>
      <c r="C2045" s="33" t="s">
        <v>761</v>
      </c>
      <c r="D2045" s="33" t="s">
        <v>1</v>
      </c>
      <c r="E2045" s="34">
        <v>2</v>
      </c>
      <c r="F2045" s="34"/>
      <c r="G2045" s="34" t="s">
        <v>201</v>
      </c>
      <c r="H2045" s="35" t="s">
        <v>769</v>
      </c>
      <c r="I2045" s="43" t="s">
        <v>43</v>
      </c>
      <c r="J2045" s="36">
        <v>0.1954848831491133</v>
      </c>
      <c r="K2045" s="36">
        <v>7.8780666831826107E-2</v>
      </c>
      <c r="L2045" s="37">
        <v>1.4626456341260707</v>
      </c>
      <c r="M2045" s="36">
        <v>2.8965040229052494</v>
      </c>
      <c r="N2045" s="36">
        <v>0.17443795351541225</v>
      </c>
      <c r="O2045" s="36">
        <v>0.13953726723302973</v>
      </c>
      <c r="P2045">
        <v>1.9613148217233913</v>
      </c>
    </row>
    <row r="2046" spans="1:16" hidden="1" x14ac:dyDescent="0.35">
      <c r="A2046" s="3">
        <f xml:space="preserve"> ROW( data_scaledImpacts[[#This Row],[row_id]] ) - ROW( data_scaledImpacts[[#Headers],[row_id]] )</f>
        <v>2045</v>
      </c>
      <c r="B2046" s="41" t="str">
        <f xml:space="preserve"> _xlfn.TEXTJOIN( "", , data_scaledImpacts[[#This Row],[sector]:[impactType]] )</f>
        <v>WildfireCCSM43N/AMorbidity</v>
      </c>
      <c r="C2046" s="33" t="s">
        <v>761</v>
      </c>
      <c r="D2046" s="33" t="s">
        <v>1</v>
      </c>
      <c r="E2046" s="34">
        <v>3</v>
      </c>
      <c r="F2046" s="34"/>
      <c r="G2046" s="34" t="s">
        <v>201</v>
      </c>
      <c r="H2046" s="35" t="s">
        <v>769</v>
      </c>
      <c r="I2046" s="43" t="s">
        <v>50</v>
      </c>
      <c r="J2046" s="36">
        <v>0.25717137402337537</v>
      </c>
      <c r="K2046" s="36">
        <v>0.10246191876951335</v>
      </c>
      <c r="L2046" s="37">
        <v>1.9490864909429682</v>
      </c>
      <c r="M2046" s="36">
        <v>3.6974550456590078</v>
      </c>
      <c r="N2046" s="36">
        <v>0.2269685177997281</v>
      </c>
      <c r="O2046" s="36">
        <v>0.18475618491189402</v>
      </c>
      <c r="P2046">
        <v>2.5197750199960938</v>
      </c>
    </row>
    <row r="2047" spans="1:16" hidden="1" x14ac:dyDescent="0.35">
      <c r="A2047" s="3">
        <f xml:space="preserve"> ROW( data_scaledImpacts[[#This Row],[row_id]] ) - ROW( data_scaledImpacts[[#Headers],[row_id]] )</f>
        <v>2046</v>
      </c>
      <c r="B2047" s="41" t="str">
        <f xml:space="preserve"> _xlfn.TEXTJOIN( "", , data_scaledImpacts[[#This Row],[sector]:[impactType]] )</f>
        <v>WildfireCCSM44N/AMorbidity</v>
      </c>
      <c r="C2047" s="33" t="s">
        <v>761</v>
      </c>
      <c r="D2047" s="33" t="s">
        <v>1</v>
      </c>
      <c r="E2047" s="34">
        <v>4</v>
      </c>
      <c r="F2047" s="34"/>
      <c r="G2047" s="34" t="s">
        <v>201</v>
      </c>
      <c r="H2047" s="35" t="s">
        <v>769</v>
      </c>
      <c r="I2047" s="43" t="s">
        <v>57</v>
      </c>
      <c r="J2047" s="36">
        <v>0.25952990429863881</v>
      </c>
      <c r="K2047" s="36">
        <v>0.10105543841566217</v>
      </c>
      <c r="L2047" s="37">
        <v>2.0165209072606238</v>
      </c>
      <c r="M2047" s="36">
        <v>3.506283172225181</v>
      </c>
      <c r="N2047" s="36">
        <v>0.22404424657310462</v>
      </c>
      <c r="O2047" s="36">
        <v>0.18881380722060429</v>
      </c>
      <c r="P2047">
        <v>2.4225481459508287</v>
      </c>
    </row>
    <row r="2048" spans="1:16" hidden="1" x14ac:dyDescent="0.35">
      <c r="A2048" s="3">
        <f xml:space="preserve"> ROW( data_scaledImpacts[[#This Row],[row_id]] ) - ROW( data_scaledImpacts[[#Headers],[row_id]] )</f>
        <v>2047</v>
      </c>
      <c r="B2048" s="41" t="str">
        <f xml:space="preserve"> _xlfn.TEXTJOIN( "", , data_scaledImpacts[[#This Row],[sector]:[impactType]] )</f>
        <v>WildfireCCSM45N/AMorbidity</v>
      </c>
      <c r="C2048" s="33" t="s">
        <v>761</v>
      </c>
      <c r="D2048" s="33" t="s">
        <v>1</v>
      </c>
      <c r="E2048" s="34">
        <v>5</v>
      </c>
      <c r="F2048" s="34"/>
      <c r="G2048" s="34" t="s">
        <v>201</v>
      </c>
      <c r="H2048" s="35" t="s">
        <v>769</v>
      </c>
      <c r="I2048" s="43" t="s">
        <v>64</v>
      </c>
      <c r="J2048" s="36">
        <v>0.26136431673495486</v>
      </c>
      <c r="K2048" s="36">
        <v>9.9961509251555655E-2</v>
      </c>
      <c r="L2048" s="37">
        <v>2.0689698977299118</v>
      </c>
      <c r="M2048" s="36">
        <v>3.3575939373322043</v>
      </c>
      <c r="N2048" s="36">
        <v>0.22176981339684196</v>
      </c>
      <c r="O2048" s="36">
        <v>0.19196973568293443</v>
      </c>
      <c r="P2048">
        <v>2.3469272439156228</v>
      </c>
    </row>
    <row r="2049" spans="1:16" hidden="1" x14ac:dyDescent="0.35">
      <c r="A2049" s="3">
        <f xml:space="preserve"> ROW( data_scaledImpacts[[#This Row],[row_id]] ) - ROW( data_scaledImpacts[[#Headers],[row_id]] )</f>
        <v>2048</v>
      </c>
      <c r="B2049" s="41" t="str">
        <f xml:space="preserve"> _xlfn.TEXTJOIN( "", , data_scaledImpacts[[#This Row],[sector]:[impactType]] )</f>
        <v>WildfireCCSM46N/AMorbidity</v>
      </c>
      <c r="C2049" s="33" t="s">
        <v>761</v>
      </c>
      <c r="D2049" s="33" t="s">
        <v>1</v>
      </c>
      <c r="E2049" s="34">
        <v>6</v>
      </c>
      <c r="F2049" s="34"/>
      <c r="G2049" s="34" t="s">
        <v>201</v>
      </c>
      <c r="H2049" s="35" t="s">
        <v>769</v>
      </c>
      <c r="I2049" s="43" t="s">
        <v>71</v>
      </c>
      <c r="J2049" s="36"/>
      <c r="K2049" s="36"/>
      <c r="L2049" s="37"/>
      <c r="M2049" s="36"/>
      <c r="N2049" s="36"/>
      <c r="O2049" s="36"/>
    </row>
    <row r="2050" spans="1:16" hidden="1" x14ac:dyDescent="0.35">
      <c r="A2050" s="3">
        <f xml:space="preserve"> ROW( data_scaledImpacts[[#This Row],[row_id]] ) - ROW( data_scaledImpacts[[#Headers],[row_id]] )</f>
        <v>2049</v>
      </c>
      <c r="B2050" s="41" t="str">
        <f xml:space="preserve"> _xlfn.TEXTJOIN( "", , data_scaledImpacts[[#This Row],[sector]:[impactType]] )</f>
        <v>WildfireCCSM47N/AMorbidity</v>
      </c>
      <c r="C2050" s="33" t="s">
        <v>761</v>
      </c>
      <c r="D2050" s="33" t="s">
        <v>1</v>
      </c>
      <c r="E2050" s="34">
        <v>7</v>
      </c>
      <c r="F2050" s="34"/>
      <c r="G2050" s="34" t="s">
        <v>201</v>
      </c>
      <c r="H2050" s="35" t="s">
        <v>769</v>
      </c>
      <c r="I2050" s="43" t="s">
        <v>78</v>
      </c>
      <c r="J2050" s="36"/>
      <c r="K2050" s="36"/>
      <c r="L2050" s="37"/>
      <c r="M2050" s="36"/>
      <c r="N2050" s="36"/>
      <c r="O2050" s="36"/>
    </row>
    <row r="2051" spans="1:16" hidden="1" x14ac:dyDescent="0.35">
      <c r="A2051" s="3">
        <f xml:space="preserve"> ROW( data_scaledImpacts[[#This Row],[row_id]] ) - ROW( data_scaledImpacts[[#Headers],[row_id]] )</f>
        <v>2050</v>
      </c>
      <c r="B2051" s="41" t="str">
        <f xml:space="preserve"> _xlfn.TEXTJOIN( "", , data_scaledImpacts[[#This Row],[sector]:[impactType]] )</f>
        <v>WildfireCCSM41N/AMortality</v>
      </c>
      <c r="C2051" s="33" t="s">
        <v>761</v>
      </c>
      <c r="D2051" s="33" t="s">
        <v>1</v>
      </c>
      <c r="E2051" s="34">
        <v>1</v>
      </c>
      <c r="F2051" s="34"/>
      <c r="G2051" s="34" t="s">
        <v>201</v>
      </c>
      <c r="H2051" s="35" t="s">
        <v>768</v>
      </c>
      <c r="I2051" s="43" t="s">
        <v>36</v>
      </c>
      <c r="J2051" s="36">
        <v>2.6414422968746705E-7</v>
      </c>
      <c r="K2051" s="36">
        <v>1.1133316222722129E-7</v>
      </c>
      <c r="L2051" s="37">
        <v>3.1650093074793255E-6</v>
      </c>
      <c r="M2051" s="36">
        <v>5.3793373975591107E-6</v>
      </c>
      <c r="N2051" s="36">
        <v>2.3395347664356778E-7</v>
      </c>
      <c r="O2051" s="36">
        <v>2.2787786888223097E-7</v>
      </c>
      <c r="P2051">
        <v>3.6147872450101761E-6</v>
      </c>
    </row>
    <row r="2052" spans="1:16" hidden="1" x14ac:dyDescent="0.35">
      <c r="A2052" s="3">
        <f xml:space="preserve"> ROW( data_scaledImpacts[[#This Row],[row_id]] ) - ROW( data_scaledImpacts[[#Headers],[row_id]] )</f>
        <v>2051</v>
      </c>
      <c r="B2052" s="41" t="str">
        <f xml:space="preserve"> _xlfn.TEXTJOIN( "", , data_scaledImpacts[[#This Row],[sector]:[impactType]] )</f>
        <v>WildfireCCSM42N/AMortality</v>
      </c>
      <c r="C2052" s="33" t="s">
        <v>761</v>
      </c>
      <c r="D2052" s="33" t="s">
        <v>1</v>
      </c>
      <c r="E2052" s="34">
        <v>2</v>
      </c>
      <c r="F2052" s="34"/>
      <c r="G2052" s="34" t="s">
        <v>201</v>
      </c>
      <c r="H2052" s="35" t="s">
        <v>768</v>
      </c>
      <c r="I2052" s="43" t="s">
        <v>43</v>
      </c>
      <c r="J2052" s="36">
        <v>6.9337860292960086E-7</v>
      </c>
      <c r="K2052" s="36">
        <v>2.9224955084645585E-7</v>
      </c>
      <c r="L2052" s="37">
        <v>8.3081494321332297E-6</v>
      </c>
      <c r="M2052" s="36">
        <v>1.4120760668592663E-5</v>
      </c>
      <c r="N2052" s="36">
        <v>6.1412787618936531E-7</v>
      </c>
      <c r="O2052" s="36">
        <v>5.9817940581585609E-7</v>
      </c>
      <c r="P2052">
        <v>9.4888165181517126E-6</v>
      </c>
    </row>
    <row r="2053" spans="1:16" hidden="1" x14ac:dyDescent="0.35">
      <c r="A2053" s="3">
        <f xml:space="preserve"> ROW( data_scaledImpacts[[#This Row],[row_id]] ) - ROW( data_scaledImpacts[[#Headers],[row_id]] )</f>
        <v>2052</v>
      </c>
      <c r="B2053" s="41" t="str">
        <f xml:space="preserve"> _xlfn.TEXTJOIN( "", , data_scaledImpacts[[#This Row],[sector]:[impactType]] )</f>
        <v>WildfireCCSM43N/AMortality</v>
      </c>
      <c r="C2053" s="33" t="s">
        <v>761</v>
      </c>
      <c r="D2053" s="33" t="s">
        <v>1</v>
      </c>
      <c r="E2053" s="34">
        <v>3</v>
      </c>
      <c r="F2053" s="34"/>
      <c r="G2053" s="34" t="s">
        <v>201</v>
      </c>
      <c r="H2053" s="35" t="s">
        <v>768</v>
      </c>
      <c r="I2053" s="43" t="s">
        <v>50</v>
      </c>
      <c r="J2053" s="36">
        <v>9.288300596829797E-7</v>
      </c>
      <c r="K2053" s="36">
        <v>3.7851781627787609E-7</v>
      </c>
      <c r="L2053" s="37">
        <v>1.1326931063626528E-5</v>
      </c>
      <c r="M2053" s="36">
        <v>1.8254275542849881E-5</v>
      </c>
      <c r="N2053" s="36">
        <v>8.1017936405385127E-7</v>
      </c>
      <c r="O2053" s="36">
        <v>8.0994231647676419E-7</v>
      </c>
      <c r="P2053">
        <v>1.2128659065026798E-5</v>
      </c>
    </row>
    <row r="2054" spans="1:16" hidden="1" x14ac:dyDescent="0.35">
      <c r="A2054" s="3">
        <f xml:space="preserve"> ROW( data_scaledImpacts[[#This Row],[row_id]] ) - ROW( data_scaledImpacts[[#Headers],[row_id]] )</f>
        <v>2053</v>
      </c>
      <c r="B2054" s="41" t="str">
        <f xml:space="preserve"> _xlfn.TEXTJOIN( "", , data_scaledImpacts[[#This Row],[sector]:[impactType]] )</f>
        <v>WildfireCCSM44N/AMortality</v>
      </c>
      <c r="C2054" s="33" t="s">
        <v>761</v>
      </c>
      <c r="D2054" s="33" t="s">
        <v>1</v>
      </c>
      <c r="E2054" s="34">
        <v>4</v>
      </c>
      <c r="F2054" s="34"/>
      <c r="G2054" s="34" t="s">
        <v>201</v>
      </c>
      <c r="H2054" s="35" t="s">
        <v>768</v>
      </c>
      <c r="I2054" s="43" t="s">
        <v>57</v>
      </c>
      <c r="J2054" s="36">
        <v>9.7049859994760283E-7</v>
      </c>
      <c r="K2054" s="36">
        <v>3.7013795852148246E-7</v>
      </c>
      <c r="L2054" s="37">
        <v>1.2221354201959221E-5</v>
      </c>
      <c r="M2054" s="36">
        <v>1.7779882020330766E-5</v>
      </c>
      <c r="N2054" s="36">
        <v>8.2210794023702559E-7</v>
      </c>
      <c r="O2054" s="36">
        <v>8.6316660086495449E-7</v>
      </c>
      <c r="P2054">
        <v>1.1534314885635433E-5</v>
      </c>
    </row>
    <row r="2055" spans="1:16" hidden="1" x14ac:dyDescent="0.35">
      <c r="A2055" s="3">
        <f xml:space="preserve"> ROW( data_scaledImpacts[[#This Row],[row_id]] ) - ROW( data_scaledImpacts[[#Headers],[row_id]] )</f>
        <v>2054</v>
      </c>
      <c r="B2055" s="41" t="str">
        <f xml:space="preserve"> _xlfn.TEXTJOIN( "", , data_scaledImpacts[[#This Row],[sector]:[impactType]] )</f>
        <v>WildfireCCSM45N/AMortality</v>
      </c>
      <c r="C2055" s="33" t="s">
        <v>761</v>
      </c>
      <c r="D2055" s="33" t="s">
        <v>1</v>
      </c>
      <c r="E2055" s="34">
        <v>5</v>
      </c>
      <c r="F2055" s="34"/>
      <c r="G2055" s="34" t="s">
        <v>201</v>
      </c>
      <c r="H2055" s="35" t="s">
        <v>768</v>
      </c>
      <c r="I2055" s="43" t="s">
        <v>64</v>
      </c>
      <c r="J2055" s="36">
        <v>1.0029074645978652E-6</v>
      </c>
      <c r="K2055" s="36">
        <v>3.6362029137762054E-7</v>
      </c>
      <c r="L2055" s="37">
        <v>1.2917016642884652E-5</v>
      </c>
      <c r="M2055" s="36">
        <v>1.7410909280593678E-5</v>
      </c>
      <c r="N2055" s="36">
        <v>8.3138572171282764E-7</v>
      </c>
      <c r="O2055" s="36">
        <v>9.0456326650021365E-7</v>
      </c>
      <c r="P2055">
        <v>1.1072047190553257E-5</v>
      </c>
    </row>
    <row r="2056" spans="1:16" hidden="1" x14ac:dyDescent="0.35">
      <c r="A2056" s="3">
        <f xml:space="preserve"> ROW( data_scaledImpacts[[#This Row],[row_id]] ) - ROW( data_scaledImpacts[[#Headers],[row_id]] )</f>
        <v>2055</v>
      </c>
      <c r="B2056" s="41" t="str">
        <f xml:space="preserve"> _xlfn.TEXTJOIN( "", , data_scaledImpacts[[#This Row],[sector]:[impactType]] )</f>
        <v>WildfireCCSM46N/AMortality</v>
      </c>
      <c r="C2056" s="33" t="s">
        <v>761</v>
      </c>
      <c r="D2056" s="33" t="s">
        <v>1</v>
      </c>
      <c r="E2056" s="34">
        <v>6</v>
      </c>
      <c r="F2056" s="34"/>
      <c r="G2056" s="34" t="s">
        <v>201</v>
      </c>
      <c r="H2056" s="35" t="s">
        <v>768</v>
      </c>
      <c r="I2056" s="43" t="s">
        <v>71</v>
      </c>
      <c r="J2056" s="36"/>
      <c r="K2056" s="36"/>
      <c r="L2056" s="37"/>
      <c r="M2056" s="36"/>
      <c r="N2056" s="36"/>
      <c r="O2056" s="36"/>
    </row>
    <row r="2057" spans="1:16" hidden="1" x14ac:dyDescent="0.35">
      <c r="A2057" s="3">
        <f xml:space="preserve"> ROW( data_scaledImpacts[[#This Row],[row_id]] ) - ROW( data_scaledImpacts[[#Headers],[row_id]] )</f>
        <v>2056</v>
      </c>
      <c r="B2057" s="41" t="str">
        <f xml:space="preserve"> _xlfn.TEXTJOIN( "", , data_scaledImpacts[[#This Row],[sector]:[impactType]] )</f>
        <v>WildfireCCSM47N/AMortality</v>
      </c>
      <c r="C2057" s="33" t="s">
        <v>761</v>
      </c>
      <c r="D2057" s="33" t="s">
        <v>1</v>
      </c>
      <c r="E2057" s="34">
        <v>7</v>
      </c>
      <c r="F2057" s="34"/>
      <c r="G2057" s="34" t="s">
        <v>201</v>
      </c>
      <c r="H2057" s="35" t="s">
        <v>768</v>
      </c>
      <c r="I2057" s="43" t="s">
        <v>78</v>
      </c>
      <c r="J2057" s="36"/>
      <c r="K2057" s="36"/>
      <c r="L2057" s="37"/>
      <c r="M2057" s="36"/>
      <c r="N2057" s="36"/>
      <c r="O2057" s="36"/>
    </row>
    <row r="2058" spans="1:16" hidden="1" x14ac:dyDescent="0.35">
      <c r="A2058" s="3">
        <f xml:space="preserve"> ROW( data_scaledImpacts[[#This Row],[row_id]] ) - ROW( data_scaledImpacts[[#Headers],[row_id]] )</f>
        <v>2057</v>
      </c>
      <c r="B2058" s="41" t="str">
        <f xml:space="preserve"> _xlfn.TEXTJOIN( "", , data_scaledImpacts[[#This Row],[sector]:[impactType]] )</f>
        <v>WildfireCCSM41N/AResponse Costs</v>
      </c>
      <c r="C2058" s="33" t="s">
        <v>761</v>
      </c>
      <c r="D2058" s="33" t="s">
        <v>1</v>
      </c>
      <c r="E2058" s="34">
        <v>1</v>
      </c>
      <c r="F2058" s="34"/>
      <c r="G2058" s="34" t="s">
        <v>201</v>
      </c>
      <c r="H2058" s="35" t="s">
        <v>802</v>
      </c>
      <c r="I2058" s="43" t="s">
        <v>36</v>
      </c>
      <c r="J2058" s="36"/>
      <c r="K2058" s="36"/>
      <c r="L2058" s="37">
        <v>555467.45435736794</v>
      </c>
      <c r="M2058" s="36">
        <v>751882.7695646669</v>
      </c>
      <c r="N2058" s="36"/>
      <c r="O2058" s="36">
        <v>26836.865088249207</v>
      </c>
      <c r="P2058">
        <v>1207697.7807713898</v>
      </c>
    </row>
    <row r="2059" spans="1:16" hidden="1" x14ac:dyDescent="0.35">
      <c r="A2059" s="3">
        <f xml:space="preserve"> ROW( data_scaledImpacts[[#This Row],[row_id]] ) - ROW( data_scaledImpacts[[#Headers],[row_id]] )</f>
        <v>2058</v>
      </c>
      <c r="B2059" s="41" t="str">
        <f xml:space="preserve"> _xlfn.TEXTJOIN( "", , data_scaledImpacts[[#This Row],[sector]:[impactType]] )</f>
        <v>WildfireCCSM42N/AResponse Costs</v>
      </c>
      <c r="C2059" s="33" t="s">
        <v>761</v>
      </c>
      <c r="D2059" s="33" t="s">
        <v>1</v>
      </c>
      <c r="E2059" s="34">
        <v>2</v>
      </c>
      <c r="F2059" s="34"/>
      <c r="G2059" s="34" t="s">
        <v>201</v>
      </c>
      <c r="H2059" s="35" t="s">
        <v>802</v>
      </c>
      <c r="I2059" s="43" t="s">
        <v>43</v>
      </c>
      <c r="J2059" s="36"/>
      <c r="K2059" s="36"/>
      <c r="L2059" s="37">
        <v>557119.95118231815</v>
      </c>
      <c r="M2059" s="36">
        <v>837918.97454092698</v>
      </c>
      <c r="N2059" s="36"/>
      <c r="O2059" s="36">
        <v>34445.580511185872</v>
      </c>
      <c r="P2059">
        <v>1449488.4542385913</v>
      </c>
    </row>
    <row r="2060" spans="1:16" hidden="1" x14ac:dyDescent="0.35">
      <c r="A2060" s="3">
        <f xml:space="preserve"> ROW( data_scaledImpacts[[#This Row],[row_id]] ) - ROW( data_scaledImpacts[[#Headers],[row_id]] )</f>
        <v>2059</v>
      </c>
      <c r="B2060" s="41" t="str">
        <f xml:space="preserve"> _xlfn.TEXTJOIN( "", , data_scaledImpacts[[#This Row],[sector]:[impactType]] )</f>
        <v>WildfireCCSM43N/AResponse Costs</v>
      </c>
      <c r="C2060" s="33" t="s">
        <v>761</v>
      </c>
      <c r="D2060" s="33" t="s">
        <v>1</v>
      </c>
      <c r="E2060" s="34">
        <v>3</v>
      </c>
      <c r="F2060" s="34"/>
      <c r="G2060" s="34" t="s">
        <v>201</v>
      </c>
      <c r="H2060" s="35" t="s">
        <v>802</v>
      </c>
      <c r="I2060" s="43" t="s">
        <v>50</v>
      </c>
      <c r="J2060" s="36"/>
      <c r="K2060" s="36"/>
      <c r="L2060" s="37">
        <v>592698.3339907144</v>
      </c>
      <c r="M2060" s="36">
        <v>867371.18808915792</v>
      </c>
      <c r="N2060" s="36"/>
      <c r="O2060" s="36">
        <v>41446.027419220743</v>
      </c>
      <c r="P2060">
        <v>1568007.1691990197</v>
      </c>
    </row>
    <row r="2061" spans="1:16" hidden="1" x14ac:dyDescent="0.35">
      <c r="A2061" s="3">
        <f xml:space="preserve"> ROW( data_scaledImpacts[[#This Row],[row_id]] ) - ROW( data_scaledImpacts[[#Headers],[row_id]] )</f>
        <v>2060</v>
      </c>
      <c r="B2061" s="41" t="str">
        <f xml:space="preserve"> _xlfn.TEXTJOIN( "", , data_scaledImpacts[[#This Row],[sector]:[impactType]] )</f>
        <v>WildfireCCSM44N/AResponse Costs</v>
      </c>
      <c r="C2061" s="33" t="s">
        <v>761</v>
      </c>
      <c r="D2061" s="33" t="s">
        <v>1</v>
      </c>
      <c r="E2061" s="34">
        <v>4</v>
      </c>
      <c r="F2061" s="34"/>
      <c r="G2061" s="34" t="s">
        <v>201</v>
      </c>
      <c r="H2061" s="35" t="s">
        <v>802</v>
      </c>
      <c r="I2061" s="43" t="s">
        <v>57</v>
      </c>
      <c r="J2061" s="36"/>
      <c r="K2061" s="36"/>
      <c r="L2061" s="37">
        <v>601006.07777532958</v>
      </c>
      <c r="M2061" s="36">
        <v>1050921.8237051696</v>
      </c>
      <c r="N2061" s="36"/>
      <c r="O2061" s="36">
        <v>47705.233594355799</v>
      </c>
      <c r="P2061">
        <v>1896770.1185808463</v>
      </c>
    </row>
    <row r="2062" spans="1:16" hidden="1" x14ac:dyDescent="0.35">
      <c r="A2062" s="3">
        <f xml:space="preserve"> ROW( data_scaledImpacts[[#This Row],[row_id]] ) - ROW( data_scaledImpacts[[#Headers],[row_id]] )</f>
        <v>2061</v>
      </c>
      <c r="B2062" s="41" t="str">
        <f xml:space="preserve"> _xlfn.TEXTJOIN( "", , data_scaledImpacts[[#This Row],[sector]:[impactType]] )</f>
        <v>WildfireCCSM45N/AResponse Costs</v>
      </c>
      <c r="C2062" s="33" t="s">
        <v>761</v>
      </c>
      <c r="D2062" s="33" t="s">
        <v>1</v>
      </c>
      <c r="E2062" s="34">
        <v>5</v>
      </c>
      <c r="F2062" s="34"/>
      <c r="G2062" s="34" t="s">
        <v>201</v>
      </c>
      <c r="H2062" s="35" t="s">
        <v>802</v>
      </c>
      <c r="I2062" s="43" t="s">
        <v>64</v>
      </c>
      <c r="J2062" s="36"/>
      <c r="K2062" s="36"/>
      <c r="L2062" s="37">
        <v>687146.34410996072</v>
      </c>
      <c r="M2062" s="36">
        <v>1011407.3925348832</v>
      </c>
      <c r="N2062" s="36"/>
      <c r="O2062" s="36">
        <v>47960.128777755977</v>
      </c>
      <c r="P2062">
        <v>1899932.137302208</v>
      </c>
    </row>
    <row r="2063" spans="1:16" hidden="1" x14ac:dyDescent="0.35">
      <c r="A2063" s="3">
        <f xml:space="preserve"> ROW( data_scaledImpacts[[#This Row],[row_id]] ) - ROW( data_scaledImpacts[[#Headers],[row_id]] )</f>
        <v>2062</v>
      </c>
      <c r="B2063" s="41" t="str">
        <f xml:space="preserve"> _xlfn.TEXTJOIN( "", , data_scaledImpacts[[#This Row],[sector]:[impactType]] )</f>
        <v>WildfireCCSM46N/AResponse Costs</v>
      </c>
      <c r="C2063" s="33" t="s">
        <v>761</v>
      </c>
      <c r="D2063" s="33" t="s">
        <v>1</v>
      </c>
      <c r="E2063" s="34">
        <v>6</v>
      </c>
      <c r="F2063" s="34"/>
      <c r="G2063" s="34" t="s">
        <v>201</v>
      </c>
      <c r="H2063" s="35" t="s">
        <v>802</v>
      </c>
      <c r="I2063" s="43" t="s">
        <v>71</v>
      </c>
      <c r="J2063" s="36"/>
      <c r="K2063" s="36"/>
      <c r="L2063" s="37"/>
      <c r="M2063" s="36"/>
      <c r="N2063" s="36"/>
      <c r="O2063" s="36"/>
    </row>
    <row r="2064" spans="1:16" hidden="1" x14ac:dyDescent="0.35">
      <c r="A2064" s="3">
        <f xml:space="preserve"> ROW( data_scaledImpacts[[#This Row],[row_id]] ) - ROW( data_scaledImpacts[[#Headers],[row_id]] )</f>
        <v>2063</v>
      </c>
      <c r="B2064" s="41" t="str">
        <f xml:space="preserve"> _xlfn.TEXTJOIN( "", , data_scaledImpacts[[#This Row],[sector]:[impactType]] )</f>
        <v>WildfireCCSM47N/AResponse Costs</v>
      </c>
      <c r="C2064" s="33" t="s">
        <v>761</v>
      </c>
      <c r="D2064" s="33" t="s">
        <v>1</v>
      </c>
      <c r="E2064" s="34">
        <v>7</v>
      </c>
      <c r="F2064" s="34"/>
      <c r="G2064" s="34" t="s">
        <v>201</v>
      </c>
      <c r="H2064" s="35" t="s">
        <v>802</v>
      </c>
      <c r="I2064" s="43" t="s">
        <v>78</v>
      </c>
      <c r="J2064" s="36"/>
      <c r="K2064" s="36"/>
      <c r="L2064" s="37"/>
      <c r="M2064" s="36"/>
      <c r="N2064" s="36"/>
      <c r="O2064" s="36"/>
    </row>
    <row r="2065" spans="1:16" hidden="1" x14ac:dyDescent="0.35">
      <c r="A2065" s="3">
        <f xml:space="preserve"> ROW( data_scaledImpacts[[#This Row],[row_id]] ) - ROW( data_scaledImpacts[[#Headers],[row_id]] )</f>
        <v>2064</v>
      </c>
      <c r="B2065" s="41" t="str">
        <f xml:space="preserve"> _xlfn.TEXTJOIN( "", , data_scaledImpacts[[#This Row],[sector]:[impactType]] )</f>
        <v>WildfireGISS-E2-R1N/AMorbidity</v>
      </c>
      <c r="C2065" s="33" t="s">
        <v>761</v>
      </c>
      <c r="D2065" s="33" t="s">
        <v>2</v>
      </c>
      <c r="E2065" s="34">
        <v>1</v>
      </c>
      <c r="F2065" s="34"/>
      <c r="G2065" s="34" t="s">
        <v>201</v>
      </c>
      <c r="H2065" s="35" t="s">
        <v>769</v>
      </c>
      <c r="I2065" s="43" t="s">
        <v>37</v>
      </c>
      <c r="J2065" s="36">
        <v>6.9913844981967802E-2</v>
      </c>
      <c r="K2065" s="36">
        <v>2.5583666131015845E-2</v>
      </c>
      <c r="L2065" s="37">
        <v>0.5375075467565803</v>
      </c>
      <c r="M2065" s="36">
        <v>0.97615628853457814</v>
      </c>
      <c r="N2065" s="36">
        <v>6.2399763744535923E-2</v>
      </c>
      <c r="O2065" s="36">
        <v>5.0967085910664782E-2</v>
      </c>
      <c r="P2065">
        <v>0.71690684757914935</v>
      </c>
    </row>
    <row r="2066" spans="1:16" hidden="1" x14ac:dyDescent="0.35">
      <c r="A2066" s="3">
        <f xml:space="preserve"> ROW( data_scaledImpacts[[#This Row],[row_id]] ) - ROW( data_scaledImpacts[[#Headers],[row_id]] )</f>
        <v>2065</v>
      </c>
      <c r="B2066" s="41" t="str">
        <f xml:space="preserve"> _xlfn.TEXTJOIN( "", , data_scaledImpacts[[#This Row],[sector]:[impactType]] )</f>
        <v>WildfireGISS-E2-R2N/AMorbidity</v>
      </c>
      <c r="C2066" s="33" t="s">
        <v>761</v>
      </c>
      <c r="D2066" s="33" t="s">
        <v>2</v>
      </c>
      <c r="E2066" s="34">
        <v>2</v>
      </c>
      <c r="F2066" s="34"/>
      <c r="G2066" s="34" t="s">
        <v>201</v>
      </c>
      <c r="H2066" s="35" t="s">
        <v>769</v>
      </c>
      <c r="I2066" s="43" t="s">
        <v>44</v>
      </c>
      <c r="J2066" s="36">
        <v>0.12412394804775601</v>
      </c>
      <c r="K2066" s="36">
        <v>4.5271487635846971E-2</v>
      </c>
      <c r="L2066" s="37">
        <v>0.95522066574955222</v>
      </c>
      <c r="M2066" s="36">
        <v>1.7556422063149606</v>
      </c>
      <c r="N2066" s="36">
        <v>0.11057051246719413</v>
      </c>
      <c r="O2066" s="36">
        <v>9.0952275691081705E-2</v>
      </c>
      <c r="P2066">
        <v>1.2873879722995041</v>
      </c>
    </row>
    <row r="2067" spans="1:16" hidden="1" x14ac:dyDescent="0.35">
      <c r="A2067" s="3">
        <f xml:space="preserve"> ROW( data_scaledImpacts[[#This Row],[row_id]] ) - ROW( data_scaledImpacts[[#Headers],[row_id]] )</f>
        <v>2066</v>
      </c>
      <c r="B2067" s="41" t="str">
        <f xml:space="preserve"> _xlfn.TEXTJOIN( "", , data_scaledImpacts[[#This Row],[sector]:[impactType]] )</f>
        <v>WildfireGISS-E2-R3N/AMorbidity</v>
      </c>
      <c r="C2067" s="33" t="s">
        <v>761</v>
      </c>
      <c r="D2067" s="33" t="s">
        <v>2</v>
      </c>
      <c r="E2067" s="34">
        <v>3</v>
      </c>
      <c r="F2067" s="34"/>
      <c r="G2067" s="34" t="s">
        <v>201</v>
      </c>
      <c r="H2067" s="35" t="s">
        <v>769</v>
      </c>
      <c r="I2067" s="43" t="s">
        <v>51</v>
      </c>
      <c r="J2067" s="36">
        <v>0.14055214487901468</v>
      </c>
      <c r="K2067" s="36">
        <v>4.9554846226745192E-2</v>
      </c>
      <c r="L2067" s="37">
        <v>1.0923788829886121</v>
      </c>
      <c r="M2067" s="36">
        <v>2.2464109458770833</v>
      </c>
      <c r="N2067" s="36">
        <v>0.1227677381950957</v>
      </c>
      <c r="O2067" s="36">
        <v>0.10832193768189492</v>
      </c>
      <c r="P2067">
        <v>1.6248198670586922</v>
      </c>
    </row>
    <row r="2068" spans="1:16" hidden="1" x14ac:dyDescent="0.35">
      <c r="A2068" s="3">
        <f xml:space="preserve"> ROW( data_scaledImpacts[[#This Row],[row_id]] ) - ROW( data_scaledImpacts[[#Headers],[row_id]] )</f>
        <v>2067</v>
      </c>
      <c r="B2068" s="41" t="str">
        <f xml:space="preserve"> _xlfn.TEXTJOIN( "", , data_scaledImpacts[[#This Row],[sector]:[impactType]] )</f>
        <v>WildfireGISS-E2-R4N/AMorbidity</v>
      </c>
      <c r="C2068" s="33" t="s">
        <v>761</v>
      </c>
      <c r="D2068" s="33" t="s">
        <v>2</v>
      </c>
      <c r="E2068" s="34">
        <v>4</v>
      </c>
      <c r="F2068" s="34"/>
      <c r="G2068" s="34" t="s">
        <v>201</v>
      </c>
      <c r="H2068" s="35" t="s">
        <v>769</v>
      </c>
      <c r="I2068" s="43" t="s">
        <v>58</v>
      </c>
      <c r="J2068" s="36"/>
      <c r="K2068" s="36"/>
      <c r="L2068" s="37"/>
      <c r="M2068" s="36"/>
      <c r="N2068" s="36"/>
      <c r="O2068" s="36"/>
    </row>
    <row r="2069" spans="1:16" hidden="1" x14ac:dyDescent="0.35">
      <c r="A2069" s="3">
        <f xml:space="preserve"> ROW( data_scaledImpacts[[#This Row],[row_id]] ) - ROW( data_scaledImpacts[[#Headers],[row_id]] )</f>
        <v>2068</v>
      </c>
      <c r="B2069" s="41" t="str">
        <f xml:space="preserve"> _xlfn.TEXTJOIN( "", , data_scaledImpacts[[#This Row],[sector]:[impactType]] )</f>
        <v>WildfireGISS-E2-R5N/AMorbidity</v>
      </c>
      <c r="C2069" s="33" t="s">
        <v>761</v>
      </c>
      <c r="D2069" s="33" t="s">
        <v>2</v>
      </c>
      <c r="E2069" s="34">
        <v>5</v>
      </c>
      <c r="F2069" s="34"/>
      <c r="G2069" s="34" t="s">
        <v>201</v>
      </c>
      <c r="H2069" s="35" t="s">
        <v>769</v>
      </c>
      <c r="I2069" s="43" t="s">
        <v>65</v>
      </c>
      <c r="J2069" s="36"/>
      <c r="K2069" s="36"/>
      <c r="L2069" s="37"/>
      <c r="M2069" s="36"/>
      <c r="N2069" s="36"/>
      <c r="O2069" s="36"/>
    </row>
    <row r="2070" spans="1:16" hidden="1" x14ac:dyDescent="0.35">
      <c r="A2070" s="3">
        <f xml:space="preserve"> ROW( data_scaledImpacts[[#This Row],[row_id]] ) - ROW( data_scaledImpacts[[#Headers],[row_id]] )</f>
        <v>2069</v>
      </c>
      <c r="B2070" s="41" t="str">
        <f xml:space="preserve"> _xlfn.TEXTJOIN( "", , data_scaledImpacts[[#This Row],[sector]:[impactType]] )</f>
        <v>WildfireGISS-E2-R6N/AMorbidity</v>
      </c>
      <c r="C2070" s="33" t="s">
        <v>761</v>
      </c>
      <c r="D2070" s="33" t="s">
        <v>2</v>
      </c>
      <c r="E2070" s="34">
        <v>6</v>
      </c>
      <c r="F2070" s="34"/>
      <c r="G2070" s="34" t="s">
        <v>201</v>
      </c>
      <c r="H2070" s="35" t="s">
        <v>769</v>
      </c>
      <c r="I2070" s="43" t="s">
        <v>72</v>
      </c>
      <c r="J2070" s="36"/>
      <c r="K2070" s="36"/>
      <c r="L2070" s="37"/>
      <c r="M2070" s="36"/>
      <c r="N2070" s="36"/>
      <c r="O2070" s="36"/>
    </row>
    <row r="2071" spans="1:16" hidden="1" x14ac:dyDescent="0.35">
      <c r="A2071" s="3">
        <f xml:space="preserve"> ROW( data_scaledImpacts[[#This Row],[row_id]] ) - ROW( data_scaledImpacts[[#Headers],[row_id]] )</f>
        <v>2070</v>
      </c>
      <c r="B2071" s="41" t="str">
        <f xml:space="preserve"> _xlfn.TEXTJOIN( "", , data_scaledImpacts[[#This Row],[sector]:[impactType]] )</f>
        <v>WildfireGISS-E2-R7N/AMorbidity</v>
      </c>
      <c r="C2071" s="33" t="s">
        <v>761</v>
      </c>
      <c r="D2071" s="33" t="s">
        <v>2</v>
      </c>
      <c r="E2071" s="34">
        <v>7</v>
      </c>
      <c r="F2071" s="34"/>
      <c r="G2071" s="34" t="s">
        <v>201</v>
      </c>
      <c r="H2071" s="35" t="s">
        <v>769</v>
      </c>
      <c r="I2071" s="43" t="s">
        <v>79</v>
      </c>
      <c r="J2071" s="36"/>
      <c r="K2071" s="36"/>
      <c r="L2071" s="37"/>
      <c r="M2071" s="36"/>
      <c r="N2071" s="36"/>
      <c r="O2071" s="36"/>
    </row>
    <row r="2072" spans="1:16" hidden="1" x14ac:dyDescent="0.35">
      <c r="A2072" s="3">
        <f xml:space="preserve"> ROW( data_scaledImpacts[[#This Row],[row_id]] ) - ROW( data_scaledImpacts[[#Headers],[row_id]] )</f>
        <v>2071</v>
      </c>
      <c r="B2072" s="41" t="str">
        <f xml:space="preserve"> _xlfn.TEXTJOIN( "", , data_scaledImpacts[[#This Row],[sector]:[impactType]] )</f>
        <v>WildfireGISS-E2-R1N/AMortality</v>
      </c>
      <c r="C2072" s="33" t="s">
        <v>761</v>
      </c>
      <c r="D2072" s="33" t="s">
        <v>2</v>
      </c>
      <c r="E2072" s="34">
        <v>1</v>
      </c>
      <c r="F2072" s="34"/>
      <c r="G2072" s="34" t="s">
        <v>201</v>
      </c>
      <c r="H2072" s="35" t="s">
        <v>768</v>
      </c>
      <c r="I2072" s="43" t="s">
        <v>37</v>
      </c>
      <c r="J2072" s="36">
        <v>1.800824232541158E-7</v>
      </c>
      <c r="K2072" s="36">
        <v>6.5318115529315306E-8</v>
      </c>
      <c r="L2072" s="37">
        <v>2.5029839146469975E-6</v>
      </c>
      <c r="M2072" s="36">
        <v>3.7089046341001251E-6</v>
      </c>
      <c r="N2072" s="36">
        <v>1.7194344189889111E-7</v>
      </c>
      <c r="O2072" s="36">
        <v>1.7789158866879734E-7</v>
      </c>
      <c r="P2072">
        <v>2.95483572092475E-6</v>
      </c>
    </row>
    <row r="2073" spans="1:16" hidden="1" x14ac:dyDescent="0.35">
      <c r="A2073" s="3">
        <f xml:space="preserve"> ROW( data_scaledImpacts[[#This Row],[row_id]] ) - ROW( data_scaledImpacts[[#Headers],[row_id]] )</f>
        <v>2072</v>
      </c>
      <c r="B2073" s="41" t="str">
        <f xml:space="preserve"> _xlfn.TEXTJOIN( "", , data_scaledImpacts[[#This Row],[sector]:[impactType]] )</f>
        <v>WildfireGISS-E2-R2N/AMortality</v>
      </c>
      <c r="C2073" s="33" t="s">
        <v>761</v>
      </c>
      <c r="D2073" s="33" t="s">
        <v>2</v>
      </c>
      <c r="E2073" s="34">
        <v>2</v>
      </c>
      <c r="F2073" s="34"/>
      <c r="G2073" s="34" t="s">
        <v>201</v>
      </c>
      <c r="H2073" s="35" t="s">
        <v>768</v>
      </c>
      <c r="I2073" s="43" t="s">
        <v>44</v>
      </c>
      <c r="J2073" s="36">
        <v>3.2494893096909234E-7</v>
      </c>
      <c r="K2073" s="36">
        <v>1.1594192102013879E-7</v>
      </c>
      <c r="L2073" s="37">
        <v>4.4989047249751586E-6</v>
      </c>
      <c r="M2073" s="36">
        <v>6.8092566442782588E-6</v>
      </c>
      <c r="N2073" s="36">
        <v>3.0839601995648601E-7</v>
      </c>
      <c r="O2073" s="36">
        <v>3.2282257664503534E-7</v>
      </c>
      <c r="P2073">
        <v>5.3460417383463066E-6</v>
      </c>
    </row>
    <row r="2074" spans="1:16" hidden="1" x14ac:dyDescent="0.35">
      <c r="A2074" s="3">
        <f xml:space="preserve"> ROW( data_scaledImpacts[[#This Row],[row_id]] ) - ROW( data_scaledImpacts[[#Headers],[row_id]] )</f>
        <v>2073</v>
      </c>
      <c r="B2074" s="41" t="str">
        <f xml:space="preserve"> _xlfn.TEXTJOIN( "", , data_scaledImpacts[[#This Row],[sector]:[impactType]] )</f>
        <v>WildfireGISS-E2-R3N/AMortality</v>
      </c>
      <c r="C2074" s="33" t="s">
        <v>761</v>
      </c>
      <c r="D2074" s="33" t="s">
        <v>2</v>
      </c>
      <c r="E2074" s="34">
        <v>3</v>
      </c>
      <c r="F2074" s="34"/>
      <c r="G2074" s="34" t="s">
        <v>201</v>
      </c>
      <c r="H2074" s="35" t="s">
        <v>768</v>
      </c>
      <c r="I2074" s="43" t="s">
        <v>51</v>
      </c>
      <c r="J2074" s="36">
        <v>4.2782232443684521E-7</v>
      </c>
      <c r="K2074" s="36">
        <v>1.3102592352647953E-7</v>
      </c>
      <c r="L2074" s="37">
        <v>5.7251704049903912E-6</v>
      </c>
      <c r="M2074" s="36">
        <v>1.0278845175630579E-5</v>
      </c>
      <c r="N2074" s="36">
        <v>3.8502117047410424E-7</v>
      </c>
      <c r="O2074" s="36">
        <v>4.455841374390163E-7</v>
      </c>
      <c r="P2074">
        <v>7.1983448852228267E-6</v>
      </c>
    </row>
    <row r="2075" spans="1:16" hidden="1" x14ac:dyDescent="0.35">
      <c r="A2075" s="3">
        <f xml:space="preserve"> ROW( data_scaledImpacts[[#This Row],[row_id]] ) - ROW( data_scaledImpacts[[#Headers],[row_id]] )</f>
        <v>2074</v>
      </c>
      <c r="B2075" s="41" t="str">
        <f xml:space="preserve"> _xlfn.TEXTJOIN( "", , data_scaledImpacts[[#This Row],[sector]:[impactType]] )</f>
        <v>WildfireGISS-E2-R4N/AMortality</v>
      </c>
      <c r="C2075" s="33" t="s">
        <v>761</v>
      </c>
      <c r="D2075" s="33" t="s">
        <v>2</v>
      </c>
      <c r="E2075" s="34">
        <v>4</v>
      </c>
      <c r="F2075" s="34"/>
      <c r="G2075" s="34" t="s">
        <v>201</v>
      </c>
      <c r="H2075" s="35" t="s">
        <v>768</v>
      </c>
      <c r="I2075" s="43" t="s">
        <v>58</v>
      </c>
      <c r="J2075" s="36"/>
      <c r="K2075" s="36"/>
      <c r="L2075" s="37"/>
      <c r="M2075" s="36"/>
      <c r="N2075" s="36"/>
      <c r="O2075" s="36"/>
    </row>
    <row r="2076" spans="1:16" hidden="1" x14ac:dyDescent="0.35">
      <c r="A2076" s="3">
        <f xml:space="preserve"> ROW( data_scaledImpacts[[#This Row],[row_id]] ) - ROW( data_scaledImpacts[[#Headers],[row_id]] )</f>
        <v>2075</v>
      </c>
      <c r="B2076" s="41" t="str">
        <f xml:space="preserve"> _xlfn.TEXTJOIN( "", , data_scaledImpacts[[#This Row],[sector]:[impactType]] )</f>
        <v>WildfireGISS-E2-R5N/AMortality</v>
      </c>
      <c r="C2076" s="33" t="s">
        <v>761</v>
      </c>
      <c r="D2076" s="33" t="s">
        <v>2</v>
      </c>
      <c r="E2076" s="34">
        <v>5</v>
      </c>
      <c r="F2076" s="34"/>
      <c r="G2076" s="34" t="s">
        <v>201</v>
      </c>
      <c r="H2076" s="35" t="s">
        <v>768</v>
      </c>
      <c r="I2076" s="43" t="s">
        <v>65</v>
      </c>
      <c r="J2076" s="36"/>
      <c r="K2076" s="36"/>
      <c r="L2076" s="37"/>
      <c r="M2076" s="36"/>
      <c r="N2076" s="36"/>
      <c r="O2076" s="36"/>
    </row>
    <row r="2077" spans="1:16" hidden="1" x14ac:dyDescent="0.35">
      <c r="A2077" s="3">
        <f xml:space="preserve"> ROW( data_scaledImpacts[[#This Row],[row_id]] ) - ROW( data_scaledImpacts[[#Headers],[row_id]] )</f>
        <v>2076</v>
      </c>
      <c r="B2077" s="41" t="str">
        <f xml:space="preserve"> _xlfn.TEXTJOIN( "", , data_scaledImpacts[[#This Row],[sector]:[impactType]] )</f>
        <v>WildfireGISS-E2-R6N/AMortality</v>
      </c>
      <c r="C2077" s="33" t="s">
        <v>761</v>
      </c>
      <c r="D2077" s="33" t="s">
        <v>2</v>
      </c>
      <c r="E2077" s="34">
        <v>6</v>
      </c>
      <c r="F2077" s="34"/>
      <c r="G2077" s="34" t="s">
        <v>201</v>
      </c>
      <c r="H2077" s="35" t="s">
        <v>768</v>
      </c>
      <c r="I2077" s="43" t="s">
        <v>72</v>
      </c>
      <c r="J2077" s="36"/>
      <c r="K2077" s="36"/>
      <c r="L2077" s="37"/>
      <c r="M2077" s="36"/>
      <c r="N2077" s="36"/>
      <c r="O2077" s="36"/>
    </row>
    <row r="2078" spans="1:16" hidden="1" x14ac:dyDescent="0.35">
      <c r="A2078" s="3">
        <f xml:space="preserve"> ROW( data_scaledImpacts[[#This Row],[row_id]] ) - ROW( data_scaledImpacts[[#Headers],[row_id]] )</f>
        <v>2077</v>
      </c>
      <c r="B2078" s="41" t="str">
        <f xml:space="preserve"> _xlfn.TEXTJOIN( "", , data_scaledImpacts[[#This Row],[sector]:[impactType]] )</f>
        <v>WildfireGISS-E2-R7N/AMortality</v>
      </c>
      <c r="C2078" s="33" t="s">
        <v>761</v>
      </c>
      <c r="D2078" s="33" t="s">
        <v>2</v>
      </c>
      <c r="E2078" s="34">
        <v>7</v>
      </c>
      <c r="F2078" s="34"/>
      <c r="G2078" s="34" t="s">
        <v>201</v>
      </c>
      <c r="H2078" s="35" t="s">
        <v>768</v>
      </c>
      <c r="I2078" s="43" t="s">
        <v>79</v>
      </c>
      <c r="J2078" s="36"/>
      <c r="K2078" s="36"/>
      <c r="L2078" s="37"/>
      <c r="M2078" s="36"/>
      <c r="N2078" s="36"/>
      <c r="O2078" s="36"/>
    </row>
    <row r="2079" spans="1:16" hidden="1" x14ac:dyDescent="0.35">
      <c r="A2079" s="3">
        <f xml:space="preserve"> ROW( data_scaledImpacts[[#This Row],[row_id]] ) - ROW( data_scaledImpacts[[#Headers],[row_id]] )</f>
        <v>2078</v>
      </c>
      <c r="B2079" s="41" t="str">
        <f xml:space="preserve"> _xlfn.TEXTJOIN( "", , data_scaledImpacts[[#This Row],[sector]:[impactType]] )</f>
        <v>WildfireGISS-E2-R1N/AResponse Costs</v>
      </c>
      <c r="C2079" s="33" t="s">
        <v>761</v>
      </c>
      <c r="D2079" s="33" t="s">
        <v>2</v>
      </c>
      <c r="E2079" s="34">
        <v>1</v>
      </c>
      <c r="F2079" s="34"/>
      <c r="G2079" s="34" t="s">
        <v>201</v>
      </c>
      <c r="H2079" s="35" t="s">
        <v>802</v>
      </c>
      <c r="I2079" s="43" t="s">
        <v>37</v>
      </c>
      <c r="J2079" s="36"/>
      <c r="K2079" s="36"/>
      <c r="L2079" s="37">
        <v>397386.28808219009</v>
      </c>
      <c r="M2079" s="36">
        <v>643120.67045430944</v>
      </c>
      <c r="N2079" s="36"/>
      <c r="O2079" s="36">
        <v>22321.348209747834</v>
      </c>
      <c r="P2079">
        <v>1057360.2389848167</v>
      </c>
    </row>
    <row r="2080" spans="1:16" hidden="1" x14ac:dyDescent="0.35">
      <c r="A2080" s="3">
        <f xml:space="preserve"> ROW( data_scaledImpacts[[#This Row],[row_id]] ) - ROW( data_scaledImpacts[[#Headers],[row_id]] )</f>
        <v>2079</v>
      </c>
      <c r="B2080" s="41" t="str">
        <f xml:space="preserve"> _xlfn.TEXTJOIN( "", , data_scaledImpacts[[#This Row],[sector]:[impactType]] )</f>
        <v>WildfireGISS-E2-R2N/AResponse Costs</v>
      </c>
      <c r="C2080" s="33" t="s">
        <v>761</v>
      </c>
      <c r="D2080" s="33" t="s">
        <v>2</v>
      </c>
      <c r="E2080" s="34">
        <v>2</v>
      </c>
      <c r="F2080" s="34"/>
      <c r="G2080" s="34" t="s">
        <v>201</v>
      </c>
      <c r="H2080" s="35" t="s">
        <v>802</v>
      </c>
      <c r="I2080" s="43" t="s">
        <v>44</v>
      </c>
      <c r="J2080" s="36"/>
      <c r="K2080" s="36"/>
      <c r="L2080" s="37">
        <v>430496.75604192907</v>
      </c>
      <c r="M2080" s="36">
        <v>704104.52291100123</v>
      </c>
      <c r="N2080" s="36"/>
      <c r="O2080" s="36">
        <v>28957.865873715571</v>
      </c>
      <c r="P2080">
        <v>1271356.0535449928</v>
      </c>
    </row>
    <row r="2081" spans="1:16" hidden="1" x14ac:dyDescent="0.35">
      <c r="A2081" s="3">
        <f xml:space="preserve"> ROW( data_scaledImpacts[[#This Row],[row_id]] ) - ROW( data_scaledImpacts[[#Headers],[row_id]] )</f>
        <v>2080</v>
      </c>
      <c r="B2081" s="41" t="str">
        <f xml:space="preserve"> _xlfn.TEXTJOIN( "", , data_scaledImpacts[[#This Row],[sector]:[impactType]] )</f>
        <v>WildfireGISS-E2-R3N/AResponse Costs</v>
      </c>
      <c r="C2081" s="33" t="s">
        <v>761</v>
      </c>
      <c r="D2081" s="33" t="s">
        <v>2</v>
      </c>
      <c r="E2081" s="34">
        <v>3</v>
      </c>
      <c r="F2081" s="34"/>
      <c r="G2081" s="34" t="s">
        <v>201</v>
      </c>
      <c r="H2081" s="35" t="s">
        <v>802</v>
      </c>
      <c r="I2081" s="43" t="s">
        <v>51</v>
      </c>
      <c r="J2081" s="36"/>
      <c r="K2081" s="36"/>
      <c r="L2081" s="37">
        <v>490079.52257064619</v>
      </c>
      <c r="M2081" s="36">
        <v>768164.62212436879</v>
      </c>
      <c r="N2081" s="36"/>
      <c r="O2081" s="36">
        <v>35815.233529682198</v>
      </c>
      <c r="P2081">
        <v>1550290.0773898868</v>
      </c>
    </row>
    <row r="2082" spans="1:16" hidden="1" x14ac:dyDescent="0.35">
      <c r="A2082" s="3">
        <f xml:space="preserve"> ROW( data_scaledImpacts[[#This Row],[row_id]] ) - ROW( data_scaledImpacts[[#Headers],[row_id]] )</f>
        <v>2081</v>
      </c>
      <c r="B2082" s="41" t="str">
        <f xml:space="preserve"> _xlfn.TEXTJOIN( "", , data_scaledImpacts[[#This Row],[sector]:[impactType]] )</f>
        <v>WildfireGISS-E2-R4N/AResponse Costs</v>
      </c>
      <c r="C2082" s="33" t="s">
        <v>761</v>
      </c>
      <c r="D2082" s="33" t="s">
        <v>2</v>
      </c>
      <c r="E2082" s="34">
        <v>4</v>
      </c>
      <c r="F2082" s="34"/>
      <c r="G2082" s="34" t="s">
        <v>201</v>
      </c>
      <c r="H2082" s="35" t="s">
        <v>802</v>
      </c>
      <c r="I2082" s="43" t="s">
        <v>58</v>
      </c>
      <c r="J2082" s="36"/>
      <c r="K2082" s="36"/>
      <c r="L2082" s="37"/>
      <c r="M2082" s="36"/>
      <c r="N2082" s="36"/>
      <c r="O2082" s="36"/>
    </row>
    <row r="2083" spans="1:16" hidden="1" x14ac:dyDescent="0.35">
      <c r="A2083" s="3">
        <f xml:space="preserve"> ROW( data_scaledImpacts[[#This Row],[row_id]] ) - ROW( data_scaledImpacts[[#Headers],[row_id]] )</f>
        <v>2082</v>
      </c>
      <c r="B2083" s="41" t="str">
        <f xml:space="preserve"> _xlfn.TEXTJOIN( "", , data_scaledImpacts[[#This Row],[sector]:[impactType]] )</f>
        <v>WildfireGISS-E2-R5N/AResponse Costs</v>
      </c>
      <c r="C2083" s="33" t="s">
        <v>761</v>
      </c>
      <c r="D2083" s="33" t="s">
        <v>2</v>
      </c>
      <c r="E2083" s="34">
        <v>5</v>
      </c>
      <c r="F2083" s="34"/>
      <c r="G2083" s="34" t="s">
        <v>201</v>
      </c>
      <c r="H2083" s="35" t="s">
        <v>802</v>
      </c>
      <c r="I2083" s="43" t="s">
        <v>65</v>
      </c>
      <c r="J2083" s="36"/>
      <c r="K2083" s="36"/>
      <c r="L2083" s="37"/>
      <c r="M2083" s="36"/>
      <c r="N2083" s="36"/>
      <c r="O2083" s="36"/>
    </row>
    <row r="2084" spans="1:16" hidden="1" x14ac:dyDescent="0.35">
      <c r="A2084" s="3">
        <f xml:space="preserve"> ROW( data_scaledImpacts[[#This Row],[row_id]] ) - ROW( data_scaledImpacts[[#Headers],[row_id]] )</f>
        <v>2083</v>
      </c>
      <c r="B2084" s="41" t="str">
        <f xml:space="preserve"> _xlfn.TEXTJOIN( "", , data_scaledImpacts[[#This Row],[sector]:[impactType]] )</f>
        <v>WildfireGISS-E2-R6N/AResponse Costs</v>
      </c>
      <c r="C2084" s="33" t="s">
        <v>761</v>
      </c>
      <c r="D2084" s="33" t="s">
        <v>2</v>
      </c>
      <c r="E2084" s="34">
        <v>6</v>
      </c>
      <c r="F2084" s="34"/>
      <c r="G2084" s="34" t="s">
        <v>201</v>
      </c>
      <c r="H2084" s="35" t="s">
        <v>802</v>
      </c>
      <c r="I2084" s="43" t="s">
        <v>72</v>
      </c>
      <c r="J2084" s="36"/>
      <c r="K2084" s="36"/>
      <c r="L2084" s="37"/>
      <c r="M2084" s="36"/>
      <c r="N2084" s="36"/>
      <c r="O2084" s="36"/>
    </row>
    <row r="2085" spans="1:16" hidden="1" x14ac:dyDescent="0.35">
      <c r="A2085" s="3">
        <f xml:space="preserve"> ROW( data_scaledImpacts[[#This Row],[row_id]] ) - ROW( data_scaledImpacts[[#Headers],[row_id]] )</f>
        <v>2084</v>
      </c>
      <c r="B2085" s="41" t="str">
        <f xml:space="preserve"> _xlfn.TEXTJOIN( "", , data_scaledImpacts[[#This Row],[sector]:[impactType]] )</f>
        <v>WildfireGISS-E2-R7N/AResponse Costs</v>
      </c>
      <c r="C2085" s="33" t="s">
        <v>761</v>
      </c>
      <c r="D2085" s="33" t="s">
        <v>2</v>
      </c>
      <c r="E2085" s="34">
        <v>7</v>
      </c>
      <c r="F2085" s="34"/>
      <c r="G2085" s="34" t="s">
        <v>201</v>
      </c>
      <c r="H2085" s="35" t="s">
        <v>802</v>
      </c>
      <c r="I2085" s="43" t="s">
        <v>79</v>
      </c>
      <c r="J2085" s="36"/>
      <c r="K2085" s="36"/>
      <c r="L2085" s="37"/>
      <c r="M2085" s="36"/>
      <c r="N2085" s="36"/>
      <c r="O2085" s="36"/>
    </row>
    <row r="2086" spans="1:16" hidden="1" x14ac:dyDescent="0.35">
      <c r="A2086" s="3">
        <f xml:space="preserve"> ROW( data_scaledImpacts[[#This Row],[row_id]] ) - ROW( data_scaledImpacts[[#Headers],[row_id]] )</f>
        <v>2085</v>
      </c>
      <c r="B2086" s="41" t="str">
        <f xml:space="preserve"> _xlfn.TEXTJOIN( "", , data_scaledImpacts[[#This Row],[sector]:[impactType]] )</f>
        <v>WildfireHadGEM2-ES1N/AMorbidity</v>
      </c>
      <c r="C2086" s="33" t="s">
        <v>761</v>
      </c>
      <c r="D2086" s="33" t="s">
        <v>3</v>
      </c>
      <c r="E2086" s="34">
        <v>1</v>
      </c>
      <c r="F2086" s="34"/>
      <c r="G2086" s="34" t="s">
        <v>201</v>
      </c>
      <c r="H2086" s="35" t="s">
        <v>769</v>
      </c>
      <c r="I2086" s="43" t="s">
        <v>38</v>
      </c>
      <c r="J2086" s="36">
        <v>9.8122802426464775E-2</v>
      </c>
      <c r="K2086" s="36">
        <v>3.9709299329052233E-2</v>
      </c>
      <c r="L2086" s="37">
        <v>0.73600273854119524</v>
      </c>
      <c r="M2086" s="36">
        <v>1.2755587708669192</v>
      </c>
      <c r="N2086" s="36">
        <v>8.4926215339426583E-2</v>
      </c>
      <c r="O2086" s="36">
        <v>6.799014767399443E-2</v>
      </c>
      <c r="P2086">
        <v>0.84158974863024227</v>
      </c>
    </row>
    <row r="2087" spans="1:16" hidden="1" x14ac:dyDescent="0.35">
      <c r="A2087" s="3">
        <f xml:space="preserve"> ROW( data_scaledImpacts[[#This Row],[row_id]] ) - ROW( data_scaledImpacts[[#Headers],[row_id]] )</f>
        <v>2086</v>
      </c>
      <c r="B2087" s="41" t="str">
        <f xml:space="preserve"> _xlfn.TEXTJOIN( "", , data_scaledImpacts[[#This Row],[sector]:[impactType]] )</f>
        <v>WildfireHadGEM2-ES2N/AMorbidity</v>
      </c>
      <c r="C2087" s="33" t="s">
        <v>761</v>
      </c>
      <c r="D2087" s="33" t="s">
        <v>3</v>
      </c>
      <c r="E2087" s="34">
        <v>2</v>
      </c>
      <c r="F2087" s="34"/>
      <c r="G2087" s="34" t="s">
        <v>201</v>
      </c>
      <c r="H2087" s="35" t="s">
        <v>769</v>
      </c>
      <c r="I2087" s="43" t="s">
        <v>45</v>
      </c>
      <c r="J2087" s="36">
        <v>0.18534307124998906</v>
      </c>
      <c r="K2087" s="36">
        <v>7.5006454288209776E-2</v>
      </c>
      <c r="L2087" s="37">
        <v>1.3902273950222577</v>
      </c>
      <c r="M2087" s="36">
        <v>2.4093887894152917</v>
      </c>
      <c r="N2087" s="36">
        <v>0.16041618453002798</v>
      </c>
      <c r="O2087" s="36">
        <v>0.1284258344953228</v>
      </c>
      <c r="P2087">
        <v>1.5896695251904573</v>
      </c>
    </row>
    <row r="2088" spans="1:16" hidden="1" x14ac:dyDescent="0.35">
      <c r="A2088" s="3">
        <f xml:space="preserve"> ROW( data_scaledImpacts[[#This Row],[row_id]] ) - ROW( data_scaledImpacts[[#Headers],[row_id]] )</f>
        <v>2087</v>
      </c>
      <c r="B2088" s="41" t="str">
        <f xml:space="preserve"> _xlfn.TEXTJOIN( "", , data_scaledImpacts[[#This Row],[sector]:[impactType]] )</f>
        <v>WildfireHadGEM2-ES3N/AMorbidity</v>
      </c>
      <c r="C2088" s="33" t="s">
        <v>761</v>
      </c>
      <c r="D2088" s="33" t="s">
        <v>3</v>
      </c>
      <c r="E2088" s="34">
        <v>3</v>
      </c>
      <c r="F2088" s="34"/>
      <c r="G2088" s="34" t="s">
        <v>201</v>
      </c>
      <c r="H2088" s="35" t="s">
        <v>769</v>
      </c>
      <c r="I2088" s="43" t="s">
        <v>52</v>
      </c>
      <c r="J2088" s="36">
        <v>0.267112073272043</v>
      </c>
      <c r="K2088" s="36">
        <v>0.10809753706241998</v>
      </c>
      <c r="L2088" s="37">
        <v>2.0035630104732536</v>
      </c>
      <c r="M2088" s="36">
        <v>3.4723544318043911</v>
      </c>
      <c r="N2088" s="36">
        <v>0.23118803064621679</v>
      </c>
      <c r="O2088" s="36">
        <v>0.18508429089031814</v>
      </c>
      <c r="P2088">
        <v>2.2909943157156594</v>
      </c>
    </row>
    <row r="2089" spans="1:16" hidden="1" x14ac:dyDescent="0.35">
      <c r="A2089" s="3">
        <f xml:space="preserve"> ROW( data_scaledImpacts[[#This Row],[row_id]] ) - ROW( data_scaledImpacts[[#Headers],[row_id]] )</f>
        <v>2088</v>
      </c>
      <c r="B2089" s="41" t="str">
        <f xml:space="preserve"> _xlfn.TEXTJOIN( "", , data_scaledImpacts[[#This Row],[sector]:[impactType]] )</f>
        <v>WildfireHadGEM2-ES4N/AMorbidity</v>
      </c>
      <c r="C2089" s="33" t="s">
        <v>761</v>
      </c>
      <c r="D2089" s="33" t="s">
        <v>3</v>
      </c>
      <c r="E2089" s="34">
        <v>4</v>
      </c>
      <c r="F2089" s="34"/>
      <c r="G2089" s="34" t="s">
        <v>201</v>
      </c>
      <c r="H2089" s="35" t="s">
        <v>769</v>
      </c>
      <c r="I2089" s="43" t="s">
        <v>59</v>
      </c>
      <c r="J2089" s="36">
        <v>0.31235287536889278</v>
      </c>
      <c r="K2089" s="36">
        <v>0.12588524924351832</v>
      </c>
      <c r="L2089" s="37">
        <v>2.3422045695463556</v>
      </c>
      <c r="M2089" s="36">
        <v>4.1464007525380291</v>
      </c>
      <c r="N2089" s="36">
        <v>0.26911906851956657</v>
      </c>
      <c r="O2089" s="36">
        <v>0.21774862879216697</v>
      </c>
      <c r="P2089">
        <v>2.7083337380028674</v>
      </c>
    </row>
    <row r="2090" spans="1:16" hidden="1" x14ac:dyDescent="0.35">
      <c r="A2090" s="3">
        <f xml:space="preserve"> ROW( data_scaledImpacts[[#This Row],[row_id]] ) - ROW( data_scaledImpacts[[#Headers],[row_id]] )</f>
        <v>2089</v>
      </c>
      <c r="B2090" s="41" t="str">
        <f xml:space="preserve"> _xlfn.TEXTJOIN( "", , data_scaledImpacts[[#This Row],[sector]:[impactType]] )</f>
        <v>WildfireHadGEM2-ES5N/AMorbidity</v>
      </c>
      <c r="C2090" s="33" t="s">
        <v>761</v>
      </c>
      <c r="D2090" s="33" t="s">
        <v>3</v>
      </c>
      <c r="E2090" s="34">
        <v>5</v>
      </c>
      <c r="F2090" s="34"/>
      <c r="G2090" s="34" t="s">
        <v>201</v>
      </c>
      <c r="H2090" s="35" t="s">
        <v>769</v>
      </c>
      <c r="I2090" s="43" t="s">
        <v>66</v>
      </c>
      <c r="J2090" s="36">
        <v>0.33491263768734342</v>
      </c>
      <c r="K2090" s="36">
        <v>0.134077551572064</v>
      </c>
      <c r="L2090" s="37">
        <v>2.5101577327532225</v>
      </c>
      <c r="M2090" s="36">
        <v>4.5943488673384252</v>
      </c>
      <c r="N2090" s="36">
        <v>0.28643920748794027</v>
      </c>
      <c r="O2090" s="36">
        <v>0.23575034841109818</v>
      </c>
      <c r="P2090">
        <v>2.9545908489416961</v>
      </c>
    </row>
    <row r="2091" spans="1:16" hidden="1" x14ac:dyDescent="0.35">
      <c r="A2091" s="3">
        <f xml:space="preserve"> ROW( data_scaledImpacts[[#This Row],[row_id]] ) - ROW( data_scaledImpacts[[#Headers],[row_id]] )</f>
        <v>2090</v>
      </c>
      <c r="B2091" s="41" t="str">
        <f xml:space="preserve"> _xlfn.TEXTJOIN( "", , data_scaledImpacts[[#This Row],[sector]:[impactType]] )</f>
        <v>WildfireHadGEM2-ES6N/AMorbidity</v>
      </c>
      <c r="C2091" s="33" t="s">
        <v>761</v>
      </c>
      <c r="D2091" s="33" t="s">
        <v>3</v>
      </c>
      <c r="E2091" s="34">
        <v>6</v>
      </c>
      <c r="F2091" s="34"/>
      <c r="G2091" s="34" t="s">
        <v>201</v>
      </c>
      <c r="H2091" s="35" t="s">
        <v>769</v>
      </c>
      <c r="I2091" s="43" t="s">
        <v>73</v>
      </c>
      <c r="J2091" s="36">
        <v>0.3674989610362166</v>
      </c>
      <c r="K2091" s="36">
        <v>0.14591087715774106</v>
      </c>
      <c r="L2091" s="37">
        <v>2.7527567462742524</v>
      </c>
      <c r="M2091" s="36">
        <v>5.2413850331612215</v>
      </c>
      <c r="N2091" s="36">
        <v>0.31145718599781336</v>
      </c>
      <c r="O2091" s="36">
        <v>0.26175283230510993</v>
      </c>
      <c r="P2091">
        <v>3.3102955647422267</v>
      </c>
    </row>
    <row r="2092" spans="1:16" hidden="1" x14ac:dyDescent="0.35">
      <c r="A2092" s="3">
        <f xml:space="preserve"> ROW( data_scaledImpacts[[#This Row],[row_id]] ) - ROW( data_scaledImpacts[[#Headers],[row_id]] )</f>
        <v>2091</v>
      </c>
      <c r="B2092" s="41" t="str">
        <f xml:space="preserve"> _xlfn.TEXTJOIN( "", , data_scaledImpacts[[#This Row],[sector]:[impactType]] )</f>
        <v>WildfireHadGEM2-ES7N/AMorbidity</v>
      </c>
      <c r="C2092" s="33" t="s">
        <v>761</v>
      </c>
      <c r="D2092" s="33" t="s">
        <v>3</v>
      </c>
      <c r="E2092" s="34">
        <v>7</v>
      </c>
      <c r="F2092" s="34"/>
      <c r="G2092" s="34" t="s">
        <v>201</v>
      </c>
      <c r="H2092" s="35" t="s">
        <v>769</v>
      </c>
      <c r="I2092" s="43" t="s">
        <v>80</v>
      </c>
      <c r="J2092" s="36"/>
      <c r="K2092" s="36"/>
      <c r="L2092" s="37"/>
      <c r="M2092" s="36"/>
      <c r="N2092" s="36"/>
      <c r="O2092" s="36"/>
    </row>
    <row r="2093" spans="1:16" hidden="1" x14ac:dyDescent="0.35">
      <c r="A2093" s="3">
        <f xml:space="preserve"> ROW( data_scaledImpacts[[#This Row],[row_id]] ) - ROW( data_scaledImpacts[[#Headers],[row_id]] )</f>
        <v>2092</v>
      </c>
      <c r="B2093" s="41" t="str">
        <f xml:space="preserve"> _xlfn.TEXTJOIN( "", , data_scaledImpacts[[#This Row],[sector]:[impactType]] )</f>
        <v>WildfireHadGEM2-ES1N/AMortality</v>
      </c>
      <c r="C2093" s="33" t="s">
        <v>761</v>
      </c>
      <c r="D2093" s="33" t="s">
        <v>3</v>
      </c>
      <c r="E2093" s="34">
        <v>1</v>
      </c>
      <c r="F2093" s="34"/>
      <c r="G2093" s="34" t="s">
        <v>201</v>
      </c>
      <c r="H2093" s="35" t="s">
        <v>768</v>
      </c>
      <c r="I2093" s="43" t="s">
        <v>38</v>
      </c>
      <c r="J2093" s="36">
        <v>3.5945655616258651E-7</v>
      </c>
      <c r="K2093" s="36">
        <v>1.520007854262936E-7</v>
      </c>
      <c r="L2093" s="37">
        <v>4.2020620505728545E-6</v>
      </c>
      <c r="M2093" s="36">
        <v>6.1828359443789747E-6</v>
      </c>
      <c r="N2093" s="36">
        <v>3.0455387122173191E-7</v>
      </c>
      <c r="O2093" s="36">
        <v>2.9598753603367221E-7</v>
      </c>
      <c r="P2093">
        <v>4.1221914338207366E-6</v>
      </c>
    </row>
    <row r="2094" spans="1:16" hidden="1" x14ac:dyDescent="0.35">
      <c r="A2094" s="3">
        <f xml:space="preserve"> ROW( data_scaledImpacts[[#This Row],[row_id]] ) - ROW( data_scaledImpacts[[#Headers],[row_id]] )</f>
        <v>2093</v>
      </c>
      <c r="B2094" s="41" t="str">
        <f xml:space="preserve"> _xlfn.TEXTJOIN( "", , data_scaledImpacts[[#This Row],[sector]:[impactType]] )</f>
        <v>WildfireHadGEM2-ES2N/AMortality</v>
      </c>
      <c r="C2094" s="33" t="s">
        <v>761</v>
      </c>
      <c r="D2094" s="33" t="s">
        <v>3</v>
      </c>
      <c r="E2094" s="34">
        <v>2</v>
      </c>
      <c r="F2094" s="34"/>
      <c r="G2094" s="34" t="s">
        <v>201</v>
      </c>
      <c r="H2094" s="35" t="s">
        <v>768</v>
      </c>
      <c r="I2094" s="43" t="s">
        <v>45</v>
      </c>
      <c r="J2094" s="36">
        <v>6.7897349497377456E-7</v>
      </c>
      <c r="K2094" s="36">
        <v>2.8711259469411017E-7</v>
      </c>
      <c r="L2094" s="37">
        <v>7.9372283177487239E-6</v>
      </c>
      <c r="M2094" s="36">
        <v>1.1678690117160289E-5</v>
      </c>
      <c r="N2094" s="36">
        <v>5.7526842341882691E-7</v>
      </c>
      <c r="O2094" s="36">
        <v>5.5908756806360294E-7</v>
      </c>
      <c r="P2094">
        <v>7.786361597216948E-6</v>
      </c>
    </row>
    <row r="2095" spans="1:16" hidden="1" x14ac:dyDescent="0.35">
      <c r="A2095" s="3">
        <f xml:space="preserve"> ROW( data_scaledImpacts[[#This Row],[row_id]] ) - ROW( data_scaledImpacts[[#Headers],[row_id]] )</f>
        <v>2094</v>
      </c>
      <c r="B2095" s="41" t="str">
        <f xml:space="preserve"> _xlfn.TEXTJOIN( "", , data_scaledImpacts[[#This Row],[sector]:[impactType]] )</f>
        <v>WildfireHadGEM2-ES3N/AMortality</v>
      </c>
      <c r="C2095" s="33" t="s">
        <v>761</v>
      </c>
      <c r="D2095" s="33" t="s">
        <v>3</v>
      </c>
      <c r="E2095" s="34">
        <v>3</v>
      </c>
      <c r="F2095" s="34"/>
      <c r="G2095" s="34" t="s">
        <v>201</v>
      </c>
      <c r="H2095" s="35" t="s">
        <v>768</v>
      </c>
      <c r="I2095" s="43" t="s">
        <v>52</v>
      </c>
      <c r="J2095" s="36">
        <v>9.7852062510926343E-7</v>
      </c>
      <c r="K2095" s="36">
        <v>4.1377991588268816E-7</v>
      </c>
      <c r="L2095" s="37">
        <v>1.1438946693226103E-5</v>
      </c>
      <c r="M2095" s="36">
        <v>1.6831053404142767E-5</v>
      </c>
      <c r="N2095" s="36">
        <v>8.290633161036033E-7</v>
      </c>
      <c r="O2095" s="36">
        <v>8.0574384809166304E-7</v>
      </c>
      <c r="P2095">
        <v>1.1221521125400893E-5</v>
      </c>
    </row>
    <row r="2096" spans="1:16" hidden="1" x14ac:dyDescent="0.35">
      <c r="A2096" s="3">
        <f xml:space="preserve"> ROW( data_scaledImpacts[[#This Row],[row_id]] ) - ROW( data_scaledImpacts[[#Headers],[row_id]] )</f>
        <v>2095</v>
      </c>
      <c r="B2096" s="41" t="str">
        <f xml:space="preserve"> _xlfn.TEXTJOIN( "", , data_scaledImpacts[[#This Row],[sector]:[impactType]] )</f>
        <v>WildfireHadGEM2-ES4N/AMortality</v>
      </c>
      <c r="C2096" s="33" t="s">
        <v>761</v>
      </c>
      <c r="D2096" s="33" t="s">
        <v>3</v>
      </c>
      <c r="E2096" s="34">
        <v>4</v>
      </c>
      <c r="F2096" s="34"/>
      <c r="G2096" s="34" t="s">
        <v>201</v>
      </c>
      <c r="H2096" s="35" t="s">
        <v>768</v>
      </c>
      <c r="I2096" s="43" t="s">
        <v>59</v>
      </c>
      <c r="J2096" s="36">
        <v>1.1647307914244902E-6</v>
      </c>
      <c r="K2096" s="36">
        <v>4.8418356964927253E-7</v>
      </c>
      <c r="L2096" s="37">
        <v>1.3541825989847317E-5</v>
      </c>
      <c r="M2096" s="36">
        <v>2.0562526130590904E-5</v>
      </c>
      <c r="N2096" s="36">
        <v>9.7984455921371201E-7</v>
      </c>
      <c r="O2096" s="36">
        <v>9.6615193116033293E-7</v>
      </c>
      <c r="P2096">
        <v>1.3335649494684636E-5</v>
      </c>
    </row>
    <row r="2097" spans="1:16" hidden="1" x14ac:dyDescent="0.35">
      <c r="A2097" s="3">
        <f xml:space="preserve"> ROW( data_scaledImpacts[[#This Row],[row_id]] ) - ROW( data_scaledImpacts[[#Headers],[row_id]] )</f>
        <v>2096</v>
      </c>
      <c r="B2097" s="41" t="str">
        <f xml:space="preserve"> _xlfn.TEXTJOIN( "", , data_scaledImpacts[[#This Row],[sector]:[impactType]] )</f>
        <v>WildfireHadGEM2-ES5N/AMortality</v>
      </c>
      <c r="C2097" s="33" t="s">
        <v>761</v>
      </c>
      <c r="D2097" s="33" t="s">
        <v>3</v>
      </c>
      <c r="E2097" s="34">
        <v>5</v>
      </c>
      <c r="F2097" s="34"/>
      <c r="G2097" s="34" t="s">
        <v>201</v>
      </c>
      <c r="H2097" s="35" t="s">
        <v>768</v>
      </c>
      <c r="I2097" s="43" t="s">
        <v>66</v>
      </c>
      <c r="J2097" s="36">
        <v>1.2842351570943466E-6</v>
      </c>
      <c r="K2097" s="36">
        <v>5.1970967517334849E-7</v>
      </c>
      <c r="L2097" s="37">
        <v>1.480577149342179E-5</v>
      </c>
      <c r="M2097" s="36">
        <v>2.3569475471570174E-5</v>
      </c>
      <c r="N2097" s="36">
        <v>1.068518474078868E-6</v>
      </c>
      <c r="O2097" s="36">
        <v>1.0772939590637353E-6</v>
      </c>
      <c r="P2097">
        <v>1.4667765699102929E-5</v>
      </c>
    </row>
    <row r="2098" spans="1:16" hidden="1" x14ac:dyDescent="0.35">
      <c r="A2098" s="3">
        <f xml:space="preserve"> ROW( data_scaledImpacts[[#This Row],[row_id]] ) - ROW( data_scaledImpacts[[#Headers],[row_id]] )</f>
        <v>2097</v>
      </c>
      <c r="B2098" s="41" t="str">
        <f xml:space="preserve"> _xlfn.TEXTJOIN( "", , data_scaledImpacts[[#This Row],[sector]:[impactType]] )</f>
        <v>WildfireHadGEM2-ES6N/AMortality</v>
      </c>
      <c r="C2098" s="33" t="s">
        <v>761</v>
      </c>
      <c r="D2098" s="33" t="s">
        <v>3</v>
      </c>
      <c r="E2098" s="34">
        <v>6</v>
      </c>
      <c r="F2098" s="34"/>
      <c r="G2098" s="34" t="s">
        <v>201</v>
      </c>
      <c r="H2098" s="35" t="s">
        <v>768</v>
      </c>
      <c r="I2098" s="43" t="s">
        <v>73</v>
      </c>
      <c r="J2098" s="36">
        <v>1.4568525741730284E-6</v>
      </c>
      <c r="K2098" s="36">
        <v>5.7102516093034691E-7</v>
      </c>
      <c r="L2098" s="37">
        <v>1.6631470554140477E-5</v>
      </c>
      <c r="M2098" s="36">
        <v>2.7912846741873557E-5</v>
      </c>
      <c r="N2098" s="36">
        <v>1.1966030177729821E-6</v>
      </c>
      <c r="O2098" s="36">
        <v>1.2378324438130943E-6</v>
      </c>
      <c r="P2098">
        <v>1.6591933549929354E-5</v>
      </c>
    </row>
    <row r="2099" spans="1:16" hidden="1" x14ac:dyDescent="0.35">
      <c r="A2099" s="3">
        <f xml:space="preserve"> ROW( data_scaledImpacts[[#This Row],[row_id]] ) - ROW( data_scaledImpacts[[#Headers],[row_id]] )</f>
        <v>2098</v>
      </c>
      <c r="B2099" s="41" t="str">
        <f xml:space="preserve"> _xlfn.TEXTJOIN( "", , data_scaledImpacts[[#This Row],[sector]:[impactType]] )</f>
        <v>WildfireHadGEM2-ES7N/AMortality</v>
      </c>
      <c r="C2099" s="33" t="s">
        <v>761</v>
      </c>
      <c r="D2099" s="33" t="s">
        <v>3</v>
      </c>
      <c r="E2099" s="34">
        <v>7</v>
      </c>
      <c r="F2099" s="34"/>
      <c r="G2099" s="34" t="s">
        <v>201</v>
      </c>
      <c r="H2099" s="35" t="s">
        <v>768</v>
      </c>
      <c r="I2099" s="43" t="s">
        <v>80</v>
      </c>
      <c r="J2099" s="36"/>
      <c r="K2099" s="36"/>
      <c r="L2099" s="37"/>
      <c r="M2099" s="36"/>
      <c r="N2099" s="36"/>
      <c r="O2099" s="36"/>
    </row>
    <row r="2100" spans="1:16" hidden="1" x14ac:dyDescent="0.35">
      <c r="A2100" s="3">
        <f xml:space="preserve"> ROW( data_scaledImpacts[[#This Row],[row_id]] ) - ROW( data_scaledImpacts[[#Headers],[row_id]] )</f>
        <v>2099</v>
      </c>
      <c r="B2100" s="41" t="str">
        <f xml:space="preserve"> _xlfn.TEXTJOIN( "", , data_scaledImpacts[[#This Row],[sector]:[impactType]] )</f>
        <v>WildfireHadGEM2-ES1N/AResponse Costs</v>
      </c>
      <c r="C2100" s="33" t="s">
        <v>761</v>
      </c>
      <c r="D2100" s="33" t="s">
        <v>3</v>
      </c>
      <c r="E2100" s="34">
        <v>1</v>
      </c>
      <c r="F2100" s="34"/>
      <c r="G2100" s="34" t="s">
        <v>201</v>
      </c>
      <c r="H2100" s="35" t="s">
        <v>802</v>
      </c>
      <c r="I2100" s="43" t="s">
        <v>38</v>
      </c>
      <c r="J2100" s="36"/>
      <c r="K2100" s="36"/>
      <c r="L2100" s="37">
        <v>416196.03624946758</v>
      </c>
      <c r="M2100" s="36">
        <v>662563.43628002924</v>
      </c>
      <c r="N2100" s="36"/>
      <c r="O2100" s="36">
        <v>21674.997235223029</v>
      </c>
      <c r="P2100">
        <v>1091969.7544330379</v>
      </c>
    </row>
    <row r="2101" spans="1:16" hidden="1" x14ac:dyDescent="0.35">
      <c r="A2101" s="3">
        <f xml:space="preserve"> ROW( data_scaledImpacts[[#This Row],[row_id]] ) - ROW( data_scaledImpacts[[#Headers],[row_id]] )</f>
        <v>2100</v>
      </c>
      <c r="B2101" s="41" t="str">
        <f xml:space="preserve"> _xlfn.TEXTJOIN( "", , data_scaledImpacts[[#This Row],[sector]:[impactType]] )</f>
        <v>WildfireHadGEM2-ES2N/AResponse Costs</v>
      </c>
      <c r="C2101" s="33" t="s">
        <v>761</v>
      </c>
      <c r="D2101" s="33" t="s">
        <v>3</v>
      </c>
      <c r="E2101" s="34">
        <v>2</v>
      </c>
      <c r="F2101" s="34"/>
      <c r="G2101" s="34" t="s">
        <v>201</v>
      </c>
      <c r="H2101" s="35" t="s">
        <v>802</v>
      </c>
      <c r="I2101" s="43" t="s">
        <v>45</v>
      </c>
      <c r="J2101" s="36"/>
      <c r="K2101" s="36"/>
      <c r="L2101" s="37">
        <v>528304.7695937946</v>
      </c>
      <c r="M2101" s="36">
        <v>834892.47753868019</v>
      </c>
      <c r="N2101" s="36"/>
      <c r="O2101" s="36">
        <v>33706.647401238122</v>
      </c>
      <c r="P2101">
        <v>1356262.4262365878</v>
      </c>
    </row>
    <row r="2102" spans="1:16" hidden="1" x14ac:dyDescent="0.35">
      <c r="A2102" s="3">
        <f xml:space="preserve"> ROW( data_scaledImpacts[[#This Row],[row_id]] ) - ROW( data_scaledImpacts[[#Headers],[row_id]] )</f>
        <v>2101</v>
      </c>
      <c r="B2102" s="41" t="str">
        <f xml:space="preserve"> _xlfn.TEXTJOIN( "", , data_scaledImpacts[[#This Row],[sector]:[impactType]] )</f>
        <v>WildfireHadGEM2-ES3N/AResponse Costs</v>
      </c>
      <c r="C2102" s="33" t="s">
        <v>761</v>
      </c>
      <c r="D2102" s="33" t="s">
        <v>3</v>
      </c>
      <c r="E2102" s="34">
        <v>3</v>
      </c>
      <c r="F2102" s="34"/>
      <c r="G2102" s="34" t="s">
        <v>201</v>
      </c>
      <c r="H2102" s="35" t="s">
        <v>802</v>
      </c>
      <c r="I2102" s="43" t="s">
        <v>52</v>
      </c>
      <c r="J2102" s="36"/>
      <c r="K2102" s="36"/>
      <c r="L2102" s="37">
        <v>729476.14493929828</v>
      </c>
      <c r="M2102" s="36">
        <v>960028.24880643422</v>
      </c>
      <c r="N2102" s="36"/>
      <c r="O2102" s="36">
        <v>44416.126739770269</v>
      </c>
      <c r="P2102">
        <v>1541311.061498346</v>
      </c>
    </row>
    <row r="2103" spans="1:16" hidden="1" x14ac:dyDescent="0.35">
      <c r="A2103" s="3">
        <f xml:space="preserve"> ROW( data_scaledImpacts[[#This Row],[row_id]] ) - ROW( data_scaledImpacts[[#Headers],[row_id]] )</f>
        <v>2102</v>
      </c>
      <c r="B2103" s="41" t="str">
        <f xml:space="preserve"> _xlfn.TEXTJOIN( "", , data_scaledImpacts[[#This Row],[sector]:[impactType]] )</f>
        <v>WildfireHadGEM2-ES4N/AResponse Costs</v>
      </c>
      <c r="C2103" s="33" t="s">
        <v>761</v>
      </c>
      <c r="D2103" s="33" t="s">
        <v>3</v>
      </c>
      <c r="E2103" s="34">
        <v>4</v>
      </c>
      <c r="F2103" s="34"/>
      <c r="G2103" s="34" t="s">
        <v>201</v>
      </c>
      <c r="H2103" s="35" t="s">
        <v>802</v>
      </c>
      <c r="I2103" s="43" t="s">
        <v>59</v>
      </c>
      <c r="J2103" s="36"/>
      <c r="K2103" s="36"/>
      <c r="L2103" s="37">
        <v>768359.17754654656</v>
      </c>
      <c r="M2103" s="36">
        <v>1083539.9579442595</v>
      </c>
      <c r="N2103" s="36"/>
      <c r="O2103" s="36">
        <v>48167.379644836277</v>
      </c>
      <c r="P2103">
        <v>1742693.2944845445</v>
      </c>
    </row>
    <row r="2104" spans="1:16" hidden="1" x14ac:dyDescent="0.35">
      <c r="A2104" s="3">
        <f xml:space="preserve"> ROW( data_scaledImpacts[[#This Row],[row_id]] ) - ROW( data_scaledImpacts[[#Headers],[row_id]] )</f>
        <v>2103</v>
      </c>
      <c r="B2104" s="41" t="str">
        <f xml:space="preserve"> _xlfn.TEXTJOIN( "", , data_scaledImpacts[[#This Row],[sector]:[impactType]] )</f>
        <v>WildfireHadGEM2-ES5N/AResponse Costs</v>
      </c>
      <c r="C2104" s="33" t="s">
        <v>761</v>
      </c>
      <c r="D2104" s="33" t="s">
        <v>3</v>
      </c>
      <c r="E2104" s="34">
        <v>5</v>
      </c>
      <c r="F2104" s="34"/>
      <c r="G2104" s="34" t="s">
        <v>201</v>
      </c>
      <c r="H2104" s="35" t="s">
        <v>802</v>
      </c>
      <c r="I2104" s="43" t="s">
        <v>66</v>
      </c>
      <c r="J2104" s="36"/>
      <c r="K2104" s="36"/>
      <c r="L2104" s="37">
        <v>863556.96686812979</v>
      </c>
      <c r="M2104" s="36">
        <v>1150571.7380202168</v>
      </c>
      <c r="N2104" s="36"/>
      <c r="O2104" s="36">
        <v>54347.483562609988</v>
      </c>
      <c r="P2104">
        <v>1878013.2630818689</v>
      </c>
    </row>
    <row r="2105" spans="1:16" hidden="1" x14ac:dyDescent="0.35">
      <c r="A2105" s="3">
        <f xml:space="preserve"> ROW( data_scaledImpacts[[#This Row],[row_id]] ) - ROW( data_scaledImpacts[[#Headers],[row_id]] )</f>
        <v>2104</v>
      </c>
      <c r="B2105" s="41" t="str">
        <f xml:space="preserve"> _xlfn.TEXTJOIN( "", , data_scaledImpacts[[#This Row],[sector]:[impactType]] )</f>
        <v>WildfireHadGEM2-ES6N/AResponse Costs</v>
      </c>
      <c r="C2105" s="33" t="s">
        <v>761</v>
      </c>
      <c r="D2105" s="33" t="s">
        <v>3</v>
      </c>
      <c r="E2105" s="34">
        <v>6</v>
      </c>
      <c r="F2105" s="34"/>
      <c r="G2105" s="34" t="s">
        <v>201</v>
      </c>
      <c r="H2105" s="35" t="s">
        <v>802</v>
      </c>
      <c r="I2105" s="43" t="s">
        <v>73</v>
      </c>
      <c r="J2105" s="36"/>
      <c r="K2105" s="36"/>
      <c r="L2105" s="37">
        <v>919904.97335840308</v>
      </c>
      <c r="M2105" s="36">
        <v>1347390.2079937281</v>
      </c>
      <c r="N2105" s="36"/>
      <c r="O2105" s="36">
        <v>66958.711760768827</v>
      </c>
      <c r="P2105">
        <v>2183809.7581170439</v>
      </c>
    </row>
    <row r="2106" spans="1:16" hidden="1" x14ac:dyDescent="0.35">
      <c r="A2106" s="3">
        <f xml:space="preserve"> ROW( data_scaledImpacts[[#This Row],[row_id]] ) - ROW( data_scaledImpacts[[#Headers],[row_id]] )</f>
        <v>2105</v>
      </c>
      <c r="B2106" s="41" t="str">
        <f xml:space="preserve"> _xlfn.TEXTJOIN( "", , data_scaledImpacts[[#This Row],[sector]:[impactType]] )</f>
        <v>WildfireHadGEM2-ES7N/AResponse Costs</v>
      </c>
      <c r="C2106" s="33" t="s">
        <v>761</v>
      </c>
      <c r="D2106" s="33" t="s">
        <v>3</v>
      </c>
      <c r="E2106" s="34">
        <v>7</v>
      </c>
      <c r="F2106" s="34"/>
      <c r="G2106" s="34" t="s">
        <v>201</v>
      </c>
      <c r="H2106" s="35" t="s">
        <v>802</v>
      </c>
      <c r="I2106" s="43" t="s">
        <v>80</v>
      </c>
      <c r="J2106" s="36"/>
      <c r="K2106" s="36"/>
      <c r="L2106" s="37"/>
      <c r="M2106" s="36"/>
      <c r="N2106" s="36"/>
      <c r="O2106" s="36"/>
    </row>
    <row r="2107" spans="1:16" hidden="1" x14ac:dyDescent="0.35">
      <c r="A2107" s="3">
        <f xml:space="preserve"> ROW( data_scaledImpacts[[#This Row],[row_id]] ) - ROW( data_scaledImpacts[[#Headers],[row_id]] )</f>
        <v>2106</v>
      </c>
      <c r="B2107" s="41" t="str">
        <f xml:space="preserve"> _xlfn.TEXTJOIN( "", , data_scaledImpacts[[#This Row],[sector]:[impactType]] )</f>
        <v>WildfireMIROC51N/AMorbidity</v>
      </c>
      <c r="C2107" s="33" t="s">
        <v>761</v>
      </c>
      <c r="D2107" s="33" t="s">
        <v>4</v>
      </c>
      <c r="E2107" s="34">
        <v>1</v>
      </c>
      <c r="F2107" s="34"/>
      <c r="G2107" s="34" t="s">
        <v>201</v>
      </c>
      <c r="H2107" s="35" t="s">
        <v>769</v>
      </c>
      <c r="I2107" s="43" t="s">
        <v>39</v>
      </c>
      <c r="J2107" s="36">
        <v>6.2508386361432466E-2</v>
      </c>
      <c r="K2107" s="36">
        <v>2.3747685828665231E-2</v>
      </c>
      <c r="L2107" s="37">
        <v>0.4698274341252423</v>
      </c>
      <c r="M2107" s="36">
        <v>1.0160010324620374</v>
      </c>
      <c r="N2107" s="36">
        <v>5.658999423891542E-2</v>
      </c>
      <c r="O2107" s="36">
        <v>4.6357785452497684E-2</v>
      </c>
      <c r="P2107">
        <v>0.67500462541550021</v>
      </c>
    </row>
    <row r="2108" spans="1:16" hidden="1" x14ac:dyDescent="0.35">
      <c r="A2108" s="3">
        <f xml:space="preserve"> ROW( data_scaledImpacts[[#This Row],[row_id]] ) - ROW( data_scaledImpacts[[#Headers],[row_id]] )</f>
        <v>2107</v>
      </c>
      <c r="B2108" s="41" t="str">
        <f xml:space="preserve"> _xlfn.TEXTJOIN( "", , data_scaledImpacts[[#This Row],[sector]:[impactType]] )</f>
        <v>WildfireMIROC52N/AMorbidity</v>
      </c>
      <c r="C2108" s="33" t="s">
        <v>761</v>
      </c>
      <c r="D2108" s="33" t="s">
        <v>4</v>
      </c>
      <c r="E2108" s="34">
        <v>2</v>
      </c>
      <c r="F2108" s="34"/>
      <c r="G2108" s="34" t="s">
        <v>201</v>
      </c>
      <c r="H2108" s="35" t="s">
        <v>769</v>
      </c>
      <c r="I2108" s="43" t="s">
        <v>46</v>
      </c>
      <c r="J2108" s="36">
        <v>0.10796903098792879</v>
      </c>
      <c r="K2108" s="36">
        <v>4.1018730067694485E-2</v>
      </c>
      <c r="L2108" s="37">
        <v>0.81152011348905484</v>
      </c>
      <c r="M2108" s="36">
        <v>1.7549108742526101</v>
      </c>
      <c r="N2108" s="36">
        <v>9.7746353685399356E-2</v>
      </c>
      <c r="O2108" s="36">
        <v>8.0072538508859634E-2</v>
      </c>
      <c r="P2108">
        <v>1.1659170802631369</v>
      </c>
    </row>
    <row r="2109" spans="1:16" hidden="1" x14ac:dyDescent="0.35">
      <c r="A2109" s="3">
        <f xml:space="preserve"> ROW( data_scaledImpacts[[#This Row],[row_id]] ) - ROW( data_scaledImpacts[[#Headers],[row_id]] )</f>
        <v>2108</v>
      </c>
      <c r="B2109" s="41" t="str">
        <f xml:space="preserve"> _xlfn.TEXTJOIN( "", , data_scaledImpacts[[#This Row],[sector]:[impactType]] )</f>
        <v>WildfireMIROC53N/AMorbidity</v>
      </c>
      <c r="C2109" s="33" t="s">
        <v>761</v>
      </c>
      <c r="D2109" s="33" t="s">
        <v>4</v>
      </c>
      <c r="E2109" s="34">
        <v>3</v>
      </c>
      <c r="F2109" s="34"/>
      <c r="G2109" s="34" t="s">
        <v>201</v>
      </c>
      <c r="H2109" s="35" t="s">
        <v>769</v>
      </c>
      <c r="I2109" s="43" t="s">
        <v>53</v>
      </c>
      <c r="J2109" s="36">
        <v>0.15627839270902494</v>
      </c>
      <c r="K2109" s="36">
        <v>5.9421645359840042E-2</v>
      </c>
      <c r="L2109" s="37">
        <v>1.1772765168614596</v>
      </c>
      <c r="M2109" s="36">
        <v>2.5103090486942006</v>
      </c>
      <c r="N2109" s="36">
        <v>0.14086878820969972</v>
      </c>
      <c r="O2109" s="36">
        <v>0.11574255936086629</v>
      </c>
      <c r="P2109">
        <v>1.6592522343817999</v>
      </c>
    </row>
    <row r="2110" spans="1:16" hidden="1" x14ac:dyDescent="0.35">
      <c r="A2110" s="3">
        <f xml:space="preserve"> ROW( data_scaledImpacts[[#This Row],[row_id]] ) - ROW( data_scaledImpacts[[#Headers],[row_id]] )</f>
        <v>2109</v>
      </c>
      <c r="B2110" s="41" t="str">
        <f xml:space="preserve"> _xlfn.TEXTJOIN( "", , data_scaledImpacts[[#This Row],[sector]:[impactType]] )</f>
        <v>WildfireMIROC54N/AMorbidity</v>
      </c>
      <c r="C2110" s="33" t="s">
        <v>761</v>
      </c>
      <c r="D2110" s="33" t="s">
        <v>4</v>
      </c>
      <c r="E2110" s="34">
        <v>4</v>
      </c>
      <c r="F2110" s="34"/>
      <c r="G2110" s="34" t="s">
        <v>201</v>
      </c>
      <c r="H2110" s="35" t="s">
        <v>769</v>
      </c>
      <c r="I2110" s="43" t="s">
        <v>60</v>
      </c>
      <c r="J2110" s="36">
        <v>0.20466548832709935</v>
      </c>
      <c r="K2110" s="36">
        <v>7.8373336234904625E-2</v>
      </c>
      <c r="L2110" s="37">
        <v>1.5713759371066351</v>
      </c>
      <c r="M2110" s="36">
        <v>2.954914916711783</v>
      </c>
      <c r="N2110" s="36">
        <v>0.17764635674390353</v>
      </c>
      <c r="O2110" s="36">
        <v>0.14982264884958421</v>
      </c>
      <c r="P2110">
        <v>1.8568064099910482</v>
      </c>
    </row>
    <row r="2111" spans="1:16" hidden="1" x14ac:dyDescent="0.35">
      <c r="A2111" s="3">
        <f xml:space="preserve"> ROW( data_scaledImpacts[[#This Row],[row_id]] ) - ROW( data_scaledImpacts[[#Headers],[row_id]] )</f>
        <v>2110</v>
      </c>
      <c r="B2111" s="41" t="str">
        <f xml:space="preserve"> _xlfn.TEXTJOIN( "", , data_scaledImpacts[[#This Row],[sector]:[impactType]] )</f>
        <v>WildfireMIROC55N/AMorbidity</v>
      </c>
      <c r="C2111" s="33" t="s">
        <v>761</v>
      </c>
      <c r="D2111" s="33" t="s">
        <v>4</v>
      </c>
      <c r="E2111" s="34">
        <v>5</v>
      </c>
      <c r="F2111" s="34"/>
      <c r="G2111" s="34" t="s">
        <v>201</v>
      </c>
      <c r="H2111" s="35" t="s">
        <v>769</v>
      </c>
      <c r="I2111" s="43" t="s">
        <v>67</v>
      </c>
      <c r="J2111" s="36">
        <v>0.24451980091117312</v>
      </c>
      <c r="K2111" s="36">
        <v>9.4023789369338834E-2</v>
      </c>
      <c r="L2111" s="37">
        <v>1.8981584621130714</v>
      </c>
      <c r="M2111" s="36">
        <v>3.2966074283467033</v>
      </c>
      <c r="N2111" s="36">
        <v>0.20743454474699821</v>
      </c>
      <c r="O2111" s="36">
        <v>0.17776350726468773</v>
      </c>
      <c r="P2111">
        <v>1.9962256953047051</v>
      </c>
    </row>
    <row r="2112" spans="1:16" hidden="1" x14ac:dyDescent="0.35">
      <c r="A2112" s="3">
        <f xml:space="preserve"> ROW( data_scaledImpacts[[#This Row],[row_id]] ) - ROW( data_scaledImpacts[[#Headers],[row_id]] )</f>
        <v>2111</v>
      </c>
      <c r="B2112" s="41" t="str">
        <f xml:space="preserve"> _xlfn.TEXTJOIN( "", , data_scaledImpacts[[#This Row],[sector]:[impactType]] )</f>
        <v>WildfireMIROC56N/AMorbidity</v>
      </c>
      <c r="C2112" s="33" t="s">
        <v>761</v>
      </c>
      <c r="D2112" s="33" t="s">
        <v>4</v>
      </c>
      <c r="E2112" s="34">
        <v>6</v>
      </c>
      <c r="F2112" s="34"/>
      <c r="G2112" s="34" t="s">
        <v>201</v>
      </c>
      <c r="H2112" s="35" t="s">
        <v>769</v>
      </c>
      <c r="I2112" s="43" t="s">
        <v>74</v>
      </c>
      <c r="J2112" s="36"/>
      <c r="K2112" s="36"/>
      <c r="L2112" s="37"/>
      <c r="M2112" s="36"/>
      <c r="N2112" s="36"/>
      <c r="O2112" s="36"/>
    </row>
    <row r="2113" spans="1:16" hidden="1" x14ac:dyDescent="0.35">
      <c r="A2113" s="3">
        <f xml:space="preserve"> ROW( data_scaledImpacts[[#This Row],[row_id]] ) - ROW( data_scaledImpacts[[#Headers],[row_id]] )</f>
        <v>2112</v>
      </c>
      <c r="B2113" s="41" t="str">
        <f xml:space="preserve"> _xlfn.TEXTJOIN( "", , data_scaledImpacts[[#This Row],[sector]:[impactType]] )</f>
        <v>WildfireMIROC57N/AMorbidity</v>
      </c>
      <c r="C2113" s="33" t="s">
        <v>761</v>
      </c>
      <c r="D2113" s="33" t="s">
        <v>4</v>
      </c>
      <c r="E2113" s="34">
        <v>7</v>
      </c>
      <c r="F2113" s="34"/>
      <c r="G2113" s="34" t="s">
        <v>201</v>
      </c>
      <c r="H2113" s="35" t="s">
        <v>769</v>
      </c>
      <c r="I2113" s="43" t="s">
        <v>81</v>
      </c>
      <c r="J2113" s="36"/>
      <c r="K2113" s="36"/>
      <c r="L2113" s="37"/>
      <c r="M2113" s="36"/>
      <c r="N2113" s="36"/>
      <c r="O2113" s="36"/>
    </row>
    <row r="2114" spans="1:16" hidden="1" x14ac:dyDescent="0.35">
      <c r="A2114" s="3">
        <f xml:space="preserve"> ROW( data_scaledImpacts[[#This Row],[row_id]] ) - ROW( data_scaledImpacts[[#Headers],[row_id]] )</f>
        <v>2113</v>
      </c>
      <c r="B2114" s="41" t="str">
        <f xml:space="preserve"> _xlfn.TEXTJOIN( "", , data_scaledImpacts[[#This Row],[sector]:[impactType]] )</f>
        <v>WildfireMIROC51N/AMortality</v>
      </c>
      <c r="C2114" s="33" t="s">
        <v>761</v>
      </c>
      <c r="D2114" s="33" t="s">
        <v>4</v>
      </c>
      <c r="E2114" s="34">
        <v>1</v>
      </c>
      <c r="F2114" s="34"/>
      <c r="G2114" s="34" t="s">
        <v>201</v>
      </c>
      <c r="H2114" s="35" t="s">
        <v>768</v>
      </c>
      <c r="I2114" s="43" t="s">
        <v>39</v>
      </c>
      <c r="J2114" s="36">
        <v>1.8507713782951234E-7</v>
      </c>
      <c r="K2114" s="36">
        <v>7.2019456388792693E-8</v>
      </c>
      <c r="L2114" s="37">
        <v>2.3306422125691329E-6</v>
      </c>
      <c r="M2114" s="36">
        <v>4.5262842143535862E-6</v>
      </c>
      <c r="N2114" s="36">
        <v>1.7401392351059932E-7</v>
      </c>
      <c r="O2114" s="36">
        <v>1.7765732322153516E-7</v>
      </c>
      <c r="P2114">
        <v>3.0297583055016443E-6</v>
      </c>
    </row>
    <row r="2115" spans="1:16" hidden="1" x14ac:dyDescent="0.35">
      <c r="A2115" s="3">
        <f xml:space="preserve"> ROW( data_scaledImpacts[[#This Row],[row_id]] ) - ROW( data_scaledImpacts[[#Headers],[row_id]] )</f>
        <v>2114</v>
      </c>
      <c r="B2115" s="41" t="str">
        <f xml:space="preserve"> _xlfn.TEXTJOIN( "", , data_scaledImpacts[[#This Row],[sector]:[impactType]] )</f>
        <v>WildfireMIROC52N/AMortality</v>
      </c>
      <c r="C2115" s="33" t="s">
        <v>761</v>
      </c>
      <c r="D2115" s="33" t="s">
        <v>4</v>
      </c>
      <c r="E2115" s="34">
        <v>2</v>
      </c>
      <c r="F2115" s="34"/>
      <c r="G2115" s="34" t="s">
        <v>201</v>
      </c>
      <c r="H2115" s="35" t="s">
        <v>768</v>
      </c>
      <c r="I2115" s="43" t="s">
        <v>46</v>
      </c>
      <c r="J2115" s="36">
        <v>3.1967869261461212E-7</v>
      </c>
      <c r="K2115" s="36">
        <v>1.2439724285336921E-7</v>
      </c>
      <c r="L2115" s="37">
        <v>4.0256547308012307E-6</v>
      </c>
      <c r="M2115" s="36">
        <v>7.8181272793380129E-6</v>
      </c>
      <c r="N2115" s="36">
        <v>3.0056950424558068E-7</v>
      </c>
      <c r="O2115" s="36">
        <v>3.0686264920083348E-7</v>
      </c>
      <c r="P2115">
        <v>5.2332188913210223E-6</v>
      </c>
    </row>
    <row r="2116" spans="1:16" hidden="1" x14ac:dyDescent="0.35">
      <c r="A2116" s="3">
        <f xml:space="preserve"> ROW( data_scaledImpacts[[#This Row],[row_id]] ) - ROW( data_scaledImpacts[[#Headers],[row_id]] )</f>
        <v>2115</v>
      </c>
      <c r="B2116" s="41" t="str">
        <f xml:space="preserve"> _xlfn.TEXTJOIN( "", , data_scaledImpacts[[#This Row],[sector]:[impactType]] )</f>
        <v>WildfireMIROC53N/AMortality</v>
      </c>
      <c r="C2116" s="33" t="s">
        <v>761</v>
      </c>
      <c r="D2116" s="33" t="s">
        <v>4</v>
      </c>
      <c r="E2116" s="34">
        <v>3</v>
      </c>
      <c r="F2116" s="34"/>
      <c r="G2116" s="34" t="s">
        <v>201</v>
      </c>
      <c r="H2116" s="35" t="s">
        <v>768</v>
      </c>
      <c r="I2116" s="43" t="s">
        <v>53</v>
      </c>
      <c r="J2116" s="36">
        <v>4.7080441855192311E-7</v>
      </c>
      <c r="K2116" s="36">
        <v>1.8242024185872085E-7</v>
      </c>
      <c r="L2116" s="37">
        <v>5.9277848430813257E-6</v>
      </c>
      <c r="M2116" s="36">
        <v>1.127048036023994E-5</v>
      </c>
      <c r="N2116" s="36">
        <v>4.3830711170715876E-7</v>
      </c>
      <c r="O2116" s="36">
        <v>4.4930854293084225E-7</v>
      </c>
      <c r="P2116">
        <v>7.4666451493419828E-6</v>
      </c>
    </row>
    <row r="2117" spans="1:16" hidden="1" x14ac:dyDescent="0.35">
      <c r="A2117" s="3">
        <f xml:space="preserve"> ROW( data_scaledImpacts[[#This Row],[row_id]] ) - ROW( data_scaledImpacts[[#Headers],[row_id]] )</f>
        <v>2116</v>
      </c>
      <c r="B2117" s="41" t="str">
        <f xml:space="preserve"> _xlfn.TEXTJOIN( "", , data_scaledImpacts[[#This Row],[sector]:[impactType]] )</f>
        <v>WildfireMIROC54N/AMortality</v>
      </c>
      <c r="C2117" s="33" t="s">
        <v>761</v>
      </c>
      <c r="D2117" s="33" t="s">
        <v>4</v>
      </c>
      <c r="E2117" s="34">
        <v>4</v>
      </c>
      <c r="F2117" s="34"/>
      <c r="G2117" s="34" t="s">
        <v>201</v>
      </c>
      <c r="H2117" s="35" t="s">
        <v>768</v>
      </c>
      <c r="I2117" s="43" t="s">
        <v>60</v>
      </c>
      <c r="J2117" s="36">
        <v>7.0683128546045753E-7</v>
      </c>
      <c r="K2117" s="36">
        <v>2.6526599681194183E-7</v>
      </c>
      <c r="L2117" s="37">
        <v>8.8889250840536312E-6</v>
      </c>
      <c r="M2117" s="36">
        <v>1.4249424269401067E-5</v>
      </c>
      <c r="N2117" s="36">
        <v>6.1029482317631739E-7</v>
      </c>
      <c r="O2117" s="36">
        <v>6.4581722837349616E-7</v>
      </c>
      <c r="P2117">
        <v>8.5722816431826716E-6</v>
      </c>
    </row>
    <row r="2118" spans="1:16" hidden="1" x14ac:dyDescent="0.35">
      <c r="A2118" s="3">
        <f xml:space="preserve"> ROW( data_scaledImpacts[[#This Row],[row_id]] ) - ROW( data_scaledImpacts[[#Headers],[row_id]] )</f>
        <v>2117</v>
      </c>
      <c r="B2118" s="41" t="str">
        <f xml:space="preserve"> _xlfn.TEXTJOIN( "", , data_scaledImpacts[[#This Row],[sector]:[impactType]] )</f>
        <v>WildfireMIROC55N/AMortality</v>
      </c>
      <c r="C2118" s="33" t="s">
        <v>761</v>
      </c>
      <c r="D2118" s="33" t="s">
        <v>4</v>
      </c>
      <c r="E2118" s="34">
        <v>5</v>
      </c>
      <c r="F2118" s="34"/>
      <c r="G2118" s="34" t="s">
        <v>201</v>
      </c>
      <c r="H2118" s="35" t="s">
        <v>768</v>
      </c>
      <c r="I2118" s="43" t="s">
        <v>67</v>
      </c>
      <c r="J2118" s="36">
        <v>9.0788647207301495E-7</v>
      </c>
      <c r="K2118" s="36">
        <v>3.3544499573896775E-7</v>
      </c>
      <c r="L2118" s="37">
        <v>1.1410835303867229E-5</v>
      </c>
      <c r="M2118" s="36">
        <v>1.6665423814650442E-5</v>
      </c>
      <c r="N2118" s="36">
        <v>7.5462659974087439E-7</v>
      </c>
      <c r="O2118" s="36">
        <v>8.119016333426261E-7</v>
      </c>
      <c r="P2118">
        <v>9.394070014476779E-6</v>
      </c>
    </row>
    <row r="2119" spans="1:16" hidden="1" x14ac:dyDescent="0.35">
      <c r="A2119" s="3">
        <f xml:space="preserve"> ROW( data_scaledImpacts[[#This Row],[row_id]] ) - ROW( data_scaledImpacts[[#Headers],[row_id]] )</f>
        <v>2118</v>
      </c>
      <c r="B2119" s="41" t="str">
        <f xml:space="preserve"> _xlfn.TEXTJOIN( "", , data_scaledImpacts[[#This Row],[sector]:[impactType]] )</f>
        <v>WildfireMIROC56N/AMortality</v>
      </c>
      <c r="C2119" s="33" t="s">
        <v>761</v>
      </c>
      <c r="D2119" s="33" t="s">
        <v>4</v>
      </c>
      <c r="E2119" s="34">
        <v>6</v>
      </c>
      <c r="F2119" s="34"/>
      <c r="G2119" s="34" t="s">
        <v>201</v>
      </c>
      <c r="H2119" s="35" t="s">
        <v>768</v>
      </c>
      <c r="I2119" s="43" t="s">
        <v>74</v>
      </c>
      <c r="J2119" s="36"/>
      <c r="K2119" s="36"/>
      <c r="L2119" s="37"/>
      <c r="M2119" s="36"/>
      <c r="N2119" s="36"/>
      <c r="O2119" s="36"/>
    </row>
    <row r="2120" spans="1:16" hidden="1" x14ac:dyDescent="0.35">
      <c r="A2120" s="3">
        <f xml:space="preserve"> ROW( data_scaledImpacts[[#This Row],[row_id]] ) - ROW( data_scaledImpacts[[#Headers],[row_id]] )</f>
        <v>2119</v>
      </c>
      <c r="B2120" s="41" t="str">
        <f xml:space="preserve"> _xlfn.TEXTJOIN( "", , data_scaledImpacts[[#This Row],[sector]:[impactType]] )</f>
        <v>WildfireMIROC57N/AMortality</v>
      </c>
      <c r="C2120" s="33" t="s">
        <v>761</v>
      </c>
      <c r="D2120" s="33" t="s">
        <v>4</v>
      </c>
      <c r="E2120" s="34">
        <v>7</v>
      </c>
      <c r="F2120" s="34"/>
      <c r="G2120" s="34" t="s">
        <v>201</v>
      </c>
      <c r="H2120" s="35" t="s">
        <v>768</v>
      </c>
      <c r="I2120" s="43" t="s">
        <v>81</v>
      </c>
      <c r="J2120" s="36"/>
      <c r="K2120" s="36"/>
      <c r="L2120" s="37"/>
      <c r="M2120" s="36"/>
      <c r="N2120" s="36"/>
      <c r="O2120" s="36"/>
    </row>
    <row r="2121" spans="1:16" hidden="1" x14ac:dyDescent="0.35">
      <c r="A2121" s="3">
        <f xml:space="preserve"> ROW( data_scaledImpacts[[#This Row],[row_id]] ) - ROW( data_scaledImpacts[[#Headers],[row_id]] )</f>
        <v>2120</v>
      </c>
      <c r="B2121" s="41" t="str">
        <f xml:space="preserve"> _xlfn.TEXTJOIN( "", , data_scaledImpacts[[#This Row],[sector]:[impactType]] )</f>
        <v>WildfireMIROC51N/AResponse Costs</v>
      </c>
      <c r="C2121" s="33" t="s">
        <v>761</v>
      </c>
      <c r="D2121" s="33" t="s">
        <v>4</v>
      </c>
      <c r="E2121" s="34">
        <v>1</v>
      </c>
      <c r="F2121" s="34"/>
      <c r="G2121" s="34" t="s">
        <v>201</v>
      </c>
      <c r="H2121" s="35" t="s">
        <v>802</v>
      </c>
      <c r="I2121" s="43" t="s">
        <v>39</v>
      </c>
      <c r="J2121" s="36"/>
      <c r="K2121" s="36"/>
      <c r="L2121" s="37">
        <v>401353.69805456349</v>
      </c>
      <c r="M2121" s="36">
        <v>661782.18719902646</v>
      </c>
      <c r="N2121" s="36"/>
      <c r="O2121" s="36">
        <v>20196.250726931237</v>
      </c>
      <c r="P2121">
        <v>1101886.6182441448</v>
      </c>
    </row>
    <row r="2122" spans="1:16" hidden="1" x14ac:dyDescent="0.35">
      <c r="A2122" s="3">
        <f xml:space="preserve"> ROW( data_scaledImpacts[[#This Row],[row_id]] ) - ROW( data_scaledImpacts[[#Headers],[row_id]] )</f>
        <v>2121</v>
      </c>
      <c r="B2122" s="41" t="str">
        <f xml:space="preserve"> _xlfn.TEXTJOIN( "", , data_scaledImpacts[[#This Row],[sector]:[impactType]] )</f>
        <v>WildfireMIROC52N/AResponse Costs</v>
      </c>
      <c r="C2122" s="33" t="s">
        <v>761</v>
      </c>
      <c r="D2122" s="33" t="s">
        <v>4</v>
      </c>
      <c r="E2122" s="34">
        <v>2</v>
      </c>
      <c r="F2122" s="34"/>
      <c r="G2122" s="34" t="s">
        <v>201</v>
      </c>
      <c r="H2122" s="35" t="s">
        <v>802</v>
      </c>
      <c r="I2122" s="43" t="s">
        <v>46</v>
      </c>
      <c r="J2122" s="36"/>
      <c r="K2122" s="36"/>
      <c r="L2122" s="37">
        <v>470612.74349045701</v>
      </c>
      <c r="M2122" s="36">
        <v>732692.18488785613</v>
      </c>
      <c r="N2122" s="36"/>
      <c r="O2122" s="36">
        <v>30419.813122990701</v>
      </c>
      <c r="P2122">
        <v>1285424.8576622538</v>
      </c>
    </row>
    <row r="2123" spans="1:16" hidden="1" x14ac:dyDescent="0.35">
      <c r="A2123" s="3">
        <f xml:space="preserve"> ROW( data_scaledImpacts[[#This Row],[row_id]] ) - ROW( data_scaledImpacts[[#Headers],[row_id]] )</f>
        <v>2122</v>
      </c>
      <c r="B2123" s="41" t="str">
        <f xml:space="preserve"> _xlfn.TEXTJOIN( "", , data_scaledImpacts[[#This Row],[sector]:[impactType]] )</f>
        <v>WildfireMIROC53N/AResponse Costs</v>
      </c>
      <c r="C2123" s="33" t="s">
        <v>761</v>
      </c>
      <c r="D2123" s="33" t="s">
        <v>4</v>
      </c>
      <c r="E2123" s="34">
        <v>3</v>
      </c>
      <c r="F2123" s="34"/>
      <c r="G2123" s="34" t="s">
        <v>201</v>
      </c>
      <c r="H2123" s="35" t="s">
        <v>802</v>
      </c>
      <c r="I2123" s="43" t="s">
        <v>53</v>
      </c>
      <c r="J2123" s="36"/>
      <c r="K2123" s="36"/>
      <c r="L2123" s="37">
        <v>520032.45993499196</v>
      </c>
      <c r="M2123" s="36">
        <v>807764.99848527601</v>
      </c>
      <c r="N2123" s="36"/>
      <c r="O2123" s="36">
        <v>35192.597432811046</v>
      </c>
      <c r="P2123">
        <v>1460082.4634001779</v>
      </c>
    </row>
    <row r="2124" spans="1:16" hidden="1" x14ac:dyDescent="0.35">
      <c r="A2124" s="3">
        <f xml:space="preserve"> ROW( data_scaledImpacts[[#This Row],[row_id]] ) - ROW( data_scaledImpacts[[#Headers],[row_id]] )</f>
        <v>2123</v>
      </c>
      <c r="B2124" s="41" t="str">
        <f xml:space="preserve"> _xlfn.TEXTJOIN( "", , data_scaledImpacts[[#This Row],[sector]:[impactType]] )</f>
        <v>WildfireMIROC54N/AResponse Costs</v>
      </c>
      <c r="C2124" s="33" t="s">
        <v>761</v>
      </c>
      <c r="D2124" s="33" t="s">
        <v>4</v>
      </c>
      <c r="E2124" s="34">
        <v>4</v>
      </c>
      <c r="F2124" s="34"/>
      <c r="G2124" s="34" t="s">
        <v>201</v>
      </c>
      <c r="H2124" s="35" t="s">
        <v>802</v>
      </c>
      <c r="I2124" s="43" t="s">
        <v>60</v>
      </c>
      <c r="J2124" s="36"/>
      <c r="K2124" s="36"/>
      <c r="L2124" s="37">
        <v>511405.65076481667</v>
      </c>
      <c r="M2124" s="36">
        <v>829311.44157985237</v>
      </c>
      <c r="N2124" s="36"/>
      <c r="O2124" s="36">
        <v>38583.08587871398</v>
      </c>
      <c r="P2124">
        <v>1662248.3828225597</v>
      </c>
    </row>
    <row r="2125" spans="1:16" hidden="1" x14ac:dyDescent="0.35">
      <c r="A2125" s="3">
        <f xml:space="preserve"> ROW( data_scaledImpacts[[#This Row],[row_id]] ) - ROW( data_scaledImpacts[[#Headers],[row_id]] )</f>
        <v>2124</v>
      </c>
      <c r="B2125" s="41" t="str">
        <f xml:space="preserve"> _xlfn.TEXTJOIN( "", , data_scaledImpacts[[#This Row],[sector]:[impactType]] )</f>
        <v>WildfireMIROC55N/AResponse Costs</v>
      </c>
      <c r="C2125" s="33" t="s">
        <v>761</v>
      </c>
      <c r="D2125" s="33" t="s">
        <v>4</v>
      </c>
      <c r="E2125" s="34">
        <v>5</v>
      </c>
      <c r="F2125" s="34"/>
      <c r="G2125" s="34" t="s">
        <v>201</v>
      </c>
      <c r="H2125" s="35" t="s">
        <v>802</v>
      </c>
      <c r="I2125" s="43" t="s">
        <v>67</v>
      </c>
      <c r="J2125" s="36"/>
      <c r="K2125" s="36"/>
      <c r="L2125" s="37">
        <v>574771.08254042757</v>
      </c>
      <c r="M2125" s="36">
        <v>908004.28799433855</v>
      </c>
      <c r="N2125" s="36"/>
      <c r="O2125" s="36">
        <v>45957.532952555288</v>
      </c>
      <c r="P2125">
        <v>1777762.7921696745</v>
      </c>
    </row>
    <row r="2126" spans="1:16" hidden="1" x14ac:dyDescent="0.35">
      <c r="A2126" s="3">
        <f xml:space="preserve"> ROW( data_scaledImpacts[[#This Row],[row_id]] ) - ROW( data_scaledImpacts[[#Headers],[row_id]] )</f>
        <v>2125</v>
      </c>
      <c r="B2126" s="41" t="str">
        <f xml:space="preserve"> _xlfn.TEXTJOIN( "", , data_scaledImpacts[[#This Row],[sector]:[impactType]] )</f>
        <v>WildfireMIROC56N/AResponse Costs</v>
      </c>
      <c r="C2126" s="33" t="s">
        <v>761</v>
      </c>
      <c r="D2126" s="33" t="s">
        <v>4</v>
      </c>
      <c r="E2126" s="34">
        <v>6</v>
      </c>
      <c r="F2126" s="34"/>
      <c r="G2126" s="34" t="s">
        <v>201</v>
      </c>
      <c r="H2126" s="35" t="s">
        <v>802</v>
      </c>
      <c r="I2126" s="43" t="s">
        <v>74</v>
      </c>
      <c r="J2126" s="36"/>
      <c r="K2126" s="36"/>
      <c r="L2126" s="37"/>
      <c r="M2126" s="36"/>
      <c r="N2126" s="36"/>
      <c r="O2126" s="36"/>
    </row>
    <row r="2127" spans="1:16" hidden="1" x14ac:dyDescent="0.35">
      <c r="A2127" s="3">
        <f xml:space="preserve"> ROW( data_scaledImpacts[[#This Row],[row_id]] ) - ROW( data_scaledImpacts[[#Headers],[row_id]] )</f>
        <v>2126</v>
      </c>
      <c r="B2127" s="41" t="str">
        <f xml:space="preserve"> _xlfn.TEXTJOIN( "", , data_scaledImpacts[[#This Row],[sector]:[impactType]] )</f>
        <v>WildfireMIROC57N/AResponse Costs</v>
      </c>
      <c r="C2127" s="33" t="s">
        <v>761</v>
      </c>
      <c r="D2127" s="33" t="s">
        <v>4</v>
      </c>
      <c r="E2127" s="34">
        <v>7</v>
      </c>
      <c r="F2127" s="34"/>
      <c r="G2127" s="34" t="s">
        <v>201</v>
      </c>
      <c r="H2127" s="35" t="s">
        <v>802</v>
      </c>
      <c r="I2127" s="43" t="s">
        <v>81</v>
      </c>
      <c r="J2127" s="36"/>
      <c r="K2127" s="36"/>
      <c r="L2127" s="37"/>
      <c r="M2127" s="36"/>
      <c r="N2127" s="36"/>
      <c r="O2127" s="36"/>
    </row>
    <row r="2128" spans="1:16" hidden="1" x14ac:dyDescent="0.35">
      <c r="A2128" s="3">
        <f xml:space="preserve"> ROW( data_scaledImpacts[[#This Row],[row_id]] ) - ROW( data_scaledImpacts[[#Headers],[row_id]] )</f>
        <v>2127</v>
      </c>
      <c r="B2128" s="41" t="str">
        <f xml:space="preserve"> _xlfn.TEXTJOIN( "", , data_scaledImpacts[[#This Row],[sector]:[impactType]] )</f>
        <v>ValleyFeverCanESM21N/AMortality</v>
      </c>
      <c r="C2128" s="33" t="s">
        <v>978</v>
      </c>
      <c r="D2128" s="33" t="s">
        <v>0</v>
      </c>
      <c r="E2128" s="34">
        <v>1</v>
      </c>
      <c r="F2128" s="34"/>
      <c r="G2128" s="34" t="s">
        <v>201</v>
      </c>
      <c r="H2128" s="35" t="s">
        <v>768</v>
      </c>
      <c r="I2128" s="43" t="s">
        <v>35</v>
      </c>
      <c r="J2128" s="36">
        <v>0</v>
      </c>
      <c r="K2128" s="36">
        <v>2.0605355368702687E-9</v>
      </c>
      <c r="L2128" s="37">
        <v>6.1452257788394397E-8</v>
      </c>
      <c r="M2128" s="36">
        <v>3.0606688144916843E-6</v>
      </c>
      <c r="N2128" s="36">
        <v>1.4426450737307564E-8</v>
      </c>
      <c r="O2128" s="36">
        <v>1.9013339156625682E-5</v>
      </c>
      <c r="P2128">
        <v>2.0396408768162984E-5</v>
      </c>
    </row>
    <row r="2129" spans="1:16" hidden="1" x14ac:dyDescent="0.35">
      <c r="A2129" s="3">
        <f xml:space="preserve"> ROW( data_scaledImpacts[[#This Row],[row_id]] ) - ROW( data_scaledImpacts[[#Headers],[row_id]] )</f>
        <v>2128</v>
      </c>
      <c r="B2129" s="41" t="str">
        <f xml:space="preserve"> _xlfn.TEXTJOIN( "", , data_scaledImpacts[[#This Row],[sector]:[impactType]] )</f>
        <v>ValleyFeverCCSM41N/AMortality</v>
      </c>
      <c r="C2129" s="33" t="s">
        <v>978</v>
      </c>
      <c r="D2129" s="33" t="s">
        <v>1</v>
      </c>
      <c r="E2129" s="34">
        <v>1</v>
      </c>
      <c r="F2129" s="34"/>
      <c r="G2129" s="34" t="s">
        <v>201</v>
      </c>
      <c r="H2129" s="35" t="s">
        <v>768</v>
      </c>
      <c r="I2129" s="43" t="s">
        <v>36</v>
      </c>
      <c r="J2129" s="36">
        <v>0</v>
      </c>
      <c r="K2129" s="36">
        <v>2.0338042636917515E-10</v>
      </c>
      <c r="L2129" s="37">
        <v>9.1177976703645665E-8</v>
      </c>
      <c r="M2129" s="36">
        <v>2.2179482455873038E-6</v>
      </c>
      <c r="N2129" s="36">
        <v>1.2877562474731193E-8</v>
      </c>
      <c r="O2129" s="36">
        <v>2.1033810758164977E-5</v>
      </c>
      <c r="P2129">
        <v>1.7292304043460544E-5</v>
      </c>
    </row>
    <row r="2130" spans="1:16" hidden="1" x14ac:dyDescent="0.35">
      <c r="A2130" s="3">
        <f xml:space="preserve"> ROW( data_scaledImpacts[[#This Row],[row_id]] ) - ROW( data_scaledImpacts[[#Headers],[row_id]] )</f>
        <v>2129</v>
      </c>
      <c r="B2130" s="41" t="str">
        <f xml:space="preserve"> _xlfn.TEXTJOIN( "", , data_scaledImpacts[[#This Row],[sector]:[impactType]] )</f>
        <v>ValleyFeverGISS-E2-R1N/AMortality</v>
      </c>
      <c r="C2130" s="33" t="s">
        <v>978</v>
      </c>
      <c r="D2130" s="33" t="s">
        <v>2</v>
      </c>
      <c r="E2130" s="34">
        <v>1</v>
      </c>
      <c r="F2130" s="34"/>
      <c r="G2130" s="34" t="s">
        <v>201</v>
      </c>
      <c r="H2130" s="35" t="s">
        <v>768</v>
      </c>
      <c r="I2130" s="43" t="s">
        <v>37</v>
      </c>
      <c r="J2130" s="36">
        <v>0</v>
      </c>
      <c r="K2130" s="36">
        <v>1.1586970088666762E-9</v>
      </c>
      <c r="L2130" s="37">
        <v>1.6764283531861511E-8</v>
      </c>
      <c r="M2130" s="36">
        <v>2.2593567479627853E-6</v>
      </c>
      <c r="N2130" s="36">
        <v>2.4860151054675428E-8</v>
      </c>
      <c r="O2130" s="36">
        <v>3.4145847351445059E-5</v>
      </c>
      <c r="P2130">
        <v>1.66827676820455E-5</v>
      </c>
    </row>
    <row r="2131" spans="1:16" hidden="1" x14ac:dyDescent="0.35">
      <c r="A2131" s="3">
        <f xml:space="preserve"> ROW( data_scaledImpacts[[#This Row],[row_id]] ) - ROW( data_scaledImpacts[[#Headers],[row_id]] )</f>
        <v>2130</v>
      </c>
      <c r="B2131" s="41" t="str">
        <f xml:space="preserve"> _xlfn.TEXTJOIN( "", , data_scaledImpacts[[#This Row],[sector]:[impactType]] )</f>
        <v>ValleyFeverHadGEM2-ES1N/AMortality</v>
      </c>
      <c r="C2131" s="33" t="s">
        <v>978</v>
      </c>
      <c r="D2131" s="33" t="s">
        <v>3</v>
      </c>
      <c r="E2131" s="34">
        <v>1</v>
      </c>
      <c r="F2131" s="34"/>
      <c r="G2131" s="34" t="s">
        <v>201</v>
      </c>
      <c r="H2131" s="35" t="s">
        <v>768</v>
      </c>
      <c r="I2131" s="43" t="s">
        <v>38</v>
      </c>
      <c r="J2131" s="36">
        <v>0</v>
      </c>
      <c r="K2131" s="36">
        <v>1.0497321356520297E-10</v>
      </c>
      <c r="L2131" s="37">
        <v>8.6324565684496256E-8</v>
      </c>
      <c r="M2131" s="36">
        <v>3.007259337559659E-6</v>
      </c>
      <c r="N2131" s="36">
        <v>1.462451267934274E-8</v>
      </c>
      <c r="O2131" s="36">
        <v>2.8424095696431503E-5</v>
      </c>
      <c r="P2131">
        <v>1.8658822752565462E-5</v>
      </c>
    </row>
    <row r="2132" spans="1:16" hidden="1" x14ac:dyDescent="0.35">
      <c r="A2132" s="3">
        <f xml:space="preserve"> ROW( data_scaledImpacts[[#This Row],[row_id]] ) - ROW( data_scaledImpacts[[#Headers],[row_id]] )</f>
        <v>2131</v>
      </c>
      <c r="B2132" s="41" t="str">
        <f xml:space="preserve"> _xlfn.TEXTJOIN( "", , data_scaledImpacts[[#This Row],[sector]:[impactType]] )</f>
        <v>ValleyFeverMIROC51N/AMortality</v>
      </c>
      <c r="C2132" s="33" t="s">
        <v>978</v>
      </c>
      <c r="D2132" s="33" t="s">
        <v>4</v>
      </c>
      <c r="E2132" s="34">
        <v>1</v>
      </c>
      <c r="F2132" s="34"/>
      <c r="G2132" s="34" t="s">
        <v>201</v>
      </c>
      <c r="H2132" s="35" t="s">
        <v>768</v>
      </c>
      <c r="I2132" s="43" t="s">
        <v>39</v>
      </c>
      <c r="J2132" s="36">
        <v>0</v>
      </c>
      <c r="K2132" s="36">
        <v>1.7909209097259567E-9</v>
      </c>
      <c r="L2132" s="37">
        <v>2.3073450814574692E-7</v>
      </c>
      <c r="M2132" s="36">
        <v>2.746354078389496E-6</v>
      </c>
      <c r="N2132" s="36">
        <v>1.7335527912008069E-8</v>
      </c>
      <c r="O2132" s="36">
        <v>3.2659632265576077E-5</v>
      </c>
      <c r="P2132">
        <v>2.1030618003018562E-5</v>
      </c>
    </row>
    <row r="2133" spans="1:16" hidden="1" x14ac:dyDescent="0.35">
      <c r="A2133" s="3">
        <f xml:space="preserve"> ROW( data_scaledImpacts[[#This Row],[row_id]] ) - ROW( data_scaledImpacts[[#Headers],[row_id]] )</f>
        <v>2132</v>
      </c>
      <c r="B2133" s="41" t="str">
        <f xml:space="preserve"> _xlfn.TEXTJOIN( "", , data_scaledImpacts[[#This Row],[sector]:[impactType]] )</f>
        <v>ValleyFeverGFDL-CM31N/AMortality</v>
      </c>
      <c r="C2133" s="33" t="s">
        <v>978</v>
      </c>
      <c r="D2133" s="33" t="s">
        <v>5</v>
      </c>
      <c r="E2133" s="34">
        <v>1</v>
      </c>
      <c r="F2133" s="34"/>
      <c r="G2133" s="34" t="s">
        <v>201</v>
      </c>
      <c r="H2133" s="35" t="s">
        <v>768</v>
      </c>
      <c r="I2133" s="43" t="s">
        <v>40</v>
      </c>
      <c r="J2133" s="36">
        <v>0</v>
      </c>
      <c r="K2133" s="36">
        <v>1.6609583160989627E-9</v>
      </c>
      <c r="L2133" s="37">
        <v>1.1438274573042112E-8</v>
      </c>
      <c r="M2133" s="36">
        <v>2.4224875526561442E-6</v>
      </c>
      <c r="N2133" s="36">
        <v>1.6033410489421543E-8</v>
      </c>
      <c r="O2133" s="36">
        <v>2.5099731990627466E-5</v>
      </c>
      <c r="P2133">
        <v>2.042757350163548E-5</v>
      </c>
    </row>
    <row r="2134" spans="1:16" hidden="1" x14ac:dyDescent="0.35">
      <c r="A2134" s="3">
        <f xml:space="preserve"> ROW( data_scaledImpacts[[#This Row],[row_id]] ) - ROW( data_scaledImpacts[[#Headers],[row_id]] )</f>
        <v>2133</v>
      </c>
      <c r="B2134" s="41" t="str">
        <f xml:space="preserve"> _xlfn.TEXTJOIN( "", , data_scaledImpacts[[#This Row],[sector]:[impactType]] )</f>
        <v>ValleyFeverGCM Average1N/AMortality</v>
      </c>
      <c r="C2134" s="33" t="s">
        <v>978</v>
      </c>
      <c r="D2134" s="33" t="s">
        <v>15</v>
      </c>
      <c r="E2134" s="34">
        <v>1</v>
      </c>
      <c r="F2134" s="34"/>
      <c r="G2134" s="34" t="s">
        <v>201</v>
      </c>
      <c r="H2134" s="35" t="s">
        <v>768</v>
      </c>
      <c r="I2134" s="43" t="s">
        <v>41</v>
      </c>
      <c r="J2134" s="36">
        <v>0</v>
      </c>
      <c r="K2134" s="36">
        <v>1.1632442352493738E-9</v>
      </c>
      <c r="L2134" s="37">
        <v>8.2981977737864473E-8</v>
      </c>
      <c r="M2134" s="36">
        <v>2.619012462774512E-6</v>
      </c>
      <c r="N2134" s="36">
        <v>1.6692935891247758E-8</v>
      </c>
      <c r="O2134" s="36">
        <v>2.6729409536478454E-5</v>
      </c>
      <c r="P2134">
        <v>1.9081415791814755E-5</v>
      </c>
    </row>
    <row r="2135" spans="1:16" hidden="1" x14ac:dyDescent="0.35">
      <c r="A2135" s="3">
        <f xml:space="preserve"> ROW( data_scaledImpacts[[#This Row],[row_id]] ) - ROW( data_scaledImpacts[[#Headers],[row_id]] )</f>
        <v>2134</v>
      </c>
      <c r="B2135" s="41" t="str">
        <f xml:space="preserve"> _xlfn.TEXTJOIN( "", , data_scaledImpacts[[#This Row],[sector]:[impactType]] )</f>
        <v>ValleyFeverCanESM22N/AMortality</v>
      </c>
      <c r="C2135" s="33" t="s">
        <v>978</v>
      </c>
      <c r="D2135" s="33" t="s">
        <v>0</v>
      </c>
      <c r="E2135" s="34">
        <v>2</v>
      </c>
      <c r="F2135" s="34"/>
      <c r="G2135" s="34" t="s">
        <v>201</v>
      </c>
      <c r="H2135" s="35" t="s">
        <v>768</v>
      </c>
      <c r="I2135" s="43" t="s">
        <v>42</v>
      </c>
      <c r="J2135" s="36">
        <v>0</v>
      </c>
      <c r="K2135" s="36">
        <v>5.2201678295054649E-9</v>
      </c>
      <c r="L2135" s="37">
        <v>3.0888211857796711E-7</v>
      </c>
      <c r="M2135" s="36">
        <v>7.4773719789518172E-6</v>
      </c>
      <c r="N2135" s="36">
        <v>3.1738795769349678E-8</v>
      </c>
      <c r="O2135" s="36">
        <v>4.4184389996855999E-5</v>
      </c>
      <c r="P2135">
        <v>4.6973798505983434E-5</v>
      </c>
    </row>
    <row r="2136" spans="1:16" hidden="1" x14ac:dyDescent="0.35">
      <c r="A2136" s="3">
        <f xml:space="preserve"> ROW( data_scaledImpacts[[#This Row],[row_id]] ) - ROW( data_scaledImpacts[[#Headers],[row_id]] )</f>
        <v>2135</v>
      </c>
      <c r="B2136" s="41" t="str">
        <f xml:space="preserve"> _xlfn.TEXTJOIN( "", , data_scaledImpacts[[#This Row],[sector]:[impactType]] )</f>
        <v>ValleyFeverCCSM42N/AMortality</v>
      </c>
      <c r="C2136" s="33" t="s">
        <v>978</v>
      </c>
      <c r="D2136" s="33" t="s">
        <v>1</v>
      </c>
      <c r="E2136" s="34">
        <v>2</v>
      </c>
      <c r="F2136" s="34"/>
      <c r="G2136" s="34" t="s">
        <v>201</v>
      </c>
      <c r="H2136" s="35" t="s">
        <v>768</v>
      </c>
      <c r="I2136" s="43" t="s">
        <v>43</v>
      </c>
      <c r="J2136" s="36">
        <v>0</v>
      </c>
      <c r="K2136" s="36">
        <v>1.3054927022398511E-9</v>
      </c>
      <c r="L2136" s="37">
        <v>7.395448473139603E-7</v>
      </c>
      <c r="M2136" s="36">
        <v>6.2231768278954086E-6</v>
      </c>
      <c r="N2136" s="36">
        <v>2.8290642584465386E-8</v>
      </c>
      <c r="O2136" s="36">
        <v>4.9088769648944052E-5</v>
      </c>
      <c r="P2136">
        <v>4.3365671002602842E-5</v>
      </c>
    </row>
    <row r="2137" spans="1:16" hidden="1" x14ac:dyDescent="0.35">
      <c r="A2137" s="3">
        <f xml:space="preserve"> ROW( data_scaledImpacts[[#This Row],[row_id]] ) - ROW( data_scaledImpacts[[#Headers],[row_id]] )</f>
        <v>2136</v>
      </c>
      <c r="B2137" s="41" t="str">
        <f xml:space="preserve"> _xlfn.TEXTJOIN( "", , data_scaledImpacts[[#This Row],[sector]:[impactType]] )</f>
        <v>ValleyFeverGISS-E2-R2N/AMortality</v>
      </c>
      <c r="C2137" s="33" t="s">
        <v>978</v>
      </c>
      <c r="D2137" s="33" t="s">
        <v>2</v>
      </c>
      <c r="E2137" s="34">
        <v>2</v>
      </c>
      <c r="F2137" s="34"/>
      <c r="G2137" s="34" t="s">
        <v>201</v>
      </c>
      <c r="H2137" s="35" t="s">
        <v>768</v>
      </c>
      <c r="I2137" s="43" t="s">
        <v>44</v>
      </c>
      <c r="J2137" s="36">
        <v>0</v>
      </c>
      <c r="K2137" s="36">
        <v>4.6124215952532809E-9</v>
      </c>
      <c r="L2137" s="37">
        <v>3.1458742622198875E-7</v>
      </c>
      <c r="M2137" s="36">
        <v>4.1983349230694379E-6</v>
      </c>
      <c r="N2137" s="36">
        <v>2.9683660407122568E-8</v>
      </c>
      <c r="O2137" s="36">
        <v>4.7543044467741598E-5</v>
      </c>
      <c r="P2137">
        <v>4.5193973423335738E-5</v>
      </c>
    </row>
    <row r="2138" spans="1:16" hidden="1" x14ac:dyDescent="0.35">
      <c r="A2138" s="3">
        <f xml:space="preserve"> ROW( data_scaledImpacts[[#This Row],[row_id]] ) - ROW( data_scaledImpacts[[#Headers],[row_id]] )</f>
        <v>2137</v>
      </c>
      <c r="B2138" s="41" t="str">
        <f xml:space="preserve"> _xlfn.TEXTJOIN( "", , data_scaledImpacts[[#This Row],[sector]:[impactType]] )</f>
        <v>ValleyFeverHadGEM2-ES2N/AMortality</v>
      </c>
      <c r="C2138" s="33" t="s">
        <v>978</v>
      </c>
      <c r="D2138" s="33" t="s">
        <v>3</v>
      </c>
      <c r="E2138" s="34">
        <v>2</v>
      </c>
      <c r="F2138" s="34"/>
      <c r="G2138" s="34" t="s">
        <v>201</v>
      </c>
      <c r="H2138" s="35" t="s">
        <v>768</v>
      </c>
      <c r="I2138" s="43" t="s">
        <v>45</v>
      </c>
      <c r="J2138" s="36">
        <v>0</v>
      </c>
      <c r="K2138" s="36">
        <v>5.9393131972825703E-10</v>
      </c>
      <c r="L2138" s="37">
        <v>4.1524196369940361E-7</v>
      </c>
      <c r="M2138" s="36">
        <v>5.7562973176519881E-6</v>
      </c>
      <c r="N2138" s="36">
        <v>2.7083677349935147E-8</v>
      </c>
      <c r="O2138" s="36">
        <v>5.2508777157379682E-5</v>
      </c>
      <c r="P2138">
        <v>3.6209183553194581E-5</v>
      </c>
    </row>
    <row r="2139" spans="1:16" hidden="1" x14ac:dyDescent="0.35">
      <c r="A2139" s="3">
        <f xml:space="preserve"> ROW( data_scaledImpacts[[#This Row],[row_id]] ) - ROW( data_scaledImpacts[[#Headers],[row_id]] )</f>
        <v>2138</v>
      </c>
      <c r="B2139" s="41" t="str">
        <f xml:space="preserve"> _xlfn.TEXTJOIN( "", , data_scaledImpacts[[#This Row],[sector]:[impactType]] )</f>
        <v>ValleyFeverMIROC52N/AMortality</v>
      </c>
      <c r="C2139" s="33" t="s">
        <v>978</v>
      </c>
      <c r="D2139" s="33" t="s">
        <v>4</v>
      </c>
      <c r="E2139" s="34">
        <v>2</v>
      </c>
      <c r="F2139" s="34"/>
      <c r="G2139" s="34" t="s">
        <v>201</v>
      </c>
      <c r="H2139" s="35" t="s">
        <v>768</v>
      </c>
      <c r="I2139" s="43" t="s">
        <v>46</v>
      </c>
      <c r="J2139" s="36">
        <v>0</v>
      </c>
      <c r="K2139" s="36">
        <v>3.7161935171391253E-9</v>
      </c>
      <c r="L2139" s="37">
        <v>7.5385239936214259E-7</v>
      </c>
      <c r="M2139" s="36">
        <v>4.8806594388826627E-6</v>
      </c>
      <c r="N2139" s="36">
        <v>2.818984792227778E-8</v>
      </c>
      <c r="O2139" s="36">
        <v>5.2659947709662108E-5</v>
      </c>
      <c r="P2139">
        <v>3.9211908603645143E-5</v>
      </c>
    </row>
    <row r="2140" spans="1:16" hidden="1" x14ac:dyDescent="0.35">
      <c r="A2140" s="3">
        <f xml:space="preserve"> ROW( data_scaledImpacts[[#This Row],[row_id]] ) - ROW( data_scaledImpacts[[#Headers],[row_id]] )</f>
        <v>2139</v>
      </c>
      <c r="B2140" s="41" t="str">
        <f xml:space="preserve"> _xlfn.TEXTJOIN( "", , data_scaledImpacts[[#This Row],[sector]:[impactType]] )</f>
        <v>ValleyFeverGFDL-CM32N/AMortality</v>
      </c>
      <c r="C2140" s="33" t="s">
        <v>978</v>
      </c>
      <c r="D2140" s="33" t="s">
        <v>5</v>
      </c>
      <c r="E2140" s="34">
        <v>2</v>
      </c>
      <c r="F2140" s="34"/>
      <c r="G2140" s="34" t="s">
        <v>201</v>
      </c>
      <c r="H2140" s="35" t="s">
        <v>768</v>
      </c>
      <c r="I2140" s="43" t="s">
        <v>47</v>
      </c>
      <c r="J2140" s="36">
        <v>0</v>
      </c>
      <c r="K2140" s="36">
        <v>3.9221843290241707E-9</v>
      </c>
      <c r="L2140" s="37">
        <v>1.2036446468110639E-7</v>
      </c>
      <c r="M2140" s="36">
        <v>5.2162471593966873E-6</v>
      </c>
      <c r="N2140" s="36">
        <v>3.1112235081277344E-8</v>
      </c>
      <c r="O2140" s="36">
        <v>4.9296571239533544E-5</v>
      </c>
      <c r="P2140">
        <v>4.4577212896450222E-5</v>
      </c>
    </row>
    <row r="2141" spans="1:16" hidden="1" x14ac:dyDescent="0.35">
      <c r="A2141" s="3">
        <f xml:space="preserve"> ROW( data_scaledImpacts[[#This Row],[row_id]] ) - ROW( data_scaledImpacts[[#Headers],[row_id]] )</f>
        <v>2140</v>
      </c>
      <c r="B2141" s="41" t="str">
        <f xml:space="preserve"> _xlfn.TEXTJOIN( "", , data_scaledImpacts[[#This Row],[sector]:[impactType]] )</f>
        <v>ValleyFeverGCM Average2N/AMortality</v>
      </c>
      <c r="C2141" s="33" t="s">
        <v>978</v>
      </c>
      <c r="D2141" s="33" t="s">
        <v>15</v>
      </c>
      <c r="E2141" s="34">
        <v>2</v>
      </c>
      <c r="F2141" s="34"/>
      <c r="G2141" s="34" t="s">
        <v>201</v>
      </c>
      <c r="H2141" s="35" t="s">
        <v>768</v>
      </c>
      <c r="I2141" s="43" t="s">
        <v>48</v>
      </c>
      <c r="J2141" s="36">
        <v>0</v>
      </c>
      <c r="K2141" s="36">
        <v>3.2283985488150254E-9</v>
      </c>
      <c r="L2141" s="37">
        <v>4.420788699760948E-7</v>
      </c>
      <c r="M2141" s="36">
        <v>5.6253479409746673E-6</v>
      </c>
      <c r="N2141" s="36">
        <v>2.9349809852404648E-8</v>
      </c>
      <c r="O2141" s="36">
        <v>4.9213583370019492E-5</v>
      </c>
      <c r="P2141">
        <v>4.258862466420199E-5</v>
      </c>
    </row>
    <row r="2142" spans="1:16" hidden="1" x14ac:dyDescent="0.35">
      <c r="A2142" s="3">
        <f xml:space="preserve"> ROW( data_scaledImpacts[[#This Row],[row_id]] ) - ROW( data_scaledImpacts[[#Headers],[row_id]] )</f>
        <v>2141</v>
      </c>
      <c r="B2142" s="41" t="str">
        <f xml:space="preserve"> _xlfn.TEXTJOIN( "", , data_scaledImpacts[[#This Row],[sector]:[impactType]] )</f>
        <v>ValleyFeverCanESM23N/AMortality</v>
      </c>
      <c r="C2142" s="33" t="s">
        <v>978</v>
      </c>
      <c r="D2142" s="33" t="s">
        <v>0</v>
      </c>
      <c r="E2142" s="34">
        <v>3</v>
      </c>
      <c r="F2142" s="34"/>
      <c r="G2142" s="34" t="s">
        <v>201</v>
      </c>
      <c r="H2142" s="35" t="s">
        <v>768</v>
      </c>
      <c r="I2142" s="43" t="s">
        <v>49</v>
      </c>
      <c r="J2142" s="36">
        <v>0</v>
      </c>
      <c r="K2142" s="36">
        <v>8.6378058665089777E-9</v>
      </c>
      <c r="L2142" s="37">
        <v>1.2480352575137645E-6</v>
      </c>
      <c r="M2142" s="36">
        <v>1.1394388868830586E-5</v>
      </c>
      <c r="N2142" s="36">
        <v>3.3930583754934232E-8</v>
      </c>
      <c r="O2142" s="36">
        <v>5.725950109381169E-5</v>
      </c>
      <c r="P2142">
        <v>5.7604868717529064E-5</v>
      </c>
    </row>
    <row r="2143" spans="1:16" hidden="1" x14ac:dyDescent="0.35">
      <c r="A2143" s="3">
        <f xml:space="preserve"> ROW( data_scaledImpacts[[#This Row],[row_id]] ) - ROW( data_scaledImpacts[[#Headers],[row_id]] )</f>
        <v>2142</v>
      </c>
      <c r="B2143" s="41" t="str">
        <f xml:space="preserve"> _xlfn.TEXTJOIN( "", , data_scaledImpacts[[#This Row],[sector]:[impactType]] )</f>
        <v>ValleyFeverCCSM43N/AMortality</v>
      </c>
      <c r="C2143" s="33" t="s">
        <v>978</v>
      </c>
      <c r="D2143" s="33" t="s">
        <v>1</v>
      </c>
      <c r="E2143" s="34">
        <v>3</v>
      </c>
      <c r="F2143" s="34"/>
      <c r="G2143" s="34" t="s">
        <v>201</v>
      </c>
      <c r="H2143" s="35" t="s">
        <v>768</v>
      </c>
      <c r="I2143" s="43" t="s">
        <v>50</v>
      </c>
      <c r="J2143" s="36">
        <v>0</v>
      </c>
      <c r="K2143" s="36">
        <v>4.9493547487686721E-9</v>
      </c>
      <c r="L2143" s="37">
        <v>3.0203297305328165E-6</v>
      </c>
      <c r="M2143" s="36">
        <v>1.0800804198705362E-5</v>
      </c>
      <c r="N2143" s="36">
        <v>2.9347028477089604E-8</v>
      </c>
      <c r="O2143" s="36">
        <v>5.5246750728997006E-5</v>
      </c>
      <c r="P2143">
        <v>6.5913668719440449E-5</v>
      </c>
    </row>
    <row r="2144" spans="1:16" hidden="1" x14ac:dyDescent="0.35">
      <c r="A2144" s="3">
        <f xml:space="preserve"> ROW( data_scaledImpacts[[#This Row],[row_id]] ) - ROW( data_scaledImpacts[[#Headers],[row_id]] )</f>
        <v>2143</v>
      </c>
      <c r="B2144" s="41" t="str">
        <f xml:space="preserve"> _xlfn.TEXTJOIN( "", , data_scaledImpacts[[#This Row],[sector]:[impactType]] )</f>
        <v>ValleyFeverGISS-E2-R3N/AMortality</v>
      </c>
      <c r="C2144" s="33" t="s">
        <v>978</v>
      </c>
      <c r="D2144" s="33" t="s">
        <v>2</v>
      </c>
      <c r="E2144" s="34">
        <v>3</v>
      </c>
      <c r="F2144" s="34"/>
      <c r="G2144" s="34" t="s">
        <v>201</v>
      </c>
      <c r="H2144" s="35" t="s">
        <v>768</v>
      </c>
      <c r="I2144" s="43" t="s">
        <v>51</v>
      </c>
      <c r="J2144" s="36">
        <v>0</v>
      </c>
      <c r="K2144" s="36">
        <v>6.5068618806773262E-9</v>
      </c>
      <c r="L2144" s="37">
        <v>1.6117580964002866E-6</v>
      </c>
      <c r="M2144" s="36">
        <v>7.6828082941361014E-6</v>
      </c>
      <c r="N2144" s="36">
        <v>3.1365083326471439E-8</v>
      </c>
      <c r="O2144" s="36">
        <v>5.4445495218719728E-5</v>
      </c>
      <c r="P2144">
        <v>7.169098163947492E-5</v>
      </c>
    </row>
    <row r="2145" spans="1:16" hidden="1" x14ac:dyDescent="0.35">
      <c r="A2145" s="3">
        <f xml:space="preserve"> ROW( data_scaledImpacts[[#This Row],[row_id]] ) - ROW( data_scaledImpacts[[#Headers],[row_id]] )</f>
        <v>2144</v>
      </c>
      <c r="B2145" s="41" t="str">
        <f xml:space="preserve"> _xlfn.TEXTJOIN( "", , data_scaledImpacts[[#This Row],[sector]:[impactType]] )</f>
        <v>ValleyFeverHadGEM2-ES3N/AMortality</v>
      </c>
      <c r="C2145" s="33" t="s">
        <v>978</v>
      </c>
      <c r="D2145" s="33" t="s">
        <v>3</v>
      </c>
      <c r="E2145" s="34">
        <v>3</v>
      </c>
      <c r="F2145" s="34"/>
      <c r="G2145" s="34" t="s">
        <v>201</v>
      </c>
      <c r="H2145" s="35" t="s">
        <v>768</v>
      </c>
      <c r="I2145" s="43" t="s">
        <v>52</v>
      </c>
      <c r="J2145" s="36">
        <v>0</v>
      </c>
      <c r="K2145" s="36">
        <v>6.3787485928126381E-9</v>
      </c>
      <c r="L2145" s="37">
        <v>4.1186351924229308E-6</v>
      </c>
      <c r="M2145" s="36">
        <v>9.3555741581842817E-6</v>
      </c>
      <c r="N2145" s="36">
        <v>3.1488980210331084E-8</v>
      </c>
      <c r="O2145" s="36">
        <v>5.9186511694403129E-5</v>
      </c>
      <c r="P2145">
        <v>6.5650466809887237E-5</v>
      </c>
    </row>
    <row r="2146" spans="1:16" hidden="1" x14ac:dyDescent="0.35">
      <c r="A2146" s="3">
        <f xml:space="preserve"> ROW( data_scaledImpacts[[#This Row],[row_id]] ) - ROW( data_scaledImpacts[[#Headers],[row_id]] )</f>
        <v>2145</v>
      </c>
      <c r="B2146" s="41" t="str">
        <f xml:space="preserve"> _xlfn.TEXTJOIN( "", , data_scaledImpacts[[#This Row],[sector]:[impactType]] )</f>
        <v>ValleyFeverMIROC53N/AMortality</v>
      </c>
      <c r="C2146" s="33" t="s">
        <v>978</v>
      </c>
      <c r="D2146" s="33" t="s">
        <v>4</v>
      </c>
      <c r="E2146" s="34">
        <v>3</v>
      </c>
      <c r="F2146" s="34"/>
      <c r="G2146" s="34" t="s">
        <v>201</v>
      </c>
      <c r="H2146" s="35" t="s">
        <v>768</v>
      </c>
      <c r="I2146" s="43" t="s">
        <v>53</v>
      </c>
      <c r="J2146" s="36">
        <v>1.1583368429737666E-8</v>
      </c>
      <c r="K2146" s="36">
        <v>8.3378100637736571E-9</v>
      </c>
      <c r="L2146" s="37">
        <v>4.4551025960278407E-6</v>
      </c>
      <c r="M2146" s="36">
        <v>7.7689499044010879E-6</v>
      </c>
      <c r="N2146" s="36">
        <v>3.243207021699133E-8</v>
      </c>
      <c r="O2146" s="36">
        <v>5.8610462968518302E-5</v>
      </c>
      <c r="P2146">
        <v>6.9339809260482067E-5</v>
      </c>
    </row>
    <row r="2147" spans="1:16" hidden="1" x14ac:dyDescent="0.35">
      <c r="A2147" s="3">
        <f xml:space="preserve"> ROW( data_scaledImpacts[[#This Row],[row_id]] ) - ROW( data_scaledImpacts[[#Headers],[row_id]] )</f>
        <v>2146</v>
      </c>
      <c r="B2147" s="41" t="str">
        <f xml:space="preserve"> _xlfn.TEXTJOIN( "", , data_scaledImpacts[[#This Row],[sector]:[impactType]] )</f>
        <v>ValleyFeverGFDL-CM33N/AMortality</v>
      </c>
      <c r="C2147" s="33" t="s">
        <v>978</v>
      </c>
      <c r="D2147" s="33" t="s">
        <v>5</v>
      </c>
      <c r="E2147" s="34">
        <v>3</v>
      </c>
      <c r="F2147" s="34"/>
      <c r="G2147" s="34" t="s">
        <v>201</v>
      </c>
      <c r="H2147" s="35" t="s">
        <v>768</v>
      </c>
      <c r="I2147" s="43" t="s">
        <v>54</v>
      </c>
      <c r="J2147" s="36">
        <v>0</v>
      </c>
      <c r="K2147" s="36">
        <v>8.7796555168195044E-9</v>
      </c>
      <c r="L2147" s="37">
        <v>9.5750382349301165E-7</v>
      </c>
      <c r="M2147" s="36">
        <v>9.2023633821798841E-6</v>
      </c>
      <c r="N2147" s="36">
        <v>3.4387966425499006E-8</v>
      </c>
      <c r="O2147" s="36">
        <v>5.8485247097115901E-5</v>
      </c>
      <c r="P2147">
        <v>7.9841514159845705E-5</v>
      </c>
    </row>
    <row r="2148" spans="1:16" hidden="1" x14ac:dyDescent="0.35">
      <c r="A2148" s="3">
        <f xml:space="preserve"> ROW( data_scaledImpacts[[#This Row],[row_id]] ) - ROW( data_scaledImpacts[[#Headers],[row_id]] )</f>
        <v>2147</v>
      </c>
      <c r="B2148" s="41" t="str">
        <f xml:space="preserve"> _xlfn.TEXTJOIN( "", , data_scaledImpacts[[#This Row],[sector]:[impactType]] )</f>
        <v>ValleyFeverGCM Average3N/AMortality</v>
      </c>
      <c r="C2148" s="33" t="s">
        <v>978</v>
      </c>
      <c r="D2148" s="33" t="s">
        <v>15</v>
      </c>
      <c r="E2148" s="34">
        <v>3</v>
      </c>
      <c r="F2148" s="34"/>
      <c r="G2148" s="34" t="s">
        <v>201</v>
      </c>
      <c r="H2148" s="35" t="s">
        <v>768</v>
      </c>
      <c r="I2148" s="43" t="s">
        <v>55</v>
      </c>
      <c r="J2148" s="36">
        <v>1.9305614049562777E-9</v>
      </c>
      <c r="K2148" s="36">
        <v>7.2650394448934627E-9</v>
      </c>
      <c r="L2148" s="37">
        <v>2.5685607827317747E-6</v>
      </c>
      <c r="M2148" s="36">
        <v>9.3674814677395499E-6</v>
      </c>
      <c r="N2148" s="36">
        <v>3.2158618735219451E-8</v>
      </c>
      <c r="O2148" s="36">
        <v>5.7205661466927624E-5</v>
      </c>
      <c r="P2148">
        <v>6.8340218217776571E-5</v>
      </c>
    </row>
    <row r="2149" spans="1:16" hidden="1" x14ac:dyDescent="0.35">
      <c r="A2149" s="3">
        <f xml:space="preserve"> ROW( data_scaledImpacts[[#This Row],[row_id]] ) - ROW( data_scaledImpacts[[#Headers],[row_id]] )</f>
        <v>2148</v>
      </c>
      <c r="B2149" s="41" t="str">
        <f xml:space="preserve"> _xlfn.TEXTJOIN( "", , data_scaledImpacts[[#This Row],[sector]:[impactType]] )</f>
        <v>ValleyFeverCanESM24N/AMortality</v>
      </c>
      <c r="C2149" s="33" t="s">
        <v>978</v>
      </c>
      <c r="D2149" s="33" t="s">
        <v>0</v>
      </c>
      <c r="E2149" s="34">
        <v>4</v>
      </c>
      <c r="F2149" s="34"/>
      <c r="G2149" s="34" t="s">
        <v>201</v>
      </c>
      <c r="H2149" s="35" t="s">
        <v>768</v>
      </c>
      <c r="I2149" s="43" t="s">
        <v>56</v>
      </c>
      <c r="J2149" s="36">
        <v>0</v>
      </c>
      <c r="K2149" s="36">
        <v>1.2196213777974697E-8</v>
      </c>
      <c r="L2149" s="37">
        <v>5.1140026710334787E-6</v>
      </c>
      <c r="M2149" s="36">
        <v>1.7281107243475272E-5</v>
      </c>
      <c r="N2149" s="36">
        <v>3.6283647199465875E-8</v>
      </c>
      <c r="O2149" s="36">
        <v>6.1870600813144179E-5</v>
      </c>
      <c r="P2149">
        <v>2.9566561269339708E-5</v>
      </c>
    </row>
    <row r="2150" spans="1:16" hidden="1" x14ac:dyDescent="0.35">
      <c r="A2150" s="3">
        <f xml:space="preserve"> ROW( data_scaledImpacts[[#This Row],[row_id]] ) - ROW( data_scaledImpacts[[#Headers],[row_id]] )</f>
        <v>2149</v>
      </c>
      <c r="B2150" s="41" t="str">
        <f xml:space="preserve"> _xlfn.TEXTJOIN( "", , data_scaledImpacts[[#This Row],[sector]:[impactType]] )</f>
        <v>ValleyFeverCCSM44N/AMortality</v>
      </c>
      <c r="C2150" s="33" t="s">
        <v>978</v>
      </c>
      <c r="D2150" s="33" t="s">
        <v>1</v>
      </c>
      <c r="E2150" s="34">
        <v>4</v>
      </c>
      <c r="F2150" s="34"/>
      <c r="G2150" s="34" t="s">
        <v>201</v>
      </c>
      <c r="H2150" s="35" t="s">
        <v>768</v>
      </c>
      <c r="I2150" s="43" t="s">
        <v>57</v>
      </c>
      <c r="J2150" s="36">
        <v>1.2185867622542608E-9</v>
      </c>
      <c r="K2150" s="36">
        <v>8.8457490837816067E-9</v>
      </c>
      <c r="L2150" s="37">
        <v>8.4913771150600409E-6</v>
      </c>
      <c r="M2150" s="36">
        <v>1.5229863798645011E-5</v>
      </c>
      <c r="N2150" s="36">
        <v>3.1699556872134554E-8</v>
      </c>
      <c r="O2150" s="36">
        <v>6.105589941641521E-5</v>
      </c>
      <c r="P2150">
        <v>8.8295220381971685E-5</v>
      </c>
    </row>
    <row r="2151" spans="1:16" hidden="1" x14ac:dyDescent="0.35">
      <c r="A2151" s="3">
        <f xml:space="preserve"> ROW( data_scaledImpacts[[#This Row],[row_id]] ) - ROW( data_scaledImpacts[[#Headers],[row_id]] )</f>
        <v>2150</v>
      </c>
      <c r="B2151" s="41" t="str">
        <f xml:space="preserve"> _xlfn.TEXTJOIN( "", , data_scaledImpacts[[#This Row],[sector]:[impactType]] )</f>
        <v>ValleyFeverGISS-E2-R4N/AMortality</v>
      </c>
      <c r="C2151" s="33" t="s">
        <v>978</v>
      </c>
      <c r="D2151" s="33" t="s">
        <v>2</v>
      </c>
      <c r="E2151" s="34">
        <v>4</v>
      </c>
      <c r="F2151" s="34"/>
      <c r="G2151" s="34" t="s">
        <v>201</v>
      </c>
      <c r="H2151" s="35" t="s">
        <v>768</v>
      </c>
      <c r="I2151" s="43" t="s">
        <v>58</v>
      </c>
      <c r="J2151" s="36"/>
      <c r="K2151" s="36"/>
      <c r="L2151" s="37"/>
      <c r="M2151" s="36"/>
      <c r="N2151" s="36"/>
      <c r="O2151" s="36"/>
    </row>
    <row r="2152" spans="1:16" hidden="1" x14ac:dyDescent="0.35">
      <c r="A2152" s="3">
        <f xml:space="preserve"> ROW( data_scaledImpacts[[#This Row],[row_id]] ) - ROW( data_scaledImpacts[[#Headers],[row_id]] )</f>
        <v>2151</v>
      </c>
      <c r="B2152" s="41" t="str">
        <f xml:space="preserve"> _xlfn.TEXTJOIN( "", , data_scaledImpacts[[#This Row],[sector]:[impactType]] )</f>
        <v>ValleyFeverHadGEM2-ES4N/AMortality</v>
      </c>
      <c r="C2152" s="33" t="s">
        <v>978</v>
      </c>
      <c r="D2152" s="33" t="s">
        <v>3</v>
      </c>
      <c r="E2152" s="34">
        <v>4</v>
      </c>
      <c r="F2152" s="34"/>
      <c r="G2152" s="34" t="s">
        <v>201</v>
      </c>
      <c r="H2152" s="35" t="s">
        <v>768</v>
      </c>
      <c r="I2152" s="43" t="s">
        <v>59</v>
      </c>
      <c r="J2152" s="36">
        <v>5.0582212214368762E-10</v>
      </c>
      <c r="K2152" s="36">
        <v>1.1505667936514886E-8</v>
      </c>
      <c r="L2152" s="37">
        <v>1.0965151475111982E-5</v>
      </c>
      <c r="M2152" s="36">
        <v>1.4212489859768877E-5</v>
      </c>
      <c r="N2152" s="36">
        <v>3.3882549127592575E-8</v>
      </c>
      <c r="O2152" s="36">
        <v>6.2956717819611692E-5</v>
      </c>
      <c r="P2152">
        <v>9.3019669436915486E-5</v>
      </c>
    </row>
    <row r="2153" spans="1:16" hidden="1" x14ac:dyDescent="0.35">
      <c r="A2153" s="3">
        <f xml:space="preserve"> ROW( data_scaledImpacts[[#This Row],[row_id]] ) - ROW( data_scaledImpacts[[#Headers],[row_id]] )</f>
        <v>2152</v>
      </c>
      <c r="B2153" s="41" t="str">
        <f xml:space="preserve"> _xlfn.TEXTJOIN( "", , data_scaledImpacts[[#This Row],[sector]:[impactType]] )</f>
        <v>ValleyFeverMIROC54N/AMortality</v>
      </c>
      <c r="C2153" s="33" t="s">
        <v>978</v>
      </c>
      <c r="D2153" s="33" t="s">
        <v>4</v>
      </c>
      <c r="E2153" s="34">
        <v>4</v>
      </c>
      <c r="F2153" s="34"/>
      <c r="G2153" s="34" t="s">
        <v>201</v>
      </c>
      <c r="H2153" s="35" t="s">
        <v>768</v>
      </c>
      <c r="I2153" s="43" t="s">
        <v>60</v>
      </c>
      <c r="J2153" s="36">
        <v>1.4033829075185502E-7</v>
      </c>
      <c r="K2153" s="36">
        <v>1.3543591325237682E-8</v>
      </c>
      <c r="L2153" s="37">
        <v>2.5812415609232125E-5</v>
      </c>
      <c r="M2153" s="36">
        <v>1.1402784327019148E-5</v>
      </c>
      <c r="N2153" s="36">
        <v>3.4514744905616756E-8</v>
      </c>
      <c r="O2153" s="36">
        <v>6.3280099835615026E-5</v>
      </c>
      <c r="P2153">
        <v>9.0720595456316726E-5</v>
      </c>
    </row>
    <row r="2154" spans="1:16" hidden="1" x14ac:dyDescent="0.35">
      <c r="A2154" s="3">
        <f xml:space="preserve"> ROW( data_scaledImpacts[[#This Row],[row_id]] ) - ROW( data_scaledImpacts[[#Headers],[row_id]] )</f>
        <v>2153</v>
      </c>
      <c r="B2154" s="41" t="str">
        <f xml:space="preserve"> _xlfn.TEXTJOIN( "", , data_scaledImpacts[[#This Row],[sector]:[impactType]] )</f>
        <v>ValleyFeverGFDL-CM34N/AMortality</v>
      </c>
      <c r="C2154" s="33" t="s">
        <v>978</v>
      </c>
      <c r="D2154" s="33" t="s">
        <v>5</v>
      </c>
      <c r="E2154" s="34">
        <v>4</v>
      </c>
      <c r="F2154" s="34"/>
      <c r="G2154" s="34" t="s">
        <v>201</v>
      </c>
      <c r="H2154" s="35" t="s">
        <v>768</v>
      </c>
      <c r="I2154" s="43" t="s">
        <v>61</v>
      </c>
      <c r="J2154" s="36">
        <v>0</v>
      </c>
      <c r="K2154" s="36">
        <v>1.2337074994189581E-8</v>
      </c>
      <c r="L2154" s="37">
        <v>3.6445455186251062E-6</v>
      </c>
      <c r="M2154" s="36">
        <v>1.380001151177274E-5</v>
      </c>
      <c r="N2154" s="36">
        <v>3.7063605143984077E-8</v>
      </c>
      <c r="O2154" s="36">
        <v>6.8094692571661887E-5</v>
      </c>
      <c r="P2154">
        <v>9.7300491472555571E-5</v>
      </c>
    </row>
    <row r="2155" spans="1:16" hidden="1" x14ac:dyDescent="0.35">
      <c r="A2155" s="3">
        <f xml:space="preserve"> ROW( data_scaledImpacts[[#This Row],[row_id]] ) - ROW( data_scaledImpacts[[#Headers],[row_id]] )</f>
        <v>2154</v>
      </c>
      <c r="B2155" s="41" t="str">
        <f xml:space="preserve"> _xlfn.TEXTJOIN( "", , data_scaledImpacts[[#This Row],[sector]:[impactType]] )</f>
        <v>ValleyFeverGCM Average4N/AMortality</v>
      </c>
      <c r="C2155" s="33" t="s">
        <v>978</v>
      </c>
      <c r="D2155" s="33" t="s">
        <v>15</v>
      </c>
      <c r="E2155" s="34">
        <v>4</v>
      </c>
      <c r="F2155" s="34"/>
      <c r="G2155" s="34" t="s">
        <v>201</v>
      </c>
      <c r="H2155" s="35" t="s">
        <v>768</v>
      </c>
      <c r="I2155" s="43" t="s">
        <v>62</v>
      </c>
      <c r="J2155" s="36">
        <v>2.8412539927250593E-8</v>
      </c>
      <c r="K2155" s="36">
        <v>1.1685659423539689E-8</v>
      </c>
      <c r="L2155" s="37">
        <v>1.0805498477812547E-5</v>
      </c>
      <c r="M2155" s="36">
        <v>1.4385251348136212E-5</v>
      </c>
      <c r="N2155" s="36">
        <v>3.4688820649758765E-8</v>
      </c>
      <c r="O2155" s="36">
        <v>6.3451602091289599E-5</v>
      </c>
      <c r="P2155">
        <v>7.9780507603419826E-5</v>
      </c>
    </row>
    <row r="2156" spans="1:16" hidden="1" x14ac:dyDescent="0.35">
      <c r="A2156" s="3">
        <f xml:space="preserve"> ROW( data_scaledImpacts[[#This Row],[row_id]] ) - ROW( data_scaledImpacts[[#Headers],[row_id]] )</f>
        <v>2155</v>
      </c>
      <c r="B2156" s="41" t="str">
        <f xml:space="preserve"> _xlfn.TEXTJOIN( "", , data_scaledImpacts[[#This Row],[sector]:[impactType]] )</f>
        <v>ValleyFeverCanESM25N/AMortality</v>
      </c>
      <c r="C2156" s="33" t="s">
        <v>978</v>
      </c>
      <c r="D2156" s="33" t="s">
        <v>0</v>
      </c>
      <c r="E2156" s="34">
        <v>5</v>
      </c>
      <c r="F2156" s="34"/>
      <c r="G2156" s="34" t="s">
        <v>201</v>
      </c>
      <c r="H2156" s="35" t="s">
        <v>768</v>
      </c>
      <c r="I2156" s="43" t="s">
        <v>63</v>
      </c>
      <c r="J2156" s="36">
        <v>0</v>
      </c>
      <c r="K2156" s="36">
        <v>1.5918444477192789E-8</v>
      </c>
      <c r="L2156" s="37">
        <v>1.2582678912291549E-5</v>
      </c>
      <c r="M2156" s="36">
        <v>2.4174299845160927E-5</v>
      </c>
      <c r="N2156" s="36">
        <v>3.8412568251848792E-8</v>
      </c>
      <c r="O2156" s="36">
        <v>6.6157826880883762E-5</v>
      </c>
      <c r="P2156">
        <v>1.3315183818184507E-5</v>
      </c>
    </row>
    <row r="2157" spans="1:16" hidden="1" x14ac:dyDescent="0.35">
      <c r="A2157" s="3">
        <f xml:space="preserve"> ROW( data_scaledImpacts[[#This Row],[row_id]] ) - ROW( data_scaledImpacts[[#Headers],[row_id]] )</f>
        <v>2156</v>
      </c>
      <c r="B2157" s="41" t="str">
        <f xml:space="preserve"> _xlfn.TEXTJOIN( "", , data_scaledImpacts[[#This Row],[sector]:[impactType]] )</f>
        <v>ValleyFeverCCSM45N/AMortality</v>
      </c>
      <c r="C2157" s="33" t="s">
        <v>978</v>
      </c>
      <c r="D2157" s="33" t="s">
        <v>1</v>
      </c>
      <c r="E2157" s="34">
        <v>5</v>
      </c>
      <c r="F2157" s="34"/>
      <c r="G2157" s="34" t="s">
        <v>201</v>
      </c>
      <c r="H2157" s="35" t="s">
        <v>768</v>
      </c>
      <c r="I2157" s="43" t="s">
        <v>64</v>
      </c>
      <c r="J2157" s="36">
        <v>3.6557602867627824E-9</v>
      </c>
      <c r="K2157" s="36">
        <v>1.1638161220917697E-8</v>
      </c>
      <c r="L2157" s="37">
        <v>1.6310070814921951E-5</v>
      </c>
      <c r="M2157" s="36">
        <v>1.9124016118013159E-5</v>
      </c>
      <c r="N2157" s="36">
        <v>3.4371523637450972E-8</v>
      </c>
      <c r="O2157" s="36">
        <v>7.1591358341932258E-5</v>
      </c>
      <c r="P2157">
        <v>1.0308518943975511E-4</v>
      </c>
    </row>
    <row r="2158" spans="1:16" hidden="1" x14ac:dyDescent="0.35">
      <c r="A2158" s="3">
        <f xml:space="preserve"> ROW( data_scaledImpacts[[#This Row],[row_id]] ) - ROW( data_scaledImpacts[[#Headers],[row_id]] )</f>
        <v>2157</v>
      </c>
      <c r="B2158" s="41" t="str">
        <f xml:space="preserve"> _xlfn.TEXTJOIN( "", , data_scaledImpacts[[#This Row],[sector]:[impactType]] )</f>
        <v>ValleyFeverGISS-E2-R5N/AMortality</v>
      </c>
      <c r="C2158" s="33" t="s">
        <v>978</v>
      </c>
      <c r="D2158" s="33" t="s">
        <v>2</v>
      </c>
      <c r="E2158" s="34">
        <v>5</v>
      </c>
      <c r="F2158" s="34"/>
      <c r="G2158" s="34" t="s">
        <v>201</v>
      </c>
      <c r="H2158" s="35" t="s">
        <v>768</v>
      </c>
      <c r="I2158" s="43" t="s">
        <v>65</v>
      </c>
      <c r="J2158" s="36"/>
      <c r="K2158" s="36"/>
      <c r="L2158" s="37"/>
      <c r="M2158" s="36"/>
      <c r="N2158" s="36"/>
      <c r="O2158" s="36"/>
    </row>
    <row r="2159" spans="1:16" hidden="1" x14ac:dyDescent="0.35">
      <c r="A2159" s="3">
        <f xml:space="preserve"> ROW( data_scaledImpacts[[#This Row],[row_id]] ) - ROW( data_scaledImpacts[[#Headers],[row_id]] )</f>
        <v>2158</v>
      </c>
      <c r="B2159" s="41" t="str">
        <f xml:space="preserve"> _xlfn.TEXTJOIN( "", , data_scaledImpacts[[#This Row],[sector]:[impactType]] )</f>
        <v>ValleyFeverHadGEM2-ES5N/AMortality</v>
      </c>
      <c r="C2159" s="33" t="s">
        <v>978</v>
      </c>
      <c r="D2159" s="33" t="s">
        <v>3</v>
      </c>
      <c r="E2159" s="34">
        <v>5</v>
      </c>
      <c r="F2159" s="34"/>
      <c r="G2159" s="34" t="s">
        <v>201</v>
      </c>
      <c r="H2159" s="35" t="s">
        <v>768</v>
      </c>
      <c r="I2159" s="43" t="s">
        <v>66</v>
      </c>
      <c r="J2159" s="36">
        <v>1.4163019420023254E-9</v>
      </c>
      <c r="K2159" s="36">
        <v>1.5970833661071272E-8</v>
      </c>
      <c r="L2159" s="37">
        <v>2.0241134769752753E-5</v>
      </c>
      <c r="M2159" s="36">
        <v>2.0248669921218488E-5</v>
      </c>
      <c r="N2159" s="36">
        <v>3.5836243178279119E-8</v>
      </c>
      <c r="O2159" s="36">
        <v>6.6721066225380527E-5</v>
      </c>
      <c r="P2159">
        <v>1.1962782246964436E-4</v>
      </c>
    </row>
    <row r="2160" spans="1:16" hidden="1" x14ac:dyDescent="0.35">
      <c r="A2160" s="3">
        <f xml:space="preserve"> ROW( data_scaledImpacts[[#This Row],[row_id]] ) - ROW( data_scaledImpacts[[#Headers],[row_id]] )</f>
        <v>2159</v>
      </c>
      <c r="B2160" s="41" t="str">
        <f xml:space="preserve"> _xlfn.TEXTJOIN( "", , data_scaledImpacts[[#This Row],[sector]:[impactType]] )</f>
        <v>ValleyFeverMIROC55N/AMortality</v>
      </c>
      <c r="C2160" s="33" t="s">
        <v>978</v>
      </c>
      <c r="D2160" s="33" t="s">
        <v>4</v>
      </c>
      <c r="E2160" s="34">
        <v>5</v>
      </c>
      <c r="F2160" s="34"/>
      <c r="G2160" s="34" t="s">
        <v>201</v>
      </c>
      <c r="H2160" s="35" t="s">
        <v>768</v>
      </c>
      <c r="I2160" s="43" t="s">
        <v>67</v>
      </c>
      <c r="J2160" s="36">
        <v>9.926458130142951E-8</v>
      </c>
      <c r="K2160" s="36">
        <v>1.6364961369821218E-8</v>
      </c>
      <c r="L2160" s="37">
        <v>3.5590151665496835E-5</v>
      </c>
      <c r="M2160" s="36">
        <v>1.6075880580287722E-5</v>
      </c>
      <c r="N2160" s="36">
        <v>3.5889631528298979E-8</v>
      </c>
      <c r="O2160" s="36">
        <v>7.362352536614849E-5</v>
      </c>
      <c r="P2160">
        <v>1.1426534681498814E-4</v>
      </c>
    </row>
    <row r="2161" spans="1:16" hidden="1" x14ac:dyDescent="0.35">
      <c r="A2161" s="3">
        <f xml:space="preserve"> ROW( data_scaledImpacts[[#This Row],[row_id]] ) - ROW( data_scaledImpacts[[#Headers],[row_id]] )</f>
        <v>2160</v>
      </c>
      <c r="B2161" s="41" t="str">
        <f xml:space="preserve"> _xlfn.TEXTJOIN( "", , data_scaledImpacts[[#This Row],[sector]:[impactType]] )</f>
        <v>ValleyFeverGFDL-CM35N/AMortality</v>
      </c>
      <c r="C2161" s="33" t="s">
        <v>978</v>
      </c>
      <c r="D2161" s="33" t="s">
        <v>5</v>
      </c>
      <c r="E2161" s="34">
        <v>5</v>
      </c>
      <c r="F2161" s="34"/>
      <c r="G2161" s="34" t="s">
        <v>201</v>
      </c>
      <c r="H2161" s="35" t="s">
        <v>768</v>
      </c>
      <c r="I2161" s="43" t="s">
        <v>68</v>
      </c>
      <c r="J2161" s="36">
        <v>0</v>
      </c>
      <c r="K2161" s="36">
        <v>1.5275851550786965E-8</v>
      </c>
      <c r="L2161" s="37">
        <v>7.0210976098671852E-6</v>
      </c>
      <c r="M2161" s="36">
        <v>1.8004446215528891E-5</v>
      </c>
      <c r="N2161" s="36">
        <v>3.927159468687374E-8</v>
      </c>
      <c r="O2161" s="36">
        <v>7.5629947159236313E-5</v>
      </c>
      <c r="P2161">
        <v>1.1437894198126306E-4</v>
      </c>
    </row>
    <row r="2162" spans="1:16" hidden="1" x14ac:dyDescent="0.35">
      <c r="A2162" s="3">
        <f xml:space="preserve"> ROW( data_scaledImpacts[[#This Row],[row_id]] ) - ROW( data_scaledImpacts[[#Headers],[row_id]] )</f>
        <v>2161</v>
      </c>
      <c r="B2162" s="41" t="str">
        <f xml:space="preserve"> _xlfn.TEXTJOIN( "", , data_scaledImpacts[[#This Row],[sector]:[impactType]] )</f>
        <v>ValleyFeverGCM Average5N/AMortality</v>
      </c>
      <c r="C2162" s="33" t="s">
        <v>978</v>
      </c>
      <c r="D2162" s="33" t="s">
        <v>15</v>
      </c>
      <c r="E2162" s="34">
        <v>5</v>
      </c>
      <c r="F2162" s="34"/>
      <c r="G2162" s="34" t="s">
        <v>201</v>
      </c>
      <c r="H2162" s="35" t="s">
        <v>768</v>
      </c>
      <c r="I2162" s="43" t="s">
        <v>69</v>
      </c>
      <c r="J2162" s="36">
        <v>2.0867328706038923E-8</v>
      </c>
      <c r="K2162" s="36">
        <v>1.5033650455957989E-8</v>
      </c>
      <c r="L2162" s="37">
        <v>1.8349026754466051E-5</v>
      </c>
      <c r="M2162" s="36">
        <v>1.9525462536041837E-5</v>
      </c>
      <c r="N2162" s="36">
        <v>3.6756312256550314E-8</v>
      </c>
      <c r="O2162" s="36">
        <v>7.074474479471627E-5</v>
      </c>
      <c r="P2162">
        <v>9.2934496904767037E-5</v>
      </c>
    </row>
    <row r="2163" spans="1:16" hidden="1" x14ac:dyDescent="0.35">
      <c r="A2163" s="3">
        <f xml:space="preserve"> ROW( data_scaledImpacts[[#This Row],[row_id]] ) - ROW( data_scaledImpacts[[#Headers],[row_id]] )</f>
        <v>2162</v>
      </c>
      <c r="B2163" s="41" t="str">
        <f xml:space="preserve"> _xlfn.TEXTJOIN( "", , data_scaledImpacts[[#This Row],[sector]:[impactType]] )</f>
        <v>ValleyFeverCanESM26N/AMortality</v>
      </c>
      <c r="C2163" s="33" t="s">
        <v>978</v>
      </c>
      <c r="D2163" s="33" t="s">
        <v>0</v>
      </c>
      <c r="E2163" s="34">
        <v>6</v>
      </c>
      <c r="F2163" s="34"/>
      <c r="G2163" s="34" t="s">
        <v>201</v>
      </c>
      <c r="H2163" s="35" t="s">
        <v>768</v>
      </c>
      <c r="I2163" s="43" t="s">
        <v>70</v>
      </c>
      <c r="J2163" s="36">
        <v>0</v>
      </c>
      <c r="K2163" s="36">
        <v>2.0026552760288661E-8</v>
      </c>
      <c r="L2163" s="37">
        <v>2.4742604799548999E-5</v>
      </c>
      <c r="M2163" s="36">
        <v>3.2261924165381119E-5</v>
      </c>
      <c r="N2163" s="36">
        <v>4.020600692793424E-8</v>
      </c>
      <c r="O2163" s="36">
        <v>7.2785854148873458E-5</v>
      </c>
      <c r="P2163">
        <v>2.5315048954886115E-5</v>
      </c>
    </row>
    <row r="2164" spans="1:16" hidden="1" x14ac:dyDescent="0.35">
      <c r="A2164" s="3">
        <f xml:space="preserve"> ROW( data_scaledImpacts[[#This Row],[row_id]] ) - ROW( data_scaledImpacts[[#Headers],[row_id]] )</f>
        <v>2163</v>
      </c>
      <c r="B2164" s="41" t="str">
        <f xml:space="preserve"> _xlfn.TEXTJOIN( "", , data_scaledImpacts[[#This Row],[sector]:[impactType]] )</f>
        <v>ValleyFeverCCSM46N/AMortality</v>
      </c>
      <c r="C2164" s="33" t="s">
        <v>978</v>
      </c>
      <c r="D2164" s="33" t="s">
        <v>1</v>
      </c>
      <c r="E2164" s="34">
        <v>6</v>
      </c>
      <c r="F2164" s="34"/>
      <c r="G2164" s="34" t="s">
        <v>201</v>
      </c>
      <c r="H2164" s="35" t="s">
        <v>768</v>
      </c>
      <c r="I2164" s="43" t="s">
        <v>71</v>
      </c>
      <c r="J2164" s="36"/>
      <c r="K2164" s="36"/>
      <c r="L2164" s="37"/>
      <c r="M2164" s="36"/>
      <c r="N2164" s="36"/>
      <c r="O2164" s="36"/>
    </row>
    <row r="2165" spans="1:16" hidden="1" x14ac:dyDescent="0.35">
      <c r="A2165" s="3">
        <f xml:space="preserve"> ROW( data_scaledImpacts[[#This Row],[row_id]] ) - ROW( data_scaledImpacts[[#Headers],[row_id]] )</f>
        <v>2164</v>
      </c>
      <c r="B2165" s="41" t="str">
        <f xml:space="preserve"> _xlfn.TEXTJOIN( "", , data_scaledImpacts[[#This Row],[sector]:[impactType]] )</f>
        <v>ValleyFeverGISS-E2-R6N/AMortality</v>
      </c>
      <c r="C2165" s="33" t="s">
        <v>978</v>
      </c>
      <c r="D2165" s="33" t="s">
        <v>2</v>
      </c>
      <c r="E2165" s="34">
        <v>6</v>
      </c>
      <c r="F2165" s="34"/>
      <c r="G2165" s="34" t="s">
        <v>201</v>
      </c>
      <c r="H2165" s="35" t="s">
        <v>768</v>
      </c>
      <c r="I2165" s="43" t="s">
        <v>72</v>
      </c>
      <c r="J2165" s="36"/>
      <c r="K2165" s="36"/>
      <c r="L2165" s="37"/>
      <c r="M2165" s="36"/>
      <c r="N2165" s="36"/>
      <c r="O2165" s="36"/>
    </row>
    <row r="2166" spans="1:16" hidden="1" x14ac:dyDescent="0.35">
      <c r="A2166" s="3">
        <f xml:space="preserve"> ROW( data_scaledImpacts[[#This Row],[row_id]] ) - ROW( data_scaledImpacts[[#Headers],[row_id]] )</f>
        <v>2165</v>
      </c>
      <c r="B2166" s="41" t="str">
        <f xml:space="preserve"> _xlfn.TEXTJOIN( "", , data_scaledImpacts[[#This Row],[sector]:[impactType]] )</f>
        <v>ValleyFeverHadGEM2-ES6N/AMortality</v>
      </c>
      <c r="C2166" s="33" t="s">
        <v>978</v>
      </c>
      <c r="D2166" s="33" t="s">
        <v>3</v>
      </c>
      <c r="E2166" s="34">
        <v>6</v>
      </c>
      <c r="F2166" s="34"/>
      <c r="G2166" s="34" t="s">
        <v>201</v>
      </c>
      <c r="H2166" s="35" t="s">
        <v>768</v>
      </c>
      <c r="I2166" s="43" t="s">
        <v>73</v>
      </c>
      <c r="J2166" s="36">
        <v>9.6173928714985694E-9</v>
      </c>
      <c r="K2166" s="36">
        <v>2.0228843973968016E-8</v>
      </c>
      <c r="L2166" s="37">
        <v>3.242417177330016E-5</v>
      </c>
      <c r="M2166" s="36">
        <v>2.8364971223157783E-5</v>
      </c>
      <c r="N2166" s="36">
        <v>3.8336374919415043E-8</v>
      </c>
      <c r="O2166" s="36">
        <v>7.1473279432939446E-5</v>
      </c>
      <c r="P2166">
        <v>1.4045409915974897E-4</v>
      </c>
    </row>
    <row r="2167" spans="1:16" hidden="1" x14ac:dyDescent="0.35">
      <c r="A2167" s="3">
        <f xml:space="preserve"> ROW( data_scaledImpacts[[#This Row],[row_id]] ) - ROW( data_scaledImpacts[[#Headers],[row_id]] )</f>
        <v>2166</v>
      </c>
      <c r="B2167" s="41" t="str">
        <f xml:space="preserve"> _xlfn.TEXTJOIN( "", , data_scaledImpacts[[#This Row],[sector]:[impactType]] )</f>
        <v>ValleyFeverMIROC56N/AMortality</v>
      </c>
      <c r="C2167" s="33" t="s">
        <v>978</v>
      </c>
      <c r="D2167" s="33" t="s">
        <v>4</v>
      </c>
      <c r="E2167" s="34">
        <v>6</v>
      </c>
      <c r="F2167" s="34"/>
      <c r="G2167" s="34" t="s">
        <v>201</v>
      </c>
      <c r="H2167" s="35" t="s">
        <v>768</v>
      </c>
      <c r="I2167" s="43" t="s">
        <v>74</v>
      </c>
      <c r="J2167" s="36"/>
      <c r="K2167" s="36"/>
      <c r="L2167" s="37"/>
      <c r="M2167" s="36"/>
      <c r="N2167" s="36"/>
      <c r="O2167" s="36"/>
    </row>
    <row r="2168" spans="1:16" hidden="1" x14ac:dyDescent="0.35">
      <c r="A2168" s="3">
        <f xml:space="preserve"> ROW( data_scaledImpacts[[#This Row],[row_id]] ) - ROW( data_scaledImpacts[[#Headers],[row_id]] )</f>
        <v>2167</v>
      </c>
      <c r="B2168" s="41" t="str">
        <f xml:space="preserve"> _xlfn.TEXTJOIN( "", , data_scaledImpacts[[#This Row],[sector]:[impactType]] )</f>
        <v>ValleyFeverGFDL-CM36N/AMortality</v>
      </c>
      <c r="C2168" s="33" t="s">
        <v>978</v>
      </c>
      <c r="D2168" s="33" t="s">
        <v>5</v>
      </c>
      <c r="E2168" s="34">
        <v>6</v>
      </c>
      <c r="F2168" s="34"/>
      <c r="G2168" s="34" t="s">
        <v>201</v>
      </c>
      <c r="H2168" s="35" t="s">
        <v>768</v>
      </c>
      <c r="I2168" s="43" t="s">
        <v>75</v>
      </c>
      <c r="J2168" s="36">
        <v>0</v>
      </c>
      <c r="K2168" s="36">
        <v>1.9760650216592864E-8</v>
      </c>
      <c r="L2168" s="37">
        <v>1.7384830463527483E-5</v>
      </c>
      <c r="M2168" s="36">
        <v>2.5227981485906563E-5</v>
      </c>
      <c r="N2168" s="36">
        <v>4.1985510631169723E-8</v>
      </c>
      <c r="O2168" s="36">
        <v>8.102235601383931E-5</v>
      </c>
      <c r="P2168">
        <v>1.6595713528511763E-4</v>
      </c>
    </row>
    <row r="2169" spans="1:16" hidden="1" x14ac:dyDescent="0.35">
      <c r="A2169" s="3">
        <f xml:space="preserve"> ROW( data_scaledImpacts[[#This Row],[row_id]] ) - ROW( data_scaledImpacts[[#Headers],[row_id]] )</f>
        <v>2168</v>
      </c>
      <c r="B2169" s="41" t="str">
        <f xml:space="preserve"> _xlfn.TEXTJOIN( "", , data_scaledImpacts[[#This Row],[sector]:[impactType]] )</f>
        <v>ValleyFeverGCM Average6N/AMortality</v>
      </c>
      <c r="C2169" s="33" t="s">
        <v>978</v>
      </c>
      <c r="D2169" s="33" t="s">
        <v>15</v>
      </c>
      <c r="E2169" s="34">
        <v>6</v>
      </c>
      <c r="F2169" s="34"/>
      <c r="G2169" s="34" t="s">
        <v>201</v>
      </c>
      <c r="H2169" s="35" t="s">
        <v>768</v>
      </c>
      <c r="I2169" s="43" t="s">
        <v>76</v>
      </c>
      <c r="J2169" s="36">
        <v>3.2057976238328563E-9</v>
      </c>
      <c r="K2169" s="36">
        <v>2.0005348983616515E-8</v>
      </c>
      <c r="L2169" s="37">
        <v>2.4850535678792212E-5</v>
      </c>
      <c r="M2169" s="36">
        <v>2.8618292291481823E-5</v>
      </c>
      <c r="N2169" s="36">
        <v>4.0175964159506333E-8</v>
      </c>
      <c r="O2169" s="36">
        <v>7.5093829865217418E-5</v>
      </c>
      <c r="P2169">
        <v>1.1057542779991758E-4</v>
      </c>
    </row>
    <row r="2170" spans="1:16" hidden="1" x14ac:dyDescent="0.35">
      <c r="A2170" s="3">
        <f xml:space="preserve"> ROW( data_scaledImpacts[[#This Row],[row_id]] ) - ROW( data_scaledImpacts[[#Headers],[row_id]] )</f>
        <v>2169</v>
      </c>
      <c r="B2170" s="41" t="str">
        <f xml:space="preserve"> _xlfn.TEXTJOIN( "", , data_scaledImpacts[[#This Row],[sector]:[impactType]] )</f>
        <v>ValleyFeverCanESM27N/AMortality</v>
      </c>
      <c r="C2170" s="33" t="s">
        <v>978</v>
      </c>
      <c r="D2170" s="33" t="s">
        <v>0</v>
      </c>
      <c r="E2170" s="34">
        <v>7</v>
      </c>
      <c r="F2170" s="34"/>
      <c r="G2170" s="34" t="s">
        <v>201</v>
      </c>
      <c r="H2170" s="35" t="s">
        <v>768</v>
      </c>
      <c r="I2170" s="43" t="s">
        <v>77</v>
      </c>
      <c r="J2170" s="36"/>
      <c r="K2170" s="36"/>
      <c r="L2170" s="37"/>
      <c r="M2170" s="36"/>
      <c r="N2170" s="36"/>
      <c r="O2170" s="36"/>
    </row>
    <row r="2171" spans="1:16" hidden="1" x14ac:dyDescent="0.35">
      <c r="A2171" s="3">
        <f xml:space="preserve"> ROW( data_scaledImpacts[[#This Row],[row_id]] ) - ROW( data_scaledImpacts[[#Headers],[row_id]] )</f>
        <v>2170</v>
      </c>
      <c r="B2171" s="41" t="str">
        <f xml:space="preserve"> _xlfn.TEXTJOIN( "", , data_scaledImpacts[[#This Row],[sector]:[impactType]] )</f>
        <v>ValleyFeverCCSM47N/AMortality</v>
      </c>
      <c r="C2171" s="33" t="s">
        <v>978</v>
      </c>
      <c r="D2171" s="33" t="s">
        <v>1</v>
      </c>
      <c r="E2171" s="34">
        <v>7</v>
      </c>
      <c r="F2171" s="34"/>
      <c r="G2171" s="34" t="s">
        <v>201</v>
      </c>
      <c r="H2171" s="35" t="s">
        <v>768</v>
      </c>
      <c r="I2171" s="43" t="s">
        <v>78</v>
      </c>
      <c r="J2171" s="36"/>
      <c r="K2171" s="36"/>
      <c r="L2171" s="37"/>
      <c r="M2171" s="36"/>
      <c r="N2171" s="36"/>
      <c r="O2171" s="36"/>
    </row>
    <row r="2172" spans="1:16" hidden="1" x14ac:dyDescent="0.35">
      <c r="A2172" s="3">
        <f xml:space="preserve"> ROW( data_scaledImpacts[[#This Row],[row_id]] ) - ROW( data_scaledImpacts[[#Headers],[row_id]] )</f>
        <v>2171</v>
      </c>
      <c r="B2172" s="41" t="str">
        <f xml:space="preserve"> _xlfn.TEXTJOIN( "", , data_scaledImpacts[[#This Row],[sector]:[impactType]] )</f>
        <v>ValleyFeverGISS-E2-R7N/AMortality</v>
      </c>
      <c r="C2172" s="33" t="s">
        <v>978</v>
      </c>
      <c r="D2172" s="33" t="s">
        <v>2</v>
      </c>
      <c r="E2172" s="34">
        <v>7</v>
      </c>
      <c r="F2172" s="34"/>
      <c r="G2172" s="34" t="s">
        <v>201</v>
      </c>
      <c r="H2172" s="35" t="s">
        <v>768</v>
      </c>
      <c r="I2172" s="43" t="s">
        <v>79</v>
      </c>
      <c r="J2172" s="36"/>
      <c r="K2172" s="36"/>
      <c r="L2172" s="37"/>
      <c r="M2172" s="36"/>
      <c r="N2172" s="36"/>
      <c r="O2172" s="36"/>
    </row>
    <row r="2173" spans="1:16" hidden="1" x14ac:dyDescent="0.35">
      <c r="A2173" s="3">
        <f xml:space="preserve"> ROW( data_scaledImpacts[[#This Row],[row_id]] ) - ROW( data_scaledImpacts[[#Headers],[row_id]] )</f>
        <v>2172</v>
      </c>
      <c r="B2173" s="41" t="str">
        <f xml:space="preserve"> _xlfn.TEXTJOIN( "", , data_scaledImpacts[[#This Row],[sector]:[impactType]] )</f>
        <v>ValleyFeverHadGEM2-ES7N/AMortality</v>
      </c>
      <c r="C2173" s="33" t="s">
        <v>978</v>
      </c>
      <c r="D2173" s="33" t="s">
        <v>3</v>
      </c>
      <c r="E2173" s="34">
        <v>7</v>
      </c>
      <c r="F2173" s="34"/>
      <c r="G2173" s="34" t="s">
        <v>201</v>
      </c>
      <c r="H2173" s="35" t="s">
        <v>768</v>
      </c>
      <c r="I2173" s="43" t="s">
        <v>80</v>
      </c>
      <c r="J2173" s="36"/>
      <c r="K2173" s="36"/>
      <c r="L2173" s="37"/>
      <c r="M2173" s="36"/>
      <c r="N2173" s="36"/>
      <c r="O2173" s="36"/>
    </row>
    <row r="2174" spans="1:16" hidden="1" x14ac:dyDescent="0.35">
      <c r="A2174" s="3">
        <f xml:space="preserve"> ROW( data_scaledImpacts[[#This Row],[row_id]] ) - ROW( data_scaledImpacts[[#Headers],[row_id]] )</f>
        <v>2173</v>
      </c>
      <c r="B2174" s="41" t="str">
        <f xml:space="preserve"> _xlfn.TEXTJOIN( "", , data_scaledImpacts[[#This Row],[sector]:[impactType]] )</f>
        <v>ValleyFeverMIROC57N/AMortality</v>
      </c>
      <c r="C2174" s="33" t="s">
        <v>978</v>
      </c>
      <c r="D2174" s="33" t="s">
        <v>4</v>
      </c>
      <c r="E2174" s="34">
        <v>7</v>
      </c>
      <c r="F2174" s="34"/>
      <c r="G2174" s="34" t="s">
        <v>201</v>
      </c>
      <c r="H2174" s="35" t="s">
        <v>768</v>
      </c>
      <c r="I2174" s="43" t="s">
        <v>81</v>
      </c>
      <c r="J2174" s="36"/>
      <c r="K2174" s="36"/>
      <c r="L2174" s="37"/>
      <c r="M2174" s="36"/>
      <c r="N2174" s="36"/>
      <c r="O2174" s="36"/>
    </row>
    <row r="2175" spans="1:16" hidden="1" x14ac:dyDescent="0.35">
      <c r="A2175" s="3">
        <f xml:space="preserve"> ROW( data_scaledImpacts[[#This Row],[row_id]] ) - ROW( data_scaledImpacts[[#Headers],[row_id]] )</f>
        <v>2174</v>
      </c>
      <c r="B2175" s="41" t="str">
        <f xml:space="preserve"> _xlfn.TEXTJOIN( "", , data_scaledImpacts[[#This Row],[sector]:[impactType]] )</f>
        <v>ValleyFeverGFDL-CM37N/AMortality</v>
      </c>
      <c r="C2175" s="33" t="s">
        <v>978</v>
      </c>
      <c r="D2175" s="33" t="s">
        <v>5</v>
      </c>
      <c r="E2175" s="34">
        <v>7</v>
      </c>
      <c r="F2175" s="34"/>
      <c r="G2175" s="34" t="s">
        <v>201</v>
      </c>
      <c r="H2175" s="35" t="s">
        <v>768</v>
      </c>
      <c r="I2175" s="43" t="s">
        <v>82</v>
      </c>
      <c r="J2175" s="36"/>
      <c r="K2175" s="36"/>
      <c r="L2175" s="37"/>
      <c r="M2175" s="36"/>
      <c r="N2175" s="36"/>
      <c r="O2175" s="36"/>
    </row>
    <row r="2176" spans="1:16" hidden="1" x14ac:dyDescent="0.35">
      <c r="A2176" s="3">
        <f xml:space="preserve"> ROW( data_scaledImpacts[[#This Row],[row_id]] ) - ROW( data_scaledImpacts[[#Headers],[row_id]] )</f>
        <v>2175</v>
      </c>
      <c r="B2176" s="41" t="str">
        <f xml:space="preserve"> _xlfn.TEXTJOIN( "", , data_scaledImpacts[[#This Row],[sector]:[impactType]] )</f>
        <v>ValleyFeverGCM Average7N/AMortality</v>
      </c>
      <c r="C2176" s="33" t="s">
        <v>978</v>
      </c>
      <c r="D2176" s="33" t="s">
        <v>15</v>
      </c>
      <c r="E2176" s="34">
        <v>7</v>
      </c>
      <c r="F2176" s="34"/>
      <c r="G2176" s="34" t="s">
        <v>201</v>
      </c>
      <c r="H2176" s="35" t="s">
        <v>768</v>
      </c>
      <c r="I2176" s="43" t="s">
        <v>83</v>
      </c>
      <c r="J2176" s="38"/>
      <c r="K2176" s="38"/>
      <c r="L2176" s="39"/>
      <c r="M2176" s="38"/>
      <c r="N2176" s="38"/>
      <c r="O2176" s="38"/>
    </row>
    <row r="2177" spans="1:16" hidden="1" x14ac:dyDescent="0.35">
      <c r="A2177" s="3">
        <f xml:space="preserve"> ROW( data_scaledImpacts[[#This Row],[row_id]] ) - ROW( data_scaledImpacts[[#Headers],[row_id]] )</f>
        <v>2176</v>
      </c>
      <c r="B2177" s="41" t="str">
        <f xml:space="preserve"> _xlfn.TEXTJOIN( "", , data_scaledImpacts[[#This Row],[sector]:[impactType]] )</f>
        <v>ValleyFeverCanESM21N/AMorbidity</v>
      </c>
      <c r="C2177" s="33" t="s">
        <v>978</v>
      </c>
      <c r="D2177" s="33" t="s">
        <v>0</v>
      </c>
      <c r="E2177" s="34">
        <v>1</v>
      </c>
      <c r="F2177" s="34"/>
      <c r="G2177" s="34" t="s">
        <v>201</v>
      </c>
      <c r="H2177" s="35" t="s">
        <v>769</v>
      </c>
      <c r="I2177" s="43" t="s">
        <v>35</v>
      </c>
      <c r="J2177" s="36">
        <v>0</v>
      </c>
      <c r="K2177" s="36">
        <v>2.0605355368702687E-9</v>
      </c>
      <c r="L2177" s="37">
        <v>6.1452257788394397E-8</v>
      </c>
      <c r="M2177" s="36">
        <v>3.0606688144916843E-6</v>
      </c>
      <c r="N2177" s="36">
        <v>1.4426450737307564E-8</v>
      </c>
      <c r="O2177" s="36">
        <v>1.9013339156625682E-5</v>
      </c>
      <c r="P2177">
        <v>2.0396408768162984E-5</v>
      </c>
    </row>
    <row r="2178" spans="1:16" hidden="1" x14ac:dyDescent="0.35">
      <c r="A2178" s="3">
        <f xml:space="preserve"> ROW( data_scaledImpacts[[#This Row],[row_id]] ) - ROW( data_scaledImpacts[[#Headers],[row_id]] )</f>
        <v>2177</v>
      </c>
      <c r="B2178" s="41" t="str">
        <f xml:space="preserve"> _xlfn.TEXTJOIN( "", , data_scaledImpacts[[#This Row],[sector]:[impactType]] )</f>
        <v>ValleyFeverCCSM41N/AMorbidity</v>
      </c>
      <c r="C2178" s="33" t="s">
        <v>978</v>
      </c>
      <c r="D2178" s="33" t="s">
        <v>1</v>
      </c>
      <c r="E2178" s="34">
        <v>1</v>
      </c>
      <c r="F2178" s="34"/>
      <c r="G2178" s="34" t="s">
        <v>201</v>
      </c>
      <c r="H2178" s="35" t="s">
        <v>769</v>
      </c>
      <c r="I2178" s="43" t="s">
        <v>36</v>
      </c>
      <c r="J2178" s="36">
        <v>0</v>
      </c>
      <c r="K2178" s="36">
        <v>2.0338042636917515E-10</v>
      </c>
      <c r="L2178" s="37">
        <v>9.1177976703645665E-8</v>
      </c>
      <c r="M2178" s="36">
        <v>2.2179482455873038E-6</v>
      </c>
      <c r="N2178" s="36">
        <v>1.2877562474731193E-8</v>
      </c>
      <c r="O2178" s="36">
        <v>2.1033810758164977E-5</v>
      </c>
      <c r="P2178">
        <v>1.7292304043460544E-5</v>
      </c>
    </row>
    <row r="2179" spans="1:16" hidden="1" x14ac:dyDescent="0.35">
      <c r="A2179" s="3">
        <f xml:space="preserve"> ROW( data_scaledImpacts[[#This Row],[row_id]] ) - ROW( data_scaledImpacts[[#Headers],[row_id]] )</f>
        <v>2178</v>
      </c>
      <c r="B2179" s="41" t="str">
        <f xml:space="preserve"> _xlfn.TEXTJOIN( "", , data_scaledImpacts[[#This Row],[sector]:[impactType]] )</f>
        <v>ValleyFeverGISS-E2-R1N/AMorbidity</v>
      </c>
      <c r="C2179" s="33" t="s">
        <v>978</v>
      </c>
      <c r="D2179" s="33" t="s">
        <v>2</v>
      </c>
      <c r="E2179" s="34">
        <v>1</v>
      </c>
      <c r="F2179" s="34"/>
      <c r="G2179" s="34" t="s">
        <v>201</v>
      </c>
      <c r="H2179" s="35" t="s">
        <v>769</v>
      </c>
      <c r="I2179" s="43" t="s">
        <v>37</v>
      </c>
      <c r="J2179" s="36">
        <v>0</v>
      </c>
      <c r="K2179" s="36">
        <v>1.1586970088666762E-9</v>
      </c>
      <c r="L2179" s="37">
        <v>1.6764283531861511E-8</v>
      </c>
      <c r="M2179" s="36">
        <v>2.2593567479627853E-6</v>
      </c>
      <c r="N2179" s="36">
        <v>2.4860151054675428E-8</v>
      </c>
      <c r="O2179" s="36">
        <v>3.4145847351445059E-5</v>
      </c>
      <c r="P2179">
        <v>1.66827676820455E-5</v>
      </c>
    </row>
    <row r="2180" spans="1:16" hidden="1" x14ac:dyDescent="0.35">
      <c r="A2180" s="3">
        <f xml:space="preserve"> ROW( data_scaledImpacts[[#This Row],[row_id]] ) - ROW( data_scaledImpacts[[#Headers],[row_id]] )</f>
        <v>2179</v>
      </c>
      <c r="B2180" s="41" t="str">
        <f xml:space="preserve"> _xlfn.TEXTJOIN( "", , data_scaledImpacts[[#This Row],[sector]:[impactType]] )</f>
        <v>ValleyFeverHadGEM2-ES1N/AMorbidity</v>
      </c>
      <c r="C2180" s="33" t="s">
        <v>978</v>
      </c>
      <c r="D2180" s="33" t="s">
        <v>3</v>
      </c>
      <c r="E2180" s="34">
        <v>1</v>
      </c>
      <c r="F2180" s="34"/>
      <c r="G2180" s="34" t="s">
        <v>201</v>
      </c>
      <c r="H2180" s="35" t="s">
        <v>769</v>
      </c>
      <c r="I2180" s="43" t="s">
        <v>38</v>
      </c>
      <c r="J2180" s="36">
        <v>0</v>
      </c>
      <c r="K2180" s="36">
        <v>1.0497321356520297E-10</v>
      </c>
      <c r="L2180" s="37">
        <v>8.6324565684496256E-8</v>
      </c>
      <c r="M2180" s="36">
        <v>3.007259337559659E-6</v>
      </c>
      <c r="N2180" s="36">
        <v>1.462451267934274E-8</v>
      </c>
      <c r="O2180" s="36">
        <v>2.8424095696431503E-5</v>
      </c>
      <c r="P2180">
        <v>1.8658822752565462E-5</v>
      </c>
    </row>
    <row r="2181" spans="1:16" hidden="1" x14ac:dyDescent="0.35">
      <c r="A2181" s="3">
        <f xml:space="preserve"> ROW( data_scaledImpacts[[#This Row],[row_id]] ) - ROW( data_scaledImpacts[[#Headers],[row_id]] )</f>
        <v>2180</v>
      </c>
      <c r="B2181" s="41" t="str">
        <f xml:space="preserve"> _xlfn.TEXTJOIN( "", , data_scaledImpacts[[#This Row],[sector]:[impactType]] )</f>
        <v>ValleyFeverMIROC51N/AMorbidity</v>
      </c>
      <c r="C2181" s="33" t="s">
        <v>978</v>
      </c>
      <c r="D2181" s="33" t="s">
        <v>4</v>
      </c>
      <c r="E2181" s="34">
        <v>1</v>
      </c>
      <c r="F2181" s="34"/>
      <c r="G2181" s="34" t="s">
        <v>201</v>
      </c>
      <c r="H2181" s="35" t="s">
        <v>769</v>
      </c>
      <c r="I2181" s="43" t="s">
        <v>39</v>
      </c>
      <c r="J2181" s="36">
        <v>0</v>
      </c>
      <c r="K2181" s="36">
        <v>1.7909209097259567E-9</v>
      </c>
      <c r="L2181" s="37">
        <v>2.3073450814574692E-7</v>
      </c>
      <c r="M2181" s="36">
        <v>2.746354078389496E-6</v>
      </c>
      <c r="N2181" s="36">
        <v>1.7335527912008069E-8</v>
      </c>
      <c r="O2181" s="36">
        <v>3.2659632265576077E-5</v>
      </c>
      <c r="P2181">
        <v>2.1030618003018562E-5</v>
      </c>
    </row>
    <row r="2182" spans="1:16" hidden="1" x14ac:dyDescent="0.35">
      <c r="A2182" s="3">
        <f xml:space="preserve"> ROW( data_scaledImpacts[[#This Row],[row_id]] ) - ROW( data_scaledImpacts[[#Headers],[row_id]] )</f>
        <v>2181</v>
      </c>
      <c r="B2182" s="41" t="str">
        <f xml:space="preserve"> _xlfn.TEXTJOIN( "", , data_scaledImpacts[[#This Row],[sector]:[impactType]] )</f>
        <v>ValleyFeverGFDL-CM31N/AMorbidity</v>
      </c>
      <c r="C2182" s="33" t="s">
        <v>978</v>
      </c>
      <c r="D2182" s="33" t="s">
        <v>5</v>
      </c>
      <c r="E2182" s="34">
        <v>1</v>
      </c>
      <c r="F2182" s="34"/>
      <c r="G2182" s="34" t="s">
        <v>201</v>
      </c>
      <c r="H2182" s="35" t="s">
        <v>769</v>
      </c>
      <c r="I2182" s="43" t="s">
        <v>40</v>
      </c>
      <c r="J2182" s="36">
        <v>0</v>
      </c>
      <c r="K2182" s="36">
        <v>1.6609583160989627E-9</v>
      </c>
      <c r="L2182" s="37">
        <v>1.1438274573042112E-8</v>
      </c>
      <c r="M2182" s="36">
        <v>2.4224875526561442E-6</v>
      </c>
      <c r="N2182" s="36">
        <v>1.6033410489421543E-8</v>
      </c>
      <c r="O2182" s="36">
        <v>2.5099731990627466E-5</v>
      </c>
      <c r="P2182">
        <v>2.042757350163548E-5</v>
      </c>
    </row>
    <row r="2183" spans="1:16" hidden="1" x14ac:dyDescent="0.35">
      <c r="A2183" s="3">
        <f xml:space="preserve"> ROW( data_scaledImpacts[[#This Row],[row_id]] ) - ROW( data_scaledImpacts[[#Headers],[row_id]] )</f>
        <v>2182</v>
      </c>
      <c r="B2183" s="41" t="str">
        <f xml:space="preserve"> _xlfn.TEXTJOIN( "", , data_scaledImpacts[[#This Row],[sector]:[impactType]] )</f>
        <v>ValleyFeverGCM Average1N/AMorbidity</v>
      </c>
      <c r="C2183" s="33" t="s">
        <v>978</v>
      </c>
      <c r="D2183" s="33" t="s">
        <v>15</v>
      </c>
      <c r="E2183" s="34">
        <v>1</v>
      </c>
      <c r="F2183" s="34"/>
      <c r="G2183" s="34" t="s">
        <v>201</v>
      </c>
      <c r="H2183" s="35" t="s">
        <v>769</v>
      </c>
      <c r="I2183" s="43" t="s">
        <v>41</v>
      </c>
      <c r="J2183" s="36">
        <v>0</v>
      </c>
      <c r="K2183" s="36">
        <v>1.1632442352493738E-9</v>
      </c>
      <c r="L2183" s="37">
        <v>8.2981977737864473E-8</v>
      </c>
      <c r="M2183" s="36">
        <v>2.619012462774512E-6</v>
      </c>
      <c r="N2183" s="36">
        <v>1.6692935891247758E-8</v>
      </c>
      <c r="O2183" s="36">
        <v>2.6729409536478454E-5</v>
      </c>
      <c r="P2183">
        <v>1.9081415791814755E-5</v>
      </c>
    </row>
    <row r="2184" spans="1:16" hidden="1" x14ac:dyDescent="0.35">
      <c r="A2184" s="3">
        <f xml:space="preserve"> ROW( data_scaledImpacts[[#This Row],[row_id]] ) - ROW( data_scaledImpacts[[#Headers],[row_id]] )</f>
        <v>2183</v>
      </c>
      <c r="B2184" s="41" t="str">
        <f xml:space="preserve"> _xlfn.TEXTJOIN( "", , data_scaledImpacts[[#This Row],[sector]:[impactType]] )</f>
        <v>ValleyFeverCanESM22N/AMorbidity</v>
      </c>
      <c r="C2184" s="33" t="s">
        <v>978</v>
      </c>
      <c r="D2184" s="33" t="s">
        <v>0</v>
      </c>
      <c r="E2184" s="34">
        <v>2</v>
      </c>
      <c r="F2184" s="34"/>
      <c r="G2184" s="34" t="s">
        <v>201</v>
      </c>
      <c r="H2184" s="35" t="s">
        <v>769</v>
      </c>
      <c r="I2184" s="43" t="s">
        <v>42</v>
      </c>
      <c r="J2184" s="36">
        <v>0</v>
      </c>
      <c r="K2184" s="36">
        <v>5.2201678295054649E-9</v>
      </c>
      <c r="L2184" s="37">
        <v>3.0888211857796711E-7</v>
      </c>
      <c r="M2184" s="36">
        <v>7.4773719789518172E-6</v>
      </c>
      <c r="N2184" s="36">
        <v>3.1738795769349678E-8</v>
      </c>
      <c r="O2184" s="36">
        <v>4.4184389996855999E-5</v>
      </c>
      <c r="P2184">
        <v>4.6973798505983434E-5</v>
      </c>
    </row>
    <row r="2185" spans="1:16" hidden="1" x14ac:dyDescent="0.35">
      <c r="A2185" s="3">
        <f xml:space="preserve"> ROW( data_scaledImpacts[[#This Row],[row_id]] ) - ROW( data_scaledImpacts[[#Headers],[row_id]] )</f>
        <v>2184</v>
      </c>
      <c r="B2185" s="41" t="str">
        <f xml:space="preserve"> _xlfn.TEXTJOIN( "", , data_scaledImpacts[[#This Row],[sector]:[impactType]] )</f>
        <v>ValleyFeverCCSM42N/AMorbidity</v>
      </c>
      <c r="C2185" s="33" t="s">
        <v>978</v>
      </c>
      <c r="D2185" s="33" t="s">
        <v>1</v>
      </c>
      <c r="E2185" s="34">
        <v>2</v>
      </c>
      <c r="F2185" s="34"/>
      <c r="G2185" s="34" t="s">
        <v>201</v>
      </c>
      <c r="H2185" s="35" t="s">
        <v>769</v>
      </c>
      <c r="I2185" s="43" t="s">
        <v>43</v>
      </c>
      <c r="J2185" s="36">
        <v>0</v>
      </c>
      <c r="K2185" s="36">
        <v>1.3054927022398511E-9</v>
      </c>
      <c r="L2185" s="37">
        <v>7.395448473139603E-7</v>
      </c>
      <c r="M2185" s="36">
        <v>6.2231768278954086E-6</v>
      </c>
      <c r="N2185" s="36">
        <v>2.8290642584465386E-8</v>
      </c>
      <c r="O2185" s="36">
        <v>4.9088769648944052E-5</v>
      </c>
      <c r="P2185">
        <v>4.3365671002602842E-5</v>
      </c>
    </row>
    <row r="2186" spans="1:16" hidden="1" x14ac:dyDescent="0.35">
      <c r="A2186" s="3">
        <f xml:space="preserve"> ROW( data_scaledImpacts[[#This Row],[row_id]] ) - ROW( data_scaledImpacts[[#Headers],[row_id]] )</f>
        <v>2185</v>
      </c>
      <c r="B2186" s="41" t="str">
        <f xml:space="preserve"> _xlfn.TEXTJOIN( "", , data_scaledImpacts[[#This Row],[sector]:[impactType]] )</f>
        <v>ValleyFeverGISS-E2-R2N/AMorbidity</v>
      </c>
      <c r="C2186" s="33" t="s">
        <v>978</v>
      </c>
      <c r="D2186" s="33" t="s">
        <v>2</v>
      </c>
      <c r="E2186" s="34">
        <v>2</v>
      </c>
      <c r="F2186" s="34"/>
      <c r="G2186" s="34" t="s">
        <v>201</v>
      </c>
      <c r="H2186" s="35" t="s">
        <v>769</v>
      </c>
      <c r="I2186" s="43" t="s">
        <v>44</v>
      </c>
      <c r="J2186" s="36">
        <v>0</v>
      </c>
      <c r="K2186" s="36">
        <v>4.6124215952532809E-9</v>
      </c>
      <c r="L2186" s="37">
        <v>3.1458742622198875E-7</v>
      </c>
      <c r="M2186" s="36">
        <v>4.1983349230694379E-6</v>
      </c>
      <c r="N2186" s="36">
        <v>2.9683660407122568E-8</v>
      </c>
      <c r="O2186" s="36">
        <v>4.7543044467741598E-5</v>
      </c>
      <c r="P2186">
        <v>4.5193973423335738E-5</v>
      </c>
    </row>
    <row r="2187" spans="1:16" hidden="1" x14ac:dyDescent="0.35">
      <c r="A2187" s="3">
        <f xml:space="preserve"> ROW( data_scaledImpacts[[#This Row],[row_id]] ) - ROW( data_scaledImpacts[[#Headers],[row_id]] )</f>
        <v>2186</v>
      </c>
      <c r="B2187" s="41" t="str">
        <f xml:space="preserve"> _xlfn.TEXTJOIN( "", , data_scaledImpacts[[#This Row],[sector]:[impactType]] )</f>
        <v>ValleyFeverHadGEM2-ES2N/AMorbidity</v>
      </c>
      <c r="C2187" s="33" t="s">
        <v>978</v>
      </c>
      <c r="D2187" s="33" t="s">
        <v>3</v>
      </c>
      <c r="E2187" s="34">
        <v>2</v>
      </c>
      <c r="F2187" s="34"/>
      <c r="G2187" s="34" t="s">
        <v>201</v>
      </c>
      <c r="H2187" s="35" t="s">
        <v>769</v>
      </c>
      <c r="I2187" s="43" t="s">
        <v>45</v>
      </c>
      <c r="J2187" s="36">
        <v>0</v>
      </c>
      <c r="K2187" s="36">
        <v>5.9393131972825703E-10</v>
      </c>
      <c r="L2187" s="37">
        <v>4.1524196369940361E-7</v>
      </c>
      <c r="M2187" s="36">
        <v>5.7562973176519881E-6</v>
      </c>
      <c r="N2187" s="36">
        <v>2.7083677349935147E-8</v>
      </c>
      <c r="O2187" s="36">
        <v>5.2508777157379682E-5</v>
      </c>
      <c r="P2187">
        <v>3.6209183553194581E-5</v>
      </c>
    </row>
    <row r="2188" spans="1:16" hidden="1" x14ac:dyDescent="0.35">
      <c r="A2188" s="3">
        <f xml:space="preserve"> ROW( data_scaledImpacts[[#This Row],[row_id]] ) - ROW( data_scaledImpacts[[#Headers],[row_id]] )</f>
        <v>2187</v>
      </c>
      <c r="B2188" s="41" t="str">
        <f xml:space="preserve"> _xlfn.TEXTJOIN( "", , data_scaledImpacts[[#This Row],[sector]:[impactType]] )</f>
        <v>ValleyFeverMIROC52N/AMorbidity</v>
      </c>
      <c r="C2188" s="33" t="s">
        <v>978</v>
      </c>
      <c r="D2188" s="33" t="s">
        <v>4</v>
      </c>
      <c r="E2188" s="34">
        <v>2</v>
      </c>
      <c r="F2188" s="34"/>
      <c r="G2188" s="34" t="s">
        <v>201</v>
      </c>
      <c r="H2188" s="35" t="s">
        <v>769</v>
      </c>
      <c r="I2188" s="43" t="s">
        <v>46</v>
      </c>
      <c r="J2188" s="36">
        <v>0</v>
      </c>
      <c r="K2188" s="36">
        <v>3.7161935171391253E-9</v>
      </c>
      <c r="L2188" s="37">
        <v>7.5385239936214259E-7</v>
      </c>
      <c r="M2188" s="36">
        <v>4.8806594388826627E-6</v>
      </c>
      <c r="N2188" s="36">
        <v>2.818984792227778E-8</v>
      </c>
      <c r="O2188" s="36">
        <v>5.2659947709662108E-5</v>
      </c>
      <c r="P2188">
        <v>3.9211908603645143E-5</v>
      </c>
    </row>
    <row r="2189" spans="1:16" hidden="1" x14ac:dyDescent="0.35">
      <c r="A2189" s="3">
        <f xml:space="preserve"> ROW( data_scaledImpacts[[#This Row],[row_id]] ) - ROW( data_scaledImpacts[[#Headers],[row_id]] )</f>
        <v>2188</v>
      </c>
      <c r="B2189" s="41" t="str">
        <f xml:space="preserve"> _xlfn.TEXTJOIN( "", , data_scaledImpacts[[#This Row],[sector]:[impactType]] )</f>
        <v>ValleyFeverGFDL-CM32N/AMorbidity</v>
      </c>
      <c r="C2189" s="33" t="s">
        <v>978</v>
      </c>
      <c r="D2189" s="33" t="s">
        <v>5</v>
      </c>
      <c r="E2189" s="34">
        <v>2</v>
      </c>
      <c r="F2189" s="34"/>
      <c r="G2189" s="34" t="s">
        <v>201</v>
      </c>
      <c r="H2189" s="35" t="s">
        <v>769</v>
      </c>
      <c r="I2189" s="43" t="s">
        <v>47</v>
      </c>
      <c r="J2189" s="36">
        <v>0</v>
      </c>
      <c r="K2189" s="36">
        <v>3.9221843290241707E-9</v>
      </c>
      <c r="L2189" s="37">
        <v>1.2036446468110639E-7</v>
      </c>
      <c r="M2189" s="36">
        <v>5.2162471593966873E-6</v>
      </c>
      <c r="N2189" s="36">
        <v>3.1112235081277344E-8</v>
      </c>
      <c r="O2189" s="36">
        <v>4.9296571239533544E-5</v>
      </c>
      <c r="P2189">
        <v>4.4577212896450222E-5</v>
      </c>
    </row>
    <row r="2190" spans="1:16" hidden="1" x14ac:dyDescent="0.35">
      <c r="A2190" s="3">
        <f xml:space="preserve"> ROW( data_scaledImpacts[[#This Row],[row_id]] ) - ROW( data_scaledImpacts[[#Headers],[row_id]] )</f>
        <v>2189</v>
      </c>
      <c r="B2190" s="41" t="str">
        <f xml:space="preserve"> _xlfn.TEXTJOIN( "", , data_scaledImpacts[[#This Row],[sector]:[impactType]] )</f>
        <v>ValleyFeverGCM Average2N/AMorbidity</v>
      </c>
      <c r="C2190" s="33" t="s">
        <v>978</v>
      </c>
      <c r="D2190" s="33" t="s">
        <v>15</v>
      </c>
      <c r="E2190" s="34">
        <v>2</v>
      </c>
      <c r="F2190" s="34"/>
      <c r="G2190" s="34" t="s">
        <v>201</v>
      </c>
      <c r="H2190" s="35" t="s">
        <v>769</v>
      </c>
      <c r="I2190" s="43" t="s">
        <v>48</v>
      </c>
      <c r="J2190" s="36">
        <v>0</v>
      </c>
      <c r="K2190" s="36">
        <v>3.2283985488150254E-9</v>
      </c>
      <c r="L2190" s="37">
        <v>4.420788699760948E-7</v>
      </c>
      <c r="M2190" s="36">
        <v>5.6253479409746673E-6</v>
      </c>
      <c r="N2190" s="36">
        <v>2.9349809852404648E-8</v>
      </c>
      <c r="O2190" s="36">
        <v>4.9213583370019492E-5</v>
      </c>
      <c r="P2190">
        <v>4.258862466420199E-5</v>
      </c>
    </row>
    <row r="2191" spans="1:16" hidden="1" x14ac:dyDescent="0.35">
      <c r="A2191" s="3">
        <f xml:space="preserve"> ROW( data_scaledImpacts[[#This Row],[row_id]] ) - ROW( data_scaledImpacts[[#Headers],[row_id]] )</f>
        <v>2190</v>
      </c>
      <c r="B2191" s="41" t="str">
        <f xml:space="preserve"> _xlfn.TEXTJOIN( "", , data_scaledImpacts[[#This Row],[sector]:[impactType]] )</f>
        <v>ValleyFeverCanESM23N/AMorbidity</v>
      </c>
      <c r="C2191" s="33" t="s">
        <v>978</v>
      </c>
      <c r="D2191" s="33" t="s">
        <v>0</v>
      </c>
      <c r="E2191" s="34">
        <v>3</v>
      </c>
      <c r="F2191" s="34"/>
      <c r="G2191" s="34" t="s">
        <v>201</v>
      </c>
      <c r="H2191" s="35" t="s">
        <v>769</v>
      </c>
      <c r="I2191" s="43" t="s">
        <v>49</v>
      </c>
      <c r="J2191" s="36">
        <v>0</v>
      </c>
      <c r="K2191" s="36">
        <v>8.6378058665089777E-9</v>
      </c>
      <c r="L2191" s="37">
        <v>1.2480352575137645E-6</v>
      </c>
      <c r="M2191" s="36">
        <v>1.1394388868830586E-5</v>
      </c>
      <c r="N2191" s="36">
        <v>3.3930583754934232E-8</v>
      </c>
      <c r="O2191" s="36">
        <v>5.725950109381169E-5</v>
      </c>
      <c r="P2191">
        <v>5.7604868717529064E-5</v>
      </c>
    </row>
    <row r="2192" spans="1:16" hidden="1" x14ac:dyDescent="0.35">
      <c r="A2192" s="3">
        <f xml:space="preserve"> ROW( data_scaledImpacts[[#This Row],[row_id]] ) - ROW( data_scaledImpacts[[#Headers],[row_id]] )</f>
        <v>2191</v>
      </c>
      <c r="B2192" s="41" t="str">
        <f xml:space="preserve"> _xlfn.TEXTJOIN( "", , data_scaledImpacts[[#This Row],[sector]:[impactType]] )</f>
        <v>ValleyFeverCCSM43N/AMorbidity</v>
      </c>
      <c r="C2192" s="33" t="s">
        <v>978</v>
      </c>
      <c r="D2192" s="33" t="s">
        <v>1</v>
      </c>
      <c r="E2192" s="34">
        <v>3</v>
      </c>
      <c r="F2192" s="34"/>
      <c r="G2192" s="34" t="s">
        <v>201</v>
      </c>
      <c r="H2192" s="35" t="s">
        <v>769</v>
      </c>
      <c r="I2192" s="43" t="s">
        <v>50</v>
      </c>
      <c r="J2192" s="36">
        <v>0</v>
      </c>
      <c r="K2192" s="36">
        <v>4.9493547487686721E-9</v>
      </c>
      <c r="L2192" s="37">
        <v>3.0203297305328165E-6</v>
      </c>
      <c r="M2192" s="36">
        <v>1.0800804198705362E-5</v>
      </c>
      <c r="N2192" s="36">
        <v>2.9347028477089604E-8</v>
      </c>
      <c r="O2192" s="36">
        <v>5.5246750728997006E-5</v>
      </c>
      <c r="P2192">
        <v>6.5913668719440449E-5</v>
      </c>
    </row>
    <row r="2193" spans="1:16" hidden="1" x14ac:dyDescent="0.35">
      <c r="A2193" s="3">
        <f xml:space="preserve"> ROW( data_scaledImpacts[[#This Row],[row_id]] ) - ROW( data_scaledImpacts[[#Headers],[row_id]] )</f>
        <v>2192</v>
      </c>
      <c r="B2193" s="41" t="str">
        <f xml:space="preserve"> _xlfn.TEXTJOIN( "", , data_scaledImpacts[[#This Row],[sector]:[impactType]] )</f>
        <v>ValleyFeverGISS-E2-R3N/AMorbidity</v>
      </c>
      <c r="C2193" s="33" t="s">
        <v>978</v>
      </c>
      <c r="D2193" s="33" t="s">
        <v>2</v>
      </c>
      <c r="E2193" s="34">
        <v>3</v>
      </c>
      <c r="F2193" s="34"/>
      <c r="G2193" s="34" t="s">
        <v>201</v>
      </c>
      <c r="H2193" s="35" t="s">
        <v>769</v>
      </c>
      <c r="I2193" s="43" t="s">
        <v>51</v>
      </c>
      <c r="J2193" s="36">
        <v>0</v>
      </c>
      <c r="K2193" s="36">
        <v>6.5068618806773262E-9</v>
      </c>
      <c r="L2193" s="37">
        <v>1.6117580964002866E-6</v>
      </c>
      <c r="M2193" s="36">
        <v>7.6828082941361014E-6</v>
      </c>
      <c r="N2193" s="36">
        <v>3.1365083326471439E-8</v>
      </c>
      <c r="O2193" s="36">
        <v>5.4445495218719728E-5</v>
      </c>
      <c r="P2193">
        <v>7.169098163947492E-5</v>
      </c>
    </row>
    <row r="2194" spans="1:16" hidden="1" x14ac:dyDescent="0.35">
      <c r="A2194" s="3">
        <f xml:space="preserve"> ROW( data_scaledImpacts[[#This Row],[row_id]] ) - ROW( data_scaledImpacts[[#Headers],[row_id]] )</f>
        <v>2193</v>
      </c>
      <c r="B2194" s="41" t="str">
        <f xml:space="preserve"> _xlfn.TEXTJOIN( "", , data_scaledImpacts[[#This Row],[sector]:[impactType]] )</f>
        <v>ValleyFeverHadGEM2-ES3N/AMorbidity</v>
      </c>
      <c r="C2194" s="33" t="s">
        <v>978</v>
      </c>
      <c r="D2194" s="33" t="s">
        <v>3</v>
      </c>
      <c r="E2194" s="34">
        <v>3</v>
      </c>
      <c r="F2194" s="34"/>
      <c r="G2194" s="34" t="s">
        <v>201</v>
      </c>
      <c r="H2194" s="35" t="s">
        <v>769</v>
      </c>
      <c r="I2194" s="43" t="s">
        <v>52</v>
      </c>
      <c r="J2194" s="36">
        <v>0</v>
      </c>
      <c r="K2194" s="36">
        <v>6.3787485928126381E-9</v>
      </c>
      <c r="L2194" s="37">
        <v>4.1186351924229308E-6</v>
      </c>
      <c r="M2194" s="36">
        <v>9.3555741581842817E-6</v>
      </c>
      <c r="N2194" s="36">
        <v>3.1488980210331084E-8</v>
      </c>
      <c r="O2194" s="36">
        <v>5.9186511694403129E-5</v>
      </c>
      <c r="P2194">
        <v>6.5650466809887237E-5</v>
      </c>
    </row>
    <row r="2195" spans="1:16" hidden="1" x14ac:dyDescent="0.35">
      <c r="A2195" s="3">
        <f xml:space="preserve"> ROW( data_scaledImpacts[[#This Row],[row_id]] ) - ROW( data_scaledImpacts[[#Headers],[row_id]] )</f>
        <v>2194</v>
      </c>
      <c r="B2195" s="41" t="str">
        <f xml:space="preserve"> _xlfn.TEXTJOIN( "", , data_scaledImpacts[[#This Row],[sector]:[impactType]] )</f>
        <v>ValleyFeverMIROC53N/AMorbidity</v>
      </c>
      <c r="C2195" s="33" t="s">
        <v>978</v>
      </c>
      <c r="D2195" s="33" t="s">
        <v>4</v>
      </c>
      <c r="E2195" s="34">
        <v>3</v>
      </c>
      <c r="F2195" s="34"/>
      <c r="G2195" s="34" t="s">
        <v>201</v>
      </c>
      <c r="H2195" s="35" t="s">
        <v>769</v>
      </c>
      <c r="I2195" s="43" t="s">
        <v>53</v>
      </c>
      <c r="J2195" s="36">
        <v>1.1583368429737666E-8</v>
      </c>
      <c r="K2195" s="36">
        <v>8.3378100637736571E-9</v>
      </c>
      <c r="L2195" s="37">
        <v>4.4551025960278407E-6</v>
      </c>
      <c r="M2195" s="36">
        <v>7.7689499044010879E-6</v>
      </c>
      <c r="N2195" s="36">
        <v>3.243207021699133E-8</v>
      </c>
      <c r="O2195" s="36">
        <v>5.8610462968518302E-5</v>
      </c>
      <c r="P2195">
        <v>6.9339809260482067E-5</v>
      </c>
    </row>
    <row r="2196" spans="1:16" hidden="1" x14ac:dyDescent="0.35">
      <c r="A2196" s="3">
        <f xml:space="preserve"> ROW( data_scaledImpacts[[#This Row],[row_id]] ) - ROW( data_scaledImpacts[[#Headers],[row_id]] )</f>
        <v>2195</v>
      </c>
      <c r="B2196" s="41" t="str">
        <f xml:space="preserve"> _xlfn.TEXTJOIN( "", , data_scaledImpacts[[#This Row],[sector]:[impactType]] )</f>
        <v>ValleyFeverGFDL-CM33N/AMorbidity</v>
      </c>
      <c r="C2196" s="33" t="s">
        <v>978</v>
      </c>
      <c r="D2196" s="33" t="s">
        <v>5</v>
      </c>
      <c r="E2196" s="34">
        <v>3</v>
      </c>
      <c r="F2196" s="34"/>
      <c r="G2196" s="34" t="s">
        <v>201</v>
      </c>
      <c r="H2196" s="35" t="s">
        <v>769</v>
      </c>
      <c r="I2196" s="43" t="s">
        <v>54</v>
      </c>
      <c r="J2196" s="36">
        <v>0</v>
      </c>
      <c r="K2196" s="36">
        <v>8.7796555168195044E-9</v>
      </c>
      <c r="L2196" s="37">
        <v>9.5750382349301165E-7</v>
      </c>
      <c r="M2196" s="36">
        <v>9.2023633821798841E-6</v>
      </c>
      <c r="N2196" s="36">
        <v>3.4387966425499006E-8</v>
      </c>
      <c r="O2196" s="36">
        <v>5.8485247097115901E-5</v>
      </c>
      <c r="P2196">
        <v>7.9841514159845705E-5</v>
      </c>
    </row>
    <row r="2197" spans="1:16" hidden="1" x14ac:dyDescent="0.35">
      <c r="A2197" s="3">
        <f xml:space="preserve"> ROW( data_scaledImpacts[[#This Row],[row_id]] ) - ROW( data_scaledImpacts[[#Headers],[row_id]] )</f>
        <v>2196</v>
      </c>
      <c r="B2197" s="41" t="str">
        <f xml:space="preserve"> _xlfn.TEXTJOIN( "", , data_scaledImpacts[[#This Row],[sector]:[impactType]] )</f>
        <v>ValleyFeverGCM Average3N/AMorbidity</v>
      </c>
      <c r="C2197" s="33" t="s">
        <v>978</v>
      </c>
      <c r="D2197" s="33" t="s">
        <v>15</v>
      </c>
      <c r="E2197" s="34">
        <v>3</v>
      </c>
      <c r="F2197" s="34"/>
      <c r="G2197" s="34" t="s">
        <v>201</v>
      </c>
      <c r="H2197" s="35" t="s">
        <v>769</v>
      </c>
      <c r="I2197" s="43" t="s">
        <v>55</v>
      </c>
      <c r="J2197" s="36">
        <v>1.9305614049562777E-9</v>
      </c>
      <c r="K2197" s="36">
        <v>7.2650394448934627E-9</v>
      </c>
      <c r="L2197" s="37">
        <v>2.5685607827317747E-6</v>
      </c>
      <c r="M2197" s="36">
        <v>9.3674814677395499E-6</v>
      </c>
      <c r="N2197" s="36">
        <v>3.2158618735219451E-8</v>
      </c>
      <c r="O2197" s="36">
        <v>5.7205661466927624E-5</v>
      </c>
      <c r="P2197">
        <v>6.8340218217776571E-5</v>
      </c>
    </row>
    <row r="2198" spans="1:16" hidden="1" x14ac:dyDescent="0.35">
      <c r="A2198" s="3">
        <f xml:space="preserve"> ROW( data_scaledImpacts[[#This Row],[row_id]] ) - ROW( data_scaledImpacts[[#Headers],[row_id]] )</f>
        <v>2197</v>
      </c>
      <c r="B2198" s="41" t="str">
        <f xml:space="preserve"> _xlfn.TEXTJOIN( "", , data_scaledImpacts[[#This Row],[sector]:[impactType]] )</f>
        <v>ValleyFeverCanESM24N/AMorbidity</v>
      </c>
      <c r="C2198" s="33" t="s">
        <v>978</v>
      </c>
      <c r="D2198" s="33" t="s">
        <v>0</v>
      </c>
      <c r="E2198" s="34">
        <v>4</v>
      </c>
      <c r="F2198" s="34"/>
      <c r="G2198" s="34" t="s">
        <v>201</v>
      </c>
      <c r="H2198" s="35" t="s">
        <v>769</v>
      </c>
      <c r="I2198" s="43" t="s">
        <v>56</v>
      </c>
      <c r="J2198" s="36">
        <v>0</v>
      </c>
      <c r="K2198" s="36">
        <v>1.2196213777974697E-8</v>
      </c>
      <c r="L2198" s="37">
        <v>5.1140026710334787E-6</v>
      </c>
      <c r="M2198" s="36">
        <v>1.7281107243475272E-5</v>
      </c>
      <c r="N2198" s="36">
        <v>3.6283647199465875E-8</v>
      </c>
      <c r="O2198" s="36">
        <v>6.1870600813144179E-5</v>
      </c>
      <c r="P2198">
        <v>2.9566561269339708E-5</v>
      </c>
    </row>
    <row r="2199" spans="1:16" hidden="1" x14ac:dyDescent="0.35">
      <c r="A2199" s="3">
        <f xml:space="preserve"> ROW( data_scaledImpacts[[#This Row],[row_id]] ) - ROW( data_scaledImpacts[[#Headers],[row_id]] )</f>
        <v>2198</v>
      </c>
      <c r="B2199" s="41" t="str">
        <f xml:space="preserve"> _xlfn.TEXTJOIN( "", , data_scaledImpacts[[#This Row],[sector]:[impactType]] )</f>
        <v>ValleyFeverCCSM44N/AMorbidity</v>
      </c>
      <c r="C2199" s="33" t="s">
        <v>978</v>
      </c>
      <c r="D2199" s="33" t="s">
        <v>1</v>
      </c>
      <c r="E2199" s="34">
        <v>4</v>
      </c>
      <c r="F2199" s="34"/>
      <c r="G2199" s="34" t="s">
        <v>201</v>
      </c>
      <c r="H2199" s="35" t="s">
        <v>769</v>
      </c>
      <c r="I2199" s="43" t="s">
        <v>57</v>
      </c>
      <c r="J2199" s="36">
        <v>1.2185867622542608E-9</v>
      </c>
      <c r="K2199" s="36">
        <v>8.8457490837816067E-9</v>
      </c>
      <c r="L2199" s="37">
        <v>8.4913771150600409E-6</v>
      </c>
      <c r="M2199" s="36">
        <v>1.5229863798645011E-5</v>
      </c>
      <c r="N2199" s="36">
        <v>3.1699556872134554E-8</v>
      </c>
      <c r="O2199" s="36">
        <v>6.105589941641521E-5</v>
      </c>
      <c r="P2199">
        <v>8.8295220381971685E-5</v>
      </c>
    </row>
    <row r="2200" spans="1:16" hidden="1" x14ac:dyDescent="0.35">
      <c r="A2200" s="3">
        <f xml:space="preserve"> ROW( data_scaledImpacts[[#This Row],[row_id]] ) - ROW( data_scaledImpacts[[#Headers],[row_id]] )</f>
        <v>2199</v>
      </c>
      <c r="B2200" s="41" t="str">
        <f xml:space="preserve"> _xlfn.TEXTJOIN( "", , data_scaledImpacts[[#This Row],[sector]:[impactType]] )</f>
        <v>ValleyFeverGISS-E2-R4N/AMorbidity</v>
      </c>
      <c r="C2200" s="33" t="s">
        <v>978</v>
      </c>
      <c r="D2200" s="33" t="s">
        <v>2</v>
      </c>
      <c r="E2200" s="34">
        <v>4</v>
      </c>
      <c r="F2200" s="34"/>
      <c r="G2200" s="34" t="s">
        <v>201</v>
      </c>
      <c r="H2200" s="35" t="s">
        <v>769</v>
      </c>
      <c r="I2200" s="43" t="s">
        <v>58</v>
      </c>
      <c r="J2200" s="36"/>
      <c r="K2200" s="36"/>
      <c r="L2200" s="37"/>
      <c r="M2200" s="36"/>
      <c r="N2200" s="36"/>
      <c r="O2200" s="36"/>
    </row>
    <row r="2201" spans="1:16" hidden="1" x14ac:dyDescent="0.35">
      <c r="A2201" s="3">
        <f xml:space="preserve"> ROW( data_scaledImpacts[[#This Row],[row_id]] ) - ROW( data_scaledImpacts[[#Headers],[row_id]] )</f>
        <v>2200</v>
      </c>
      <c r="B2201" s="41" t="str">
        <f xml:space="preserve"> _xlfn.TEXTJOIN( "", , data_scaledImpacts[[#This Row],[sector]:[impactType]] )</f>
        <v>ValleyFeverHadGEM2-ES4N/AMorbidity</v>
      </c>
      <c r="C2201" s="33" t="s">
        <v>978</v>
      </c>
      <c r="D2201" s="33" t="s">
        <v>3</v>
      </c>
      <c r="E2201" s="34">
        <v>4</v>
      </c>
      <c r="F2201" s="34"/>
      <c r="G2201" s="34" t="s">
        <v>201</v>
      </c>
      <c r="H2201" s="35" t="s">
        <v>769</v>
      </c>
      <c r="I2201" s="43" t="s">
        <v>59</v>
      </c>
      <c r="J2201" s="36">
        <v>5.0582212214368762E-10</v>
      </c>
      <c r="K2201" s="36">
        <v>1.1505667936514886E-8</v>
      </c>
      <c r="L2201" s="37">
        <v>1.0965151475111982E-5</v>
      </c>
      <c r="M2201" s="36">
        <v>1.4212489859768877E-5</v>
      </c>
      <c r="N2201" s="36">
        <v>3.3882549127592575E-8</v>
      </c>
      <c r="O2201" s="36">
        <v>6.2956717819611692E-5</v>
      </c>
      <c r="P2201">
        <v>9.3019669436915486E-5</v>
      </c>
    </row>
    <row r="2202" spans="1:16" hidden="1" x14ac:dyDescent="0.35">
      <c r="A2202" s="3">
        <f xml:space="preserve"> ROW( data_scaledImpacts[[#This Row],[row_id]] ) - ROW( data_scaledImpacts[[#Headers],[row_id]] )</f>
        <v>2201</v>
      </c>
      <c r="B2202" s="41" t="str">
        <f xml:space="preserve"> _xlfn.TEXTJOIN( "", , data_scaledImpacts[[#This Row],[sector]:[impactType]] )</f>
        <v>ValleyFeverMIROC54N/AMorbidity</v>
      </c>
      <c r="C2202" s="33" t="s">
        <v>978</v>
      </c>
      <c r="D2202" s="33" t="s">
        <v>4</v>
      </c>
      <c r="E2202" s="34">
        <v>4</v>
      </c>
      <c r="F2202" s="34"/>
      <c r="G2202" s="34" t="s">
        <v>201</v>
      </c>
      <c r="H2202" s="35" t="s">
        <v>769</v>
      </c>
      <c r="I2202" s="43" t="s">
        <v>60</v>
      </c>
      <c r="J2202" s="36">
        <v>1.4033829075185502E-7</v>
      </c>
      <c r="K2202" s="36">
        <v>1.3543591325237682E-8</v>
      </c>
      <c r="L2202" s="37">
        <v>2.5812415609232125E-5</v>
      </c>
      <c r="M2202" s="36">
        <v>1.1402784327019148E-5</v>
      </c>
      <c r="N2202" s="36">
        <v>3.4514744905616756E-8</v>
      </c>
      <c r="O2202" s="36">
        <v>6.3280099835615026E-5</v>
      </c>
      <c r="P2202">
        <v>9.0720595456316726E-5</v>
      </c>
    </row>
    <row r="2203" spans="1:16" hidden="1" x14ac:dyDescent="0.35">
      <c r="A2203" s="3">
        <f xml:space="preserve"> ROW( data_scaledImpacts[[#This Row],[row_id]] ) - ROW( data_scaledImpacts[[#Headers],[row_id]] )</f>
        <v>2202</v>
      </c>
      <c r="B2203" s="41" t="str">
        <f xml:space="preserve"> _xlfn.TEXTJOIN( "", , data_scaledImpacts[[#This Row],[sector]:[impactType]] )</f>
        <v>ValleyFeverGFDL-CM34N/AMorbidity</v>
      </c>
      <c r="C2203" s="33" t="s">
        <v>978</v>
      </c>
      <c r="D2203" s="33" t="s">
        <v>5</v>
      </c>
      <c r="E2203" s="34">
        <v>4</v>
      </c>
      <c r="F2203" s="34"/>
      <c r="G2203" s="34" t="s">
        <v>201</v>
      </c>
      <c r="H2203" s="35" t="s">
        <v>769</v>
      </c>
      <c r="I2203" s="43" t="s">
        <v>61</v>
      </c>
      <c r="J2203" s="36">
        <v>0</v>
      </c>
      <c r="K2203" s="36">
        <v>1.2337074994189581E-8</v>
      </c>
      <c r="L2203" s="37">
        <v>3.6445455186251062E-6</v>
      </c>
      <c r="M2203" s="36">
        <v>1.380001151177274E-5</v>
      </c>
      <c r="N2203" s="36">
        <v>3.7063605143984077E-8</v>
      </c>
      <c r="O2203" s="36">
        <v>6.8094692571661887E-5</v>
      </c>
      <c r="P2203">
        <v>9.7300491472555571E-5</v>
      </c>
    </row>
    <row r="2204" spans="1:16" hidden="1" x14ac:dyDescent="0.35">
      <c r="A2204" s="3">
        <f xml:space="preserve"> ROW( data_scaledImpacts[[#This Row],[row_id]] ) - ROW( data_scaledImpacts[[#Headers],[row_id]] )</f>
        <v>2203</v>
      </c>
      <c r="B2204" s="41" t="str">
        <f xml:space="preserve"> _xlfn.TEXTJOIN( "", , data_scaledImpacts[[#This Row],[sector]:[impactType]] )</f>
        <v>ValleyFeverGCM Average4N/AMorbidity</v>
      </c>
      <c r="C2204" s="33" t="s">
        <v>978</v>
      </c>
      <c r="D2204" s="33" t="s">
        <v>15</v>
      </c>
      <c r="E2204" s="34">
        <v>4</v>
      </c>
      <c r="F2204" s="34"/>
      <c r="G2204" s="34" t="s">
        <v>201</v>
      </c>
      <c r="H2204" s="35" t="s">
        <v>769</v>
      </c>
      <c r="I2204" s="43" t="s">
        <v>62</v>
      </c>
      <c r="J2204" s="36">
        <v>2.8412539927250593E-8</v>
      </c>
      <c r="K2204" s="36">
        <v>1.1685659423539689E-8</v>
      </c>
      <c r="L2204" s="37">
        <v>1.0805498477812547E-5</v>
      </c>
      <c r="M2204" s="36">
        <v>1.4385251348136212E-5</v>
      </c>
      <c r="N2204" s="36">
        <v>3.4688820649758765E-8</v>
      </c>
      <c r="O2204" s="36">
        <v>6.3451602091289599E-5</v>
      </c>
      <c r="P2204">
        <v>7.9780507603419826E-5</v>
      </c>
    </row>
    <row r="2205" spans="1:16" hidden="1" x14ac:dyDescent="0.35">
      <c r="A2205" s="3">
        <f xml:space="preserve"> ROW( data_scaledImpacts[[#This Row],[row_id]] ) - ROW( data_scaledImpacts[[#Headers],[row_id]] )</f>
        <v>2204</v>
      </c>
      <c r="B2205" s="41" t="str">
        <f xml:space="preserve"> _xlfn.TEXTJOIN( "", , data_scaledImpacts[[#This Row],[sector]:[impactType]] )</f>
        <v>ValleyFeverCanESM25N/AMorbidity</v>
      </c>
      <c r="C2205" s="33" t="s">
        <v>978</v>
      </c>
      <c r="D2205" s="33" t="s">
        <v>0</v>
      </c>
      <c r="E2205" s="34">
        <v>5</v>
      </c>
      <c r="F2205" s="34"/>
      <c r="G2205" s="34" t="s">
        <v>201</v>
      </c>
      <c r="H2205" s="35" t="s">
        <v>769</v>
      </c>
      <c r="I2205" s="43" t="s">
        <v>63</v>
      </c>
      <c r="J2205" s="36">
        <v>0</v>
      </c>
      <c r="K2205" s="36">
        <v>1.5918444477192789E-8</v>
      </c>
      <c r="L2205" s="37">
        <v>1.2582678912291549E-5</v>
      </c>
      <c r="M2205" s="36">
        <v>2.4174299845160927E-5</v>
      </c>
      <c r="N2205" s="36">
        <v>3.8412568251848792E-8</v>
      </c>
      <c r="O2205" s="36">
        <v>6.6157826880883762E-5</v>
      </c>
      <c r="P2205">
        <v>1.3315183818184507E-5</v>
      </c>
    </row>
    <row r="2206" spans="1:16" hidden="1" x14ac:dyDescent="0.35">
      <c r="A2206" s="3">
        <f xml:space="preserve"> ROW( data_scaledImpacts[[#This Row],[row_id]] ) - ROW( data_scaledImpacts[[#Headers],[row_id]] )</f>
        <v>2205</v>
      </c>
      <c r="B2206" s="41" t="str">
        <f xml:space="preserve"> _xlfn.TEXTJOIN( "", , data_scaledImpacts[[#This Row],[sector]:[impactType]] )</f>
        <v>ValleyFeverCCSM45N/AMorbidity</v>
      </c>
      <c r="C2206" s="33" t="s">
        <v>978</v>
      </c>
      <c r="D2206" s="33" t="s">
        <v>1</v>
      </c>
      <c r="E2206" s="34">
        <v>5</v>
      </c>
      <c r="F2206" s="34"/>
      <c r="G2206" s="34" t="s">
        <v>201</v>
      </c>
      <c r="H2206" s="35" t="s">
        <v>769</v>
      </c>
      <c r="I2206" s="43" t="s">
        <v>64</v>
      </c>
      <c r="J2206" s="36">
        <v>3.6557602867627824E-9</v>
      </c>
      <c r="K2206" s="36">
        <v>1.1638161220917697E-8</v>
      </c>
      <c r="L2206" s="37">
        <v>1.6310070814921951E-5</v>
      </c>
      <c r="M2206" s="36">
        <v>1.9124016118013159E-5</v>
      </c>
      <c r="N2206" s="36">
        <v>3.4371523637450972E-8</v>
      </c>
      <c r="O2206" s="36">
        <v>7.1591358341932258E-5</v>
      </c>
      <c r="P2206">
        <v>1.0308518943975511E-4</v>
      </c>
    </row>
    <row r="2207" spans="1:16" hidden="1" x14ac:dyDescent="0.35">
      <c r="A2207" s="3">
        <f xml:space="preserve"> ROW( data_scaledImpacts[[#This Row],[row_id]] ) - ROW( data_scaledImpacts[[#Headers],[row_id]] )</f>
        <v>2206</v>
      </c>
      <c r="B2207" s="41" t="str">
        <f xml:space="preserve"> _xlfn.TEXTJOIN( "", , data_scaledImpacts[[#This Row],[sector]:[impactType]] )</f>
        <v>ValleyFeverGISS-E2-R5N/AMorbidity</v>
      </c>
      <c r="C2207" s="33" t="s">
        <v>978</v>
      </c>
      <c r="D2207" s="33" t="s">
        <v>2</v>
      </c>
      <c r="E2207" s="34">
        <v>5</v>
      </c>
      <c r="F2207" s="34"/>
      <c r="G2207" s="34" t="s">
        <v>201</v>
      </c>
      <c r="H2207" s="35" t="s">
        <v>769</v>
      </c>
      <c r="I2207" s="43" t="s">
        <v>65</v>
      </c>
      <c r="J2207" s="36"/>
      <c r="K2207" s="36"/>
      <c r="L2207" s="37"/>
      <c r="M2207" s="36"/>
      <c r="N2207" s="36"/>
      <c r="O2207" s="36"/>
    </row>
    <row r="2208" spans="1:16" hidden="1" x14ac:dyDescent="0.35">
      <c r="A2208" s="3">
        <f xml:space="preserve"> ROW( data_scaledImpacts[[#This Row],[row_id]] ) - ROW( data_scaledImpacts[[#Headers],[row_id]] )</f>
        <v>2207</v>
      </c>
      <c r="B2208" s="41" t="str">
        <f xml:space="preserve"> _xlfn.TEXTJOIN( "", , data_scaledImpacts[[#This Row],[sector]:[impactType]] )</f>
        <v>ValleyFeverHadGEM2-ES5N/AMorbidity</v>
      </c>
      <c r="C2208" s="33" t="s">
        <v>978</v>
      </c>
      <c r="D2208" s="33" t="s">
        <v>3</v>
      </c>
      <c r="E2208" s="34">
        <v>5</v>
      </c>
      <c r="F2208" s="34"/>
      <c r="G2208" s="34" t="s">
        <v>201</v>
      </c>
      <c r="H2208" s="35" t="s">
        <v>769</v>
      </c>
      <c r="I2208" s="43" t="s">
        <v>66</v>
      </c>
      <c r="J2208" s="36">
        <v>1.4163019420023254E-9</v>
      </c>
      <c r="K2208" s="36">
        <v>1.5970833661071272E-8</v>
      </c>
      <c r="L2208" s="37">
        <v>2.0241134769752753E-5</v>
      </c>
      <c r="M2208" s="36">
        <v>2.0248669921218488E-5</v>
      </c>
      <c r="N2208" s="36">
        <v>3.5836243178279119E-8</v>
      </c>
      <c r="O2208" s="36">
        <v>6.6721066225380527E-5</v>
      </c>
      <c r="P2208">
        <v>1.1962782246964436E-4</v>
      </c>
    </row>
    <row r="2209" spans="1:16" hidden="1" x14ac:dyDescent="0.35">
      <c r="A2209" s="3">
        <f xml:space="preserve"> ROW( data_scaledImpacts[[#This Row],[row_id]] ) - ROW( data_scaledImpacts[[#Headers],[row_id]] )</f>
        <v>2208</v>
      </c>
      <c r="B2209" s="41" t="str">
        <f xml:space="preserve"> _xlfn.TEXTJOIN( "", , data_scaledImpacts[[#This Row],[sector]:[impactType]] )</f>
        <v>ValleyFeverMIROC55N/AMorbidity</v>
      </c>
      <c r="C2209" s="33" t="s">
        <v>978</v>
      </c>
      <c r="D2209" s="33" t="s">
        <v>4</v>
      </c>
      <c r="E2209" s="34">
        <v>5</v>
      </c>
      <c r="F2209" s="34"/>
      <c r="G2209" s="34" t="s">
        <v>201</v>
      </c>
      <c r="H2209" s="35" t="s">
        <v>769</v>
      </c>
      <c r="I2209" s="43" t="s">
        <v>67</v>
      </c>
      <c r="J2209" s="36">
        <v>9.926458130142951E-8</v>
      </c>
      <c r="K2209" s="36">
        <v>1.6364961369821218E-8</v>
      </c>
      <c r="L2209" s="37">
        <v>3.5590151665496835E-5</v>
      </c>
      <c r="M2209" s="36">
        <v>1.6075880580287722E-5</v>
      </c>
      <c r="N2209" s="36">
        <v>3.5889631528298979E-8</v>
      </c>
      <c r="O2209" s="36">
        <v>7.362352536614849E-5</v>
      </c>
      <c r="P2209">
        <v>1.1426534681498814E-4</v>
      </c>
    </row>
    <row r="2210" spans="1:16" hidden="1" x14ac:dyDescent="0.35">
      <c r="A2210" s="3">
        <f xml:space="preserve"> ROW( data_scaledImpacts[[#This Row],[row_id]] ) - ROW( data_scaledImpacts[[#Headers],[row_id]] )</f>
        <v>2209</v>
      </c>
      <c r="B2210" s="41" t="str">
        <f xml:space="preserve"> _xlfn.TEXTJOIN( "", , data_scaledImpacts[[#This Row],[sector]:[impactType]] )</f>
        <v>ValleyFeverGFDL-CM35N/AMorbidity</v>
      </c>
      <c r="C2210" s="33" t="s">
        <v>978</v>
      </c>
      <c r="D2210" s="33" t="s">
        <v>5</v>
      </c>
      <c r="E2210" s="34">
        <v>5</v>
      </c>
      <c r="F2210" s="34"/>
      <c r="G2210" s="34" t="s">
        <v>201</v>
      </c>
      <c r="H2210" s="35" t="s">
        <v>769</v>
      </c>
      <c r="I2210" s="43" t="s">
        <v>68</v>
      </c>
      <c r="J2210" s="36">
        <v>0</v>
      </c>
      <c r="K2210" s="36">
        <v>1.5275851550786965E-8</v>
      </c>
      <c r="L2210" s="37">
        <v>7.0210976098671852E-6</v>
      </c>
      <c r="M2210" s="36">
        <v>1.8004446215528891E-5</v>
      </c>
      <c r="N2210" s="36">
        <v>3.927159468687374E-8</v>
      </c>
      <c r="O2210" s="36">
        <v>7.5629947159236313E-5</v>
      </c>
      <c r="P2210">
        <v>1.1437894198126306E-4</v>
      </c>
    </row>
    <row r="2211" spans="1:16" hidden="1" x14ac:dyDescent="0.35">
      <c r="A2211" s="3">
        <f xml:space="preserve"> ROW( data_scaledImpacts[[#This Row],[row_id]] ) - ROW( data_scaledImpacts[[#Headers],[row_id]] )</f>
        <v>2210</v>
      </c>
      <c r="B2211" s="41" t="str">
        <f xml:space="preserve"> _xlfn.TEXTJOIN( "", , data_scaledImpacts[[#This Row],[sector]:[impactType]] )</f>
        <v>ValleyFeverGCM Average5N/AMorbidity</v>
      </c>
      <c r="C2211" s="33" t="s">
        <v>978</v>
      </c>
      <c r="D2211" s="33" t="s">
        <v>15</v>
      </c>
      <c r="E2211" s="34">
        <v>5</v>
      </c>
      <c r="F2211" s="34"/>
      <c r="G2211" s="34" t="s">
        <v>201</v>
      </c>
      <c r="H2211" s="35" t="s">
        <v>769</v>
      </c>
      <c r="I2211" s="43" t="s">
        <v>69</v>
      </c>
      <c r="J2211" s="36">
        <v>2.0867328706038923E-8</v>
      </c>
      <c r="K2211" s="36">
        <v>1.5033650455957989E-8</v>
      </c>
      <c r="L2211" s="37">
        <v>1.8349026754466051E-5</v>
      </c>
      <c r="M2211" s="36">
        <v>1.9525462536041837E-5</v>
      </c>
      <c r="N2211" s="36">
        <v>3.6756312256550314E-8</v>
      </c>
      <c r="O2211" s="36">
        <v>7.074474479471627E-5</v>
      </c>
      <c r="P2211">
        <v>9.2934496904767037E-5</v>
      </c>
    </row>
    <row r="2212" spans="1:16" hidden="1" x14ac:dyDescent="0.35">
      <c r="A2212" s="3">
        <f xml:space="preserve"> ROW( data_scaledImpacts[[#This Row],[row_id]] ) - ROW( data_scaledImpacts[[#Headers],[row_id]] )</f>
        <v>2211</v>
      </c>
      <c r="B2212" s="41" t="str">
        <f xml:space="preserve"> _xlfn.TEXTJOIN( "", , data_scaledImpacts[[#This Row],[sector]:[impactType]] )</f>
        <v>ValleyFeverCanESM26N/AMorbidity</v>
      </c>
      <c r="C2212" s="33" t="s">
        <v>978</v>
      </c>
      <c r="D2212" s="33" t="s">
        <v>0</v>
      </c>
      <c r="E2212" s="34">
        <v>6</v>
      </c>
      <c r="F2212" s="34"/>
      <c r="G2212" s="34" t="s">
        <v>201</v>
      </c>
      <c r="H2212" s="35" t="s">
        <v>769</v>
      </c>
      <c r="I2212" s="43" t="s">
        <v>70</v>
      </c>
      <c r="J2212" s="36">
        <v>0</v>
      </c>
      <c r="K2212" s="36">
        <v>2.0026552760288661E-8</v>
      </c>
      <c r="L2212" s="37">
        <v>2.4742604799548999E-5</v>
      </c>
      <c r="M2212" s="36">
        <v>3.2261924165381119E-5</v>
      </c>
      <c r="N2212" s="36">
        <v>4.020600692793424E-8</v>
      </c>
      <c r="O2212" s="36">
        <v>7.2785854148873458E-5</v>
      </c>
      <c r="P2212">
        <v>2.5315048954886115E-5</v>
      </c>
    </row>
    <row r="2213" spans="1:16" hidden="1" x14ac:dyDescent="0.35">
      <c r="A2213" s="3">
        <f xml:space="preserve"> ROW( data_scaledImpacts[[#This Row],[row_id]] ) - ROW( data_scaledImpacts[[#Headers],[row_id]] )</f>
        <v>2212</v>
      </c>
      <c r="B2213" s="41" t="str">
        <f xml:space="preserve"> _xlfn.TEXTJOIN( "", , data_scaledImpacts[[#This Row],[sector]:[impactType]] )</f>
        <v>ValleyFeverCCSM46N/AMorbidity</v>
      </c>
      <c r="C2213" s="33" t="s">
        <v>978</v>
      </c>
      <c r="D2213" s="33" t="s">
        <v>1</v>
      </c>
      <c r="E2213" s="34">
        <v>6</v>
      </c>
      <c r="F2213" s="34"/>
      <c r="G2213" s="34" t="s">
        <v>201</v>
      </c>
      <c r="H2213" s="35" t="s">
        <v>769</v>
      </c>
      <c r="I2213" s="43" t="s">
        <v>71</v>
      </c>
      <c r="J2213" s="36"/>
      <c r="K2213" s="36"/>
      <c r="L2213" s="37"/>
      <c r="M2213" s="36"/>
      <c r="N2213" s="36"/>
      <c r="O2213" s="36"/>
    </row>
    <row r="2214" spans="1:16" hidden="1" x14ac:dyDescent="0.35">
      <c r="A2214" s="3">
        <f xml:space="preserve"> ROW( data_scaledImpacts[[#This Row],[row_id]] ) - ROW( data_scaledImpacts[[#Headers],[row_id]] )</f>
        <v>2213</v>
      </c>
      <c r="B2214" s="41" t="str">
        <f xml:space="preserve"> _xlfn.TEXTJOIN( "", , data_scaledImpacts[[#This Row],[sector]:[impactType]] )</f>
        <v>ValleyFeverGISS-E2-R6N/AMorbidity</v>
      </c>
      <c r="C2214" s="33" t="s">
        <v>978</v>
      </c>
      <c r="D2214" s="33" t="s">
        <v>2</v>
      </c>
      <c r="E2214" s="34">
        <v>6</v>
      </c>
      <c r="F2214" s="34"/>
      <c r="G2214" s="34" t="s">
        <v>201</v>
      </c>
      <c r="H2214" s="35" t="s">
        <v>769</v>
      </c>
      <c r="I2214" s="43" t="s">
        <v>72</v>
      </c>
      <c r="J2214" s="36"/>
      <c r="K2214" s="36"/>
      <c r="L2214" s="37"/>
      <c r="M2214" s="36"/>
      <c r="N2214" s="36"/>
      <c r="O2214" s="36"/>
    </row>
    <row r="2215" spans="1:16" hidden="1" x14ac:dyDescent="0.35">
      <c r="A2215" s="3">
        <f xml:space="preserve"> ROW( data_scaledImpacts[[#This Row],[row_id]] ) - ROW( data_scaledImpacts[[#Headers],[row_id]] )</f>
        <v>2214</v>
      </c>
      <c r="B2215" s="41" t="str">
        <f xml:space="preserve"> _xlfn.TEXTJOIN( "", , data_scaledImpacts[[#This Row],[sector]:[impactType]] )</f>
        <v>ValleyFeverHadGEM2-ES6N/AMorbidity</v>
      </c>
      <c r="C2215" s="33" t="s">
        <v>978</v>
      </c>
      <c r="D2215" s="33" t="s">
        <v>3</v>
      </c>
      <c r="E2215" s="34">
        <v>6</v>
      </c>
      <c r="F2215" s="34"/>
      <c r="G2215" s="34" t="s">
        <v>201</v>
      </c>
      <c r="H2215" s="35" t="s">
        <v>769</v>
      </c>
      <c r="I2215" s="43" t="s">
        <v>73</v>
      </c>
      <c r="J2215" s="36">
        <v>9.6173928714985694E-9</v>
      </c>
      <c r="K2215" s="36">
        <v>2.0228843973968016E-8</v>
      </c>
      <c r="L2215" s="37">
        <v>3.242417177330016E-5</v>
      </c>
      <c r="M2215" s="36">
        <v>2.8364971223157783E-5</v>
      </c>
      <c r="N2215" s="36">
        <v>3.8336374919415043E-8</v>
      </c>
      <c r="O2215" s="36">
        <v>7.1473279432939446E-5</v>
      </c>
      <c r="P2215">
        <v>1.4045409915974897E-4</v>
      </c>
    </row>
    <row r="2216" spans="1:16" hidden="1" x14ac:dyDescent="0.35">
      <c r="A2216" s="3">
        <f xml:space="preserve"> ROW( data_scaledImpacts[[#This Row],[row_id]] ) - ROW( data_scaledImpacts[[#Headers],[row_id]] )</f>
        <v>2215</v>
      </c>
      <c r="B2216" s="41" t="str">
        <f xml:space="preserve"> _xlfn.TEXTJOIN( "", , data_scaledImpacts[[#This Row],[sector]:[impactType]] )</f>
        <v>ValleyFeverMIROC56N/AMorbidity</v>
      </c>
      <c r="C2216" s="33" t="s">
        <v>978</v>
      </c>
      <c r="D2216" s="33" t="s">
        <v>4</v>
      </c>
      <c r="E2216" s="34">
        <v>6</v>
      </c>
      <c r="F2216" s="34"/>
      <c r="G2216" s="34" t="s">
        <v>201</v>
      </c>
      <c r="H2216" s="35" t="s">
        <v>769</v>
      </c>
      <c r="I2216" s="43" t="s">
        <v>74</v>
      </c>
      <c r="J2216" s="36"/>
      <c r="K2216" s="36"/>
      <c r="L2216" s="37"/>
      <c r="M2216" s="36"/>
      <c r="N2216" s="36"/>
      <c r="O2216" s="36"/>
    </row>
    <row r="2217" spans="1:16" hidden="1" x14ac:dyDescent="0.35">
      <c r="A2217" s="3">
        <f xml:space="preserve"> ROW( data_scaledImpacts[[#This Row],[row_id]] ) - ROW( data_scaledImpacts[[#Headers],[row_id]] )</f>
        <v>2216</v>
      </c>
      <c r="B2217" s="41" t="str">
        <f xml:space="preserve"> _xlfn.TEXTJOIN( "", , data_scaledImpacts[[#This Row],[sector]:[impactType]] )</f>
        <v>ValleyFeverGFDL-CM36N/AMorbidity</v>
      </c>
      <c r="C2217" s="33" t="s">
        <v>978</v>
      </c>
      <c r="D2217" s="33" t="s">
        <v>5</v>
      </c>
      <c r="E2217" s="34">
        <v>6</v>
      </c>
      <c r="F2217" s="34"/>
      <c r="G2217" s="34" t="s">
        <v>201</v>
      </c>
      <c r="H2217" s="35" t="s">
        <v>769</v>
      </c>
      <c r="I2217" s="43" t="s">
        <v>75</v>
      </c>
      <c r="J2217" s="36">
        <v>0</v>
      </c>
      <c r="K2217" s="36">
        <v>1.9760650216592864E-8</v>
      </c>
      <c r="L2217" s="37">
        <v>1.7384830463527483E-5</v>
      </c>
      <c r="M2217" s="36">
        <v>2.5227981485906563E-5</v>
      </c>
      <c r="N2217" s="36">
        <v>4.1985510631169723E-8</v>
      </c>
      <c r="O2217" s="36">
        <v>8.102235601383931E-5</v>
      </c>
      <c r="P2217">
        <v>1.6595713528511763E-4</v>
      </c>
    </row>
    <row r="2218" spans="1:16" hidden="1" x14ac:dyDescent="0.35">
      <c r="A2218" s="3">
        <f xml:space="preserve"> ROW( data_scaledImpacts[[#This Row],[row_id]] ) - ROW( data_scaledImpacts[[#Headers],[row_id]] )</f>
        <v>2217</v>
      </c>
      <c r="B2218" s="41" t="str">
        <f xml:space="preserve"> _xlfn.TEXTJOIN( "", , data_scaledImpacts[[#This Row],[sector]:[impactType]] )</f>
        <v>ValleyFeverGCM Average6N/AMorbidity</v>
      </c>
      <c r="C2218" s="33" t="s">
        <v>978</v>
      </c>
      <c r="D2218" s="33" t="s">
        <v>15</v>
      </c>
      <c r="E2218" s="34">
        <v>6</v>
      </c>
      <c r="F2218" s="34"/>
      <c r="G2218" s="34" t="s">
        <v>201</v>
      </c>
      <c r="H2218" s="35" t="s">
        <v>769</v>
      </c>
      <c r="I2218" s="43" t="s">
        <v>76</v>
      </c>
      <c r="J2218" s="36">
        <v>3.2057976238328563E-9</v>
      </c>
      <c r="K2218" s="36">
        <v>2.0005348983616515E-8</v>
      </c>
      <c r="L2218" s="37">
        <v>2.4850535678792212E-5</v>
      </c>
      <c r="M2218" s="36">
        <v>2.8618292291481823E-5</v>
      </c>
      <c r="N2218" s="36">
        <v>4.0175964159506333E-8</v>
      </c>
      <c r="O2218" s="36">
        <v>7.5093829865217418E-5</v>
      </c>
      <c r="P2218">
        <v>1.1057542779991758E-4</v>
      </c>
    </row>
    <row r="2219" spans="1:16" hidden="1" x14ac:dyDescent="0.35">
      <c r="A2219" s="3">
        <f xml:space="preserve"> ROW( data_scaledImpacts[[#This Row],[row_id]] ) - ROW( data_scaledImpacts[[#Headers],[row_id]] )</f>
        <v>2218</v>
      </c>
      <c r="B2219" s="41" t="str">
        <f xml:space="preserve"> _xlfn.TEXTJOIN( "", , data_scaledImpacts[[#This Row],[sector]:[impactType]] )</f>
        <v>ValleyFeverCanESM27N/AMorbidity</v>
      </c>
      <c r="C2219" s="33" t="s">
        <v>978</v>
      </c>
      <c r="D2219" s="33" t="s">
        <v>0</v>
      </c>
      <c r="E2219" s="34">
        <v>7</v>
      </c>
      <c r="F2219" s="34"/>
      <c r="G2219" s="34" t="s">
        <v>201</v>
      </c>
      <c r="H2219" s="35" t="s">
        <v>769</v>
      </c>
      <c r="I2219" s="43" t="s">
        <v>77</v>
      </c>
      <c r="J2219" s="36"/>
      <c r="K2219" s="36"/>
      <c r="L2219" s="37"/>
      <c r="M2219" s="36"/>
      <c r="N2219" s="36"/>
      <c r="O2219" s="36"/>
    </row>
    <row r="2220" spans="1:16" hidden="1" x14ac:dyDescent="0.35">
      <c r="A2220" s="3">
        <f xml:space="preserve"> ROW( data_scaledImpacts[[#This Row],[row_id]] ) - ROW( data_scaledImpacts[[#Headers],[row_id]] )</f>
        <v>2219</v>
      </c>
      <c r="B2220" s="41" t="str">
        <f xml:space="preserve"> _xlfn.TEXTJOIN( "", , data_scaledImpacts[[#This Row],[sector]:[impactType]] )</f>
        <v>ValleyFeverCCSM47N/AMorbidity</v>
      </c>
      <c r="C2220" s="33" t="s">
        <v>978</v>
      </c>
      <c r="D2220" s="33" t="s">
        <v>1</v>
      </c>
      <c r="E2220" s="34">
        <v>7</v>
      </c>
      <c r="F2220" s="34"/>
      <c r="G2220" s="34" t="s">
        <v>201</v>
      </c>
      <c r="H2220" s="35" t="s">
        <v>769</v>
      </c>
      <c r="I2220" s="43" t="s">
        <v>78</v>
      </c>
      <c r="J2220" s="36"/>
      <c r="K2220" s="36"/>
      <c r="L2220" s="37"/>
      <c r="M2220" s="36"/>
      <c r="N2220" s="36"/>
      <c r="O2220" s="36"/>
    </row>
    <row r="2221" spans="1:16" hidden="1" x14ac:dyDescent="0.35">
      <c r="A2221" s="3">
        <f xml:space="preserve"> ROW( data_scaledImpacts[[#This Row],[row_id]] ) - ROW( data_scaledImpacts[[#Headers],[row_id]] )</f>
        <v>2220</v>
      </c>
      <c r="B2221" s="41" t="str">
        <f xml:space="preserve"> _xlfn.TEXTJOIN( "", , data_scaledImpacts[[#This Row],[sector]:[impactType]] )</f>
        <v>ValleyFeverGISS-E2-R7N/AMorbidity</v>
      </c>
      <c r="C2221" s="33" t="s">
        <v>978</v>
      </c>
      <c r="D2221" s="33" t="s">
        <v>2</v>
      </c>
      <c r="E2221" s="34">
        <v>7</v>
      </c>
      <c r="F2221" s="34"/>
      <c r="G2221" s="34" t="s">
        <v>201</v>
      </c>
      <c r="H2221" s="35" t="s">
        <v>769</v>
      </c>
      <c r="I2221" s="43" t="s">
        <v>79</v>
      </c>
      <c r="J2221" s="36"/>
      <c r="K2221" s="36"/>
      <c r="L2221" s="37"/>
      <c r="M2221" s="36"/>
      <c r="N2221" s="36"/>
      <c r="O2221" s="36"/>
    </row>
    <row r="2222" spans="1:16" hidden="1" x14ac:dyDescent="0.35">
      <c r="A2222" s="3">
        <f xml:space="preserve"> ROW( data_scaledImpacts[[#This Row],[row_id]] ) - ROW( data_scaledImpacts[[#Headers],[row_id]] )</f>
        <v>2221</v>
      </c>
      <c r="B2222" s="41" t="str">
        <f xml:space="preserve"> _xlfn.TEXTJOIN( "", , data_scaledImpacts[[#This Row],[sector]:[impactType]] )</f>
        <v>ValleyFeverHadGEM2-ES7N/AMorbidity</v>
      </c>
      <c r="C2222" s="33" t="s">
        <v>978</v>
      </c>
      <c r="D2222" s="33" t="s">
        <v>3</v>
      </c>
      <c r="E2222" s="34">
        <v>7</v>
      </c>
      <c r="F2222" s="34"/>
      <c r="G2222" s="34" t="s">
        <v>201</v>
      </c>
      <c r="H2222" s="35" t="s">
        <v>769</v>
      </c>
      <c r="I2222" s="43" t="s">
        <v>80</v>
      </c>
      <c r="J2222" s="36"/>
      <c r="K2222" s="36"/>
      <c r="L2222" s="37"/>
      <c r="M2222" s="36"/>
      <c r="N2222" s="36"/>
      <c r="O2222" s="36"/>
    </row>
    <row r="2223" spans="1:16" hidden="1" x14ac:dyDescent="0.35">
      <c r="A2223" s="3">
        <f xml:space="preserve"> ROW( data_scaledImpacts[[#This Row],[row_id]] ) - ROW( data_scaledImpacts[[#Headers],[row_id]] )</f>
        <v>2222</v>
      </c>
      <c r="B2223" s="41" t="str">
        <f xml:space="preserve"> _xlfn.TEXTJOIN( "", , data_scaledImpacts[[#This Row],[sector]:[impactType]] )</f>
        <v>ValleyFeverMIROC57N/AMorbidity</v>
      </c>
      <c r="C2223" s="33" t="s">
        <v>978</v>
      </c>
      <c r="D2223" s="33" t="s">
        <v>4</v>
      </c>
      <c r="E2223" s="34">
        <v>7</v>
      </c>
      <c r="F2223" s="34"/>
      <c r="G2223" s="34" t="s">
        <v>201</v>
      </c>
      <c r="H2223" s="35" t="s">
        <v>769</v>
      </c>
      <c r="I2223" s="43" t="s">
        <v>81</v>
      </c>
      <c r="J2223" s="36"/>
      <c r="K2223" s="36"/>
      <c r="L2223" s="37"/>
      <c r="M2223" s="36"/>
      <c r="N2223" s="36"/>
      <c r="O2223" s="36"/>
    </row>
    <row r="2224" spans="1:16" hidden="1" x14ac:dyDescent="0.35">
      <c r="A2224" s="3">
        <f xml:space="preserve"> ROW( data_scaledImpacts[[#This Row],[row_id]] ) - ROW( data_scaledImpacts[[#Headers],[row_id]] )</f>
        <v>2223</v>
      </c>
      <c r="B2224" s="41" t="str">
        <f xml:space="preserve"> _xlfn.TEXTJOIN( "", , data_scaledImpacts[[#This Row],[sector]:[impactType]] )</f>
        <v>ValleyFeverGFDL-CM37N/AMorbidity</v>
      </c>
      <c r="C2224" s="33" t="s">
        <v>978</v>
      </c>
      <c r="D2224" s="33" t="s">
        <v>5</v>
      </c>
      <c r="E2224" s="34">
        <v>7</v>
      </c>
      <c r="F2224" s="34"/>
      <c r="G2224" s="34" t="s">
        <v>201</v>
      </c>
      <c r="H2224" s="35" t="s">
        <v>769</v>
      </c>
      <c r="I2224" s="43" t="s">
        <v>82</v>
      </c>
      <c r="J2224" s="36"/>
      <c r="K2224" s="36"/>
      <c r="L2224" s="37"/>
      <c r="M2224" s="36"/>
      <c r="N2224" s="36"/>
      <c r="O2224" s="36"/>
    </row>
    <row r="2225" spans="1:16" hidden="1" x14ac:dyDescent="0.35">
      <c r="A2225" s="3">
        <f xml:space="preserve"> ROW( data_scaledImpacts[[#This Row],[row_id]] ) - ROW( data_scaledImpacts[[#Headers],[row_id]] )</f>
        <v>2224</v>
      </c>
      <c r="B2225" s="41" t="str">
        <f xml:space="preserve"> _xlfn.TEXTJOIN( "", , data_scaledImpacts[[#This Row],[sector]:[impactType]] )</f>
        <v>ValleyFeverGCM Average7N/AMorbidity</v>
      </c>
      <c r="C2225" s="33" t="s">
        <v>978</v>
      </c>
      <c r="D2225" s="33" t="s">
        <v>15</v>
      </c>
      <c r="E2225" s="34">
        <v>7</v>
      </c>
      <c r="F2225" s="34"/>
      <c r="G2225" s="34" t="s">
        <v>201</v>
      </c>
      <c r="H2225" s="35" t="s">
        <v>769</v>
      </c>
      <c r="I2225" s="43" t="s">
        <v>83</v>
      </c>
      <c r="J2225" s="38"/>
      <c r="K2225" s="38"/>
      <c r="L2225" s="39"/>
      <c r="M2225" s="38"/>
      <c r="N2225" s="38"/>
      <c r="O2225" s="38"/>
    </row>
    <row r="2226" spans="1:16" hidden="1" x14ac:dyDescent="0.35">
      <c r="A2226" s="3">
        <f xml:space="preserve"> ROW( data_scaledImpacts[[#This Row],[row_id]] ) - ROW( data_scaledImpacts[[#Headers],[row_id]] )</f>
        <v>2225</v>
      </c>
      <c r="B2226" s="41" t="str">
        <f xml:space="preserve"> _xlfn.TEXTJOIN( "", , data_scaledImpacts[[#This Row],[sector]:[impactType]] )</f>
        <v>ValleyFeverCanESM21N/ALost Wages</v>
      </c>
      <c r="C2226" s="33" t="s">
        <v>978</v>
      </c>
      <c r="D2226" s="33" t="s">
        <v>0</v>
      </c>
      <c r="E2226" s="34">
        <v>1</v>
      </c>
      <c r="F2226" s="34"/>
      <c r="G2226" s="34" t="s">
        <v>201</v>
      </c>
      <c r="H2226" s="35" t="s">
        <v>989</v>
      </c>
      <c r="I2226" s="43" t="s">
        <v>35</v>
      </c>
      <c r="J2226" s="36">
        <v>0</v>
      </c>
      <c r="K2226" s="36">
        <v>2.0605355368702687E-9</v>
      </c>
      <c r="L2226" s="37">
        <v>6.1452257788394397E-8</v>
      </c>
      <c r="M2226" s="36">
        <v>3.0606688144916843E-6</v>
      </c>
      <c r="N2226" s="36">
        <v>1.4426450737307564E-8</v>
      </c>
      <c r="O2226" s="36">
        <v>1.9013339156625682E-5</v>
      </c>
      <c r="P2226">
        <v>2.0396408768162984E-5</v>
      </c>
    </row>
    <row r="2227" spans="1:16" hidden="1" x14ac:dyDescent="0.35">
      <c r="A2227" s="3">
        <f xml:space="preserve"> ROW( data_scaledImpacts[[#This Row],[row_id]] ) - ROW( data_scaledImpacts[[#Headers],[row_id]] )</f>
        <v>2226</v>
      </c>
      <c r="B2227" s="41" t="str">
        <f xml:space="preserve"> _xlfn.TEXTJOIN( "", , data_scaledImpacts[[#This Row],[sector]:[impactType]] )</f>
        <v>ValleyFeverCCSM41N/ALost Wages</v>
      </c>
      <c r="C2227" s="33" t="s">
        <v>978</v>
      </c>
      <c r="D2227" s="33" t="s">
        <v>1</v>
      </c>
      <c r="E2227" s="34">
        <v>1</v>
      </c>
      <c r="F2227" s="34"/>
      <c r="G2227" s="34" t="s">
        <v>201</v>
      </c>
      <c r="H2227" s="35" t="s">
        <v>989</v>
      </c>
      <c r="I2227" s="43" t="s">
        <v>36</v>
      </c>
      <c r="J2227" s="36">
        <v>0</v>
      </c>
      <c r="K2227" s="36">
        <v>2.0338042636917515E-10</v>
      </c>
      <c r="L2227" s="37">
        <v>9.1177976703645665E-8</v>
      </c>
      <c r="M2227" s="36">
        <v>2.2179482455873038E-6</v>
      </c>
      <c r="N2227" s="36">
        <v>1.2877562474731193E-8</v>
      </c>
      <c r="O2227" s="36">
        <v>2.1033810758164977E-5</v>
      </c>
      <c r="P2227">
        <v>1.7292304043460544E-5</v>
      </c>
    </row>
    <row r="2228" spans="1:16" hidden="1" x14ac:dyDescent="0.35">
      <c r="A2228" s="3">
        <f xml:space="preserve"> ROW( data_scaledImpacts[[#This Row],[row_id]] ) - ROW( data_scaledImpacts[[#Headers],[row_id]] )</f>
        <v>2227</v>
      </c>
      <c r="B2228" s="41" t="str">
        <f xml:space="preserve"> _xlfn.TEXTJOIN( "", , data_scaledImpacts[[#This Row],[sector]:[impactType]] )</f>
        <v>ValleyFeverGISS-E2-R1N/ALost Wages</v>
      </c>
      <c r="C2228" s="33" t="s">
        <v>978</v>
      </c>
      <c r="D2228" s="33" t="s">
        <v>2</v>
      </c>
      <c r="E2228" s="34">
        <v>1</v>
      </c>
      <c r="F2228" s="34"/>
      <c r="G2228" s="34" t="s">
        <v>201</v>
      </c>
      <c r="H2228" s="35" t="s">
        <v>989</v>
      </c>
      <c r="I2228" s="43" t="s">
        <v>37</v>
      </c>
      <c r="J2228" s="36">
        <v>0</v>
      </c>
      <c r="K2228" s="36">
        <v>1.1586970088666762E-9</v>
      </c>
      <c r="L2228" s="37">
        <v>1.6764283531861511E-8</v>
      </c>
      <c r="M2228" s="36">
        <v>2.2593567479627853E-6</v>
      </c>
      <c r="N2228" s="36">
        <v>2.4860151054675428E-8</v>
      </c>
      <c r="O2228" s="36">
        <v>3.4145847351445059E-5</v>
      </c>
      <c r="P2228">
        <v>1.66827676820455E-5</v>
      </c>
    </row>
    <row r="2229" spans="1:16" hidden="1" x14ac:dyDescent="0.35">
      <c r="A2229" s="3">
        <f xml:space="preserve"> ROW( data_scaledImpacts[[#This Row],[row_id]] ) - ROW( data_scaledImpacts[[#Headers],[row_id]] )</f>
        <v>2228</v>
      </c>
      <c r="B2229" s="41" t="str">
        <f xml:space="preserve"> _xlfn.TEXTJOIN( "", , data_scaledImpacts[[#This Row],[sector]:[impactType]] )</f>
        <v>ValleyFeverHadGEM2-ES1N/ALost Wages</v>
      </c>
      <c r="C2229" s="33" t="s">
        <v>978</v>
      </c>
      <c r="D2229" s="33" t="s">
        <v>3</v>
      </c>
      <c r="E2229" s="34">
        <v>1</v>
      </c>
      <c r="F2229" s="34"/>
      <c r="G2229" s="34" t="s">
        <v>201</v>
      </c>
      <c r="H2229" s="35" t="s">
        <v>989</v>
      </c>
      <c r="I2229" s="43" t="s">
        <v>38</v>
      </c>
      <c r="J2229" s="36">
        <v>0</v>
      </c>
      <c r="K2229" s="36">
        <v>1.0497321356520297E-10</v>
      </c>
      <c r="L2229" s="37">
        <v>8.6324565684496256E-8</v>
      </c>
      <c r="M2229" s="36">
        <v>3.007259337559659E-6</v>
      </c>
      <c r="N2229" s="36">
        <v>1.462451267934274E-8</v>
      </c>
      <c r="O2229" s="36">
        <v>2.8424095696431503E-5</v>
      </c>
      <c r="P2229">
        <v>1.8658822752565462E-5</v>
      </c>
    </row>
    <row r="2230" spans="1:16" hidden="1" x14ac:dyDescent="0.35">
      <c r="A2230" s="3">
        <f xml:space="preserve"> ROW( data_scaledImpacts[[#This Row],[row_id]] ) - ROW( data_scaledImpacts[[#Headers],[row_id]] )</f>
        <v>2229</v>
      </c>
      <c r="B2230" s="41" t="str">
        <f xml:space="preserve"> _xlfn.TEXTJOIN( "", , data_scaledImpacts[[#This Row],[sector]:[impactType]] )</f>
        <v>ValleyFeverMIROC51N/ALost Wages</v>
      </c>
      <c r="C2230" s="33" t="s">
        <v>978</v>
      </c>
      <c r="D2230" s="33" t="s">
        <v>4</v>
      </c>
      <c r="E2230" s="34">
        <v>1</v>
      </c>
      <c r="F2230" s="34"/>
      <c r="G2230" s="34" t="s">
        <v>201</v>
      </c>
      <c r="H2230" s="35" t="s">
        <v>989</v>
      </c>
      <c r="I2230" s="43" t="s">
        <v>39</v>
      </c>
      <c r="J2230" s="36">
        <v>0</v>
      </c>
      <c r="K2230" s="36">
        <v>1.7909209097259567E-9</v>
      </c>
      <c r="L2230" s="37">
        <v>2.3073450814574692E-7</v>
      </c>
      <c r="M2230" s="36">
        <v>2.746354078389496E-6</v>
      </c>
      <c r="N2230" s="36">
        <v>1.7335527912008069E-8</v>
      </c>
      <c r="O2230" s="36">
        <v>3.2659632265576077E-5</v>
      </c>
      <c r="P2230">
        <v>2.1030618003018562E-5</v>
      </c>
    </row>
    <row r="2231" spans="1:16" hidden="1" x14ac:dyDescent="0.35">
      <c r="A2231" s="3">
        <f xml:space="preserve"> ROW( data_scaledImpacts[[#This Row],[row_id]] ) - ROW( data_scaledImpacts[[#Headers],[row_id]] )</f>
        <v>2230</v>
      </c>
      <c r="B2231" s="41" t="str">
        <f xml:space="preserve"> _xlfn.TEXTJOIN( "", , data_scaledImpacts[[#This Row],[sector]:[impactType]] )</f>
        <v>ValleyFeverGFDL-CM31N/ALost Wages</v>
      </c>
      <c r="C2231" s="33" t="s">
        <v>978</v>
      </c>
      <c r="D2231" s="33" t="s">
        <v>5</v>
      </c>
      <c r="E2231" s="34">
        <v>1</v>
      </c>
      <c r="F2231" s="34"/>
      <c r="G2231" s="34" t="s">
        <v>201</v>
      </c>
      <c r="H2231" s="35" t="s">
        <v>989</v>
      </c>
      <c r="I2231" s="43" t="s">
        <v>40</v>
      </c>
      <c r="J2231" s="36">
        <v>0</v>
      </c>
      <c r="K2231" s="36">
        <v>1.6609583160989627E-9</v>
      </c>
      <c r="L2231" s="37">
        <v>1.1438274573042112E-8</v>
      </c>
      <c r="M2231" s="36">
        <v>2.4224875526561442E-6</v>
      </c>
      <c r="N2231" s="36">
        <v>1.6033410489421543E-8</v>
      </c>
      <c r="O2231" s="36">
        <v>2.5099731990627466E-5</v>
      </c>
      <c r="P2231">
        <v>2.042757350163548E-5</v>
      </c>
    </row>
    <row r="2232" spans="1:16" hidden="1" x14ac:dyDescent="0.35">
      <c r="A2232" s="3">
        <f xml:space="preserve"> ROW( data_scaledImpacts[[#This Row],[row_id]] ) - ROW( data_scaledImpacts[[#Headers],[row_id]] )</f>
        <v>2231</v>
      </c>
      <c r="B2232" s="41" t="str">
        <f xml:space="preserve"> _xlfn.TEXTJOIN( "", , data_scaledImpacts[[#This Row],[sector]:[impactType]] )</f>
        <v>ValleyFeverGCM Average1N/ALost Wages</v>
      </c>
      <c r="C2232" s="33" t="s">
        <v>978</v>
      </c>
      <c r="D2232" s="33" t="s">
        <v>15</v>
      </c>
      <c r="E2232" s="34">
        <v>1</v>
      </c>
      <c r="F2232" s="34"/>
      <c r="G2232" s="34" t="s">
        <v>201</v>
      </c>
      <c r="H2232" s="35" t="s">
        <v>989</v>
      </c>
      <c r="I2232" s="43" t="s">
        <v>41</v>
      </c>
      <c r="J2232" s="36">
        <v>0</v>
      </c>
      <c r="K2232" s="36">
        <v>1.1632442352493738E-9</v>
      </c>
      <c r="L2232" s="37">
        <v>8.2981977737864473E-8</v>
      </c>
      <c r="M2232" s="36">
        <v>2.619012462774512E-6</v>
      </c>
      <c r="N2232" s="36">
        <v>1.6692935891247758E-8</v>
      </c>
      <c r="O2232" s="36">
        <v>2.6729409536478454E-5</v>
      </c>
      <c r="P2232">
        <v>1.9081415791814755E-5</v>
      </c>
    </row>
    <row r="2233" spans="1:16" hidden="1" x14ac:dyDescent="0.35">
      <c r="A2233" s="3">
        <f xml:space="preserve"> ROW( data_scaledImpacts[[#This Row],[row_id]] ) - ROW( data_scaledImpacts[[#Headers],[row_id]] )</f>
        <v>2232</v>
      </c>
      <c r="B2233" s="41" t="str">
        <f xml:space="preserve"> _xlfn.TEXTJOIN( "", , data_scaledImpacts[[#This Row],[sector]:[impactType]] )</f>
        <v>ValleyFeverCanESM22N/ALost Wages</v>
      </c>
      <c r="C2233" s="33" t="s">
        <v>978</v>
      </c>
      <c r="D2233" s="33" t="s">
        <v>0</v>
      </c>
      <c r="E2233" s="34">
        <v>2</v>
      </c>
      <c r="F2233" s="34"/>
      <c r="G2233" s="34" t="s">
        <v>201</v>
      </c>
      <c r="H2233" s="35" t="s">
        <v>989</v>
      </c>
      <c r="I2233" s="43" t="s">
        <v>42</v>
      </c>
      <c r="J2233" s="36">
        <v>0</v>
      </c>
      <c r="K2233" s="36">
        <v>5.2201678295054649E-9</v>
      </c>
      <c r="L2233" s="37">
        <v>3.0888211857796711E-7</v>
      </c>
      <c r="M2233" s="36">
        <v>7.4773719789518172E-6</v>
      </c>
      <c r="N2233" s="36">
        <v>3.1738795769349678E-8</v>
      </c>
      <c r="O2233" s="36">
        <v>4.4184389996855999E-5</v>
      </c>
      <c r="P2233">
        <v>4.6973798505983434E-5</v>
      </c>
    </row>
    <row r="2234" spans="1:16" hidden="1" x14ac:dyDescent="0.35">
      <c r="A2234" s="3">
        <f xml:space="preserve"> ROW( data_scaledImpacts[[#This Row],[row_id]] ) - ROW( data_scaledImpacts[[#Headers],[row_id]] )</f>
        <v>2233</v>
      </c>
      <c r="B2234" s="41" t="str">
        <f xml:space="preserve"> _xlfn.TEXTJOIN( "", , data_scaledImpacts[[#This Row],[sector]:[impactType]] )</f>
        <v>ValleyFeverCCSM42N/ALost Wages</v>
      </c>
      <c r="C2234" s="33" t="s">
        <v>978</v>
      </c>
      <c r="D2234" s="33" t="s">
        <v>1</v>
      </c>
      <c r="E2234" s="34">
        <v>2</v>
      </c>
      <c r="F2234" s="34"/>
      <c r="G2234" s="34" t="s">
        <v>201</v>
      </c>
      <c r="H2234" s="35" t="s">
        <v>989</v>
      </c>
      <c r="I2234" s="43" t="s">
        <v>43</v>
      </c>
      <c r="J2234" s="36">
        <v>0</v>
      </c>
      <c r="K2234" s="36">
        <v>1.3054927022398511E-9</v>
      </c>
      <c r="L2234" s="37">
        <v>7.395448473139603E-7</v>
      </c>
      <c r="M2234" s="36">
        <v>6.2231768278954086E-6</v>
      </c>
      <c r="N2234" s="36">
        <v>2.8290642584465386E-8</v>
      </c>
      <c r="O2234" s="36">
        <v>4.9088769648944052E-5</v>
      </c>
      <c r="P2234">
        <v>4.3365671002602842E-5</v>
      </c>
    </row>
    <row r="2235" spans="1:16" hidden="1" x14ac:dyDescent="0.35">
      <c r="A2235" s="3">
        <f xml:space="preserve"> ROW( data_scaledImpacts[[#This Row],[row_id]] ) - ROW( data_scaledImpacts[[#Headers],[row_id]] )</f>
        <v>2234</v>
      </c>
      <c r="B2235" s="41" t="str">
        <f xml:space="preserve"> _xlfn.TEXTJOIN( "", , data_scaledImpacts[[#This Row],[sector]:[impactType]] )</f>
        <v>ValleyFeverGISS-E2-R2N/ALost Wages</v>
      </c>
      <c r="C2235" s="33" t="s">
        <v>978</v>
      </c>
      <c r="D2235" s="33" t="s">
        <v>2</v>
      </c>
      <c r="E2235" s="34">
        <v>2</v>
      </c>
      <c r="F2235" s="34"/>
      <c r="G2235" s="34" t="s">
        <v>201</v>
      </c>
      <c r="H2235" s="35" t="s">
        <v>989</v>
      </c>
      <c r="I2235" s="43" t="s">
        <v>44</v>
      </c>
      <c r="J2235" s="36">
        <v>0</v>
      </c>
      <c r="K2235" s="36">
        <v>4.6124215952532809E-9</v>
      </c>
      <c r="L2235" s="37">
        <v>3.1458742622198875E-7</v>
      </c>
      <c r="M2235" s="36">
        <v>4.1983349230694379E-6</v>
      </c>
      <c r="N2235" s="36">
        <v>2.9683660407122568E-8</v>
      </c>
      <c r="O2235" s="36">
        <v>4.7543044467741598E-5</v>
      </c>
      <c r="P2235">
        <v>4.5193973423335738E-5</v>
      </c>
    </row>
    <row r="2236" spans="1:16" hidden="1" x14ac:dyDescent="0.35">
      <c r="A2236" s="3">
        <f xml:space="preserve"> ROW( data_scaledImpacts[[#This Row],[row_id]] ) - ROW( data_scaledImpacts[[#Headers],[row_id]] )</f>
        <v>2235</v>
      </c>
      <c r="B2236" s="41" t="str">
        <f xml:space="preserve"> _xlfn.TEXTJOIN( "", , data_scaledImpacts[[#This Row],[sector]:[impactType]] )</f>
        <v>ValleyFeverHadGEM2-ES2N/ALost Wages</v>
      </c>
      <c r="C2236" s="33" t="s">
        <v>978</v>
      </c>
      <c r="D2236" s="33" t="s">
        <v>3</v>
      </c>
      <c r="E2236" s="34">
        <v>2</v>
      </c>
      <c r="F2236" s="34"/>
      <c r="G2236" s="34" t="s">
        <v>201</v>
      </c>
      <c r="H2236" s="35" t="s">
        <v>989</v>
      </c>
      <c r="I2236" s="43" t="s">
        <v>45</v>
      </c>
      <c r="J2236" s="36">
        <v>0</v>
      </c>
      <c r="K2236" s="36">
        <v>5.9393131972825703E-10</v>
      </c>
      <c r="L2236" s="37">
        <v>4.1524196369940361E-7</v>
      </c>
      <c r="M2236" s="36">
        <v>5.7562973176519881E-6</v>
      </c>
      <c r="N2236" s="36">
        <v>2.7083677349935147E-8</v>
      </c>
      <c r="O2236" s="36">
        <v>5.2508777157379682E-5</v>
      </c>
      <c r="P2236">
        <v>3.6209183553194581E-5</v>
      </c>
    </row>
    <row r="2237" spans="1:16" hidden="1" x14ac:dyDescent="0.35">
      <c r="A2237" s="3">
        <f xml:space="preserve"> ROW( data_scaledImpacts[[#This Row],[row_id]] ) - ROW( data_scaledImpacts[[#Headers],[row_id]] )</f>
        <v>2236</v>
      </c>
      <c r="B2237" s="41" t="str">
        <f xml:space="preserve"> _xlfn.TEXTJOIN( "", , data_scaledImpacts[[#This Row],[sector]:[impactType]] )</f>
        <v>ValleyFeverMIROC52N/ALost Wages</v>
      </c>
      <c r="C2237" s="33" t="s">
        <v>978</v>
      </c>
      <c r="D2237" s="33" t="s">
        <v>4</v>
      </c>
      <c r="E2237" s="34">
        <v>2</v>
      </c>
      <c r="F2237" s="34"/>
      <c r="G2237" s="34" t="s">
        <v>201</v>
      </c>
      <c r="H2237" s="35" t="s">
        <v>989</v>
      </c>
      <c r="I2237" s="43" t="s">
        <v>46</v>
      </c>
      <c r="J2237" s="36">
        <v>0</v>
      </c>
      <c r="K2237" s="36">
        <v>3.7161935171391253E-9</v>
      </c>
      <c r="L2237" s="37">
        <v>7.5385239936214259E-7</v>
      </c>
      <c r="M2237" s="36">
        <v>4.8806594388826627E-6</v>
      </c>
      <c r="N2237" s="36">
        <v>2.818984792227778E-8</v>
      </c>
      <c r="O2237" s="36">
        <v>5.2659947709662108E-5</v>
      </c>
      <c r="P2237">
        <v>3.9211908603645143E-5</v>
      </c>
    </row>
    <row r="2238" spans="1:16" hidden="1" x14ac:dyDescent="0.35">
      <c r="A2238" s="3">
        <f xml:space="preserve"> ROW( data_scaledImpacts[[#This Row],[row_id]] ) - ROW( data_scaledImpacts[[#Headers],[row_id]] )</f>
        <v>2237</v>
      </c>
      <c r="B2238" s="41" t="str">
        <f xml:space="preserve"> _xlfn.TEXTJOIN( "", , data_scaledImpacts[[#This Row],[sector]:[impactType]] )</f>
        <v>ValleyFeverGFDL-CM32N/ALost Wages</v>
      </c>
      <c r="C2238" s="33" t="s">
        <v>978</v>
      </c>
      <c r="D2238" s="33" t="s">
        <v>5</v>
      </c>
      <c r="E2238" s="34">
        <v>2</v>
      </c>
      <c r="F2238" s="34"/>
      <c r="G2238" s="34" t="s">
        <v>201</v>
      </c>
      <c r="H2238" s="35" t="s">
        <v>989</v>
      </c>
      <c r="I2238" s="43" t="s">
        <v>47</v>
      </c>
      <c r="J2238" s="36">
        <v>0</v>
      </c>
      <c r="K2238" s="36">
        <v>3.9221843290241707E-9</v>
      </c>
      <c r="L2238" s="37">
        <v>1.2036446468110639E-7</v>
      </c>
      <c r="M2238" s="36">
        <v>5.2162471593966873E-6</v>
      </c>
      <c r="N2238" s="36">
        <v>3.1112235081277344E-8</v>
      </c>
      <c r="O2238" s="36">
        <v>4.9296571239533544E-5</v>
      </c>
      <c r="P2238">
        <v>4.4577212896450222E-5</v>
      </c>
    </row>
    <row r="2239" spans="1:16" hidden="1" x14ac:dyDescent="0.35">
      <c r="A2239" s="3">
        <f xml:space="preserve"> ROW( data_scaledImpacts[[#This Row],[row_id]] ) - ROW( data_scaledImpacts[[#Headers],[row_id]] )</f>
        <v>2238</v>
      </c>
      <c r="B2239" s="41" t="str">
        <f xml:space="preserve"> _xlfn.TEXTJOIN( "", , data_scaledImpacts[[#This Row],[sector]:[impactType]] )</f>
        <v>ValleyFeverGCM Average2N/ALost Wages</v>
      </c>
      <c r="C2239" s="33" t="s">
        <v>978</v>
      </c>
      <c r="D2239" s="33" t="s">
        <v>15</v>
      </c>
      <c r="E2239" s="34">
        <v>2</v>
      </c>
      <c r="F2239" s="34"/>
      <c r="G2239" s="34" t="s">
        <v>201</v>
      </c>
      <c r="H2239" s="35" t="s">
        <v>989</v>
      </c>
      <c r="I2239" s="43" t="s">
        <v>48</v>
      </c>
      <c r="J2239" s="36">
        <v>0</v>
      </c>
      <c r="K2239" s="36">
        <v>3.2283985488150254E-9</v>
      </c>
      <c r="L2239" s="37">
        <v>4.420788699760948E-7</v>
      </c>
      <c r="M2239" s="36">
        <v>5.6253479409746673E-6</v>
      </c>
      <c r="N2239" s="36">
        <v>2.9349809852404648E-8</v>
      </c>
      <c r="O2239" s="36">
        <v>4.9213583370019492E-5</v>
      </c>
      <c r="P2239">
        <v>4.258862466420199E-5</v>
      </c>
    </row>
    <row r="2240" spans="1:16" hidden="1" x14ac:dyDescent="0.35">
      <c r="A2240" s="3">
        <f xml:space="preserve"> ROW( data_scaledImpacts[[#This Row],[row_id]] ) - ROW( data_scaledImpacts[[#Headers],[row_id]] )</f>
        <v>2239</v>
      </c>
      <c r="B2240" s="41" t="str">
        <f xml:space="preserve"> _xlfn.TEXTJOIN( "", , data_scaledImpacts[[#This Row],[sector]:[impactType]] )</f>
        <v>ValleyFeverCanESM23N/ALost Wages</v>
      </c>
      <c r="C2240" s="33" t="s">
        <v>978</v>
      </c>
      <c r="D2240" s="33" t="s">
        <v>0</v>
      </c>
      <c r="E2240" s="34">
        <v>3</v>
      </c>
      <c r="F2240" s="34"/>
      <c r="G2240" s="34" t="s">
        <v>201</v>
      </c>
      <c r="H2240" s="35" t="s">
        <v>989</v>
      </c>
      <c r="I2240" s="43" t="s">
        <v>49</v>
      </c>
      <c r="J2240" s="36">
        <v>0</v>
      </c>
      <c r="K2240" s="36">
        <v>8.6378058665089777E-9</v>
      </c>
      <c r="L2240" s="37">
        <v>1.2480352575137645E-6</v>
      </c>
      <c r="M2240" s="36">
        <v>1.1394388868830586E-5</v>
      </c>
      <c r="N2240" s="36">
        <v>3.3930583754934232E-8</v>
      </c>
      <c r="O2240" s="36">
        <v>5.725950109381169E-5</v>
      </c>
      <c r="P2240">
        <v>5.7604868717529064E-5</v>
      </c>
    </row>
    <row r="2241" spans="1:16" hidden="1" x14ac:dyDescent="0.35">
      <c r="A2241" s="3">
        <f xml:space="preserve"> ROW( data_scaledImpacts[[#This Row],[row_id]] ) - ROW( data_scaledImpacts[[#Headers],[row_id]] )</f>
        <v>2240</v>
      </c>
      <c r="B2241" s="41" t="str">
        <f xml:space="preserve"> _xlfn.TEXTJOIN( "", , data_scaledImpacts[[#This Row],[sector]:[impactType]] )</f>
        <v>ValleyFeverCCSM43N/ALost Wages</v>
      </c>
      <c r="C2241" s="33" t="s">
        <v>978</v>
      </c>
      <c r="D2241" s="33" t="s">
        <v>1</v>
      </c>
      <c r="E2241" s="34">
        <v>3</v>
      </c>
      <c r="F2241" s="34"/>
      <c r="G2241" s="34" t="s">
        <v>201</v>
      </c>
      <c r="H2241" s="35" t="s">
        <v>989</v>
      </c>
      <c r="I2241" s="43" t="s">
        <v>50</v>
      </c>
      <c r="J2241" s="36">
        <v>0</v>
      </c>
      <c r="K2241" s="36">
        <v>4.9493547487686721E-9</v>
      </c>
      <c r="L2241" s="37">
        <v>3.0203297305328165E-6</v>
      </c>
      <c r="M2241" s="36">
        <v>1.0800804198705362E-5</v>
      </c>
      <c r="N2241" s="36">
        <v>2.9347028477089604E-8</v>
      </c>
      <c r="O2241" s="36">
        <v>5.5246750728997006E-5</v>
      </c>
      <c r="P2241">
        <v>6.5913668719440449E-5</v>
      </c>
    </row>
    <row r="2242" spans="1:16" hidden="1" x14ac:dyDescent="0.35">
      <c r="A2242" s="3">
        <f xml:space="preserve"> ROW( data_scaledImpacts[[#This Row],[row_id]] ) - ROW( data_scaledImpacts[[#Headers],[row_id]] )</f>
        <v>2241</v>
      </c>
      <c r="B2242" s="41" t="str">
        <f xml:space="preserve"> _xlfn.TEXTJOIN( "", , data_scaledImpacts[[#This Row],[sector]:[impactType]] )</f>
        <v>ValleyFeverGISS-E2-R3N/ALost Wages</v>
      </c>
      <c r="C2242" s="33" t="s">
        <v>978</v>
      </c>
      <c r="D2242" s="33" t="s">
        <v>2</v>
      </c>
      <c r="E2242" s="34">
        <v>3</v>
      </c>
      <c r="F2242" s="34"/>
      <c r="G2242" s="34" t="s">
        <v>201</v>
      </c>
      <c r="H2242" s="35" t="s">
        <v>989</v>
      </c>
      <c r="I2242" s="43" t="s">
        <v>51</v>
      </c>
      <c r="J2242" s="36">
        <v>0</v>
      </c>
      <c r="K2242" s="36">
        <v>6.5068618806773262E-9</v>
      </c>
      <c r="L2242" s="37">
        <v>1.6117580964002866E-6</v>
      </c>
      <c r="M2242" s="36">
        <v>7.6828082941361014E-6</v>
      </c>
      <c r="N2242" s="36">
        <v>3.1365083326471439E-8</v>
      </c>
      <c r="O2242" s="36">
        <v>5.4445495218719728E-5</v>
      </c>
      <c r="P2242">
        <v>7.169098163947492E-5</v>
      </c>
    </row>
    <row r="2243" spans="1:16" hidden="1" x14ac:dyDescent="0.35">
      <c r="A2243" s="3">
        <f xml:space="preserve"> ROW( data_scaledImpacts[[#This Row],[row_id]] ) - ROW( data_scaledImpacts[[#Headers],[row_id]] )</f>
        <v>2242</v>
      </c>
      <c r="B2243" s="41" t="str">
        <f xml:space="preserve"> _xlfn.TEXTJOIN( "", , data_scaledImpacts[[#This Row],[sector]:[impactType]] )</f>
        <v>ValleyFeverHadGEM2-ES3N/ALost Wages</v>
      </c>
      <c r="C2243" s="33" t="s">
        <v>978</v>
      </c>
      <c r="D2243" s="33" t="s">
        <v>3</v>
      </c>
      <c r="E2243" s="34">
        <v>3</v>
      </c>
      <c r="F2243" s="34"/>
      <c r="G2243" s="34" t="s">
        <v>201</v>
      </c>
      <c r="H2243" s="35" t="s">
        <v>989</v>
      </c>
      <c r="I2243" s="43" t="s">
        <v>52</v>
      </c>
      <c r="J2243" s="36">
        <v>0</v>
      </c>
      <c r="K2243" s="36">
        <v>6.3787485928126381E-9</v>
      </c>
      <c r="L2243" s="37">
        <v>4.1186351924229308E-6</v>
      </c>
      <c r="M2243" s="36">
        <v>9.3555741581842817E-6</v>
      </c>
      <c r="N2243" s="36">
        <v>3.1488980210331084E-8</v>
      </c>
      <c r="O2243" s="36">
        <v>5.9186511694403129E-5</v>
      </c>
      <c r="P2243">
        <v>6.5650466809887237E-5</v>
      </c>
    </row>
    <row r="2244" spans="1:16" hidden="1" x14ac:dyDescent="0.35">
      <c r="A2244" s="3">
        <f xml:space="preserve"> ROW( data_scaledImpacts[[#This Row],[row_id]] ) - ROW( data_scaledImpacts[[#Headers],[row_id]] )</f>
        <v>2243</v>
      </c>
      <c r="B2244" s="41" t="str">
        <f xml:space="preserve"> _xlfn.TEXTJOIN( "", , data_scaledImpacts[[#This Row],[sector]:[impactType]] )</f>
        <v>ValleyFeverMIROC53N/ALost Wages</v>
      </c>
      <c r="C2244" s="33" t="s">
        <v>978</v>
      </c>
      <c r="D2244" s="33" t="s">
        <v>4</v>
      </c>
      <c r="E2244" s="34">
        <v>3</v>
      </c>
      <c r="F2244" s="34"/>
      <c r="G2244" s="34" t="s">
        <v>201</v>
      </c>
      <c r="H2244" s="35" t="s">
        <v>989</v>
      </c>
      <c r="I2244" s="43" t="s">
        <v>53</v>
      </c>
      <c r="J2244" s="36">
        <v>1.1583368429737666E-8</v>
      </c>
      <c r="K2244" s="36">
        <v>8.3378100637736571E-9</v>
      </c>
      <c r="L2244" s="37">
        <v>4.4551025960278407E-6</v>
      </c>
      <c r="M2244" s="36">
        <v>7.7689499044010879E-6</v>
      </c>
      <c r="N2244" s="36">
        <v>3.243207021699133E-8</v>
      </c>
      <c r="O2244" s="36">
        <v>5.8610462968518302E-5</v>
      </c>
      <c r="P2244">
        <v>6.9339809260482067E-5</v>
      </c>
    </row>
    <row r="2245" spans="1:16" hidden="1" x14ac:dyDescent="0.35">
      <c r="A2245" s="3">
        <f xml:space="preserve"> ROW( data_scaledImpacts[[#This Row],[row_id]] ) - ROW( data_scaledImpacts[[#Headers],[row_id]] )</f>
        <v>2244</v>
      </c>
      <c r="B2245" s="41" t="str">
        <f xml:space="preserve"> _xlfn.TEXTJOIN( "", , data_scaledImpacts[[#This Row],[sector]:[impactType]] )</f>
        <v>ValleyFeverGFDL-CM33N/ALost Wages</v>
      </c>
      <c r="C2245" s="33" t="s">
        <v>978</v>
      </c>
      <c r="D2245" s="33" t="s">
        <v>5</v>
      </c>
      <c r="E2245" s="34">
        <v>3</v>
      </c>
      <c r="F2245" s="34"/>
      <c r="G2245" s="34" t="s">
        <v>201</v>
      </c>
      <c r="H2245" s="35" t="s">
        <v>989</v>
      </c>
      <c r="I2245" s="43" t="s">
        <v>54</v>
      </c>
      <c r="J2245" s="36">
        <v>0</v>
      </c>
      <c r="K2245" s="36">
        <v>8.7796555168195044E-9</v>
      </c>
      <c r="L2245" s="37">
        <v>9.5750382349301165E-7</v>
      </c>
      <c r="M2245" s="36">
        <v>9.2023633821798841E-6</v>
      </c>
      <c r="N2245" s="36">
        <v>3.4387966425499006E-8</v>
      </c>
      <c r="O2245" s="36">
        <v>5.8485247097115901E-5</v>
      </c>
      <c r="P2245">
        <v>7.9841514159845705E-5</v>
      </c>
    </row>
    <row r="2246" spans="1:16" hidden="1" x14ac:dyDescent="0.35">
      <c r="A2246" s="3">
        <f xml:space="preserve"> ROW( data_scaledImpacts[[#This Row],[row_id]] ) - ROW( data_scaledImpacts[[#Headers],[row_id]] )</f>
        <v>2245</v>
      </c>
      <c r="B2246" s="41" t="str">
        <f xml:space="preserve"> _xlfn.TEXTJOIN( "", , data_scaledImpacts[[#This Row],[sector]:[impactType]] )</f>
        <v>ValleyFeverGCM Average3N/ALost Wages</v>
      </c>
      <c r="C2246" s="33" t="s">
        <v>978</v>
      </c>
      <c r="D2246" s="33" t="s">
        <v>15</v>
      </c>
      <c r="E2246" s="34">
        <v>3</v>
      </c>
      <c r="F2246" s="34"/>
      <c r="G2246" s="34" t="s">
        <v>201</v>
      </c>
      <c r="H2246" s="35" t="s">
        <v>989</v>
      </c>
      <c r="I2246" s="43" t="s">
        <v>55</v>
      </c>
      <c r="J2246" s="36">
        <v>1.9305614049562777E-9</v>
      </c>
      <c r="K2246" s="36">
        <v>7.2650394448934627E-9</v>
      </c>
      <c r="L2246" s="37">
        <v>2.5685607827317747E-6</v>
      </c>
      <c r="M2246" s="36">
        <v>9.3674814677395499E-6</v>
      </c>
      <c r="N2246" s="36">
        <v>3.2158618735219451E-8</v>
      </c>
      <c r="O2246" s="36">
        <v>5.7205661466927624E-5</v>
      </c>
      <c r="P2246">
        <v>6.8340218217776571E-5</v>
      </c>
    </row>
    <row r="2247" spans="1:16" hidden="1" x14ac:dyDescent="0.35">
      <c r="A2247" s="3">
        <f xml:space="preserve"> ROW( data_scaledImpacts[[#This Row],[row_id]] ) - ROW( data_scaledImpacts[[#Headers],[row_id]] )</f>
        <v>2246</v>
      </c>
      <c r="B2247" s="41" t="str">
        <f xml:space="preserve"> _xlfn.TEXTJOIN( "", , data_scaledImpacts[[#This Row],[sector]:[impactType]] )</f>
        <v>ValleyFeverCanESM24N/ALost Wages</v>
      </c>
      <c r="C2247" s="33" t="s">
        <v>978</v>
      </c>
      <c r="D2247" s="33" t="s">
        <v>0</v>
      </c>
      <c r="E2247" s="34">
        <v>4</v>
      </c>
      <c r="F2247" s="34"/>
      <c r="G2247" s="34" t="s">
        <v>201</v>
      </c>
      <c r="H2247" s="35" t="s">
        <v>989</v>
      </c>
      <c r="I2247" s="43" t="s">
        <v>56</v>
      </c>
      <c r="J2247" s="36">
        <v>0</v>
      </c>
      <c r="K2247" s="36">
        <v>1.2196213777974697E-8</v>
      </c>
      <c r="L2247" s="37">
        <v>5.1140026710334787E-6</v>
      </c>
      <c r="M2247" s="36">
        <v>1.7281107243475272E-5</v>
      </c>
      <c r="N2247" s="36">
        <v>3.6283647199465875E-8</v>
      </c>
      <c r="O2247" s="36">
        <v>6.1870600813144179E-5</v>
      </c>
      <c r="P2247">
        <v>2.9566561269339708E-5</v>
      </c>
    </row>
    <row r="2248" spans="1:16" hidden="1" x14ac:dyDescent="0.35">
      <c r="A2248" s="3">
        <f xml:space="preserve"> ROW( data_scaledImpacts[[#This Row],[row_id]] ) - ROW( data_scaledImpacts[[#Headers],[row_id]] )</f>
        <v>2247</v>
      </c>
      <c r="B2248" s="41" t="str">
        <f xml:space="preserve"> _xlfn.TEXTJOIN( "", , data_scaledImpacts[[#This Row],[sector]:[impactType]] )</f>
        <v>ValleyFeverCCSM44N/ALost Wages</v>
      </c>
      <c r="C2248" s="33" t="s">
        <v>978</v>
      </c>
      <c r="D2248" s="33" t="s">
        <v>1</v>
      </c>
      <c r="E2248" s="34">
        <v>4</v>
      </c>
      <c r="F2248" s="34"/>
      <c r="G2248" s="34" t="s">
        <v>201</v>
      </c>
      <c r="H2248" s="35" t="s">
        <v>989</v>
      </c>
      <c r="I2248" s="43" t="s">
        <v>57</v>
      </c>
      <c r="J2248" s="36">
        <v>1.2185867622542608E-9</v>
      </c>
      <c r="K2248" s="36">
        <v>8.8457490837816067E-9</v>
      </c>
      <c r="L2248" s="37">
        <v>8.4913771150600409E-6</v>
      </c>
      <c r="M2248" s="36">
        <v>1.5229863798645011E-5</v>
      </c>
      <c r="N2248" s="36">
        <v>3.1699556872134554E-8</v>
      </c>
      <c r="O2248" s="36">
        <v>6.105589941641521E-5</v>
      </c>
      <c r="P2248">
        <v>8.8295220381971685E-5</v>
      </c>
    </row>
    <row r="2249" spans="1:16" hidden="1" x14ac:dyDescent="0.35">
      <c r="A2249" s="3">
        <f xml:space="preserve"> ROW( data_scaledImpacts[[#This Row],[row_id]] ) - ROW( data_scaledImpacts[[#Headers],[row_id]] )</f>
        <v>2248</v>
      </c>
      <c r="B2249" s="41" t="str">
        <f xml:space="preserve"> _xlfn.TEXTJOIN( "", , data_scaledImpacts[[#This Row],[sector]:[impactType]] )</f>
        <v>ValleyFeverGISS-E2-R4N/ALost Wages</v>
      </c>
      <c r="C2249" s="33" t="s">
        <v>978</v>
      </c>
      <c r="D2249" s="33" t="s">
        <v>2</v>
      </c>
      <c r="E2249" s="34">
        <v>4</v>
      </c>
      <c r="F2249" s="34"/>
      <c r="G2249" s="34" t="s">
        <v>201</v>
      </c>
      <c r="H2249" s="35" t="s">
        <v>989</v>
      </c>
      <c r="I2249" s="43" t="s">
        <v>58</v>
      </c>
      <c r="J2249" s="36"/>
      <c r="K2249" s="36"/>
      <c r="L2249" s="37"/>
      <c r="M2249" s="36"/>
      <c r="N2249" s="36"/>
      <c r="O2249" s="36"/>
    </row>
    <row r="2250" spans="1:16" hidden="1" x14ac:dyDescent="0.35">
      <c r="A2250" s="3">
        <f xml:space="preserve"> ROW( data_scaledImpacts[[#This Row],[row_id]] ) - ROW( data_scaledImpacts[[#Headers],[row_id]] )</f>
        <v>2249</v>
      </c>
      <c r="B2250" s="41" t="str">
        <f xml:space="preserve"> _xlfn.TEXTJOIN( "", , data_scaledImpacts[[#This Row],[sector]:[impactType]] )</f>
        <v>ValleyFeverHadGEM2-ES4N/ALost Wages</v>
      </c>
      <c r="C2250" s="33" t="s">
        <v>978</v>
      </c>
      <c r="D2250" s="33" t="s">
        <v>3</v>
      </c>
      <c r="E2250" s="34">
        <v>4</v>
      </c>
      <c r="F2250" s="34"/>
      <c r="G2250" s="34" t="s">
        <v>201</v>
      </c>
      <c r="H2250" s="35" t="s">
        <v>989</v>
      </c>
      <c r="I2250" s="43" t="s">
        <v>59</v>
      </c>
      <c r="J2250" s="36">
        <v>5.0582212214368762E-10</v>
      </c>
      <c r="K2250" s="36">
        <v>1.1505667936514886E-8</v>
      </c>
      <c r="L2250" s="37">
        <v>1.0965151475111982E-5</v>
      </c>
      <c r="M2250" s="36">
        <v>1.4212489859768877E-5</v>
      </c>
      <c r="N2250" s="36">
        <v>3.3882549127592575E-8</v>
      </c>
      <c r="O2250" s="36">
        <v>6.2956717819611692E-5</v>
      </c>
      <c r="P2250">
        <v>9.3019669436915486E-5</v>
      </c>
    </row>
    <row r="2251" spans="1:16" hidden="1" x14ac:dyDescent="0.35">
      <c r="A2251" s="3">
        <f xml:space="preserve"> ROW( data_scaledImpacts[[#This Row],[row_id]] ) - ROW( data_scaledImpacts[[#Headers],[row_id]] )</f>
        <v>2250</v>
      </c>
      <c r="B2251" s="41" t="str">
        <f xml:space="preserve"> _xlfn.TEXTJOIN( "", , data_scaledImpacts[[#This Row],[sector]:[impactType]] )</f>
        <v>ValleyFeverMIROC54N/ALost Wages</v>
      </c>
      <c r="C2251" s="33" t="s">
        <v>978</v>
      </c>
      <c r="D2251" s="33" t="s">
        <v>4</v>
      </c>
      <c r="E2251" s="34">
        <v>4</v>
      </c>
      <c r="F2251" s="34"/>
      <c r="G2251" s="34" t="s">
        <v>201</v>
      </c>
      <c r="H2251" s="35" t="s">
        <v>989</v>
      </c>
      <c r="I2251" s="43" t="s">
        <v>60</v>
      </c>
      <c r="J2251" s="36">
        <v>1.4033829075185502E-7</v>
      </c>
      <c r="K2251" s="36">
        <v>1.3543591325237682E-8</v>
      </c>
      <c r="L2251" s="37">
        <v>2.5812415609232125E-5</v>
      </c>
      <c r="M2251" s="36">
        <v>1.1402784327019148E-5</v>
      </c>
      <c r="N2251" s="36">
        <v>3.4514744905616756E-8</v>
      </c>
      <c r="O2251" s="36">
        <v>6.3280099835615026E-5</v>
      </c>
      <c r="P2251">
        <v>9.0720595456316726E-5</v>
      </c>
    </row>
    <row r="2252" spans="1:16" hidden="1" x14ac:dyDescent="0.35">
      <c r="A2252" s="3">
        <f xml:space="preserve"> ROW( data_scaledImpacts[[#This Row],[row_id]] ) - ROW( data_scaledImpacts[[#Headers],[row_id]] )</f>
        <v>2251</v>
      </c>
      <c r="B2252" s="41" t="str">
        <f xml:space="preserve"> _xlfn.TEXTJOIN( "", , data_scaledImpacts[[#This Row],[sector]:[impactType]] )</f>
        <v>ValleyFeverGFDL-CM34N/ALost Wages</v>
      </c>
      <c r="C2252" s="33" t="s">
        <v>978</v>
      </c>
      <c r="D2252" s="33" t="s">
        <v>5</v>
      </c>
      <c r="E2252" s="34">
        <v>4</v>
      </c>
      <c r="F2252" s="34"/>
      <c r="G2252" s="34" t="s">
        <v>201</v>
      </c>
      <c r="H2252" s="35" t="s">
        <v>989</v>
      </c>
      <c r="I2252" s="43" t="s">
        <v>61</v>
      </c>
      <c r="J2252" s="36">
        <v>0</v>
      </c>
      <c r="K2252" s="36">
        <v>1.2337074994189581E-8</v>
      </c>
      <c r="L2252" s="37">
        <v>3.6445455186251062E-6</v>
      </c>
      <c r="M2252" s="36">
        <v>1.380001151177274E-5</v>
      </c>
      <c r="N2252" s="36">
        <v>3.7063605143984077E-8</v>
      </c>
      <c r="O2252" s="36">
        <v>6.8094692571661887E-5</v>
      </c>
      <c r="P2252">
        <v>9.7300491472555571E-5</v>
      </c>
    </row>
    <row r="2253" spans="1:16" hidden="1" x14ac:dyDescent="0.35">
      <c r="A2253" s="3">
        <f xml:space="preserve"> ROW( data_scaledImpacts[[#This Row],[row_id]] ) - ROW( data_scaledImpacts[[#Headers],[row_id]] )</f>
        <v>2252</v>
      </c>
      <c r="B2253" s="41" t="str">
        <f xml:space="preserve"> _xlfn.TEXTJOIN( "", , data_scaledImpacts[[#This Row],[sector]:[impactType]] )</f>
        <v>ValleyFeverGCM Average4N/ALost Wages</v>
      </c>
      <c r="C2253" s="33" t="s">
        <v>978</v>
      </c>
      <c r="D2253" s="33" t="s">
        <v>15</v>
      </c>
      <c r="E2253" s="34">
        <v>4</v>
      </c>
      <c r="F2253" s="34"/>
      <c r="G2253" s="34" t="s">
        <v>201</v>
      </c>
      <c r="H2253" s="35" t="s">
        <v>989</v>
      </c>
      <c r="I2253" s="43" t="s">
        <v>62</v>
      </c>
      <c r="J2253" s="36">
        <v>2.8412539927250593E-8</v>
      </c>
      <c r="K2253" s="36">
        <v>1.1685659423539689E-8</v>
      </c>
      <c r="L2253" s="37">
        <v>1.0805498477812547E-5</v>
      </c>
      <c r="M2253" s="36">
        <v>1.4385251348136212E-5</v>
      </c>
      <c r="N2253" s="36">
        <v>3.4688820649758765E-8</v>
      </c>
      <c r="O2253" s="36">
        <v>6.3451602091289599E-5</v>
      </c>
      <c r="P2253">
        <v>7.9780507603419826E-5</v>
      </c>
    </row>
    <row r="2254" spans="1:16" hidden="1" x14ac:dyDescent="0.35">
      <c r="A2254" s="3">
        <f xml:space="preserve"> ROW( data_scaledImpacts[[#This Row],[row_id]] ) - ROW( data_scaledImpacts[[#Headers],[row_id]] )</f>
        <v>2253</v>
      </c>
      <c r="B2254" s="41" t="str">
        <f xml:space="preserve"> _xlfn.TEXTJOIN( "", , data_scaledImpacts[[#This Row],[sector]:[impactType]] )</f>
        <v>ValleyFeverCanESM25N/ALost Wages</v>
      </c>
      <c r="C2254" s="33" t="s">
        <v>978</v>
      </c>
      <c r="D2254" s="33" t="s">
        <v>0</v>
      </c>
      <c r="E2254" s="34">
        <v>5</v>
      </c>
      <c r="F2254" s="34"/>
      <c r="G2254" s="34" t="s">
        <v>201</v>
      </c>
      <c r="H2254" s="35" t="s">
        <v>989</v>
      </c>
      <c r="I2254" s="43" t="s">
        <v>63</v>
      </c>
      <c r="J2254" s="36">
        <v>0</v>
      </c>
      <c r="K2254" s="36">
        <v>1.5918444477192789E-8</v>
      </c>
      <c r="L2254" s="37">
        <v>1.2582678912291549E-5</v>
      </c>
      <c r="M2254" s="36">
        <v>2.4174299845160927E-5</v>
      </c>
      <c r="N2254" s="36">
        <v>3.8412568251848792E-8</v>
      </c>
      <c r="O2254" s="36">
        <v>6.6157826880883762E-5</v>
      </c>
      <c r="P2254">
        <v>1.3315183818184507E-5</v>
      </c>
    </row>
    <row r="2255" spans="1:16" hidden="1" x14ac:dyDescent="0.35">
      <c r="A2255" s="3">
        <f xml:space="preserve"> ROW( data_scaledImpacts[[#This Row],[row_id]] ) - ROW( data_scaledImpacts[[#Headers],[row_id]] )</f>
        <v>2254</v>
      </c>
      <c r="B2255" s="41" t="str">
        <f xml:space="preserve"> _xlfn.TEXTJOIN( "", , data_scaledImpacts[[#This Row],[sector]:[impactType]] )</f>
        <v>ValleyFeverCCSM45N/ALost Wages</v>
      </c>
      <c r="C2255" s="33" t="s">
        <v>978</v>
      </c>
      <c r="D2255" s="33" t="s">
        <v>1</v>
      </c>
      <c r="E2255" s="34">
        <v>5</v>
      </c>
      <c r="F2255" s="34"/>
      <c r="G2255" s="34" t="s">
        <v>201</v>
      </c>
      <c r="H2255" s="35" t="s">
        <v>989</v>
      </c>
      <c r="I2255" s="43" t="s">
        <v>64</v>
      </c>
      <c r="J2255" s="36">
        <v>3.6557602867627824E-9</v>
      </c>
      <c r="K2255" s="36">
        <v>1.1638161220917697E-8</v>
      </c>
      <c r="L2255" s="37">
        <v>1.6310070814921951E-5</v>
      </c>
      <c r="M2255" s="36">
        <v>1.9124016118013159E-5</v>
      </c>
      <c r="N2255" s="36">
        <v>3.4371523637450972E-8</v>
      </c>
      <c r="O2255" s="36">
        <v>7.1591358341932258E-5</v>
      </c>
      <c r="P2255">
        <v>1.0308518943975511E-4</v>
      </c>
    </row>
    <row r="2256" spans="1:16" hidden="1" x14ac:dyDescent="0.35">
      <c r="A2256" s="3">
        <f xml:space="preserve"> ROW( data_scaledImpacts[[#This Row],[row_id]] ) - ROW( data_scaledImpacts[[#Headers],[row_id]] )</f>
        <v>2255</v>
      </c>
      <c r="B2256" s="41" t="str">
        <f xml:space="preserve"> _xlfn.TEXTJOIN( "", , data_scaledImpacts[[#This Row],[sector]:[impactType]] )</f>
        <v>ValleyFeverGISS-E2-R5N/ALost Wages</v>
      </c>
      <c r="C2256" s="33" t="s">
        <v>978</v>
      </c>
      <c r="D2256" s="33" t="s">
        <v>2</v>
      </c>
      <c r="E2256" s="34">
        <v>5</v>
      </c>
      <c r="F2256" s="34"/>
      <c r="G2256" s="34" t="s">
        <v>201</v>
      </c>
      <c r="H2256" s="35" t="s">
        <v>989</v>
      </c>
      <c r="I2256" s="43" t="s">
        <v>65</v>
      </c>
      <c r="J2256" s="36"/>
      <c r="K2256" s="36"/>
      <c r="L2256" s="37"/>
      <c r="M2256" s="36"/>
      <c r="N2256" s="36"/>
      <c r="O2256" s="36"/>
    </row>
    <row r="2257" spans="1:16" hidden="1" x14ac:dyDescent="0.35">
      <c r="A2257" s="3">
        <f xml:space="preserve"> ROW( data_scaledImpacts[[#This Row],[row_id]] ) - ROW( data_scaledImpacts[[#Headers],[row_id]] )</f>
        <v>2256</v>
      </c>
      <c r="B2257" s="41" t="str">
        <f xml:space="preserve"> _xlfn.TEXTJOIN( "", , data_scaledImpacts[[#This Row],[sector]:[impactType]] )</f>
        <v>ValleyFeverHadGEM2-ES5N/ALost Wages</v>
      </c>
      <c r="C2257" s="33" t="s">
        <v>978</v>
      </c>
      <c r="D2257" s="33" t="s">
        <v>3</v>
      </c>
      <c r="E2257" s="34">
        <v>5</v>
      </c>
      <c r="F2257" s="34"/>
      <c r="G2257" s="34" t="s">
        <v>201</v>
      </c>
      <c r="H2257" s="35" t="s">
        <v>989</v>
      </c>
      <c r="I2257" s="43" t="s">
        <v>66</v>
      </c>
      <c r="J2257" s="36">
        <v>1.4163019420023254E-9</v>
      </c>
      <c r="K2257" s="36">
        <v>1.5970833661071272E-8</v>
      </c>
      <c r="L2257" s="37">
        <v>2.0241134769752753E-5</v>
      </c>
      <c r="M2257" s="36">
        <v>2.0248669921218488E-5</v>
      </c>
      <c r="N2257" s="36">
        <v>3.5836243178279119E-8</v>
      </c>
      <c r="O2257" s="36">
        <v>6.6721066225380527E-5</v>
      </c>
      <c r="P2257">
        <v>1.1962782246964436E-4</v>
      </c>
    </row>
    <row r="2258" spans="1:16" hidden="1" x14ac:dyDescent="0.35">
      <c r="A2258" s="3">
        <f xml:space="preserve"> ROW( data_scaledImpacts[[#This Row],[row_id]] ) - ROW( data_scaledImpacts[[#Headers],[row_id]] )</f>
        <v>2257</v>
      </c>
      <c r="B2258" s="41" t="str">
        <f xml:space="preserve"> _xlfn.TEXTJOIN( "", , data_scaledImpacts[[#This Row],[sector]:[impactType]] )</f>
        <v>ValleyFeverMIROC55N/ALost Wages</v>
      </c>
      <c r="C2258" s="33" t="s">
        <v>978</v>
      </c>
      <c r="D2258" s="33" t="s">
        <v>4</v>
      </c>
      <c r="E2258" s="34">
        <v>5</v>
      </c>
      <c r="F2258" s="34"/>
      <c r="G2258" s="34" t="s">
        <v>201</v>
      </c>
      <c r="H2258" s="35" t="s">
        <v>989</v>
      </c>
      <c r="I2258" s="43" t="s">
        <v>67</v>
      </c>
      <c r="J2258" s="36">
        <v>9.926458130142951E-8</v>
      </c>
      <c r="K2258" s="36">
        <v>1.6364961369821218E-8</v>
      </c>
      <c r="L2258" s="37">
        <v>3.5590151665496835E-5</v>
      </c>
      <c r="M2258" s="36">
        <v>1.6075880580287722E-5</v>
      </c>
      <c r="N2258" s="36">
        <v>3.5889631528298979E-8</v>
      </c>
      <c r="O2258" s="36">
        <v>7.362352536614849E-5</v>
      </c>
      <c r="P2258">
        <v>1.1426534681498814E-4</v>
      </c>
    </row>
    <row r="2259" spans="1:16" hidden="1" x14ac:dyDescent="0.35">
      <c r="A2259" s="3">
        <f xml:space="preserve"> ROW( data_scaledImpacts[[#This Row],[row_id]] ) - ROW( data_scaledImpacts[[#Headers],[row_id]] )</f>
        <v>2258</v>
      </c>
      <c r="B2259" s="41" t="str">
        <f xml:space="preserve"> _xlfn.TEXTJOIN( "", , data_scaledImpacts[[#This Row],[sector]:[impactType]] )</f>
        <v>ValleyFeverGFDL-CM35N/ALost Wages</v>
      </c>
      <c r="C2259" s="33" t="s">
        <v>978</v>
      </c>
      <c r="D2259" s="33" t="s">
        <v>5</v>
      </c>
      <c r="E2259" s="34">
        <v>5</v>
      </c>
      <c r="F2259" s="34"/>
      <c r="G2259" s="34" t="s">
        <v>201</v>
      </c>
      <c r="H2259" s="35" t="s">
        <v>989</v>
      </c>
      <c r="I2259" s="43" t="s">
        <v>68</v>
      </c>
      <c r="J2259" s="36">
        <v>0</v>
      </c>
      <c r="K2259" s="36">
        <v>1.5275851550786965E-8</v>
      </c>
      <c r="L2259" s="37">
        <v>7.0210976098671852E-6</v>
      </c>
      <c r="M2259" s="36">
        <v>1.8004446215528891E-5</v>
      </c>
      <c r="N2259" s="36">
        <v>3.927159468687374E-8</v>
      </c>
      <c r="O2259" s="36">
        <v>7.5629947159236313E-5</v>
      </c>
      <c r="P2259">
        <v>1.1437894198126306E-4</v>
      </c>
    </row>
    <row r="2260" spans="1:16" hidden="1" x14ac:dyDescent="0.35">
      <c r="A2260" s="3">
        <f xml:space="preserve"> ROW( data_scaledImpacts[[#This Row],[row_id]] ) - ROW( data_scaledImpacts[[#Headers],[row_id]] )</f>
        <v>2259</v>
      </c>
      <c r="B2260" s="41" t="str">
        <f xml:space="preserve"> _xlfn.TEXTJOIN( "", , data_scaledImpacts[[#This Row],[sector]:[impactType]] )</f>
        <v>ValleyFeverGCM Average5N/ALost Wages</v>
      </c>
      <c r="C2260" s="33" t="s">
        <v>978</v>
      </c>
      <c r="D2260" s="33" t="s">
        <v>15</v>
      </c>
      <c r="E2260" s="34">
        <v>5</v>
      </c>
      <c r="F2260" s="34"/>
      <c r="G2260" s="34" t="s">
        <v>201</v>
      </c>
      <c r="H2260" s="35" t="s">
        <v>989</v>
      </c>
      <c r="I2260" s="43" t="s">
        <v>69</v>
      </c>
      <c r="J2260" s="36">
        <v>2.0867328706038923E-8</v>
      </c>
      <c r="K2260" s="36">
        <v>1.5033650455957989E-8</v>
      </c>
      <c r="L2260" s="37">
        <v>1.8349026754466051E-5</v>
      </c>
      <c r="M2260" s="36">
        <v>1.9525462536041837E-5</v>
      </c>
      <c r="N2260" s="36">
        <v>3.6756312256550314E-8</v>
      </c>
      <c r="O2260" s="36">
        <v>7.074474479471627E-5</v>
      </c>
      <c r="P2260">
        <v>9.2934496904767037E-5</v>
      </c>
    </row>
    <row r="2261" spans="1:16" hidden="1" x14ac:dyDescent="0.35">
      <c r="A2261" s="3">
        <f xml:space="preserve"> ROW( data_scaledImpacts[[#This Row],[row_id]] ) - ROW( data_scaledImpacts[[#Headers],[row_id]] )</f>
        <v>2260</v>
      </c>
      <c r="B2261" s="41" t="str">
        <f xml:space="preserve"> _xlfn.TEXTJOIN( "", , data_scaledImpacts[[#This Row],[sector]:[impactType]] )</f>
        <v>ValleyFeverCanESM26N/ALost Wages</v>
      </c>
      <c r="C2261" s="33" t="s">
        <v>978</v>
      </c>
      <c r="D2261" s="33" t="s">
        <v>0</v>
      </c>
      <c r="E2261" s="34">
        <v>6</v>
      </c>
      <c r="F2261" s="34"/>
      <c r="G2261" s="34" t="s">
        <v>201</v>
      </c>
      <c r="H2261" s="35" t="s">
        <v>989</v>
      </c>
      <c r="I2261" s="43" t="s">
        <v>70</v>
      </c>
      <c r="J2261" s="36">
        <v>0</v>
      </c>
      <c r="K2261" s="36">
        <v>2.0026552760288661E-8</v>
      </c>
      <c r="L2261" s="37">
        <v>2.4742604799548999E-5</v>
      </c>
      <c r="M2261" s="36">
        <v>3.2261924165381119E-5</v>
      </c>
      <c r="N2261" s="36">
        <v>4.020600692793424E-8</v>
      </c>
      <c r="O2261" s="36">
        <v>7.2785854148873458E-5</v>
      </c>
      <c r="P2261">
        <v>2.5315048954886115E-5</v>
      </c>
    </row>
    <row r="2262" spans="1:16" hidden="1" x14ac:dyDescent="0.35">
      <c r="A2262" s="3">
        <f xml:space="preserve"> ROW( data_scaledImpacts[[#This Row],[row_id]] ) - ROW( data_scaledImpacts[[#Headers],[row_id]] )</f>
        <v>2261</v>
      </c>
      <c r="B2262" s="41" t="str">
        <f xml:space="preserve"> _xlfn.TEXTJOIN( "", , data_scaledImpacts[[#This Row],[sector]:[impactType]] )</f>
        <v>ValleyFeverCCSM46N/ALost Wages</v>
      </c>
      <c r="C2262" s="33" t="s">
        <v>978</v>
      </c>
      <c r="D2262" s="33" t="s">
        <v>1</v>
      </c>
      <c r="E2262" s="34">
        <v>6</v>
      </c>
      <c r="F2262" s="34"/>
      <c r="G2262" s="34" t="s">
        <v>201</v>
      </c>
      <c r="H2262" s="35" t="s">
        <v>989</v>
      </c>
      <c r="I2262" s="43" t="s">
        <v>71</v>
      </c>
      <c r="J2262" s="36"/>
      <c r="K2262" s="36"/>
      <c r="L2262" s="37"/>
      <c r="M2262" s="36"/>
      <c r="N2262" s="36"/>
      <c r="O2262" s="36"/>
    </row>
    <row r="2263" spans="1:16" hidden="1" x14ac:dyDescent="0.35">
      <c r="A2263" s="3">
        <f xml:space="preserve"> ROW( data_scaledImpacts[[#This Row],[row_id]] ) - ROW( data_scaledImpacts[[#Headers],[row_id]] )</f>
        <v>2262</v>
      </c>
      <c r="B2263" s="41" t="str">
        <f xml:space="preserve"> _xlfn.TEXTJOIN( "", , data_scaledImpacts[[#This Row],[sector]:[impactType]] )</f>
        <v>ValleyFeverGISS-E2-R6N/ALost Wages</v>
      </c>
      <c r="C2263" s="33" t="s">
        <v>978</v>
      </c>
      <c r="D2263" s="33" t="s">
        <v>2</v>
      </c>
      <c r="E2263" s="34">
        <v>6</v>
      </c>
      <c r="F2263" s="34"/>
      <c r="G2263" s="34" t="s">
        <v>201</v>
      </c>
      <c r="H2263" s="35" t="s">
        <v>989</v>
      </c>
      <c r="I2263" s="43" t="s">
        <v>72</v>
      </c>
      <c r="J2263" s="36"/>
      <c r="K2263" s="36"/>
      <c r="L2263" s="37"/>
      <c r="M2263" s="36"/>
      <c r="N2263" s="36"/>
      <c r="O2263" s="36"/>
    </row>
    <row r="2264" spans="1:16" hidden="1" x14ac:dyDescent="0.35">
      <c r="A2264" s="3">
        <f xml:space="preserve"> ROW( data_scaledImpacts[[#This Row],[row_id]] ) - ROW( data_scaledImpacts[[#Headers],[row_id]] )</f>
        <v>2263</v>
      </c>
      <c r="B2264" s="41" t="str">
        <f xml:space="preserve"> _xlfn.TEXTJOIN( "", , data_scaledImpacts[[#This Row],[sector]:[impactType]] )</f>
        <v>ValleyFeverHadGEM2-ES6N/ALost Wages</v>
      </c>
      <c r="C2264" s="33" t="s">
        <v>978</v>
      </c>
      <c r="D2264" s="33" t="s">
        <v>3</v>
      </c>
      <c r="E2264" s="34">
        <v>6</v>
      </c>
      <c r="F2264" s="34"/>
      <c r="G2264" s="34" t="s">
        <v>201</v>
      </c>
      <c r="H2264" s="35" t="s">
        <v>989</v>
      </c>
      <c r="I2264" s="43" t="s">
        <v>73</v>
      </c>
      <c r="J2264" s="36">
        <v>9.6173928714985694E-9</v>
      </c>
      <c r="K2264" s="36">
        <v>2.0228843973968016E-8</v>
      </c>
      <c r="L2264" s="37">
        <v>3.242417177330016E-5</v>
      </c>
      <c r="M2264" s="36">
        <v>2.8364971223157783E-5</v>
      </c>
      <c r="N2264" s="36">
        <v>3.8336374919415043E-8</v>
      </c>
      <c r="O2264" s="36">
        <v>7.1473279432939446E-5</v>
      </c>
      <c r="P2264">
        <v>1.4045409915974897E-4</v>
      </c>
    </row>
    <row r="2265" spans="1:16" hidden="1" x14ac:dyDescent="0.35">
      <c r="A2265" s="3">
        <f xml:space="preserve"> ROW( data_scaledImpacts[[#This Row],[row_id]] ) - ROW( data_scaledImpacts[[#Headers],[row_id]] )</f>
        <v>2264</v>
      </c>
      <c r="B2265" s="41" t="str">
        <f xml:space="preserve"> _xlfn.TEXTJOIN( "", , data_scaledImpacts[[#This Row],[sector]:[impactType]] )</f>
        <v>ValleyFeverMIROC56N/ALost Wages</v>
      </c>
      <c r="C2265" s="33" t="s">
        <v>978</v>
      </c>
      <c r="D2265" s="33" t="s">
        <v>4</v>
      </c>
      <c r="E2265" s="34">
        <v>6</v>
      </c>
      <c r="F2265" s="34"/>
      <c r="G2265" s="34" t="s">
        <v>201</v>
      </c>
      <c r="H2265" s="35" t="s">
        <v>989</v>
      </c>
      <c r="I2265" s="43" t="s">
        <v>74</v>
      </c>
      <c r="J2265" s="36"/>
      <c r="K2265" s="36"/>
      <c r="L2265" s="37"/>
      <c r="M2265" s="36"/>
      <c r="N2265" s="36"/>
      <c r="O2265" s="36"/>
    </row>
    <row r="2266" spans="1:16" hidden="1" x14ac:dyDescent="0.35">
      <c r="A2266" s="3">
        <f xml:space="preserve"> ROW( data_scaledImpacts[[#This Row],[row_id]] ) - ROW( data_scaledImpacts[[#Headers],[row_id]] )</f>
        <v>2265</v>
      </c>
      <c r="B2266" s="41" t="str">
        <f xml:space="preserve"> _xlfn.TEXTJOIN( "", , data_scaledImpacts[[#This Row],[sector]:[impactType]] )</f>
        <v>ValleyFeverGFDL-CM36N/ALost Wages</v>
      </c>
      <c r="C2266" s="33" t="s">
        <v>978</v>
      </c>
      <c r="D2266" s="33" t="s">
        <v>5</v>
      </c>
      <c r="E2266" s="34">
        <v>6</v>
      </c>
      <c r="F2266" s="34"/>
      <c r="G2266" s="34" t="s">
        <v>201</v>
      </c>
      <c r="H2266" s="35" t="s">
        <v>989</v>
      </c>
      <c r="I2266" s="43" t="s">
        <v>75</v>
      </c>
      <c r="J2266" s="36">
        <v>0</v>
      </c>
      <c r="K2266" s="36">
        <v>1.9760650216592864E-8</v>
      </c>
      <c r="L2266" s="37">
        <v>1.7384830463527483E-5</v>
      </c>
      <c r="M2266" s="36">
        <v>2.5227981485906563E-5</v>
      </c>
      <c r="N2266" s="36">
        <v>4.1985510631169723E-8</v>
      </c>
      <c r="O2266" s="36">
        <v>8.102235601383931E-5</v>
      </c>
      <c r="P2266">
        <v>1.6595713528511763E-4</v>
      </c>
    </row>
    <row r="2267" spans="1:16" hidden="1" x14ac:dyDescent="0.35">
      <c r="A2267" s="3">
        <f xml:space="preserve"> ROW( data_scaledImpacts[[#This Row],[row_id]] ) - ROW( data_scaledImpacts[[#Headers],[row_id]] )</f>
        <v>2266</v>
      </c>
      <c r="B2267" s="41" t="str">
        <f xml:space="preserve"> _xlfn.TEXTJOIN( "", , data_scaledImpacts[[#This Row],[sector]:[impactType]] )</f>
        <v>ValleyFeverGCM Average6N/ALost Wages</v>
      </c>
      <c r="C2267" s="33" t="s">
        <v>978</v>
      </c>
      <c r="D2267" s="33" t="s">
        <v>15</v>
      </c>
      <c r="E2267" s="34">
        <v>6</v>
      </c>
      <c r="F2267" s="34"/>
      <c r="G2267" s="34" t="s">
        <v>201</v>
      </c>
      <c r="H2267" s="35" t="s">
        <v>989</v>
      </c>
      <c r="I2267" s="43" t="s">
        <v>76</v>
      </c>
      <c r="J2267" s="36">
        <v>3.2057976238328563E-9</v>
      </c>
      <c r="K2267" s="36">
        <v>2.0005348983616515E-8</v>
      </c>
      <c r="L2267" s="37">
        <v>2.4850535678792212E-5</v>
      </c>
      <c r="M2267" s="36">
        <v>2.8618292291481823E-5</v>
      </c>
      <c r="N2267" s="36">
        <v>4.0175964159506333E-8</v>
      </c>
      <c r="O2267" s="36">
        <v>7.5093829865217418E-5</v>
      </c>
      <c r="P2267">
        <v>1.1057542779991758E-4</v>
      </c>
    </row>
    <row r="2268" spans="1:16" hidden="1" x14ac:dyDescent="0.35">
      <c r="A2268" s="3">
        <f xml:space="preserve"> ROW( data_scaledImpacts[[#This Row],[row_id]] ) - ROW( data_scaledImpacts[[#Headers],[row_id]] )</f>
        <v>2267</v>
      </c>
      <c r="B2268" s="41" t="str">
        <f xml:space="preserve"> _xlfn.TEXTJOIN( "", , data_scaledImpacts[[#This Row],[sector]:[impactType]] )</f>
        <v>ValleyFeverCanESM27N/ALost Wages</v>
      </c>
      <c r="C2268" s="33" t="s">
        <v>978</v>
      </c>
      <c r="D2268" s="33" t="s">
        <v>0</v>
      </c>
      <c r="E2268" s="34">
        <v>7</v>
      </c>
      <c r="F2268" s="34"/>
      <c r="G2268" s="34" t="s">
        <v>201</v>
      </c>
      <c r="H2268" s="35" t="s">
        <v>989</v>
      </c>
      <c r="I2268" s="43" t="s">
        <v>77</v>
      </c>
      <c r="J2268" s="36"/>
      <c r="K2268" s="36"/>
      <c r="L2268" s="37"/>
      <c r="M2268" s="36"/>
      <c r="N2268" s="36"/>
      <c r="O2268" s="36"/>
    </row>
    <row r="2269" spans="1:16" hidden="1" x14ac:dyDescent="0.35">
      <c r="A2269" s="3">
        <f xml:space="preserve"> ROW( data_scaledImpacts[[#This Row],[row_id]] ) - ROW( data_scaledImpacts[[#Headers],[row_id]] )</f>
        <v>2268</v>
      </c>
      <c r="B2269" s="41" t="str">
        <f xml:space="preserve"> _xlfn.TEXTJOIN( "", , data_scaledImpacts[[#This Row],[sector]:[impactType]] )</f>
        <v>ValleyFeverCCSM47N/ALost Wages</v>
      </c>
      <c r="C2269" s="33" t="s">
        <v>978</v>
      </c>
      <c r="D2269" s="33" t="s">
        <v>1</v>
      </c>
      <c r="E2269" s="34">
        <v>7</v>
      </c>
      <c r="F2269" s="34"/>
      <c r="G2269" s="34" t="s">
        <v>201</v>
      </c>
      <c r="H2269" s="35" t="s">
        <v>989</v>
      </c>
      <c r="I2269" s="43" t="s">
        <v>78</v>
      </c>
      <c r="J2269" s="36"/>
      <c r="K2269" s="36"/>
      <c r="L2269" s="37"/>
      <c r="M2269" s="36"/>
      <c r="N2269" s="36"/>
      <c r="O2269" s="36"/>
    </row>
    <row r="2270" spans="1:16" hidden="1" x14ac:dyDescent="0.35">
      <c r="A2270" s="3">
        <f xml:space="preserve"> ROW( data_scaledImpacts[[#This Row],[row_id]] ) - ROW( data_scaledImpacts[[#Headers],[row_id]] )</f>
        <v>2269</v>
      </c>
      <c r="B2270" s="41" t="str">
        <f xml:space="preserve"> _xlfn.TEXTJOIN( "", , data_scaledImpacts[[#This Row],[sector]:[impactType]] )</f>
        <v>ValleyFeverGISS-E2-R7N/ALost Wages</v>
      </c>
      <c r="C2270" s="33" t="s">
        <v>978</v>
      </c>
      <c r="D2270" s="33" t="s">
        <v>2</v>
      </c>
      <c r="E2270" s="34">
        <v>7</v>
      </c>
      <c r="F2270" s="34"/>
      <c r="G2270" s="34" t="s">
        <v>201</v>
      </c>
      <c r="H2270" s="35" t="s">
        <v>989</v>
      </c>
      <c r="I2270" s="43" t="s">
        <v>79</v>
      </c>
      <c r="J2270" s="36"/>
      <c r="K2270" s="36"/>
      <c r="L2270" s="37"/>
      <c r="M2270" s="36"/>
      <c r="N2270" s="36"/>
      <c r="O2270" s="36"/>
    </row>
    <row r="2271" spans="1:16" hidden="1" x14ac:dyDescent="0.35">
      <c r="A2271" s="3">
        <f xml:space="preserve"> ROW( data_scaledImpacts[[#This Row],[row_id]] ) - ROW( data_scaledImpacts[[#Headers],[row_id]] )</f>
        <v>2270</v>
      </c>
      <c r="B2271" s="41" t="str">
        <f xml:space="preserve"> _xlfn.TEXTJOIN( "", , data_scaledImpacts[[#This Row],[sector]:[impactType]] )</f>
        <v>ValleyFeverHadGEM2-ES7N/ALost Wages</v>
      </c>
      <c r="C2271" s="33" t="s">
        <v>978</v>
      </c>
      <c r="D2271" s="33" t="s">
        <v>3</v>
      </c>
      <c r="E2271" s="34">
        <v>7</v>
      </c>
      <c r="F2271" s="34"/>
      <c r="G2271" s="34" t="s">
        <v>201</v>
      </c>
      <c r="H2271" s="35" t="s">
        <v>989</v>
      </c>
      <c r="I2271" s="43" t="s">
        <v>80</v>
      </c>
      <c r="J2271" s="36"/>
      <c r="K2271" s="36"/>
      <c r="L2271" s="37"/>
      <c r="M2271" s="36"/>
      <c r="N2271" s="36"/>
      <c r="O2271" s="36"/>
    </row>
    <row r="2272" spans="1:16" hidden="1" x14ac:dyDescent="0.35">
      <c r="A2272" s="3">
        <f xml:space="preserve"> ROW( data_scaledImpacts[[#This Row],[row_id]] ) - ROW( data_scaledImpacts[[#Headers],[row_id]] )</f>
        <v>2271</v>
      </c>
      <c r="B2272" s="41" t="str">
        <f xml:space="preserve"> _xlfn.TEXTJOIN( "", , data_scaledImpacts[[#This Row],[sector]:[impactType]] )</f>
        <v>ValleyFeverMIROC57N/ALost Wages</v>
      </c>
      <c r="C2272" s="33" t="s">
        <v>978</v>
      </c>
      <c r="D2272" s="33" t="s">
        <v>4</v>
      </c>
      <c r="E2272" s="34">
        <v>7</v>
      </c>
      <c r="F2272" s="34"/>
      <c r="G2272" s="34" t="s">
        <v>201</v>
      </c>
      <c r="H2272" s="35" t="s">
        <v>989</v>
      </c>
      <c r="I2272" s="43" t="s">
        <v>81</v>
      </c>
      <c r="J2272" s="36"/>
      <c r="K2272" s="36"/>
      <c r="L2272" s="37"/>
      <c r="M2272" s="36"/>
      <c r="N2272" s="36"/>
      <c r="O2272" s="36"/>
    </row>
    <row r="2273" spans="1:16" hidden="1" x14ac:dyDescent="0.35">
      <c r="A2273" s="3">
        <f xml:space="preserve"> ROW( data_scaledImpacts[[#This Row],[row_id]] ) - ROW( data_scaledImpacts[[#Headers],[row_id]] )</f>
        <v>2272</v>
      </c>
      <c r="B2273" s="41" t="str">
        <f xml:space="preserve"> _xlfn.TEXTJOIN( "", , data_scaledImpacts[[#This Row],[sector]:[impactType]] )</f>
        <v>ValleyFeverGFDL-CM37N/ALost Wages</v>
      </c>
      <c r="C2273" s="33" t="s">
        <v>978</v>
      </c>
      <c r="D2273" s="33" t="s">
        <v>5</v>
      </c>
      <c r="E2273" s="34">
        <v>7</v>
      </c>
      <c r="F2273" s="34"/>
      <c r="G2273" s="34" t="s">
        <v>201</v>
      </c>
      <c r="H2273" s="35" t="s">
        <v>989</v>
      </c>
      <c r="I2273" s="43" t="s">
        <v>82</v>
      </c>
      <c r="J2273" s="36"/>
      <c r="K2273" s="36"/>
      <c r="L2273" s="37"/>
      <c r="M2273" s="36"/>
      <c r="N2273" s="36"/>
      <c r="O2273" s="36"/>
    </row>
    <row r="2274" spans="1:16" hidden="1" x14ac:dyDescent="0.35">
      <c r="A2274" s="3">
        <f xml:space="preserve"> ROW( data_scaledImpacts[[#This Row],[row_id]] ) - ROW( data_scaledImpacts[[#Headers],[row_id]] )</f>
        <v>2273</v>
      </c>
      <c r="B2274" s="41" t="str">
        <f xml:space="preserve"> _xlfn.TEXTJOIN( "", , data_scaledImpacts[[#This Row],[sector]:[impactType]] )</f>
        <v>ValleyFeverGCM Average7N/ALost Wages</v>
      </c>
      <c r="C2274" s="33" t="s">
        <v>978</v>
      </c>
      <c r="D2274" s="33" t="s">
        <v>15</v>
      </c>
      <c r="E2274" s="34">
        <v>7</v>
      </c>
      <c r="F2274" s="34"/>
      <c r="G2274" s="34" t="s">
        <v>201</v>
      </c>
      <c r="H2274" s="35" t="s">
        <v>989</v>
      </c>
      <c r="I2274" s="43" t="s">
        <v>83</v>
      </c>
      <c r="J2274" s="38"/>
      <c r="K2274" s="38"/>
      <c r="L2274" s="39"/>
      <c r="M2274" s="38"/>
      <c r="N2274" s="38"/>
      <c r="O2274" s="38"/>
    </row>
    <row r="2275" spans="1:16" hidden="1" x14ac:dyDescent="0.35">
      <c r="A2275" s="3">
        <f xml:space="preserve"> ROW( data_scaledImpacts[[#This Row],[row_id]] ) - ROW( data_scaledImpacts[[#Headers],[row_id]] )</f>
        <v>2274</v>
      </c>
      <c r="B2275" s="41" t="str">
        <f xml:space="preserve"> _xlfn.TEXTJOIN( "", , data_scaledImpacts[[#This Row],[sector]:[impactType]] )</f>
        <v>AsphaltRoadsCanESM21N/A</v>
      </c>
      <c r="C2275" s="33" t="s">
        <v>1000</v>
      </c>
      <c r="D2275" s="33" t="s">
        <v>0</v>
      </c>
      <c r="E2275" s="34">
        <v>1</v>
      </c>
      <c r="F2275" s="34"/>
      <c r="G2275" s="34" t="s">
        <v>201</v>
      </c>
      <c r="H2275" s="35"/>
      <c r="I2275" s="43" t="s">
        <v>35</v>
      </c>
      <c r="J2275" s="36">
        <v>328.33621153504185</v>
      </c>
      <c r="K2275" s="36">
        <v>350.71562714090919</v>
      </c>
      <c r="L2275" s="37">
        <v>402.55561941647233</v>
      </c>
      <c r="M2275" s="36">
        <v>415.30975634638855</v>
      </c>
      <c r="N2275" s="36">
        <v>596.32967199439838</v>
      </c>
      <c r="O2275" s="36">
        <v>298.68217134637848</v>
      </c>
      <c r="P2275">
        <v>317.41319820600523</v>
      </c>
    </row>
    <row r="2276" spans="1:16" hidden="1" x14ac:dyDescent="0.35">
      <c r="A2276" s="3">
        <f xml:space="preserve"> ROW( data_scaledImpacts[[#This Row],[row_id]] ) - ROW( data_scaledImpacts[[#Headers],[row_id]] )</f>
        <v>2275</v>
      </c>
      <c r="B2276" s="41" t="str">
        <f xml:space="preserve"> _xlfn.TEXTJOIN( "", , data_scaledImpacts[[#This Row],[sector]:[impactType]] )</f>
        <v>AsphaltRoadsCCSM41N/A</v>
      </c>
      <c r="C2276" s="33" t="s">
        <v>1000</v>
      </c>
      <c r="D2276" s="33" t="s">
        <v>1</v>
      </c>
      <c r="E2276" s="34">
        <v>1</v>
      </c>
      <c r="F2276" s="34"/>
      <c r="G2276" s="34" t="s">
        <v>201</v>
      </c>
      <c r="H2276" s="35"/>
      <c r="I2276" s="43" t="s">
        <v>36</v>
      </c>
      <c r="J2276" s="36">
        <v>353.59977989594432</v>
      </c>
      <c r="K2276" s="36">
        <v>256.68633014371704</v>
      </c>
      <c r="L2276" s="37">
        <v>541.63575859177206</v>
      </c>
      <c r="M2276" s="36">
        <v>526.83848219785398</v>
      </c>
      <c r="N2276" s="36">
        <v>533.76066865773987</v>
      </c>
      <c r="O2276" s="36">
        <v>216.46808152299988</v>
      </c>
      <c r="P2276">
        <v>286.12252296074166</v>
      </c>
    </row>
    <row r="2277" spans="1:16" hidden="1" x14ac:dyDescent="0.35">
      <c r="A2277" s="3">
        <f xml:space="preserve"> ROW( data_scaledImpacts[[#This Row],[row_id]] ) - ROW( data_scaledImpacts[[#Headers],[row_id]] )</f>
        <v>2276</v>
      </c>
      <c r="B2277" s="41" t="str">
        <f xml:space="preserve"> _xlfn.TEXTJOIN( "", , data_scaledImpacts[[#This Row],[sector]:[impactType]] )</f>
        <v>AsphaltRoadsGISS-E2-R1N/A</v>
      </c>
      <c r="C2277" s="33" t="s">
        <v>1000</v>
      </c>
      <c r="D2277" s="33" t="s">
        <v>2</v>
      </c>
      <c r="E2277" s="34">
        <v>1</v>
      </c>
      <c r="F2277" s="34"/>
      <c r="G2277" s="34" t="s">
        <v>201</v>
      </c>
      <c r="H2277" s="35"/>
      <c r="I2277" s="43" t="s">
        <v>37</v>
      </c>
      <c r="J2277" s="36"/>
      <c r="K2277" s="36"/>
      <c r="L2277" s="37"/>
      <c r="M2277" s="36"/>
      <c r="N2277" s="36"/>
      <c r="O2277" s="36"/>
    </row>
    <row r="2278" spans="1:16" hidden="1" x14ac:dyDescent="0.35">
      <c r="A2278" s="3">
        <f xml:space="preserve"> ROW( data_scaledImpacts[[#This Row],[row_id]] ) - ROW( data_scaledImpacts[[#Headers],[row_id]] )</f>
        <v>2277</v>
      </c>
      <c r="B2278" s="41" t="str">
        <f xml:space="preserve"> _xlfn.TEXTJOIN( "", , data_scaledImpacts[[#This Row],[sector]:[impactType]] )</f>
        <v>AsphaltRoadsHadGEM2-ES1N/A</v>
      </c>
      <c r="C2278" s="33" t="s">
        <v>1000</v>
      </c>
      <c r="D2278" s="33" t="s">
        <v>3</v>
      </c>
      <c r="E2278" s="34">
        <v>1</v>
      </c>
      <c r="F2278" s="34"/>
      <c r="G2278" s="34" t="s">
        <v>201</v>
      </c>
      <c r="H2278" s="35"/>
      <c r="I2278" s="43" t="s">
        <v>38</v>
      </c>
      <c r="J2278" s="36"/>
      <c r="K2278" s="36"/>
      <c r="L2278" s="37"/>
      <c r="M2278" s="36"/>
      <c r="N2278" s="36"/>
      <c r="O2278" s="36"/>
    </row>
    <row r="2279" spans="1:16" hidden="1" x14ac:dyDescent="0.35">
      <c r="A2279" s="3">
        <f xml:space="preserve"> ROW( data_scaledImpacts[[#This Row],[row_id]] ) - ROW( data_scaledImpacts[[#Headers],[row_id]] )</f>
        <v>2278</v>
      </c>
      <c r="B2279" s="41" t="str">
        <f xml:space="preserve"> _xlfn.TEXTJOIN( "", , data_scaledImpacts[[#This Row],[sector]:[impactType]] )</f>
        <v>AsphaltRoadsMIROC51N/A</v>
      </c>
      <c r="C2279" s="33" t="s">
        <v>1000</v>
      </c>
      <c r="D2279" s="33" t="s">
        <v>4</v>
      </c>
      <c r="E2279" s="34">
        <v>1</v>
      </c>
      <c r="F2279" s="34"/>
      <c r="G2279" s="34" t="s">
        <v>201</v>
      </c>
      <c r="H2279" s="35"/>
      <c r="I2279" s="43" t="s">
        <v>39</v>
      </c>
      <c r="J2279" s="36">
        <v>425.2651777550011</v>
      </c>
      <c r="K2279" s="36">
        <v>342.7237149838769</v>
      </c>
      <c r="L2279" s="37">
        <v>641.63813875458345</v>
      </c>
      <c r="M2279" s="36">
        <v>585.28156068558121</v>
      </c>
      <c r="N2279" s="36">
        <v>570.34104083883346</v>
      </c>
      <c r="O2279" s="36">
        <v>396.15428942911007</v>
      </c>
      <c r="P2279">
        <v>535.96972324430612</v>
      </c>
    </row>
    <row r="2280" spans="1:16" hidden="1" x14ac:dyDescent="0.35">
      <c r="A2280" s="3">
        <f xml:space="preserve"> ROW( data_scaledImpacts[[#This Row],[row_id]] ) - ROW( data_scaledImpacts[[#Headers],[row_id]] )</f>
        <v>2279</v>
      </c>
      <c r="B2280" s="41" t="str">
        <f xml:space="preserve"> _xlfn.TEXTJOIN( "", , data_scaledImpacts[[#This Row],[sector]:[impactType]] )</f>
        <v>AsphaltRoadsGFDL-CM31N/A</v>
      </c>
      <c r="C2280" s="33" t="s">
        <v>1000</v>
      </c>
      <c r="D2280" s="33" t="s">
        <v>5</v>
      </c>
      <c r="E2280" s="34">
        <v>1</v>
      </c>
      <c r="F2280" s="34"/>
      <c r="G2280" s="34" t="s">
        <v>201</v>
      </c>
      <c r="H2280" s="35"/>
      <c r="I2280" s="43" t="s">
        <v>40</v>
      </c>
      <c r="J2280" s="36"/>
      <c r="K2280" s="36"/>
      <c r="L2280" s="37"/>
      <c r="M2280" s="36"/>
      <c r="N2280" s="36"/>
      <c r="O2280" s="36"/>
    </row>
    <row r="2281" spans="1:16" hidden="1" x14ac:dyDescent="0.35">
      <c r="A2281" s="3">
        <f xml:space="preserve"> ROW( data_scaledImpacts[[#This Row],[row_id]] ) - ROW( data_scaledImpacts[[#Headers],[row_id]] )</f>
        <v>2280</v>
      </c>
      <c r="B2281" s="41" t="str">
        <f xml:space="preserve"> _xlfn.TEXTJOIN( "", , data_scaledImpacts[[#This Row],[sector]:[impactType]] )</f>
        <v>AsphaltRoadsGCM Average1N/A</v>
      </c>
      <c r="C2281" s="33" t="s">
        <v>1000</v>
      </c>
      <c r="D2281" s="33" t="s">
        <v>15</v>
      </c>
      <c r="E2281" s="34">
        <v>1</v>
      </c>
      <c r="F2281" s="34"/>
      <c r="G2281" s="34" t="s">
        <v>201</v>
      </c>
      <c r="H2281" s="35"/>
      <c r="I2281" s="43" t="s">
        <v>41</v>
      </c>
      <c r="J2281" s="36">
        <v>369.06705639532908</v>
      </c>
      <c r="K2281" s="36">
        <v>316.70855742283436</v>
      </c>
      <c r="L2281" s="37">
        <v>528.60983892094259</v>
      </c>
      <c r="M2281" s="36">
        <v>509.1432664099413</v>
      </c>
      <c r="N2281" s="36">
        <v>566.81046049699069</v>
      </c>
      <c r="O2281" s="36">
        <v>303.76818076616286</v>
      </c>
      <c r="P2281">
        <v>379.83514813701771</v>
      </c>
    </row>
    <row r="2282" spans="1:16" hidden="1" x14ac:dyDescent="0.35">
      <c r="A2282" s="3">
        <f xml:space="preserve"> ROW( data_scaledImpacts[[#This Row],[row_id]] ) - ROW( data_scaledImpacts[[#Headers],[row_id]] )</f>
        <v>2281</v>
      </c>
      <c r="B2282" s="41" t="str">
        <f xml:space="preserve"> _xlfn.TEXTJOIN( "", , data_scaledImpacts[[#This Row],[sector]:[impactType]] )</f>
        <v>AsphaltRoadsCanESM22N/A</v>
      </c>
      <c r="C2282" s="33" t="s">
        <v>1000</v>
      </c>
      <c r="D2282" s="33" t="s">
        <v>0</v>
      </c>
      <c r="E2282" s="34">
        <v>2</v>
      </c>
      <c r="F2282" s="34"/>
      <c r="G2282" s="34" t="s">
        <v>201</v>
      </c>
      <c r="H2282" s="35"/>
      <c r="I2282" s="43" t="s">
        <v>42</v>
      </c>
      <c r="J2282" s="36">
        <v>789.54943531054414</v>
      </c>
      <c r="K2282" s="36">
        <v>790.95169766974686</v>
      </c>
      <c r="L2282" s="37">
        <v>955.23172646461887</v>
      </c>
      <c r="M2282" s="36">
        <v>1059.2027996772615</v>
      </c>
      <c r="N2282" s="36">
        <v>1220.0027429436445</v>
      </c>
      <c r="O2282" s="36">
        <v>816.94077834430936</v>
      </c>
      <c r="P2282">
        <v>845.62278881145733</v>
      </c>
    </row>
    <row r="2283" spans="1:16" hidden="1" x14ac:dyDescent="0.35">
      <c r="A2283" s="3">
        <f xml:space="preserve"> ROW( data_scaledImpacts[[#This Row],[row_id]] ) - ROW( data_scaledImpacts[[#Headers],[row_id]] )</f>
        <v>2282</v>
      </c>
      <c r="B2283" s="41" t="str">
        <f xml:space="preserve"> _xlfn.TEXTJOIN( "", , data_scaledImpacts[[#This Row],[sector]:[impactType]] )</f>
        <v>AsphaltRoadsCCSM42N/A</v>
      </c>
      <c r="C2283" s="33" t="s">
        <v>1000</v>
      </c>
      <c r="D2283" s="33" t="s">
        <v>1</v>
      </c>
      <c r="E2283" s="34">
        <v>2</v>
      </c>
      <c r="F2283" s="34"/>
      <c r="G2283" s="34" t="s">
        <v>201</v>
      </c>
      <c r="H2283" s="35"/>
      <c r="I2283" s="43" t="s">
        <v>43</v>
      </c>
      <c r="J2283" s="36">
        <v>1014.2913477085077</v>
      </c>
      <c r="K2283" s="36">
        <v>709.21880910693608</v>
      </c>
      <c r="L2283" s="37">
        <v>1231.226734741083</v>
      </c>
      <c r="M2283" s="36">
        <v>1213.2317687688867</v>
      </c>
      <c r="N2283" s="36">
        <v>1150.4043949304505</v>
      </c>
      <c r="O2283" s="36">
        <v>699.89119191464533</v>
      </c>
      <c r="P2283">
        <v>744.92519403263134</v>
      </c>
    </row>
    <row r="2284" spans="1:16" hidden="1" x14ac:dyDescent="0.35">
      <c r="A2284" s="3">
        <f xml:space="preserve"> ROW( data_scaledImpacts[[#This Row],[row_id]] ) - ROW( data_scaledImpacts[[#Headers],[row_id]] )</f>
        <v>2283</v>
      </c>
      <c r="B2284" s="41" t="str">
        <f xml:space="preserve"> _xlfn.TEXTJOIN( "", , data_scaledImpacts[[#This Row],[sector]:[impactType]] )</f>
        <v>AsphaltRoadsGISS-E2-R2N/A</v>
      </c>
      <c r="C2284" s="33" t="s">
        <v>1000</v>
      </c>
      <c r="D2284" s="33" t="s">
        <v>2</v>
      </c>
      <c r="E2284" s="34">
        <v>2</v>
      </c>
      <c r="F2284" s="34"/>
      <c r="G2284" s="34" t="s">
        <v>201</v>
      </c>
      <c r="H2284" s="35"/>
      <c r="I2284" s="43" t="s">
        <v>44</v>
      </c>
      <c r="J2284" s="36"/>
      <c r="K2284" s="36"/>
      <c r="L2284" s="37"/>
      <c r="M2284" s="36"/>
      <c r="N2284" s="36"/>
      <c r="O2284" s="36"/>
    </row>
    <row r="2285" spans="1:16" hidden="1" x14ac:dyDescent="0.35">
      <c r="A2285" s="3">
        <f xml:space="preserve"> ROW( data_scaledImpacts[[#This Row],[row_id]] ) - ROW( data_scaledImpacts[[#Headers],[row_id]] )</f>
        <v>2284</v>
      </c>
      <c r="B2285" s="41" t="str">
        <f xml:space="preserve"> _xlfn.TEXTJOIN( "", , data_scaledImpacts[[#This Row],[sector]:[impactType]] )</f>
        <v>AsphaltRoadsHadGEM2-ES2N/A</v>
      </c>
      <c r="C2285" s="33" t="s">
        <v>1000</v>
      </c>
      <c r="D2285" s="33" t="s">
        <v>3</v>
      </c>
      <c r="E2285" s="34">
        <v>2</v>
      </c>
      <c r="F2285" s="34"/>
      <c r="G2285" s="34" t="s">
        <v>201</v>
      </c>
      <c r="H2285" s="35"/>
      <c r="I2285" s="43" t="s">
        <v>45</v>
      </c>
      <c r="J2285" s="36"/>
      <c r="K2285" s="36"/>
      <c r="L2285" s="37"/>
      <c r="M2285" s="36"/>
      <c r="N2285" s="36"/>
      <c r="O2285" s="36"/>
    </row>
    <row r="2286" spans="1:16" hidden="1" x14ac:dyDescent="0.35">
      <c r="A2286" s="3">
        <f xml:space="preserve"> ROW( data_scaledImpacts[[#This Row],[row_id]] ) - ROW( data_scaledImpacts[[#Headers],[row_id]] )</f>
        <v>2285</v>
      </c>
      <c r="B2286" s="41" t="str">
        <f xml:space="preserve"> _xlfn.TEXTJOIN( "", , data_scaledImpacts[[#This Row],[sector]:[impactType]] )</f>
        <v>AsphaltRoadsMIROC52N/A</v>
      </c>
      <c r="C2286" s="33" t="s">
        <v>1000</v>
      </c>
      <c r="D2286" s="33" t="s">
        <v>4</v>
      </c>
      <c r="E2286" s="34">
        <v>2</v>
      </c>
      <c r="F2286" s="34"/>
      <c r="G2286" s="34" t="s">
        <v>201</v>
      </c>
      <c r="H2286" s="35"/>
      <c r="I2286" s="43" t="s">
        <v>46</v>
      </c>
      <c r="J2286" s="36">
        <v>738.33214590044474</v>
      </c>
      <c r="K2286" s="36">
        <v>562.31600254222587</v>
      </c>
      <c r="L2286" s="37">
        <v>1002.3730715624353</v>
      </c>
      <c r="M2286" s="36">
        <v>902.9684565356506</v>
      </c>
      <c r="N2286" s="36">
        <v>904.80144516384689</v>
      </c>
      <c r="O2286" s="36">
        <v>692.17359754686356</v>
      </c>
      <c r="P2286">
        <v>811.3522457973678</v>
      </c>
    </row>
    <row r="2287" spans="1:16" hidden="1" x14ac:dyDescent="0.35">
      <c r="A2287" s="3">
        <f xml:space="preserve"> ROW( data_scaledImpacts[[#This Row],[row_id]] ) - ROW( data_scaledImpacts[[#Headers],[row_id]] )</f>
        <v>2286</v>
      </c>
      <c r="B2287" s="41" t="str">
        <f xml:space="preserve"> _xlfn.TEXTJOIN( "", , data_scaledImpacts[[#This Row],[sector]:[impactType]] )</f>
        <v>AsphaltRoadsGFDL-CM32N/A</v>
      </c>
      <c r="C2287" s="33" t="s">
        <v>1000</v>
      </c>
      <c r="D2287" s="33" t="s">
        <v>5</v>
      </c>
      <c r="E2287" s="34">
        <v>2</v>
      </c>
      <c r="F2287" s="34"/>
      <c r="G2287" s="34" t="s">
        <v>201</v>
      </c>
      <c r="H2287" s="35"/>
      <c r="I2287" s="43" t="s">
        <v>47</v>
      </c>
      <c r="J2287" s="36"/>
      <c r="K2287" s="36"/>
      <c r="L2287" s="37"/>
      <c r="M2287" s="36"/>
      <c r="N2287" s="36"/>
      <c r="O2287" s="36"/>
    </row>
    <row r="2288" spans="1:16" hidden="1" x14ac:dyDescent="0.35">
      <c r="A2288" s="3">
        <f xml:space="preserve"> ROW( data_scaledImpacts[[#This Row],[row_id]] ) - ROW( data_scaledImpacts[[#Headers],[row_id]] )</f>
        <v>2287</v>
      </c>
      <c r="B2288" s="41" t="str">
        <f xml:space="preserve"> _xlfn.TEXTJOIN( "", , data_scaledImpacts[[#This Row],[sector]:[impactType]] )</f>
        <v>AsphaltRoadsGCM Average2N/A</v>
      </c>
      <c r="C2288" s="33" t="s">
        <v>1000</v>
      </c>
      <c r="D2288" s="33" t="s">
        <v>15</v>
      </c>
      <c r="E2288" s="34">
        <v>2</v>
      </c>
      <c r="F2288" s="34"/>
      <c r="G2288" s="34" t="s">
        <v>201</v>
      </c>
      <c r="H2288" s="35"/>
      <c r="I2288" s="43" t="s">
        <v>48</v>
      </c>
      <c r="J2288" s="36">
        <v>847.39097630649883</v>
      </c>
      <c r="K2288" s="36">
        <v>687.49550310630286</v>
      </c>
      <c r="L2288" s="37">
        <v>1062.9438442560456</v>
      </c>
      <c r="M2288" s="36">
        <v>1058.4676749939329</v>
      </c>
      <c r="N2288" s="36">
        <v>1091.7361943459807</v>
      </c>
      <c r="O2288" s="36">
        <v>736.33518926860609</v>
      </c>
      <c r="P2288">
        <v>800.63340954715216</v>
      </c>
    </row>
    <row r="2289" spans="1:16" hidden="1" x14ac:dyDescent="0.35">
      <c r="A2289" s="3">
        <f xml:space="preserve"> ROW( data_scaledImpacts[[#This Row],[row_id]] ) - ROW( data_scaledImpacts[[#Headers],[row_id]] )</f>
        <v>2288</v>
      </c>
      <c r="B2289" s="41" t="str">
        <f xml:space="preserve"> _xlfn.TEXTJOIN( "", , data_scaledImpacts[[#This Row],[sector]:[impactType]] )</f>
        <v>AsphaltRoadsCanESM23N/A</v>
      </c>
      <c r="C2289" s="33" t="s">
        <v>1000</v>
      </c>
      <c r="D2289" s="33" t="s">
        <v>0</v>
      </c>
      <c r="E2289" s="34">
        <v>3</v>
      </c>
      <c r="F2289" s="34"/>
      <c r="G2289" s="34" t="s">
        <v>201</v>
      </c>
      <c r="H2289" s="35"/>
      <c r="I2289" s="43" t="s">
        <v>49</v>
      </c>
      <c r="J2289" s="36">
        <v>1038.6938332614081</v>
      </c>
      <c r="K2289" s="36">
        <v>958.80252902211259</v>
      </c>
      <c r="L2289" s="37">
        <v>1236.707640774008</v>
      </c>
      <c r="M2289" s="36">
        <v>1487.7964627731694</v>
      </c>
      <c r="N2289" s="36">
        <v>1271.2716159839847</v>
      </c>
      <c r="O2289" s="36">
        <v>1228.6465951909702</v>
      </c>
      <c r="P2289">
        <v>1240.8660245604206</v>
      </c>
    </row>
    <row r="2290" spans="1:16" hidden="1" x14ac:dyDescent="0.35">
      <c r="A2290" s="3">
        <f xml:space="preserve"> ROW( data_scaledImpacts[[#This Row],[row_id]] ) - ROW( data_scaledImpacts[[#Headers],[row_id]] )</f>
        <v>2289</v>
      </c>
      <c r="B2290" s="41" t="str">
        <f xml:space="preserve"> _xlfn.TEXTJOIN( "", , data_scaledImpacts[[#This Row],[sector]:[impactType]] )</f>
        <v>AsphaltRoadsCCSM43N/A</v>
      </c>
      <c r="C2290" s="33" t="s">
        <v>1000</v>
      </c>
      <c r="D2290" s="33" t="s">
        <v>1</v>
      </c>
      <c r="E2290" s="34">
        <v>3</v>
      </c>
      <c r="F2290" s="34"/>
      <c r="G2290" s="34" t="s">
        <v>201</v>
      </c>
      <c r="H2290" s="35"/>
      <c r="I2290" s="43" t="s">
        <v>50</v>
      </c>
      <c r="J2290" s="36">
        <v>1524.0246648767497</v>
      </c>
      <c r="K2290" s="36">
        <v>1054.1713273973389</v>
      </c>
      <c r="L2290" s="37">
        <v>1491.9285314498002</v>
      </c>
      <c r="M2290" s="36">
        <v>1492.0654437680632</v>
      </c>
      <c r="N2290" s="36">
        <v>1291.0615493465148</v>
      </c>
      <c r="O2290" s="36">
        <v>1153.3398795782477</v>
      </c>
      <c r="P2290">
        <v>1040.3373920845404</v>
      </c>
    </row>
    <row r="2291" spans="1:16" hidden="1" x14ac:dyDescent="0.35">
      <c r="A2291" s="3">
        <f xml:space="preserve"> ROW( data_scaledImpacts[[#This Row],[row_id]] ) - ROW( data_scaledImpacts[[#Headers],[row_id]] )</f>
        <v>2290</v>
      </c>
      <c r="B2291" s="41" t="str">
        <f xml:space="preserve"> _xlfn.TEXTJOIN( "", , data_scaledImpacts[[#This Row],[sector]:[impactType]] )</f>
        <v>AsphaltRoadsGISS-E2-R3N/A</v>
      </c>
      <c r="C2291" s="33" t="s">
        <v>1000</v>
      </c>
      <c r="D2291" s="33" t="s">
        <v>2</v>
      </c>
      <c r="E2291" s="34">
        <v>3</v>
      </c>
      <c r="F2291" s="34"/>
      <c r="G2291" s="34" t="s">
        <v>201</v>
      </c>
      <c r="H2291" s="35"/>
      <c r="I2291" s="43" t="s">
        <v>51</v>
      </c>
      <c r="J2291" s="36"/>
      <c r="K2291" s="36"/>
      <c r="L2291" s="37"/>
      <c r="M2291" s="36"/>
      <c r="N2291" s="36"/>
      <c r="O2291" s="36"/>
    </row>
    <row r="2292" spans="1:16" hidden="1" x14ac:dyDescent="0.35">
      <c r="A2292" s="3">
        <f xml:space="preserve"> ROW( data_scaledImpacts[[#This Row],[row_id]] ) - ROW( data_scaledImpacts[[#Headers],[row_id]] )</f>
        <v>2291</v>
      </c>
      <c r="B2292" s="41" t="str">
        <f xml:space="preserve"> _xlfn.TEXTJOIN( "", , data_scaledImpacts[[#This Row],[sector]:[impactType]] )</f>
        <v>AsphaltRoadsHadGEM2-ES3N/A</v>
      </c>
      <c r="C2292" s="33" t="s">
        <v>1000</v>
      </c>
      <c r="D2292" s="33" t="s">
        <v>3</v>
      </c>
      <c r="E2292" s="34">
        <v>3</v>
      </c>
      <c r="F2292" s="34"/>
      <c r="G2292" s="34" t="s">
        <v>201</v>
      </c>
      <c r="H2292" s="35"/>
      <c r="I2292" s="43" t="s">
        <v>52</v>
      </c>
      <c r="J2292" s="36"/>
      <c r="K2292" s="36"/>
      <c r="L2292" s="37"/>
      <c r="M2292" s="36"/>
      <c r="N2292" s="36"/>
      <c r="O2292" s="36"/>
    </row>
    <row r="2293" spans="1:16" hidden="1" x14ac:dyDescent="0.35">
      <c r="A2293" s="3">
        <f xml:space="preserve"> ROW( data_scaledImpacts[[#This Row],[row_id]] ) - ROW( data_scaledImpacts[[#Headers],[row_id]] )</f>
        <v>2292</v>
      </c>
      <c r="B2293" s="41" t="str">
        <f xml:space="preserve"> _xlfn.TEXTJOIN( "", , data_scaledImpacts[[#This Row],[sector]:[impactType]] )</f>
        <v>AsphaltRoadsMIROC53N/A</v>
      </c>
      <c r="C2293" s="33" t="s">
        <v>1000</v>
      </c>
      <c r="D2293" s="33" t="s">
        <v>4</v>
      </c>
      <c r="E2293" s="34">
        <v>3</v>
      </c>
      <c r="F2293" s="34"/>
      <c r="G2293" s="34" t="s">
        <v>201</v>
      </c>
      <c r="H2293" s="35"/>
      <c r="I2293" s="43" t="s">
        <v>53</v>
      </c>
      <c r="J2293" s="36">
        <v>1130.7635360803456</v>
      </c>
      <c r="K2293" s="36">
        <v>780.44808880943117</v>
      </c>
      <c r="L2293" s="37">
        <v>1259.6145487300985</v>
      </c>
      <c r="M2293" s="36">
        <v>1103.524280347254</v>
      </c>
      <c r="N2293" s="36">
        <v>1174.8870342032446</v>
      </c>
      <c r="O2293" s="36">
        <v>1070.8902926341254</v>
      </c>
      <c r="P2293">
        <v>948.39588357101604</v>
      </c>
    </row>
    <row r="2294" spans="1:16" hidden="1" x14ac:dyDescent="0.35">
      <c r="A2294" s="3">
        <f xml:space="preserve"> ROW( data_scaledImpacts[[#This Row],[row_id]] ) - ROW( data_scaledImpacts[[#Headers],[row_id]] )</f>
        <v>2293</v>
      </c>
      <c r="B2294" s="41" t="str">
        <f xml:space="preserve"> _xlfn.TEXTJOIN( "", , data_scaledImpacts[[#This Row],[sector]:[impactType]] )</f>
        <v>AsphaltRoadsGFDL-CM33N/A</v>
      </c>
      <c r="C2294" s="33" t="s">
        <v>1000</v>
      </c>
      <c r="D2294" s="33" t="s">
        <v>5</v>
      </c>
      <c r="E2294" s="34">
        <v>3</v>
      </c>
      <c r="F2294" s="34"/>
      <c r="G2294" s="34" t="s">
        <v>201</v>
      </c>
      <c r="H2294" s="35"/>
      <c r="I2294" s="43" t="s">
        <v>54</v>
      </c>
      <c r="J2294" s="36"/>
      <c r="K2294" s="36"/>
      <c r="L2294" s="37"/>
      <c r="M2294" s="36"/>
      <c r="N2294" s="36"/>
      <c r="O2294" s="36"/>
    </row>
    <row r="2295" spans="1:16" hidden="1" x14ac:dyDescent="0.35">
      <c r="A2295" s="3">
        <f xml:space="preserve"> ROW( data_scaledImpacts[[#This Row],[row_id]] ) - ROW( data_scaledImpacts[[#Headers],[row_id]] )</f>
        <v>2294</v>
      </c>
      <c r="B2295" s="41" t="str">
        <f xml:space="preserve"> _xlfn.TEXTJOIN( "", , data_scaledImpacts[[#This Row],[sector]:[impactType]] )</f>
        <v>AsphaltRoadsGCM Average3N/A</v>
      </c>
      <c r="C2295" s="33" t="s">
        <v>1000</v>
      </c>
      <c r="D2295" s="33" t="s">
        <v>15</v>
      </c>
      <c r="E2295" s="34">
        <v>3</v>
      </c>
      <c r="F2295" s="34"/>
      <c r="G2295" s="34" t="s">
        <v>201</v>
      </c>
      <c r="H2295" s="35"/>
      <c r="I2295" s="43" t="s">
        <v>55</v>
      </c>
      <c r="J2295" s="36">
        <v>1231.1606780728346</v>
      </c>
      <c r="K2295" s="36">
        <v>931.14064840962749</v>
      </c>
      <c r="L2295" s="37">
        <v>1329.4169069846355</v>
      </c>
      <c r="M2295" s="36">
        <v>1361.128728962829</v>
      </c>
      <c r="N2295" s="36">
        <v>1245.740066511248</v>
      </c>
      <c r="O2295" s="36">
        <v>1150.9589224677811</v>
      </c>
      <c r="P2295">
        <v>1076.5331000719923</v>
      </c>
    </row>
    <row r="2296" spans="1:16" hidden="1" x14ac:dyDescent="0.35">
      <c r="A2296" s="3">
        <f xml:space="preserve"> ROW( data_scaledImpacts[[#This Row],[row_id]] ) - ROW( data_scaledImpacts[[#Headers],[row_id]] )</f>
        <v>2295</v>
      </c>
      <c r="B2296" s="41" t="str">
        <f xml:space="preserve"> _xlfn.TEXTJOIN( "", , data_scaledImpacts[[#This Row],[sector]:[impactType]] )</f>
        <v>AsphaltRoadsCanESM24N/A</v>
      </c>
      <c r="C2296" s="33" t="s">
        <v>1000</v>
      </c>
      <c r="D2296" s="33" t="s">
        <v>0</v>
      </c>
      <c r="E2296" s="34">
        <v>4</v>
      </c>
      <c r="F2296" s="34"/>
      <c r="G2296" s="34" t="s">
        <v>201</v>
      </c>
      <c r="H2296" s="35"/>
      <c r="I2296" s="43" t="s">
        <v>56</v>
      </c>
      <c r="J2296" s="36">
        <v>1326.9050231417552</v>
      </c>
      <c r="K2296" s="36">
        <v>1247.0070944310023</v>
      </c>
      <c r="L2296" s="37">
        <v>1509.6244612079333</v>
      </c>
      <c r="M2296" s="36">
        <v>1794.5655710904311</v>
      </c>
      <c r="N2296" s="36">
        <v>1456.3764229283549</v>
      </c>
      <c r="O2296" s="36">
        <v>1516.1191069575732</v>
      </c>
      <c r="P2296">
        <v>1529.4203682991908</v>
      </c>
    </row>
    <row r="2297" spans="1:16" hidden="1" x14ac:dyDescent="0.35">
      <c r="A2297" s="3">
        <f xml:space="preserve"> ROW( data_scaledImpacts[[#This Row],[row_id]] ) - ROW( data_scaledImpacts[[#Headers],[row_id]] )</f>
        <v>2296</v>
      </c>
      <c r="B2297" s="41" t="str">
        <f xml:space="preserve"> _xlfn.TEXTJOIN( "", , data_scaledImpacts[[#This Row],[sector]:[impactType]] )</f>
        <v>AsphaltRoadsCCSM44N/A</v>
      </c>
      <c r="C2297" s="33" t="s">
        <v>1000</v>
      </c>
      <c r="D2297" s="33" t="s">
        <v>1</v>
      </c>
      <c r="E2297" s="34">
        <v>4</v>
      </c>
      <c r="F2297" s="34"/>
      <c r="G2297" s="34" t="s">
        <v>201</v>
      </c>
      <c r="H2297" s="35"/>
      <c r="I2297" s="43" t="s">
        <v>57</v>
      </c>
      <c r="J2297" s="36">
        <v>1786.7624111349737</v>
      </c>
      <c r="K2297" s="36">
        <v>1478.7526722251764</v>
      </c>
      <c r="L2297" s="37">
        <v>1814.000890620792</v>
      </c>
      <c r="M2297" s="36">
        <v>1809.5513393744841</v>
      </c>
      <c r="N2297" s="36">
        <v>1401.8317831366037</v>
      </c>
      <c r="O2297" s="36">
        <v>1515.4334934683322</v>
      </c>
      <c r="P2297">
        <v>1301.6976764285346</v>
      </c>
    </row>
    <row r="2298" spans="1:16" hidden="1" x14ac:dyDescent="0.35">
      <c r="A2298" s="3">
        <f xml:space="preserve"> ROW( data_scaledImpacts[[#This Row],[row_id]] ) - ROW( data_scaledImpacts[[#Headers],[row_id]] )</f>
        <v>2297</v>
      </c>
      <c r="B2298" s="41" t="str">
        <f xml:space="preserve"> _xlfn.TEXTJOIN( "", , data_scaledImpacts[[#This Row],[sector]:[impactType]] )</f>
        <v>AsphaltRoadsGISS-E2-R4N/A</v>
      </c>
      <c r="C2298" s="33" t="s">
        <v>1000</v>
      </c>
      <c r="D2298" s="33" t="s">
        <v>2</v>
      </c>
      <c r="E2298" s="34">
        <v>4</v>
      </c>
      <c r="F2298" s="34"/>
      <c r="G2298" s="34" t="s">
        <v>201</v>
      </c>
      <c r="H2298" s="35"/>
      <c r="I2298" s="43" t="s">
        <v>58</v>
      </c>
      <c r="J2298" s="36"/>
      <c r="K2298" s="36"/>
      <c r="L2298" s="37"/>
      <c r="M2298" s="36"/>
      <c r="N2298" s="36"/>
      <c r="O2298" s="36"/>
    </row>
    <row r="2299" spans="1:16" hidden="1" x14ac:dyDescent="0.35">
      <c r="A2299" s="3">
        <f xml:space="preserve"> ROW( data_scaledImpacts[[#This Row],[row_id]] ) - ROW( data_scaledImpacts[[#Headers],[row_id]] )</f>
        <v>2298</v>
      </c>
      <c r="B2299" s="41" t="str">
        <f xml:space="preserve"> _xlfn.TEXTJOIN( "", , data_scaledImpacts[[#This Row],[sector]:[impactType]] )</f>
        <v>AsphaltRoadsHadGEM2-ES4N/A</v>
      </c>
      <c r="C2299" s="33" t="s">
        <v>1000</v>
      </c>
      <c r="D2299" s="33" t="s">
        <v>3</v>
      </c>
      <c r="E2299" s="34">
        <v>4</v>
      </c>
      <c r="F2299" s="34"/>
      <c r="G2299" s="34" t="s">
        <v>201</v>
      </c>
      <c r="H2299" s="35"/>
      <c r="I2299" s="43" t="s">
        <v>59</v>
      </c>
      <c r="J2299" s="36"/>
      <c r="K2299" s="36"/>
      <c r="L2299" s="37"/>
      <c r="M2299" s="36"/>
      <c r="N2299" s="36"/>
      <c r="O2299" s="36"/>
    </row>
    <row r="2300" spans="1:16" hidden="1" x14ac:dyDescent="0.35">
      <c r="A2300" s="3">
        <f xml:space="preserve"> ROW( data_scaledImpacts[[#This Row],[row_id]] ) - ROW( data_scaledImpacts[[#Headers],[row_id]] )</f>
        <v>2299</v>
      </c>
      <c r="B2300" s="41" t="str">
        <f xml:space="preserve"> _xlfn.TEXTJOIN( "", , data_scaledImpacts[[#This Row],[sector]:[impactType]] )</f>
        <v>AsphaltRoadsMIROC54N/A</v>
      </c>
      <c r="C2300" s="33" t="s">
        <v>1000</v>
      </c>
      <c r="D2300" s="33" t="s">
        <v>4</v>
      </c>
      <c r="E2300" s="34">
        <v>4</v>
      </c>
      <c r="F2300" s="34"/>
      <c r="G2300" s="34" t="s">
        <v>201</v>
      </c>
      <c r="H2300" s="35"/>
      <c r="I2300" s="43" t="s">
        <v>60</v>
      </c>
      <c r="J2300" s="36">
        <v>1510.6701824346042</v>
      </c>
      <c r="K2300" s="36">
        <v>1050.636613440729</v>
      </c>
      <c r="L2300" s="37">
        <v>1566.2509505591916</v>
      </c>
      <c r="M2300" s="36">
        <v>1332.4093005842572</v>
      </c>
      <c r="N2300" s="36">
        <v>1405.2677910003497</v>
      </c>
      <c r="O2300" s="36">
        <v>1436.0703968317291</v>
      </c>
      <c r="P2300">
        <v>1212.9998644122345</v>
      </c>
    </row>
    <row r="2301" spans="1:16" hidden="1" x14ac:dyDescent="0.35">
      <c r="A2301" s="3">
        <f xml:space="preserve"> ROW( data_scaledImpacts[[#This Row],[row_id]] ) - ROW( data_scaledImpacts[[#Headers],[row_id]] )</f>
        <v>2300</v>
      </c>
      <c r="B2301" s="41" t="str">
        <f xml:space="preserve"> _xlfn.TEXTJOIN( "", , data_scaledImpacts[[#This Row],[sector]:[impactType]] )</f>
        <v>AsphaltRoadsGFDL-CM34N/A</v>
      </c>
      <c r="C2301" s="33" t="s">
        <v>1000</v>
      </c>
      <c r="D2301" s="33" t="s">
        <v>5</v>
      </c>
      <c r="E2301" s="34">
        <v>4</v>
      </c>
      <c r="F2301" s="34"/>
      <c r="G2301" s="34" t="s">
        <v>201</v>
      </c>
      <c r="H2301" s="35"/>
      <c r="I2301" s="43" t="s">
        <v>61</v>
      </c>
      <c r="J2301" s="36"/>
      <c r="K2301" s="36"/>
      <c r="L2301" s="37"/>
      <c r="M2301" s="36"/>
      <c r="N2301" s="36"/>
      <c r="O2301" s="36"/>
    </row>
    <row r="2302" spans="1:16" hidden="1" x14ac:dyDescent="0.35">
      <c r="A2302" s="3">
        <f xml:space="preserve"> ROW( data_scaledImpacts[[#This Row],[row_id]] ) - ROW( data_scaledImpacts[[#Headers],[row_id]] )</f>
        <v>2301</v>
      </c>
      <c r="B2302" s="41" t="str">
        <f xml:space="preserve"> _xlfn.TEXTJOIN( "", , data_scaledImpacts[[#This Row],[sector]:[impactType]] )</f>
        <v>AsphaltRoadsGCM Average4N/A</v>
      </c>
      <c r="C2302" s="33" t="s">
        <v>1000</v>
      </c>
      <c r="D2302" s="33" t="s">
        <v>15</v>
      </c>
      <c r="E2302" s="34">
        <v>4</v>
      </c>
      <c r="F2302" s="34"/>
      <c r="G2302" s="34" t="s">
        <v>201</v>
      </c>
      <c r="H2302" s="35"/>
      <c r="I2302" s="43" t="s">
        <v>62</v>
      </c>
      <c r="J2302" s="36">
        <v>1541.445872237111</v>
      </c>
      <c r="K2302" s="36">
        <v>1258.7987933656359</v>
      </c>
      <c r="L2302" s="37">
        <v>1629.9587674626389</v>
      </c>
      <c r="M2302" s="36">
        <v>1645.5087370163908</v>
      </c>
      <c r="N2302" s="36">
        <v>1421.1586656884363</v>
      </c>
      <c r="O2302" s="36">
        <v>1489.2076657525449</v>
      </c>
      <c r="P2302">
        <v>1348.0393030466532</v>
      </c>
    </row>
    <row r="2303" spans="1:16" hidden="1" x14ac:dyDescent="0.35">
      <c r="A2303" s="3">
        <f xml:space="preserve"> ROW( data_scaledImpacts[[#This Row],[row_id]] ) - ROW( data_scaledImpacts[[#Headers],[row_id]] )</f>
        <v>2302</v>
      </c>
      <c r="B2303" s="41" t="str">
        <f xml:space="preserve"> _xlfn.TEXTJOIN( "", , data_scaledImpacts[[#This Row],[sector]:[impactType]] )</f>
        <v>AsphaltRoadsCanESM25N/A</v>
      </c>
      <c r="C2303" s="33" t="s">
        <v>1000</v>
      </c>
      <c r="D2303" s="33" t="s">
        <v>0</v>
      </c>
      <c r="E2303" s="34">
        <v>5</v>
      </c>
      <c r="F2303" s="34"/>
      <c r="G2303" s="34" t="s">
        <v>201</v>
      </c>
      <c r="H2303" s="35"/>
      <c r="I2303" s="43" t="s">
        <v>63</v>
      </c>
      <c r="J2303" s="36">
        <v>1670.792631481643</v>
      </c>
      <c r="K2303" s="36">
        <v>1666.7554493199073</v>
      </c>
      <c r="L2303" s="37">
        <v>1792.7472487203552</v>
      </c>
      <c r="M2303" s="36">
        <v>2008.0830355021071</v>
      </c>
      <c r="N2303" s="36">
        <v>1778.7350886461113</v>
      </c>
      <c r="O2303" s="36">
        <v>1706.8053681005624</v>
      </c>
      <c r="P2303">
        <v>1737.6353690776996</v>
      </c>
    </row>
    <row r="2304" spans="1:16" hidden="1" x14ac:dyDescent="0.35">
      <c r="A2304" s="3">
        <f xml:space="preserve"> ROW( data_scaledImpacts[[#This Row],[row_id]] ) - ROW( data_scaledImpacts[[#Headers],[row_id]] )</f>
        <v>2303</v>
      </c>
      <c r="B2304" s="41" t="str">
        <f xml:space="preserve"> _xlfn.TEXTJOIN( "", , data_scaledImpacts[[#This Row],[sector]:[impactType]] )</f>
        <v>AsphaltRoadsCCSM45N/A</v>
      </c>
      <c r="C2304" s="33" t="s">
        <v>1000</v>
      </c>
      <c r="D2304" s="33" t="s">
        <v>1</v>
      </c>
      <c r="E2304" s="34">
        <v>5</v>
      </c>
      <c r="F2304" s="34"/>
      <c r="G2304" s="34" t="s">
        <v>201</v>
      </c>
      <c r="H2304" s="35"/>
      <c r="I2304" s="43" t="s">
        <v>64</v>
      </c>
      <c r="J2304" s="36">
        <v>2041.5411410177826</v>
      </c>
      <c r="K2304" s="36">
        <v>1932.7044106682488</v>
      </c>
      <c r="L2304" s="37">
        <v>2158.4378840259183</v>
      </c>
      <c r="M2304" s="36">
        <v>2147.1565062233999</v>
      </c>
      <c r="N2304" s="36">
        <v>1515.7957233838033</v>
      </c>
      <c r="O2304" s="36">
        <v>1888.5262942899865</v>
      </c>
      <c r="P2304">
        <v>1573.8100680307473</v>
      </c>
    </row>
    <row r="2305" spans="1:16" hidden="1" x14ac:dyDescent="0.35">
      <c r="A2305" s="3">
        <f xml:space="preserve"> ROW( data_scaledImpacts[[#This Row],[row_id]] ) - ROW( data_scaledImpacts[[#Headers],[row_id]] )</f>
        <v>2304</v>
      </c>
      <c r="B2305" s="41" t="str">
        <f xml:space="preserve"> _xlfn.TEXTJOIN( "", , data_scaledImpacts[[#This Row],[sector]:[impactType]] )</f>
        <v>AsphaltRoadsGISS-E2-R5N/A</v>
      </c>
      <c r="C2305" s="33" t="s">
        <v>1000</v>
      </c>
      <c r="D2305" s="33" t="s">
        <v>2</v>
      </c>
      <c r="E2305" s="34">
        <v>5</v>
      </c>
      <c r="F2305" s="34"/>
      <c r="G2305" s="34" t="s">
        <v>201</v>
      </c>
      <c r="H2305" s="35"/>
      <c r="I2305" s="43" t="s">
        <v>65</v>
      </c>
      <c r="J2305" s="36"/>
      <c r="K2305" s="36"/>
      <c r="L2305" s="37"/>
      <c r="M2305" s="36"/>
      <c r="N2305" s="36"/>
      <c r="O2305" s="36"/>
    </row>
    <row r="2306" spans="1:16" hidden="1" x14ac:dyDescent="0.35">
      <c r="A2306" s="3">
        <f xml:space="preserve"> ROW( data_scaledImpacts[[#This Row],[row_id]] ) - ROW( data_scaledImpacts[[#Headers],[row_id]] )</f>
        <v>2305</v>
      </c>
      <c r="B2306" s="41" t="str">
        <f xml:space="preserve"> _xlfn.TEXTJOIN( "", , data_scaledImpacts[[#This Row],[sector]:[impactType]] )</f>
        <v>AsphaltRoadsHadGEM2-ES5N/A</v>
      </c>
      <c r="C2306" s="33" t="s">
        <v>1000</v>
      </c>
      <c r="D2306" s="33" t="s">
        <v>3</v>
      </c>
      <c r="E2306" s="34">
        <v>5</v>
      </c>
      <c r="F2306" s="34"/>
      <c r="G2306" s="34" t="s">
        <v>201</v>
      </c>
      <c r="H2306" s="35"/>
      <c r="I2306" s="43" t="s">
        <v>66</v>
      </c>
      <c r="J2306" s="36"/>
      <c r="K2306" s="36"/>
      <c r="L2306" s="37"/>
      <c r="M2306" s="36"/>
      <c r="N2306" s="36"/>
      <c r="O2306" s="36"/>
    </row>
    <row r="2307" spans="1:16" hidden="1" x14ac:dyDescent="0.35">
      <c r="A2307" s="3">
        <f xml:space="preserve"> ROW( data_scaledImpacts[[#This Row],[row_id]] ) - ROW( data_scaledImpacts[[#Headers],[row_id]] )</f>
        <v>2306</v>
      </c>
      <c r="B2307" s="41" t="str">
        <f xml:space="preserve"> _xlfn.TEXTJOIN( "", , data_scaledImpacts[[#This Row],[sector]:[impactType]] )</f>
        <v>AsphaltRoadsMIROC55N/A</v>
      </c>
      <c r="C2307" s="33" t="s">
        <v>1000</v>
      </c>
      <c r="D2307" s="33" t="s">
        <v>4</v>
      </c>
      <c r="E2307" s="34">
        <v>5</v>
      </c>
      <c r="F2307" s="34"/>
      <c r="G2307" s="34" t="s">
        <v>201</v>
      </c>
      <c r="H2307" s="35"/>
      <c r="I2307" s="43" t="s">
        <v>67</v>
      </c>
      <c r="J2307" s="36">
        <v>1780.5243806423089</v>
      </c>
      <c r="K2307" s="36">
        <v>1264.5709284170327</v>
      </c>
      <c r="L2307" s="37">
        <v>1805.5476302301636</v>
      </c>
      <c r="M2307" s="36">
        <v>1507.9451361312649</v>
      </c>
      <c r="N2307" s="36">
        <v>1557.3160370440974</v>
      </c>
      <c r="O2307" s="36">
        <v>1694.9233698198439</v>
      </c>
      <c r="P2307">
        <v>1450.1661966830707</v>
      </c>
    </row>
    <row r="2308" spans="1:16" hidden="1" x14ac:dyDescent="0.35">
      <c r="A2308" s="3">
        <f xml:space="preserve"> ROW( data_scaledImpacts[[#This Row],[row_id]] ) - ROW( data_scaledImpacts[[#Headers],[row_id]] )</f>
        <v>2307</v>
      </c>
      <c r="B2308" s="41" t="str">
        <f xml:space="preserve"> _xlfn.TEXTJOIN( "", , data_scaledImpacts[[#This Row],[sector]:[impactType]] )</f>
        <v>AsphaltRoadsGFDL-CM35N/A</v>
      </c>
      <c r="C2308" s="33" t="s">
        <v>1000</v>
      </c>
      <c r="D2308" s="33" t="s">
        <v>5</v>
      </c>
      <c r="E2308" s="34">
        <v>5</v>
      </c>
      <c r="F2308" s="34"/>
      <c r="G2308" s="34" t="s">
        <v>201</v>
      </c>
      <c r="H2308" s="35"/>
      <c r="I2308" s="43" t="s">
        <v>68</v>
      </c>
      <c r="J2308" s="36"/>
      <c r="K2308" s="36"/>
      <c r="L2308" s="37"/>
      <c r="M2308" s="36"/>
      <c r="N2308" s="36"/>
      <c r="O2308" s="36"/>
    </row>
    <row r="2309" spans="1:16" hidden="1" x14ac:dyDescent="0.35">
      <c r="A2309" s="3">
        <f xml:space="preserve"> ROW( data_scaledImpacts[[#This Row],[row_id]] ) - ROW( data_scaledImpacts[[#Headers],[row_id]] )</f>
        <v>2308</v>
      </c>
      <c r="B2309" s="41" t="str">
        <f xml:space="preserve"> _xlfn.TEXTJOIN( "", , data_scaledImpacts[[#This Row],[sector]:[impactType]] )</f>
        <v>AsphaltRoadsGCM Average5N/A</v>
      </c>
      <c r="C2309" s="33" t="s">
        <v>1000</v>
      </c>
      <c r="D2309" s="33" t="s">
        <v>15</v>
      </c>
      <c r="E2309" s="34">
        <v>5</v>
      </c>
      <c r="F2309" s="34"/>
      <c r="G2309" s="34" t="s">
        <v>201</v>
      </c>
      <c r="H2309" s="35"/>
      <c r="I2309" s="43" t="s">
        <v>69</v>
      </c>
      <c r="J2309" s="36">
        <v>1830.9527177139114</v>
      </c>
      <c r="K2309" s="36">
        <v>1621.3435961350631</v>
      </c>
      <c r="L2309" s="37">
        <v>1918.9109209921455</v>
      </c>
      <c r="M2309" s="36">
        <v>1887.7282259522572</v>
      </c>
      <c r="N2309" s="36">
        <v>1617.2822830246707</v>
      </c>
      <c r="O2309" s="36">
        <v>1763.4183440701308</v>
      </c>
      <c r="P2309">
        <v>1587.2038779305058</v>
      </c>
    </row>
    <row r="2310" spans="1:16" hidden="1" x14ac:dyDescent="0.35">
      <c r="A2310" s="3">
        <f xml:space="preserve"> ROW( data_scaledImpacts[[#This Row],[row_id]] ) - ROW( data_scaledImpacts[[#Headers],[row_id]] )</f>
        <v>2309</v>
      </c>
      <c r="B2310" s="41" t="str">
        <f xml:space="preserve"> _xlfn.TEXTJOIN( "", , data_scaledImpacts[[#This Row],[sector]:[impactType]] )</f>
        <v>AsphaltRoadsCanESM26N/A</v>
      </c>
      <c r="C2310" s="33" t="s">
        <v>1000</v>
      </c>
      <c r="D2310" s="33" t="s">
        <v>0</v>
      </c>
      <c r="E2310" s="34">
        <v>6</v>
      </c>
      <c r="F2310" s="34"/>
      <c r="G2310" s="34" t="s">
        <v>201</v>
      </c>
      <c r="H2310" s="35"/>
      <c r="I2310" s="43" t="s">
        <v>70</v>
      </c>
      <c r="J2310" s="36">
        <v>2039.243640417237</v>
      </c>
      <c r="K2310" s="36">
        <v>2116.4858295580198</v>
      </c>
      <c r="L2310" s="37">
        <v>2096.0930924836643</v>
      </c>
      <c r="M2310" s="36">
        <v>2236.8517473717598</v>
      </c>
      <c r="N2310" s="36">
        <v>2124.1193733437076</v>
      </c>
      <c r="O2310" s="36">
        <v>1911.1120764680513</v>
      </c>
      <c r="P2310">
        <v>1960.7228699118159</v>
      </c>
    </row>
    <row r="2311" spans="1:16" hidden="1" x14ac:dyDescent="0.35">
      <c r="A2311" s="3">
        <f xml:space="preserve"> ROW( data_scaledImpacts[[#This Row],[row_id]] ) - ROW( data_scaledImpacts[[#Headers],[row_id]] )</f>
        <v>2310</v>
      </c>
      <c r="B2311" s="41" t="str">
        <f xml:space="preserve"> _xlfn.TEXTJOIN( "", , data_scaledImpacts[[#This Row],[sector]:[impactType]] )</f>
        <v>AsphaltRoadsCCSM46N/A</v>
      </c>
      <c r="C2311" s="33" t="s">
        <v>1000</v>
      </c>
      <c r="D2311" s="33" t="s">
        <v>1</v>
      </c>
      <c r="E2311" s="34">
        <v>6</v>
      </c>
      <c r="F2311" s="34"/>
      <c r="G2311" s="34" t="s">
        <v>201</v>
      </c>
      <c r="H2311" s="35"/>
      <c r="I2311" s="43" t="s">
        <v>71</v>
      </c>
      <c r="J2311" s="36"/>
      <c r="K2311" s="36"/>
      <c r="L2311" s="37"/>
      <c r="M2311" s="36"/>
      <c r="N2311" s="36"/>
      <c r="O2311" s="36"/>
    </row>
    <row r="2312" spans="1:16" hidden="1" x14ac:dyDescent="0.35">
      <c r="A2312" s="3">
        <f xml:space="preserve"> ROW( data_scaledImpacts[[#This Row],[row_id]] ) - ROW( data_scaledImpacts[[#Headers],[row_id]] )</f>
        <v>2311</v>
      </c>
      <c r="B2312" s="41" t="str">
        <f xml:space="preserve"> _xlfn.TEXTJOIN( "", , data_scaledImpacts[[#This Row],[sector]:[impactType]] )</f>
        <v>AsphaltRoadsGISS-E2-R6N/A</v>
      </c>
      <c r="C2312" s="33" t="s">
        <v>1000</v>
      </c>
      <c r="D2312" s="33" t="s">
        <v>2</v>
      </c>
      <c r="E2312" s="34">
        <v>6</v>
      </c>
      <c r="F2312" s="34"/>
      <c r="G2312" s="34" t="s">
        <v>201</v>
      </c>
      <c r="H2312" s="35"/>
      <c r="I2312" s="43" t="s">
        <v>72</v>
      </c>
      <c r="J2312" s="36"/>
      <c r="K2312" s="36"/>
      <c r="L2312" s="37"/>
      <c r="M2312" s="36"/>
      <c r="N2312" s="36"/>
      <c r="O2312" s="36"/>
    </row>
    <row r="2313" spans="1:16" hidden="1" x14ac:dyDescent="0.35">
      <c r="A2313" s="3">
        <f xml:space="preserve"> ROW( data_scaledImpacts[[#This Row],[row_id]] ) - ROW( data_scaledImpacts[[#Headers],[row_id]] )</f>
        <v>2312</v>
      </c>
      <c r="B2313" s="41" t="str">
        <f xml:space="preserve"> _xlfn.TEXTJOIN( "", , data_scaledImpacts[[#This Row],[sector]:[impactType]] )</f>
        <v>AsphaltRoadsHadGEM2-ES6N/A</v>
      </c>
      <c r="C2313" s="33" t="s">
        <v>1000</v>
      </c>
      <c r="D2313" s="33" t="s">
        <v>3</v>
      </c>
      <c r="E2313" s="34">
        <v>6</v>
      </c>
      <c r="F2313" s="34"/>
      <c r="G2313" s="34" t="s">
        <v>201</v>
      </c>
      <c r="H2313" s="35"/>
      <c r="I2313" s="43" t="s">
        <v>73</v>
      </c>
      <c r="J2313" s="36"/>
      <c r="K2313" s="36"/>
      <c r="L2313" s="37"/>
      <c r="M2313" s="36"/>
      <c r="N2313" s="36"/>
      <c r="O2313" s="36"/>
    </row>
    <row r="2314" spans="1:16" hidden="1" x14ac:dyDescent="0.35">
      <c r="A2314" s="3">
        <f xml:space="preserve"> ROW( data_scaledImpacts[[#This Row],[row_id]] ) - ROW( data_scaledImpacts[[#Headers],[row_id]] )</f>
        <v>2313</v>
      </c>
      <c r="B2314" s="41" t="str">
        <f xml:space="preserve"> _xlfn.TEXTJOIN( "", , data_scaledImpacts[[#This Row],[sector]:[impactType]] )</f>
        <v>AsphaltRoadsMIROC56N/A</v>
      </c>
      <c r="C2314" s="33" t="s">
        <v>1000</v>
      </c>
      <c r="D2314" s="33" t="s">
        <v>4</v>
      </c>
      <c r="E2314" s="34">
        <v>6</v>
      </c>
      <c r="F2314" s="34"/>
      <c r="G2314" s="34" t="s">
        <v>201</v>
      </c>
      <c r="H2314" s="35"/>
      <c r="I2314" s="43" t="s">
        <v>74</v>
      </c>
      <c r="J2314" s="36"/>
      <c r="K2314" s="36"/>
      <c r="L2314" s="37"/>
      <c r="M2314" s="36"/>
      <c r="N2314" s="36"/>
      <c r="O2314" s="36"/>
    </row>
    <row r="2315" spans="1:16" hidden="1" x14ac:dyDescent="0.35">
      <c r="A2315" s="3">
        <f xml:space="preserve"> ROW( data_scaledImpacts[[#This Row],[row_id]] ) - ROW( data_scaledImpacts[[#Headers],[row_id]] )</f>
        <v>2314</v>
      </c>
      <c r="B2315" s="41" t="str">
        <f xml:space="preserve"> _xlfn.TEXTJOIN( "", , data_scaledImpacts[[#This Row],[sector]:[impactType]] )</f>
        <v>AsphaltRoadsGFDL-CM36N/A</v>
      </c>
      <c r="C2315" s="33" t="s">
        <v>1000</v>
      </c>
      <c r="D2315" s="33" t="s">
        <v>5</v>
      </c>
      <c r="E2315" s="34">
        <v>6</v>
      </c>
      <c r="F2315" s="34"/>
      <c r="G2315" s="34" t="s">
        <v>201</v>
      </c>
      <c r="H2315" s="35"/>
      <c r="I2315" s="43" t="s">
        <v>75</v>
      </c>
      <c r="J2315" s="36"/>
      <c r="K2315" s="36"/>
      <c r="L2315" s="37"/>
      <c r="M2315" s="36"/>
      <c r="N2315" s="36"/>
      <c r="O2315" s="36"/>
    </row>
    <row r="2316" spans="1:16" hidden="1" x14ac:dyDescent="0.35">
      <c r="A2316" s="3">
        <f xml:space="preserve"> ROW( data_scaledImpacts[[#This Row],[row_id]] ) - ROW( data_scaledImpacts[[#Headers],[row_id]] )</f>
        <v>2315</v>
      </c>
      <c r="B2316" s="41" t="str">
        <f xml:space="preserve"> _xlfn.TEXTJOIN( "", , data_scaledImpacts[[#This Row],[sector]:[impactType]] )</f>
        <v>AsphaltRoadsGCM Average6N/A</v>
      </c>
      <c r="C2316" s="33" t="s">
        <v>1000</v>
      </c>
      <c r="D2316" s="33" t="s">
        <v>15</v>
      </c>
      <c r="E2316" s="34">
        <v>6</v>
      </c>
      <c r="F2316" s="34"/>
      <c r="G2316" s="34" t="s">
        <v>201</v>
      </c>
      <c r="H2316" s="35"/>
      <c r="I2316" s="43" t="s">
        <v>76</v>
      </c>
      <c r="J2316" s="36">
        <v>2039.243640417237</v>
      </c>
      <c r="K2316" s="36">
        <v>2116.4858295580198</v>
      </c>
      <c r="L2316" s="37">
        <v>2096.0930924836643</v>
      </c>
      <c r="M2316" s="36">
        <v>2236.8517473717598</v>
      </c>
      <c r="N2316" s="36">
        <v>2124.1193733437076</v>
      </c>
      <c r="O2316" s="36">
        <v>1911.1120764680513</v>
      </c>
      <c r="P2316">
        <v>1960.7228699118159</v>
      </c>
    </row>
    <row r="2317" spans="1:16" hidden="1" x14ac:dyDescent="0.35">
      <c r="A2317" s="3">
        <f xml:space="preserve"> ROW( data_scaledImpacts[[#This Row],[row_id]] ) - ROW( data_scaledImpacts[[#Headers],[row_id]] )</f>
        <v>2316</v>
      </c>
      <c r="B2317" s="41" t="str">
        <f xml:space="preserve"> _xlfn.TEXTJOIN( "", , data_scaledImpacts[[#This Row],[sector]:[impactType]] )</f>
        <v>AsphaltRoadsCanESM27N/A</v>
      </c>
      <c r="C2317" s="33" t="s">
        <v>1000</v>
      </c>
      <c r="D2317" s="33" t="s">
        <v>0</v>
      </c>
      <c r="E2317" s="34">
        <v>7</v>
      </c>
      <c r="F2317" s="34"/>
      <c r="G2317" s="34" t="s">
        <v>201</v>
      </c>
      <c r="H2317" s="35"/>
      <c r="I2317" s="43" t="s">
        <v>77</v>
      </c>
      <c r="J2317" s="36"/>
      <c r="K2317" s="36"/>
      <c r="L2317" s="37"/>
      <c r="M2317" s="36"/>
      <c r="N2317" s="36"/>
      <c r="O2317" s="36"/>
    </row>
    <row r="2318" spans="1:16" hidden="1" x14ac:dyDescent="0.35">
      <c r="A2318" s="3">
        <f xml:space="preserve"> ROW( data_scaledImpacts[[#This Row],[row_id]] ) - ROW( data_scaledImpacts[[#Headers],[row_id]] )</f>
        <v>2317</v>
      </c>
      <c r="B2318" s="41" t="str">
        <f xml:space="preserve"> _xlfn.TEXTJOIN( "", , data_scaledImpacts[[#This Row],[sector]:[impactType]] )</f>
        <v>AsphaltRoadsCCSM47N/A</v>
      </c>
      <c r="C2318" s="33" t="s">
        <v>1000</v>
      </c>
      <c r="D2318" s="33" t="s">
        <v>1</v>
      </c>
      <c r="E2318" s="34">
        <v>7</v>
      </c>
      <c r="F2318" s="34"/>
      <c r="G2318" s="34" t="s">
        <v>201</v>
      </c>
      <c r="H2318" s="35"/>
      <c r="I2318" s="43" t="s">
        <v>78</v>
      </c>
      <c r="J2318" s="36"/>
      <c r="K2318" s="36"/>
      <c r="L2318" s="37"/>
      <c r="M2318" s="36"/>
      <c r="N2318" s="36"/>
      <c r="O2318" s="36"/>
    </row>
    <row r="2319" spans="1:16" hidden="1" x14ac:dyDescent="0.35">
      <c r="A2319" s="3">
        <f xml:space="preserve"> ROW( data_scaledImpacts[[#This Row],[row_id]] ) - ROW( data_scaledImpacts[[#Headers],[row_id]] )</f>
        <v>2318</v>
      </c>
      <c r="B2319" s="41" t="str">
        <f xml:space="preserve"> _xlfn.TEXTJOIN( "", , data_scaledImpacts[[#This Row],[sector]:[impactType]] )</f>
        <v>AsphaltRoadsGISS-E2-R7N/A</v>
      </c>
      <c r="C2319" s="33" t="s">
        <v>1000</v>
      </c>
      <c r="D2319" s="33" t="s">
        <v>2</v>
      </c>
      <c r="E2319" s="34">
        <v>7</v>
      </c>
      <c r="F2319" s="34"/>
      <c r="G2319" s="34" t="s">
        <v>201</v>
      </c>
      <c r="H2319" s="35"/>
      <c r="I2319" s="43" t="s">
        <v>79</v>
      </c>
      <c r="J2319" s="36"/>
      <c r="K2319" s="36"/>
      <c r="L2319" s="37"/>
      <c r="M2319" s="36"/>
      <c r="N2319" s="36"/>
      <c r="O2319" s="36"/>
    </row>
    <row r="2320" spans="1:16" hidden="1" x14ac:dyDescent="0.35">
      <c r="A2320" s="3">
        <f xml:space="preserve"> ROW( data_scaledImpacts[[#This Row],[row_id]] ) - ROW( data_scaledImpacts[[#Headers],[row_id]] )</f>
        <v>2319</v>
      </c>
      <c r="B2320" s="41" t="str">
        <f xml:space="preserve"> _xlfn.TEXTJOIN( "", , data_scaledImpacts[[#This Row],[sector]:[impactType]] )</f>
        <v>AsphaltRoadsHadGEM2-ES7N/A</v>
      </c>
      <c r="C2320" s="33" t="s">
        <v>1000</v>
      </c>
      <c r="D2320" s="33" t="s">
        <v>3</v>
      </c>
      <c r="E2320" s="34">
        <v>7</v>
      </c>
      <c r="F2320" s="34"/>
      <c r="G2320" s="34" t="s">
        <v>201</v>
      </c>
      <c r="H2320" s="35"/>
      <c r="I2320" s="43" t="s">
        <v>80</v>
      </c>
      <c r="J2320" s="36"/>
      <c r="K2320" s="36"/>
      <c r="L2320" s="37"/>
      <c r="M2320" s="36"/>
      <c r="N2320" s="36"/>
      <c r="O2320" s="36"/>
    </row>
    <row r="2321" spans="1:16" hidden="1" x14ac:dyDescent="0.35">
      <c r="A2321" s="3">
        <f xml:space="preserve"> ROW( data_scaledImpacts[[#This Row],[row_id]] ) - ROW( data_scaledImpacts[[#Headers],[row_id]] )</f>
        <v>2320</v>
      </c>
      <c r="B2321" s="41" t="str">
        <f xml:space="preserve"> _xlfn.TEXTJOIN( "", , data_scaledImpacts[[#This Row],[sector]:[impactType]] )</f>
        <v>AsphaltRoadsMIROC57N/A</v>
      </c>
      <c r="C2321" s="33" t="s">
        <v>1000</v>
      </c>
      <c r="D2321" s="33" t="s">
        <v>4</v>
      </c>
      <c r="E2321" s="34">
        <v>7</v>
      </c>
      <c r="F2321" s="34"/>
      <c r="G2321" s="34" t="s">
        <v>201</v>
      </c>
      <c r="H2321" s="35"/>
      <c r="I2321" s="43" t="s">
        <v>81</v>
      </c>
      <c r="J2321" s="36"/>
      <c r="K2321" s="36"/>
      <c r="L2321" s="37"/>
      <c r="M2321" s="36"/>
      <c r="N2321" s="36"/>
      <c r="O2321" s="36"/>
    </row>
    <row r="2322" spans="1:16" hidden="1" x14ac:dyDescent="0.35">
      <c r="A2322" s="3">
        <f xml:space="preserve"> ROW( data_scaledImpacts[[#This Row],[row_id]] ) - ROW( data_scaledImpacts[[#Headers],[row_id]] )</f>
        <v>2321</v>
      </c>
      <c r="B2322" s="41" t="str">
        <f xml:space="preserve"> _xlfn.TEXTJOIN( "", , data_scaledImpacts[[#This Row],[sector]:[impactType]] )</f>
        <v>AsphaltRoadsGFDL-CM37N/A</v>
      </c>
      <c r="C2322" s="33" t="s">
        <v>1000</v>
      </c>
      <c r="D2322" s="33" t="s">
        <v>5</v>
      </c>
      <c r="E2322" s="34">
        <v>7</v>
      </c>
      <c r="F2322" s="34"/>
      <c r="G2322" s="34" t="s">
        <v>201</v>
      </c>
      <c r="H2322" s="35"/>
      <c r="I2322" s="43" t="s">
        <v>82</v>
      </c>
      <c r="J2322" s="36"/>
      <c r="K2322" s="36"/>
      <c r="L2322" s="37"/>
      <c r="M2322" s="36"/>
      <c r="N2322" s="36"/>
      <c r="O2322" s="36"/>
    </row>
    <row r="2323" spans="1:16" hidden="1" x14ac:dyDescent="0.35">
      <c r="A2323" s="3">
        <f xml:space="preserve"> ROW( data_scaledImpacts[[#This Row],[row_id]] ) - ROW( data_scaledImpacts[[#Headers],[row_id]] )</f>
        <v>2322</v>
      </c>
      <c r="B2323" s="41" t="str">
        <f xml:space="preserve"> _xlfn.TEXTJOIN( "", , data_scaledImpacts[[#This Row],[sector]:[impactType]] )</f>
        <v>AsphaltRoadsGCM Average7N/A</v>
      </c>
      <c r="C2323" s="33" t="s">
        <v>1000</v>
      </c>
      <c r="D2323" s="33" t="s">
        <v>15</v>
      </c>
      <c r="E2323" s="34">
        <v>7</v>
      </c>
      <c r="F2323" s="34"/>
      <c r="G2323" s="34" t="s">
        <v>201</v>
      </c>
      <c r="H2323" s="35"/>
      <c r="I2323" s="43" t="s">
        <v>83</v>
      </c>
      <c r="J2323" s="38"/>
      <c r="K2323" s="38"/>
      <c r="L2323" s="39"/>
      <c r="M2323" s="38"/>
      <c r="N2323" s="38"/>
      <c r="O2323" s="38"/>
    </row>
    <row r="2324" spans="1:16" hidden="1" x14ac:dyDescent="0.35">
      <c r="A2324" s="3">
        <f xml:space="preserve"> ROW( data_scaledImpacts[[#This Row],[row_id]] ) - ROW( data_scaledImpacts[[#Headers],[row_id]] )</f>
        <v>2323</v>
      </c>
      <c r="B2324" s="41" t="str">
        <f xml:space="preserve"> _xlfn.TEXTJOIN( "", , data_scaledImpacts[[#This Row],[sector]:[impactType]] )</f>
        <v>InlandFloodingGCM Ensemble1N/A</v>
      </c>
      <c r="C2324" s="33" t="s">
        <v>84</v>
      </c>
      <c r="D2324" s="33" t="s">
        <v>1082</v>
      </c>
      <c r="E2324" s="34">
        <v>1</v>
      </c>
      <c r="F2324" s="34"/>
      <c r="G2324" s="34" t="s">
        <v>201</v>
      </c>
      <c r="H2324" s="35"/>
      <c r="I2324" s="43" t="s">
        <v>1073</v>
      </c>
      <c r="J2324" s="96">
        <v>-142135898.24928427</v>
      </c>
      <c r="K2324" s="36">
        <v>-16449455.753893966</v>
      </c>
      <c r="L2324" s="37">
        <v>17930364.350876592</v>
      </c>
      <c r="M2324" s="36">
        <v>104780195.99694364</v>
      </c>
      <c r="N2324" s="36">
        <v>24899698.989093743</v>
      </c>
      <c r="O2324" s="36">
        <v>-60697517.232501887</v>
      </c>
      <c r="P2324">
        <v>154312858.89946383</v>
      </c>
    </row>
    <row r="2325" spans="1:16" hidden="1" x14ac:dyDescent="0.35">
      <c r="A2325" s="3">
        <f xml:space="preserve"> ROW( data_scaledImpacts[[#This Row],[row_id]] ) - ROW( data_scaledImpacts[[#Headers],[row_id]] )</f>
        <v>2324</v>
      </c>
      <c r="B2325" s="41" t="str">
        <f xml:space="preserve"> _xlfn.TEXTJOIN( "", , data_scaledImpacts[[#This Row],[sector]:[impactType]] )</f>
        <v>InlandFloodingGCM Ensemble2N/A</v>
      </c>
      <c r="C2325" s="33" t="s">
        <v>84</v>
      </c>
      <c r="D2325" s="33" t="s">
        <v>1082</v>
      </c>
      <c r="E2325" s="34">
        <v>2</v>
      </c>
      <c r="F2325" s="34"/>
      <c r="G2325" s="34" t="s">
        <v>201</v>
      </c>
      <c r="H2325" s="35"/>
      <c r="I2325" s="43" t="s">
        <v>1074</v>
      </c>
      <c r="J2325" s="96">
        <v>-113860717.00218445</v>
      </c>
      <c r="K2325" s="36">
        <v>64509711.646590382</v>
      </c>
      <c r="L2325" s="37">
        <v>21782317.976128116</v>
      </c>
      <c r="M2325" s="36">
        <v>160691557.38025558</v>
      </c>
      <c r="N2325" s="36">
        <v>109898623.13908447</v>
      </c>
      <c r="O2325" s="36">
        <v>35760621.638921507</v>
      </c>
      <c r="P2325">
        <v>83595725.714798227</v>
      </c>
    </row>
    <row r="2326" spans="1:16" hidden="1" x14ac:dyDescent="0.35">
      <c r="A2326" s="3">
        <f xml:space="preserve"> ROW( data_scaledImpacts[[#This Row],[row_id]] ) - ROW( data_scaledImpacts[[#Headers],[row_id]] )</f>
        <v>2325</v>
      </c>
      <c r="B2326" s="41" t="str">
        <f xml:space="preserve"> _xlfn.TEXTJOIN( "", , data_scaledImpacts[[#This Row],[sector]:[impactType]] )</f>
        <v>InlandFloodingGCM Ensemble3N/A</v>
      </c>
      <c r="C2326" s="33" t="s">
        <v>84</v>
      </c>
      <c r="D2326" s="33" t="s">
        <v>1082</v>
      </c>
      <c r="E2326" s="34">
        <v>3</v>
      </c>
      <c r="F2326" s="34"/>
      <c r="G2326" s="34" t="s">
        <v>201</v>
      </c>
      <c r="H2326" s="35"/>
      <c r="I2326" s="43" t="s">
        <v>1075</v>
      </c>
      <c r="J2326" s="96">
        <v>-25898674.691346209</v>
      </c>
      <c r="K2326" s="36">
        <v>118976437.72049581</v>
      </c>
      <c r="L2326" s="37">
        <v>47160873.412038624</v>
      </c>
      <c r="M2326" s="36">
        <v>210165557.48890087</v>
      </c>
      <c r="N2326" s="36">
        <v>206876002.0422512</v>
      </c>
      <c r="O2326" s="36">
        <v>79244397.014195949</v>
      </c>
      <c r="P2326">
        <v>343395693.73938149</v>
      </c>
    </row>
    <row r="2327" spans="1:16" hidden="1" x14ac:dyDescent="0.35">
      <c r="A2327" s="3">
        <f xml:space="preserve"> ROW( data_scaledImpacts[[#This Row],[row_id]] ) - ROW( data_scaledImpacts[[#Headers],[row_id]] )</f>
        <v>2326</v>
      </c>
      <c r="B2327" s="41" t="str">
        <f xml:space="preserve"> _xlfn.TEXTJOIN( "", , data_scaledImpacts[[#This Row],[sector]:[impactType]] )</f>
        <v>InlandFloodingGCM Ensemble4N/A</v>
      </c>
      <c r="C2327" s="33" t="s">
        <v>84</v>
      </c>
      <c r="D2327" s="33" t="s">
        <v>1082</v>
      </c>
      <c r="E2327" s="34">
        <v>4</v>
      </c>
      <c r="F2327" s="34"/>
      <c r="G2327" s="34" t="s">
        <v>201</v>
      </c>
      <c r="H2327" s="35"/>
      <c r="I2327" s="43" t="s">
        <v>1076</v>
      </c>
      <c r="J2327" s="96">
        <v>35530234.754675932</v>
      </c>
      <c r="K2327" s="36">
        <v>167645561.74674469</v>
      </c>
      <c r="L2327" s="37">
        <v>61511211.333164714</v>
      </c>
      <c r="M2327" s="36">
        <v>399404468.26967412</v>
      </c>
      <c r="N2327" s="36">
        <v>200357228.79675969</v>
      </c>
      <c r="O2327" s="36">
        <v>70033765.593180627</v>
      </c>
      <c r="P2327">
        <v>420642884.77198839</v>
      </c>
    </row>
    <row r="2328" spans="1:16" hidden="1" x14ac:dyDescent="0.35">
      <c r="A2328" s="3">
        <f xml:space="preserve"> ROW( data_scaledImpacts[[#This Row],[row_id]] ) - ROW( data_scaledImpacts[[#Headers],[row_id]] )</f>
        <v>2327</v>
      </c>
      <c r="B2328" s="41" t="str">
        <f xml:space="preserve"> _xlfn.TEXTJOIN( "", , data_scaledImpacts[[#This Row],[sector]:[impactType]] )</f>
        <v>InlandFloodingGCM Ensemble5N/A</v>
      </c>
      <c r="C2328" s="33" t="s">
        <v>84</v>
      </c>
      <c r="D2328" s="33" t="s">
        <v>1082</v>
      </c>
      <c r="E2328" s="34">
        <v>5</v>
      </c>
      <c r="F2328" s="34"/>
      <c r="G2328" s="34" t="s">
        <v>201</v>
      </c>
      <c r="H2328" s="35"/>
      <c r="I2328" s="43" t="s">
        <v>1077</v>
      </c>
      <c r="J2328" s="96">
        <v>159192061.2528336</v>
      </c>
      <c r="K2328" s="36">
        <v>157419141.70969346</v>
      </c>
      <c r="L2328" s="37">
        <v>56773180.960083805</v>
      </c>
      <c r="M2328" s="36">
        <v>478964376.40597308</v>
      </c>
      <c r="N2328" s="36">
        <v>262105569.15216956</v>
      </c>
      <c r="O2328" s="36">
        <v>123032936.14714773</v>
      </c>
      <c r="P2328">
        <v>680676165.02085555</v>
      </c>
    </row>
    <row r="2329" spans="1:16" hidden="1" x14ac:dyDescent="0.35">
      <c r="A2329" s="3">
        <f xml:space="preserve"> ROW( data_scaledImpacts[[#This Row],[row_id]] ) - ROW( data_scaledImpacts[[#Headers],[row_id]] )</f>
        <v>2328</v>
      </c>
      <c r="B2329" s="41" t="str">
        <f xml:space="preserve"> _xlfn.TEXTJOIN( "", , data_scaledImpacts[[#This Row],[sector]:[impactType]] )</f>
        <v>InlandFloodingGCM Ensemble6N/A</v>
      </c>
      <c r="C2329" s="33" t="s">
        <v>84</v>
      </c>
      <c r="D2329" s="33" t="s">
        <v>1082</v>
      </c>
      <c r="E2329" s="34">
        <v>6</v>
      </c>
      <c r="F2329" s="34"/>
      <c r="G2329" s="34" t="s">
        <v>201</v>
      </c>
      <c r="H2329" s="35"/>
      <c r="I2329" s="43" t="s">
        <v>1078</v>
      </c>
      <c r="J2329" s="96"/>
      <c r="K2329" s="36"/>
      <c r="L2329" s="37"/>
      <c r="M2329" s="36"/>
      <c r="N2329" s="36"/>
      <c r="O2329" s="36"/>
    </row>
    <row r="2330" spans="1:16" hidden="1" x14ac:dyDescent="0.35">
      <c r="A2330" s="3">
        <f xml:space="preserve"> ROW( data_scaledImpacts[[#This Row],[row_id]] ) - ROW( data_scaledImpacts[[#Headers],[row_id]] )</f>
        <v>2329</v>
      </c>
      <c r="B2330" s="41" t="str">
        <f xml:space="preserve"> _xlfn.TEXTJOIN( "", , data_scaledImpacts[[#This Row],[sector]:[impactType]] )</f>
        <v>InlandFloodingGCM Ensemble7N/A</v>
      </c>
      <c r="C2330" s="33" t="s">
        <v>84</v>
      </c>
      <c r="D2330" s="33" t="s">
        <v>1082</v>
      </c>
      <c r="E2330" s="34">
        <v>7</v>
      </c>
      <c r="F2330" s="34"/>
      <c r="G2330" s="34" t="s">
        <v>201</v>
      </c>
      <c r="H2330" s="35"/>
      <c r="I2330" s="43" t="s">
        <v>1079</v>
      </c>
      <c r="J2330" s="96"/>
      <c r="K2330" s="36"/>
      <c r="L2330" s="37"/>
      <c r="M2330" s="36"/>
      <c r="N2330" s="36"/>
      <c r="O2330" s="36"/>
    </row>
    <row r="2331" spans="1:16" hidden="1" x14ac:dyDescent="0.35">
      <c r="A2331" s="3">
        <f xml:space="preserve"> ROW( data_scaledImpacts[[#This Row],[row_id]] ) - ROW( data_scaledImpacts[[#Headers],[row_id]] )</f>
        <v>2330</v>
      </c>
      <c r="B2331" s="41" t="str">
        <f xml:space="preserve"> _xlfn.TEXTJOIN( "", , data_scaledImpacts[[#This Row],[sector]:[impactType]] )</f>
        <v>WindDamageCCSM41N/A</v>
      </c>
      <c r="C2331" s="33" t="s">
        <v>1083</v>
      </c>
      <c r="D2331" s="33" t="s">
        <v>1</v>
      </c>
      <c r="E2331" s="34">
        <v>1</v>
      </c>
      <c r="F2331" s="34"/>
      <c r="G2331" s="34" t="s">
        <v>201</v>
      </c>
      <c r="H2331" s="35"/>
      <c r="I2331" s="43" t="s">
        <v>36</v>
      </c>
      <c r="J2331" s="96"/>
      <c r="K2331" s="36">
        <v>-336471549.34200823</v>
      </c>
      <c r="L2331" s="37"/>
      <c r="M2331" s="36"/>
      <c r="N2331" s="36">
        <v>899052367.699929</v>
      </c>
      <c r="O2331" s="36">
        <v>563168842.99269485</v>
      </c>
    </row>
    <row r="2332" spans="1:16" hidden="1" x14ac:dyDescent="0.35">
      <c r="A2332" s="3">
        <f xml:space="preserve"> ROW( data_scaledImpacts[[#This Row],[row_id]] ) - ROW( data_scaledImpacts[[#Headers],[row_id]] )</f>
        <v>2331</v>
      </c>
      <c r="B2332" s="41" t="str">
        <f xml:space="preserve"> _xlfn.TEXTJOIN( "", , data_scaledImpacts[[#This Row],[sector]:[impactType]] )</f>
        <v>WindDamageGFDL-CM31N/A</v>
      </c>
      <c r="C2332" s="33" t="s">
        <v>1083</v>
      </c>
      <c r="D2332" s="33" t="s">
        <v>5</v>
      </c>
      <c r="E2332" s="34">
        <v>1</v>
      </c>
      <c r="F2332" s="34"/>
      <c r="G2332" s="34" t="s">
        <v>201</v>
      </c>
      <c r="H2332" s="35"/>
      <c r="I2332" s="43" t="s">
        <v>40</v>
      </c>
      <c r="J2332" s="96"/>
      <c r="K2332" s="36">
        <v>6188214276.8490915</v>
      </c>
      <c r="L2332" s="37"/>
      <c r="M2332" s="36"/>
      <c r="N2332" s="36">
        <v>17739962345.770435</v>
      </c>
      <c r="O2332" s="36">
        <v>7119241166.5607204</v>
      </c>
    </row>
    <row r="2333" spans="1:16" hidden="1" x14ac:dyDescent="0.35">
      <c r="A2333" s="3">
        <f xml:space="preserve"> ROW( data_scaledImpacts[[#This Row],[row_id]] ) - ROW( data_scaledImpacts[[#Headers],[row_id]] )</f>
        <v>2332</v>
      </c>
      <c r="B2333" s="41" t="str">
        <f xml:space="preserve"> _xlfn.TEXTJOIN( "", , data_scaledImpacts[[#This Row],[sector]:[impactType]] )</f>
        <v>WindDamageHadGEM2-ES1N/A</v>
      </c>
      <c r="C2333" s="33" t="s">
        <v>1083</v>
      </c>
      <c r="D2333" s="33" t="s">
        <v>3</v>
      </c>
      <c r="E2333" s="34">
        <v>1</v>
      </c>
      <c r="F2333" s="34"/>
      <c r="G2333" s="34" t="s">
        <v>201</v>
      </c>
      <c r="H2333" s="35"/>
      <c r="I2333" s="43" t="s">
        <v>38</v>
      </c>
      <c r="J2333" s="96"/>
      <c r="K2333" s="36">
        <v>759717463.24841297</v>
      </c>
      <c r="L2333" s="37"/>
      <c r="M2333" s="36"/>
      <c r="N2333" s="36">
        <v>1904670896.0996282</v>
      </c>
      <c r="O2333" s="36">
        <v>1067294078.2324815</v>
      </c>
    </row>
    <row r="2334" spans="1:16" hidden="1" x14ac:dyDescent="0.35">
      <c r="A2334" s="3">
        <f xml:space="preserve"> ROW( data_scaledImpacts[[#This Row],[row_id]] ) - ROW( data_scaledImpacts[[#Headers],[row_id]] )</f>
        <v>2333</v>
      </c>
      <c r="B2334" s="41" t="str">
        <f xml:space="preserve"> _xlfn.TEXTJOIN( "", , data_scaledImpacts[[#This Row],[sector]:[impactType]] )</f>
        <v>WindDamageMIROC51N/A</v>
      </c>
      <c r="C2334" s="33" t="s">
        <v>1083</v>
      </c>
      <c r="D2334" s="33" t="s">
        <v>4</v>
      </c>
      <c r="E2334" s="34">
        <v>1</v>
      </c>
      <c r="F2334" s="34"/>
      <c r="G2334" s="34" t="s">
        <v>201</v>
      </c>
      <c r="H2334" s="35"/>
      <c r="I2334" s="43" t="s">
        <v>39</v>
      </c>
      <c r="J2334" s="96"/>
      <c r="K2334" s="36">
        <v>1044065148.1448522</v>
      </c>
      <c r="L2334" s="37"/>
      <c r="M2334" s="36"/>
      <c r="N2334" s="36">
        <v>2227033734.8079457</v>
      </c>
      <c r="O2334" s="36">
        <v>2565404785.4153399</v>
      </c>
    </row>
    <row r="2335" spans="1:16" hidden="1" x14ac:dyDescent="0.35">
      <c r="A2335" s="3">
        <f xml:space="preserve"> ROW( data_scaledImpacts[[#This Row],[row_id]] ) - ROW( data_scaledImpacts[[#Headers],[row_id]] )</f>
        <v>2334</v>
      </c>
      <c r="B2335" s="41" t="str">
        <f xml:space="preserve"> _xlfn.TEXTJOIN( "", , data_scaledImpacts[[#This Row],[sector]:[impactType]] )</f>
        <v>WindDamageMRI-CGCM31N/A</v>
      </c>
      <c r="C2335" s="33" t="s">
        <v>1083</v>
      </c>
      <c r="D2335" s="33" t="s">
        <v>1084</v>
      </c>
      <c r="E2335" s="34">
        <v>1</v>
      </c>
      <c r="F2335" s="34"/>
      <c r="G2335" s="34" t="s">
        <v>201</v>
      </c>
      <c r="H2335" s="35"/>
      <c r="I2335" s="43" t="s">
        <v>1085</v>
      </c>
      <c r="J2335" s="96"/>
      <c r="K2335" s="36">
        <v>-417528637.47206455</v>
      </c>
      <c r="L2335" s="37"/>
      <c r="M2335" s="36"/>
      <c r="N2335" s="36">
        <v>1964254587.5120652</v>
      </c>
      <c r="O2335" s="36">
        <v>3499350039.7009554</v>
      </c>
    </row>
    <row r="2336" spans="1:16" hidden="1" x14ac:dyDescent="0.35">
      <c r="A2336" s="3">
        <f xml:space="preserve"> ROW( data_scaledImpacts[[#This Row],[row_id]] ) - ROW( data_scaledImpacts[[#Headers],[row_id]] )</f>
        <v>2335</v>
      </c>
      <c r="B2336" s="41" t="str">
        <f xml:space="preserve"> _xlfn.TEXTJOIN( "", , data_scaledImpacts[[#This Row],[sector]:[impactType]] )</f>
        <v>WindDamageGCM Average1N/A</v>
      </c>
      <c r="C2336" s="33" t="s">
        <v>1083</v>
      </c>
      <c r="D2336" s="33" t="s">
        <v>15</v>
      </c>
      <c r="E2336" s="34">
        <v>1</v>
      </c>
      <c r="F2336" s="34"/>
      <c r="G2336" s="34" t="s">
        <v>201</v>
      </c>
      <c r="H2336" s="35"/>
      <c r="I2336" s="43" t="s">
        <v>41</v>
      </c>
      <c r="J2336" s="96"/>
      <c r="K2336" s="36">
        <v>1447599340.2856567</v>
      </c>
      <c r="L2336" s="37"/>
      <c r="M2336" s="36"/>
      <c r="N2336" s="36">
        <v>4946994786.3780003</v>
      </c>
      <c r="O2336" s="36">
        <v>2962891782.5804381</v>
      </c>
    </row>
    <row r="2337" spans="1:15" hidden="1" x14ac:dyDescent="0.35">
      <c r="A2337" s="3">
        <f xml:space="preserve"> ROW( data_scaledImpacts[[#This Row],[row_id]] ) - ROW( data_scaledImpacts[[#Headers],[row_id]] )</f>
        <v>2336</v>
      </c>
      <c r="B2337" s="41" t="str">
        <f xml:space="preserve"> _xlfn.TEXTJOIN( "", , data_scaledImpacts[[#This Row],[sector]:[impactType]] )</f>
        <v>WindDamageCCSM42N/A</v>
      </c>
      <c r="C2337" s="33" t="s">
        <v>1083</v>
      </c>
      <c r="D2337" s="33" t="s">
        <v>1</v>
      </c>
      <c r="E2337" s="34">
        <v>2</v>
      </c>
      <c r="F2337" s="34"/>
      <c r="G2337" s="34" t="s">
        <v>201</v>
      </c>
      <c r="H2337" s="35"/>
      <c r="I2337" s="43" t="s">
        <v>43</v>
      </c>
      <c r="J2337" s="96"/>
      <c r="K2337" s="36">
        <v>-831282651.31554973</v>
      </c>
      <c r="L2337" s="37"/>
      <c r="M2337" s="36"/>
      <c r="N2337" s="36">
        <v>2221188202.5527654</v>
      </c>
      <c r="O2337" s="36">
        <v>1391358317.9819517</v>
      </c>
    </row>
    <row r="2338" spans="1:15" hidden="1" x14ac:dyDescent="0.35">
      <c r="A2338" s="3">
        <f xml:space="preserve"> ROW( data_scaledImpacts[[#This Row],[row_id]] ) - ROW( data_scaledImpacts[[#Headers],[row_id]] )</f>
        <v>2337</v>
      </c>
      <c r="B2338" s="41" t="str">
        <f xml:space="preserve"> _xlfn.TEXTJOIN( "", , data_scaledImpacts[[#This Row],[sector]:[impactType]] )</f>
        <v>WindDamageGFDL-CM32N/A</v>
      </c>
      <c r="C2338" s="33" t="s">
        <v>1083</v>
      </c>
      <c r="D2338" s="33" t="s">
        <v>5</v>
      </c>
      <c r="E2338" s="34">
        <v>2</v>
      </c>
      <c r="F2338" s="34"/>
      <c r="G2338" s="34" t="s">
        <v>201</v>
      </c>
      <c r="H2338" s="35"/>
      <c r="I2338" s="43" t="s">
        <v>47</v>
      </c>
      <c r="J2338" s="96"/>
      <c r="K2338" s="36">
        <v>14439166645.981215</v>
      </c>
      <c r="L2338" s="37"/>
      <c r="M2338" s="36"/>
      <c r="N2338" s="36">
        <v>41393245473.464348</v>
      </c>
      <c r="O2338" s="36">
        <v>16611562721.975014</v>
      </c>
    </row>
    <row r="2339" spans="1:15" hidden="1" x14ac:dyDescent="0.35">
      <c r="A2339" s="3">
        <f xml:space="preserve"> ROW( data_scaledImpacts[[#This Row],[row_id]] ) - ROW( data_scaledImpacts[[#Headers],[row_id]] )</f>
        <v>2338</v>
      </c>
      <c r="B2339" s="41" t="str">
        <f xml:space="preserve"> _xlfn.TEXTJOIN( "", , data_scaledImpacts[[#This Row],[sector]:[impactType]] )</f>
        <v>WindDamageHadGEM2-ES2N/A</v>
      </c>
      <c r="C2339" s="33" t="s">
        <v>1083</v>
      </c>
      <c r="D2339" s="33" t="s">
        <v>3</v>
      </c>
      <c r="E2339" s="34">
        <v>2</v>
      </c>
      <c r="F2339" s="34"/>
      <c r="G2339" s="34" t="s">
        <v>201</v>
      </c>
      <c r="H2339" s="35"/>
      <c r="I2339" s="43" t="s">
        <v>45</v>
      </c>
      <c r="J2339" s="96"/>
      <c r="K2339" s="36">
        <v>1435021875.02478</v>
      </c>
      <c r="L2339" s="37"/>
      <c r="M2339" s="36"/>
      <c r="N2339" s="36">
        <v>3597711692.6326313</v>
      </c>
      <c r="O2339" s="36">
        <v>2015999925.5502427</v>
      </c>
    </row>
    <row r="2340" spans="1:15" hidden="1" x14ac:dyDescent="0.35">
      <c r="A2340" s="3">
        <f xml:space="preserve"> ROW( data_scaledImpacts[[#This Row],[row_id]] ) - ROW( data_scaledImpacts[[#Headers],[row_id]] )</f>
        <v>2339</v>
      </c>
      <c r="B2340" s="41" t="str">
        <f xml:space="preserve"> _xlfn.TEXTJOIN( "", , data_scaledImpacts[[#This Row],[sector]:[impactType]] )</f>
        <v>WindDamageMIROC52N/A</v>
      </c>
      <c r="C2340" s="33" t="s">
        <v>1083</v>
      </c>
      <c r="D2340" s="33" t="s">
        <v>4</v>
      </c>
      <c r="E2340" s="34">
        <v>2</v>
      </c>
      <c r="F2340" s="34"/>
      <c r="G2340" s="34" t="s">
        <v>201</v>
      </c>
      <c r="H2340" s="35"/>
      <c r="I2340" s="43" t="s">
        <v>46</v>
      </c>
      <c r="J2340" s="96"/>
      <c r="K2340" s="36">
        <v>1978228701.7481413</v>
      </c>
      <c r="L2340" s="37"/>
      <c r="M2340" s="36"/>
      <c r="N2340" s="36">
        <v>4219642865.9518971</v>
      </c>
      <c r="O2340" s="36">
        <v>4860766961.839592</v>
      </c>
    </row>
    <row r="2341" spans="1:15" hidden="1" x14ac:dyDescent="0.35">
      <c r="A2341" s="3">
        <f xml:space="preserve"> ROW( data_scaledImpacts[[#This Row],[row_id]] ) - ROW( data_scaledImpacts[[#Headers],[row_id]] )</f>
        <v>2340</v>
      </c>
      <c r="B2341" s="41" t="str">
        <f xml:space="preserve"> _xlfn.TEXTJOIN( "", , data_scaledImpacts[[#This Row],[sector]:[impactType]] )</f>
        <v>WindDamageMRI-CGCM32N/A</v>
      </c>
      <c r="C2341" s="33" t="s">
        <v>1083</v>
      </c>
      <c r="D2341" s="33" t="s">
        <v>1084</v>
      </c>
      <c r="E2341" s="34">
        <v>2</v>
      </c>
      <c r="F2341" s="34"/>
      <c r="G2341" s="34" t="s">
        <v>201</v>
      </c>
      <c r="H2341" s="35"/>
      <c r="I2341" s="43" t="s">
        <v>1086</v>
      </c>
      <c r="J2341" s="96"/>
      <c r="K2341" s="36">
        <v>-661935644.77278531</v>
      </c>
      <c r="L2341" s="37"/>
      <c r="M2341" s="36"/>
      <c r="N2341" s="36">
        <v>3114062150.9337621</v>
      </c>
      <c r="O2341" s="36">
        <v>5547750062.9405403</v>
      </c>
    </row>
    <row r="2342" spans="1:15" hidden="1" x14ac:dyDescent="0.35">
      <c r="A2342" s="3">
        <f xml:space="preserve"> ROW( data_scaledImpacts[[#This Row],[row_id]] ) - ROW( data_scaledImpacts[[#Headers],[row_id]] )</f>
        <v>2341</v>
      </c>
      <c r="B2342" s="41" t="str">
        <f xml:space="preserve"> _xlfn.TEXTJOIN( "", , data_scaledImpacts[[#This Row],[sector]:[impactType]] )</f>
        <v>WindDamageGCM Average2N/A</v>
      </c>
      <c r="C2342" s="33" t="s">
        <v>1083</v>
      </c>
      <c r="D2342" s="33" t="s">
        <v>15</v>
      </c>
      <c r="E2342" s="34">
        <v>2</v>
      </c>
      <c r="F2342" s="34"/>
      <c r="G2342" s="34" t="s">
        <v>201</v>
      </c>
      <c r="H2342" s="35"/>
      <c r="I2342" s="43" t="s">
        <v>48</v>
      </c>
      <c r="J2342" s="96"/>
      <c r="K2342" s="36">
        <v>3271839785.3331604</v>
      </c>
      <c r="L2342" s="37"/>
      <c r="M2342" s="36"/>
      <c r="N2342" s="36">
        <v>10909170077.10708</v>
      </c>
      <c r="O2342" s="36">
        <v>6085487598.0574684</v>
      </c>
    </row>
    <row r="2343" spans="1:15" hidden="1" x14ac:dyDescent="0.35">
      <c r="A2343" s="3">
        <f xml:space="preserve"> ROW( data_scaledImpacts[[#This Row],[row_id]] ) - ROW( data_scaledImpacts[[#Headers],[row_id]] )</f>
        <v>2342</v>
      </c>
      <c r="B2343" s="41" t="str">
        <f xml:space="preserve"> _xlfn.TEXTJOIN( "", , data_scaledImpacts[[#This Row],[sector]:[impactType]] )</f>
        <v>WindDamageCCSM43N/A</v>
      </c>
      <c r="C2343" s="33" t="s">
        <v>1083</v>
      </c>
      <c r="D2343" s="33" t="s">
        <v>1</v>
      </c>
      <c r="E2343" s="34">
        <v>3</v>
      </c>
      <c r="F2343" s="34"/>
      <c r="G2343" s="34" t="s">
        <v>201</v>
      </c>
      <c r="H2343" s="35"/>
      <c r="I2343" s="43" t="s">
        <v>50</v>
      </c>
      <c r="J2343" s="96"/>
      <c r="K2343" s="36">
        <v>-1286508865.1312079</v>
      </c>
      <c r="L2343" s="37"/>
      <c r="M2343" s="36"/>
      <c r="N2343" s="36">
        <v>3437553170.6173754</v>
      </c>
      <c r="O2343" s="36">
        <v>2153292634.9720683</v>
      </c>
    </row>
    <row r="2344" spans="1:15" hidden="1" x14ac:dyDescent="0.35">
      <c r="A2344" s="3">
        <f xml:space="preserve"> ROW( data_scaledImpacts[[#This Row],[row_id]] ) - ROW( data_scaledImpacts[[#Headers],[row_id]] )</f>
        <v>2343</v>
      </c>
      <c r="B2344" s="41" t="str">
        <f xml:space="preserve"> _xlfn.TEXTJOIN( "", , data_scaledImpacts[[#This Row],[sector]:[impactType]] )</f>
        <v>WindDamageGFDL-CM33N/A</v>
      </c>
      <c r="C2344" s="33" t="s">
        <v>1083</v>
      </c>
      <c r="D2344" s="33" t="s">
        <v>5</v>
      </c>
      <c r="E2344" s="34">
        <v>3</v>
      </c>
      <c r="F2344" s="34"/>
      <c r="G2344" s="34" t="s">
        <v>201</v>
      </c>
      <c r="H2344" s="35"/>
      <c r="I2344" s="43" t="s">
        <v>54</v>
      </c>
      <c r="J2344" s="96"/>
      <c r="K2344" s="36">
        <v>21452476159.743519</v>
      </c>
      <c r="L2344" s="37"/>
      <c r="M2344" s="36"/>
      <c r="N2344" s="36">
        <v>61498536132.004181</v>
      </c>
      <c r="O2344" s="36">
        <v>24680036044.077164</v>
      </c>
    </row>
    <row r="2345" spans="1:15" hidden="1" x14ac:dyDescent="0.35">
      <c r="A2345" s="3">
        <f xml:space="preserve"> ROW( data_scaledImpacts[[#This Row],[row_id]] ) - ROW( data_scaledImpacts[[#Headers],[row_id]] )</f>
        <v>2344</v>
      </c>
      <c r="B2345" s="41" t="str">
        <f xml:space="preserve"> _xlfn.TEXTJOIN( "", , data_scaledImpacts[[#This Row],[sector]:[impactType]] )</f>
        <v>WindDamageHadGEM2-ES3N/A</v>
      </c>
      <c r="C2345" s="33" t="s">
        <v>1083</v>
      </c>
      <c r="D2345" s="33" t="s">
        <v>3</v>
      </c>
      <c r="E2345" s="34">
        <v>3</v>
      </c>
      <c r="F2345" s="34"/>
      <c r="G2345" s="34" t="s">
        <v>201</v>
      </c>
      <c r="H2345" s="35"/>
      <c r="I2345" s="43" t="s">
        <v>52</v>
      </c>
      <c r="J2345" s="96"/>
      <c r="K2345" s="36">
        <v>2068119761.0651243</v>
      </c>
      <c r="L2345" s="37"/>
      <c r="M2345" s="36"/>
      <c r="N2345" s="36">
        <v>5184937439.3823204</v>
      </c>
      <c r="O2345" s="36">
        <v>2905411657.4106445</v>
      </c>
    </row>
    <row r="2346" spans="1:15" hidden="1" x14ac:dyDescent="0.35">
      <c r="A2346" s="3">
        <f xml:space="preserve"> ROW( data_scaledImpacts[[#This Row],[row_id]] ) - ROW( data_scaledImpacts[[#Headers],[row_id]] )</f>
        <v>2345</v>
      </c>
      <c r="B2346" s="41" t="str">
        <f xml:space="preserve"> _xlfn.TEXTJOIN( "", , data_scaledImpacts[[#This Row],[sector]:[impactType]] )</f>
        <v>WindDamageMIROC53N/A</v>
      </c>
      <c r="C2346" s="33" t="s">
        <v>1083</v>
      </c>
      <c r="D2346" s="33" t="s">
        <v>4</v>
      </c>
      <c r="E2346" s="34">
        <v>3</v>
      </c>
      <c r="F2346" s="34"/>
      <c r="G2346" s="34" t="s">
        <v>201</v>
      </c>
      <c r="H2346" s="35"/>
      <c r="I2346" s="43" t="s">
        <v>53</v>
      </c>
      <c r="J2346" s="96"/>
      <c r="K2346" s="36">
        <v>2912392255.3514295</v>
      </c>
      <c r="L2346" s="37"/>
      <c r="M2346" s="36"/>
      <c r="N2346" s="36">
        <v>6212251997.095849</v>
      </c>
      <c r="O2346" s="36">
        <v>7156129138.2638426</v>
      </c>
    </row>
    <row r="2347" spans="1:15" hidden="1" x14ac:dyDescent="0.35">
      <c r="A2347" s="3">
        <f xml:space="preserve"> ROW( data_scaledImpacts[[#This Row],[row_id]] ) - ROW( data_scaledImpacts[[#Headers],[row_id]] )</f>
        <v>2346</v>
      </c>
      <c r="B2347" s="41" t="str">
        <f xml:space="preserve"> _xlfn.TEXTJOIN( "", , data_scaledImpacts[[#This Row],[sector]:[impactType]] )</f>
        <v>WindDamageMRI-CGCM33N/A</v>
      </c>
      <c r="C2347" s="33" t="s">
        <v>1083</v>
      </c>
      <c r="D2347" s="33" t="s">
        <v>1084</v>
      </c>
      <c r="E2347" s="34">
        <v>3</v>
      </c>
      <c r="F2347" s="34"/>
      <c r="G2347" s="34" t="s">
        <v>201</v>
      </c>
      <c r="H2347" s="35"/>
      <c r="I2347" s="43" t="s">
        <v>1087</v>
      </c>
      <c r="J2347" s="96"/>
      <c r="K2347" s="36">
        <v>-896159026.76930928</v>
      </c>
      <c r="L2347" s="37"/>
      <c r="M2347" s="36"/>
      <c r="N2347" s="36">
        <v>4215961065.8795552</v>
      </c>
      <c r="O2347" s="36">
        <v>7510800085.2118073</v>
      </c>
    </row>
    <row r="2348" spans="1:15" hidden="1" x14ac:dyDescent="0.35">
      <c r="A2348" s="3">
        <f xml:space="preserve"> ROW( data_scaledImpacts[[#This Row],[row_id]] ) - ROW( data_scaledImpacts[[#Headers],[row_id]] )</f>
        <v>2347</v>
      </c>
      <c r="B2348" s="41" t="str">
        <f xml:space="preserve"> _xlfn.TEXTJOIN( "", , data_scaledImpacts[[#This Row],[sector]:[impactType]] )</f>
        <v>WindDamageGCM Average3N/A</v>
      </c>
      <c r="C2348" s="33" t="s">
        <v>1083</v>
      </c>
      <c r="D2348" s="33" t="s">
        <v>15</v>
      </c>
      <c r="E2348" s="34">
        <v>3</v>
      </c>
      <c r="F2348" s="34"/>
      <c r="G2348" s="34" t="s">
        <v>201</v>
      </c>
      <c r="H2348" s="35"/>
      <c r="I2348" s="43" t="s">
        <v>55</v>
      </c>
      <c r="J2348" s="96"/>
      <c r="K2348" s="36">
        <v>4850064056.8519115</v>
      </c>
      <c r="L2348" s="37"/>
      <c r="M2348" s="36"/>
      <c r="N2348" s="36">
        <v>16109847960.995859</v>
      </c>
      <c r="O2348" s="36">
        <v>8881133911.9871044</v>
      </c>
    </row>
    <row r="2349" spans="1:15" hidden="1" x14ac:dyDescent="0.35">
      <c r="A2349" s="3">
        <f xml:space="preserve"> ROW( data_scaledImpacts[[#This Row],[row_id]] ) - ROW( data_scaledImpacts[[#Headers],[row_id]] )</f>
        <v>2348</v>
      </c>
      <c r="B2349" s="41" t="str">
        <f xml:space="preserve"> _xlfn.TEXTJOIN( "", , data_scaledImpacts[[#This Row],[sector]:[impactType]] )</f>
        <v>WindDamageCCSM44N/A</v>
      </c>
      <c r="C2349" s="33" t="s">
        <v>1083</v>
      </c>
      <c r="D2349" s="33" t="s">
        <v>1</v>
      </c>
      <c r="E2349" s="34">
        <v>4</v>
      </c>
      <c r="F2349" s="34"/>
      <c r="G2349" s="34" t="s">
        <v>201</v>
      </c>
      <c r="H2349" s="35"/>
      <c r="I2349" s="43" t="s">
        <v>57</v>
      </c>
      <c r="J2349" s="96"/>
      <c r="K2349" s="36">
        <v>-1682357746.710041</v>
      </c>
      <c r="L2349" s="37"/>
      <c r="M2349" s="36"/>
      <c r="N2349" s="36">
        <v>4495261838.4996443</v>
      </c>
      <c r="O2349" s="36">
        <v>2815844214.9634743</v>
      </c>
    </row>
    <row r="2350" spans="1:15" hidden="1" x14ac:dyDescent="0.35">
      <c r="A2350" s="3">
        <f xml:space="preserve"> ROW( data_scaledImpacts[[#This Row],[row_id]] ) - ROW( data_scaledImpacts[[#Headers],[row_id]] )</f>
        <v>2349</v>
      </c>
      <c r="B2350" s="41" t="str">
        <f xml:space="preserve"> _xlfn.TEXTJOIN( "", , data_scaledImpacts[[#This Row],[sector]:[impactType]] )</f>
        <v>WindDamageGFDL-CM34N/A</v>
      </c>
      <c r="C2350" s="33" t="s">
        <v>1083</v>
      </c>
      <c r="D2350" s="33" t="s">
        <v>5</v>
      </c>
      <c r="E2350" s="34">
        <v>4</v>
      </c>
      <c r="F2350" s="34"/>
      <c r="G2350" s="34" t="s">
        <v>201</v>
      </c>
      <c r="H2350" s="35"/>
      <c r="I2350" s="43" t="s">
        <v>61</v>
      </c>
      <c r="J2350" s="96"/>
      <c r="K2350" s="36">
        <v>27228142818.136009</v>
      </c>
      <c r="L2350" s="37"/>
      <c r="M2350" s="36"/>
      <c r="N2350" s="36">
        <v>78055834321.389923</v>
      </c>
      <c r="O2350" s="36">
        <v>31324661132.867165</v>
      </c>
    </row>
    <row r="2351" spans="1:15" hidden="1" x14ac:dyDescent="0.35">
      <c r="A2351" s="3">
        <f xml:space="preserve"> ROW( data_scaledImpacts[[#This Row],[row_id]] ) - ROW( data_scaledImpacts[[#Headers],[row_id]] )</f>
        <v>2350</v>
      </c>
      <c r="B2351" s="41" t="str">
        <f xml:space="preserve"> _xlfn.TEXTJOIN( "", , data_scaledImpacts[[#This Row],[sector]:[impactType]] )</f>
        <v>WindDamageHadGEM2-ES4N/A</v>
      </c>
      <c r="C2351" s="33" t="s">
        <v>1083</v>
      </c>
      <c r="D2351" s="33" t="s">
        <v>3</v>
      </c>
      <c r="E2351" s="34">
        <v>4</v>
      </c>
      <c r="F2351" s="34"/>
      <c r="G2351" s="34" t="s">
        <v>201</v>
      </c>
      <c r="H2351" s="35"/>
      <c r="I2351" s="43" t="s">
        <v>59</v>
      </c>
      <c r="J2351" s="96"/>
      <c r="K2351" s="36">
        <v>2532391544.1613765</v>
      </c>
      <c r="L2351" s="37"/>
      <c r="M2351" s="36"/>
      <c r="N2351" s="36">
        <v>6348902986.9987612</v>
      </c>
      <c r="O2351" s="36">
        <v>3557646927.4416051</v>
      </c>
    </row>
    <row r="2352" spans="1:15" hidden="1" x14ac:dyDescent="0.35">
      <c r="A2352" s="3">
        <f xml:space="preserve"> ROW( data_scaledImpacts[[#This Row],[row_id]] ) - ROW( data_scaledImpacts[[#Headers],[row_id]] )</f>
        <v>2351</v>
      </c>
      <c r="B2352" s="41" t="str">
        <f xml:space="preserve"> _xlfn.TEXTJOIN( "", , data_scaledImpacts[[#This Row],[sector]:[impactType]] )</f>
        <v>WindDamageMIROC54N/A</v>
      </c>
      <c r="C2352" s="33" t="s">
        <v>1083</v>
      </c>
      <c r="D2352" s="33" t="s">
        <v>4</v>
      </c>
      <c r="E2352" s="34">
        <v>4</v>
      </c>
      <c r="F2352" s="34"/>
      <c r="G2352" s="34" t="s">
        <v>201</v>
      </c>
      <c r="H2352" s="35"/>
      <c r="I2352" s="43" t="s">
        <v>60</v>
      </c>
      <c r="J2352" s="96"/>
      <c r="K2352" s="36">
        <v>3791605011.6839366</v>
      </c>
      <c r="L2352" s="37"/>
      <c r="M2352" s="36"/>
      <c r="N2352" s="36">
        <v>8087648826.4078054</v>
      </c>
      <c r="O2352" s="36">
        <v>9316470010.1925507</v>
      </c>
    </row>
    <row r="2353" spans="1:15" hidden="1" x14ac:dyDescent="0.35">
      <c r="A2353" s="3">
        <f xml:space="preserve"> ROW( data_scaledImpacts[[#This Row],[row_id]] ) - ROW( data_scaledImpacts[[#Headers],[row_id]] )</f>
        <v>2352</v>
      </c>
      <c r="B2353" s="41" t="str">
        <f xml:space="preserve"> _xlfn.TEXTJOIN( "", , data_scaledImpacts[[#This Row],[sector]:[impactType]] )</f>
        <v>WindDamageMRI-CGCM34N/A</v>
      </c>
      <c r="C2353" s="33" t="s">
        <v>1083</v>
      </c>
      <c r="D2353" s="33" t="s">
        <v>1084</v>
      </c>
      <c r="E2353" s="34">
        <v>4</v>
      </c>
      <c r="F2353" s="34"/>
      <c r="G2353" s="34" t="s">
        <v>201</v>
      </c>
      <c r="H2353" s="35"/>
      <c r="I2353" s="43" t="s">
        <v>1088</v>
      </c>
      <c r="J2353" s="96"/>
      <c r="K2353" s="36"/>
      <c r="L2353" s="37"/>
      <c r="M2353" s="36"/>
      <c r="N2353" s="36"/>
      <c r="O2353" s="36"/>
    </row>
    <row r="2354" spans="1:15" hidden="1" x14ac:dyDescent="0.35">
      <c r="A2354" s="3">
        <f xml:space="preserve"> ROW( data_scaledImpacts[[#This Row],[row_id]] ) - ROW( data_scaledImpacts[[#Headers],[row_id]] )</f>
        <v>2353</v>
      </c>
      <c r="B2354" s="41" t="str">
        <f xml:space="preserve"> _xlfn.TEXTJOIN( "", , data_scaledImpacts[[#This Row],[sector]:[impactType]] )</f>
        <v>WindDamageGCM Average4N/A</v>
      </c>
      <c r="C2354" s="33" t="s">
        <v>1083</v>
      </c>
      <c r="D2354" s="33" t="s">
        <v>15</v>
      </c>
      <c r="E2354" s="34">
        <v>4</v>
      </c>
      <c r="F2354" s="34"/>
      <c r="G2354" s="34" t="s">
        <v>201</v>
      </c>
      <c r="H2354" s="35"/>
      <c r="I2354" s="43" t="s">
        <v>62</v>
      </c>
      <c r="J2354" s="96"/>
      <c r="K2354" s="36">
        <v>7967445406.8178205</v>
      </c>
      <c r="L2354" s="37"/>
      <c r="M2354" s="36"/>
      <c r="N2354" s="36">
        <v>24246911993.324036</v>
      </c>
      <c r="O2354" s="36">
        <v>11753655571.366199</v>
      </c>
    </row>
    <row r="2355" spans="1:15" hidden="1" x14ac:dyDescent="0.35">
      <c r="A2355" s="3">
        <f xml:space="preserve"> ROW( data_scaledImpacts[[#This Row],[row_id]] ) - ROW( data_scaledImpacts[[#Headers],[row_id]] )</f>
        <v>2354</v>
      </c>
      <c r="B2355" s="41" t="str">
        <f xml:space="preserve"> _xlfn.TEXTJOIN( "", , data_scaledImpacts[[#This Row],[sector]:[impactType]] )</f>
        <v>WindDamageCCSM45N/A</v>
      </c>
      <c r="C2355" s="33" t="s">
        <v>1083</v>
      </c>
      <c r="D2355" s="33" t="s">
        <v>1</v>
      </c>
      <c r="E2355" s="34">
        <v>5</v>
      </c>
      <c r="F2355" s="34"/>
      <c r="G2355" s="34" t="s">
        <v>201</v>
      </c>
      <c r="H2355" s="35"/>
      <c r="I2355" s="43" t="s">
        <v>64</v>
      </c>
      <c r="J2355" s="96"/>
      <c r="K2355" s="36">
        <v>-1919867075.6573408</v>
      </c>
      <c r="L2355" s="37"/>
      <c r="M2355" s="36"/>
      <c r="N2355" s="36">
        <v>5129887039.2290049</v>
      </c>
      <c r="O2355" s="36">
        <v>3213375162.9583178</v>
      </c>
    </row>
    <row r="2356" spans="1:15" hidden="1" x14ac:dyDescent="0.35">
      <c r="A2356" s="3">
        <f xml:space="preserve"> ROW( data_scaledImpacts[[#This Row],[row_id]] ) - ROW( data_scaledImpacts[[#Headers],[row_id]] )</f>
        <v>2355</v>
      </c>
      <c r="B2356" s="41" t="str">
        <f xml:space="preserve"> _xlfn.TEXTJOIN( "", , data_scaledImpacts[[#This Row],[sector]:[impactType]] )</f>
        <v>WindDamageGFDL-CM35N/A</v>
      </c>
      <c r="C2356" s="33" t="s">
        <v>1083</v>
      </c>
      <c r="D2356" s="33" t="s">
        <v>5</v>
      </c>
      <c r="E2356" s="34">
        <v>5</v>
      </c>
      <c r="F2356" s="34"/>
      <c r="G2356" s="34" t="s">
        <v>201</v>
      </c>
      <c r="H2356" s="35"/>
      <c r="I2356" s="43" t="s">
        <v>68</v>
      </c>
      <c r="J2356" s="96"/>
      <c r="K2356" s="36">
        <v>31353619002.702065</v>
      </c>
      <c r="L2356" s="37"/>
      <c r="M2356" s="36"/>
      <c r="N2356" s="36">
        <v>89882475885.236877</v>
      </c>
      <c r="O2356" s="36">
        <v>36070821910.574318</v>
      </c>
    </row>
    <row r="2357" spans="1:15" hidden="1" x14ac:dyDescent="0.35">
      <c r="A2357" s="3">
        <f xml:space="preserve"> ROW( data_scaledImpacts[[#This Row],[row_id]] ) - ROW( data_scaledImpacts[[#Headers],[row_id]] )</f>
        <v>2356</v>
      </c>
      <c r="B2357" s="41" t="str">
        <f xml:space="preserve"> _xlfn.TEXTJOIN( "", , data_scaledImpacts[[#This Row],[sector]:[impactType]] )</f>
        <v>WindDamageHadGEM2-ES5N/A</v>
      </c>
      <c r="C2357" s="33" t="s">
        <v>1083</v>
      </c>
      <c r="D2357" s="33" t="s">
        <v>3</v>
      </c>
      <c r="E2357" s="34">
        <v>5</v>
      </c>
      <c r="F2357" s="34"/>
      <c r="G2357" s="34" t="s">
        <v>201</v>
      </c>
      <c r="H2357" s="35"/>
      <c r="I2357" s="43" t="s">
        <v>66</v>
      </c>
      <c r="J2357" s="96"/>
      <c r="K2357" s="36">
        <v>2912250275.785583</v>
      </c>
      <c r="L2357" s="37"/>
      <c r="M2357" s="36"/>
      <c r="N2357" s="36">
        <v>7301238435.0485744</v>
      </c>
      <c r="O2357" s="36">
        <v>4091293966.5578446</v>
      </c>
    </row>
    <row r="2358" spans="1:15" hidden="1" x14ac:dyDescent="0.35">
      <c r="A2358" s="3">
        <f xml:space="preserve"> ROW( data_scaledImpacts[[#This Row],[row_id]] ) - ROW( data_scaledImpacts[[#Headers],[row_id]] )</f>
        <v>2357</v>
      </c>
      <c r="B2358" s="41" t="str">
        <f xml:space="preserve"> _xlfn.TEXTJOIN( "", , data_scaledImpacts[[#This Row],[sector]:[impactType]] )</f>
        <v>WindDamageMIROC55N/A</v>
      </c>
      <c r="C2358" s="33" t="s">
        <v>1083</v>
      </c>
      <c r="D2358" s="33" t="s">
        <v>4</v>
      </c>
      <c r="E2358" s="34">
        <v>5</v>
      </c>
      <c r="F2358" s="34"/>
      <c r="G2358" s="34" t="s">
        <v>201</v>
      </c>
      <c r="H2358" s="35"/>
      <c r="I2358" s="43" t="s">
        <v>67</v>
      </c>
      <c r="J2358" s="96"/>
      <c r="K2358" s="36">
        <v>4615866970.7456627</v>
      </c>
      <c r="L2358" s="37"/>
      <c r="M2358" s="36"/>
      <c r="N2358" s="36">
        <v>9845833353.8877602</v>
      </c>
      <c r="O2358" s="36">
        <v>11341789577.625715</v>
      </c>
    </row>
    <row r="2359" spans="1:15" hidden="1" x14ac:dyDescent="0.35">
      <c r="A2359" s="3">
        <f xml:space="preserve"> ROW( data_scaledImpacts[[#This Row],[row_id]] ) - ROW( data_scaledImpacts[[#Headers],[row_id]] )</f>
        <v>2358</v>
      </c>
      <c r="B2359" s="41" t="str">
        <f xml:space="preserve"> _xlfn.TEXTJOIN( "", , data_scaledImpacts[[#This Row],[sector]:[impactType]] )</f>
        <v>WindDamageMRI-CGCM35N/A</v>
      </c>
      <c r="C2359" s="33" t="s">
        <v>1083</v>
      </c>
      <c r="D2359" s="33" t="s">
        <v>1084</v>
      </c>
      <c r="E2359" s="34">
        <v>5</v>
      </c>
      <c r="F2359" s="34"/>
      <c r="G2359" s="34" t="s">
        <v>201</v>
      </c>
      <c r="H2359" s="35"/>
      <c r="I2359" s="43" t="s">
        <v>1089</v>
      </c>
      <c r="J2359" s="96"/>
      <c r="K2359" s="36"/>
      <c r="L2359" s="37"/>
      <c r="M2359" s="36"/>
      <c r="N2359" s="36"/>
      <c r="O2359" s="36"/>
    </row>
    <row r="2360" spans="1:15" hidden="1" x14ac:dyDescent="0.35">
      <c r="A2360" s="3">
        <f xml:space="preserve"> ROW( data_scaledImpacts[[#This Row],[row_id]] ) - ROW( data_scaledImpacts[[#Headers],[row_id]] )</f>
        <v>2359</v>
      </c>
      <c r="B2360" s="41" t="str">
        <f xml:space="preserve"> _xlfn.TEXTJOIN( "", , data_scaledImpacts[[#This Row],[sector]:[impactType]] )</f>
        <v>WindDamageGCM Average5N/A</v>
      </c>
      <c r="C2360" s="33" t="s">
        <v>1083</v>
      </c>
      <c r="D2360" s="33" t="s">
        <v>15</v>
      </c>
      <c r="E2360" s="34">
        <v>5</v>
      </c>
      <c r="F2360" s="34"/>
      <c r="G2360" s="34" t="s">
        <v>201</v>
      </c>
      <c r="H2360" s="35"/>
      <c r="I2360" s="43" t="s">
        <v>69</v>
      </c>
      <c r="J2360" s="96"/>
      <c r="K2360" s="36">
        <v>9240467293.3939934</v>
      </c>
      <c r="L2360" s="37"/>
      <c r="M2360" s="36"/>
      <c r="N2360" s="36">
        <v>28039858678.350552</v>
      </c>
      <c r="O2360" s="36">
        <v>13679320154.42905</v>
      </c>
    </row>
    <row r="2361" spans="1:15" hidden="1" x14ac:dyDescent="0.35">
      <c r="A2361" s="3">
        <f xml:space="preserve"> ROW( data_scaledImpacts[[#This Row],[row_id]] ) - ROW( data_scaledImpacts[[#Headers],[row_id]] )</f>
        <v>2360</v>
      </c>
      <c r="B2361" s="41" t="str">
        <f xml:space="preserve"> _xlfn.TEXTJOIN( "", , data_scaledImpacts[[#This Row],[sector]:[impactType]] )</f>
        <v>WindDamageCCSM46N/A</v>
      </c>
      <c r="C2361" s="33" t="s">
        <v>1083</v>
      </c>
      <c r="D2361" s="33" t="s">
        <v>1</v>
      </c>
      <c r="E2361" s="34">
        <v>6</v>
      </c>
      <c r="F2361" s="34"/>
      <c r="G2361" s="34" t="s">
        <v>201</v>
      </c>
      <c r="H2361" s="35"/>
      <c r="I2361" s="43" t="s">
        <v>71</v>
      </c>
      <c r="J2361" s="96"/>
      <c r="K2361" s="36"/>
      <c r="L2361" s="37"/>
      <c r="M2361" s="36"/>
      <c r="N2361" s="36"/>
      <c r="O2361" s="36"/>
    </row>
    <row r="2362" spans="1:15" hidden="1" x14ac:dyDescent="0.35">
      <c r="A2362" s="3">
        <f xml:space="preserve"> ROW( data_scaledImpacts[[#This Row],[row_id]] ) - ROW( data_scaledImpacts[[#Headers],[row_id]] )</f>
        <v>2361</v>
      </c>
      <c r="B2362" s="41" t="str">
        <f xml:space="preserve"> _xlfn.TEXTJOIN( "", , data_scaledImpacts[[#This Row],[sector]:[impactType]] )</f>
        <v>WindDamageGFDL-CM36N/A</v>
      </c>
      <c r="C2362" s="33" t="s">
        <v>1083</v>
      </c>
      <c r="D2362" s="33" t="s">
        <v>5</v>
      </c>
      <c r="E2362" s="34">
        <v>6</v>
      </c>
      <c r="F2362" s="34"/>
      <c r="G2362" s="34" t="s">
        <v>201</v>
      </c>
      <c r="H2362" s="35"/>
      <c r="I2362" s="43" t="s">
        <v>75</v>
      </c>
      <c r="J2362" s="96"/>
      <c r="K2362" s="36">
        <v>37954380898.007751</v>
      </c>
      <c r="L2362" s="37"/>
      <c r="M2362" s="36"/>
      <c r="N2362" s="36">
        <v>108805102387.39203</v>
      </c>
      <c r="O2362" s="36">
        <v>43664679154.905754</v>
      </c>
    </row>
    <row r="2363" spans="1:15" hidden="1" x14ac:dyDescent="0.35">
      <c r="A2363" s="3">
        <f xml:space="preserve"> ROW( data_scaledImpacts[[#This Row],[row_id]] ) - ROW( data_scaledImpacts[[#Headers],[row_id]] )</f>
        <v>2362</v>
      </c>
      <c r="B2363" s="41" t="str">
        <f xml:space="preserve"> _xlfn.TEXTJOIN( "", , data_scaledImpacts[[#This Row],[sector]:[impactType]] )</f>
        <v>WindDamageHadGEM2-ES6N/A</v>
      </c>
      <c r="C2363" s="33" t="s">
        <v>1083</v>
      </c>
      <c r="D2363" s="33" t="s">
        <v>3</v>
      </c>
      <c r="E2363" s="34">
        <v>6</v>
      </c>
      <c r="F2363" s="34"/>
      <c r="G2363" s="34" t="s">
        <v>201</v>
      </c>
      <c r="H2363" s="35"/>
      <c r="I2363" s="43" t="s">
        <v>73</v>
      </c>
      <c r="J2363" s="96"/>
      <c r="K2363" s="36">
        <v>3460935110.3538814</v>
      </c>
      <c r="L2363" s="37"/>
      <c r="M2363" s="36"/>
      <c r="N2363" s="36">
        <v>8676834082.2316418</v>
      </c>
      <c r="O2363" s="36">
        <v>4862117467.5035267</v>
      </c>
    </row>
    <row r="2364" spans="1:15" hidden="1" x14ac:dyDescent="0.35">
      <c r="A2364" s="3">
        <f xml:space="preserve"> ROW( data_scaledImpacts[[#This Row],[row_id]] ) - ROW( data_scaledImpacts[[#Headers],[row_id]] )</f>
        <v>2363</v>
      </c>
      <c r="B2364" s="41" t="str">
        <f xml:space="preserve"> _xlfn.TEXTJOIN( "", , data_scaledImpacts[[#This Row],[sector]:[impactType]] )</f>
        <v>WindDamageMIROC56N/A</v>
      </c>
      <c r="C2364" s="33" t="s">
        <v>1083</v>
      </c>
      <c r="D2364" s="33" t="s">
        <v>4</v>
      </c>
      <c r="E2364" s="34">
        <v>6</v>
      </c>
      <c r="F2364" s="34"/>
      <c r="G2364" s="34" t="s">
        <v>201</v>
      </c>
      <c r="H2364" s="35"/>
      <c r="I2364" s="43" t="s">
        <v>74</v>
      </c>
      <c r="J2364" s="96"/>
      <c r="K2364" s="36">
        <v>5522555125.7135592</v>
      </c>
      <c r="L2364" s="37"/>
      <c r="M2364" s="36"/>
      <c r="N2364" s="36">
        <v>11779836334.115715</v>
      </c>
      <c r="O2364" s="36">
        <v>13569641101.802197</v>
      </c>
    </row>
    <row r="2365" spans="1:15" hidden="1" x14ac:dyDescent="0.35">
      <c r="A2365" s="3">
        <f xml:space="preserve"> ROW( data_scaledImpacts[[#This Row],[row_id]] ) - ROW( data_scaledImpacts[[#Headers],[row_id]] )</f>
        <v>2364</v>
      </c>
      <c r="B2365" s="41" t="str">
        <f xml:space="preserve"> _xlfn.TEXTJOIN( "", , data_scaledImpacts[[#This Row],[sector]:[impactType]] )</f>
        <v>WindDamageMRI-CGM36N/A</v>
      </c>
      <c r="C2365" s="33" t="s">
        <v>1083</v>
      </c>
      <c r="D2365" s="33" t="s">
        <v>1090</v>
      </c>
      <c r="E2365" s="34">
        <v>6</v>
      </c>
      <c r="F2365" s="34"/>
      <c r="G2365" s="34" t="s">
        <v>201</v>
      </c>
      <c r="H2365" s="35"/>
      <c r="I2365" s="43" t="s">
        <v>1091</v>
      </c>
      <c r="J2365" s="96"/>
      <c r="K2365" s="36"/>
      <c r="L2365" s="37"/>
      <c r="M2365" s="36"/>
      <c r="N2365" s="36"/>
      <c r="O2365" s="36"/>
    </row>
    <row r="2366" spans="1:15" hidden="1" x14ac:dyDescent="0.35">
      <c r="A2366" s="3">
        <f xml:space="preserve"> ROW( data_scaledImpacts[[#This Row],[row_id]] ) - ROW( data_scaledImpacts[[#Headers],[row_id]] )</f>
        <v>2365</v>
      </c>
      <c r="B2366" s="41" t="str">
        <f xml:space="preserve"> _xlfn.TEXTJOIN( "", , data_scaledImpacts[[#This Row],[sector]:[impactType]] )</f>
        <v>WindDamageGCM Average6N/A</v>
      </c>
      <c r="C2366" s="33" t="s">
        <v>1083</v>
      </c>
      <c r="D2366" s="33" t="s">
        <v>15</v>
      </c>
      <c r="E2366" s="34">
        <v>6</v>
      </c>
      <c r="F2366" s="34"/>
      <c r="G2366" s="34" t="s">
        <v>201</v>
      </c>
      <c r="H2366" s="35"/>
      <c r="I2366" s="43" t="s">
        <v>76</v>
      </c>
      <c r="J2366" s="96"/>
      <c r="K2366" s="36">
        <v>15645957044.691732</v>
      </c>
      <c r="L2366" s="37"/>
      <c r="M2366" s="36"/>
      <c r="N2366" s="36">
        <v>43087257601.24646</v>
      </c>
      <c r="O2366" s="36">
        <v>20698812574.737156</v>
      </c>
    </row>
    <row r="2367" spans="1:15" hidden="1" x14ac:dyDescent="0.35">
      <c r="A2367" s="3">
        <f xml:space="preserve"> ROW( data_scaledImpacts[[#This Row],[row_id]] ) - ROW( data_scaledImpacts[[#Headers],[row_id]] )</f>
        <v>2366</v>
      </c>
      <c r="B2367" s="41" t="str">
        <f xml:space="preserve"> _xlfn.TEXTJOIN( "", , data_scaledImpacts[[#This Row],[sector]:[impactType]] )</f>
        <v>WindDamageCCSM47N/A</v>
      </c>
      <c r="C2367" s="33" t="s">
        <v>1083</v>
      </c>
      <c r="D2367" s="33" t="s">
        <v>1</v>
      </c>
      <c r="E2367" s="34">
        <v>7</v>
      </c>
      <c r="F2367" s="34"/>
      <c r="G2367" s="34" t="s">
        <v>201</v>
      </c>
      <c r="H2367" s="35"/>
      <c r="I2367" s="43" t="s">
        <v>78</v>
      </c>
      <c r="J2367" s="96"/>
      <c r="K2367" s="36"/>
      <c r="L2367" s="37"/>
      <c r="M2367" s="36"/>
      <c r="N2367" s="36"/>
      <c r="O2367" s="36"/>
    </row>
    <row r="2368" spans="1:15" hidden="1" x14ac:dyDescent="0.35">
      <c r="A2368" s="3">
        <f xml:space="preserve"> ROW( data_scaledImpacts[[#This Row],[row_id]] ) - ROW( data_scaledImpacts[[#Headers],[row_id]] )</f>
        <v>2367</v>
      </c>
      <c r="B2368" s="41" t="str">
        <f xml:space="preserve"> _xlfn.TEXTJOIN( "", , data_scaledImpacts[[#This Row],[sector]:[impactType]] )</f>
        <v>WindDamageGFDL-CM37N/A</v>
      </c>
      <c r="C2368" s="33" t="s">
        <v>1083</v>
      </c>
      <c r="D2368" s="33" t="s">
        <v>5</v>
      </c>
      <c r="E2368" s="34">
        <v>7</v>
      </c>
      <c r="F2368" s="34"/>
      <c r="G2368" s="34" t="s">
        <v>201</v>
      </c>
      <c r="H2368" s="35"/>
      <c r="I2368" s="43" t="s">
        <v>82</v>
      </c>
      <c r="J2368" s="96"/>
      <c r="K2368" s="36"/>
      <c r="L2368" s="37"/>
      <c r="M2368" s="36"/>
      <c r="N2368" s="36"/>
      <c r="O2368" s="36"/>
    </row>
    <row r="2369" spans="1:16" hidden="1" x14ac:dyDescent="0.35">
      <c r="A2369" s="3">
        <f xml:space="preserve"> ROW( data_scaledImpacts[[#This Row],[row_id]] ) - ROW( data_scaledImpacts[[#Headers],[row_id]] )</f>
        <v>2368</v>
      </c>
      <c r="B2369" s="41" t="str">
        <f xml:space="preserve"> _xlfn.TEXTJOIN( "", , data_scaledImpacts[[#This Row],[sector]:[impactType]] )</f>
        <v>WindDamageHadGEM2-ES7N/A</v>
      </c>
      <c r="C2369" s="33" t="s">
        <v>1083</v>
      </c>
      <c r="D2369" s="33" t="s">
        <v>3</v>
      </c>
      <c r="E2369" s="34">
        <v>7</v>
      </c>
      <c r="F2369" s="34"/>
      <c r="G2369" s="34" t="s">
        <v>201</v>
      </c>
      <c r="H2369" s="35"/>
      <c r="I2369" s="43" t="s">
        <v>80</v>
      </c>
      <c r="J2369" s="96"/>
      <c r="K2369" s="36"/>
      <c r="L2369" s="37"/>
      <c r="M2369" s="36"/>
      <c r="N2369" s="36"/>
      <c r="O2369" s="36"/>
    </row>
    <row r="2370" spans="1:16" hidden="1" x14ac:dyDescent="0.35">
      <c r="A2370" s="3">
        <f xml:space="preserve"> ROW( data_scaledImpacts[[#This Row],[row_id]] ) - ROW( data_scaledImpacts[[#Headers],[row_id]] )</f>
        <v>2369</v>
      </c>
      <c r="B2370" s="41" t="str">
        <f xml:space="preserve"> _xlfn.TEXTJOIN( "", , data_scaledImpacts[[#This Row],[sector]:[impactType]] )</f>
        <v>WindDamageMIROC57N/A</v>
      </c>
      <c r="C2370" s="33" t="s">
        <v>1083</v>
      </c>
      <c r="D2370" s="33" t="s">
        <v>4</v>
      </c>
      <c r="E2370" s="34">
        <v>7</v>
      </c>
      <c r="F2370" s="34"/>
      <c r="G2370" s="34" t="s">
        <v>201</v>
      </c>
      <c r="H2370" s="35"/>
      <c r="I2370" s="43" t="s">
        <v>81</v>
      </c>
      <c r="J2370" s="96"/>
      <c r="K2370" s="36"/>
      <c r="L2370" s="37"/>
      <c r="M2370" s="36"/>
      <c r="N2370" s="36"/>
      <c r="O2370" s="36"/>
    </row>
    <row r="2371" spans="1:16" hidden="1" x14ac:dyDescent="0.35">
      <c r="A2371" s="3">
        <f xml:space="preserve"> ROW( data_scaledImpacts[[#This Row],[row_id]] ) - ROW( data_scaledImpacts[[#Headers],[row_id]] )</f>
        <v>2370</v>
      </c>
      <c r="B2371" s="41" t="str">
        <f xml:space="preserve"> _xlfn.TEXTJOIN( "", , data_scaledImpacts[[#This Row],[sector]:[impactType]] )</f>
        <v>WindDamageMRI-CGM37N/A</v>
      </c>
      <c r="C2371" s="33" t="s">
        <v>1083</v>
      </c>
      <c r="D2371" s="33" t="s">
        <v>1090</v>
      </c>
      <c r="E2371" s="34">
        <v>7</v>
      </c>
      <c r="F2371" s="34"/>
      <c r="G2371" s="34" t="s">
        <v>201</v>
      </c>
      <c r="H2371" s="35"/>
      <c r="I2371" s="43" t="s">
        <v>1092</v>
      </c>
      <c r="J2371" s="96"/>
      <c r="K2371" s="36"/>
      <c r="L2371" s="37"/>
      <c r="M2371" s="36"/>
      <c r="N2371" s="36"/>
      <c r="O2371" s="36"/>
    </row>
    <row r="2372" spans="1:16" hidden="1" x14ac:dyDescent="0.35">
      <c r="A2372" s="3">
        <f xml:space="preserve"> ROW( data_scaledImpacts[[#This Row],[row_id]] ) - ROW( data_scaledImpacts[[#Headers],[row_id]] )</f>
        <v>2371</v>
      </c>
      <c r="B2372" s="41" t="str">
        <f xml:space="preserve"> _xlfn.TEXTJOIN( "", , data_scaledImpacts[[#This Row],[sector]:[impactType]] )</f>
        <v>WindDamageGCM Average7N/A</v>
      </c>
      <c r="C2372" s="33" t="s">
        <v>1083</v>
      </c>
      <c r="D2372" s="33" t="s">
        <v>15</v>
      </c>
      <c r="E2372" s="34">
        <v>7</v>
      </c>
      <c r="F2372" s="34"/>
      <c r="G2372" s="34" t="s">
        <v>201</v>
      </c>
      <c r="H2372" s="35"/>
      <c r="I2372" s="43" t="s">
        <v>83</v>
      </c>
      <c r="J2372" s="96"/>
      <c r="K2372" s="36"/>
      <c r="L2372" s="37"/>
      <c r="M2372" s="36"/>
      <c r="N2372" s="36"/>
      <c r="O2372" s="36"/>
    </row>
    <row r="2373" spans="1:16" hidden="1" x14ac:dyDescent="0.35">
      <c r="A2373" s="3">
        <f xml:space="preserve"> ROW( data_scaledImpacts[[#This Row],[row_id]] ) - ROW( data_scaledImpacts[[#Headers],[row_id]] )</f>
        <v>2372</v>
      </c>
      <c r="B2373" s="41" t="str">
        <f xml:space="preserve"> _xlfn.TEXTJOIN( "", , data_scaledImpacts[[#This Row],[sector]:[impactType]] )</f>
        <v>CILExtremeTempCanESM21median</v>
      </c>
      <c r="C2373" s="33" t="s">
        <v>1154</v>
      </c>
      <c r="D2373" s="33" t="s">
        <v>0</v>
      </c>
      <c r="E2373" s="34">
        <v>1</v>
      </c>
      <c r="F2373" s="34"/>
      <c r="G2373" s="34" t="s">
        <v>1259</v>
      </c>
      <c r="H2373" s="35"/>
      <c r="I2373" s="43" t="s">
        <v>35</v>
      </c>
      <c r="J2373" s="110">
        <v>9.7684479405382286E-6</v>
      </c>
      <c r="K2373" s="110">
        <v>1.4932587371514305E-5</v>
      </c>
      <c r="L2373" s="110">
        <v>1.5440277006346553E-5</v>
      </c>
      <c r="M2373" s="110">
        <v>-1.4309079272123623E-5</v>
      </c>
      <c r="N2373" s="110">
        <v>-4.6226146129246911E-6</v>
      </c>
      <c r="O2373" s="110">
        <v>-8.8442271675205652E-6</v>
      </c>
      <c r="P2373" s="110">
        <v>-1.0431200928256027E-5</v>
      </c>
    </row>
    <row r="2374" spans="1:16" hidden="1" x14ac:dyDescent="0.35">
      <c r="A2374" s="3">
        <f xml:space="preserve"> ROW( data_scaledImpacts[[#This Row],[row_id]] ) - ROW( data_scaledImpacts[[#Headers],[row_id]] )</f>
        <v>2373</v>
      </c>
      <c r="B2374" s="41" t="str">
        <f xml:space="preserve"> _xlfn.TEXTJOIN( "", , data_scaledImpacts[[#This Row],[sector]:[impactType]] )</f>
        <v>CILExtremeTempCCSM41median</v>
      </c>
      <c r="C2374" s="33" t="s">
        <v>1154</v>
      </c>
      <c r="D2374" s="33" t="s">
        <v>1</v>
      </c>
      <c r="E2374" s="34">
        <v>1</v>
      </c>
      <c r="F2374" s="34"/>
      <c r="G2374" s="34" t="s">
        <v>1259</v>
      </c>
      <c r="H2374" s="35"/>
      <c r="I2374" s="43" t="s">
        <v>36</v>
      </c>
      <c r="J2374" s="110">
        <v>9.453646243173676E-5</v>
      </c>
      <c r="K2374" s="110">
        <v>5.6897558132756965E-5</v>
      </c>
      <c r="L2374" s="110">
        <v>8.3218136116948227E-5</v>
      </c>
      <c r="M2374" s="110">
        <v>3.3840074882474639E-5</v>
      </c>
      <c r="N2374" s="110">
        <v>3.2513616543910176E-5</v>
      </c>
      <c r="O2374" s="110">
        <v>-6.1425134360574155E-5</v>
      </c>
      <c r="P2374" s="110">
        <v>-1.5882070935479975E-5</v>
      </c>
    </row>
    <row r="2375" spans="1:16" hidden="1" x14ac:dyDescent="0.35">
      <c r="A2375" s="3">
        <f xml:space="preserve"> ROW( data_scaledImpacts[[#This Row],[row_id]] ) - ROW( data_scaledImpacts[[#Headers],[row_id]] )</f>
        <v>2374</v>
      </c>
      <c r="B2375" s="41" t="str">
        <f xml:space="preserve"> _xlfn.TEXTJOIN( "", , data_scaledImpacts[[#This Row],[sector]:[impactType]] )</f>
        <v>CILExtremeTempGFDL-CM31median</v>
      </c>
      <c r="C2375" s="33" t="s">
        <v>1154</v>
      </c>
      <c r="D2375" s="33" t="s">
        <v>5</v>
      </c>
      <c r="E2375" s="34">
        <v>1</v>
      </c>
      <c r="F2375" s="34"/>
      <c r="G2375" s="34" t="s">
        <v>1259</v>
      </c>
      <c r="H2375" s="35"/>
      <c r="I2375" s="43" t="s">
        <v>40</v>
      </c>
      <c r="J2375" s="110">
        <v>5.4548006993441701E-5</v>
      </c>
      <c r="K2375" s="110">
        <v>4.4539127579487334E-5</v>
      </c>
      <c r="L2375" s="110">
        <v>1.8644941312526222E-6</v>
      </c>
      <c r="M2375" s="110">
        <v>-2.7292894805721115E-5</v>
      </c>
      <c r="N2375" s="110">
        <v>1.6813671300843852E-5</v>
      </c>
      <c r="O2375" s="110">
        <v>-5.5993516419743229E-6</v>
      </c>
      <c r="P2375" s="110">
        <v>1.5423937839120878E-5</v>
      </c>
    </row>
    <row r="2376" spans="1:16" hidden="1" x14ac:dyDescent="0.35">
      <c r="A2376" s="3">
        <f xml:space="preserve"> ROW( data_scaledImpacts[[#This Row],[row_id]] ) - ROW( data_scaledImpacts[[#Headers],[row_id]] )</f>
        <v>2375</v>
      </c>
      <c r="B2376" s="41" t="str">
        <f xml:space="preserve"> _xlfn.TEXTJOIN( "", , data_scaledImpacts[[#This Row],[sector]:[impactType]] )</f>
        <v>CILExtremeTempGISS-E2-R1median</v>
      </c>
      <c r="C2376" s="33" t="s">
        <v>1154</v>
      </c>
      <c r="D2376" s="33" t="s">
        <v>2</v>
      </c>
      <c r="E2376" s="34">
        <v>1</v>
      </c>
      <c r="F2376" s="34"/>
      <c r="G2376" s="34" t="s">
        <v>1259</v>
      </c>
      <c r="H2376" s="35"/>
      <c r="I2376" s="43" t="s">
        <v>37</v>
      </c>
      <c r="J2376" s="110">
        <v>1.3132704641352856E-5</v>
      </c>
      <c r="K2376" s="110">
        <v>-3.6947673598905784E-5</v>
      </c>
      <c r="L2376" s="110">
        <v>-1.1601799320257359E-5</v>
      </c>
      <c r="M2376" s="110">
        <v>7.8981740398702615E-5</v>
      </c>
      <c r="N2376" s="110">
        <v>1.1273758369468804E-5</v>
      </c>
      <c r="O2376" s="110">
        <v>-1.3534483495543658E-5</v>
      </c>
      <c r="P2376" s="110">
        <v>2.8101444075983567E-5</v>
      </c>
    </row>
    <row r="2377" spans="1:16" hidden="1" x14ac:dyDescent="0.35">
      <c r="A2377" s="3">
        <f xml:space="preserve"> ROW( data_scaledImpacts[[#This Row],[row_id]] ) - ROW( data_scaledImpacts[[#Headers],[row_id]] )</f>
        <v>2376</v>
      </c>
      <c r="B2377" s="41" t="str">
        <f xml:space="preserve"> _xlfn.TEXTJOIN( "", , data_scaledImpacts[[#This Row],[sector]:[impactType]] )</f>
        <v>CILExtremeTempHadGEM2-ES1median</v>
      </c>
      <c r="C2377" s="33" t="s">
        <v>1154</v>
      </c>
      <c r="D2377" s="33" t="s">
        <v>3</v>
      </c>
      <c r="E2377" s="34">
        <v>1</v>
      </c>
      <c r="F2377" s="34"/>
      <c r="G2377" s="34" t="s">
        <v>1259</v>
      </c>
      <c r="H2377" s="35"/>
      <c r="I2377" s="43" t="s">
        <v>38</v>
      </c>
      <c r="J2377" s="110">
        <v>-2.5074154975670898E-5</v>
      </c>
      <c r="K2377" s="110">
        <v>4.7211346254964995E-6</v>
      </c>
      <c r="L2377" s="110">
        <v>-2.6548245551243456E-5</v>
      </c>
      <c r="M2377" s="110">
        <v>-2.6038368136673368E-5</v>
      </c>
      <c r="N2377" s="110">
        <v>2.6860242072044722E-5</v>
      </c>
      <c r="O2377" s="110">
        <v>4.014078041454575E-5</v>
      </c>
      <c r="P2377" s="110">
        <v>-1.393075332963934E-5</v>
      </c>
    </row>
    <row r="2378" spans="1:16" hidden="1" x14ac:dyDescent="0.35">
      <c r="A2378" s="3">
        <f xml:space="preserve"> ROW( data_scaledImpacts[[#This Row],[row_id]] ) - ROW( data_scaledImpacts[[#Headers],[row_id]] )</f>
        <v>2377</v>
      </c>
      <c r="B2378" s="41" t="str">
        <f xml:space="preserve"> _xlfn.TEXTJOIN( "", , data_scaledImpacts[[#This Row],[sector]:[impactType]] )</f>
        <v>CILExtremeTempMIROC51median</v>
      </c>
      <c r="C2378" s="33" t="s">
        <v>1154</v>
      </c>
      <c r="D2378" s="33" t="s">
        <v>4</v>
      </c>
      <c r="E2378" s="34">
        <v>1</v>
      </c>
      <c r="F2378" s="34"/>
      <c r="G2378" s="34" t="s">
        <v>1259</v>
      </c>
      <c r="H2378" s="35"/>
      <c r="I2378" s="43" t="s">
        <v>39</v>
      </c>
      <c r="J2378" s="110">
        <v>3.5349860469482847E-5</v>
      </c>
      <c r="K2378" s="110">
        <v>-2.2942244567171559E-6</v>
      </c>
      <c r="L2378" s="110">
        <v>6.2488645018858436E-5</v>
      </c>
      <c r="M2378" s="110">
        <v>1.7085962750349413E-5</v>
      </c>
      <c r="N2378" s="110">
        <v>3.6974185986036361E-5</v>
      </c>
      <c r="O2378" s="110">
        <v>1.0961444697703026E-4</v>
      </c>
      <c r="P2378" s="110">
        <v>3.6814775915350942E-5</v>
      </c>
    </row>
    <row r="2379" spans="1:16" hidden="1" x14ac:dyDescent="0.35">
      <c r="A2379" s="3">
        <f xml:space="preserve"> ROW( data_scaledImpacts[[#This Row],[row_id]] ) - ROW( data_scaledImpacts[[#Headers],[row_id]] )</f>
        <v>2378</v>
      </c>
      <c r="B2379" s="41" t="str">
        <f xml:space="preserve"> _xlfn.TEXTJOIN( "", , data_scaledImpacts[[#This Row],[sector]:[impactType]] )</f>
        <v>CILExtremeTempCanESM22median</v>
      </c>
      <c r="C2379" s="33" t="s">
        <v>1154</v>
      </c>
      <c r="D2379" s="33" t="s">
        <v>0</v>
      </c>
      <c r="E2379" s="34">
        <v>2</v>
      </c>
      <c r="F2379" s="34"/>
      <c r="G2379" s="34" t="s">
        <v>1259</v>
      </c>
      <c r="H2379" s="35"/>
      <c r="I2379" s="43" t="s">
        <v>42</v>
      </c>
      <c r="J2379" s="110">
        <v>5.7573043825199486E-6</v>
      </c>
      <c r="K2379" s="110">
        <v>2.1577849512236178E-5</v>
      </c>
      <c r="L2379" s="110">
        <v>-7.5728520428974181E-6</v>
      </c>
      <c r="M2379" s="110">
        <v>-5.5851332322366807E-5</v>
      </c>
      <c r="N2379" s="110">
        <v>5.3336431488143967E-5</v>
      </c>
      <c r="O2379" s="110">
        <v>3.7830286396685293E-5</v>
      </c>
      <c r="P2379" s="110">
        <v>-7.7588418170644945E-6</v>
      </c>
    </row>
    <row r="2380" spans="1:16" hidden="1" x14ac:dyDescent="0.35">
      <c r="A2380" s="3">
        <f xml:space="preserve"> ROW( data_scaledImpacts[[#This Row],[row_id]] ) - ROW( data_scaledImpacts[[#Headers],[row_id]] )</f>
        <v>2379</v>
      </c>
      <c r="B2380" s="41" t="str">
        <f xml:space="preserve"> _xlfn.TEXTJOIN( "", , data_scaledImpacts[[#This Row],[sector]:[impactType]] )</f>
        <v>CILExtremeTempCCSM42median</v>
      </c>
      <c r="C2380" s="33" t="s">
        <v>1154</v>
      </c>
      <c r="D2380" s="33" t="s">
        <v>1</v>
      </c>
      <c r="E2380" s="34">
        <v>2</v>
      </c>
      <c r="F2380" s="34"/>
      <c r="G2380" s="34" t="s">
        <v>1259</v>
      </c>
      <c r="H2380" s="35"/>
      <c r="I2380" s="43" t="s">
        <v>43</v>
      </c>
      <c r="J2380" s="110">
        <v>8.5784997185506915E-5</v>
      </c>
      <c r="K2380" s="110">
        <v>3.853958722972343E-5</v>
      </c>
      <c r="L2380" s="110">
        <v>7.2485745184595096E-5</v>
      </c>
      <c r="M2380" s="110">
        <v>-2.385729154532303E-6</v>
      </c>
      <c r="N2380" s="110">
        <v>7.3974950939820845E-5</v>
      </c>
      <c r="O2380" s="110">
        <v>-5.1669046923737712E-6</v>
      </c>
      <c r="P2380" s="110">
        <v>-6.8956510643580114E-6</v>
      </c>
    </row>
    <row r="2381" spans="1:16" hidden="1" x14ac:dyDescent="0.35">
      <c r="A2381" s="3">
        <f xml:space="preserve"> ROW( data_scaledImpacts[[#This Row],[row_id]] ) - ROW( data_scaledImpacts[[#Headers],[row_id]] )</f>
        <v>2380</v>
      </c>
      <c r="B2381" s="41" t="str">
        <f xml:space="preserve"> _xlfn.TEXTJOIN( "", , data_scaledImpacts[[#This Row],[sector]:[impactType]] )</f>
        <v>CILExtremeTempGFDL-CM32median</v>
      </c>
      <c r="C2381" s="33" t="s">
        <v>1154</v>
      </c>
      <c r="D2381" s="33" t="s">
        <v>5</v>
      </c>
      <c r="E2381" s="34">
        <v>2</v>
      </c>
      <c r="F2381" s="34"/>
      <c r="G2381" s="34" t="s">
        <v>1259</v>
      </c>
      <c r="H2381" s="35"/>
      <c r="I2381" s="43" t="s">
        <v>47</v>
      </c>
      <c r="J2381" s="110">
        <v>3.6178999338291479E-5</v>
      </c>
      <c r="K2381" s="110">
        <v>1.5436523517097636E-5</v>
      </c>
      <c r="L2381" s="110">
        <v>9.4389936632505806E-8</v>
      </c>
      <c r="M2381" s="110">
        <v>-4.3598795385349541E-5</v>
      </c>
      <c r="N2381" s="110">
        <v>5.0345467956295479E-5</v>
      </c>
      <c r="O2381" s="110">
        <v>2.1217136883771449E-5</v>
      </c>
      <c r="P2381" s="110">
        <v>1.5654907687137109E-5</v>
      </c>
    </row>
    <row r="2382" spans="1:16" hidden="1" x14ac:dyDescent="0.35">
      <c r="A2382" s="3">
        <f xml:space="preserve"> ROW( data_scaledImpacts[[#This Row],[row_id]] ) - ROW( data_scaledImpacts[[#Headers],[row_id]] )</f>
        <v>2381</v>
      </c>
      <c r="B2382" s="41" t="str">
        <f xml:space="preserve"> _xlfn.TEXTJOIN( "", , data_scaledImpacts[[#This Row],[sector]:[impactType]] )</f>
        <v>CILExtremeTempGISS-E2-R2median</v>
      </c>
      <c r="C2382" s="33" t="s">
        <v>1154</v>
      </c>
      <c r="D2382" s="33" t="s">
        <v>2</v>
      </c>
      <c r="E2382" s="34">
        <v>2</v>
      </c>
      <c r="F2382" s="34"/>
      <c r="G2382" s="34" t="s">
        <v>1259</v>
      </c>
      <c r="H2382" s="35"/>
      <c r="I2382" s="43" t="s">
        <v>44</v>
      </c>
      <c r="J2382" s="110">
        <v>1.8127319536286663E-5</v>
      </c>
      <c r="K2382" s="110">
        <v>-2.232467250999454E-5</v>
      </c>
      <c r="L2382" s="110">
        <v>-5.167314218480697E-5</v>
      </c>
      <c r="M2382" s="110">
        <v>-1.7420079859401433E-5</v>
      </c>
      <c r="N2382" s="110">
        <v>6.5669772773351221E-5</v>
      </c>
      <c r="O2382" s="110">
        <v>1.3917168092388638E-6</v>
      </c>
      <c r="P2382" s="110">
        <v>2.4951319750765245E-5</v>
      </c>
    </row>
    <row r="2383" spans="1:16" hidden="1" x14ac:dyDescent="0.35">
      <c r="A2383" s="3">
        <f xml:space="preserve"> ROW( data_scaledImpacts[[#This Row],[row_id]] ) - ROW( data_scaledImpacts[[#Headers],[row_id]] )</f>
        <v>2382</v>
      </c>
      <c r="B2383" s="41" t="str">
        <f xml:space="preserve"> _xlfn.TEXTJOIN( "", , data_scaledImpacts[[#This Row],[sector]:[impactType]] )</f>
        <v>CILExtremeTempHadGEM2-ES2median</v>
      </c>
      <c r="C2383" s="33" t="s">
        <v>1154</v>
      </c>
      <c r="D2383" s="33" t="s">
        <v>3</v>
      </c>
      <c r="E2383" s="34">
        <v>2</v>
      </c>
      <c r="F2383" s="34"/>
      <c r="G2383" s="34" t="s">
        <v>1259</v>
      </c>
      <c r="H2383" s="35"/>
      <c r="I2383" s="43" t="s">
        <v>45</v>
      </c>
      <c r="J2383" s="110">
        <v>-3.5207839719408268E-6</v>
      </c>
      <c r="K2383" s="110">
        <v>3.3697009725802824E-5</v>
      </c>
      <c r="L2383" s="110">
        <v>-6.2897049666461988E-5</v>
      </c>
      <c r="M2383" s="110">
        <v>-5.9685392941928685E-5</v>
      </c>
      <c r="N2383" s="110">
        <v>8.2569850921152078E-5</v>
      </c>
      <c r="O2383" s="110">
        <v>1.0202916939015333E-4</v>
      </c>
      <c r="P2383" s="110">
        <v>-1.5226515581510749E-5</v>
      </c>
    </row>
    <row r="2384" spans="1:16" hidden="1" x14ac:dyDescent="0.35">
      <c r="A2384" s="3">
        <f xml:space="preserve"> ROW( data_scaledImpacts[[#This Row],[row_id]] ) - ROW( data_scaledImpacts[[#Headers],[row_id]] )</f>
        <v>2383</v>
      </c>
      <c r="B2384" s="41" t="str">
        <f xml:space="preserve"> _xlfn.TEXTJOIN( "", , data_scaledImpacts[[#This Row],[sector]:[impactType]] )</f>
        <v>CILExtremeTempMIROC52median</v>
      </c>
      <c r="C2384" s="33" t="s">
        <v>1154</v>
      </c>
      <c r="D2384" s="33" t="s">
        <v>4</v>
      </c>
      <c r="E2384" s="34">
        <v>2</v>
      </c>
      <c r="F2384" s="34"/>
      <c r="G2384" s="34" t="s">
        <v>1259</v>
      </c>
      <c r="H2384" s="35"/>
      <c r="I2384" s="43" t="s">
        <v>46</v>
      </c>
      <c r="J2384" s="110">
        <v>-1.1742712171798924E-6</v>
      </c>
      <c r="K2384" s="110">
        <v>-3.5116438563692971E-5</v>
      </c>
      <c r="L2384" s="110">
        <v>2.3332070681210392E-5</v>
      </c>
      <c r="M2384" s="110">
        <v>-6.5834141895381379E-6</v>
      </c>
      <c r="N2384" s="110">
        <v>6.1358288357834929E-5</v>
      </c>
      <c r="O2384" s="110">
        <v>1.3375017183272646E-4</v>
      </c>
      <c r="P2384" s="110">
        <v>4.2428461250384351E-5</v>
      </c>
    </row>
    <row r="2385" spans="1:16" hidden="1" x14ac:dyDescent="0.35">
      <c r="A2385" s="3">
        <f xml:space="preserve"> ROW( data_scaledImpacts[[#This Row],[row_id]] ) - ROW( data_scaledImpacts[[#Headers],[row_id]] )</f>
        <v>2384</v>
      </c>
      <c r="B2385" s="41" t="str">
        <f xml:space="preserve"> _xlfn.TEXTJOIN( "", , data_scaledImpacts[[#This Row],[sector]:[impactType]] )</f>
        <v>CILExtremeTempCanESM23median</v>
      </c>
      <c r="C2385" s="33" t="s">
        <v>1154</v>
      </c>
      <c r="D2385" s="33" t="s">
        <v>0</v>
      </c>
      <c r="E2385" s="34">
        <v>3</v>
      </c>
      <c r="F2385" s="34"/>
      <c r="G2385" s="34" t="s">
        <v>1259</v>
      </c>
      <c r="H2385" s="35"/>
      <c r="I2385" s="43" t="s">
        <v>49</v>
      </c>
      <c r="J2385" s="110">
        <v>-1.5085956985308893E-7</v>
      </c>
      <c r="K2385" s="110">
        <v>1.4763885788145304E-5</v>
      </c>
      <c r="L2385" s="110">
        <v>-3.9111253429953806E-5</v>
      </c>
      <c r="M2385" s="110">
        <v>-8.328460302379092E-5</v>
      </c>
      <c r="N2385" s="110">
        <v>8.6137701105766276E-5</v>
      </c>
      <c r="O2385" s="110">
        <v>8.1964356347561244E-5</v>
      </c>
      <c r="P2385" s="110">
        <v>8.0958696584214884E-6</v>
      </c>
    </row>
    <row r="2386" spans="1:16" hidden="1" x14ac:dyDescent="0.35">
      <c r="A2386" s="3">
        <f xml:space="preserve"> ROW( data_scaledImpacts[[#This Row],[row_id]] ) - ROW( data_scaledImpacts[[#Headers],[row_id]] )</f>
        <v>2385</v>
      </c>
      <c r="B2386" s="41" t="str">
        <f xml:space="preserve"> _xlfn.TEXTJOIN( "", , data_scaledImpacts[[#This Row],[sector]:[impactType]] )</f>
        <v>CILExtremeTempCCSM43median</v>
      </c>
      <c r="C2386" s="33" t="s">
        <v>1154</v>
      </c>
      <c r="D2386" s="33" t="s">
        <v>1</v>
      </c>
      <c r="E2386" s="34">
        <v>3</v>
      </c>
      <c r="F2386" s="34"/>
      <c r="G2386" s="34" t="s">
        <v>1259</v>
      </c>
      <c r="H2386" s="35"/>
      <c r="I2386" s="43" t="s">
        <v>50</v>
      </c>
      <c r="J2386" s="110">
        <v>8.9959218471368313E-5</v>
      </c>
      <c r="K2386" s="110">
        <v>1.7280907863362606E-5</v>
      </c>
      <c r="L2386" s="110">
        <v>9.1124348796472692E-5</v>
      </c>
      <c r="M2386" s="110">
        <v>8.0188209723464336E-6</v>
      </c>
      <c r="N2386" s="110">
        <v>1.1424407103120971E-4</v>
      </c>
      <c r="O2386" s="110">
        <v>4.8343375718424838E-5</v>
      </c>
      <c r="P2386" s="110">
        <v>3.299721880938883E-5</v>
      </c>
    </row>
    <row r="2387" spans="1:16" hidden="1" x14ac:dyDescent="0.35">
      <c r="A2387" s="3">
        <f xml:space="preserve"> ROW( data_scaledImpacts[[#This Row],[row_id]] ) - ROW( data_scaledImpacts[[#Headers],[row_id]] )</f>
        <v>2386</v>
      </c>
      <c r="B2387" s="41" t="str">
        <f xml:space="preserve"> _xlfn.TEXTJOIN( "", , data_scaledImpacts[[#This Row],[sector]:[impactType]] )</f>
        <v>CILExtremeTempGFDL-CM33median</v>
      </c>
      <c r="C2387" s="33" t="s">
        <v>1154</v>
      </c>
      <c r="D2387" s="33" t="s">
        <v>5</v>
      </c>
      <c r="E2387" s="34">
        <v>3</v>
      </c>
      <c r="F2387" s="34"/>
      <c r="G2387" s="34" t="s">
        <v>1259</v>
      </c>
      <c r="H2387" s="35"/>
      <c r="I2387" s="43" t="s">
        <v>54</v>
      </c>
      <c r="J2387" s="110">
        <v>5.6509157570825261E-5</v>
      </c>
      <c r="K2387" s="110">
        <v>4.8029781188954009E-5</v>
      </c>
      <c r="L2387" s="110">
        <v>-4.3158283843847903E-5</v>
      </c>
      <c r="M2387" s="110">
        <v>-1.0584882341257371E-4</v>
      </c>
      <c r="N2387" s="110">
        <v>1.2770588594756597E-4</v>
      </c>
      <c r="O2387" s="110">
        <v>8.0102120371681847E-5</v>
      </c>
      <c r="P2387" s="110">
        <v>4.0644106040109161E-5</v>
      </c>
    </row>
    <row r="2388" spans="1:16" hidden="1" x14ac:dyDescent="0.35">
      <c r="A2388" s="3">
        <f xml:space="preserve"> ROW( data_scaledImpacts[[#This Row],[row_id]] ) - ROW( data_scaledImpacts[[#Headers],[row_id]] )</f>
        <v>2387</v>
      </c>
      <c r="B2388" s="41" t="str">
        <f xml:space="preserve"> _xlfn.TEXTJOIN( "", , data_scaledImpacts[[#This Row],[sector]:[impactType]] )</f>
        <v>CILExtremeTempGISS-E2-R3median</v>
      </c>
      <c r="C2388" s="33" t="s">
        <v>1154</v>
      </c>
      <c r="D2388" s="33" t="s">
        <v>2</v>
      </c>
      <c r="E2388" s="34">
        <v>3</v>
      </c>
      <c r="F2388" s="34"/>
      <c r="G2388" s="34" t="s">
        <v>1259</v>
      </c>
      <c r="H2388" s="35"/>
      <c r="I2388" s="43" t="s">
        <v>51</v>
      </c>
      <c r="J2388" s="110">
        <v>1.8189701935368793E-5</v>
      </c>
      <c r="K2388" s="110">
        <v>-4.0145357341920576E-5</v>
      </c>
      <c r="L2388" s="110">
        <v>-4.8839102995936627E-5</v>
      </c>
      <c r="M2388" s="110">
        <v>-1.8684471353823776E-5</v>
      </c>
      <c r="N2388" s="110">
        <v>1.2881634178420488E-4</v>
      </c>
      <c r="O2388" s="110">
        <v>1.0336876784007133E-4</v>
      </c>
      <c r="P2388" s="110">
        <v>7.7017369518999029E-5</v>
      </c>
    </row>
    <row r="2389" spans="1:16" hidden="1" x14ac:dyDescent="0.35">
      <c r="A2389" s="3">
        <f xml:space="preserve"> ROW( data_scaledImpacts[[#This Row],[row_id]] ) - ROW( data_scaledImpacts[[#Headers],[row_id]] )</f>
        <v>2388</v>
      </c>
      <c r="B2389" s="41" t="str">
        <f xml:space="preserve"> _xlfn.TEXTJOIN( "", , data_scaledImpacts[[#This Row],[sector]:[impactType]] )</f>
        <v>CILExtremeTempHadGEM2-ES3median</v>
      </c>
      <c r="C2389" s="33" t="s">
        <v>1154</v>
      </c>
      <c r="D2389" s="33" t="s">
        <v>3</v>
      </c>
      <c r="E2389" s="34">
        <v>3</v>
      </c>
      <c r="F2389" s="34"/>
      <c r="G2389" s="34" t="s">
        <v>1259</v>
      </c>
      <c r="H2389" s="35"/>
      <c r="I2389" s="43" t="s">
        <v>52</v>
      </c>
      <c r="J2389" s="110">
        <v>-1.6039411501344542E-5</v>
      </c>
      <c r="K2389" s="110">
        <v>-7.3753562582542802E-6</v>
      </c>
      <c r="L2389" s="110">
        <v>-8.8158126858073923E-5</v>
      </c>
      <c r="M2389" s="110">
        <v>-8.1433953887751222E-5</v>
      </c>
      <c r="N2389" s="110">
        <v>1.7350547963243496E-4</v>
      </c>
      <c r="O2389" s="110">
        <v>1.6814656198554145E-4</v>
      </c>
      <c r="P2389" s="110">
        <v>6.5127283467887669E-6</v>
      </c>
    </row>
    <row r="2390" spans="1:16" hidden="1" x14ac:dyDescent="0.35">
      <c r="A2390" s="3">
        <f xml:space="preserve"> ROW( data_scaledImpacts[[#This Row],[row_id]] ) - ROW( data_scaledImpacts[[#Headers],[row_id]] )</f>
        <v>2389</v>
      </c>
      <c r="B2390" s="41" t="str">
        <f xml:space="preserve"> _xlfn.TEXTJOIN( "", , data_scaledImpacts[[#This Row],[sector]:[impactType]] )</f>
        <v>CILExtremeTempMIROC53median</v>
      </c>
      <c r="C2390" s="33" t="s">
        <v>1154</v>
      </c>
      <c r="D2390" s="33" t="s">
        <v>4</v>
      </c>
      <c r="E2390" s="34">
        <v>3</v>
      </c>
      <c r="F2390" s="34"/>
      <c r="G2390" s="34" t="s">
        <v>1259</v>
      </c>
      <c r="H2390" s="35"/>
      <c r="I2390" s="43" t="s">
        <v>53</v>
      </c>
      <c r="J2390" s="110">
        <v>-3.7183518593158738E-5</v>
      </c>
      <c r="K2390" s="110">
        <v>-8.4949837563792169E-5</v>
      </c>
      <c r="L2390" s="110">
        <v>-4.2260667118873773E-6</v>
      </c>
      <c r="M2390" s="110">
        <v>-2.8678613157144452E-5</v>
      </c>
      <c r="N2390" s="110">
        <v>8.0889429512430834E-5</v>
      </c>
      <c r="O2390" s="110">
        <v>1.7430380412929939E-4</v>
      </c>
      <c r="P2390" s="110">
        <v>5.8697440024045538E-5</v>
      </c>
    </row>
    <row r="2391" spans="1:16" hidden="1" x14ac:dyDescent="0.35">
      <c r="A2391" s="3">
        <f xml:space="preserve"> ROW( data_scaledImpacts[[#This Row],[row_id]] ) - ROW( data_scaledImpacts[[#Headers],[row_id]] )</f>
        <v>2390</v>
      </c>
      <c r="B2391" s="41" t="str">
        <f xml:space="preserve"> _xlfn.TEXTJOIN( "", , data_scaledImpacts[[#This Row],[sector]:[impactType]] )</f>
        <v>CILExtremeTempCanESM24median</v>
      </c>
      <c r="C2391" s="33" t="s">
        <v>1154</v>
      </c>
      <c r="D2391" s="33" t="s">
        <v>0</v>
      </c>
      <c r="E2391" s="34">
        <v>4</v>
      </c>
      <c r="F2391" s="34"/>
      <c r="G2391" s="34" t="s">
        <v>1259</v>
      </c>
      <c r="H2391" s="35"/>
      <c r="I2391" s="43" t="s">
        <v>56</v>
      </c>
      <c r="J2391" s="110">
        <v>2.6146329518182384E-5</v>
      </c>
      <c r="K2391" s="110">
        <v>4.5663678196507132E-5</v>
      </c>
      <c r="L2391" s="110">
        <v>-3.613312220468243E-5</v>
      </c>
      <c r="M2391" s="110">
        <v>-1.0047589382445521E-4</v>
      </c>
      <c r="N2391" s="110">
        <v>1.551125884603938E-4</v>
      </c>
      <c r="O2391" s="110">
        <v>1.4519599907064436E-4</v>
      </c>
      <c r="P2391" s="110">
        <v>1.7787176967217584E-5</v>
      </c>
    </row>
    <row r="2392" spans="1:16" hidden="1" x14ac:dyDescent="0.35">
      <c r="A2392" s="3">
        <f xml:space="preserve"> ROW( data_scaledImpacts[[#This Row],[row_id]] ) - ROW( data_scaledImpacts[[#Headers],[row_id]] )</f>
        <v>2391</v>
      </c>
      <c r="B2392" s="41" t="str">
        <f xml:space="preserve"> _xlfn.TEXTJOIN( "", , data_scaledImpacts[[#This Row],[sector]:[impactType]] )</f>
        <v>CILExtremeTempCCSM44median</v>
      </c>
      <c r="C2392" s="33" t="s">
        <v>1154</v>
      </c>
      <c r="D2392" s="33" t="s">
        <v>1</v>
      </c>
      <c r="E2392" s="34">
        <v>4</v>
      </c>
      <c r="F2392" s="34"/>
      <c r="G2392" s="34" t="s">
        <v>1259</v>
      </c>
      <c r="H2392" s="35"/>
      <c r="I2392" s="43" t="s">
        <v>57</v>
      </c>
      <c r="J2392" s="110">
        <v>7.9441245121609304E-5</v>
      </c>
      <c r="K2392" s="110">
        <v>2.83532664072621E-5</v>
      </c>
      <c r="L2392" s="110">
        <v>4.0218969167578988E-5</v>
      </c>
      <c r="M2392" s="110">
        <v>-5.9265837052672085E-5</v>
      </c>
      <c r="N2392" s="110">
        <v>1.8934114439460978E-4</v>
      </c>
      <c r="O2392" s="110">
        <v>1.0703218574144844E-4</v>
      </c>
      <c r="P2392" s="110">
        <v>4.7341464695100873E-5</v>
      </c>
    </row>
    <row r="2393" spans="1:16" hidden="1" x14ac:dyDescent="0.35">
      <c r="A2393" s="3">
        <f xml:space="preserve"> ROW( data_scaledImpacts[[#This Row],[row_id]] ) - ROW( data_scaledImpacts[[#Headers],[row_id]] )</f>
        <v>2392</v>
      </c>
      <c r="B2393" s="41" t="str">
        <f xml:space="preserve"> _xlfn.TEXTJOIN( "", , data_scaledImpacts[[#This Row],[sector]:[impactType]] )</f>
        <v>CILExtremeTempGFDL-CM34median</v>
      </c>
      <c r="C2393" s="33" t="s">
        <v>1154</v>
      </c>
      <c r="D2393" s="33" t="s">
        <v>5</v>
      </c>
      <c r="E2393" s="34">
        <v>4</v>
      </c>
      <c r="F2393" s="34"/>
      <c r="G2393" s="34" t="s">
        <v>1259</v>
      </c>
      <c r="H2393" s="35"/>
      <c r="I2393" s="43" t="s">
        <v>61</v>
      </c>
      <c r="J2393" s="110">
        <v>6.2902314617226628E-5</v>
      </c>
      <c r="K2393" s="110">
        <v>4.5787370573766518E-5</v>
      </c>
      <c r="L2393" s="110">
        <v>-3.8395547630765002E-5</v>
      </c>
      <c r="M2393" s="110">
        <v>-1.0795545457531578E-4</v>
      </c>
      <c r="N2393" s="110">
        <v>2.1672252124343852E-4</v>
      </c>
      <c r="O2393" s="110">
        <v>1.5546495292699438E-4</v>
      </c>
      <c r="P2393" s="110">
        <v>7.1826125795744088E-5</v>
      </c>
    </row>
    <row r="2394" spans="1:16" hidden="1" x14ac:dyDescent="0.35">
      <c r="A2394" s="3">
        <f xml:space="preserve"> ROW( data_scaledImpacts[[#This Row],[row_id]] ) - ROW( data_scaledImpacts[[#Headers],[row_id]] )</f>
        <v>2393</v>
      </c>
      <c r="B2394" s="41" t="str">
        <f xml:space="preserve"> _xlfn.TEXTJOIN( "", , data_scaledImpacts[[#This Row],[sector]:[impactType]] )</f>
        <v>CILExtremeTempHadGEM2-ES4median</v>
      </c>
      <c r="C2394" s="33" t="s">
        <v>1154</v>
      </c>
      <c r="D2394" s="33" t="s">
        <v>3</v>
      </c>
      <c r="E2394" s="34">
        <v>4</v>
      </c>
      <c r="F2394" s="34"/>
      <c r="G2394" s="34" t="s">
        <v>1259</v>
      </c>
      <c r="H2394" s="35"/>
      <c r="I2394" s="43" t="s">
        <v>59</v>
      </c>
      <c r="J2394" s="110">
        <v>-3.8235927181459568E-5</v>
      </c>
      <c r="K2394" s="110">
        <v>-1.8572972221888578E-5</v>
      </c>
      <c r="L2394" s="110">
        <v>-1.1825056789668491E-4</v>
      </c>
      <c r="M2394" s="110">
        <v>-1.1169538421648795E-4</v>
      </c>
      <c r="N2394" s="110">
        <v>2.2970101202601572E-4</v>
      </c>
      <c r="O2394" s="110">
        <v>2.1191331325734464E-4</v>
      </c>
      <c r="P2394" s="110">
        <v>2.5536751851236143E-5</v>
      </c>
    </row>
    <row r="2395" spans="1:16" hidden="1" x14ac:dyDescent="0.35">
      <c r="A2395" s="3">
        <f xml:space="preserve"> ROW( data_scaledImpacts[[#This Row],[row_id]] ) - ROW( data_scaledImpacts[[#Headers],[row_id]] )</f>
        <v>2394</v>
      </c>
      <c r="B2395" s="41" t="str">
        <f xml:space="preserve"> _xlfn.TEXTJOIN( "", , data_scaledImpacts[[#This Row],[sector]:[impactType]] )</f>
        <v>CILExtremeTempMIROC54median</v>
      </c>
      <c r="C2395" s="33" t="s">
        <v>1154</v>
      </c>
      <c r="D2395" s="33" t="s">
        <v>4</v>
      </c>
      <c r="E2395" s="34">
        <v>4</v>
      </c>
      <c r="F2395" s="34"/>
      <c r="G2395" s="34" t="s">
        <v>1259</v>
      </c>
      <c r="H2395" s="35"/>
      <c r="I2395" s="43" t="s">
        <v>60</v>
      </c>
      <c r="J2395" s="110">
        <v>-3.9323293228409655E-5</v>
      </c>
      <c r="K2395" s="110">
        <v>-1.0472563358969958E-4</v>
      </c>
      <c r="L2395" s="110">
        <v>3.1268969680213097E-6</v>
      </c>
      <c r="M2395" s="110">
        <v>-4.6969718127715249E-5</v>
      </c>
      <c r="N2395" s="110">
        <v>1.2765412850508729E-4</v>
      </c>
      <c r="O2395" s="110">
        <v>2.4607815216083764E-4</v>
      </c>
      <c r="P2395" s="110">
        <v>7.4986560356840115E-5</v>
      </c>
    </row>
    <row r="2396" spans="1:16" hidden="1" x14ac:dyDescent="0.35">
      <c r="A2396" s="3">
        <f xml:space="preserve"> ROW( data_scaledImpacts[[#This Row],[row_id]] ) - ROW( data_scaledImpacts[[#Headers],[row_id]] )</f>
        <v>2395</v>
      </c>
      <c r="B2396" s="41" t="str">
        <f xml:space="preserve"> _xlfn.TEXTJOIN( "", , data_scaledImpacts[[#This Row],[sector]:[impactType]] )</f>
        <v>CILExtremeTempCanESM25median</v>
      </c>
      <c r="C2396" s="33" t="s">
        <v>1154</v>
      </c>
      <c r="D2396" s="33" t="s">
        <v>0</v>
      </c>
      <c r="E2396" s="34">
        <v>5</v>
      </c>
      <c r="F2396" s="34"/>
      <c r="G2396" s="34" t="s">
        <v>1259</v>
      </c>
      <c r="H2396" s="35"/>
      <c r="I2396" s="43" t="s">
        <v>63</v>
      </c>
      <c r="J2396" s="110">
        <v>-2.3523012601784629E-6</v>
      </c>
      <c r="K2396" s="110">
        <v>3.3010465045955416E-5</v>
      </c>
      <c r="L2396" s="110">
        <v>-8.3174871998824534E-5</v>
      </c>
      <c r="M2396" s="110">
        <v>-1.1098355272711255E-4</v>
      </c>
      <c r="N2396" s="110">
        <v>2.0955534081787912E-4</v>
      </c>
      <c r="O2396" s="110">
        <v>1.690404380305017E-4</v>
      </c>
      <c r="P2396" s="110">
        <v>4.8826440564133023E-5</v>
      </c>
    </row>
    <row r="2397" spans="1:16" hidden="1" x14ac:dyDescent="0.35">
      <c r="A2397" s="3">
        <f xml:space="preserve"> ROW( data_scaledImpacts[[#This Row],[row_id]] ) - ROW( data_scaledImpacts[[#Headers],[row_id]] )</f>
        <v>2396</v>
      </c>
      <c r="B2397" s="41" t="str">
        <f xml:space="preserve"> _xlfn.TEXTJOIN( "", , data_scaledImpacts[[#This Row],[sector]:[impactType]] )</f>
        <v>CILExtremeTempCCSM45median</v>
      </c>
      <c r="C2397" s="33" t="s">
        <v>1154</v>
      </c>
      <c r="D2397" s="33" t="s">
        <v>1</v>
      </c>
      <c r="E2397" s="34">
        <v>5</v>
      </c>
      <c r="F2397" s="34"/>
      <c r="G2397" s="34" t="s">
        <v>1259</v>
      </c>
      <c r="H2397" s="35"/>
      <c r="I2397" s="43" t="s">
        <v>64</v>
      </c>
      <c r="J2397" s="110">
        <v>1.4319669547417806E-4</v>
      </c>
      <c r="K2397" s="110">
        <v>6.953917775097911E-5</v>
      </c>
      <c r="L2397" s="110">
        <v>1.0290074380360257E-4</v>
      </c>
      <c r="M2397" s="110">
        <v>-4.7772592528329905E-5</v>
      </c>
      <c r="N2397" s="110">
        <v>2.9937908302197879E-4</v>
      </c>
      <c r="O2397" s="110">
        <v>1.9216925519040422E-4</v>
      </c>
      <c r="P2397" s="110">
        <v>6.7144491237167866E-5</v>
      </c>
    </row>
    <row r="2398" spans="1:16" hidden="1" x14ac:dyDescent="0.35">
      <c r="A2398" s="3">
        <f xml:space="preserve"> ROW( data_scaledImpacts[[#This Row],[row_id]] ) - ROW( data_scaledImpacts[[#Headers],[row_id]] )</f>
        <v>2397</v>
      </c>
      <c r="B2398" s="41" t="str">
        <f xml:space="preserve"> _xlfn.TEXTJOIN( "", , data_scaledImpacts[[#This Row],[sector]:[impactType]] )</f>
        <v>CILExtremeTempGFDL-CM35median</v>
      </c>
      <c r="C2398" s="33" t="s">
        <v>1154</v>
      </c>
      <c r="D2398" s="33" t="s">
        <v>5</v>
      </c>
      <c r="E2398" s="34">
        <v>5</v>
      </c>
      <c r="F2398" s="34"/>
      <c r="G2398" s="34" t="s">
        <v>1259</v>
      </c>
      <c r="H2398" s="35"/>
      <c r="I2398" s="43" t="s">
        <v>68</v>
      </c>
      <c r="J2398" s="110">
        <v>1.0327985896678516E-4</v>
      </c>
      <c r="K2398" s="110">
        <v>5.6783298770168594E-5</v>
      </c>
      <c r="L2398" s="110">
        <v>-5.1291479530084851E-6</v>
      </c>
      <c r="M2398" s="110">
        <v>-1.2409564068438967E-4</v>
      </c>
      <c r="N2398" s="110">
        <v>2.8441517312674308E-4</v>
      </c>
      <c r="O2398" s="110">
        <v>2.7404075808324995E-4</v>
      </c>
      <c r="P2398" s="110">
        <v>1.0559607691137694E-4</v>
      </c>
    </row>
    <row r="2399" spans="1:16" hidden="1" x14ac:dyDescent="0.35">
      <c r="A2399" s="3">
        <f xml:space="preserve"> ROW( data_scaledImpacts[[#This Row],[row_id]] ) - ROW( data_scaledImpacts[[#Headers],[row_id]] )</f>
        <v>2398</v>
      </c>
      <c r="B2399" s="41" t="str">
        <f xml:space="preserve"> _xlfn.TEXTJOIN( "", , data_scaledImpacts[[#This Row],[sector]:[impactType]] )</f>
        <v>CILExtremeTempHadGEM2-ES5median</v>
      </c>
      <c r="C2399" s="33" t="s">
        <v>1154</v>
      </c>
      <c r="D2399" s="33" t="s">
        <v>3</v>
      </c>
      <c r="E2399" s="34">
        <v>5</v>
      </c>
      <c r="F2399" s="34"/>
      <c r="G2399" s="34" t="s">
        <v>1259</v>
      </c>
      <c r="H2399" s="35"/>
      <c r="I2399" s="43" t="s">
        <v>66</v>
      </c>
      <c r="J2399" s="110">
        <v>-1.3371610716569084E-6</v>
      </c>
      <c r="K2399" s="110">
        <v>8.8290574655629746E-6</v>
      </c>
      <c r="L2399" s="110">
        <v>-1.2786556755109386E-4</v>
      </c>
      <c r="M2399" s="110">
        <v>-1.4808999097495001E-4</v>
      </c>
      <c r="N2399" s="110">
        <v>2.9607909974803035E-4</v>
      </c>
      <c r="O2399" s="110">
        <v>2.2567072331468728E-4</v>
      </c>
      <c r="P2399" s="110">
        <v>3.9682372556622045E-5</v>
      </c>
    </row>
    <row r="2400" spans="1:16" hidden="1" x14ac:dyDescent="0.35">
      <c r="A2400" s="3">
        <f xml:space="preserve"> ROW( data_scaledImpacts[[#This Row],[row_id]] ) - ROW( data_scaledImpacts[[#Headers],[row_id]] )</f>
        <v>2399</v>
      </c>
      <c r="B2400" s="41" t="str">
        <f xml:space="preserve"> _xlfn.TEXTJOIN( "", , data_scaledImpacts[[#This Row],[sector]:[impactType]] )</f>
        <v>CILExtremeTempMIROC55median</v>
      </c>
      <c r="C2400" s="33" t="s">
        <v>1154</v>
      </c>
      <c r="D2400" s="33" t="s">
        <v>4</v>
      </c>
      <c r="E2400" s="34">
        <v>5</v>
      </c>
      <c r="F2400" s="34"/>
      <c r="G2400" s="34" t="s">
        <v>1259</v>
      </c>
      <c r="H2400" s="35"/>
      <c r="I2400" s="43" t="s">
        <v>67</v>
      </c>
      <c r="J2400" s="110">
        <v>-3.4826761182479889E-5</v>
      </c>
      <c r="K2400" s="110">
        <v>-1.0265378144036749E-4</v>
      </c>
      <c r="L2400" s="110">
        <v>-1.0245795567023415E-5</v>
      </c>
      <c r="M2400" s="110">
        <v>-7.5932472556905205E-5</v>
      </c>
      <c r="N2400" s="110">
        <v>2.1302687129870973E-4</v>
      </c>
      <c r="O2400" s="110">
        <v>3.6128040032542018E-4</v>
      </c>
      <c r="P2400" s="110">
        <v>9.4848580287773844E-5</v>
      </c>
    </row>
    <row r="2401" spans="1:16" hidden="1" x14ac:dyDescent="0.35">
      <c r="A2401" s="3">
        <f xml:space="preserve"> ROW( data_scaledImpacts[[#This Row],[row_id]] ) - ROW( data_scaledImpacts[[#Headers],[row_id]] )</f>
        <v>2400</v>
      </c>
      <c r="B2401" s="41" t="str">
        <f xml:space="preserve"> _xlfn.TEXTJOIN( "", , data_scaledImpacts[[#This Row],[sector]:[impactType]] )</f>
        <v>CILExtremeTempCanESM26median</v>
      </c>
      <c r="C2401" s="33" t="s">
        <v>1154</v>
      </c>
      <c r="D2401" s="33" t="s">
        <v>0</v>
      </c>
      <c r="E2401" s="34">
        <v>6</v>
      </c>
      <c r="F2401" s="34"/>
      <c r="G2401" s="34" t="s">
        <v>1259</v>
      </c>
      <c r="H2401" s="35"/>
      <c r="I2401" s="43" t="s">
        <v>70</v>
      </c>
      <c r="J2401" s="110">
        <v>6.6922366993165709E-5</v>
      </c>
      <c r="K2401" s="110">
        <v>8.5790748171096315E-5</v>
      </c>
      <c r="L2401" s="110">
        <v>-1.9991577300711693E-5</v>
      </c>
      <c r="M2401" s="110">
        <v>-1.0206789249005296E-4</v>
      </c>
      <c r="N2401" s="110">
        <v>3.2215353312804534E-4</v>
      </c>
      <c r="O2401" s="110">
        <v>2.8196061058504541E-4</v>
      </c>
      <c r="P2401" s="110">
        <v>9.1731394730528693E-5</v>
      </c>
    </row>
    <row r="2402" spans="1:16" hidden="1" x14ac:dyDescent="0.35">
      <c r="A2402" s="3">
        <f xml:space="preserve"> ROW( data_scaledImpacts[[#This Row],[row_id]] ) - ROW( data_scaledImpacts[[#Headers],[row_id]] )</f>
        <v>2401</v>
      </c>
      <c r="B2402" s="41" t="str">
        <f xml:space="preserve"> _xlfn.TEXTJOIN( "", , data_scaledImpacts[[#This Row],[sector]:[impactType]] )</f>
        <v>CILExtremeTempGFDL-CM36median</v>
      </c>
      <c r="C2402" s="33" t="s">
        <v>1154</v>
      </c>
      <c r="D2402" s="33" t="s">
        <v>5</v>
      </c>
      <c r="E2402" s="34">
        <v>6</v>
      </c>
      <c r="F2402" s="34"/>
      <c r="G2402" s="34" t="s">
        <v>1259</v>
      </c>
      <c r="H2402" s="35"/>
      <c r="I2402" s="43" t="s">
        <v>75</v>
      </c>
      <c r="J2402" s="110">
        <v>1.4512365335973238E-4</v>
      </c>
      <c r="K2402" s="110">
        <v>1.0397476338290476E-4</v>
      </c>
      <c r="L2402" s="110">
        <v>1.1363487717903732E-5</v>
      </c>
      <c r="M2402" s="110">
        <v>-8.2907917086462188E-5</v>
      </c>
      <c r="N2402" s="110">
        <v>3.9249902057452774E-4</v>
      </c>
      <c r="O2402" s="110">
        <v>3.0807269729107498E-4</v>
      </c>
      <c r="P2402" s="110">
        <v>1.6613862155753656E-4</v>
      </c>
    </row>
    <row r="2403" spans="1:16" hidden="1" x14ac:dyDescent="0.35">
      <c r="A2403" s="3">
        <f xml:space="preserve"> ROW( data_scaledImpacts[[#This Row],[row_id]] ) - ROW( data_scaledImpacts[[#Headers],[row_id]] )</f>
        <v>2402</v>
      </c>
      <c r="B2403" s="41" t="str">
        <f xml:space="preserve"> _xlfn.TEXTJOIN( "", , data_scaledImpacts[[#This Row],[sector]:[impactType]] )</f>
        <v>CILExtremeTempHadGEM2-ES6median</v>
      </c>
      <c r="C2403" s="33" t="s">
        <v>1154</v>
      </c>
      <c r="D2403" s="33" t="s">
        <v>3</v>
      </c>
      <c r="E2403" s="34">
        <v>6</v>
      </c>
      <c r="F2403" s="34"/>
      <c r="G2403" s="34" t="s">
        <v>1259</v>
      </c>
      <c r="H2403" s="35"/>
      <c r="I2403" s="43" t="s">
        <v>73</v>
      </c>
      <c r="J2403" s="110">
        <v>1.2844353994560899E-5</v>
      </c>
      <c r="K2403" s="110">
        <v>2.1940980639288468E-5</v>
      </c>
      <c r="L2403" s="110">
        <v>-1.1252863619737931E-4</v>
      </c>
      <c r="M2403" s="110">
        <v>-1.2138984843261298E-4</v>
      </c>
      <c r="N2403" s="110">
        <v>3.4488110316258048E-4</v>
      </c>
      <c r="O2403" s="110">
        <v>2.7515070603490171E-4</v>
      </c>
      <c r="P2403" s="110">
        <v>7.8250211472818699E-5</v>
      </c>
    </row>
    <row r="2404" spans="1:16" hidden="1" x14ac:dyDescent="0.35">
      <c r="A2404" s="3">
        <f xml:space="preserve"> ROW( data_scaledImpacts[[#This Row],[row_id]] ) - ROW( data_scaledImpacts[[#Headers],[row_id]] )</f>
        <v>2403</v>
      </c>
      <c r="B2404" s="41" t="str">
        <f xml:space="preserve"> _xlfn.TEXTJOIN( "", , data_scaledImpacts[[#This Row],[sector]:[impactType]] )</f>
        <v>MarineFisheriesCanESM21N/A</v>
      </c>
      <c r="C2404" s="33" t="s">
        <v>223</v>
      </c>
      <c r="D2404" s="33" t="s">
        <v>0</v>
      </c>
      <c r="E2404" s="34">
        <v>1</v>
      </c>
      <c r="F2404" s="34"/>
      <c r="G2404" s="34" t="s">
        <v>201</v>
      </c>
      <c r="H2404" s="35"/>
      <c r="I2404" s="43" t="s">
        <v>35</v>
      </c>
      <c r="J2404" s="96">
        <v>0</v>
      </c>
      <c r="K2404" s="36">
        <v>-110.2221751420483</v>
      </c>
      <c r="L2404" s="37">
        <v>0</v>
      </c>
      <c r="M2404" s="36">
        <v>-15.051129600937024</v>
      </c>
      <c r="N2404" s="36">
        <v>47.33121511079068</v>
      </c>
      <c r="O2404" s="36">
        <v>47.60209052306044</v>
      </c>
      <c r="P2404" s="110">
        <v>-9.1753916906746209</v>
      </c>
    </row>
    <row r="2405" spans="1:16" hidden="1" x14ac:dyDescent="0.35">
      <c r="A2405" s="3">
        <f xml:space="preserve"> ROW( data_scaledImpacts[[#This Row],[row_id]] ) - ROW( data_scaledImpacts[[#Headers],[row_id]] )</f>
        <v>2404</v>
      </c>
      <c r="B2405" s="41" t="str">
        <f xml:space="preserve"> _xlfn.TEXTJOIN( "", , data_scaledImpacts[[#This Row],[sector]:[impactType]] )</f>
        <v>MarineFisheriesCanESM22N/A</v>
      </c>
      <c r="C2405" s="33" t="s">
        <v>223</v>
      </c>
      <c r="D2405" s="33" t="s">
        <v>0</v>
      </c>
      <c r="E2405" s="34">
        <v>2</v>
      </c>
      <c r="F2405" s="34"/>
      <c r="G2405" s="34" t="s">
        <v>201</v>
      </c>
      <c r="H2405" s="35"/>
      <c r="I2405" s="43" t="s">
        <v>42</v>
      </c>
      <c r="J2405" s="96">
        <v>0</v>
      </c>
      <c r="K2405" s="36">
        <v>-220.4443502840966</v>
      </c>
      <c r="L2405" s="37">
        <v>0</v>
      </c>
      <c r="M2405" s="36">
        <v>-30.102259201874048</v>
      </c>
      <c r="N2405" s="36">
        <v>94.66243022158136</v>
      </c>
      <c r="O2405" s="36">
        <v>95.20418104612088</v>
      </c>
      <c r="P2405" s="110">
        <v>-18.350783381349242</v>
      </c>
    </row>
    <row r="2406" spans="1:16" hidden="1" x14ac:dyDescent="0.35">
      <c r="A2406" s="3">
        <f xml:space="preserve"> ROW( data_scaledImpacts[[#This Row],[row_id]] ) - ROW( data_scaledImpacts[[#Headers],[row_id]] )</f>
        <v>2405</v>
      </c>
      <c r="B2406" s="41" t="str">
        <f xml:space="preserve"> _xlfn.TEXTJOIN( "", , data_scaledImpacts[[#This Row],[sector]:[impactType]] )</f>
        <v>MarineFisheriesCanESM23N/A</v>
      </c>
      <c r="C2406" s="33" t="s">
        <v>223</v>
      </c>
      <c r="D2406" s="33" t="s">
        <v>0</v>
      </c>
      <c r="E2406" s="34">
        <v>3</v>
      </c>
      <c r="F2406" s="34"/>
      <c r="G2406" s="34" t="s">
        <v>201</v>
      </c>
      <c r="H2406" s="35"/>
      <c r="I2406" s="43" t="s">
        <v>49</v>
      </c>
      <c r="J2406" s="96">
        <v>0</v>
      </c>
      <c r="K2406" s="36">
        <v>-244.19545550682258</v>
      </c>
      <c r="L2406" s="37">
        <v>0</v>
      </c>
      <c r="M2406" s="36">
        <v>-10.4851200280951</v>
      </c>
      <c r="N2406" s="36">
        <v>81.092201303332331</v>
      </c>
      <c r="O2406" s="36">
        <v>91.757462352951791</v>
      </c>
      <c r="P2406" s="110">
        <v>-6.3918845782525304</v>
      </c>
    </row>
    <row r="2407" spans="1:16" hidden="1" x14ac:dyDescent="0.35">
      <c r="A2407" s="3">
        <f xml:space="preserve"> ROW( data_scaledImpacts[[#This Row],[row_id]] ) - ROW( data_scaledImpacts[[#Headers],[row_id]] )</f>
        <v>2406</v>
      </c>
      <c r="B2407" s="41" t="str">
        <f xml:space="preserve"> _xlfn.TEXTJOIN( "", , data_scaledImpacts[[#This Row],[sector]:[impactType]] )</f>
        <v>MarineFisheriesCanESM24N/A</v>
      </c>
      <c r="C2407" s="33" t="s">
        <v>223</v>
      </c>
      <c r="D2407" s="33" t="s">
        <v>0</v>
      </c>
      <c r="E2407" s="34">
        <v>4</v>
      </c>
      <c r="F2407" s="34"/>
      <c r="G2407" s="34" t="s">
        <v>201</v>
      </c>
      <c r="H2407" s="35"/>
      <c r="I2407" s="43" t="s">
        <v>56</v>
      </c>
      <c r="J2407" s="96">
        <v>0</v>
      </c>
      <c r="K2407" s="36">
        <v>-239.21573007927282</v>
      </c>
      <c r="L2407" s="37">
        <v>0</v>
      </c>
      <c r="M2407" s="36">
        <v>10.892599201297598</v>
      </c>
      <c r="N2407" s="36">
        <v>73.908396930631042</v>
      </c>
      <c r="O2407" s="36">
        <v>86.697909319781559</v>
      </c>
      <c r="P2407" s="110">
        <v>6.6402899218416662</v>
      </c>
    </row>
    <row r="2408" spans="1:16" hidden="1" x14ac:dyDescent="0.35">
      <c r="A2408" s="3">
        <f xml:space="preserve"> ROW( data_scaledImpacts[[#This Row],[row_id]] ) - ROW( data_scaledImpacts[[#Headers],[row_id]] )</f>
        <v>2407</v>
      </c>
      <c r="B2408" s="41" t="str">
        <f xml:space="preserve"> _xlfn.TEXTJOIN( "", , data_scaledImpacts[[#This Row],[sector]:[impactType]] )</f>
        <v>MarineFisheriesCanESM25N/A</v>
      </c>
      <c r="C2408" s="33" t="s">
        <v>223</v>
      </c>
      <c r="D2408" s="33" t="s">
        <v>0</v>
      </c>
      <c r="E2408" s="34">
        <v>5</v>
      </c>
      <c r="F2408" s="34"/>
      <c r="G2408" s="34" t="s">
        <v>201</v>
      </c>
      <c r="H2408" s="35"/>
      <c r="I2408" s="43" t="s">
        <v>63</v>
      </c>
      <c r="J2408" s="96">
        <v>0</v>
      </c>
      <c r="K2408" s="36">
        <v>-216.28693253072561</v>
      </c>
      <c r="L2408" s="37">
        <v>0</v>
      </c>
      <c r="M2408" s="36">
        <v>23.879620088140054</v>
      </c>
      <c r="N2408" s="36">
        <v>77.21766928858861</v>
      </c>
      <c r="O2408" s="36">
        <v>84.380225243400929</v>
      </c>
      <c r="P2408" s="110">
        <v>14.557370346445397</v>
      </c>
    </row>
    <row r="2409" spans="1:16" hidden="1" x14ac:dyDescent="0.35">
      <c r="A2409" s="3">
        <f xml:space="preserve"> ROW( data_scaledImpacts[[#This Row],[row_id]] ) - ROW( data_scaledImpacts[[#Headers],[row_id]] )</f>
        <v>2408</v>
      </c>
      <c r="B2409" s="41" t="str">
        <f xml:space="preserve"> _xlfn.TEXTJOIN( "", , data_scaledImpacts[[#This Row],[sector]:[impactType]] )</f>
        <v>MarineFisheriesCanESM26N/A</v>
      </c>
      <c r="C2409" s="33" t="s">
        <v>223</v>
      </c>
      <c r="D2409" s="33" t="s">
        <v>0</v>
      </c>
      <c r="E2409" s="34">
        <v>6</v>
      </c>
      <c r="F2409" s="34"/>
      <c r="G2409" s="34" t="s">
        <v>201</v>
      </c>
      <c r="H2409" s="35"/>
      <c r="I2409" s="43" t="s">
        <v>70</v>
      </c>
      <c r="J2409" s="96">
        <v>0</v>
      </c>
      <c r="K2409" s="36">
        <v>-174.95150357006293</v>
      </c>
      <c r="L2409" s="37">
        <v>0</v>
      </c>
      <c r="M2409" s="36">
        <v>24.67906117459847</v>
      </c>
      <c r="N2409" s="36">
        <v>93.971204558442665</v>
      </c>
      <c r="O2409" s="36">
        <v>86.421589507400356</v>
      </c>
      <c r="P2409" s="110">
        <v>15.044721481965338</v>
      </c>
    </row>
    <row r="2410" spans="1:16" hidden="1" x14ac:dyDescent="0.35">
      <c r="A2410" s="3">
        <f xml:space="preserve"> ROW( data_scaledImpacts[[#This Row],[row_id]] ) - ROW( data_scaledImpacts[[#Headers],[row_id]] )</f>
        <v>2409</v>
      </c>
      <c r="B2410" s="41" t="str">
        <f xml:space="preserve"> _xlfn.TEXTJOIN( "", , data_scaledImpacts[[#This Row],[sector]:[impactType]] )</f>
        <v>MarineFisheriesCanESM27N/A</v>
      </c>
      <c r="C2410" s="33" t="s">
        <v>223</v>
      </c>
      <c r="D2410" s="33" t="s">
        <v>0</v>
      </c>
      <c r="E2410" s="34">
        <v>7</v>
      </c>
      <c r="F2410" s="34"/>
      <c r="G2410" s="34" t="s">
        <v>201</v>
      </c>
      <c r="H2410" s="35"/>
      <c r="I2410" s="43" t="s">
        <v>77</v>
      </c>
      <c r="J2410" s="96"/>
      <c r="K2410" s="36"/>
      <c r="L2410" s="37"/>
      <c r="M2410" s="36"/>
      <c r="N2410" s="36"/>
      <c r="O2410" s="36"/>
      <c r="P2410" s="110"/>
    </row>
    <row r="2411" spans="1:16" hidden="1" x14ac:dyDescent="0.35">
      <c r="A2411" s="3">
        <f xml:space="preserve"> ROW( data_scaledImpacts[[#This Row],[row_id]] ) - ROW( data_scaledImpacts[[#Headers],[row_id]] )</f>
        <v>2410</v>
      </c>
      <c r="B2411" s="41" t="str">
        <f xml:space="preserve"> _xlfn.TEXTJOIN( "", , data_scaledImpacts[[#This Row],[sector]:[impactType]] )</f>
        <v>MarineFisheriesCCSM41N/A</v>
      </c>
      <c r="C2411" s="33" t="s">
        <v>223</v>
      </c>
      <c r="D2411" s="33" t="s">
        <v>1</v>
      </c>
      <c r="E2411" s="34">
        <v>1</v>
      </c>
      <c r="F2411" s="34"/>
      <c r="G2411" s="34" t="s">
        <v>201</v>
      </c>
      <c r="H2411" s="35"/>
      <c r="I2411" s="43" t="s">
        <v>36</v>
      </c>
      <c r="J2411" s="96">
        <v>0</v>
      </c>
      <c r="K2411" s="36">
        <v>-104.82063071221404</v>
      </c>
      <c r="L2411" s="37">
        <v>0</v>
      </c>
      <c r="M2411" s="36">
        <v>-26.889084877395767</v>
      </c>
      <c r="N2411" s="36">
        <v>50.5910741615034</v>
      </c>
      <c r="O2411" s="36">
        <v>48.486087529415848</v>
      </c>
      <c r="P2411" s="110">
        <v>-16.391984687882971</v>
      </c>
    </row>
    <row r="2412" spans="1:16" hidden="1" x14ac:dyDescent="0.35">
      <c r="A2412" s="3">
        <f xml:space="preserve"> ROW( data_scaledImpacts[[#This Row],[row_id]] ) - ROW( data_scaledImpacts[[#Headers],[row_id]] )</f>
        <v>2411</v>
      </c>
      <c r="B2412" s="41" t="str">
        <f xml:space="preserve"> _xlfn.TEXTJOIN( "", , data_scaledImpacts[[#This Row],[sector]:[impactType]] )</f>
        <v>MarineFisheriesCCSM42N/A</v>
      </c>
      <c r="C2412" s="33" t="s">
        <v>223</v>
      </c>
      <c r="D2412" s="33" t="s">
        <v>1</v>
      </c>
      <c r="E2412" s="34">
        <v>2</v>
      </c>
      <c r="F2412" s="34"/>
      <c r="G2412" s="34" t="s">
        <v>201</v>
      </c>
      <c r="H2412" s="35"/>
      <c r="I2412" s="43" t="s">
        <v>43</v>
      </c>
      <c r="J2412" s="96">
        <v>0</v>
      </c>
      <c r="K2412" s="36">
        <v>-209.64126142442808</v>
      </c>
      <c r="L2412" s="37">
        <v>0</v>
      </c>
      <c r="M2412" s="36">
        <v>-53.778169754791534</v>
      </c>
      <c r="N2412" s="36">
        <v>101.1821483230068</v>
      </c>
      <c r="O2412" s="36">
        <v>96.972175058831695</v>
      </c>
      <c r="P2412" s="110">
        <v>-32.783969375765942</v>
      </c>
    </row>
    <row r="2413" spans="1:16" hidden="1" x14ac:dyDescent="0.35">
      <c r="A2413" s="3">
        <f xml:space="preserve"> ROW( data_scaledImpacts[[#This Row],[row_id]] ) - ROW( data_scaledImpacts[[#Headers],[row_id]] )</f>
        <v>2412</v>
      </c>
      <c r="B2413" s="41" t="str">
        <f xml:space="preserve"> _xlfn.TEXTJOIN( "", , data_scaledImpacts[[#This Row],[sector]:[impactType]] )</f>
        <v>MarineFisheriesCCSM43N/A</v>
      </c>
      <c r="C2413" s="33" t="s">
        <v>223</v>
      </c>
      <c r="D2413" s="33" t="s">
        <v>1</v>
      </c>
      <c r="E2413" s="34">
        <v>3</v>
      </c>
      <c r="F2413" s="34"/>
      <c r="G2413" s="34" t="s">
        <v>201</v>
      </c>
      <c r="H2413" s="35"/>
      <c r="I2413" s="43" t="s">
        <v>50</v>
      </c>
      <c r="J2413" s="96">
        <v>0</v>
      </c>
      <c r="K2413" s="36">
        <v>-216.26187935247253</v>
      </c>
      <c r="L2413" s="37">
        <v>0</v>
      </c>
      <c r="M2413" s="36">
        <v>-50.824578213993647</v>
      </c>
      <c r="N2413" s="36">
        <v>99.192920091406535</v>
      </c>
      <c r="O2413" s="36">
        <v>97.045427722685233</v>
      </c>
      <c r="P2413" s="110">
        <v>-30.983416194734481</v>
      </c>
    </row>
    <row r="2414" spans="1:16" hidden="1" x14ac:dyDescent="0.35">
      <c r="A2414" s="3">
        <f xml:space="preserve"> ROW( data_scaledImpacts[[#This Row],[row_id]] ) - ROW( data_scaledImpacts[[#Headers],[row_id]] )</f>
        <v>2413</v>
      </c>
      <c r="B2414" s="41" t="str">
        <f xml:space="preserve"> _xlfn.TEXTJOIN( "", , data_scaledImpacts[[#This Row],[sector]:[impactType]] )</f>
        <v>MarineFisheriesCCSM44N/A</v>
      </c>
      <c r="C2414" s="33" t="s">
        <v>223</v>
      </c>
      <c r="D2414" s="33" t="s">
        <v>1</v>
      </c>
      <c r="E2414" s="34">
        <v>4</v>
      </c>
      <c r="F2414" s="34"/>
      <c r="G2414" s="34" t="s">
        <v>201</v>
      </c>
      <c r="H2414" s="35"/>
      <c r="I2414" s="43" t="s">
        <v>57</v>
      </c>
      <c r="J2414" s="96">
        <v>0</v>
      </c>
      <c r="K2414" s="36">
        <v>-211.41151167166015</v>
      </c>
      <c r="L2414" s="37">
        <v>0</v>
      </c>
      <c r="M2414" s="36">
        <v>-40.084806369707685</v>
      </c>
      <c r="N2414" s="36">
        <v>97.867725369619919</v>
      </c>
      <c r="O2414" s="36">
        <v>95.387492969959723</v>
      </c>
      <c r="P2414" s="110">
        <v>-24.43629209491484</v>
      </c>
    </row>
    <row r="2415" spans="1:16" hidden="1" x14ac:dyDescent="0.35">
      <c r="A2415" s="3">
        <f xml:space="preserve"> ROW( data_scaledImpacts[[#This Row],[row_id]] ) - ROW( data_scaledImpacts[[#Headers],[row_id]] )</f>
        <v>2414</v>
      </c>
      <c r="B2415" s="41" t="str">
        <f xml:space="preserve"> _xlfn.TEXTJOIN( "", , data_scaledImpacts[[#This Row],[sector]:[impactType]] )</f>
        <v>MarineFisheriesCCSM45N/A</v>
      </c>
      <c r="C2415" s="33" t="s">
        <v>223</v>
      </c>
      <c r="D2415" s="33" t="s">
        <v>1</v>
      </c>
      <c r="E2415" s="34">
        <v>5</v>
      </c>
      <c r="F2415" s="34"/>
      <c r="G2415" s="34" t="s">
        <v>201</v>
      </c>
      <c r="H2415" s="35"/>
      <c r="I2415" s="43" t="s">
        <v>64</v>
      </c>
      <c r="J2415" s="96">
        <v>0</v>
      </c>
      <c r="K2415" s="36">
        <v>-215.14456872434809</v>
      </c>
      <c r="L2415" s="37">
        <v>0</v>
      </c>
      <c r="M2415" s="36">
        <v>-35.319189727991954</v>
      </c>
      <c r="N2415" s="36">
        <v>94.040161492559236</v>
      </c>
      <c r="O2415" s="36">
        <v>93.868693564748597</v>
      </c>
      <c r="P2415" s="110">
        <v>-21.531101554756539</v>
      </c>
    </row>
    <row r="2416" spans="1:16" hidden="1" x14ac:dyDescent="0.35">
      <c r="A2416" s="3">
        <f xml:space="preserve"> ROW( data_scaledImpacts[[#This Row],[row_id]] ) - ROW( data_scaledImpacts[[#Headers],[row_id]] )</f>
        <v>2415</v>
      </c>
      <c r="B2416" s="41" t="str">
        <f xml:space="preserve"> _xlfn.TEXTJOIN( "", , data_scaledImpacts[[#This Row],[sector]:[impactType]] )</f>
        <v>MarineFisheriesCCSM46N/A</v>
      </c>
      <c r="C2416" s="33" t="s">
        <v>223</v>
      </c>
      <c r="D2416" s="33" t="s">
        <v>1</v>
      </c>
      <c r="E2416" s="34">
        <v>6</v>
      </c>
      <c r="F2416" s="34"/>
      <c r="G2416" s="34" t="s">
        <v>201</v>
      </c>
      <c r="H2416" s="35"/>
      <c r="I2416" s="43" t="s">
        <v>71</v>
      </c>
      <c r="J2416" s="96"/>
      <c r="K2416" s="36"/>
      <c r="L2416" s="37"/>
      <c r="M2416" s="36"/>
      <c r="N2416" s="36"/>
      <c r="O2416" s="36"/>
      <c r="P2416" s="110"/>
    </row>
    <row r="2417" spans="1:16" hidden="1" x14ac:dyDescent="0.35">
      <c r="A2417" s="3">
        <f xml:space="preserve"> ROW( data_scaledImpacts[[#This Row],[row_id]] ) - ROW( data_scaledImpacts[[#Headers],[row_id]] )</f>
        <v>2416</v>
      </c>
      <c r="B2417" s="41" t="str">
        <f xml:space="preserve"> _xlfn.TEXTJOIN( "", , data_scaledImpacts[[#This Row],[sector]:[impactType]] )</f>
        <v>MarineFisheriesCCSM47N/A</v>
      </c>
      <c r="C2417" s="33" t="s">
        <v>223</v>
      </c>
      <c r="D2417" s="33" t="s">
        <v>1</v>
      </c>
      <c r="E2417" s="34">
        <v>7</v>
      </c>
      <c r="F2417" s="34"/>
      <c r="G2417" s="34" t="s">
        <v>201</v>
      </c>
      <c r="H2417" s="35"/>
      <c r="I2417" s="43" t="s">
        <v>78</v>
      </c>
      <c r="J2417" s="96"/>
      <c r="K2417" s="36"/>
      <c r="L2417" s="37"/>
      <c r="M2417" s="36"/>
      <c r="N2417" s="36"/>
      <c r="O2417" s="36"/>
      <c r="P2417" s="110"/>
    </row>
    <row r="2418" spans="1:16" hidden="1" x14ac:dyDescent="0.35">
      <c r="A2418" s="3">
        <f xml:space="preserve"> ROW( data_scaledImpacts[[#This Row],[row_id]] ) - ROW( data_scaledImpacts[[#Headers],[row_id]] )</f>
        <v>2417</v>
      </c>
      <c r="B2418" s="41" t="str">
        <f xml:space="preserve"> _xlfn.TEXTJOIN( "", , data_scaledImpacts[[#This Row],[sector]:[impactType]] )</f>
        <v>MarineFisheriesGFDL-CM31N/A</v>
      </c>
      <c r="C2418" s="33" t="s">
        <v>223</v>
      </c>
      <c r="D2418" s="33" t="s">
        <v>5</v>
      </c>
      <c r="E2418" s="34">
        <v>1</v>
      </c>
      <c r="F2418" s="34"/>
      <c r="G2418" s="34" t="s">
        <v>201</v>
      </c>
      <c r="H2418" s="35"/>
      <c r="I2418" s="43" t="s">
        <v>40</v>
      </c>
      <c r="J2418" s="96">
        <v>0</v>
      </c>
      <c r="K2418" s="36">
        <v>-90.896859883963003</v>
      </c>
      <c r="L2418" s="37">
        <v>0</v>
      </c>
      <c r="M2418" s="36">
        <v>-16.102400154419453</v>
      </c>
      <c r="N2418" s="36">
        <v>46.655482706011604</v>
      </c>
      <c r="O2418" s="36">
        <v>43.650954707904006</v>
      </c>
      <c r="P2418" s="110">
        <v>-9.8162618018769727</v>
      </c>
    </row>
    <row r="2419" spans="1:16" hidden="1" x14ac:dyDescent="0.35">
      <c r="A2419" s="3">
        <f xml:space="preserve"> ROW( data_scaledImpacts[[#This Row],[row_id]] ) - ROW( data_scaledImpacts[[#Headers],[row_id]] )</f>
        <v>2418</v>
      </c>
      <c r="B2419" s="41" t="str">
        <f xml:space="preserve"> _xlfn.TEXTJOIN( "", , data_scaledImpacts[[#This Row],[sector]:[impactType]] )</f>
        <v>MarineFisheriesGFDL-CM32N/A</v>
      </c>
      <c r="C2419" s="33" t="s">
        <v>223</v>
      </c>
      <c r="D2419" s="33" t="s">
        <v>5</v>
      </c>
      <c r="E2419" s="34">
        <v>2</v>
      </c>
      <c r="F2419" s="34"/>
      <c r="G2419" s="34" t="s">
        <v>201</v>
      </c>
      <c r="H2419" s="35"/>
      <c r="I2419" s="43" t="s">
        <v>47</v>
      </c>
      <c r="J2419" s="96">
        <v>0</v>
      </c>
      <c r="K2419" s="36">
        <v>-181.79371976792601</v>
      </c>
      <c r="L2419" s="37">
        <v>0</v>
      </c>
      <c r="M2419" s="36">
        <v>-32.204800308838905</v>
      </c>
      <c r="N2419" s="36">
        <v>93.310965412023208</v>
      </c>
      <c r="O2419" s="36">
        <v>87.301909415808012</v>
      </c>
      <c r="P2419" s="110">
        <v>-19.632523603753945</v>
      </c>
    </row>
    <row r="2420" spans="1:16" hidden="1" x14ac:dyDescent="0.35">
      <c r="A2420" s="3">
        <f xml:space="preserve"> ROW( data_scaledImpacts[[#This Row],[row_id]] ) - ROW( data_scaledImpacts[[#Headers],[row_id]] )</f>
        <v>2419</v>
      </c>
      <c r="B2420" s="41" t="str">
        <f xml:space="preserve"> _xlfn.TEXTJOIN( "", , data_scaledImpacts[[#This Row],[sector]:[impactType]] )</f>
        <v>MarineFisheriesGFDL-CM33N/A</v>
      </c>
      <c r="C2420" s="33" t="s">
        <v>223</v>
      </c>
      <c r="D2420" s="33" t="s">
        <v>5</v>
      </c>
      <c r="E2420" s="34">
        <v>3</v>
      </c>
      <c r="F2420" s="34"/>
      <c r="G2420" s="34" t="s">
        <v>201</v>
      </c>
      <c r="H2420" s="35"/>
      <c r="I2420" s="43" t="s">
        <v>54</v>
      </c>
      <c r="J2420" s="96">
        <v>0</v>
      </c>
      <c r="K2420" s="36">
        <v>-168.47192392634167</v>
      </c>
      <c r="L2420" s="37">
        <v>0</v>
      </c>
      <c r="M2420" s="36">
        <v>10.864003750941283</v>
      </c>
      <c r="N2420" s="36">
        <v>64.06446794129117</v>
      </c>
      <c r="O2420" s="36">
        <v>67.9847271219774</v>
      </c>
      <c r="P2420" s="110">
        <v>6.6228577114662865</v>
      </c>
    </row>
    <row r="2421" spans="1:16" hidden="1" x14ac:dyDescent="0.35">
      <c r="A2421" s="3">
        <f xml:space="preserve"> ROW( data_scaledImpacts[[#This Row],[row_id]] ) - ROW( data_scaledImpacts[[#Headers],[row_id]] )</f>
        <v>2420</v>
      </c>
      <c r="B2421" s="41" t="str">
        <f xml:space="preserve"> _xlfn.TEXTJOIN( "", , data_scaledImpacts[[#This Row],[sector]:[impactType]] )</f>
        <v>MarineFisheriesGFDL-CM34N/A</v>
      </c>
      <c r="C2421" s="33" t="s">
        <v>223</v>
      </c>
      <c r="D2421" s="33" t="s">
        <v>5</v>
      </c>
      <c r="E2421" s="34">
        <v>4</v>
      </c>
      <c r="F2421" s="34"/>
      <c r="G2421" s="34" t="s">
        <v>201</v>
      </c>
      <c r="H2421" s="35"/>
      <c r="I2421" s="43" t="s">
        <v>61</v>
      </c>
      <c r="J2421" s="96">
        <v>0</v>
      </c>
      <c r="K2421" s="36">
        <v>-149.47982653783168</v>
      </c>
      <c r="L2421" s="37">
        <v>0</v>
      </c>
      <c r="M2421" s="36">
        <v>14.654155978974183</v>
      </c>
      <c r="N2421" s="36">
        <v>59.21147875291966</v>
      </c>
      <c r="O2421" s="36">
        <v>61.686606146070751</v>
      </c>
      <c r="P2421" s="110">
        <v>8.9333906868331692</v>
      </c>
    </row>
    <row r="2422" spans="1:16" hidden="1" x14ac:dyDescent="0.35">
      <c r="A2422" s="3">
        <f xml:space="preserve"> ROW( data_scaledImpacts[[#This Row],[row_id]] ) - ROW( data_scaledImpacts[[#Headers],[row_id]] )</f>
        <v>2421</v>
      </c>
      <c r="B2422" s="41" t="str">
        <f xml:space="preserve"> _xlfn.TEXTJOIN( "", , data_scaledImpacts[[#This Row],[sector]:[impactType]] )</f>
        <v>MarineFisheriesGFDL-CM35N/A</v>
      </c>
      <c r="C2422" s="33" t="s">
        <v>223</v>
      </c>
      <c r="D2422" s="33" t="s">
        <v>5</v>
      </c>
      <c r="E2422" s="34">
        <v>5</v>
      </c>
      <c r="F2422" s="34"/>
      <c r="G2422" s="34" t="s">
        <v>201</v>
      </c>
      <c r="H2422" s="35"/>
      <c r="I2422" s="43" t="s">
        <v>68</v>
      </c>
      <c r="J2422" s="96">
        <v>0</v>
      </c>
      <c r="K2422" s="36">
        <v>-135.30228924211448</v>
      </c>
      <c r="L2422" s="37">
        <v>0</v>
      </c>
      <c r="M2422" s="36">
        <v>15.134586363298878</v>
      </c>
      <c r="N2422" s="36">
        <v>55.910389961425103</v>
      </c>
      <c r="O2422" s="36">
        <v>57.170527834975999</v>
      </c>
      <c r="P2422" s="110">
        <v>9.2262681699960325</v>
      </c>
    </row>
    <row r="2423" spans="1:16" hidden="1" x14ac:dyDescent="0.35">
      <c r="A2423" s="3">
        <f xml:space="preserve"> ROW( data_scaledImpacts[[#This Row],[row_id]] ) - ROW( data_scaledImpacts[[#Headers],[row_id]] )</f>
        <v>2422</v>
      </c>
      <c r="B2423" s="41" t="str">
        <f xml:space="preserve"> _xlfn.TEXTJOIN( "", , data_scaledImpacts[[#This Row],[sector]:[impactType]] )</f>
        <v>MarineFisheriesGFDL-CM36N/A</v>
      </c>
      <c r="C2423" s="33" t="s">
        <v>223</v>
      </c>
      <c r="D2423" s="33" t="s">
        <v>5</v>
      </c>
      <c r="E2423" s="34">
        <v>6</v>
      </c>
      <c r="F2423" s="34"/>
      <c r="G2423" s="34" t="s">
        <v>201</v>
      </c>
      <c r="H2423" s="35"/>
      <c r="I2423" s="43" t="s">
        <v>75</v>
      </c>
      <c r="J2423" s="96">
        <v>0</v>
      </c>
      <c r="K2423" s="36">
        <v>-132.68902118319039</v>
      </c>
      <c r="L2423" s="37">
        <v>0</v>
      </c>
      <c r="M2423" s="36">
        <v>27.484536041848287</v>
      </c>
      <c r="N2423" s="36">
        <v>38.369647746982722</v>
      </c>
      <c r="O2423" s="36">
        <v>46.575811836279406</v>
      </c>
      <c r="P2423" s="110">
        <v>16.754980543435213</v>
      </c>
    </row>
    <row r="2424" spans="1:16" hidden="1" x14ac:dyDescent="0.35">
      <c r="A2424" s="3">
        <f xml:space="preserve"> ROW( data_scaledImpacts[[#This Row],[row_id]] ) - ROW( data_scaledImpacts[[#Headers],[row_id]] )</f>
        <v>2423</v>
      </c>
      <c r="B2424" s="41" t="str">
        <f xml:space="preserve"> _xlfn.TEXTJOIN( "", , data_scaledImpacts[[#This Row],[sector]:[impactType]] )</f>
        <v>MarineFisheriesGFDL-CM37N/A</v>
      </c>
      <c r="C2424" s="33" t="s">
        <v>223</v>
      </c>
      <c r="D2424" s="33" t="s">
        <v>5</v>
      </c>
      <c r="E2424" s="34">
        <v>7</v>
      </c>
      <c r="F2424" s="34"/>
      <c r="G2424" s="34" t="s">
        <v>201</v>
      </c>
      <c r="H2424" s="35"/>
      <c r="I2424" s="43" t="s">
        <v>82</v>
      </c>
      <c r="J2424" s="96"/>
      <c r="K2424" s="36"/>
      <c r="L2424" s="37"/>
      <c r="M2424" s="36"/>
      <c r="N2424" s="36"/>
      <c r="O2424" s="36"/>
      <c r="P2424" s="110"/>
    </row>
    <row r="2425" spans="1:16" hidden="1" x14ac:dyDescent="0.35">
      <c r="A2425" s="3">
        <f xml:space="preserve"> ROW( data_scaledImpacts[[#This Row],[row_id]] ) - ROW( data_scaledImpacts[[#Headers],[row_id]] )</f>
        <v>2424</v>
      </c>
      <c r="B2425" s="41" t="str">
        <f xml:space="preserve"> _xlfn.TEXTJOIN( "", , data_scaledImpacts[[#This Row],[sector]:[impactType]] )</f>
        <v>MarineFisheriesGISS-E2-R1N/A</v>
      </c>
      <c r="C2425" s="33" t="s">
        <v>223</v>
      </c>
      <c r="D2425" s="33" t="s">
        <v>2</v>
      </c>
      <c r="E2425" s="34">
        <v>1</v>
      </c>
      <c r="F2425" s="34"/>
      <c r="G2425" s="34" t="s">
        <v>201</v>
      </c>
      <c r="H2425" s="35"/>
      <c r="I2425" s="43" t="s">
        <v>37</v>
      </c>
      <c r="J2425" s="96">
        <v>0</v>
      </c>
      <c r="K2425" s="36">
        <v>-175.85830839462005</v>
      </c>
      <c r="L2425" s="37">
        <v>0</v>
      </c>
      <c r="M2425" s="36">
        <v>-43.755590122473755</v>
      </c>
      <c r="N2425" s="36">
        <v>111.49578884764875</v>
      </c>
      <c r="O2425" s="36">
        <v>96.69249846304254</v>
      </c>
      <c r="P2425" s="110">
        <v>-26.674056278494618</v>
      </c>
    </row>
    <row r="2426" spans="1:16" hidden="1" x14ac:dyDescent="0.35">
      <c r="A2426" s="3">
        <f xml:space="preserve"> ROW( data_scaledImpacts[[#This Row],[row_id]] ) - ROW( data_scaledImpacts[[#Headers],[row_id]] )</f>
        <v>2425</v>
      </c>
      <c r="B2426" s="41" t="str">
        <f xml:space="preserve"> _xlfn.TEXTJOIN( "", , data_scaledImpacts[[#This Row],[sector]:[impactType]] )</f>
        <v>MarineFisheriesGISS-E2-R2N/A</v>
      </c>
      <c r="C2426" s="33" t="s">
        <v>223</v>
      </c>
      <c r="D2426" s="33" t="s">
        <v>2</v>
      </c>
      <c r="E2426" s="34">
        <v>2</v>
      </c>
      <c r="F2426" s="34"/>
      <c r="G2426" s="34" t="s">
        <v>201</v>
      </c>
      <c r="H2426" s="35"/>
      <c r="I2426" s="43" t="s">
        <v>44</v>
      </c>
      <c r="J2426" s="96">
        <v>0</v>
      </c>
      <c r="K2426" s="36">
        <v>-162.19367275316861</v>
      </c>
      <c r="L2426" s="37">
        <v>0</v>
      </c>
      <c r="M2426" s="36">
        <v>-26.440559816588021</v>
      </c>
      <c r="N2426" s="36">
        <v>115.72251838160072</v>
      </c>
      <c r="O2426" s="36">
        <v>96.611104741957845</v>
      </c>
      <c r="P2426" s="110">
        <v>-16.118557162832726</v>
      </c>
    </row>
    <row r="2427" spans="1:16" hidden="1" x14ac:dyDescent="0.35">
      <c r="A2427" s="3">
        <f xml:space="preserve"> ROW( data_scaledImpacts[[#This Row],[row_id]] ) - ROW( data_scaledImpacts[[#Headers],[row_id]] )</f>
        <v>2426</v>
      </c>
      <c r="B2427" s="41" t="str">
        <f xml:space="preserve"> _xlfn.TEXTJOIN( "", , data_scaledImpacts[[#This Row],[sector]:[impactType]] )</f>
        <v>MarineFisheriesGISS-E2-R3N/A</v>
      </c>
      <c r="C2427" s="33" t="s">
        <v>223</v>
      </c>
      <c r="D2427" s="33" t="s">
        <v>2</v>
      </c>
      <c r="E2427" s="34">
        <v>3</v>
      </c>
      <c r="F2427" s="34"/>
      <c r="G2427" s="34" t="s">
        <v>201</v>
      </c>
      <c r="H2427" s="35"/>
      <c r="I2427" s="43" t="s">
        <v>51</v>
      </c>
      <c r="J2427" s="96">
        <v>0</v>
      </c>
      <c r="K2427" s="36">
        <v>-152.21750972228534</v>
      </c>
      <c r="L2427" s="37">
        <v>0</v>
      </c>
      <c r="M2427" s="36">
        <v>-10.142931921882536</v>
      </c>
      <c r="N2427" s="36">
        <v>119.4709806072447</v>
      </c>
      <c r="O2427" s="36">
        <v>96.93373019072537</v>
      </c>
      <c r="P2427" s="110">
        <v>-6.1832816368364467</v>
      </c>
    </row>
    <row r="2428" spans="1:16" hidden="1" x14ac:dyDescent="0.35">
      <c r="A2428" s="3">
        <f xml:space="preserve"> ROW( data_scaledImpacts[[#This Row],[row_id]] ) - ROW( data_scaledImpacts[[#Headers],[row_id]] )</f>
        <v>2427</v>
      </c>
      <c r="B2428" s="41" t="str">
        <f xml:space="preserve"> _xlfn.TEXTJOIN( "", , data_scaledImpacts[[#This Row],[sector]:[impactType]] )</f>
        <v>MarineFisheriesGISS-E2-R4N/A</v>
      </c>
      <c r="C2428" s="33" t="s">
        <v>223</v>
      </c>
      <c r="D2428" s="33" t="s">
        <v>2</v>
      </c>
      <c r="E2428" s="34">
        <v>4</v>
      </c>
      <c r="F2428" s="34"/>
      <c r="G2428" s="34" t="s">
        <v>201</v>
      </c>
      <c r="H2428" s="35"/>
      <c r="I2428" s="43" t="s">
        <v>58</v>
      </c>
      <c r="J2428" s="96"/>
      <c r="K2428" s="36"/>
      <c r="L2428" s="37"/>
      <c r="M2428" s="36"/>
      <c r="N2428" s="36"/>
      <c r="O2428" s="36"/>
      <c r="P2428" s="110"/>
    </row>
    <row r="2429" spans="1:16" hidden="1" x14ac:dyDescent="0.35">
      <c r="A2429" s="3">
        <f xml:space="preserve"> ROW( data_scaledImpacts[[#This Row],[row_id]] ) - ROW( data_scaledImpacts[[#Headers],[row_id]] )</f>
        <v>2428</v>
      </c>
      <c r="B2429" s="41" t="str">
        <f xml:space="preserve"> _xlfn.TEXTJOIN( "", , data_scaledImpacts[[#This Row],[sector]:[impactType]] )</f>
        <v>MarineFisheriesGISS-E2-R5N/A</v>
      </c>
      <c r="C2429" s="33" t="s">
        <v>223</v>
      </c>
      <c r="D2429" s="33" t="s">
        <v>2</v>
      </c>
      <c r="E2429" s="34">
        <v>5</v>
      </c>
      <c r="F2429" s="34"/>
      <c r="G2429" s="34" t="s">
        <v>201</v>
      </c>
      <c r="H2429" s="35"/>
      <c r="I2429" s="43" t="s">
        <v>65</v>
      </c>
      <c r="J2429" s="96"/>
      <c r="K2429" s="36"/>
      <c r="L2429" s="37"/>
      <c r="M2429" s="36"/>
      <c r="N2429" s="36"/>
      <c r="O2429" s="36"/>
      <c r="P2429" s="110"/>
    </row>
    <row r="2430" spans="1:16" hidden="1" x14ac:dyDescent="0.35">
      <c r="A2430" s="3">
        <f xml:space="preserve"> ROW( data_scaledImpacts[[#This Row],[row_id]] ) - ROW( data_scaledImpacts[[#Headers],[row_id]] )</f>
        <v>2429</v>
      </c>
      <c r="B2430" s="41" t="str">
        <f xml:space="preserve"> _xlfn.TEXTJOIN( "", , data_scaledImpacts[[#This Row],[sector]:[impactType]] )</f>
        <v>MarineFisheriesGISS-E2-R6N/A</v>
      </c>
      <c r="C2430" s="33" t="s">
        <v>223</v>
      </c>
      <c r="D2430" s="33" t="s">
        <v>2</v>
      </c>
      <c r="E2430" s="34">
        <v>6</v>
      </c>
      <c r="F2430" s="34"/>
      <c r="G2430" s="34" t="s">
        <v>201</v>
      </c>
      <c r="H2430" s="35"/>
      <c r="I2430" s="43" t="s">
        <v>72</v>
      </c>
      <c r="J2430" s="96"/>
      <c r="K2430" s="36"/>
      <c r="L2430" s="37"/>
      <c r="M2430" s="36"/>
      <c r="N2430" s="36"/>
      <c r="O2430" s="36"/>
      <c r="P2430" s="110"/>
    </row>
    <row r="2431" spans="1:16" hidden="1" x14ac:dyDescent="0.35">
      <c r="A2431" s="3">
        <f xml:space="preserve"> ROW( data_scaledImpacts[[#This Row],[row_id]] ) - ROW( data_scaledImpacts[[#Headers],[row_id]] )</f>
        <v>2430</v>
      </c>
      <c r="B2431" s="41" t="str">
        <f xml:space="preserve"> _xlfn.TEXTJOIN( "", , data_scaledImpacts[[#This Row],[sector]:[impactType]] )</f>
        <v>MarineFisheriesGISS-E2-R7N/A</v>
      </c>
      <c r="C2431" s="33" t="s">
        <v>223</v>
      </c>
      <c r="D2431" s="33" t="s">
        <v>2</v>
      </c>
      <c r="E2431" s="34">
        <v>7</v>
      </c>
      <c r="F2431" s="34"/>
      <c r="G2431" s="34" t="s">
        <v>201</v>
      </c>
      <c r="H2431" s="35"/>
      <c r="I2431" s="43" t="s">
        <v>79</v>
      </c>
      <c r="J2431" s="96"/>
      <c r="K2431" s="36"/>
      <c r="L2431" s="37"/>
      <c r="M2431" s="36"/>
      <c r="N2431" s="36"/>
      <c r="O2431" s="36"/>
      <c r="P2431" s="110"/>
    </row>
    <row r="2432" spans="1:16" hidden="1" x14ac:dyDescent="0.35">
      <c r="A2432" s="3">
        <f xml:space="preserve"> ROW( data_scaledImpacts[[#This Row],[row_id]] ) - ROW( data_scaledImpacts[[#Headers],[row_id]] )</f>
        <v>2431</v>
      </c>
      <c r="B2432" s="41" t="str">
        <f xml:space="preserve"> _xlfn.TEXTJOIN( "", , data_scaledImpacts[[#This Row],[sector]:[impactType]] )</f>
        <v>MarineFisheriesHadGEM2-ES1N/A</v>
      </c>
      <c r="C2432" s="33" t="s">
        <v>223</v>
      </c>
      <c r="D2432" s="33" t="s">
        <v>3</v>
      </c>
      <c r="E2432" s="34">
        <v>1</v>
      </c>
      <c r="F2432" s="34"/>
      <c r="G2432" s="34" t="s">
        <v>201</v>
      </c>
      <c r="H2432" s="35"/>
      <c r="I2432" s="43" t="s">
        <v>38</v>
      </c>
      <c r="J2432" s="96">
        <v>0</v>
      </c>
      <c r="K2432" s="36">
        <v>-101.89069729461932</v>
      </c>
      <c r="L2432" s="37">
        <v>0</v>
      </c>
      <c r="M2432" s="36">
        <v>-28.325029614495023</v>
      </c>
      <c r="N2432" s="36">
        <v>49.389925845990291</v>
      </c>
      <c r="O2432" s="36">
        <v>47.253596478335076</v>
      </c>
      <c r="P2432" s="110">
        <v>-17.267357883010348</v>
      </c>
    </row>
    <row r="2433" spans="1:16" hidden="1" x14ac:dyDescent="0.35">
      <c r="A2433" s="3">
        <f xml:space="preserve"> ROW( data_scaledImpacts[[#This Row],[row_id]] ) - ROW( data_scaledImpacts[[#Headers],[row_id]] )</f>
        <v>2432</v>
      </c>
      <c r="B2433" s="41" t="str">
        <f xml:space="preserve"> _xlfn.TEXTJOIN( "", , data_scaledImpacts[[#This Row],[sector]:[impactType]] )</f>
        <v>MarineFisheriesHadGEM2-ES2N/A</v>
      </c>
      <c r="C2433" s="33" t="s">
        <v>223</v>
      </c>
      <c r="D2433" s="33" t="s">
        <v>3</v>
      </c>
      <c r="E2433" s="34">
        <v>2</v>
      </c>
      <c r="F2433" s="34"/>
      <c r="G2433" s="34" t="s">
        <v>201</v>
      </c>
      <c r="H2433" s="35"/>
      <c r="I2433" s="43" t="s">
        <v>45</v>
      </c>
      <c r="J2433" s="96">
        <v>0</v>
      </c>
      <c r="K2433" s="36">
        <v>-203.78139458923863</v>
      </c>
      <c r="L2433" s="37">
        <v>0</v>
      </c>
      <c r="M2433" s="36">
        <v>-56.650059228990045</v>
      </c>
      <c r="N2433" s="36">
        <v>98.779851691980582</v>
      </c>
      <c r="O2433" s="36">
        <v>94.507192956670153</v>
      </c>
      <c r="P2433" s="110">
        <v>-34.534715766020696</v>
      </c>
    </row>
    <row r="2434" spans="1:16" hidden="1" x14ac:dyDescent="0.35">
      <c r="A2434" s="3">
        <f xml:space="preserve"> ROW( data_scaledImpacts[[#This Row],[row_id]] ) - ROW( data_scaledImpacts[[#Headers],[row_id]] )</f>
        <v>2433</v>
      </c>
      <c r="B2434" s="41" t="str">
        <f xml:space="preserve"> _xlfn.TEXTJOIN( "", , data_scaledImpacts[[#This Row],[sector]:[impactType]] )</f>
        <v>MarineFisheriesHadGEM2-ES3N/A</v>
      </c>
      <c r="C2434" s="33" t="s">
        <v>223</v>
      </c>
      <c r="D2434" s="33" t="s">
        <v>3</v>
      </c>
      <c r="E2434" s="34">
        <v>3</v>
      </c>
      <c r="F2434" s="34"/>
      <c r="G2434" s="34" t="s">
        <v>201</v>
      </c>
      <c r="H2434" s="35"/>
      <c r="I2434" s="43" t="s">
        <v>52</v>
      </c>
      <c r="J2434" s="96">
        <v>0</v>
      </c>
      <c r="K2434" s="36">
        <v>-174.03800576027666</v>
      </c>
      <c r="L2434" s="37">
        <v>0</v>
      </c>
      <c r="M2434" s="36">
        <v>-42.933632709267343</v>
      </c>
      <c r="N2434" s="36">
        <v>103.90823293028228</v>
      </c>
      <c r="O2434" s="36">
        <v>91.982425836270238</v>
      </c>
      <c r="P2434" s="110">
        <v>-26.172978856454968</v>
      </c>
    </row>
    <row r="2435" spans="1:16" hidden="1" x14ac:dyDescent="0.35">
      <c r="A2435" s="3">
        <f xml:space="preserve"> ROW( data_scaledImpacts[[#This Row],[row_id]] ) - ROW( data_scaledImpacts[[#Headers],[row_id]] )</f>
        <v>2434</v>
      </c>
      <c r="B2435" s="41" t="str">
        <f xml:space="preserve"> _xlfn.TEXTJOIN( "", , data_scaledImpacts[[#This Row],[sector]:[impactType]] )</f>
        <v>MarineFisheriesHadGEM2-ES4N/A</v>
      </c>
      <c r="C2435" s="33" t="s">
        <v>223</v>
      </c>
      <c r="D2435" s="33" t="s">
        <v>3</v>
      </c>
      <c r="E2435" s="34">
        <v>4</v>
      </c>
      <c r="F2435" s="34"/>
      <c r="G2435" s="34" t="s">
        <v>201</v>
      </c>
      <c r="H2435" s="35"/>
      <c r="I2435" s="43" t="s">
        <v>59</v>
      </c>
      <c r="J2435" s="96">
        <v>0</v>
      </c>
      <c r="K2435" s="36">
        <v>-146.6847243389532</v>
      </c>
      <c r="L2435" s="37">
        <v>0</v>
      </c>
      <c r="M2435" s="36">
        <v>-31.277694499565364</v>
      </c>
      <c r="N2435" s="36">
        <v>110.97527017635444</v>
      </c>
      <c r="O2435" s="36">
        <v>91.01587267222412</v>
      </c>
      <c r="P2435" s="110">
        <v>-19.067346160975468</v>
      </c>
    </row>
    <row r="2436" spans="1:16" hidden="1" x14ac:dyDescent="0.35">
      <c r="A2436" s="3">
        <f xml:space="preserve"> ROW( data_scaledImpacts[[#This Row],[row_id]] ) - ROW( data_scaledImpacts[[#Headers],[row_id]] )</f>
        <v>2435</v>
      </c>
      <c r="B2436" s="41" t="str">
        <f xml:space="preserve"> _xlfn.TEXTJOIN( "", , data_scaledImpacts[[#This Row],[sector]:[impactType]] )</f>
        <v>MarineFisheriesHadGEM2-ES5N/A</v>
      </c>
      <c r="C2436" s="33" t="s">
        <v>223</v>
      </c>
      <c r="D2436" s="33" t="s">
        <v>3</v>
      </c>
      <c r="E2436" s="34">
        <v>5</v>
      </c>
      <c r="F2436" s="34"/>
      <c r="G2436" s="34" t="s">
        <v>201</v>
      </c>
      <c r="H2436" s="35"/>
      <c r="I2436" s="43" t="s">
        <v>66</v>
      </c>
      <c r="J2436" s="96">
        <v>0</v>
      </c>
      <c r="K2436" s="36">
        <v>-126.72425761171091</v>
      </c>
      <c r="L2436" s="37">
        <v>0</v>
      </c>
      <c r="M2436" s="36">
        <v>-20.88111146710261</v>
      </c>
      <c r="N2436" s="36">
        <v>117.00741730223079</v>
      </c>
      <c r="O2436" s="36">
        <v>90.815106673391952</v>
      </c>
      <c r="P2436" s="110">
        <v>-12.729435047544587</v>
      </c>
    </row>
    <row r="2437" spans="1:16" hidden="1" x14ac:dyDescent="0.35">
      <c r="A2437" s="3">
        <f xml:space="preserve"> ROW( data_scaledImpacts[[#This Row],[row_id]] ) - ROW( data_scaledImpacts[[#Headers],[row_id]] )</f>
        <v>2436</v>
      </c>
      <c r="B2437" s="41" t="str">
        <f xml:space="preserve"> _xlfn.TEXTJOIN( "", , data_scaledImpacts[[#This Row],[sector]:[impactType]] )</f>
        <v>MarineFisheriesHadGEM2-ES6N/A</v>
      </c>
      <c r="C2437" s="33" t="s">
        <v>223</v>
      </c>
      <c r="D2437" s="33" t="s">
        <v>3</v>
      </c>
      <c r="E2437" s="34">
        <v>6</v>
      </c>
      <c r="F2437" s="34"/>
      <c r="G2437" s="34" t="s">
        <v>201</v>
      </c>
      <c r="H2437" s="35"/>
      <c r="I2437" s="43" t="s">
        <v>73</v>
      </c>
      <c r="J2437" s="96">
        <v>0</v>
      </c>
      <c r="K2437" s="36">
        <v>-115.09360998580104</v>
      </c>
      <c r="L2437" s="37">
        <v>0</v>
      </c>
      <c r="M2437" s="36">
        <v>-13.135761023147413</v>
      </c>
      <c r="N2437" s="36">
        <v>115.5823275156703</v>
      </c>
      <c r="O2437" s="36">
        <v>87.850011510144284</v>
      </c>
      <c r="P2437" s="110">
        <v>-8.0077546163027282</v>
      </c>
    </row>
    <row r="2438" spans="1:16" hidden="1" x14ac:dyDescent="0.35">
      <c r="A2438" s="3">
        <f xml:space="preserve"> ROW( data_scaledImpacts[[#This Row],[row_id]] ) - ROW( data_scaledImpacts[[#Headers],[row_id]] )</f>
        <v>2437</v>
      </c>
      <c r="B2438" s="41" t="str">
        <f xml:space="preserve"> _xlfn.TEXTJOIN( "", , data_scaledImpacts[[#This Row],[sector]:[impactType]] )</f>
        <v>MarineFisheriesHadGEM2-ES7N/A</v>
      </c>
      <c r="C2438" s="33" t="s">
        <v>223</v>
      </c>
      <c r="D2438" s="33" t="s">
        <v>3</v>
      </c>
      <c r="E2438" s="34">
        <v>7</v>
      </c>
      <c r="F2438" s="34"/>
      <c r="G2438" s="34" t="s">
        <v>201</v>
      </c>
      <c r="H2438" s="35"/>
      <c r="I2438" s="43" t="s">
        <v>80</v>
      </c>
      <c r="J2438" s="96"/>
      <c r="K2438" s="36"/>
      <c r="L2438" s="37"/>
      <c r="M2438" s="36"/>
      <c r="N2438" s="36"/>
      <c r="O2438" s="36"/>
      <c r="P2438" s="110"/>
    </row>
    <row r="2439" spans="1:16" hidden="1" x14ac:dyDescent="0.35">
      <c r="A2439" s="3">
        <f xml:space="preserve"> ROW( data_scaledImpacts[[#This Row],[row_id]] ) - ROW( data_scaledImpacts[[#Headers],[row_id]] )</f>
        <v>2438</v>
      </c>
      <c r="B2439" s="41" t="str">
        <f xml:space="preserve"> _xlfn.TEXTJOIN( "", , data_scaledImpacts[[#This Row],[sector]:[impactType]] )</f>
        <v>MarineFisheriesMIROC51N/A</v>
      </c>
      <c r="C2439" s="33" t="s">
        <v>223</v>
      </c>
      <c r="D2439" s="33" t="s">
        <v>4</v>
      </c>
      <c r="E2439" s="34">
        <v>1</v>
      </c>
      <c r="F2439" s="34"/>
      <c r="G2439" s="34" t="s">
        <v>201</v>
      </c>
      <c r="H2439" s="35"/>
      <c r="I2439" s="43" t="s">
        <v>39</v>
      </c>
      <c r="J2439" s="96">
        <v>0</v>
      </c>
      <c r="K2439" s="36">
        <v>-94.043350309720196</v>
      </c>
      <c r="L2439" s="37">
        <v>0</v>
      </c>
      <c r="M2439" s="36">
        <v>-23.198508343203493</v>
      </c>
      <c r="N2439" s="36">
        <v>44.055177025687051</v>
      </c>
      <c r="O2439" s="36">
        <v>42.731629588839937</v>
      </c>
      <c r="P2439" s="110">
        <v>-14.142154531379735</v>
      </c>
    </row>
    <row r="2440" spans="1:16" hidden="1" x14ac:dyDescent="0.35">
      <c r="A2440" s="3">
        <f xml:space="preserve"> ROW( data_scaledImpacts[[#This Row],[row_id]] ) - ROW( data_scaledImpacts[[#Headers],[row_id]] )</f>
        <v>2439</v>
      </c>
      <c r="B2440" s="41" t="str">
        <f xml:space="preserve"> _xlfn.TEXTJOIN( "", , data_scaledImpacts[[#This Row],[sector]:[impactType]] )</f>
        <v>MarineFisheriesMIROC52N/A</v>
      </c>
      <c r="C2440" s="33" t="s">
        <v>223</v>
      </c>
      <c r="D2440" s="33" t="s">
        <v>4</v>
      </c>
      <c r="E2440" s="34">
        <v>2</v>
      </c>
      <c r="F2440" s="34"/>
      <c r="G2440" s="34" t="s">
        <v>201</v>
      </c>
      <c r="H2440" s="35"/>
      <c r="I2440" s="43" t="s">
        <v>46</v>
      </c>
      <c r="J2440" s="96">
        <v>0</v>
      </c>
      <c r="K2440" s="36">
        <v>-188.08670061944039</v>
      </c>
      <c r="L2440" s="37">
        <v>0</v>
      </c>
      <c r="M2440" s="36">
        <v>-46.397016686406985</v>
      </c>
      <c r="N2440" s="36">
        <v>88.110354051374102</v>
      </c>
      <c r="O2440" s="36">
        <v>85.463259177679873</v>
      </c>
      <c r="P2440" s="110">
        <v>-28.284309062759469</v>
      </c>
    </row>
    <row r="2441" spans="1:16" hidden="1" x14ac:dyDescent="0.35">
      <c r="A2441" s="3">
        <f xml:space="preserve"> ROW( data_scaledImpacts[[#This Row],[row_id]] ) - ROW( data_scaledImpacts[[#Headers],[row_id]] )</f>
        <v>2440</v>
      </c>
      <c r="B2441" s="41" t="str">
        <f xml:space="preserve"> _xlfn.TEXTJOIN( "", , data_scaledImpacts[[#This Row],[sector]:[impactType]] )</f>
        <v>MarineFisheriesMIROC53N/A</v>
      </c>
      <c r="C2441" s="33" t="s">
        <v>223</v>
      </c>
      <c r="D2441" s="33" t="s">
        <v>4</v>
      </c>
      <c r="E2441" s="34">
        <v>3</v>
      </c>
      <c r="F2441" s="34"/>
      <c r="G2441" s="34" t="s">
        <v>201</v>
      </c>
      <c r="H2441" s="35"/>
      <c r="I2441" s="43" t="s">
        <v>53</v>
      </c>
      <c r="J2441" s="96">
        <v>0</v>
      </c>
      <c r="K2441" s="36">
        <v>-185.43684924372658</v>
      </c>
      <c r="L2441" s="37">
        <v>0</v>
      </c>
      <c r="M2441" s="36">
        <v>-33.29055450137993</v>
      </c>
      <c r="N2441" s="36">
        <v>83.532984599004621</v>
      </c>
      <c r="O2441" s="36">
        <v>82.335827036648595</v>
      </c>
      <c r="P2441" s="110">
        <v>-20.294415452438567</v>
      </c>
    </row>
    <row r="2442" spans="1:16" hidden="1" x14ac:dyDescent="0.35">
      <c r="A2442" s="3">
        <f xml:space="preserve"> ROW( data_scaledImpacts[[#This Row],[row_id]] ) - ROW( data_scaledImpacts[[#Headers],[row_id]] )</f>
        <v>2441</v>
      </c>
      <c r="B2442" s="41" t="str">
        <f xml:space="preserve"> _xlfn.TEXTJOIN( "", , data_scaledImpacts[[#This Row],[sector]:[impactType]] )</f>
        <v>MarineFisheriesMIROC54N/A</v>
      </c>
      <c r="C2442" s="33" t="s">
        <v>223</v>
      </c>
      <c r="D2442" s="33" t="s">
        <v>4</v>
      </c>
      <c r="E2442" s="34">
        <v>4</v>
      </c>
      <c r="F2442" s="34"/>
      <c r="G2442" s="34" t="s">
        <v>201</v>
      </c>
      <c r="H2442" s="35"/>
      <c r="I2442" s="43" t="s">
        <v>60</v>
      </c>
      <c r="J2442" s="96">
        <v>0</v>
      </c>
      <c r="K2442" s="36">
        <v>-181.94235830852028</v>
      </c>
      <c r="L2442" s="37">
        <v>0</v>
      </c>
      <c r="M2442" s="36">
        <v>-25.055038563419295</v>
      </c>
      <c r="N2442" s="36">
        <v>77.036759234693633</v>
      </c>
      <c r="O2442" s="36">
        <v>77.946417365280624</v>
      </c>
      <c r="P2442" s="110">
        <v>-15.273922870879922</v>
      </c>
    </row>
    <row r="2443" spans="1:16" hidden="1" x14ac:dyDescent="0.35">
      <c r="A2443" s="3">
        <f xml:space="preserve"> ROW( data_scaledImpacts[[#This Row],[row_id]] ) - ROW( data_scaledImpacts[[#Headers],[row_id]] )</f>
        <v>2442</v>
      </c>
      <c r="B2443" s="41" t="str">
        <f xml:space="preserve"> _xlfn.TEXTJOIN( "", , data_scaledImpacts[[#This Row],[sector]:[impactType]] )</f>
        <v>MarineFisheriesMIROC55N/A</v>
      </c>
      <c r="C2443" s="33" t="s">
        <v>223</v>
      </c>
      <c r="D2443" s="33" t="s">
        <v>4</v>
      </c>
      <c r="E2443" s="34">
        <v>5</v>
      </c>
      <c r="F2443" s="34"/>
      <c r="G2443" s="34" t="s">
        <v>201</v>
      </c>
      <c r="H2443" s="35"/>
      <c r="I2443" s="43" t="s">
        <v>67</v>
      </c>
      <c r="J2443" s="96">
        <v>0</v>
      </c>
      <c r="K2443" s="36">
        <v>-166.74107016685636</v>
      </c>
      <c r="L2443" s="37">
        <v>0</v>
      </c>
      <c r="M2443" s="36">
        <v>-16.595070838944899</v>
      </c>
      <c r="N2443" s="36">
        <v>76.605102025031258</v>
      </c>
      <c r="O2443" s="36">
        <v>74.896037071156286</v>
      </c>
      <c r="P2443" s="110">
        <v>-10.116601153466444</v>
      </c>
    </row>
    <row r="2444" spans="1:16" hidden="1" x14ac:dyDescent="0.35">
      <c r="A2444" s="3">
        <f xml:space="preserve"> ROW( data_scaledImpacts[[#This Row],[row_id]] ) - ROW( data_scaledImpacts[[#Headers],[row_id]] )</f>
        <v>2443</v>
      </c>
      <c r="B2444" s="41" t="str">
        <f xml:space="preserve"> _xlfn.TEXTJOIN( "", , data_scaledImpacts[[#This Row],[sector]:[impactType]] )</f>
        <v>MarineFisheriesMIROC56N/A</v>
      </c>
      <c r="C2444" s="33" t="s">
        <v>223</v>
      </c>
      <c r="D2444" s="33" t="s">
        <v>4</v>
      </c>
      <c r="E2444" s="34">
        <v>6</v>
      </c>
      <c r="F2444" s="34"/>
      <c r="G2444" s="34" t="s">
        <v>201</v>
      </c>
      <c r="H2444" s="35"/>
      <c r="I2444" s="43" t="s">
        <v>74</v>
      </c>
      <c r="J2444" s="96"/>
      <c r="K2444" s="36"/>
      <c r="L2444" s="37"/>
      <c r="M2444" s="36"/>
      <c r="N2444" s="36"/>
      <c r="O2444" s="36"/>
      <c r="P2444" s="110"/>
    </row>
    <row r="2445" spans="1:16" hidden="1" x14ac:dyDescent="0.35">
      <c r="A2445" s="3">
        <f xml:space="preserve"> ROW( data_scaledImpacts[[#This Row],[row_id]] ) - ROW( data_scaledImpacts[[#Headers],[row_id]] )</f>
        <v>2444</v>
      </c>
      <c r="B2445" s="41" t="str">
        <f xml:space="preserve"> _xlfn.TEXTJOIN( "", , data_scaledImpacts[[#This Row],[sector]:[impactType]] )</f>
        <v>MarineFisheriesMIROC57N/A</v>
      </c>
      <c r="C2445" s="33" t="s">
        <v>223</v>
      </c>
      <c r="D2445" s="33" t="s">
        <v>4</v>
      </c>
      <c r="E2445" s="34">
        <v>7</v>
      </c>
      <c r="F2445" s="34"/>
      <c r="G2445" s="34" t="s">
        <v>201</v>
      </c>
      <c r="H2445" s="35"/>
      <c r="I2445" s="43" t="s">
        <v>81</v>
      </c>
      <c r="J2445" s="96"/>
      <c r="K2445" s="36"/>
      <c r="L2445" s="37"/>
      <c r="M2445" s="36"/>
      <c r="N2445" s="36"/>
      <c r="O2445" s="36"/>
      <c r="P2445" s="110"/>
    </row>
    <row r="2446" spans="1:16" hidden="1" x14ac:dyDescent="0.35">
      <c r="A2446" s="3">
        <f xml:space="preserve"> ROW( data_scaledImpacts[[#This Row],[row_id]] ) - ROW( data_scaledImpacts[[#Headers],[row_id]] )</f>
        <v>2445</v>
      </c>
      <c r="B2446" s="41" t="str">
        <f xml:space="preserve"> _xlfn.TEXTJOIN( "", , data_scaledImpacts[[#This Row],[sector]:[impactType]] )</f>
        <v>MarineFisheriesGCM Average1N/A</v>
      </c>
      <c r="C2446" s="33" t="s">
        <v>223</v>
      </c>
      <c r="D2446" s="33" t="s">
        <v>15</v>
      </c>
      <c r="E2446" s="34">
        <v>1</v>
      </c>
      <c r="F2446" s="34"/>
      <c r="G2446" s="34" t="s">
        <v>201</v>
      </c>
      <c r="H2446" s="35"/>
      <c r="I2446" s="43" t="s">
        <v>41</v>
      </c>
      <c r="J2446" s="96">
        <v>0</v>
      </c>
      <c r="K2446" s="36">
        <v>-112.95533695619747</v>
      </c>
      <c r="L2446" s="37">
        <v>0</v>
      </c>
      <c r="M2446" s="36">
        <v>-25.553623785487421</v>
      </c>
      <c r="N2446" s="36">
        <v>58.253110616271975</v>
      </c>
      <c r="O2446" s="36">
        <v>54.402809548432977</v>
      </c>
      <c r="P2446" s="110">
        <v>-15.577867812219877</v>
      </c>
    </row>
    <row r="2447" spans="1:16" hidden="1" x14ac:dyDescent="0.35">
      <c r="A2447" s="3">
        <f xml:space="preserve"> ROW( data_scaledImpacts[[#This Row],[row_id]] ) - ROW( data_scaledImpacts[[#Headers],[row_id]] )</f>
        <v>2446</v>
      </c>
      <c r="B2447" s="41" t="str">
        <f xml:space="preserve"> _xlfn.TEXTJOIN( "", , data_scaledImpacts[[#This Row],[sector]:[impactType]] )</f>
        <v>MarineFisheriesGCM Average2N/A</v>
      </c>
      <c r="C2447" s="33" t="s">
        <v>223</v>
      </c>
      <c r="D2447" s="33" t="s">
        <v>15</v>
      </c>
      <c r="E2447" s="34">
        <v>2</v>
      </c>
      <c r="F2447" s="34"/>
      <c r="G2447" s="34" t="s">
        <v>201</v>
      </c>
      <c r="H2447" s="35"/>
      <c r="I2447" s="43" t="s">
        <v>48</v>
      </c>
      <c r="J2447" s="96">
        <v>0</v>
      </c>
      <c r="K2447" s="36">
        <v>-194.32351657304972</v>
      </c>
      <c r="L2447" s="37">
        <v>0</v>
      </c>
      <c r="M2447" s="36">
        <v>-40.928810832914927</v>
      </c>
      <c r="N2447" s="36">
        <v>98.628044680261141</v>
      </c>
      <c r="O2447" s="36">
        <v>92.676637066178088</v>
      </c>
      <c r="P2447" s="110">
        <v>-24.950809725413666</v>
      </c>
    </row>
    <row r="2448" spans="1:16" hidden="1" x14ac:dyDescent="0.35">
      <c r="A2448" s="3">
        <f xml:space="preserve"> ROW( data_scaledImpacts[[#This Row],[row_id]] ) - ROW( data_scaledImpacts[[#Headers],[row_id]] )</f>
        <v>2447</v>
      </c>
      <c r="B2448" s="41" t="str">
        <f xml:space="preserve"> _xlfn.TEXTJOIN( "", , data_scaledImpacts[[#This Row],[sector]:[impactType]] )</f>
        <v>MarineFisheriesGCM Average3N/A</v>
      </c>
      <c r="C2448" s="33" t="s">
        <v>223</v>
      </c>
      <c r="D2448" s="33" t="s">
        <v>15</v>
      </c>
      <c r="E2448" s="34">
        <v>3</v>
      </c>
      <c r="F2448" s="34"/>
      <c r="G2448" s="34" t="s">
        <v>201</v>
      </c>
      <c r="H2448" s="35"/>
      <c r="I2448" s="43" t="s">
        <v>55</v>
      </c>
      <c r="J2448" s="96">
        <v>0</v>
      </c>
      <c r="K2448" s="36">
        <v>-190.10360391865424</v>
      </c>
      <c r="L2448" s="37">
        <v>0</v>
      </c>
      <c r="M2448" s="36">
        <v>-22.802135603946212</v>
      </c>
      <c r="N2448" s="36">
        <v>91.87696457876028</v>
      </c>
      <c r="O2448" s="36">
        <v>88.006600043543116</v>
      </c>
      <c r="P2448" s="110">
        <v>-13.900519834541784</v>
      </c>
    </row>
    <row r="2449" spans="1:16" hidden="1" x14ac:dyDescent="0.35">
      <c r="A2449" s="3">
        <f xml:space="preserve"> ROW( data_scaledImpacts[[#This Row],[row_id]] ) - ROW( data_scaledImpacts[[#Headers],[row_id]] )</f>
        <v>2448</v>
      </c>
      <c r="B2449" s="41" t="str">
        <f xml:space="preserve"> _xlfn.TEXTJOIN( "", , data_scaledImpacts[[#This Row],[sector]:[impactType]] )</f>
        <v>MarineFisheriesGCM Average4N/A</v>
      </c>
      <c r="C2449" s="33" t="s">
        <v>223</v>
      </c>
      <c r="D2449" s="33" t="s">
        <v>15</v>
      </c>
      <c r="E2449" s="34">
        <v>4</v>
      </c>
      <c r="F2449" s="34"/>
      <c r="G2449" s="34" t="s">
        <v>201</v>
      </c>
      <c r="H2449" s="35"/>
      <c r="I2449" s="43" t="s">
        <v>62</v>
      </c>
      <c r="J2449" s="96">
        <v>0</v>
      </c>
      <c r="K2449" s="36">
        <v>-185.74683018724761</v>
      </c>
      <c r="L2449" s="37">
        <v>0</v>
      </c>
      <c r="M2449" s="36">
        <v>-14.174156850484113</v>
      </c>
      <c r="N2449" s="36">
        <v>83.799926092843748</v>
      </c>
      <c r="O2449" s="36">
        <v>82.546859694663368</v>
      </c>
      <c r="P2449" s="110">
        <v>-8.6407761036190784</v>
      </c>
    </row>
    <row r="2450" spans="1:16" hidden="1" x14ac:dyDescent="0.35">
      <c r="A2450" s="3">
        <f xml:space="preserve"> ROW( data_scaledImpacts[[#This Row],[row_id]] ) - ROW( data_scaledImpacts[[#Headers],[row_id]] )</f>
        <v>2449</v>
      </c>
      <c r="B2450" s="41" t="str">
        <f xml:space="preserve"> _xlfn.TEXTJOIN( "", , data_scaledImpacts[[#This Row],[sector]:[impactType]] )</f>
        <v>MarineFisheriesGCM Average5N/A</v>
      </c>
      <c r="C2450" s="33" t="s">
        <v>223</v>
      </c>
      <c r="D2450" s="33" t="s">
        <v>15</v>
      </c>
      <c r="E2450" s="34">
        <v>5</v>
      </c>
      <c r="F2450" s="34"/>
      <c r="G2450" s="34" t="s">
        <v>201</v>
      </c>
      <c r="H2450" s="35"/>
      <c r="I2450" s="43" t="s">
        <v>69</v>
      </c>
      <c r="J2450" s="96">
        <v>0</v>
      </c>
      <c r="K2450" s="36">
        <v>-172.03982365515111</v>
      </c>
      <c r="L2450" s="37">
        <v>0</v>
      </c>
      <c r="M2450" s="36">
        <v>-6.7562331165201055</v>
      </c>
      <c r="N2450" s="36">
        <v>84.156148013966998</v>
      </c>
      <c r="O2450" s="36">
        <v>80.22611807753475</v>
      </c>
      <c r="P2450" s="110">
        <v>-4.1186998478652281</v>
      </c>
    </row>
    <row r="2451" spans="1:16" hidden="1" x14ac:dyDescent="0.35">
      <c r="A2451" s="3">
        <f xml:space="preserve"> ROW( data_scaledImpacts[[#This Row],[row_id]] ) - ROW( data_scaledImpacts[[#Headers],[row_id]] )</f>
        <v>2450</v>
      </c>
      <c r="B2451" s="41" t="str">
        <f xml:space="preserve"> _xlfn.TEXTJOIN( "", , data_scaledImpacts[[#This Row],[sector]:[impactType]] )</f>
        <v>MarineFisheriesGCM Average6N/A</v>
      </c>
      <c r="C2451" s="33" t="s">
        <v>223</v>
      </c>
      <c r="D2451" s="33" t="s">
        <v>15</v>
      </c>
      <c r="E2451" s="34">
        <v>6</v>
      </c>
      <c r="F2451" s="34"/>
      <c r="G2451" s="34" t="s">
        <v>201</v>
      </c>
      <c r="H2451" s="35"/>
      <c r="I2451" s="43" t="s">
        <v>76</v>
      </c>
      <c r="J2451" s="96">
        <v>0</v>
      </c>
      <c r="K2451" s="36">
        <v>-140.91137824635146</v>
      </c>
      <c r="L2451" s="37">
        <v>0</v>
      </c>
      <c r="M2451" s="36">
        <v>13.009278731099783</v>
      </c>
      <c r="N2451" s="36">
        <v>82.641059940365224</v>
      </c>
      <c r="O2451" s="36">
        <v>73.615804284608018</v>
      </c>
      <c r="P2451" s="110">
        <v>7.9306491363659406</v>
      </c>
    </row>
    <row r="2452" spans="1:16" hidden="1" x14ac:dyDescent="0.35">
      <c r="A2452" s="3">
        <f xml:space="preserve"> ROW( data_scaledImpacts[[#This Row],[row_id]] ) - ROW( data_scaledImpacts[[#Headers],[row_id]] )</f>
        <v>2451</v>
      </c>
      <c r="B2452" s="41" t="str">
        <f xml:space="preserve"> _xlfn.TEXTJOIN( "", , data_scaledImpacts[[#This Row],[sector]:[impactType]] )</f>
        <v>MarineFisheriesGCM Average7N/A</v>
      </c>
      <c r="C2452" s="33" t="s">
        <v>223</v>
      </c>
      <c r="D2452" s="33" t="s">
        <v>15</v>
      </c>
      <c r="E2452" s="34">
        <v>7</v>
      </c>
      <c r="F2452" s="34"/>
      <c r="G2452" s="34" t="s">
        <v>201</v>
      </c>
      <c r="H2452" s="35"/>
      <c r="I2452" s="43" t="s">
        <v>83</v>
      </c>
      <c r="J2452" s="111"/>
      <c r="K2452" s="38"/>
      <c r="L2452" s="39"/>
      <c r="M2452" s="38"/>
      <c r="N2452" s="38"/>
      <c r="O2452" s="38"/>
      <c r="P2452" s="110"/>
    </row>
    <row r="2453" spans="1:16" hidden="1" x14ac:dyDescent="0.35">
      <c r="A2453" s="3">
        <f xml:space="preserve"> ROW( data_scaledImpacts[[#This Row],[row_id]] ) - ROW( data_scaledImpacts[[#Headers],[row_id]] )</f>
        <v>2452</v>
      </c>
      <c r="B2453" s="41" t="str">
        <f xml:space="preserve"> _xlfn.TEXTJOIN( "", , data_scaledImpacts[[#This Row],[sector]:[impactType]] )</f>
        <v>CILAgricultureCanESM21With CO2 FertilizationCotton</v>
      </c>
      <c r="C2453" s="33" t="s">
        <v>1224</v>
      </c>
      <c r="D2453" s="33" t="s">
        <v>0</v>
      </c>
      <c r="E2453" s="34">
        <v>1</v>
      </c>
      <c r="F2453" s="34"/>
      <c r="G2453" s="34" t="s">
        <v>1160</v>
      </c>
      <c r="H2453" t="s">
        <v>1161</v>
      </c>
      <c r="I2453" s="43" t="s">
        <v>35</v>
      </c>
      <c r="J2453" s="96">
        <v>833955.67567921046</v>
      </c>
      <c r="K2453" s="36">
        <v>0</v>
      </c>
      <c r="L2453" s="36">
        <v>0</v>
      </c>
      <c r="M2453" s="36">
        <v>0</v>
      </c>
      <c r="N2453" s="36">
        <v>125950996.54435354</v>
      </c>
      <c r="O2453" s="36">
        <v>151670614.01587898</v>
      </c>
      <c r="P2453" s="110">
        <v>-127193740.57073744</v>
      </c>
    </row>
    <row r="2454" spans="1:16" hidden="1" x14ac:dyDescent="0.35">
      <c r="A2454" s="3">
        <f xml:space="preserve"> ROW( data_scaledImpacts[[#This Row],[row_id]] ) - ROW( data_scaledImpacts[[#Headers],[row_id]] )</f>
        <v>2453</v>
      </c>
      <c r="B2454" s="41" t="str">
        <f xml:space="preserve"> _xlfn.TEXTJOIN( "", , data_scaledImpacts[[#This Row],[sector]:[impactType]] )</f>
        <v>CILAgricultureCanESM22With CO2 FertilizationCotton</v>
      </c>
      <c r="C2454" s="33" t="s">
        <v>1224</v>
      </c>
      <c r="D2454" s="33" t="s">
        <v>0</v>
      </c>
      <c r="E2454" s="34">
        <v>2</v>
      </c>
      <c r="F2454" s="34"/>
      <c r="G2454" s="34" t="s">
        <v>1160</v>
      </c>
      <c r="H2454" t="s">
        <v>1161</v>
      </c>
      <c r="I2454" s="43" t="s">
        <v>42</v>
      </c>
      <c r="J2454" s="96">
        <v>-12732448.328550521</v>
      </c>
      <c r="K2454" s="36">
        <v>0</v>
      </c>
      <c r="L2454" s="36">
        <v>0</v>
      </c>
      <c r="M2454" s="36">
        <v>0</v>
      </c>
      <c r="N2454" s="36">
        <v>37241404.299913421</v>
      </c>
      <c r="O2454" s="36">
        <v>191019368.85300586</v>
      </c>
      <c r="P2454" s="110">
        <v>71988807.196545109</v>
      </c>
    </row>
    <row r="2455" spans="1:16" hidden="1" x14ac:dyDescent="0.35">
      <c r="A2455" s="3">
        <f xml:space="preserve"> ROW( data_scaledImpacts[[#This Row],[row_id]] ) - ROW( data_scaledImpacts[[#Headers],[row_id]] )</f>
        <v>2454</v>
      </c>
      <c r="B2455" s="41" t="str">
        <f xml:space="preserve"> _xlfn.TEXTJOIN( "", , data_scaledImpacts[[#This Row],[sector]:[impactType]] )</f>
        <v>CILAgricultureCanESM23With CO2 FertilizationCotton</v>
      </c>
      <c r="C2455" s="33" t="s">
        <v>1224</v>
      </c>
      <c r="D2455" s="33" t="s">
        <v>0</v>
      </c>
      <c r="E2455" s="34">
        <v>3</v>
      </c>
      <c r="F2455" s="34"/>
      <c r="G2455" s="34" t="s">
        <v>1160</v>
      </c>
      <c r="H2455" t="s">
        <v>1161</v>
      </c>
      <c r="I2455" s="43" t="s">
        <v>49</v>
      </c>
      <c r="J2455" s="96">
        <v>-6504223.9529707134</v>
      </c>
      <c r="K2455" s="36">
        <v>0</v>
      </c>
      <c r="L2455" s="36">
        <v>0</v>
      </c>
      <c r="M2455" s="36">
        <v>0</v>
      </c>
      <c r="N2455" s="36">
        <v>209005729.56194946</v>
      </c>
      <c r="O2455" s="36">
        <v>308245503.23347974</v>
      </c>
      <c r="P2455" s="110">
        <v>325202407.30808288</v>
      </c>
    </row>
    <row r="2456" spans="1:16" hidden="1" x14ac:dyDescent="0.35">
      <c r="A2456" s="3">
        <f xml:space="preserve"> ROW( data_scaledImpacts[[#This Row],[row_id]] ) - ROW( data_scaledImpacts[[#Headers],[row_id]] )</f>
        <v>2455</v>
      </c>
      <c r="B2456" s="41" t="str">
        <f xml:space="preserve"> _xlfn.TEXTJOIN( "", , data_scaledImpacts[[#This Row],[sector]:[impactType]] )</f>
        <v>CILAgricultureCanESM24With CO2 FertilizationCotton</v>
      </c>
      <c r="C2456" s="33" t="s">
        <v>1224</v>
      </c>
      <c r="D2456" s="33" t="s">
        <v>0</v>
      </c>
      <c r="E2456" s="34">
        <v>4</v>
      </c>
      <c r="F2456" s="34"/>
      <c r="G2456" s="34" t="s">
        <v>1160</v>
      </c>
      <c r="H2456" t="s">
        <v>1161</v>
      </c>
      <c r="I2456" s="43" t="s">
        <v>56</v>
      </c>
      <c r="J2456" s="96">
        <v>-14681336.323140062</v>
      </c>
      <c r="K2456" s="36">
        <v>0</v>
      </c>
      <c r="L2456" s="36">
        <v>0</v>
      </c>
      <c r="M2456" s="36">
        <v>0</v>
      </c>
      <c r="N2456" s="36">
        <v>54582452.595017903</v>
      </c>
      <c r="O2456" s="36">
        <v>315797887.28564888</v>
      </c>
      <c r="P2456" s="110">
        <v>368195342.23311549</v>
      </c>
    </row>
    <row r="2457" spans="1:16" hidden="1" x14ac:dyDescent="0.35">
      <c r="A2457" s="3">
        <f xml:space="preserve"> ROW( data_scaledImpacts[[#This Row],[row_id]] ) - ROW( data_scaledImpacts[[#Headers],[row_id]] )</f>
        <v>2456</v>
      </c>
      <c r="B2457" s="41" t="str">
        <f xml:space="preserve"> _xlfn.TEXTJOIN( "", , data_scaledImpacts[[#This Row],[sector]:[impactType]] )</f>
        <v>CILAgricultureCanESM25With CO2 FertilizationCotton</v>
      </c>
      <c r="C2457" s="33" t="s">
        <v>1224</v>
      </c>
      <c r="D2457" s="33" t="s">
        <v>0</v>
      </c>
      <c r="E2457" s="34">
        <v>5</v>
      </c>
      <c r="F2457" s="34"/>
      <c r="G2457" s="34" t="s">
        <v>1160</v>
      </c>
      <c r="H2457" t="s">
        <v>1161</v>
      </c>
      <c r="I2457" s="43" t="s">
        <v>63</v>
      </c>
      <c r="J2457" s="96">
        <v>-3769537.6288897921</v>
      </c>
      <c r="K2457" s="36">
        <v>0</v>
      </c>
      <c r="L2457" s="36">
        <v>0</v>
      </c>
      <c r="M2457" s="36">
        <v>0</v>
      </c>
      <c r="N2457" s="36">
        <v>334041101.73899299</v>
      </c>
      <c r="O2457" s="36">
        <v>394774897.08634967</v>
      </c>
      <c r="P2457" s="110">
        <v>556725000.5024792</v>
      </c>
    </row>
    <row r="2458" spans="1:16" hidden="1" x14ac:dyDescent="0.35">
      <c r="A2458" s="3">
        <f xml:space="preserve"> ROW( data_scaledImpacts[[#This Row],[row_id]] ) - ROW( data_scaledImpacts[[#Headers],[row_id]] )</f>
        <v>2457</v>
      </c>
      <c r="B2458" s="41" t="str">
        <f xml:space="preserve"> _xlfn.TEXTJOIN( "", , data_scaledImpacts[[#This Row],[sector]:[impactType]] )</f>
        <v>CILAgricultureCanESM26With CO2 FertilizationCotton</v>
      </c>
      <c r="C2458" s="33" t="s">
        <v>1224</v>
      </c>
      <c r="D2458" s="33" t="s">
        <v>0</v>
      </c>
      <c r="E2458" s="34">
        <v>6</v>
      </c>
      <c r="F2458" s="34"/>
      <c r="G2458" s="34" t="s">
        <v>1160</v>
      </c>
      <c r="H2458" t="s">
        <v>1161</v>
      </c>
      <c r="I2458" s="43" t="s">
        <v>70</v>
      </c>
      <c r="J2458" s="96">
        <v>38817338.066853993</v>
      </c>
      <c r="K2458" s="36">
        <v>0</v>
      </c>
      <c r="L2458" s="36">
        <v>0</v>
      </c>
      <c r="M2458" s="36">
        <v>0</v>
      </c>
      <c r="N2458" s="36">
        <v>882740143.84814334</v>
      </c>
      <c r="O2458" s="36">
        <v>789694545.54109979</v>
      </c>
      <c r="P2458" s="110">
        <v>841790221.14935958</v>
      </c>
    </row>
    <row r="2459" spans="1:16" hidden="1" x14ac:dyDescent="0.35">
      <c r="A2459" s="3">
        <f xml:space="preserve"> ROW( data_scaledImpacts[[#This Row],[row_id]] ) - ROW( data_scaledImpacts[[#Headers],[row_id]] )</f>
        <v>2458</v>
      </c>
      <c r="B2459" s="41" t="str">
        <f xml:space="preserve"> _xlfn.TEXTJOIN( "", , data_scaledImpacts[[#This Row],[sector]:[impactType]] )</f>
        <v>CILAgricultureCCSM41With CO2 FertilizationCotton</v>
      </c>
      <c r="C2459" s="33" t="s">
        <v>1224</v>
      </c>
      <c r="D2459" s="33" t="s">
        <v>1</v>
      </c>
      <c r="E2459" s="34">
        <v>1</v>
      </c>
      <c r="F2459" s="34"/>
      <c r="G2459" s="34" t="s">
        <v>1160</v>
      </c>
      <c r="H2459" t="s">
        <v>1161</v>
      </c>
      <c r="I2459" s="43" t="s">
        <v>36</v>
      </c>
      <c r="J2459" s="96">
        <v>6793979.3684481941</v>
      </c>
      <c r="K2459" s="36">
        <v>0</v>
      </c>
      <c r="L2459" s="36">
        <v>0</v>
      </c>
      <c r="M2459" s="36">
        <v>0</v>
      </c>
      <c r="N2459" s="36">
        <v>81194456.037927628</v>
      </c>
      <c r="O2459" s="36">
        <v>-38618457.31167797</v>
      </c>
      <c r="P2459" s="110">
        <v>25426998.397166688</v>
      </c>
    </row>
    <row r="2460" spans="1:16" hidden="1" x14ac:dyDescent="0.35">
      <c r="A2460" s="3">
        <f xml:space="preserve"> ROW( data_scaledImpacts[[#This Row],[row_id]] ) - ROW( data_scaledImpacts[[#Headers],[row_id]] )</f>
        <v>2459</v>
      </c>
      <c r="B2460" s="41" t="str">
        <f xml:space="preserve"> _xlfn.TEXTJOIN( "", , data_scaledImpacts[[#This Row],[sector]:[impactType]] )</f>
        <v>CILAgricultureCCSM42With CO2 FertilizationCotton</v>
      </c>
      <c r="C2460" s="33" t="s">
        <v>1224</v>
      </c>
      <c r="D2460" s="33" t="s">
        <v>1</v>
      </c>
      <c r="E2460" s="34">
        <v>2</v>
      </c>
      <c r="F2460" s="34"/>
      <c r="G2460" s="34" t="s">
        <v>1160</v>
      </c>
      <c r="H2460" t="s">
        <v>1161</v>
      </c>
      <c r="I2460" s="43" t="s">
        <v>43</v>
      </c>
      <c r="J2460" s="96">
        <v>-9130453.0167079307</v>
      </c>
      <c r="K2460" s="36">
        <v>0</v>
      </c>
      <c r="L2460" s="36">
        <v>0</v>
      </c>
      <c r="M2460" s="36">
        <v>0</v>
      </c>
      <c r="N2460" s="36">
        <v>-130032958.87747781</v>
      </c>
      <c r="O2460" s="36">
        <v>-41132590.226295039</v>
      </c>
      <c r="P2460" s="110">
        <v>62665620.966512024</v>
      </c>
    </row>
    <row r="2461" spans="1:16" hidden="1" x14ac:dyDescent="0.35">
      <c r="A2461" s="3">
        <f xml:space="preserve"> ROW( data_scaledImpacts[[#This Row],[row_id]] ) - ROW( data_scaledImpacts[[#Headers],[row_id]] )</f>
        <v>2460</v>
      </c>
      <c r="B2461" s="41" t="str">
        <f xml:space="preserve"> _xlfn.TEXTJOIN( "", , data_scaledImpacts[[#This Row],[sector]:[impactType]] )</f>
        <v>CILAgricultureCCSM43With CO2 FertilizationCotton</v>
      </c>
      <c r="C2461" s="33" t="s">
        <v>1224</v>
      </c>
      <c r="D2461" s="33" t="s">
        <v>1</v>
      </c>
      <c r="E2461" s="34">
        <v>3</v>
      </c>
      <c r="F2461" s="34"/>
      <c r="G2461" s="34" t="s">
        <v>1160</v>
      </c>
      <c r="H2461" t="s">
        <v>1161</v>
      </c>
      <c r="I2461" s="43" t="s">
        <v>50</v>
      </c>
      <c r="J2461" s="96">
        <v>-18980167.406695455</v>
      </c>
      <c r="K2461" s="36">
        <v>0</v>
      </c>
      <c r="L2461" s="36">
        <v>0</v>
      </c>
      <c r="M2461" s="36">
        <v>0</v>
      </c>
      <c r="N2461" s="36">
        <v>-355459821.87295723</v>
      </c>
      <c r="O2461" s="36">
        <v>-155344271.84199455</v>
      </c>
      <c r="P2461" s="110">
        <v>283447612.30343342</v>
      </c>
    </row>
    <row r="2462" spans="1:16" hidden="1" x14ac:dyDescent="0.35">
      <c r="A2462" s="3">
        <f xml:space="preserve"> ROW( data_scaledImpacts[[#This Row],[row_id]] ) - ROW( data_scaledImpacts[[#Headers],[row_id]] )</f>
        <v>2461</v>
      </c>
      <c r="B2462" s="41" t="str">
        <f xml:space="preserve"> _xlfn.TEXTJOIN( "", , data_scaledImpacts[[#This Row],[sector]:[impactType]] )</f>
        <v>CILAgricultureCCSM44With CO2 FertilizationCotton</v>
      </c>
      <c r="C2462" s="33" t="s">
        <v>1224</v>
      </c>
      <c r="D2462" s="33" t="s">
        <v>1</v>
      </c>
      <c r="E2462" s="34">
        <v>4</v>
      </c>
      <c r="F2462" s="34"/>
      <c r="G2462" s="34" t="s">
        <v>1160</v>
      </c>
      <c r="H2462" t="s">
        <v>1161</v>
      </c>
      <c r="I2462" s="43" t="s">
        <v>57</v>
      </c>
      <c r="J2462" s="96">
        <v>2647621.0529114292</v>
      </c>
      <c r="K2462" s="36">
        <v>0</v>
      </c>
      <c r="L2462" s="36">
        <v>0</v>
      </c>
      <c r="M2462" s="36">
        <v>0</v>
      </c>
      <c r="N2462" s="36">
        <v>18850274.361981235</v>
      </c>
      <c r="O2462" s="36">
        <v>61272427.66674228</v>
      </c>
      <c r="P2462" s="110">
        <v>382752881.79046124</v>
      </c>
    </row>
    <row r="2463" spans="1:16" hidden="1" x14ac:dyDescent="0.35">
      <c r="A2463" s="3">
        <f xml:space="preserve"> ROW( data_scaledImpacts[[#This Row],[row_id]] ) - ROW( data_scaledImpacts[[#Headers],[row_id]] )</f>
        <v>2462</v>
      </c>
      <c r="B2463" s="41" t="str">
        <f xml:space="preserve"> _xlfn.TEXTJOIN( "", , data_scaledImpacts[[#This Row],[sector]:[impactType]] )</f>
        <v>CILAgricultureCCSM45With CO2 FertilizationCotton</v>
      </c>
      <c r="C2463" s="33" t="s">
        <v>1224</v>
      </c>
      <c r="D2463" s="33" t="s">
        <v>1</v>
      </c>
      <c r="E2463" s="34">
        <v>5</v>
      </c>
      <c r="F2463" s="34"/>
      <c r="G2463" s="34" t="s">
        <v>1160</v>
      </c>
      <c r="H2463" t="s">
        <v>1161</v>
      </c>
      <c r="I2463" s="43" t="s">
        <v>64</v>
      </c>
      <c r="J2463" s="96">
        <v>3521633.484461234</v>
      </c>
      <c r="K2463" s="36">
        <v>0</v>
      </c>
      <c r="L2463" s="36">
        <v>0</v>
      </c>
      <c r="M2463" s="36">
        <v>0</v>
      </c>
      <c r="N2463" s="36">
        <v>135591617.93397263</v>
      </c>
      <c r="O2463" s="36">
        <v>153022658.88661218</v>
      </c>
      <c r="P2463" s="110">
        <v>494321254.28333068</v>
      </c>
    </row>
    <row r="2464" spans="1:16" hidden="1" x14ac:dyDescent="0.35">
      <c r="A2464" s="3">
        <f xml:space="preserve"> ROW( data_scaledImpacts[[#This Row],[row_id]] ) - ROW( data_scaledImpacts[[#Headers],[row_id]] )</f>
        <v>2463</v>
      </c>
      <c r="B2464" s="41" t="str">
        <f xml:space="preserve"> _xlfn.TEXTJOIN( "", , data_scaledImpacts[[#This Row],[sector]:[impactType]] )</f>
        <v>CILAgricultureGFDL-CM31With CO2 FertilizationCotton</v>
      </c>
      <c r="C2464" s="33" t="s">
        <v>1224</v>
      </c>
      <c r="D2464" s="33" t="s">
        <v>5</v>
      </c>
      <c r="E2464" s="34">
        <v>1</v>
      </c>
      <c r="F2464" s="34"/>
      <c r="G2464" s="34" t="s">
        <v>1160</v>
      </c>
      <c r="H2464" t="s">
        <v>1161</v>
      </c>
      <c r="I2464" s="43" t="s">
        <v>40</v>
      </c>
      <c r="J2464" s="96">
        <v>-8787665.3894400802</v>
      </c>
      <c r="K2464" s="36">
        <v>0</v>
      </c>
      <c r="L2464" s="36">
        <v>0</v>
      </c>
      <c r="M2464" s="36">
        <v>0</v>
      </c>
      <c r="N2464" s="36">
        <v>-182147498.30927795</v>
      </c>
      <c r="O2464" s="36">
        <v>14221151.839912698</v>
      </c>
      <c r="P2464" s="110">
        <v>-73965301.716905624</v>
      </c>
    </row>
    <row r="2465" spans="1:16" hidden="1" x14ac:dyDescent="0.35">
      <c r="A2465" s="3">
        <f xml:space="preserve"> ROW( data_scaledImpacts[[#This Row],[row_id]] ) - ROW( data_scaledImpacts[[#Headers],[row_id]] )</f>
        <v>2464</v>
      </c>
      <c r="B2465" s="41" t="str">
        <f xml:space="preserve"> _xlfn.TEXTJOIN( "", , data_scaledImpacts[[#This Row],[sector]:[impactType]] )</f>
        <v>CILAgricultureGFDL-CM32With CO2 FertilizationCotton</v>
      </c>
      <c r="C2465" s="33" t="s">
        <v>1224</v>
      </c>
      <c r="D2465" s="33" t="s">
        <v>5</v>
      </c>
      <c r="E2465" s="34">
        <v>2</v>
      </c>
      <c r="F2465" s="34"/>
      <c r="G2465" s="34" t="s">
        <v>1160</v>
      </c>
      <c r="H2465" t="s">
        <v>1161</v>
      </c>
      <c r="I2465" s="43" t="s">
        <v>47</v>
      </c>
      <c r="J2465" s="96">
        <v>-14156776.313757682</v>
      </c>
      <c r="K2465" s="36">
        <v>0</v>
      </c>
      <c r="L2465" s="36">
        <v>0</v>
      </c>
      <c r="M2465" s="36">
        <v>0</v>
      </c>
      <c r="N2465" s="36">
        <v>-251179625.29402378</v>
      </c>
      <c r="O2465" s="36">
        <v>41473011.97318466</v>
      </c>
      <c r="P2465" s="110">
        <v>112831063.18968263</v>
      </c>
    </row>
    <row r="2466" spans="1:16" hidden="1" x14ac:dyDescent="0.35">
      <c r="A2466" s="3">
        <f xml:space="preserve"> ROW( data_scaledImpacts[[#This Row],[row_id]] ) - ROW( data_scaledImpacts[[#Headers],[row_id]] )</f>
        <v>2465</v>
      </c>
      <c r="B2466" s="41" t="str">
        <f xml:space="preserve"> _xlfn.TEXTJOIN( "", , data_scaledImpacts[[#This Row],[sector]:[impactType]] )</f>
        <v>CILAgricultureGFDL-CM33With CO2 FertilizationCotton</v>
      </c>
      <c r="C2466" s="33" t="s">
        <v>1224</v>
      </c>
      <c r="D2466" s="33" t="s">
        <v>5</v>
      </c>
      <c r="E2466" s="34">
        <v>3</v>
      </c>
      <c r="F2466" s="34"/>
      <c r="G2466" s="34" t="s">
        <v>1160</v>
      </c>
      <c r="H2466" t="s">
        <v>1161</v>
      </c>
      <c r="I2466" s="43" t="s">
        <v>54</v>
      </c>
      <c r="J2466" s="96">
        <v>-27889546.849699378</v>
      </c>
      <c r="K2466" s="36">
        <v>0</v>
      </c>
      <c r="L2466" s="36">
        <v>0</v>
      </c>
      <c r="M2466" s="36">
        <v>0</v>
      </c>
      <c r="N2466" s="36">
        <v>-284764739.94168824</v>
      </c>
      <c r="O2466" s="36">
        <v>216818266.8729049</v>
      </c>
      <c r="P2466" s="110">
        <v>546797010.61964226</v>
      </c>
    </row>
    <row r="2467" spans="1:16" hidden="1" x14ac:dyDescent="0.35">
      <c r="A2467" s="3">
        <f xml:space="preserve"> ROW( data_scaledImpacts[[#This Row],[row_id]] ) - ROW( data_scaledImpacts[[#Headers],[row_id]] )</f>
        <v>2466</v>
      </c>
      <c r="B2467" s="41" t="str">
        <f xml:space="preserve"> _xlfn.TEXTJOIN( "", , data_scaledImpacts[[#This Row],[sector]:[impactType]] )</f>
        <v>CILAgricultureGFDL-CM34With CO2 FertilizationCotton</v>
      </c>
      <c r="C2467" s="33" t="s">
        <v>1224</v>
      </c>
      <c r="D2467" s="33" t="s">
        <v>5</v>
      </c>
      <c r="E2467" s="34">
        <v>4</v>
      </c>
      <c r="F2467" s="34"/>
      <c r="G2467" s="34" t="s">
        <v>1160</v>
      </c>
      <c r="H2467" t="s">
        <v>1161</v>
      </c>
      <c r="I2467" s="43" t="s">
        <v>61</v>
      </c>
      <c r="J2467" s="96">
        <v>-8199714.761307966</v>
      </c>
      <c r="K2467" s="36">
        <v>0</v>
      </c>
      <c r="L2467" s="36">
        <v>0</v>
      </c>
      <c r="M2467" s="36">
        <v>0</v>
      </c>
      <c r="N2467" s="36">
        <v>-77165777.983012244</v>
      </c>
      <c r="O2467" s="36">
        <v>580901271.78943241</v>
      </c>
      <c r="P2467" s="110">
        <v>841824979.78959179</v>
      </c>
    </row>
    <row r="2468" spans="1:16" hidden="1" x14ac:dyDescent="0.35">
      <c r="A2468" s="3">
        <f xml:space="preserve"> ROW( data_scaledImpacts[[#This Row],[row_id]] ) - ROW( data_scaledImpacts[[#Headers],[row_id]] )</f>
        <v>2467</v>
      </c>
      <c r="B2468" s="41" t="str">
        <f xml:space="preserve"> _xlfn.TEXTJOIN( "", , data_scaledImpacts[[#This Row],[sector]:[impactType]] )</f>
        <v>CILAgricultureGFDL-CM35With CO2 FertilizationCotton</v>
      </c>
      <c r="C2468" s="33" t="s">
        <v>1224</v>
      </c>
      <c r="D2468" s="33" t="s">
        <v>5</v>
      </c>
      <c r="E2468" s="34">
        <v>5</v>
      </c>
      <c r="F2468" s="34"/>
      <c r="G2468" s="34" t="s">
        <v>1160</v>
      </c>
      <c r="H2468" t="s">
        <v>1161</v>
      </c>
      <c r="I2468" s="43" t="s">
        <v>68</v>
      </c>
      <c r="J2468" s="96">
        <v>62304137.626185648</v>
      </c>
      <c r="K2468" s="36">
        <v>0</v>
      </c>
      <c r="L2468" s="36">
        <v>0</v>
      </c>
      <c r="M2468" s="36">
        <v>0</v>
      </c>
      <c r="N2468" s="36">
        <v>1026640732.7582792</v>
      </c>
      <c r="O2468" s="36">
        <v>1556571391.1900184</v>
      </c>
      <c r="P2468" s="110">
        <v>1076916987.3521674</v>
      </c>
    </row>
    <row r="2469" spans="1:16" hidden="1" x14ac:dyDescent="0.35">
      <c r="A2469" s="3">
        <f xml:space="preserve"> ROW( data_scaledImpacts[[#This Row],[row_id]] ) - ROW( data_scaledImpacts[[#Headers],[row_id]] )</f>
        <v>2468</v>
      </c>
      <c r="B2469" s="41" t="str">
        <f xml:space="preserve"> _xlfn.TEXTJOIN( "", , data_scaledImpacts[[#This Row],[sector]:[impactType]] )</f>
        <v>CILAgricultureGFDL-CM36With CO2 FertilizationCotton</v>
      </c>
      <c r="C2469" s="33" t="s">
        <v>1224</v>
      </c>
      <c r="D2469" s="33" t="s">
        <v>5</v>
      </c>
      <c r="E2469" s="34">
        <v>6</v>
      </c>
      <c r="F2469" s="34"/>
      <c r="G2469" s="34" t="s">
        <v>1160</v>
      </c>
      <c r="H2469" t="s">
        <v>1161</v>
      </c>
      <c r="I2469" s="43" t="s">
        <v>75</v>
      </c>
      <c r="J2469" s="96">
        <v>57774010.257023066</v>
      </c>
      <c r="K2469" s="36">
        <v>0</v>
      </c>
      <c r="L2469" s="36">
        <v>0</v>
      </c>
      <c r="M2469" s="36">
        <v>0</v>
      </c>
      <c r="N2469" s="36">
        <v>1110283767.2063565</v>
      </c>
      <c r="O2469" s="36">
        <v>1501417406.9134431</v>
      </c>
      <c r="P2469" s="110">
        <v>1388531826.7703781</v>
      </c>
    </row>
    <row r="2470" spans="1:16" hidden="1" x14ac:dyDescent="0.35">
      <c r="A2470" s="3">
        <f xml:space="preserve"> ROW( data_scaledImpacts[[#This Row],[row_id]] ) - ROW( data_scaledImpacts[[#Headers],[row_id]] )</f>
        <v>2469</v>
      </c>
      <c r="B2470" s="41" t="str">
        <f xml:space="preserve"> _xlfn.TEXTJOIN( "", , data_scaledImpacts[[#This Row],[sector]:[impactType]] )</f>
        <v>CILAgricultureGISS-E2-R1With CO2 FertilizationCotton</v>
      </c>
      <c r="C2470" s="33" t="s">
        <v>1224</v>
      </c>
      <c r="D2470" s="33" t="s">
        <v>2</v>
      </c>
      <c r="E2470" s="34">
        <v>1</v>
      </c>
      <c r="F2470" s="34"/>
      <c r="G2470" s="34" t="s">
        <v>1160</v>
      </c>
      <c r="H2470" t="s">
        <v>1161</v>
      </c>
      <c r="I2470" s="43" t="s">
        <v>37</v>
      </c>
      <c r="J2470" s="96">
        <v>-15703401.539577648</v>
      </c>
      <c r="K2470" s="36">
        <v>0</v>
      </c>
      <c r="L2470" s="36">
        <v>0</v>
      </c>
      <c r="M2470" s="36">
        <v>0</v>
      </c>
      <c r="N2470" s="36">
        <v>-494401425.9690932</v>
      </c>
      <c r="O2470" s="36">
        <v>74289616.242595583</v>
      </c>
      <c r="P2470" s="110">
        <v>106840735.51443835</v>
      </c>
    </row>
    <row r="2471" spans="1:16" hidden="1" x14ac:dyDescent="0.35">
      <c r="A2471" s="3">
        <f xml:space="preserve"> ROW( data_scaledImpacts[[#This Row],[row_id]] ) - ROW( data_scaledImpacts[[#Headers],[row_id]] )</f>
        <v>2470</v>
      </c>
      <c r="B2471" s="41" t="str">
        <f xml:space="preserve"> _xlfn.TEXTJOIN( "", , data_scaledImpacts[[#This Row],[sector]:[impactType]] )</f>
        <v>CILAgricultureGISS-E2-R2With CO2 FertilizationCotton</v>
      </c>
      <c r="C2471" s="33" t="s">
        <v>1224</v>
      </c>
      <c r="D2471" s="33" t="s">
        <v>2</v>
      </c>
      <c r="E2471" s="34">
        <v>2</v>
      </c>
      <c r="F2471" s="34"/>
      <c r="G2471" s="34" t="s">
        <v>1160</v>
      </c>
      <c r="H2471" t="s">
        <v>1161</v>
      </c>
      <c r="I2471" s="43" t="s">
        <v>44</v>
      </c>
      <c r="J2471" s="96">
        <v>-49406733.502099313</v>
      </c>
      <c r="K2471" s="36">
        <v>0</v>
      </c>
      <c r="L2471" s="36">
        <v>0</v>
      </c>
      <c r="M2471" s="36">
        <v>0</v>
      </c>
      <c r="N2471" s="36">
        <v>-1029467445.2930403</v>
      </c>
      <c r="O2471" s="36">
        <v>-158362157.73471239</v>
      </c>
      <c r="P2471" s="110">
        <v>90651642.878526285</v>
      </c>
    </row>
    <row r="2472" spans="1:16" hidden="1" x14ac:dyDescent="0.35">
      <c r="A2472" s="3">
        <f xml:space="preserve"> ROW( data_scaledImpacts[[#This Row],[row_id]] ) - ROW( data_scaledImpacts[[#Headers],[row_id]] )</f>
        <v>2471</v>
      </c>
      <c r="B2472" s="41" t="str">
        <f xml:space="preserve"> _xlfn.TEXTJOIN( "", , data_scaledImpacts[[#This Row],[sector]:[impactType]] )</f>
        <v>CILAgricultureGISS-E2-R3With CO2 FertilizationCotton</v>
      </c>
      <c r="C2472" s="33" t="s">
        <v>1224</v>
      </c>
      <c r="D2472" s="33" t="s">
        <v>2</v>
      </c>
      <c r="E2472" s="34">
        <v>3</v>
      </c>
      <c r="F2472" s="34"/>
      <c r="G2472" s="34" t="s">
        <v>1160</v>
      </c>
      <c r="H2472" t="s">
        <v>1161</v>
      </c>
      <c r="I2472" s="43" t="s">
        <v>51</v>
      </c>
      <c r="J2472" s="96">
        <v>-97454201.475163564</v>
      </c>
      <c r="K2472" s="36">
        <v>0</v>
      </c>
      <c r="L2472" s="36">
        <v>0</v>
      </c>
      <c r="M2472" s="36">
        <v>0</v>
      </c>
      <c r="N2472" s="36">
        <v>-1802359272.9539783</v>
      </c>
      <c r="O2472" s="36">
        <v>114775503.89003374</v>
      </c>
      <c r="P2472" s="110">
        <v>465726257.37273884</v>
      </c>
    </row>
    <row r="2473" spans="1:16" hidden="1" x14ac:dyDescent="0.35">
      <c r="A2473" s="3">
        <f xml:space="preserve"> ROW( data_scaledImpacts[[#This Row],[row_id]] ) - ROW( data_scaledImpacts[[#Headers],[row_id]] )</f>
        <v>2472</v>
      </c>
      <c r="B2473" s="41" t="str">
        <f xml:space="preserve"> _xlfn.TEXTJOIN( "", , data_scaledImpacts[[#This Row],[sector]:[impactType]] )</f>
        <v>CILAgricultureHadGEM2-ES1With CO2 FertilizationCotton</v>
      </c>
      <c r="C2473" s="33" t="s">
        <v>1224</v>
      </c>
      <c r="D2473" s="33" t="s">
        <v>3</v>
      </c>
      <c r="E2473" s="34">
        <v>1</v>
      </c>
      <c r="F2473" s="34"/>
      <c r="G2473" s="34" t="s">
        <v>1160</v>
      </c>
      <c r="H2473" t="s">
        <v>1161</v>
      </c>
      <c r="I2473" s="43" t="s">
        <v>38</v>
      </c>
      <c r="J2473" s="96">
        <v>-7426706.713678726</v>
      </c>
      <c r="K2473" s="36">
        <v>0</v>
      </c>
      <c r="L2473" s="36">
        <v>0</v>
      </c>
      <c r="M2473" s="36">
        <v>0</v>
      </c>
      <c r="N2473" s="36">
        <v>-129185732.60706647</v>
      </c>
      <c r="O2473" s="36">
        <v>51461331.012649119</v>
      </c>
      <c r="P2473" s="110">
        <v>96041444.901121408</v>
      </c>
    </row>
    <row r="2474" spans="1:16" hidden="1" x14ac:dyDescent="0.35">
      <c r="A2474" s="3">
        <f xml:space="preserve"> ROW( data_scaledImpacts[[#This Row],[row_id]] ) - ROW( data_scaledImpacts[[#Headers],[row_id]] )</f>
        <v>2473</v>
      </c>
      <c r="B2474" s="41" t="str">
        <f xml:space="preserve"> _xlfn.TEXTJOIN( "", , data_scaledImpacts[[#This Row],[sector]:[impactType]] )</f>
        <v>CILAgricultureHadGEM2-ES2With CO2 FertilizationCotton</v>
      </c>
      <c r="C2474" s="33" t="s">
        <v>1224</v>
      </c>
      <c r="D2474" s="33" t="s">
        <v>3</v>
      </c>
      <c r="E2474" s="34">
        <v>2</v>
      </c>
      <c r="F2474" s="34"/>
      <c r="G2474" s="34" t="s">
        <v>1160</v>
      </c>
      <c r="H2474" t="s">
        <v>1161</v>
      </c>
      <c r="I2474" s="43" t="s">
        <v>45</v>
      </c>
      <c r="J2474" s="96">
        <v>1448745.3524355364</v>
      </c>
      <c r="K2474" s="36">
        <v>0</v>
      </c>
      <c r="L2474" s="36">
        <v>0</v>
      </c>
      <c r="M2474" s="36">
        <v>0</v>
      </c>
      <c r="N2474" s="36">
        <v>6668931.2574431123</v>
      </c>
      <c r="O2474" s="36">
        <v>177839201.01888281</v>
      </c>
      <c r="P2474" s="110">
        <v>208015130.76226464</v>
      </c>
    </row>
    <row r="2475" spans="1:16" hidden="1" x14ac:dyDescent="0.35">
      <c r="A2475" s="3">
        <f xml:space="preserve"> ROW( data_scaledImpacts[[#This Row],[row_id]] ) - ROW( data_scaledImpacts[[#Headers],[row_id]] )</f>
        <v>2474</v>
      </c>
      <c r="B2475" s="41" t="str">
        <f xml:space="preserve"> _xlfn.TEXTJOIN( "", , data_scaledImpacts[[#This Row],[sector]:[impactType]] )</f>
        <v>CILAgricultureHadGEM2-ES3With CO2 FertilizationCotton</v>
      </c>
      <c r="C2475" s="33" t="s">
        <v>1224</v>
      </c>
      <c r="D2475" s="33" t="s">
        <v>3</v>
      </c>
      <c r="E2475" s="34">
        <v>3</v>
      </c>
      <c r="F2475" s="34"/>
      <c r="G2475" s="34" t="s">
        <v>1160</v>
      </c>
      <c r="H2475" t="s">
        <v>1161</v>
      </c>
      <c r="I2475" s="43" t="s">
        <v>52</v>
      </c>
      <c r="J2475" s="96">
        <v>68771699.655444235</v>
      </c>
      <c r="K2475" s="36">
        <v>0</v>
      </c>
      <c r="L2475" s="36">
        <v>0</v>
      </c>
      <c r="M2475" s="36">
        <v>0</v>
      </c>
      <c r="N2475" s="36">
        <v>703479487.95962238</v>
      </c>
      <c r="O2475" s="36">
        <v>369375986.9336912</v>
      </c>
      <c r="P2475" s="110">
        <v>424842529.9828217</v>
      </c>
    </row>
    <row r="2476" spans="1:16" hidden="1" x14ac:dyDescent="0.35">
      <c r="A2476" s="3">
        <f xml:space="preserve"> ROW( data_scaledImpacts[[#This Row],[row_id]] ) - ROW( data_scaledImpacts[[#Headers],[row_id]] )</f>
        <v>2475</v>
      </c>
      <c r="B2476" s="41" t="str">
        <f xml:space="preserve"> _xlfn.TEXTJOIN( "", , data_scaledImpacts[[#This Row],[sector]:[impactType]] )</f>
        <v>CILAgricultureHadGEM2-ES4With CO2 FertilizationCotton</v>
      </c>
      <c r="C2476" s="33" t="s">
        <v>1224</v>
      </c>
      <c r="D2476" s="33" t="s">
        <v>3</v>
      </c>
      <c r="E2476" s="34">
        <v>4</v>
      </c>
      <c r="F2476" s="34"/>
      <c r="G2476" s="34" t="s">
        <v>1160</v>
      </c>
      <c r="H2476" t="s">
        <v>1161</v>
      </c>
      <c r="I2476" s="43" t="s">
        <v>59</v>
      </c>
      <c r="J2476" s="96">
        <v>97529989.852743462</v>
      </c>
      <c r="K2476" s="36">
        <v>0</v>
      </c>
      <c r="L2476" s="36">
        <v>0</v>
      </c>
      <c r="M2476" s="36">
        <v>0</v>
      </c>
      <c r="N2476" s="36">
        <v>1397411494.8055592</v>
      </c>
      <c r="O2476" s="36">
        <v>325495050.56902456</v>
      </c>
      <c r="P2476" s="110">
        <v>501288983.72396857</v>
      </c>
    </row>
    <row r="2477" spans="1:16" hidden="1" x14ac:dyDescent="0.35">
      <c r="A2477" s="3">
        <f xml:space="preserve"> ROW( data_scaledImpacts[[#This Row],[row_id]] ) - ROW( data_scaledImpacts[[#Headers],[row_id]] )</f>
        <v>2476</v>
      </c>
      <c r="B2477" s="41" t="str">
        <f xml:space="preserve"> _xlfn.TEXTJOIN( "", , data_scaledImpacts[[#This Row],[sector]:[impactType]] )</f>
        <v>CILAgricultureHadGEM2-ES5With CO2 FertilizationCotton</v>
      </c>
      <c r="C2477" s="33" t="s">
        <v>1224</v>
      </c>
      <c r="D2477" s="33" t="s">
        <v>3</v>
      </c>
      <c r="E2477" s="34">
        <v>5</v>
      </c>
      <c r="F2477" s="34"/>
      <c r="G2477" s="34" t="s">
        <v>1160</v>
      </c>
      <c r="H2477" t="s">
        <v>1161</v>
      </c>
      <c r="I2477" s="43" t="s">
        <v>66</v>
      </c>
      <c r="J2477" s="96">
        <v>121455207.82725902</v>
      </c>
      <c r="K2477" s="36">
        <v>0</v>
      </c>
      <c r="L2477" s="36">
        <v>0</v>
      </c>
      <c r="M2477" s="36">
        <v>0</v>
      </c>
      <c r="N2477" s="36">
        <v>1837086288.4698544</v>
      </c>
      <c r="O2477" s="36">
        <v>452306924.39407957</v>
      </c>
      <c r="P2477" s="110">
        <v>601872754.89128208</v>
      </c>
    </row>
    <row r="2478" spans="1:16" hidden="1" x14ac:dyDescent="0.35">
      <c r="A2478" s="3">
        <f xml:space="preserve"> ROW( data_scaledImpacts[[#This Row],[row_id]] ) - ROW( data_scaledImpacts[[#Headers],[row_id]] )</f>
        <v>2477</v>
      </c>
      <c r="B2478" s="41" t="str">
        <f xml:space="preserve"> _xlfn.TEXTJOIN( "", , data_scaledImpacts[[#This Row],[sector]:[impactType]] )</f>
        <v>CILAgricultureHadGEM2-ES6With CO2 FertilizationCotton</v>
      </c>
      <c r="C2478" s="33" t="s">
        <v>1224</v>
      </c>
      <c r="D2478" s="33" t="s">
        <v>3</v>
      </c>
      <c r="E2478" s="34">
        <v>6</v>
      </c>
      <c r="F2478" s="34"/>
      <c r="G2478" s="34" t="s">
        <v>1160</v>
      </c>
      <c r="H2478" t="s">
        <v>1161</v>
      </c>
      <c r="I2478" s="43" t="s">
        <v>73</v>
      </c>
      <c r="J2478" s="96">
        <v>131305192.90860653</v>
      </c>
      <c r="K2478" s="36">
        <v>0</v>
      </c>
      <c r="L2478" s="36">
        <v>0</v>
      </c>
      <c r="M2478" s="36">
        <v>0</v>
      </c>
      <c r="N2478" s="36">
        <v>1801228801.1101332</v>
      </c>
      <c r="O2478" s="36">
        <v>543136137.16201067</v>
      </c>
      <c r="P2478" s="110">
        <v>779042039.04018676</v>
      </c>
    </row>
    <row r="2479" spans="1:16" hidden="1" x14ac:dyDescent="0.35">
      <c r="A2479" s="3">
        <f xml:space="preserve"> ROW( data_scaledImpacts[[#This Row],[row_id]] ) - ROW( data_scaledImpacts[[#Headers],[row_id]] )</f>
        <v>2478</v>
      </c>
      <c r="B2479" s="41" t="str">
        <f xml:space="preserve"> _xlfn.TEXTJOIN( "", , data_scaledImpacts[[#This Row],[sector]:[impactType]] )</f>
        <v>CILAgricultureMIROC51With CO2 FertilizationCotton</v>
      </c>
      <c r="C2479" s="33" t="s">
        <v>1224</v>
      </c>
      <c r="D2479" s="33" t="s">
        <v>4</v>
      </c>
      <c r="E2479" s="34">
        <v>1</v>
      </c>
      <c r="F2479" s="34"/>
      <c r="G2479" s="34" t="s">
        <v>1160</v>
      </c>
      <c r="H2479" t="s">
        <v>1161</v>
      </c>
      <c r="I2479" s="43" t="s">
        <v>39</v>
      </c>
      <c r="J2479" s="96">
        <v>-3139675.1132780001</v>
      </c>
      <c r="K2479" s="36">
        <v>0</v>
      </c>
      <c r="L2479" s="36">
        <v>0</v>
      </c>
      <c r="M2479" s="36">
        <v>0</v>
      </c>
      <c r="N2479" s="36">
        <v>75995918.978024304</v>
      </c>
      <c r="O2479" s="36">
        <v>-99298755.561439052</v>
      </c>
      <c r="P2479" s="110">
        <v>-148450207.44844097</v>
      </c>
    </row>
    <row r="2480" spans="1:16" hidden="1" x14ac:dyDescent="0.35">
      <c r="A2480" s="3">
        <f xml:space="preserve"> ROW( data_scaledImpacts[[#This Row],[row_id]] ) - ROW( data_scaledImpacts[[#Headers],[row_id]] )</f>
        <v>2479</v>
      </c>
      <c r="B2480" s="41" t="str">
        <f xml:space="preserve"> _xlfn.TEXTJOIN( "", , data_scaledImpacts[[#This Row],[sector]:[impactType]] )</f>
        <v>CILAgricultureMIROC52With CO2 FertilizationCotton</v>
      </c>
      <c r="C2480" s="33" t="s">
        <v>1224</v>
      </c>
      <c r="D2480" s="33" t="s">
        <v>4</v>
      </c>
      <c r="E2480" s="34">
        <v>2</v>
      </c>
      <c r="F2480" s="34"/>
      <c r="G2480" s="34" t="s">
        <v>1160</v>
      </c>
      <c r="H2480" t="s">
        <v>1161</v>
      </c>
      <c r="I2480" s="43" t="s">
        <v>46</v>
      </c>
      <c r="J2480" s="96">
        <v>3875748.9799461528</v>
      </c>
      <c r="K2480" s="36">
        <v>0</v>
      </c>
      <c r="L2480" s="36">
        <v>0</v>
      </c>
      <c r="M2480" s="36">
        <v>0</v>
      </c>
      <c r="N2480" s="36">
        <v>368663044.30557692</v>
      </c>
      <c r="O2480" s="36">
        <v>24224325.075203206</v>
      </c>
      <c r="P2480" s="110">
        <v>-21575563.008175764</v>
      </c>
    </row>
    <row r="2481" spans="1:16" hidden="1" x14ac:dyDescent="0.35">
      <c r="A2481" s="3">
        <f xml:space="preserve"> ROW( data_scaledImpacts[[#This Row],[row_id]] ) - ROW( data_scaledImpacts[[#Headers],[row_id]] )</f>
        <v>2480</v>
      </c>
      <c r="B2481" s="41" t="str">
        <f xml:space="preserve"> _xlfn.TEXTJOIN( "", , data_scaledImpacts[[#This Row],[sector]:[impactType]] )</f>
        <v>CILAgricultureMIROC53With CO2 FertilizationCotton</v>
      </c>
      <c r="C2481" s="33" t="s">
        <v>1224</v>
      </c>
      <c r="D2481" s="33" t="s">
        <v>4</v>
      </c>
      <c r="E2481" s="34">
        <v>3</v>
      </c>
      <c r="F2481" s="34"/>
      <c r="G2481" s="34" t="s">
        <v>1160</v>
      </c>
      <c r="H2481" t="s">
        <v>1161</v>
      </c>
      <c r="I2481" s="43" t="s">
        <v>53</v>
      </c>
      <c r="J2481" s="96">
        <v>-25010751.028415464</v>
      </c>
      <c r="K2481" s="36">
        <v>0</v>
      </c>
      <c r="L2481" s="36">
        <v>0</v>
      </c>
      <c r="M2481" s="36">
        <v>0</v>
      </c>
      <c r="N2481" s="36">
        <v>8276130.9666631166</v>
      </c>
      <c r="O2481" s="36">
        <v>12138106.905368024</v>
      </c>
      <c r="P2481" s="110">
        <v>236382609.21359804</v>
      </c>
    </row>
    <row r="2482" spans="1:16" hidden="1" x14ac:dyDescent="0.35">
      <c r="A2482" s="3">
        <f xml:space="preserve"> ROW( data_scaledImpacts[[#This Row],[row_id]] ) - ROW( data_scaledImpacts[[#Headers],[row_id]] )</f>
        <v>2481</v>
      </c>
      <c r="B2482" s="41" t="str">
        <f xml:space="preserve"> _xlfn.TEXTJOIN( "", , data_scaledImpacts[[#This Row],[sector]:[impactType]] )</f>
        <v>CILAgricultureMIROC54With CO2 FertilizationCotton</v>
      </c>
      <c r="C2482" s="33" t="s">
        <v>1224</v>
      </c>
      <c r="D2482" s="33" t="s">
        <v>4</v>
      </c>
      <c r="E2482" s="34">
        <v>4</v>
      </c>
      <c r="F2482" s="34"/>
      <c r="G2482" s="34" t="s">
        <v>1160</v>
      </c>
      <c r="H2482" t="s">
        <v>1161</v>
      </c>
      <c r="I2482" s="43" t="s">
        <v>60</v>
      </c>
      <c r="J2482" s="96">
        <v>-21544007.062281895</v>
      </c>
      <c r="K2482" s="36">
        <v>0</v>
      </c>
      <c r="L2482" s="36">
        <v>0</v>
      </c>
      <c r="M2482" s="36">
        <v>0</v>
      </c>
      <c r="N2482" s="36">
        <v>96149471.991862312</v>
      </c>
      <c r="O2482" s="36">
        <v>-24192221.415275283</v>
      </c>
      <c r="P2482" s="110">
        <v>230706910.12535501</v>
      </c>
    </row>
    <row r="2483" spans="1:16" hidden="1" x14ac:dyDescent="0.35">
      <c r="A2483" s="3">
        <f xml:space="preserve"> ROW( data_scaledImpacts[[#This Row],[row_id]] ) - ROW( data_scaledImpacts[[#Headers],[row_id]] )</f>
        <v>2482</v>
      </c>
      <c r="B2483" s="41" t="str">
        <f xml:space="preserve"> _xlfn.TEXTJOIN( "", , data_scaledImpacts[[#This Row],[sector]:[impactType]] )</f>
        <v>CILAgricultureMIROC55With CO2 FertilizationCotton</v>
      </c>
      <c r="C2483" s="33" t="s">
        <v>1224</v>
      </c>
      <c r="D2483" s="33" t="s">
        <v>4</v>
      </c>
      <c r="E2483" s="34">
        <v>5</v>
      </c>
      <c r="F2483" s="34"/>
      <c r="G2483" s="34" t="s">
        <v>1160</v>
      </c>
      <c r="H2483" t="s">
        <v>1161</v>
      </c>
      <c r="I2483" s="43" t="s">
        <v>67</v>
      </c>
      <c r="J2483" s="96">
        <v>539848.32530351053</v>
      </c>
      <c r="K2483" s="36">
        <v>0</v>
      </c>
      <c r="L2483" s="36">
        <v>0</v>
      </c>
      <c r="M2483" s="36">
        <v>0</v>
      </c>
      <c r="N2483" s="36">
        <v>577757907.36175644</v>
      </c>
      <c r="O2483" s="36">
        <v>434361874.87212497</v>
      </c>
      <c r="P2483" s="110">
        <v>388745396.00363994</v>
      </c>
    </row>
    <row r="2484" spans="1:16" hidden="1" x14ac:dyDescent="0.35">
      <c r="A2484" s="3">
        <f xml:space="preserve"> ROW( data_scaledImpacts[[#This Row],[row_id]] ) - ROW( data_scaledImpacts[[#Headers],[row_id]] )</f>
        <v>2483</v>
      </c>
      <c r="B2484" s="41" t="str">
        <f xml:space="preserve"> _xlfn.TEXTJOIN( "", , data_scaledImpacts[[#This Row],[sector]:[impactType]] )</f>
        <v>CILAgricultureCanESM21Without CO2 FertilizationCotton</v>
      </c>
      <c r="C2484" s="33" t="s">
        <v>1224</v>
      </c>
      <c r="D2484" s="33" t="s">
        <v>0</v>
      </c>
      <c r="E2484" s="34">
        <v>1</v>
      </c>
      <c r="F2484" s="34"/>
      <c r="G2484" s="34" t="s">
        <v>1159</v>
      </c>
      <c r="H2484" t="s">
        <v>1161</v>
      </c>
      <c r="I2484" s="43" t="s">
        <v>35</v>
      </c>
      <c r="J2484" s="96">
        <v>77248.052743215419</v>
      </c>
      <c r="K2484" s="36">
        <v>0</v>
      </c>
      <c r="L2484" s="36">
        <v>0</v>
      </c>
      <c r="M2484" s="36">
        <v>0</v>
      </c>
      <c r="N2484" s="36">
        <v>114016722.0985146</v>
      </c>
      <c r="O2484" s="36">
        <v>145308941.5871188</v>
      </c>
      <c r="P2484" s="110">
        <v>-133343100.53187174</v>
      </c>
    </row>
    <row r="2485" spans="1:16" hidden="1" x14ac:dyDescent="0.35">
      <c r="A2485" s="3">
        <f xml:space="preserve"> ROW( data_scaledImpacts[[#This Row],[row_id]] ) - ROW( data_scaledImpacts[[#Headers],[row_id]] )</f>
        <v>2484</v>
      </c>
      <c r="B2485" s="41" t="str">
        <f xml:space="preserve"> _xlfn.TEXTJOIN( "", , data_scaledImpacts[[#This Row],[sector]:[impactType]] )</f>
        <v>CILAgricultureCanESM22Without CO2 FertilizationCotton</v>
      </c>
      <c r="C2485" s="33" t="s">
        <v>1224</v>
      </c>
      <c r="D2485" s="33" t="s">
        <v>0</v>
      </c>
      <c r="E2485" s="34">
        <v>2</v>
      </c>
      <c r="F2485" s="34"/>
      <c r="G2485" s="34" t="s">
        <v>1159</v>
      </c>
      <c r="H2485" t="s">
        <v>1161</v>
      </c>
      <c r="I2485" s="43" t="s">
        <v>42</v>
      </c>
      <c r="J2485" s="96">
        <v>7644571.6325678825</v>
      </c>
      <c r="K2485" s="36">
        <v>0</v>
      </c>
      <c r="L2485" s="36">
        <v>0</v>
      </c>
      <c r="M2485" s="36">
        <v>0</v>
      </c>
      <c r="N2485" s="36">
        <v>367909083.25357431</v>
      </c>
      <c r="O2485" s="36">
        <v>364138893.93308473</v>
      </c>
      <c r="P2485" s="110">
        <v>236530900.96063638</v>
      </c>
    </row>
    <row r="2486" spans="1:16" hidden="1" x14ac:dyDescent="0.35">
      <c r="A2486" s="3">
        <f xml:space="preserve"> ROW( data_scaledImpacts[[#This Row],[row_id]] ) - ROW( data_scaledImpacts[[#Headers],[row_id]] )</f>
        <v>2485</v>
      </c>
      <c r="B2486" s="41" t="str">
        <f xml:space="preserve"> _xlfn.TEXTJOIN( "", , data_scaledImpacts[[#This Row],[sector]:[impactType]] )</f>
        <v>CILAgricultureCanESM23Without CO2 FertilizationCotton</v>
      </c>
      <c r="C2486" s="33" t="s">
        <v>1224</v>
      </c>
      <c r="D2486" s="33" t="s">
        <v>0</v>
      </c>
      <c r="E2486" s="34">
        <v>3</v>
      </c>
      <c r="F2486" s="34"/>
      <c r="G2486" s="34" t="s">
        <v>1159</v>
      </c>
      <c r="H2486" t="s">
        <v>1161</v>
      </c>
      <c r="I2486" s="43" t="s">
        <v>49</v>
      </c>
      <c r="J2486" s="96">
        <v>31360081.728788696</v>
      </c>
      <c r="K2486" s="36">
        <v>0</v>
      </c>
      <c r="L2486" s="36">
        <v>0</v>
      </c>
      <c r="M2486" s="36">
        <v>0</v>
      </c>
      <c r="N2486" s="36">
        <v>817266386.59026337</v>
      </c>
      <c r="O2486" s="36">
        <v>617041067.59411144</v>
      </c>
      <c r="P2486" s="110">
        <v>601741402.21534503</v>
      </c>
    </row>
    <row r="2487" spans="1:16" hidden="1" x14ac:dyDescent="0.35">
      <c r="A2487" s="3">
        <f xml:space="preserve"> ROW( data_scaledImpacts[[#This Row],[row_id]] ) - ROW( data_scaledImpacts[[#Headers],[row_id]] )</f>
        <v>2486</v>
      </c>
      <c r="B2487" s="41" t="str">
        <f xml:space="preserve"> _xlfn.TEXTJOIN( "", , data_scaledImpacts[[#This Row],[sector]:[impactType]] )</f>
        <v>CILAgricultureCanESM24Without CO2 FertilizationCotton</v>
      </c>
      <c r="C2487" s="33" t="s">
        <v>1224</v>
      </c>
      <c r="D2487" s="33" t="s">
        <v>0</v>
      </c>
      <c r="E2487" s="34">
        <v>4</v>
      </c>
      <c r="F2487" s="34"/>
      <c r="G2487" s="34" t="s">
        <v>1159</v>
      </c>
      <c r="H2487" t="s">
        <v>1161</v>
      </c>
      <c r="I2487" s="43" t="s">
        <v>56</v>
      </c>
      <c r="J2487" s="96">
        <v>44210087.352122553</v>
      </c>
      <c r="K2487" s="36">
        <v>0</v>
      </c>
      <c r="L2487" s="36">
        <v>0</v>
      </c>
      <c r="M2487" s="36">
        <v>0</v>
      </c>
      <c r="N2487" s="36">
        <v>997184814.06970847</v>
      </c>
      <c r="O2487" s="36">
        <v>786283965.5898155</v>
      </c>
      <c r="P2487" s="110">
        <v>779841083.43874741</v>
      </c>
    </row>
    <row r="2488" spans="1:16" hidden="1" x14ac:dyDescent="0.35">
      <c r="A2488" s="3">
        <f xml:space="preserve"> ROW( data_scaledImpacts[[#This Row],[row_id]] ) - ROW( data_scaledImpacts[[#Headers],[row_id]] )</f>
        <v>2487</v>
      </c>
      <c r="B2488" s="41" t="str">
        <f xml:space="preserve"> _xlfn.TEXTJOIN( "", , data_scaledImpacts[[#This Row],[sector]:[impactType]] )</f>
        <v>CILAgricultureCanESM25Without CO2 FertilizationCotton</v>
      </c>
      <c r="C2488" s="33" t="s">
        <v>1224</v>
      </c>
      <c r="D2488" s="33" t="s">
        <v>0</v>
      </c>
      <c r="E2488" s="34">
        <v>5</v>
      </c>
      <c r="F2488" s="34"/>
      <c r="G2488" s="34" t="s">
        <v>1159</v>
      </c>
      <c r="H2488" t="s">
        <v>1161</v>
      </c>
      <c r="I2488" s="43" t="s">
        <v>63</v>
      </c>
      <c r="J2488" s="96">
        <v>71959444.773690805</v>
      </c>
      <c r="K2488" s="36">
        <v>0</v>
      </c>
      <c r="L2488" s="36">
        <v>0</v>
      </c>
      <c r="M2488" s="36">
        <v>0</v>
      </c>
      <c r="N2488" s="36">
        <v>1526374946.9853446</v>
      </c>
      <c r="O2488" s="36">
        <v>1005086025.932236</v>
      </c>
      <c r="P2488" s="110">
        <v>1052826187.6410251</v>
      </c>
    </row>
    <row r="2489" spans="1:16" hidden="1" x14ac:dyDescent="0.35">
      <c r="A2489" s="3">
        <f xml:space="preserve"> ROW( data_scaledImpacts[[#This Row],[row_id]] ) - ROW( data_scaledImpacts[[#Headers],[row_id]] )</f>
        <v>2488</v>
      </c>
      <c r="B2489" s="41" t="str">
        <f xml:space="preserve"> _xlfn.TEXTJOIN( "", , data_scaledImpacts[[#This Row],[sector]:[impactType]] )</f>
        <v>CILAgricultureCanESM26Without CO2 FertilizationCotton</v>
      </c>
      <c r="C2489" s="33" t="s">
        <v>1224</v>
      </c>
      <c r="D2489" s="33" t="s">
        <v>0</v>
      </c>
      <c r="E2489" s="34">
        <v>6</v>
      </c>
      <c r="F2489" s="34"/>
      <c r="G2489" s="34" t="s">
        <v>1159</v>
      </c>
      <c r="H2489" t="s">
        <v>1161</v>
      </c>
      <c r="I2489" s="43" t="s">
        <v>70</v>
      </c>
      <c r="J2489" s="96">
        <v>118224269.85502328</v>
      </c>
      <c r="K2489" s="36">
        <v>0</v>
      </c>
      <c r="L2489" s="36">
        <v>0</v>
      </c>
      <c r="M2489" s="36">
        <v>0</v>
      </c>
      <c r="N2489" s="36">
        <v>2181453208.1020474</v>
      </c>
      <c r="O2489" s="36">
        <v>1412571431.6375306</v>
      </c>
      <c r="P2489" s="110">
        <v>1363881264.8748579</v>
      </c>
    </row>
    <row r="2490" spans="1:16" hidden="1" x14ac:dyDescent="0.35">
      <c r="A2490" s="3">
        <f xml:space="preserve"> ROW( data_scaledImpacts[[#This Row],[row_id]] ) - ROW( data_scaledImpacts[[#Headers],[row_id]] )</f>
        <v>2489</v>
      </c>
      <c r="B2490" s="41" t="str">
        <f xml:space="preserve"> _xlfn.TEXTJOIN( "", , data_scaledImpacts[[#This Row],[sector]:[impactType]] )</f>
        <v>CILAgricultureCCSM41Without CO2 FertilizationCotton</v>
      </c>
      <c r="C2490" s="33" t="s">
        <v>1224</v>
      </c>
      <c r="D2490" s="33" t="s">
        <v>1</v>
      </c>
      <c r="E2490" s="34">
        <v>1</v>
      </c>
      <c r="F2490" s="34"/>
      <c r="G2490" s="34" t="s">
        <v>1159</v>
      </c>
      <c r="H2490" t="s">
        <v>1161</v>
      </c>
      <c r="I2490" s="43" t="s">
        <v>36</v>
      </c>
      <c r="J2490" s="96">
        <v>6094284.7676320039</v>
      </c>
      <c r="K2490" s="36">
        <v>0</v>
      </c>
      <c r="L2490" s="36">
        <v>0</v>
      </c>
      <c r="M2490" s="36">
        <v>0</v>
      </c>
      <c r="N2490" s="36">
        <v>69607740.146431208</v>
      </c>
      <c r="O2490" s="36">
        <v>-46125894.817557961</v>
      </c>
      <c r="P2490" s="110">
        <v>18908245.771188915</v>
      </c>
    </row>
    <row r="2491" spans="1:16" hidden="1" x14ac:dyDescent="0.35">
      <c r="A2491" s="3">
        <f xml:space="preserve"> ROW( data_scaledImpacts[[#This Row],[row_id]] ) - ROW( data_scaledImpacts[[#Headers],[row_id]] )</f>
        <v>2490</v>
      </c>
      <c r="B2491" s="41" t="str">
        <f xml:space="preserve"> _xlfn.TEXTJOIN( "", , data_scaledImpacts[[#This Row],[sector]:[impactType]] )</f>
        <v>CILAgricultureCCSM42Without CO2 FertilizationCotton</v>
      </c>
      <c r="C2491" s="33" t="s">
        <v>1224</v>
      </c>
      <c r="D2491" s="33" t="s">
        <v>1</v>
      </c>
      <c r="E2491" s="34">
        <v>2</v>
      </c>
      <c r="F2491" s="34"/>
      <c r="G2491" s="34" t="s">
        <v>1159</v>
      </c>
      <c r="H2491" t="s">
        <v>1161</v>
      </c>
      <c r="I2491" s="43" t="s">
        <v>43</v>
      </c>
      <c r="J2491" s="96">
        <v>15479904.209792156</v>
      </c>
      <c r="K2491" s="36">
        <v>0</v>
      </c>
      <c r="L2491" s="36">
        <v>0</v>
      </c>
      <c r="M2491" s="36">
        <v>0</v>
      </c>
      <c r="N2491" s="36">
        <v>290862727.07455552</v>
      </c>
      <c r="O2491" s="36">
        <v>192683328.32237813</v>
      </c>
      <c r="P2491" s="110">
        <v>267669217.49607176</v>
      </c>
    </row>
    <row r="2492" spans="1:16" hidden="1" x14ac:dyDescent="0.35">
      <c r="A2492" s="3">
        <f xml:space="preserve"> ROW( data_scaledImpacts[[#This Row],[row_id]] ) - ROW( data_scaledImpacts[[#Headers],[row_id]] )</f>
        <v>2491</v>
      </c>
      <c r="B2492" s="41" t="str">
        <f xml:space="preserve"> _xlfn.TEXTJOIN( "", , data_scaledImpacts[[#This Row],[sector]:[impactType]] )</f>
        <v>CILAgricultureCCSM43Without CO2 FertilizationCotton</v>
      </c>
      <c r="C2492" s="33" t="s">
        <v>1224</v>
      </c>
      <c r="D2492" s="33" t="s">
        <v>1</v>
      </c>
      <c r="E2492" s="34">
        <v>3</v>
      </c>
      <c r="F2492" s="34"/>
      <c r="G2492" s="34" t="s">
        <v>1159</v>
      </c>
      <c r="H2492" t="s">
        <v>1161</v>
      </c>
      <c r="I2492" s="43" t="s">
        <v>50</v>
      </c>
      <c r="J2492" s="96">
        <v>36730656.943325453</v>
      </c>
      <c r="K2492" s="36">
        <v>0</v>
      </c>
      <c r="L2492" s="36">
        <v>0</v>
      </c>
      <c r="M2492" s="36">
        <v>0</v>
      </c>
      <c r="N2492" s="36">
        <v>609544569.64424276</v>
      </c>
      <c r="O2492" s="36">
        <v>379029278.10623175</v>
      </c>
      <c r="P2492" s="110">
        <v>681888056.70951605</v>
      </c>
    </row>
    <row r="2493" spans="1:16" hidden="1" x14ac:dyDescent="0.35">
      <c r="A2493" s="3">
        <f xml:space="preserve"> ROW( data_scaledImpacts[[#This Row],[row_id]] ) - ROW( data_scaledImpacts[[#Headers],[row_id]] )</f>
        <v>2492</v>
      </c>
      <c r="B2493" s="41" t="str">
        <f xml:space="preserve"> _xlfn.TEXTJOIN( "", , data_scaledImpacts[[#This Row],[sector]:[impactType]] )</f>
        <v>CILAgricultureCCSM44Without CO2 FertilizationCotton</v>
      </c>
      <c r="C2493" s="33" t="s">
        <v>1224</v>
      </c>
      <c r="D2493" s="33" t="s">
        <v>1</v>
      </c>
      <c r="E2493" s="34">
        <v>4</v>
      </c>
      <c r="F2493" s="34"/>
      <c r="G2493" s="34" t="s">
        <v>1159</v>
      </c>
      <c r="H2493" t="s">
        <v>1161</v>
      </c>
      <c r="I2493" s="43" t="s">
        <v>57</v>
      </c>
      <c r="J2493" s="96">
        <v>79222250.273615941</v>
      </c>
      <c r="K2493" s="36">
        <v>0</v>
      </c>
      <c r="L2493" s="36">
        <v>0</v>
      </c>
      <c r="M2493" s="36">
        <v>0</v>
      </c>
      <c r="N2493" s="36">
        <v>1346698224.9785633</v>
      </c>
      <c r="O2493" s="36">
        <v>785895245.96100307</v>
      </c>
      <c r="P2493" s="110">
        <v>948040128.01190269</v>
      </c>
    </row>
    <row r="2494" spans="1:16" hidden="1" x14ac:dyDescent="0.35">
      <c r="A2494" s="3">
        <f xml:space="preserve"> ROW( data_scaledImpacts[[#This Row],[row_id]] ) - ROW( data_scaledImpacts[[#Headers],[row_id]] )</f>
        <v>2493</v>
      </c>
      <c r="B2494" s="41" t="str">
        <f xml:space="preserve"> _xlfn.TEXTJOIN( "", , data_scaledImpacts[[#This Row],[sector]:[impactType]] )</f>
        <v>CILAgricultureCCSM45Without CO2 FertilizationCotton</v>
      </c>
      <c r="C2494" s="33" t="s">
        <v>1224</v>
      </c>
      <c r="D2494" s="33" t="s">
        <v>1</v>
      </c>
      <c r="E2494" s="34">
        <v>5</v>
      </c>
      <c r="F2494" s="34"/>
      <c r="G2494" s="34" t="s">
        <v>1159</v>
      </c>
      <c r="H2494" t="s">
        <v>1161</v>
      </c>
      <c r="I2494" s="43" t="s">
        <v>64</v>
      </c>
      <c r="J2494" s="96">
        <v>96705725.767862603</v>
      </c>
      <c r="K2494" s="36">
        <v>0</v>
      </c>
      <c r="L2494" s="36">
        <v>0</v>
      </c>
      <c r="M2494" s="36">
        <v>0</v>
      </c>
      <c r="N2494" s="36">
        <v>1721334164.039458</v>
      </c>
      <c r="O2494" s="36">
        <v>1009683284.7543278</v>
      </c>
      <c r="P2494" s="110">
        <v>1145528718.4416132</v>
      </c>
    </row>
    <row r="2495" spans="1:16" hidden="1" x14ac:dyDescent="0.35">
      <c r="A2495" s="3">
        <f xml:space="preserve"> ROW( data_scaledImpacts[[#This Row],[row_id]] ) - ROW( data_scaledImpacts[[#Headers],[row_id]] )</f>
        <v>2494</v>
      </c>
      <c r="B2495" s="41" t="str">
        <f xml:space="preserve"> _xlfn.TEXTJOIN( "", , data_scaledImpacts[[#This Row],[sector]:[impactType]] )</f>
        <v>CILAgricultureGFDL-CM31Without CO2 FertilizationCotton</v>
      </c>
      <c r="C2495" s="33" t="s">
        <v>1224</v>
      </c>
      <c r="D2495" s="33" t="s">
        <v>5</v>
      </c>
      <c r="E2495" s="34">
        <v>1</v>
      </c>
      <c r="F2495" s="34"/>
      <c r="G2495" s="34" t="s">
        <v>1159</v>
      </c>
      <c r="H2495" t="s">
        <v>1161</v>
      </c>
      <c r="I2495" s="43" t="s">
        <v>40</v>
      </c>
      <c r="J2495" s="96">
        <v>-7933278.2093286728</v>
      </c>
      <c r="K2495" s="36">
        <v>0</v>
      </c>
      <c r="L2495" s="36">
        <v>0</v>
      </c>
      <c r="M2495" s="36">
        <v>0</v>
      </c>
      <c r="N2495" s="36">
        <v>-167274918.072891</v>
      </c>
      <c r="O2495" s="36">
        <v>20437219.817606948</v>
      </c>
      <c r="P2495" s="110">
        <v>-67988208.780098215</v>
      </c>
    </row>
    <row r="2496" spans="1:16" hidden="1" x14ac:dyDescent="0.35">
      <c r="A2496" s="3">
        <f xml:space="preserve"> ROW( data_scaledImpacts[[#This Row],[row_id]] ) - ROW( data_scaledImpacts[[#Headers],[row_id]] )</f>
        <v>2495</v>
      </c>
      <c r="B2496" s="41" t="str">
        <f xml:space="preserve"> _xlfn.TEXTJOIN( "", , data_scaledImpacts[[#This Row],[sector]:[impactType]] )</f>
        <v>CILAgricultureGFDL-CM32Without CO2 FertilizationCotton</v>
      </c>
      <c r="C2496" s="33" t="s">
        <v>1224</v>
      </c>
      <c r="D2496" s="33" t="s">
        <v>5</v>
      </c>
      <c r="E2496" s="34">
        <v>2</v>
      </c>
      <c r="F2496" s="34"/>
      <c r="G2496" s="34" t="s">
        <v>1159</v>
      </c>
      <c r="H2496" t="s">
        <v>1161</v>
      </c>
      <c r="I2496" s="43" t="s">
        <v>47</v>
      </c>
      <c r="J2496" s="96">
        <v>5240075.0083541423</v>
      </c>
      <c r="K2496" s="36">
        <v>0</v>
      </c>
      <c r="L2496" s="36">
        <v>0</v>
      </c>
      <c r="M2496" s="36">
        <v>0</v>
      </c>
      <c r="N2496" s="36">
        <v>85588812.281972811</v>
      </c>
      <c r="O2496" s="36">
        <v>213230465.48557433</v>
      </c>
      <c r="P2496" s="110">
        <v>264872134.61400938</v>
      </c>
    </row>
    <row r="2497" spans="1:16" hidden="1" x14ac:dyDescent="0.35">
      <c r="A2497" s="3">
        <f xml:space="preserve"> ROW( data_scaledImpacts[[#This Row],[row_id]] ) - ROW( data_scaledImpacts[[#Headers],[row_id]] )</f>
        <v>2496</v>
      </c>
      <c r="B2497" s="41" t="str">
        <f xml:space="preserve"> _xlfn.TEXTJOIN( "", , data_scaledImpacts[[#This Row],[sector]:[impactType]] )</f>
        <v>CILAgricultureGFDL-CM33Without CO2 FertilizationCotton</v>
      </c>
      <c r="C2497" s="33" t="s">
        <v>1224</v>
      </c>
      <c r="D2497" s="33" t="s">
        <v>5</v>
      </c>
      <c r="E2497" s="34">
        <v>3</v>
      </c>
      <c r="F2497" s="34"/>
      <c r="G2497" s="34" t="s">
        <v>1159</v>
      </c>
      <c r="H2497" t="s">
        <v>1161</v>
      </c>
      <c r="I2497" s="43" t="s">
        <v>54</v>
      </c>
      <c r="J2497" s="96">
        <v>14811222.265674243</v>
      </c>
      <c r="K2497" s="36">
        <v>0</v>
      </c>
      <c r="L2497" s="36">
        <v>0</v>
      </c>
      <c r="M2497" s="36">
        <v>0</v>
      </c>
      <c r="N2497" s="36">
        <v>417297545.79178256</v>
      </c>
      <c r="O2497" s="36">
        <v>552172434.3833921</v>
      </c>
      <c r="P2497" s="110">
        <v>799082798.46879458</v>
      </c>
    </row>
    <row r="2498" spans="1:16" hidden="1" x14ac:dyDescent="0.35">
      <c r="A2498" s="3">
        <f xml:space="preserve"> ROW( data_scaledImpacts[[#This Row],[row_id]] ) - ROW( data_scaledImpacts[[#Headers],[row_id]] )</f>
        <v>2497</v>
      </c>
      <c r="B2498" s="41" t="str">
        <f xml:space="preserve"> _xlfn.TEXTJOIN( "", , data_scaledImpacts[[#This Row],[sector]:[impactType]] )</f>
        <v>CILAgricultureGFDL-CM34Without CO2 FertilizationCotton</v>
      </c>
      <c r="C2498" s="33" t="s">
        <v>1224</v>
      </c>
      <c r="D2498" s="33" t="s">
        <v>5</v>
      </c>
      <c r="E2498" s="34">
        <v>4</v>
      </c>
      <c r="F2498" s="34"/>
      <c r="G2498" s="34" t="s">
        <v>1159</v>
      </c>
      <c r="H2498" t="s">
        <v>1161</v>
      </c>
      <c r="I2498" s="43" t="s">
        <v>61</v>
      </c>
      <c r="J2498" s="96">
        <v>47702731.971753873</v>
      </c>
      <c r="K2498" s="36">
        <v>0</v>
      </c>
      <c r="L2498" s="36">
        <v>0</v>
      </c>
      <c r="M2498" s="36">
        <v>0</v>
      </c>
      <c r="N2498" s="36">
        <v>869474517.16705</v>
      </c>
      <c r="O2498" s="36">
        <v>985409003.5880475</v>
      </c>
      <c r="P2498" s="110">
        <v>1142532317.6205566</v>
      </c>
    </row>
    <row r="2499" spans="1:16" hidden="1" x14ac:dyDescent="0.35">
      <c r="A2499" s="3">
        <f xml:space="preserve"> ROW( data_scaledImpacts[[#This Row],[row_id]] ) - ROW( data_scaledImpacts[[#Headers],[row_id]] )</f>
        <v>2498</v>
      </c>
      <c r="B2499" s="41" t="str">
        <f xml:space="preserve"> _xlfn.TEXTJOIN( "", , data_scaledImpacts[[#This Row],[sector]:[impactType]] )</f>
        <v>CILAgricultureGFDL-CM35Without CO2 FertilizationCotton</v>
      </c>
      <c r="C2499" s="33" t="s">
        <v>1224</v>
      </c>
      <c r="D2499" s="33" t="s">
        <v>5</v>
      </c>
      <c r="E2499" s="34">
        <v>5</v>
      </c>
      <c r="F2499" s="34"/>
      <c r="G2499" s="34" t="s">
        <v>1159</v>
      </c>
      <c r="H2499" t="s">
        <v>1161</v>
      </c>
      <c r="I2499" s="43" t="s">
        <v>68</v>
      </c>
      <c r="J2499" s="96">
        <v>115077347.48210292</v>
      </c>
      <c r="K2499" s="36">
        <v>0</v>
      </c>
      <c r="L2499" s="36">
        <v>0</v>
      </c>
      <c r="M2499" s="36">
        <v>0</v>
      </c>
      <c r="N2499" s="36">
        <v>1943602973.138886</v>
      </c>
      <c r="O2499" s="36">
        <v>1810352723.8246484</v>
      </c>
      <c r="P2499" s="110">
        <v>1395942031.827677</v>
      </c>
    </row>
    <row r="2500" spans="1:16" hidden="1" x14ac:dyDescent="0.35">
      <c r="A2500" s="3">
        <f xml:space="preserve"> ROW( data_scaledImpacts[[#This Row],[row_id]] ) - ROW( data_scaledImpacts[[#Headers],[row_id]] )</f>
        <v>2499</v>
      </c>
      <c r="B2500" s="41" t="str">
        <f xml:space="preserve"> _xlfn.TEXTJOIN( "", , data_scaledImpacts[[#This Row],[sector]:[impactType]] )</f>
        <v>CILAgricultureGFDL-CM36Without CO2 FertilizationCotton</v>
      </c>
      <c r="C2500" s="33" t="s">
        <v>1224</v>
      </c>
      <c r="D2500" s="33" t="s">
        <v>5</v>
      </c>
      <c r="E2500" s="34">
        <v>6</v>
      </c>
      <c r="F2500" s="34"/>
      <c r="G2500" s="34" t="s">
        <v>1159</v>
      </c>
      <c r="H2500" t="s">
        <v>1161</v>
      </c>
      <c r="I2500" s="43" t="s">
        <v>75</v>
      </c>
      <c r="J2500" s="96">
        <v>127610006.22925834</v>
      </c>
      <c r="K2500" s="36">
        <v>0</v>
      </c>
      <c r="L2500" s="36">
        <v>0</v>
      </c>
      <c r="M2500" s="36">
        <v>0</v>
      </c>
      <c r="N2500" s="36">
        <v>2274111812.1107893</v>
      </c>
      <c r="O2500" s="36">
        <v>1857335402.5492489</v>
      </c>
      <c r="P2500" s="110">
        <v>1700392699.8402457</v>
      </c>
    </row>
    <row r="2501" spans="1:16" hidden="1" x14ac:dyDescent="0.35">
      <c r="A2501" s="3">
        <f xml:space="preserve"> ROW( data_scaledImpacts[[#This Row],[row_id]] ) - ROW( data_scaledImpacts[[#Headers],[row_id]] )</f>
        <v>2500</v>
      </c>
      <c r="B2501" s="41" t="str">
        <f xml:space="preserve"> _xlfn.TEXTJOIN( "", , data_scaledImpacts[[#This Row],[sector]:[impactType]] )</f>
        <v>CILAgricultureGISS-E2-R1Without CO2 FertilizationCotton</v>
      </c>
      <c r="C2501" s="33" t="s">
        <v>1224</v>
      </c>
      <c r="D2501" s="33" t="s">
        <v>2</v>
      </c>
      <c r="E2501" s="34">
        <v>1</v>
      </c>
      <c r="F2501" s="34"/>
      <c r="G2501" s="34" t="s">
        <v>1159</v>
      </c>
      <c r="H2501" t="s">
        <v>1161</v>
      </c>
      <c r="I2501" s="43" t="s">
        <v>37</v>
      </c>
      <c r="J2501" s="96">
        <v>-2511430.3339925366</v>
      </c>
      <c r="K2501" s="36">
        <v>0</v>
      </c>
      <c r="L2501" s="36">
        <v>0</v>
      </c>
      <c r="M2501" s="36">
        <v>0</v>
      </c>
      <c r="N2501" s="36">
        <v>-258508863.02712363</v>
      </c>
      <c r="O2501" s="36">
        <v>190903024.9609589</v>
      </c>
      <c r="P2501" s="110">
        <v>209536938.02901313</v>
      </c>
    </row>
    <row r="2502" spans="1:16" hidden="1" x14ac:dyDescent="0.35">
      <c r="A2502" s="3">
        <f xml:space="preserve"> ROW( data_scaledImpacts[[#This Row],[row_id]] ) - ROW( data_scaledImpacts[[#Headers],[row_id]] )</f>
        <v>2501</v>
      </c>
      <c r="B2502" s="41" t="str">
        <f xml:space="preserve"> _xlfn.TEXTJOIN( "", , data_scaledImpacts[[#This Row],[sector]:[impactType]] )</f>
        <v>CILAgricultureGISS-E2-R2Without CO2 FertilizationCotton</v>
      </c>
      <c r="C2502" s="33" t="s">
        <v>1224</v>
      </c>
      <c r="D2502" s="33" t="s">
        <v>2</v>
      </c>
      <c r="E2502" s="34">
        <v>2</v>
      </c>
      <c r="F2502" s="34"/>
      <c r="G2502" s="34" t="s">
        <v>1159</v>
      </c>
      <c r="H2502" t="s">
        <v>1161</v>
      </c>
      <c r="I2502" s="43" t="s">
        <v>44</v>
      </c>
      <c r="J2502" s="96">
        <v>531208.10088838788</v>
      </c>
      <c r="K2502" s="36">
        <v>0</v>
      </c>
      <c r="L2502" s="36">
        <v>0</v>
      </c>
      <c r="M2502" s="36">
        <v>0</v>
      </c>
      <c r="N2502" s="36">
        <v>-138721538.54980955</v>
      </c>
      <c r="O2502" s="36">
        <v>272614465.08990932</v>
      </c>
      <c r="P2502" s="110">
        <v>446846706.00428063</v>
      </c>
    </row>
    <row r="2503" spans="1:16" hidden="1" x14ac:dyDescent="0.35">
      <c r="A2503" s="3">
        <f xml:space="preserve"> ROW( data_scaledImpacts[[#This Row],[row_id]] ) - ROW( data_scaledImpacts[[#Headers],[row_id]] )</f>
        <v>2502</v>
      </c>
      <c r="B2503" s="41" t="str">
        <f xml:space="preserve"> _xlfn.TEXTJOIN( "", , data_scaledImpacts[[#This Row],[sector]:[impactType]] )</f>
        <v>CILAgricultureGISS-E2-R3Without CO2 FertilizationCotton</v>
      </c>
      <c r="C2503" s="33" t="s">
        <v>1224</v>
      </c>
      <c r="D2503" s="33" t="s">
        <v>2</v>
      </c>
      <c r="E2503" s="34">
        <v>3</v>
      </c>
      <c r="F2503" s="34"/>
      <c r="G2503" s="34" t="s">
        <v>1159</v>
      </c>
      <c r="H2503" t="s">
        <v>1161</v>
      </c>
      <c r="I2503" s="43" t="s">
        <v>51</v>
      </c>
      <c r="J2503" s="96">
        <v>16590542.393076969</v>
      </c>
      <c r="K2503" s="36">
        <v>0</v>
      </c>
      <c r="L2503" s="36">
        <v>0</v>
      </c>
      <c r="M2503" s="36">
        <v>0</v>
      </c>
      <c r="N2503" s="36">
        <v>203781836.70191807</v>
      </c>
      <c r="O2503" s="36">
        <v>883319811.08843219</v>
      </c>
      <c r="P2503" s="110">
        <v>1051796773.7139201</v>
      </c>
    </row>
    <row r="2504" spans="1:16" hidden="1" x14ac:dyDescent="0.35">
      <c r="A2504" s="3">
        <f xml:space="preserve"> ROW( data_scaledImpacts[[#This Row],[row_id]] ) - ROW( data_scaledImpacts[[#Headers],[row_id]] )</f>
        <v>2503</v>
      </c>
      <c r="B2504" s="41" t="str">
        <f xml:space="preserve"> _xlfn.TEXTJOIN( "", , data_scaledImpacts[[#This Row],[sector]:[impactType]] )</f>
        <v>CILAgricultureHadGEM2-ES1Without CO2 FertilizationCotton</v>
      </c>
      <c r="C2504" s="33" t="s">
        <v>1224</v>
      </c>
      <c r="D2504" s="33" t="s">
        <v>3</v>
      </c>
      <c r="E2504" s="34">
        <v>1</v>
      </c>
      <c r="F2504" s="34"/>
      <c r="G2504" s="34" t="s">
        <v>1159</v>
      </c>
      <c r="H2504" t="s">
        <v>1161</v>
      </c>
      <c r="I2504" s="43" t="s">
        <v>38</v>
      </c>
      <c r="J2504" s="96">
        <v>-6531285.6060985792</v>
      </c>
      <c r="K2504" s="36">
        <v>0</v>
      </c>
      <c r="L2504" s="36">
        <v>0</v>
      </c>
      <c r="M2504" s="36">
        <v>0</v>
      </c>
      <c r="N2504" s="36">
        <v>-112943304.53098707</v>
      </c>
      <c r="O2504" s="36">
        <v>59896074.723398015</v>
      </c>
      <c r="P2504" s="110">
        <v>102661269.27002999</v>
      </c>
    </row>
    <row r="2505" spans="1:16" hidden="1" x14ac:dyDescent="0.35">
      <c r="A2505" s="3">
        <f xml:space="preserve"> ROW( data_scaledImpacts[[#This Row],[row_id]] ) - ROW( data_scaledImpacts[[#Headers],[row_id]] )</f>
        <v>2504</v>
      </c>
      <c r="B2505" s="41" t="str">
        <f xml:space="preserve"> _xlfn.TEXTJOIN( "", , data_scaledImpacts[[#This Row],[sector]:[impactType]] )</f>
        <v>CILAgricultureHadGEM2-ES2Without CO2 FertilizationCotton</v>
      </c>
      <c r="C2505" s="33" t="s">
        <v>1224</v>
      </c>
      <c r="D2505" s="33" t="s">
        <v>3</v>
      </c>
      <c r="E2505" s="34">
        <v>2</v>
      </c>
      <c r="F2505" s="34"/>
      <c r="G2505" s="34" t="s">
        <v>1159</v>
      </c>
      <c r="H2505" t="s">
        <v>1161</v>
      </c>
      <c r="I2505" s="43" t="s">
        <v>45</v>
      </c>
      <c r="J2505" s="96">
        <v>16866510.507238895</v>
      </c>
      <c r="K2505" s="36">
        <v>0</v>
      </c>
      <c r="L2505" s="36">
        <v>0</v>
      </c>
      <c r="M2505" s="36">
        <v>0</v>
      </c>
      <c r="N2505" s="36">
        <v>270126171.68076044</v>
      </c>
      <c r="O2505" s="36">
        <v>313988761.10512799</v>
      </c>
      <c r="P2505" s="110">
        <v>329331662.1412642</v>
      </c>
    </row>
    <row r="2506" spans="1:16" hidden="1" x14ac:dyDescent="0.35">
      <c r="A2506" s="3">
        <f xml:space="preserve"> ROW( data_scaledImpacts[[#This Row],[row_id]] ) - ROW( data_scaledImpacts[[#Headers],[row_id]] )</f>
        <v>2505</v>
      </c>
      <c r="B2506" s="41" t="str">
        <f xml:space="preserve"> _xlfn.TEXTJOIN( "", , data_scaledImpacts[[#This Row],[sector]:[impactType]] )</f>
        <v>CILAgricultureHadGEM2-ES3Without CO2 FertilizationCotton</v>
      </c>
      <c r="C2506" s="33" t="s">
        <v>1224</v>
      </c>
      <c r="D2506" s="33" t="s">
        <v>3</v>
      </c>
      <c r="E2506" s="34">
        <v>3</v>
      </c>
      <c r="F2506" s="34"/>
      <c r="G2506" s="34" t="s">
        <v>1159</v>
      </c>
      <c r="H2506" t="s">
        <v>1161</v>
      </c>
      <c r="I2506" s="43" t="s">
        <v>52</v>
      </c>
      <c r="J2506" s="96">
        <v>92017997.826228961</v>
      </c>
      <c r="K2506" s="36">
        <v>0</v>
      </c>
      <c r="L2506" s="36">
        <v>0</v>
      </c>
      <c r="M2506" s="36">
        <v>0</v>
      </c>
      <c r="N2506" s="36">
        <v>1161519788.2878084</v>
      </c>
      <c r="O2506" s="36">
        <v>630773238.83066487</v>
      </c>
      <c r="P2506" s="110">
        <v>652845820.83457863</v>
      </c>
    </row>
    <row r="2507" spans="1:16" hidden="1" x14ac:dyDescent="0.35">
      <c r="A2507" s="3">
        <f xml:space="preserve"> ROW( data_scaledImpacts[[#This Row],[row_id]] ) - ROW( data_scaledImpacts[[#Headers],[row_id]] )</f>
        <v>2506</v>
      </c>
      <c r="B2507" s="41" t="str">
        <f xml:space="preserve"> _xlfn.TEXTJOIN( "", , data_scaledImpacts[[#This Row],[sector]:[impactType]] )</f>
        <v>CILAgricultureHadGEM2-ES4Without CO2 FertilizationCotton</v>
      </c>
      <c r="C2507" s="33" t="s">
        <v>1224</v>
      </c>
      <c r="D2507" s="33" t="s">
        <v>3</v>
      </c>
      <c r="E2507" s="34">
        <v>4</v>
      </c>
      <c r="F2507" s="34"/>
      <c r="G2507" s="34" t="s">
        <v>1159</v>
      </c>
      <c r="H2507" t="s">
        <v>1161</v>
      </c>
      <c r="I2507" s="43" t="s">
        <v>59</v>
      </c>
      <c r="J2507" s="96">
        <v>126821767.21978767</v>
      </c>
      <c r="K2507" s="36">
        <v>0</v>
      </c>
      <c r="L2507" s="36">
        <v>0</v>
      </c>
      <c r="M2507" s="36">
        <v>0</v>
      </c>
      <c r="N2507" s="36">
        <v>1950855225.6581953</v>
      </c>
      <c r="O2507" s="36">
        <v>709839202.04915142</v>
      </c>
      <c r="P2507" s="110">
        <v>815940045.26204109</v>
      </c>
    </row>
    <row r="2508" spans="1:16" hidden="1" x14ac:dyDescent="0.35">
      <c r="A2508" s="3">
        <f xml:space="preserve"> ROW( data_scaledImpacts[[#This Row],[row_id]] ) - ROW( data_scaledImpacts[[#Headers],[row_id]] )</f>
        <v>2507</v>
      </c>
      <c r="B2508" s="41" t="str">
        <f xml:space="preserve"> _xlfn.TEXTJOIN( "", , data_scaledImpacts[[#This Row],[sector]:[impactType]] )</f>
        <v>CILAgricultureHadGEM2-ES5Without CO2 FertilizationCotton</v>
      </c>
      <c r="C2508" s="33" t="s">
        <v>1224</v>
      </c>
      <c r="D2508" s="33" t="s">
        <v>3</v>
      </c>
      <c r="E2508" s="34">
        <v>5</v>
      </c>
      <c r="F2508" s="34"/>
      <c r="G2508" s="34" t="s">
        <v>1159</v>
      </c>
      <c r="H2508" t="s">
        <v>1161</v>
      </c>
      <c r="I2508" s="43" t="s">
        <v>66</v>
      </c>
      <c r="J2508" s="96">
        <v>153661789.68041363</v>
      </c>
      <c r="K2508" s="36">
        <v>0</v>
      </c>
      <c r="L2508" s="36">
        <v>0</v>
      </c>
      <c r="M2508" s="36">
        <v>0</v>
      </c>
      <c r="N2508" s="36">
        <v>2449319102.3030634</v>
      </c>
      <c r="O2508" s="36">
        <v>918251082.42467976</v>
      </c>
      <c r="P2508" s="110">
        <v>982373267.9201467</v>
      </c>
    </row>
    <row r="2509" spans="1:16" hidden="1" x14ac:dyDescent="0.35">
      <c r="A2509" s="3">
        <f xml:space="preserve"> ROW( data_scaledImpacts[[#This Row],[row_id]] ) - ROW( data_scaledImpacts[[#Headers],[row_id]] )</f>
        <v>2508</v>
      </c>
      <c r="B2509" s="41" t="str">
        <f xml:space="preserve"> _xlfn.TEXTJOIN( "", , data_scaledImpacts[[#This Row],[sector]:[impactType]] )</f>
        <v>CILAgricultureHadGEM2-ES6Without CO2 FertilizationCotton</v>
      </c>
      <c r="C2509" s="33" t="s">
        <v>1224</v>
      </c>
      <c r="D2509" s="33" t="s">
        <v>3</v>
      </c>
      <c r="E2509" s="34">
        <v>6</v>
      </c>
      <c r="F2509" s="34"/>
      <c r="G2509" s="34" t="s">
        <v>1159</v>
      </c>
      <c r="H2509" t="s">
        <v>1161</v>
      </c>
      <c r="I2509" s="43" t="s">
        <v>73</v>
      </c>
      <c r="J2509" s="96">
        <v>170221279.6137982</v>
      </c>
      <c r="K2509" s="36">
        <v>0</v>
      </c>
      <c r="L2509" s="36">
        <v>0</v>
      </c>
      <c r="M2509" s="36">
        <v>0</v>
      </c>
      <c r="N2509" s="36">
        <v>2604147344.6004696</v>
      </c>
      <c r="O2509" s="36">
        <v>1124122704.6717818</v>
      </c>
      <c r="P2509" s="110">
        <v>1224490442.6817391</v>
      </c>
    </row>
    <row r="2510" spans="1:16" hidden="1" x14ac:dyDescent="0.35">
      <c r="A2510" s="3">
        <f xml:space="preserve"> ROW( data_scaledImpacts[[#This Row],[row_id]] ) - ROW( data_scaledImpacts[[#Headers],[row_id]] )</f>
        <v>2509</v>
      </c>
      <c r="B2510" s="41" t="str">
        <f xml:space="preserve"> _xlfn.TEXTJOIN( "", , data_scaledImpacts[[#This Row],[sector]:[impactType]] )</f>
        <v>CILAgricultureMIROC51Without CO2 FertilizationCotton</v>
      </c>
      <c r="C2510" s="33" t="s">
        <v>1224</v>
      </c>
      <c r="D2510" s="33" t="s">
        <v>4</v>
      </c>
      <c r="E2510" s="34">
        <v>1</v>
      </c>
      <c r="F2510" s="34"/>
      <c r="G2510" s="34" t="s">
        <v>1159</v>
      </c>
      <c r="H2510" t="s">
        <v>1161</v>
      </c>
      <c r="I2510" s="43" t="s">
        <v>39</v>
      </c>
      <c r="J2510" s="96">
        <v>1076294.1513565984</v>
      </c>
      <c r="K2510" s="36">
        <v>0</v>
      </c>
      <c r="L2510" s="36">
        <v>0</v>
      </c>
      <c r="M2510" s="36">
        <v>0</v>
      </c>
      <c r="N2510" s="36">
        <v>145827823.31317395</v>
      </c>
      <c r="O2510" s="36">
        <v>-58152714.670094319</v>
      </c>
      <c r="P2510" s="110">
        <v>-107857284.77277255</v>
      </c>
    </row>
    <row r="2511" spans="1:16" hidden="1" x14ac:dyDescent="0.35">
      <c r="A2511" s="3">
        <f xml:space="preserve"> ROW( data_scaledImpacts[[#This Row],[row_id]] ) - ROW( data_scaledImpacts[[#Headers],[row_id]] )</f>
        <v>2510</v>
      </c>
      <c r="B2511" s="41" t="str">
        <f xml:space="preserve"> _xlfn.TEXTJOIN( "", , data_scaledImpacts[[#This Row],[sector]:[impactType]] )</f>
        <v>CILAgricultureMIROC52Without CO2 FertilizationCotton</v>
      </c>
      <c r="C2511" s="33" t="s">
        <v>1224</v>
      </c>
      <c r="D2511" s="33" t="s">
        <v>4</v>
      </c>
      <c r="E2511" s="34">
        <v>2</v>
      </c>
      <c r="F2511" s="34"/>
      <c r="G2511" s="34" t="s">
        <v>1159</v>
      </c>
      <c r="H2511" t="s">
        <v>1161</v>
      </c>
      <c r="I2511" s="43" t="s">
        <v>46</v>
      </c>
      <c r="J2511" s="96">
        <v>22905844.132816091</v>
      </c>
      <c r="K2511" s="36">
        <v>0</v>
      </c>
      <c r="L2511" s="36">
        <v>0</v>
      </c>
      <c r="M2511" s="36">
        <v>0</v>
      </c>
      <c r="N2511" s="36">
        <v>677269708.56631958</v>
      </c>
      <c r="O2511" s="36">
        <v>212734975.4990738</v>
      </c>
      <c r="P2511" s="110">
        <v>151519624.77104777</v>
      </c>
    </row>
    <row r="2512" spans="1:16" hidden="1" x14ac:dyDescent="0.35">
      <c r="A2512" s="3">
        <f xml:space="preserve"> ROW( data_scaledImpacts[[#This Row],[row_id]] ) - ROW( data_scaledImpacts[[#Headers],[row_id]] )</f>
        <v>2511</v>
      </c>
      <c r="B2512" s="41" t="str">
        <f xml:space="preserve"> _xlfn.TEXTJOIN( "", , data_scaledImpacts[[#This Row],[sector]:[impactType]] )</f>
        <v>CILAgricultureMIROC53Without CO2 FertilizationCotton</v>
      </c>
      <c r="C2512" s="33" t="s">
        <v>1224</v>
      </c>
      <c r="D2512" s="33" t="s">
        <v>4</v>
      </c>
      <c r="E2512" s="34">
        <v>3</v>
      </c>
      <c r="F2512" s="34"/>
      <c r="G2512" s="34" t="s">
        <v>1159</v>
      </c>
      <c r="H2512" t="s">
        <v>1161</v>
      </c>
      <c r="I2512" s="43" t="s">
        <v>53</v>
      </c>
      <c r="J2512" s="96">
        <v>18255477.417544995</v>
      </c>
      <c r="K2512" s="36">
        <v>0</v>
      </c>
      <c r="L2512" s="36">
        <v>0</v>
      </c>
      <c r="M2512" s="36">
        <v>0</v>
      </c>
      <c r="N2512" s="36">
        <v>686454141.52799737</v>
      </c>
      <c r="O2512" s="36">
        <v>389962377.89084119</v>
      </c>
      <c r="P2512" s="110">
        <v>546368244.61887264</v>
      </c>
    </row>
    <row r="2513" spans="1:16" hidden="1" x14ac:dyDescent="0.35">
      <c r="A2513" s="3">
        <f xml:space="preserve"> ROW( data_scaledImpacts[[#This Row],[row_id]] ) - ROW( data_scaledImpacts[[#Headers],[row_id]] )</f>
        <v>2512</v>
      </c>
      <c r="B2513" s="41" t="str">
        <f xml:space="preserve"> _xlfn.TEXTJOIN( "", , data_scaledImpacts[[#This Row],[sector]:[impactType]] )</f>
        <v>CILAgricultureMIROC54Without CO2 FertilizationCotton</v>
      </c>
      <c r="C2513" s="33" t="s">
        <v>1224</v>
      </c>
      <c r="D2513" s="33" t="s">
        <v>4</v>
      </c>
      <c r="E2513" s="34">
        <v>4</v>
      </c>
      <c r="F2513" s="34"/>
      <c r="G2513" s="34" t="s">
        <v>1159</v>
      </c>
      <c r="H2513" t="s">
        <v>1161</v>
      </c>
      <c r="I2513" s="43" t="s">
        <v>60</v>
      </c>
      <c r="J2513" s="96">
        <v>46700480.423525743</v>
      </c>
      <c r="K2513" s="36">
        <v>0</v>
      </c>
      <c r="L2513" s="36">
        <v>0</v>
      </c>
      <c r="M2513" s="36">
        <v>0</v>
      </c>
      <c r="N2513" s="36">
        <v>1160545935.7650025</v>
      </c>
      <c r="O2513" s="36">
        <v>584813937.61187589</v>
      </c>
      <c r="P2513" s="110">
        <v>726107554.11642277</v>
      </c>
    </row>
    <row r="2514" spans="1:16" hidden="1" x14ac:dyDescent="0.35">
      <c r="A2514" s="3">
        <f xml:space="preserve"> ROW( data_scaledImpacts[[#This Row],[row_id]] ) - ROW( data_scaledImpacts[[#Headers],[row_id]] )</f>
        <v>2513</v>
      </c>
      <c r="B2514" s="41" t="str">
        <f xml:space="preserve"> _xlfn.TEXTJOIN( "", , data_scaledImpacts[[#This Row],[sector]:[impactType]] )</f>
        <v>CILAgricultureMIROC55Without CO2 FertilizationCotton</v>
      </c>
      <c r="C2514" s="33" t="s">
        <v>1224</v>
      </c>
      <c r="D2514" s="33" t="s">
        <v>4</v>
      </c>
      <c r="E2514" s="34">
        <v>5</v>
      </c>
      <c r="F2514" s="34"/>
      <c r="G2514" s="34" t="s">
        <v>1159</v>
      </c>
      <c r="H2514" t="s">
        <v>1161</v>
      </c>
      <c r="I2514" s="43" t="s">
        <v>67</v>
      </c>
      <c r="J2514" s="96">
        <v>82529337.953813061</v>
      </c>
      <c r="K2514" s="36">
        <v>0</v>
      </c>
      <c r="L2514" s="36">
        <v>0</v>
      </c>
      <c r="M2514" s="36">
        <v>0</v>
      </c>
      <c r="N2514" s="36">
        <v>1818158396.2419059</v>
      </c>
      <c r="O2514" s="36">
        <v>1088142894.46527</v>
      </c>
      <c r="P2514" s="110">
        <v>990889989.46524358</v>
      </c>
    </row>
    <row r="2515" spans="1:16" hidden="1" x14ac:dyDescent="0.35">
      <c r="A2515" s="3">
        <f xml:space="preserve"> ROW( data_scaledImpacts[[#This Row],[row_id]] ) - ROW( data_scaledImpacts[[#Headers],[row_id]] )</f>
        <v>2514</v>
      </c>
      <c r="B2515" s="41" t="str">
        <f xml:space="preserve"> _xlfn.TEXTJOIN( "", , data_scaledImpacts[[#This Row],[sector]:[impactType]] )</f>
        <v>CILAgricultureCanESM21With CO2 FertilizationMaize</v>
      </c>
      <c r="C2515" s="33" t="s">
        <v>1224</v>
      </c>
      <c r="D2515" s="33" t="s">
        <v>0</v>
      </c>
      <c r="E2515" s="34">
        <v>1</v>
      </c>
      <c r="F2515" s="34"/>
      <c r="G2515" s="34" t="s">
        <v>1160</v>
      </c>
      <c r="H2515" t="s">
        <v>1162</v>
      </c>
      <c r="I2515" s="43" t="s">
        <v>35</v>
      </c>
      <c r="J2515" s="96">
        <v>1779994920.5938013</v>
      </c>
      <c r="K2515" s="36">
        <v>26870503.165167227</v>
      </c>
      <c r="L2515" s="36">
        <v>717287029.60122299</v>
      </c>
      <c r="M2515" s="36">
        <v>0</v>
      </c>
      <c r="N2515" s="36">
        <v>160539643.12942269</v>
      </c>
      <c r="O2515" s="36">
        <v>319799999.62494969</v>
      </c>
      <c r="P2515" s="110">
        <v>25983758.816266898</v>
      </c>
    </row>
    <row r="2516" spans="1:16" hidden="1" x14ac:dyDescent="0.35">
      <c r="A2516" s="3">
        <f xml:space="preserve"> ROW( data_scaledImpacts[[#This Row],[row_id]] ) - ROW( data_scaledImpacts[[#Headers],[row_id]] )</f>
        <v>2515</v>
      </c>
      <c r="B2516" s="41" t="str">
        <f xml:space="preserve"> _xlfn.TEXTJOIN( "", , data_scaledImpacts[[#This Row],[sector]:[impactType]] )</f>
        <v>CILAgricultureCanESM22With CO2 FertilizationMaize</v>
      </c>
      <c r="C2516" s="33" t="s">
        <v>1224</v>
      </c>
      <c r="D2516" s="33" t="s">
        <v>0</v>
      </c>
      <c r="E2516" s="34">
        <v>2</v>
      </c>
      <c r="F2516" s="34"/>
      <c r="G2516" s="34" t="s">
        <v>1160</v>
      </c>
      <c r="H2516" t="s">
        <v>1162</v>
      </c>
      <c r="I2516" s="43" t="s">
        <v>42</v>
      </c>
      <c r="J2516" s="96">
        <v>2548478218.5782509</v>
      </c>
      <c r="K2516" s="36">
        <v>174286454.63380557</v>
      </c>
      <c r="L2516" s="36">
        <v>837400739.40226257</v>
      </c>
      <c r="M2516" s="36">
        <v>0</v>
      </c>
      <c r="N2516" s="36">
        <v>502944570.60399663</v>
      </c>
      <c r="O2516" s="36">
        <v>515074837.75427407</v>
      </c>
      <c r="P2516" s="110">
        <v>40299762.848545544</v>
      </c>
    </row>
    <row r="2517" spans="1:16" hidden="1" x14ac:dyDescent="0.35">
      <c r="A2517" s="3">
        <f xml:space="preserve"> ROW( data_scaledImpacts[[#This Row],[row_id]] ) - ROW( data_scaledImpacts[[#Headers],[row_id]] )</f>
        <v>2516</v>
      </c>
      <c r="B2517" s="41" t="str">
        <f xml:space="preserve"> _xlfn.TEXTJOIN( "", , data_scaledImpacts[[#This Row],[sector]:[impactType]] )</f>
        <v>CILAgricultureCanESM23With CO2 FertilizationMaize</v>
      </c>
      <c r="C2517" s="33" t="s">
        <v>1224</v>
      </c>
      <c r="D2517" s="33" t="s">
        <v>0</v>
      </c>
      <c r="E2517" s="34">
        <v>3</v>
      </c>
      <c r="F2517" s="34"/>
      <c r="G2517" s="34" t="s">
        <v>1160</v>
      </c>
      <c r="H2517" t="s">
        <v>1162</v>
      </c>
      <c r="I2517" s="43" t="s">
        <v>49</v>
      </c>
      <c r="J2517" s="96">
        <v>5441160889.2642002</v>
      </c>
      <c r="K2517" s="36">
        <v>267430573.03820437</v>
      </c>
      <c r="L2517" s="36">
        <v>1402225009.5274405</v>
      </c>
      <c r="M2517" s="36">
        <v>0</v>
      </c>
      <c r="N2517" s="36">
        <v>880234441.54830265</v>
      </c>
      <c r="O2517" s="36">
        <v>782633211.17027605</v>
      </c>
      <c r="P2517" s="110">
        <v>67839189.001371235</v>
      </c>
    </row>
    <row r="2518" spans="1:16" hidden="1" x14ac:dyDescent="0.35">
      <c r="A2518" s="3">
        <f xml:space="preserve"> ROW( data_scaledImpacts[[#This Row],[row_id]] ) - ROW( data_scaledImpacts[[#Headers],[row_id]] )</f>
        <v>2517</v>
      </c>
      <c r="B2518" s="41" t="str">
        <f xml:space="preserve"> _xlfn.TEXTJOIN( "", , data_scaledImpacts[[#This Row],[sector]:[impactType]] )</f>
        <v>CILAgricultureCanESM24With CO2 FertilizationMaize</v>
      </c>
      <c r="C2518" s="33" t="s">
        <v>1224</v>
      </c>
      <c r="D2518" s="33" t="s">
        <v>0</v>
      </c>
      <c r="E2518" s="34">
        <v>4</v>
      </c>
      <c r="F2518" s="34"/>
      <c r="G2518" s="34" t="s">
        <v>1160</v>
      </c>
      <c r="H2518" t="s">
        <v>1162</v>
      </c>
      <c r="I2518" s="43" t="s">
        <v>56</v>
      </c>
      <c r="J2518" s="96">
        <v>6898880609.3816328</v>
      </c>
      <c r="K2518" s="36">
        <v>381768933.24474323</v>
      </c>
      <c r="L2518" s="36">
        <v>1740394145.6491587</v>
      </c>
      <c r="M2518" s="36">
        <v>0</v>
      </c>
      <c r="N2518" s="36">
        <v>1070012450.6619011</v>
      </c>
      <c r="O2518" s="36">
        <v>903626969.82229829</v>
      </c>
      <c r="P2518" s="110">
        <v>71047641.177471861</v>
      </c>
    </row>
    <row r="2519" spans="1:16" hidden="1" x14ac:dyDescent="0.35">
      <c r="A2519" s="3">
        <f xml:space="preserve"> ROW( data_scaledImpacts[[#This Row],[row_id]] ) - ROW( data_scaledImpacts[[#Headers],[row_id]] )</f>
        <v>2518</v>
      </c>
      <c r="B2519" s="41" t="str">
        <f xml:space="preserve"> _xlfn.TEXTJOIN( "", , data_scaledImpacts[[#This Row],[sector]:[impactType]] )</f>
        <v>CILAgricultureCanESM25With CO2 FertilizationMaize</v>
      </c>
      <c r="C2519" s="33" t="s">
        <v>1224</v>
      </c>
      <c r="D2519" s="33" t="s">
        <v>0</v>
      </c>
      <c r="E2519" s="34">
        <v>5</v>
      </c>
      <c r="F2519" s="34"/>
      <c r="G2519" s="34" t="s">
        <v>1160</v>
      </c>
      <c r="H2519" t="s">
        <v>1162</v>
      </c>
      <c r="I2519" s="43" t="s">
        <v>63</v>
      </c>
      <c r="J2519" s="96">
        <v>9698051089.3558464</v>
      </c>
      <c r="K2519" s="36">
        <v>547442499.75341308</v>
      </c>
      <c r="L2519" s="36">
        <v>2261493979.2545896</v>
      </c>
      <c r="M2519" s="36">
        <v>0</v>
      </c>
      <c r="N2519" s="36">
        <v>1321643296.7542255</v>
      </c>
      <c r="O2519" s="36">
        <v>1059367137.7133666</v>
      </c>
      <c r="P2519" s="110">
        <v>114656279.60316652</v>
      </c>
    </row>
    <row r="2520" spans="1:16" hidden="1" x14ac:dyDescent="0.35">
      <c r="A2520" s="3">
        <f xml:space="preserve"> ROW( data_scaledImpacts[[#This Row],[row_id]] ) - ROW( data_scaledImpacts[[#Headers],[row_id]] )</f>
        <v>2519</v>
      </c>
      <c r="B2520" s="41" t="str">
        <f xml:space="preserve"> _xlfn.TEXTJOIN( "", , data_scaledImpacts[[#This Row],[sector]:[impactType]] )</f>
        <v>CILAgricultureCanESM26With CO2 FertilizationMaize</v>
      </c>
      <c r="C2520" s="33" t="s">
        <v>1224</v>
      </c>
      <c r="D2520" s="33" t="s">
        <v>0</v>
      </c>
      <c r="E2520" s="34">
        <v>6</v>
      </c>
      <c r="F2520" s="34"/>
      <c r="G2520" s="34" t="s">
        <v>1160</v>
      </c>
      <c r="H2520" t="s">
        <v>1162</v>
      </c>
      <c r="I2520" s="43" t="s">
        <v>70</v>
      </c>
      <c r="J2520" s="96">
        <v>13583009878.211924</v>
      </c>
      <c r="K2520" s="36">
        <v>677663739.20163131</v>
      </c>
      <c r="L2520" s="36">
        <v>3116480863.1051335</v>
      </c>
      <c r="M2520" s="36">
        <v>0</v>
      </c>
      <c r="N2520" s="36">
        <v>1564424354.3581345</v>
      </c>
      <c r="O2520" s="36">
        <v>1310585517.6607323</v>
      </c>
      <c r="P2520" s="110">
        <v>172551787.0723455</v>
      </c>
    </row>
    <row r="2521" spans="1:16" hidden="1" x14ac:dyDescent="0.35">
      <c r="A2521" s="3">
        <f xml:space="preserve"> ROW( data_scaledImpacts[[#This Row],[row_id]] ) - ROW( data_scaledImpacts[[#Headers],[row_id]] )</f>
        <v>2520</v>
      </c>
      <c r="B2521" s="41" t="str">
        <f xml:space="preserve"> _xlfn.TEXTJOIN( "", , data_scaledImpacts[[#This Row],[sector]:[impactType]] )</f>
        <v>CILAgricultureCCSM41With CO2 FertilizationMaize</v>
      </c>
      <c r="C2521" s="33" t="s">
        <v>1224</v>
      </c>
      <c r="D2521" s="33" t="s">
        <v>1</v>
      </c>
      <c r="E2521" s="34">
        <v>1</v>
      </c>
      <c r="F2521" s="34"/>
      <c r="G2521" s="34" t="s">
        <v>1160</v>
      </c>
      <c r="H2521" t="s">
        <v>1162</v>
      </c>
      <c r="I2521" s="43" t="s">
        <v>36</v>
      </c>
      <c r="J2521" s="96">
        <v>838201481.70711815</v>
      </c>
      <c r="K2521" s="36">
        <v>-25362350.649912465</v>
      </c>
      <c r="L2521" s="36">
        <v>236041268.2299419</v>
      </c>
      <c r="M2521" s="36">
        <v>0</v>
      </c>
      <c r="N2521" s="36">
        <v>98883416.431171596</v>
      </c>
      <c r="O2521" s="36">
        <v>58503380.55385448</v>
      </c>
      <c r="P2521" s="110">
        <v>3150246.0895973099</v>
      </c>
    </row>
    <row r="2522" spans="1:16" hidden="1" x14ac:dyDescent="0.35">
      <c r="A2522" s="3">
        <f xml:space="preserve"> ROW( data_scaledImpacts[[#This Row],[row_id]] ) - ROW( data_scaledImpacts[[#Headers],[row_id]] )</f>
        <v>2521</v>
      </c>
      <c r="B2522" s="41" t="str">
        <f xml:space="preserve"> _xlfn.TEXTJOIN( "", , data_scaledImpacts[[#This Row],[sector]:[impactType]] )</f>
        <v>CILAgricultureCCSM42With CO2 FertilizationMaize</v>
      </c>
      <c r="C2522" s="33" t="s">
        <v>1224</v>
      </c>
      <c r="D2522" s="33" t="s">
        <v>1</v>
      </c>
      <c r="E2522" s="34">
        <v>2</v>
      </c>
      <c r="F2522" s="34"/>
      <c r="G2522" s="34" t="s">
        <v>1160</v>
      </c>
      <c r="H2522" t="s">
        <v>1162</v>
      </c>
      <c r="I2522" s="43" t="s">
        <v>43</v>
      </c>
      <c r="J2522" s="96">
        <v>2822563732.8754811</v>
      </c>
      <c r="K2522" s="36">
        <v>49703234.901678793</v>
      </c>
      <c r="L2522" s="36">
        <v>608597052.54378855</v>
      </c>
      <c r="M2522" s="36">
        <v>0</v>
      </c>
      <c r="N2522" s="36">
        <v>460561557.36548483</v>
      </c>
      <c r="O2522" s="36">
        <v>279317522.91288745</v>
      </c>
      <c r="P2522" s="110">
        <v>-7061200.9117160989</v>
      </c>
    </row>
    <row r="2523" spans="1:16" hidden="1" x14ac:dyDescent="0.35">
      <c r="A2523" s="3">
        <f xml:space="preserve"> ROW( data_scaledImpacts[[#This Row],[row_id]] ) - ROW( data_scaledImpacts[[#Headers],[row_id]] )</f>
        <v>2522</v>
      </c>
      <c r="B2523" s="41" t="str">
        <f xml:space="preserve"> _xlfn.TEXTJOIN( "", , data_scaledImpacts[[#This Row],[sector]:[impactType]] )</f>
        <v>CILAgricultureCCSM43With CO2 FertilizationMaize</v>
      </c>
      <c r="C2523" s="33" t="s">
        <v>1224</v>
      </c>
      <c r="D2523" s="33" t="s">
        <v>1</v>
      </c>
      <c r="E2523" s="34">
        <v>3</v>
      </c>
      <c r="F2523" s="34"/>
      <c r="G2523" s="34" t="s">
        <v>1160</v>
      </c>
      <c r="H2523" t="s">
        <v>1162</v>
      </c>
      <c r="I2523" s="43" t="s">
        <v>50</v>
      </c>
      <c r="J2523" s="96">
        <v>6311928117.7680368</v>
      </c>
      <c r="K2523" s="36">
        <v>140879781.74573573</v>
      </c>
      <c r="L2523" s="36">
        <v>1380326347.3333235</v>
      </c>
      <c r="M2523" s="36">
        <v>0</v>
      </c>
      <c r="N2523" s="36">
        <v>796033600.42748117</v>
      </c>
      <c r="O2523" s="36">
        <v>573234378.74924207</v>
      </c>
      <c r="P2523" s="110">
        <v>6908704.8832024811</v>
      </c>
    </row>
    <row r="2524" spans="1:16" hidden="1" x14ac:dyDescent="0.35">
      <c r="A2524" s="3">
        <f xml:space="preserve"> ROW( data_scaledImpacts[[#This Row],[row_id]] ) - ROW( data_scaledImpacts[[#Headers],[row_id]] )</f>
        <v>2523</v>
      </c>
      <c r="B2524" s="41" t="str">
        <f xml:space="preserve"> _xlfn.TEXTJOIN( "", , data_scaledImpacts[[#This Row],[sector]:[impactType]] )</f>
        <v>CILAgricultureCCSM44With CO2 FertilizationMaize</v>
      </c>
      <c r="C2524" s="33" t="s">
        <v>1224</v>
      </c>
      <c r="D2524" s="33" t="s">
        <v>1</v>
      </c>
      <c r="E2524" s="34">
        <v>4</v>
      </c>
      <c r="F2524" s="34"/>
      <c r="G2524" s="34" t="s">
        <v>1160</v>
      </c>
      <c r="H2524" t="s">
        <v>1162</v>
      </c>
      <c r="I2524" s="43" t="s">
        <v>57</v>
      </c>
      <c r="J2524" s="96">
        <v>10912605148.173454</v>
      </c>
      <c r="K2524" s="36">
        <v>324099407.92127365</v>
      </c>
      <c r="L2524" s="36">
        <v>2326939073.4240055</v>
      </c>
      <c r="M2524" s="36">
        <v>0</v>
      </c>
      <c r="N2524" s="36">
        <v>1203838742.9875772</v>
      </c>
      <c r="O2524" s="36">
        <v>854726825.54825854</v>
      </c>
      <c r="P2524" s="110">
        <v>55506177.652091511</v>
      </c>
    </row>
    <row r="2525" spans="1:16" hidden="1" x14ac:dyDescent="0.35">
      <c r="A2525" s="3">
        <f xml:space="preserve"> ROW( data_scaledImpacts[[#This Row],[row_id]] ) - ROW( data_scaledImpacts[[#Headers],[row_id]] )</f>
        <v>2524</v>
      </c>
      <c r="B2525" s="41" t="str">
        <f xml:space="preserve"> _xlfn.TEXTJOIN( "", , data_scaledImpacts[[#This Row],[sector]:[impactType]] )</f>
        <v>CILAgricultureCCSM45With CO2 FertilizationMaize</v>
      </c>
      <c r="C2525" s="33" t="s">
        <v>1224</v>
      </c>
      <c r="D2525" s="33" t="s">
        <v>1</v>
      </c>
      <c r="E2525" s="34">
        <v>5</v>
      </c>
      <c r="F2525" s="34"/>
      <c r="G2525" s="34" t="s">
        <v>1160</v>
      </c>
      <c r="H2525" t="s">
        <v>1162</v>
      </c>
      <c r="I2525" s="43" t="s">
        <v>64</v>
      </c>
      <c r="J2525" s="96">
        <v>11281039325.042679</v>
      </c>
      <c r="K2525" s="36">
        <v>404172854.28123528</v>
      </c>
      <c r="L2525" s="36">
        <v>2634737925.3542275</v>
      </c>
      <c r="M2525" s="36">
        <v>0</v>
      </c>
      <c r="N2525" s="36">
        <v>1347609313.5718117</v>
      </c>
      <c r="O2525" s="36">
        <v>962998525.46789706</v>
      </c>
      <c r="P2525" s="110">
        <v>73668587.726204306</v>
      </c>
    </row>
    <row r="2526" spans="1:16" hidden="1" x14ac:dyDescent="0.35">
      <c r="A2526" s="3">
        <f xml:space="preserve"> ROW( data_scaledImpacts[[#This Row],[row_id]] ) - ROW( data_scaledImpacts[[#Headers],[row_id]] )</f>
        <v>2525</v>
      </c>
      <c r="B2526" s="41" t="str">
        <f xml:space="preserve"> _xlfn.TEXTJOIN( "", , data_scaledImpacts[[#This Row],[sector]:[impactType]] )</f>
        <v>CILAgricultureGFDL-CM31With CO2 FertilizationMaize</v>
      </c>
      <c r="C2526" s="33" t="s">
        <v>1224</v>
      </c>
      <c r="D2526" s="33" t="s">
        <v>5</v>
      </c>
      <c r="E2526" s="34">
        <v>1</v>
      </c>
      <c r="F2526" s="34"/>
      <c r="G2526" s="34" t="s">
        <v>1160</v>
      </c>
      <c r="H2526" t="s">
        <v>1162</v>
      </c>
      <c r="I2526" s="43" t="s">
        <v>40</v>
      </c>
      <c r="J2526" s="96">
        <v>-452232320.26759374</v>
      </c>
      <c r="K2526" s="36">
        <v>-32269234.75077758</v>
      </c>
      <c r="L2526" s="36">
        <v>94769551.571515888</v>
      </c>
      <c r="M2526" s="36">
        <v>0</v>
      </c>
      <c r="N2526" s="36">
        <v>-88905696.971817151</v>
      </c>
      <c r="O2526" s="36">
        <v>35135257.197289422</v>
      </c>
      <c r="P2526" s="110">
        <v>-13357306.501415627</v>
      </c>
    </row>
    <row r="2527" spans="1:16" hidden="1" x14ac:dyDescent="0.35">
      <c r="A2527" s="3">
        <f xml:space="preserve"> ROW( data_scaledImpacts[[#This Row],[row_id]] ) - ROW( data_scaledImpacts[[#Headers],[row_id]] )</f>
        <v>2526</v>
      </c>
      <c r="B2527" s="41" t="str">
        <f xml:space="preserve"> _xlfn.TEXTJOIN( "", , data_scaledImpacts[[#This Row],[sector]:[impactType]] )</f>
        <v>CILAgricultureGFDL-CM32With CO2 FertilizationMaize</v>
      </c>
      <c r="C2527" s="33" t="s">
        <v>1224</v>
      </c>
      <c r="D2527" s="33" t="s">
        <v>5</v>
      </c>
      <c r="E2527" s="34">
        <v>2</v>
      </c>
      <c r="F2527" s="34"/>
      <c r="G2527" s="34" t="s">
        <v>1160</v>
      </c>
      <c r="H2527" t="s">
        <v>1162</v>
      </c>
      <c r="I2527" s="43" t="s">
        <v>47</v>
      </c>
      <c r="J2527" s="96">
        <v>2874962307.4594593</v>
      </c>
      <c r="K2527" s="36">
        <v>115172649.98824704</v>
      </c>
      <c r="L2527" s="36">
        <v>764059286.68437827</v>
      </c>
      <c r="M2527" s="36">
        <v>0</v>
      </c>
      <c r="N2527" s="36">
        <v>263194781.87815052</v>
      </c>
      <c r="O2527" s="36">
        <v>236759208.97533345</v>
      </c>
      <c r="P2527" s="110">
        <v>-6015654.1446410036</v>
      </c>
    </row>
    <row r="2528" spans="1:16" hidden="1" x14ac:dyDescent="0.35">
      <c r="A2528" s="3">
        <f xml:space="preserve"> ROW( data_scaledImpacts[[#This Row],[row_id]] ) - ROW( data_scaledImpacts[[#Headers],[row_id]] )</f>
        <v>2527</v>
      </c>
      <c r="B2528" s="41" t="str">
        <f xml:space="preserve"> _xlfn.TEXTJOIN( "", , data_scaledImpacts[[#This Row],[sector]:[impactType]] )</f>
        <v>CILAgricultureGFDL-CM33With CO2 FertilizationMaize</v>
      </c>
      <c r="C2528" s="33" t="s">
        <v>1224</v>
      </c>
      <c r="D2528" s="33" t="s">
        <v>5</v>
      </c>
      <c r="E2528" s="34">
        <v>3</v>
      </c>
      <c r="F2528" s="34"/>
      <c r="G2528" s="34" t="s">
        <v>1160</v>
      </c>
      <c r="H2528" t="s">
        <v>1162</v>
      </c>
      <c r="I2528" s="43" t="s">
        <v>54</v>
      </c>
      <c r="J2528" s="96">
        <v>3223707951.621789</v>
      </c>
      <c r="K2528" s="36">
        <v>255148291.31732857</v>
      </c>
      <c r="L2528" s="36">
        <v>795139094.07848001</v>
      </c>
      <c r="M2528" s="36">
        <v>0</v>
      </c>
      <c r="N2528" s="36">
        <v>643511003.8576138</v>
      </c>
      <c r="O2528" s="36">
        <v>463133034.72042996</v>
      </c>
      <c r="P2528" s="110">
        <v>5542254.557623609</v>
      </c>
    </row>
    <row r="2529" spans="1:16" hidden="1" x14ac:dyDescent="0.35">
      <c r="A2529" s="3">
        <f xml:space="preserve"> ROW( data_scaledImpacts[[#This Row],[row_id]] ) - ROW( data_scaledImpacts[[#Headers],[row_id]] )</f>
        <v>2528</v>
      </c>
      <c r="B2529" s="41" t="str">
        <f xml:space="preserve"> _xlfn.TEXTJOIN( "", , data_scaledImpacts[[#This Row],[sector]:[impactType]] )</f>
        <v>CILAgricultureGFDL-CM34With CO2 FertilizationMaize</v>
      </c>
      <c r="C2529" s="33" t="s">
        <v>1224</v>
      </c>
      <c r="D2529" s="33" t="s">
        <v>5</v>
      </c>
      <c r="E2529" s="34">
        <v>4</v>
      </c>
      <c r="F2529" s="34"/>
      <c r="G2529" s="34" t="s">
        <v>1160</v>
      </c>
      <c r="H2529" t="s">
        <v>1162</v>
      </c>
      <c r="I2529" s="43" t="s">
        <v>61</v>
      </c>
      <c r="J2529" s="96">
        <v>7336572944.3341045</v>
      </c>
      <c r="K2529" s="36">
        <v>384073718.44788438</v>
      </c>
      <c r="L2529" s="36">
        <v>1447628794.7733448</v>
      </c>
      <c r="M2529" s="36">
        <v>0</v>
      </c>
      <c r="N2529" s="36">
        <v>954145963.7635138</v>
      </c>
      <c r="O2529" s="36">
        <v>700359115.38189566</v>
      </c>
      <c r="P2529" s="110">
        <v>45421246.870879315</v>
      </c>
    </row>
    <row r="2530" spans="1:16" hidden="1" x14ac:dyDescent="0.35">
      <c r="A2530" s="3">
        <f xml:space="preserve"> ROW( data_scaledImpacts[[#This Row],[row_id]] ) - ROW( data_scaledImpacts[[#Headers],[row_id]] )</f>
        <v>2529</v>
      </c>
      <c r="B2530" s="41" t="str">
        <f xml:space="preserve"> _xlfn.TEXTJOIN( "", , data_scaledImpacts[[#This Row],[sector]:[impactType]] )</f>
        <v>CILAgricultureGFDL-CM35With CO2 FertilizationMaize</v>
      </c>
      <c r="C2530" s="33" t="s">
        <v>1224</v>
      </c>
      <c r="D2530" s="33" t="s">
        <v>5</v>
      </c>
      <c r="E2530" s="34">
        <v>5</v>
      </c>
      <c r="F2530" s="34"/>
      <c r="G2530" s="34" t="s">
        <v>1160</v>
      </c>
      <c r="H2530" t="s">
        <v>1162</v>
      </c>
      <c r="I2530" s="43" t="s">
        <v>68</v>
      </c>
      <c r="J2530" s="96">
        <v>11961545143.622065</v>
      </c>
      <c r="K2530" s="36">
        <v>563753270.88351238</v>
      </c>
      <c r="L2530" s="36">
        <v>2520700756.9231777</v>
      </c>
      <c r="M2530" s="36">
        <v>0</v>
      </c>
      <c r="N2530" s="36">
        <v>1397093581.7782688</v>
      </c>
      <c r="O2530" s="36">
        <v>1225987385.0879033</v>
      </c>
      <c r="P2530" s="110">
        <v>133186052.24864319</v>
      </c>
    </row>
    <row r="2531" spans="1:16" hidden="1" x14ac:dyDescent="0.35">
      <c r="A2531" s="3">
        <f xml:space="preserve"> ROW( data_scaledImpacts[[#This Row],[row_id]] ) - ROW( data_scaledImpacts[[#Headers],[row_id]] )</f>
        <v>2530</v>
      </c>
      <c r="B2531" s="41" t="str">
        <f xml:space="preserve"> _xlfn.TEXTJOIN( "", , data_scaledImpacts[[#This Row],[sector]:[impactType]] )</f>
        <v>CILAgricultureGFDL-CM36With CO2 FertilizationMaize</v>
      </c>
      <c r="C2531" s="33" t="s">
        <v>1224</v>
      </c>
      <c r="D2531" s="33" t="s">
        <v>5</v>
      </c>
      <c r="E2531" s="34">
        <v>6</v>
      </c>
      <c r="F2531" s="34"/>
      <c r="G2531" s="34" t="s">
        <v>1160</v>
      </c>
      <c r="H2531" t="s">
        <v>1162</v>
      </c>
      <c r="I2531" s="43" t="s">
        <v>75</v>
      </c>
      <c r="J2531" s="96">
        <v>14742347510.870924</v>
      </c>
      <c r="K2531" s="36">
        <v>715490671.28282559</v>
      </c>
      <c r="L2531" s="36">
        <v>3150238777.2803264</v>
      </c>
      <c r="M2531" s="36">
        <v>0</v>
      </c>
      <c r="N2531" s="36">
        <v>1526214912.2827408</v>
      </c>
      <c r="O2531" s="36">
        <v>1301480576.0435798</v>
      </c>
      <c r="P2531" s="110">
        <v>166994701.2658681</v>
      </c>
    </row>
    <row r="2532" spans="1:16" hidden="1" x14ac:dyDescent="0.35">
      <c r="A2532" s="3">
        <f xml:space="preserve"> ROW( data_scaledImpacts[[#This Row],[row_id]] ) - ROW( data_scaledImpacts[[#Headers],[row_id]] )</f>
        <v>2531</v>
      </c>
      <c r="B2532" s="41" t="str">
        <f xml:space="preserve"> _xlfn.TEXTJOIN( "", , data_scaledImpacts[[#This Row],[sector]:[impactType]] )</f>
        <v>CILAgricultureGISS-E2-R1With CO2 FertilizationMaize</v>
      </c>
      <c r="C2532" s="33" t="s">
        <v>1224</v>
      </c>
      <c r="D2532" s="33" t="s">
        <v>2</v>
      </c>
      <c r="E2532" s="34">
        <v>1</v>
      </c>
      <c r="F2532" s="34"/>
      <c r="G2532" s="34" t="s">
        <v>1160</v>
      </c>
      <c r="H2532" t="s">
        <v>1162</v>
      </c>
      <c r="I2532" s="43" t="s">
        <v>37</v>
      </c>
      <c r="J2532" s="96">
        <v>-987110100.02662265</v>
      </c>
      <c r="K2532" s="36">
        <v>-63447791.162000611</v>
      </c>
      <c r="L2532" s="36">
        <v>-171731342.96583232</v>
      </c>
      <c r="M2532" s="36">
        <v>0</v>
      </c>
      <c r="N2532" s="36">
        <v>-339657933.21530575</v>
      </c>
      <c r="O2532" s="36">
        <v>63201300.498690084</v>
      </c>
      <c r="P2532" s="110">
        <v>13410851.535337903</v>
      </c>
    </row>
    <row r="2533" spans="1:16" hidden="1" x14ac:dyDescent="0.35">
      <c r="A2533" s="3">
        <f xml:space="preserve"> ROW( data_scaledImpacts[[#This Row],[row_id]] ) - ROW( data_scaledImpacts[[#Headers],[row_id]] )</f>
        <v>2532</v>
      </c>
      <c r="B2533" s="41" t="str">
        <f xml:space="preserve"> _xlfn.TEXTJOIN( "", , data_scaledImpacts[[#This Row],[sector]:[impactType]] )</f>
        <v>CILAgricultureGISS-E2-R2With CO2 FertilizationMaize</v>
      </c>
      <c r="C2533" s="33" t="s">
        <v>1224</v>
      </c>
      <c r="D2533" s="33" t="s">
        <v>2</v>
      </c>
      <c r="E2533" s="34">
        <v>2</v>
      </c>
      <c r="F2533" s="34"/>
      <c r="G2533" s="34" t="s">
        <v>1160</v>
      </c>
      <c r="H2533" t="s">
        <v>1162</v>
      </c>
      <c r="I2533" s="43" t="s">
        <v>44</v>
      </c>
      <c r="J2533" s="96">
        <v>-541510961.75489938</v>
      </c>
      <c r="K2533" s="36">
        <v>38072157.381448306</v>
      </c>
      <c r="L2533" s="36">
        <v>-225015439.53595588</v>
      </c>
      <c r="M2533" s="36">
        <v>0</v>
      </c>
      <c r="N2533" s="36">
        <v>-21060682.3220255</v>
      </c>
      <c r="O2533" s="36">
        <v>-41744695.154777966</v>
      </c>
      <c r="P2533" s="110">
        <v>-5532957.9633267876</v>
      </c>
    </row>
    <row r="2534" spans="1:16" hidden="1" x14ac:dyDescent="0.35">
      <c r="A2534" s="3">
        <f xml:space="preserve"> ROW( data_scaledImpacts[[#This Row],[row_id]] ) - ROW( data_scaledImpacts[[#Headers],[row_id]] )</f>
        <v>2533</v>
      </c>
      <c r="B2534" s="41" t="str">
        <f xml:space="preserve"> _xlfn.TEXTJOIN( "", , data_scaledImpacts[[#This Row],[sector]:[impactType]] )</f>
        <v>CILAgricultureGISS-E2-R3With CO2 FertilizationMaize</v>
      </c>
      <c r="C2534" s="33" t="s">
        <v>1224</v>
      </c>
      <c r="D2534" s="33" t="s">
        <v>2</v>
      </c>
      <c r="E2534" s="34">
        <v>3</v>
      </c>
      <c r="F2534" s="34"/>
      <c r="G2534" s="34" t="s">
        <v>1160</v>
      </c>
      <c r="H2534" t="s">
        <v>1162</v>
      </c>
      <c r="I2534" s="43" t="s">
        <v>51</v>
      </c>
      <c r="J2534" s="96">
        <v>2198399473.3888516</v>
      </c>
      <c r="K2534" s="36">
        <v>52007513.224372141</v>
      </c>
      <c r="L2534" s="36">
        <v>751320473.24571419</v>
      </c>
      <c r="M2534" s="36">
        <v>0</v>
      </c>
      <c r="N2534" s="36">
        <v>381860758.14237702</v>
      </c>
      <c r="O2534" s="36">
        <v>474396878.51150483</v>
      </c>
      <c r="P2534" s="110">
        <v>46071953.215846345</v>
      </c>
    </row>
    <row r="2535" spans="1:16" hidden="1" x14ac:dyDescent="0.35">
      <c r="A2535" s="3">
        <f xml:space="preserve"> ROW( data_scaledImpacts[[#This Row],[row_id]] ) - ROW( data_scaledImpacts[[#Headers],[row_id]] )</f>
        <v>2534</v>
      </c>
      <c r="B2535" s="41" t="str">
        <f xml:space="preserve"> _xlfn.TEXTJOIN( "", , data_scaledImpacts[[#This Row],[sector]:[impactType]] )</f>
        <v>CILAgricultureHadGEM2-ES1With CO2 FertilizationMaize</v>
      </c>
      <c r="C2535" s="33" t="s">
        <v>1224</v>
      </c>
      <c r="D2535" s="33" t="s">
        <v>3</v>
      </c>
      <c r="E2535" s="34">
        <v>1</v>
      </c>
      <c r="F2535" s="34"/>
      <c r="G2535" s="34" t="s">
        <v>1160</v>
      </c>
      <c r="H2535" t="s">
        <v>1162</v>
      </c>
      <c r="I2535" s="43" t="s">
        <v>38</v>
      </c>
      <c r="J2535" s="96">
        <v>-1260116780.1525507</v>
      </c>
      <c r="K2535" s="36">
        <v>-63852050.100384191</v>
      </c>
      <c r="L2535" s="36">
        <v>-10454198.380466329</v>
      </c>
      <c r="M2535" s="36">
        <v>0</v>
      </c>
      <c r="N2535" s="36">
        <v>-311093080.46090513</v>
      </c>
      <c r="O2535" s="36">
        <v>-14596224.80430156</v>
      </c>
      <c r="P2535" s="110">
        <v>16062402.486025615</v>
      </c>
    </row>
    <row r="2536" spans="1:16" hidden="1" x14ac:dyDescent="0.35">
      <c r="A2536" s="3">
        <f xml:space="preserve"> ROW( data_scaledImpacts[[#This Row],[row_id]] ) - ROW( data_scaledImpacts[[#Headers],[row_id]] )</f>
        <v>2535</v>
      </c>
      <c r="B2536" s="41" t="str">
        <f xml:space="preserve"> _xlfn.TEXTJOIN( "", , data_scaledImpacts[[#This Row],[sector]:[impactType]] )</f>
        <v>CILAgricultureHadGEM2-ES2With CO2 FertilizationMaize</v>
      </c>
      <c r="C2536" s="33" t="s">
        <v>1224</v>
      </c>
      <c r="D2536" s="33" t="s">
        <v>3</v>
      </c>
      <c r="E2536" s="34">
        <v>2</v>
      </c>
      <c r="F2536" s="34"/>
      <c r="G2536" s="34" t="s">
        <v>1160</v>
      </c>
      <c r="H2536" t="s">
        <v>1162</v>
      </c>
      <c r="I2536" s="43" t="s">
        <v>45</v>
      </c>
      <c r="J2536" s="96">
        <v>893283011.85666358</v>
      </c>
      <c r="K2536" s="36">
        <v>44077294.246155024</v>
      </c>
      <c r="L2536" s="36">
        <v>374147558.85405833</v>
      </c>
      <c r="M2536" s="36">
        <v>0</v>
      </c>
      <c r="N2536" s="36">
        <v>178453408.31651208</v>
      </c>
      <c r="O2536" s="36">
        <v>341365462.05209649</v>
      </c>
      <c r="P2536" s="110">
        <v>53507382.49276863</v>
      </c>
    </row>
    <row r="2537" spans="1:16" hidden="1" x14ac:dyDescent="0.35">
      <c r="A2537" s="3">
        <f xml:space="preserve"> ROW( data_scaledImpacts[[#This Row],[row_id]] ) - ROW( data_scaledImpacts[[#Headers],[row_id]] )</f>
        <v>2536</v>
      </c>
      <c r="B2537" s="41" t="str">
        <f xml:space="preserve"> _xlfn.TEXTJOIN( "", , data_scaledImpacts[[#This Row],[sector]:[impactType]] )</f>
        <v>CILAgricultureHadGEM2-ES3With CO2 FertilizationMaize</v>
      </c>
      <c r="C2537" s="33" t="s">
        <v>1224</v>
      </c>
      <c r="D2537" s="33" t="s">
        <v>3</v>
      </c>
      <c r="E2537" s="34">
        <v>3</v>
      </c>
      <c r="F2537" s="34"/>
      <c r="G2537" s="34" t="s">
        <v>1160</v>
      </c>
      <c r="H2537" t="s">
        <v>1162</v>
      </c>
      <c r="I2537" s="43" t="s">
        <v>52</v>
      </c>
      <c r="J2537" s="96">
        <v>6385075629.003418</v>
      </c>
      <c r="K2537" s="36">
        <v>133439590.09342091</v>
      </c>
      <c r="L2537" s="36">
        <v>1309823449.0795901</v>
      </c>
      <c r="M2537" s="36">
        <v>0</v>
      </c>
      <c r="N2537" s="36">
        <v>875628880.24093926</v>
      </c>
      <c r="O2537" s="36">
        <v>739711925.61544263</v>
      </c>
      <c r="P2537" s="110">
        <v>86614661.806720942</v>
      </c>
    </row>
    <row r="2538" spans="1:16" hidden="1" x14ac:dyDescent="0.35">
      <c r="A2538" s="3">
        <f xml:space="preserve"> ROW( data_scaledImpacts[[#This Row],[row_id]] ) - ROW( data_scaledImpacts[[#Headers],[row_id]] )</f>
        <v>2537</v>
      </c>
      <c r="B2538" s="41" t="str">
        <f xml:space="preserve"> _xlfn.TEXTJOIN( "", , data_scaledImpacts[[#This Row],[sector]:[impactType]] )</f>
        <v>CILAgricultureHadGEM2-ES4With CO2 FertilizationMaize</v>
      </c>
      <c r="C2538" s="33" t="s">
        <v>1224</v>
      </c>
      <c r="D2538" s="33" t="s">
        <v>3</v>
      </c>
      <c r="E2538" s="34">
        <v>4</v>
      </c>
      <c r="F2538" s="34"/>
      <c r="G2538" s="34" t="s">
        <v>1160</v>
      </c>
      <c r="H2538" t="s">
        <v>1162</v>
      </c>
      <c r="I2538" s="43" t="s">
        <v>59</v>
      </c>
      <c r="J2538" s="96">
        <v>7438448321.3339291</v>
      </c>
      <c r="K2538" s="36">
        <v>239240212.04909697</v>
      </c>
      <c r="L2538" s="36">
        <v>1449106114.3388281</v>
      </c>
      <c r="M2538" s="36">
        <v>0</v>
      </c>
      <c r="N2538" s="36">
        <v>1273744197.2623899</v>
      </c>
      <c r="O2538" s="36">
        <v>839172537.45508063</v>
      </c>
      <c r="P2538" s="110">
        <v>103333870.01546785</v>
      </c>
    </row>
    <row r="2539" spans="1:16" hidden="1" x14ac:dyDescent="0.35">
      <c r="A2539" s="3">
        <f xml:space="preserve"> ROW( data_scaledImpacts[[#This Row],[row_id]] ) - ROW( data_scaledImpacts[[#Headers],[row_id]] )</f>
        <v>2538</v>
      </c>
      <c r="B2539" s="41" t="str">
        <f xml:space="preserve"> _xlfn.TEXTJOIN( "", , data_scaledImpacts[[#This Row],[sector]:[impactType]] )</f>
        <v>CILAgricultureHadGEM2-ES5With CO2 FertilizationMaize</v>
      </c>
      <c r="C2539" s="33" t="s">
        <v>1224</v>
      </c>
      <c r="D2539" s="33" t="s">
        <v>3</v>
      </c>
      <c r="E2539" s="34">
        <v>5</v>
      </c>
      <c r="F2539" s="34"/>
      <c r="G2539" s="34" t="s">
        <v>1160</v>
      </c>
      <c r="H2539" t="s">
        <v>1162</v>
      </c>
      <c r="I2539" s="43" t="s">
        <v>66</v>
      </c>
      <c r="J2539" s="96">
        <v>10769310972.86265</v>
      </c>
      <c r="K2539" s="36">
        <v>472356384.4891538</v>
      </c>
      <c r="L2539" s="36">
        <v>1851877846.6062083</v>
      </c>
      <c r="M2539" s="36">
        <v>0</v>
      </c>
      <c r="N2539" s="36">
        <v>1504140240.2228622</v>
      </c>
      <c r="O2539" s="36">
        <v>983635182.28694975</v>
      </c>
      <c r="P2539" s="110">
        <v>132063804.75079973</v>
      </c>
    </row>
    <row r="2540" spans="1:16" hidden="1" x14ac:dyDescent="0.35">
      <c r="A2540" s="3">
        <f xml:space="preserve"> ROW( data_scaledImpacts[[#This Row],[row_id]] ) - ROW( data_scaledImpacts[[#Headers],[row_id]] )</f>
        <v>2539</v>
      </c>
      <c r="B2540" s="41" t="str">
        <f xml:space="preserve"> _xlfn.TEXTJOIN( "", , data_scaledImpacts[[#This Row],[sector]:[impactType]] )</f>
        <v>CILAgricultureHadGEM2-ES6With CO2 FertilizationMaize</v>
      </c>
      <c r="C2540" s="33" t="s">
        <v>1224</v>
      </c>
      <c r="D2540" s="33" t="s">
        <v>3</v>
      </c>
      <c r="E2540" s="34">
        <v>6</v>
      </c>
      <c r="F2540" s="34"/>
      <c r="G2540" s="34" t="s">
        <v>1160</v>
      </c>
      <c r="H2540" t="s">
        <v>1162</v>
      </c>
      <c r="I2540" s="43" t="s">
        <v>73</v>
      </c>
      <c r="J2540" s="96">
        <v>14693770662.439154</v>
      </c>
      <c r="K2540" s="36">
        <v>623802985.92494047</v>
      </c>
      <c r="L2540" s="36">
        <v>2741351162.6007662</v>
      </c>
      <c r="M2540" s="36">
        <v>0</v>
      </c>
      <c r="N2540" s="36">
        <v>1590674500.3142049</v>
      </c>
      <c r="O2540" s="36">
        <v>1067810313.3139135</v>
      </c>
      <c r="P2540" s="110">
        <v>147940442.25064668</v>
      </c>
    </row>
    <row r="2541" spans="1:16" hidden="1" x14ac:dyDescent="0.35">
      <c r="A2541" s="3">
        <f xml:space="preserve"> ROW( data_scaledImpacts[[#This Row],[row_id]] ) - ROW( data_scaledImpacts[[#Headers],[row_id]] )</f>
        <v>2540</v>
      </c>
      <c r="B2541" s="41" t="str">
        <f xml:space="preserve"> _xlfn.TEXTJOIN( "", , data_scaledImpacts[[#This Row],[sector]:[impactType]] )</f>
        <v>CILAgricultureMIROC51With CO2 FertilizationMaize</v>
      </c>
      <c r="C2541" s="33" t="s">
        <v>1224</v>
      </c>
      <c r="D2541" s="33" t="s">
        <v>4</v>
      </c>
      <c r="E2541" s="34">
        <v>1</v>
      </c>
      <c r="F2541" s="34"/>
      <c r="G2541" s="34" t="s">
        <v>1160</v>
      </c>
      <c r="H2541" t="s">
        <v>1162</v>
      </c>
      <c r="I2541" s="43" t="s">
        <v>39</v>
      </c>
      <c r="J2541" s="96">
        <v>530116556.86474216</v>
      </c>
      <c r="K2541" s="36">
        <v>-28164055.068598807</v>
      </c>
      <c r="L2541" s="36">
        <v>371334475.48635405</v>
      </c>
      <c r="M2541" s="36">
        <v>0</v>
      </c>
      <c r="N2541" s="36">
        <v>170785515.34015012</v>
      </c>
      <c r="O2541" s="36">
        <v>159696763.17704985</v>
      </c>
      <c r="P2541" s="110">
        <v>-16275847.850144995</v>
      </c>
    </row>
    <row r="2542" spans="1:16" hidden="1" x14ac:dyDescent="0.35">
      <c r="A2542" s="3">
        <f xml:space="preserve"> ROW( data_scaledImpacts[[#This Row],[row_id]] ) - ROW( data_scaledImpacts[[#Headers],[row_id]] )</f>
        <v>2541</v>
      </c>
      <c r="B2542" s="41" t="str">
        <f xml:space="preserve"> _xlfn.TEXTJOIN( "", , data_scaledImpacts[[#This Row],[sector]:[impactType]] )</f>
        <v>CILAgricultureMIROC52With CO2 FertilizationMaize</v>
      </c>
      <c r="C2542" s="33" t="s">
        <v>1224</v>
      </c>
      <c r="D2542" s="33" t="s">
        <v>4</v>
      </c>
      <c r="E2542" s="34">
        <v>2</v>
      </c>
      <c r="F2542" s="34"/>
      <c r="G2542" s="34" t="s">
        <v>1160</v>
      </c>
      <c r="H2542" t="s">
        <v>1162</v>
      </c>
      <c r="I2542" s="43" t="s">
        <v>46</v>
      </c>
      <c r="J2542" s="96">
        <v>2208760900.7454534</v>
      </c>
      <c r="K2542" s="36">
        <v>61487526.256514497</v>
      </c>
      <c r="L2542" s="36">
        <v>935375126.30695319</v>
      </c>
      <c r="M2542" s="36">
        <v>0</v>
      </c>
      <c r="N2542" s="36">
        <v>642061439.05949056</v>
      </c>
      <c r="O2542" s="36">
        <v>474406548.19029903</v>
      </c>
      <c r="P2542" s="110">
        <v>1944232.9837089712</v>
      </c>
    </row>
    <row r="2543" spans="1:16" hidden="1" x14ac:dyDescent="0.35">
      <c r="A2543" s="3">
        <f xml:space="preserve"> ROW( data_scaledImpacts[[#This Row],[row_id]] ) - ROW( data_scaledImpacts[[#Headers],[row_id]] )</f>
        <v>2542</v>
      </c>
      <c r="B2543" s="41" t="str">
        <f xml:space="preserve"> _xlfn.TEXTJOIN( "", , data_scaledImpacts[[#This Row],[sector]:[impactType]] )</f>
        <v>CILAgricultureMIROC53With CO2 FertilizationMaize</v>
      </c>
      <c r="C2543" s="33" t="s">
        <v>1224</v>
      </c>
      <c r="D2543" s="33" t="s">
        <v>4</v>
      </c>
      <c r="E2543" s="34">
        <v>3</v>
      </c>
      <c r="F2543" s="34"/>
      <c r="G2543" s="34" t="s">
        <v>1160</v>
      </c>
      <c r="H2543" t="s">
        <v>1162</v>
      </c>
      <c r="I2543" s="43" t="s">
        <v>53</v>
      </c>
      <c r="J2543" s="96">
        <v>2493985527.1235352</v>
      </c>
      <c r="K2543" s="36">
        <v>126786327.08639701</v>
      </c>
      <c r="L2543" s="36">
        <v>1165455596.5596371</v>
      </c>
      <c r="M2543" s="36">
        <v>0</v>
      </c>
      <c r="N2543" s="36">
        <v>733834242.38340843</v>
      </c>
      <c r="O2543" s="36">
        <v>656176560.01847947</v>
      </c>
      <c r="P2543" s="110">
        <v>43757604.471881717</v>
      </c>
    </row>
    <row r="2544" spans="1:16" hidden="1" x14ac:dyDescent="0.35">
      <c r="A2544" s="3">
        <f xml:space="preserve"> ROW( data_scaledImpacts[[#This Row],[row_id]] ) - ROW( data_scaledImpacts[[#Headers],[row_id]] )</f>
        <v>2543</v>
      </c>
      <c r="B2544" s="41" t="str">
        <f xml:space="preserve"> _xlfn.TEXTJOIN( "", , data_scaledImpacts[[#This Row],[sector]:[impactType]] )</f>
        <v>CILAgricultureMIROC54With CO2 FertilizationMaize</v>
      </c>
      <c r="C2544" s="33" t="s">
        <v>1224</v>
      </c>
      <c r="D2544" s="33" t="s">
        <v>4</v>
      </c>
      <c r="E2544" s="34">
        <v>4</v>
      </c>
      <c r="F2544" s="34"/>
      <c r="G2544" s="34" t="s">
        <v>1160</v>
      </c>
      <c r="H2544" t="s">
        <v>1162</v>
      </c>
      <c r="I2544" s="43" t="s">
        <v>60</v>
      </c>
      <c r="J2544" s="96">
        <v>6843021784.5783606</v>
      </c>
      <c r="K2544" s="36">
        <v>209542112.62045401</v>
      </c>
      <c r="L2544" s="36">
        <v>2215857942.4110913</v>
      </c>
      <c r="M2544" s="36">
        <v>0</v>
      </c>
      <c r="N2544" s="36">
        <v>996537039.82352448</v>
      </c>
      <c r="O2544" s="36">
        <v>851443394.81199634</v>
      </c>
      <c r="P2544" s="110">
        <v>56497991.531730369</v>
      </c>
    </row>
    <row r="2545" spans="1:16" hidden="1" x14ac:dyDescent="0.35">
      <c r="A2545" s="3">
        <f xml:space="preserve"> ROW( data_scaledImpacts[[#This Row],[row_id]] ) - ROW( data_scaledImpacts[[#Headers],[row_id]] )</f>
        <v>2544</v>
      </c>
      <c r="B2545" s="41" t="str">
        <f xml:space="preserve"> _xlfn.TEXTJOIN( "", , data_scaledImpacts[[#This Row],[sector]:[impactType]] )</f>
        <v>CILAgricultureMIROC55With CO2 FertilizationMaize</v>
      </c>
      <c r="C2545" s="33" t="s">
        <v>1224</v>
      </c>
      <c r="D2545" s="33" t="s">
        <v>4</v>
      </c>
      <c r="E2545" s="34">
        <v>5</v>
      </c>
      <c r="F2545" s="34"/>
      <c r="G2545" s="34" t="s">
        <v>1160</v>
      </c>
      <c r="H2545" t="s">
        <v>1162</v>
      </c>
      <c r="I2545" s="43" t="s">
        <v>67</v>
      </c>
      <c r="J2545" s="96">
        <v>10516051237.35202</v>
      </c>
      <c r="K2545" s="36">
        <v>321061328.83343619</v>
      </c>
      <c r="L2545" s="36">
        <v>2904273168.672699</v>
      </c>
      <c r="M2545" s="36">
        <v>0</v>
      </c>
      <c r="N2545" s="36">
        <v>1294870862.3368955</v>
      </c>
      <c r="O2545" s="36">
        <v>1194558939.1270983</v>
      </c>
      <c r="P2545" s="110">
        <v>93765275.419192642</v>
      </c>
    </row>
    <row r="2546" spans="1:16" hidden="1" x14ac:dyDescent="0.35">
      <c r="A2546" s="3">
        <f xml:space="preserve"> ROW( data_scaledImpacts[[#This Row],[row_id]] ) - ROW( data_scaledImpacts[[#Headers],[row_id]] )</f>
        <v>2545</v>
      </c>
      <c r="B2546" s="41" t="str">
        <f xml:space="preserve"> _xlfn.TEXTJOIN( "", , data_scaledImpacts[[#This Row],[sector]:[impactType]] )</f>
        <v>CILAgricultureCanESM21Without CO2 FertilizationMaize</v>
      </c>
      <c r="C2546" s="33" t="s">
        <v>1224</v>
      </c>
      <c r="D2546" s="33" t="s">
        <v>0</v>
      </c>
      <c r="E2546" s="34">
        <v>1</v>
      </c>
      <c r="F2546" s="34"/>
      <c r="G2546" s="34" t="s">
        <v>1159</v>
      </c>
      <c r="H2546" t="s">
        <v>1162</v>
      </c>
      <c r="I2546" s="43" t="s">
        <v>35</v>
      </c>
      <c r="J2546" s="96">
        <v>1761601120.6615992</v>
      </c>
      <c r="K2546" s="36">
        <v>26022050.802082635</v>
      </c>
      <c r="L2546" s="36">
        <v>713540399.57114887</v>
      </c>
      <c r="M2546" s="36">
        <v>0</v>
      </c>
      <c r="N2546" s="36">
        <v>158754267.39531144</v>
      </c>
      <c r="O2546" s="36">
        <v>318669731.48385632</v>
      </c>
      <c r="P2546" s="110">
        <v>25496923.081054319</v>
      </c>
    </row>
    <row r="2547" spans="1:16" hidden="1" x14ac:dyDescent="0.35">
      <c r="A2547" s="3">
        <f xml:space="preserve"> ROW( data_scaledImpacts[[#This Row],[row_id]] ) - ROW( data_scaledImpacts[[#Headers],[row_id]] )</f>
        <v>2546</v>
      </c>
      <c r="B2547" s="41" t="str">
        <f xml:space="preserve"> _xlfn.TEXTJOIN( "", , data_scaledImpacts[[#This Row],[sector]:[impactType]] )</f>
        <v>CILAgricultureCanESM22Without CO2 FertilizationMaize</v>
      </c>
      <c r="C2547" s="33" t="s">
        <v>1224</v>
      </c>
      <c r="D2547" s="33" t="s">
        <v>0</v>
      </c>
      <c r="E2547" s="34">
        <v>2</v>
      </c>
      <c r="F2547" s="34"/>
      <c r="G2547" s="34" t="s">
        <v>1159</v>
      </c>
      <c r="H2547" t="s">
        <v>1162</v>
      </c>
      <c r="I2547" s="43" t="s">
        <v>42</v>
      </c>
      <c r="J2547" s="96">
        <v>2998601661.6274576</v>
      </c>
      <c r="K2547" s="36">
        <v>195311812.67766085</v>
      </c>
      <c r="L2547" s="36">
        <v>938664040.2377274</v>
      </c>
      <c r="M2547" s="36">
        <v>0</v>
      </c>
      <c r="N2547" s="36">
        <v>537137705.8923353</v>
      </c>
      <c r="O2547" s="36">
        <v>553049359.68477786</v>
      </c>
      <c r="P2547" s="110">
        <v>56053512.718518548</v>
      </c>
    </row>
    <row r="2548" spans="1:16" hidden="1" x14ac:dyDescent="0.35">
      <c r="A2548" s="3">
        <f xml:space="preserve"> ROW( data_scaledImpacts[[#This Row],[row_id]] ) - ROW( data_scaledImpacts[[#Headers],[row_id]] )</f>
        <v>2547</v>
      </c>
      <c r="B2548" s="41" t="str">
        <f xml:space="preserve"> _xlfn.TEXTJOIN( "", , data_scaledImpacts[[#This Row],[sector]:[impactType]] )</f>
        <v>CILAgricultureCanESM23Without CO2 FertilizationMaize</v>
      </c>
      <c r="C2548" s="33" t="s">
        <v>1224</v>
      </c>
      <c r="D2548" s="33" t="s">
        <v>0</v>
      </c>
      <c r="E2548" s="34">
        <v>3</v>
      </c>
      <c r="F2548" s="34"/>
      <c r="G2548" s="34" t="s">
        <v>1159</v>
      </c>
      <c r="H2548" t="s">
        <v>1162</v>
      </c>
      <c r="I2548" s="43" t="s">
        <v>49</v>
      </c>
      <c r="J2548" s="96">
        <v>6205263463.1559954</v>
      </c>
      <c r="K2548" s="36">
        <v>306325820.92537647</v>
      </c>
      <c r="L2548" s="36">
        <v>1571759617.6618531</v>
      </c>
      <c r="M2548" s="36">
        <v>0</v>
      </c>
      <c r="N2548" s="36">
        <v>932485894.85092711</v>
      </c>
      <c r="O2548" s="36">
        <v>845645107.98308158</v>
      </c>
      <c r="P2548" s="110">
        <v>99307943.783624455</v>
      </c>
    </row>
    <row r="2549" spans="1:16" hidden="1" x14ac:dyDescent="0.35">
      <c r="A2549" s="3">
        <f xml:space="preserve"> ROW( data_scaledImpacts[[#This Row],[row_id]] ) - ROW( data_scaledImpacts[[#Headers],[row_id]] )</f>
        <v>2548</v>
      </c>
      <c r="B2549" s="41" t="str">
        <f xml:space="preserve"> _xlfn.TEXTJOIN( "", , data_scaledImpacts[[#This Row],[sector]:[impactType]] )</f>
        <v>CILAgricultureCanESM24Without CO2 FertilizationMaize</v>
      </c>
      <c r="C2549" s="33" t="s">
        <v>1224</v>
      </c>
      <c r="D2549" s="33" t="s">
        <v>0</v>
      </c>
      <c r="E2549" s="34">
        <v>4</v>
      </c>
      <c r="F2549" s="34"/>
      <c r="G2549" s="34" t="s">
        <v>1159</v>
      </c>
      <c r="H2549" t="s">
        <v>1162</v>
      </c>
      <c r="I2549" s="43" t="s">
        <v>56</v>
      </c>
      <c r="J2549" s="96">
        <v>8034262784.1885986</v>
      </c>
      <c r="K2549" s="36">
        <v>434103765.80639625</v>
      </c>
      <c r="L2549" s="36">
        <v>1988726237.2514396</v>
      </c>
      <c r="M2549" s="36">
        <v>0</v>
      </c>
      <c r="N2549" s="36">
        <v>1140756404.0607903</v>
      </c>
      <c r="O2549" s="36">
        <v>993629312.060956</v>
      </c>
      <c r="P2549" s="110">
        <v>119771427.1169578</v>
      </c>
    </row>
    <row r="2550" spans="1:16" hidden="1" x14ac:dyDescent="0.35">
      <c r="A2550" s="3">
        <f xml:space="preserve"> ROW( data_scaledImpacts[[#This Row],[row_id]] ) - ROW( data_scaledImpacts[[#Headers],[row_id]] )</f>
        <v>2549</v>
      </c>
      <c r="B2550" s="41" t="str">
        <f xml:space="preserve"> _xlfn.TEXTJOIN( "", , data_scaledImpacts[[#This Row],[sector]:[impactType]] )</f>
        <v>CILAgricultureCanESM25Without CO2 FertilizationMaize</v>
      </c>
      <c r="C2550" s="33" t="s">
        <v>1224</v>
      </c>
      <c r="D2550" s="33" t="s">
        <v>0</v>
      </c>
      <c r="E2550" s="34">
        <v>5</v>
      </c>
      <c r="F2550" s="34"/>
      <c r="G2550" s="34" t="s">
        <v>1159</v>
      </c>
      <c r="H2550" t="s">
        <v>1162</v>
      </c>
      <c r="I2550" s="43" t="s">
        <v>63</v>
      </c>
      <c r="J2550" s="96">
        <v>11012128468.108931</v>
      </c>
      <c r="K2550" s="36">
        <v>604777805.50410759</v>
      </c>
      <c r="L2550" s="36">
        <v>2569094501.9695129</v>
      </c>
      <c r="M2550" s="36">
        <v>0</v>
      </c>
      <c r="N2550" s="36">
        <v>1395117477.8193085</v>
      </c>
      <c r="O2550" s="36">
        <v>1170219374.4059</v>
      </c>
      <c r="P2550" s="110">
        <v>181227090.64448175</v>
      </c>
    </row>
    <row r="2551" spans="1:16" hidden="1" x14ac:dyDescent="0.35">
      <c r="A2551" s="3">
        <f xml:space="preserve"> ROW( data_scaledImpacts[[#This Row],[row_id]] ) - ROW( data_scaledImpacts[[#Headers],[row_id]] )</f>
        <v>2550</v>
      </c>
      <c r="B2551" s="41" t="str">
        <f xml:space="preserve"> _xlfn.TEXTJOIN( "", , data_scaledImpacts[[#This Row],[sector]:[impactType]] )</f>
        <v>CILAgricultureCanESM26Without CO2 FertilizationMaize</v>
      </c>
      <c r="C2551" s="33" t="s">
        <v>1224</v>
      </c>
      <c r="D2551" s="33" t="s">
        <v>0</v>
      </c>
      <c r="E2551" s="34">
        <v>6</v>
      </c>
      <c r="F2551" s="34"/>
      <c r="G2551" s="34" t="s">
        <v>1159</v>
      </c>
      <c r="H2551" t="s">
        <v>1162</v>
      </c>
      <c r="I2551" s="43" t="s">
        <v>70</v>
      </c>
      <c r="J2551" s="96">
        <v>14812954094.383663</v>
      </c>
      <c r="K2551" s="36">
        <v>734048559.95517468</v>
      </c>
      <c r="L2551" s="36">
        <v>3406500427.087326</v>
      </c>
      <c r="M2551" s="36">
        <v>0</v>
      </c>
      <c r="N2551" s="36">
        <v>1628618117.9652407</v>
      </c>
      <c r="O2551" s="36">
        <v>1424652376.7107205</v>
      </c>
      <c r="P2551" s="110">
        <v>250873500.31498945</v>
      </c>
    </row>
    <row r="2552" spans="1:16" hidden="1" x14ac:dyDescent="0.35">
      <c r="A2552" s="3">
        <f xml:space="preserve"> ROW( data_scaledImpacts[[#This Row],[row_id]] ) - ROW( data_scaledImpacts[[#Headers],[row_id]] )</f>
        <v>2551</v>
      </c>
      <c r="B2552" s="41" t="str">
        <f xml:space="preserve"> _xlfn.TEXTJOIN( "", , data_scaledImpacts[[#This Row],[sector]:[impactType]] )</f>
        <v>CILAgricultureCCSM41Without CO2 FertilizationMaize</v>
      </c>
      <c r="C2552" s="33" t="s">
        <v>1224</v>
      </c>
      <c r="D2552" s="33" t="s">
        <v>1</v>
      </c>
      <c r="E2552" s="34">
        <v>1</v>
      </c>
      <c r="F2552" s="34"/>
      <c r="G2552" s="34" t="s">
        <v>1159</v>
      </c>
      <c r="H2552" t="s">
        <v>1162</v>
      </c>
      <c r="I2552" s="43" t="s">
        <v>36</v>
      </c>
      <c r="J2552" s="96">
        <v>820732554.50353539</v>
      </c>
      <c r="K2552" s="36">
        <v>-26111236.588560283</v>
      </c>
      <c r="L2552" s="36">
        <v>231952281.03106895</v>
      </c>
      <c r="M2552" s="36">
        <v>0</v>
      </c>
      <c r="N2552" s="36">
        <v>96976005.457104176</v>
      </c>
      <c r="O2552" s="36">
        <v>56677001.34978354</v>
      </c>
      <c r="P2552" s="110">
        <v>2564891.536397405</v>
      </c>
    </row>
    <row r="2553" spans="1:16" hidden="1" x14ac:dyDescent="0.35">
      <c r="A2553" s="3">
        <f xml:space="preserve"> ROW( data_scaledImpacts[[#This Row],[row_id]] ) - ROW( data_scaledImpacts[[#Headers],[row_id]] )</f>
        <v>2552</v>
      </c>
      <c r="B2553" s="41" t="str">
        <f xml:space="preserve"> _xlfn.TEXTJOIN( "", , data_scaledImpacts[[#This Row],[sector]:[impactType]] )</f>
        <v>CILAgricultureCCSM42Without CO2 FertilizationMaize</v>
      </c>
      <c r="C2553" s="33" t="s">
        <v>1224</v>
      </c>
      <c r="D2553" s="33" t="s">
        <v>1</v>
      </c>
      <c r="E2553" s="34">
        <v>2</v>
      </c>
      <c r="F2553" s="34"/>
      <c r="G2553" s="34" t="s">
        <v>1159</v>
      </c>
      <c r="H2553" t="s">
        <v>1162</v>
      </c>
      <c r="I2553" s="43" t="s">
        <v>43</v>
      </c>
      <c r="J2553" s="96">
        <v>3361968333.2553177</v>
      </c>
      <c r="K2553" s="36">
        <v>77642625.466286197</v>
      </c>
      <c r="L2553" s="36">
        <v>734275721.19494915</v>
      </c>
      <c r="M2553" s="36">
        <v>0</v>
      </c>
      <c r="N2553" s="36">
        <v>501807406.11790985</v>
      </c>
      <c r="O2553" s="36">
        <v>330506724.00237906</v>
      </c>
      <c r="P2553" s="110">
        <v>15432275.211882535</v>
      </c>
    </row>
    <row r="2554" spans="1:16" hidden="1" x14ac:dyDescent="0.35">
      <c r="A2554" s="3">
        <f xml:space="preserve"> ROW( data_scaledImpacts[[#This Row],[row_id]] ) - ROW( data_scaledImpacts[[#Headers],[row_id]] )</f>
        <v>2553</v>
      </c>
      <c r="B2554" s="41" t="str">
        <f xml:space="preserve"> _xlfn.TEXTJOIN( "", , data_scaledImpacts[[#This Row],[sector]:[impactType]] )</f>
        <v>CILAgricultureCCSM43Without CO2 FertilizationMaize</v>
      </c>
      <c r="C2554" s="33" t="s">
        <v>1224</v>
      </c>
      <c r="D2554" s="33" t="s">
        <v>1</v>
      </c>
      <c r="E2554" s="34">
        <v>3</v>
      </c>
      <c r="F2554" s="34"/>
      <c r="G2554" s="34" t="s">
        <v>1159</v>
      </c>
      <c r="H2554" t="s">
        <v>1162</v>
      </c>
      <c r="I2554" s="43" t="s">
        <v>50</v>
      </c>
      <c r="J2554" s="96">
        <v>7340178597.9990444</v>
      </c>
      <c r="K2554" s="36">
        <v>202932097.86176786</v>
      </c>
      <c r="L2554" s="36">
        <v>1630406235.6186028</v>
      </c>
      <c r="M2554" s="36">
        <v>0</v>
      </c>
      <c r="N2554" s="36">
        <v>875453094.53954041</v>
      </c>
      <c r="O2554" s="36">
        <v>674818200.88885009</v>
      </c>
      <c r="P2554" s="110">
        <v>59034548.906661905</v>
      </c>
    </row>
    <row r="2555" spans="1:16" hidden="1" x14ac:dyDescent="0.35">
      <c r="A2555" s="3">
        <f xml:space="preserve"> ROW( data_scaledImpacts[[#This Row],[row_id]] ) - ROW( data_scaledImpacts[[#Headers],[row_id]] )</f>
        <v>2554</v>
      </c>
      <c r="B2555" s="41" t="str">
        <f xml:space="preserve"> _xlfn.TEXTJOIN( "", , data_scaledImpacts[[#This Row],[sector]:[impactType]] )</f>
        <v>CILAgricultureCCSM44Without CO2 FertilizationMaize</v>
      </c>
      <c r="C2555" s="33" t="s">
        <v>1224</v>
      </c>
      <c r="D2555" s="33" t="s">
        <v>1</v>
      </c>
      <c r="E2555" s="34">
        <v>4</v>
      </c>
      <c r="F2555" s="34"/>
      <c r="G2555" s="34" t="s">
        <v>1159</v>
      </c>
      <c r="H2555" t="s">
        <v>1162</v>
      </c>
      <c r="I2555" s="43" t="s">
        <v>57</v>
      </c>
      <c r="J2555" s="96">
        <v>12070291795.852081</v>
      </c>
      <c r="K2555" s="36">
        <v>402965930.87483478</v>
      </c>
      <c r="L2555" s="36">
        <v>2628399918.0334888</v>
      </c>
      <c r="M2555" s="36">
        <v>0</v>
      </c>
      <c r="N2555" s="36">
        <v>1288016248.000381</v>
      </c>
      <c r="O2555" s="36">
        <v>983311232.6469245</v>
      </c>
      <c r="P2555" s="110">
        <v>132378943.07763922</v>
      </c>
    </row>
    <row r="2556" spans="1:16" hidden="1" x14ac:dyDescent="0.35">
      <c r="A2556" s="3">
        <f xml:space="preserve"> ROW( data_scaledImpacts[[#This Row],[row_id]] ) - ROW( data_scaledImpacts[[#Headers],[row_id]] )</f>
        <v>2555</v>
      </c>
      <c r="B2556" s="41" t="str">
        <f xml:space="preserve"> _xlfn.TEXTJOIN( "", , data_scaledImpacts[[#This Row],[sector]:[impactType]] )</f>
        <v>CILAgricultureCCSM45Without CO2 FertilizationMaize</v>
      </c>
      <c r="C2556" s="33" t="s">
        <v>1224</v>
      </c>
      <c r="D2556" s="33" t="s">
        <v>1</v>
      </c>
      <c r="E2556" s="34">
        <v>5</v>
      </c>
      <c r="F2556" s="34"/>
      <c r="G2556" s="34" t="s">
        <v>1159</v>
      </c>
      <c r="H2556" t="s">
        <v>1162</v>
      </c>
      <c r="I2556" s="43" t="s">
        <v>64</v>
      </c>
      <c r="J2556" s="96">
        <v>12738129902.864822</v>
      </c>
      <c r="K2556" s="36">
        <v>497099640.06627536</v>
      </c>
      <c r="L2556" s="36">
        <v>2984471548.3937449</v>
      </c>
      <c r="M2556" s="36">
        <v>0</v>
      </c>
      <c r="N2556" s="36">
        <v>1437148397.1553426</v>
      </c>
      <c r="O2556" s="36">
        <v>1116512839.0310247</v>
      </c>
      <c r="P2556" s="110">
        <v>172075974.67305279</v>
      </c>
    </row>
    <row r="2557" spans="1:16" hidden="1" x14ac:dyDescent="0.35">
      <c r="A2557" s="3">
        <f xml:space="preserve"> ROW( data_scaledImpacts[[#This Row],[row_id]] ) - ROW( data_scaledImpacts[[#Headers],[row_id]] )</f>
        <v>2556</v>
      </c>
      <c r="B2557" s="41" t="str">
        <f xml:space="preserve"> _xlfn.TEXTJOIN( "", , data_scaledImpacts[[#This Row],[sector]:[impactType]] )</f>
        <v>CILAgricultureGFDL-CM31Without CO2 FertilizationMaize</v>
      </c>
      <c r="C2557" s="33" t="s">
        <v>1224</v>
      </c>
      <c r="D2557" s="33" t="s">
        <v>5</v>
      </c>
      <c r="E2557" s="34">
        <v>1</v>
      </c>
      <c r="F2557" s="34"/>
      <c r="G2557" s="34" t="s">
        <v>1159</v>
      </c>
      <c r="H2557" t="s">
        <v>1162</v>
      </c>
      <c r="I2557" s="43" t="s">
        <v>40</v>
      </c>
      <c r="J2557" s="96">
        <v>-432107047.54115665</v>
      </c>
      <c r="K2557" s="36">
        <v>-31126220.936952032</v>
      </c>
      <c r="L2557" s="36">
        <v>99871084.566361561</v>
      </c>
      <c r="M2557" s="36">
        <v>0</v>
      </c>
      <c r="N2557" s="36">
        <v>-87073683.73906593</v>
      </c>
      <c r="O2557" s="36">
        <v>36606919.531078383</v>
      </c>
      <c r="P2557" s="110">
        <v>-12543384.797746496</v>
      </c>
    </row>
    <row r="2558" spans="1:16" hidden="1" x14ac:dyDescent="0.35">
      <c r="A2558" s="3">
        <f xml:space="preserve"> ROW( data_scaledImpacts[[#This Row],[row_id]] ) - ROW( data_scaledImpacts[[#Headers],[row_id]] )</f>
        <v>2557</v>
      </c>
      <c r="B2558" s="41" t="str">
        <f xml:space="preserve"> _xlfn.TEXTJOIN( "", , data_scaledImpacts[[#This Row],[sector]:[impactType]] )</f>
        <v>CILAgricultureGFDL-CM32Without CO2 FertilizationMaize</v>
      </c>
      <c r="C2558" s="33" t="s">
        <v>1224</v>
      </c>
      <c r="D2558" s="33" t="s">
        <v>5</v>
      </c>
      <c r="E2558" s="34">
        <v>2</v>
      </c>
      <c r="F2558" s="34"/>
      <c r="G2558" s="34" t="s">
        <v>1159</v>
      </c>
      <c r="H2558" t="s">
        <v>1162</v>
      </c>
      <c r="I2558" s="43" t="s">
        <v>47</v>
      </c>
      <c r="J2558" s="96">
        <v>3321286157.7794762</v>
      </c>
      <c r="K2558" s="36">
        <v>137373882.35080358</v>
      </c>
      <c r="L2558" s="36">
        <v>868122902.50860906</v>
      </c>
      <c r="M2558" s="36">
        <v>0</v>
      </c>
      <c r="N2558" s="36">
        <v>304293776.42612511</v>
      </c>
      <c r="O2558" s="36">
        <v>280543591.79103369</v>
      </c>
      <c r="P2558" s="110">
        <v>11894388.113603285</v>
      </c>
    </row>
    <row r="2559" spans="1:16" hidden="1" x14ac:dyDescent="0.35">
      <c r="A2559" s="3">
        <f xml:space="preserve"> ROW( data_scaledImpacts[[#This Row],[row_id]] ) - ROW( data_scaledImpacts[[#Headers],[row_id]] )</f>
        <v>2558</v>
      </c>
      <c r="B2559" s="41" t="str">
        <f xml:space="preserve"> _xlfn.TEXTJOIN( "", , data_scaledImpacts[[#This Row],[sector]:[impactType]] )</f>
        <v>CILAgricultureGFDL-CM33Without CO2 FertilizationMaize</v>
      </c>
      <c r="C2559" s="33" t="s">
        <v>1224</v>
      </c>
      <c r="D2559" s="33" t="s">
        <v>5</v>
      </c>
      <c r="E2559" s="34">
        <v>3</v>
      </c>
      <c r="F2559" s="34"/>
      <c r="G2559" s="34" t="s">
        <v>1159</v>
      </c>
      <c r="H2559" t="s">
        <v>1162</v>
      </c>
      <c r="I2559" s="43" t="s">
        <v>54</v>
      </c>
      <c r="J2559" s="96">
        <v>4163260399.4932756</v>
      </c>
      <c r="K2559" s="36">
        <v>296358094.55191088</v>
      </c>
      <c r="L2559" s="36">
        <v>1019066447.4406368</v>
      </c>
      <c r="M2559" s="36">
        <v>0</v>
      </c>
      <c r="N2559" s="36">
        <v>711891997.94394636</v>
      </c>
      <c r="O2559" s="36">
        <v>548511327.39541399</v>
      </c>
      <c r="P2559" s="110">
        <v>43510930.853633918</v>
      </c>
    </row>
    <row r="2560" spans="1:16" hidden="1" x14ac:dyDescent="0.35">
      <c r="A2560" s="3">
        <f xml:space="preserve"> ROW( data_scaledImpacts[[#This Row],[row_id]] ) - ROW( data_scaledImpacts[[#Headers],[row_id]] )</f>
        <v>2559</v>
      </c>
      <c r="B2560" s="41" t="str">
        <f xml:space="preserve"> _xlfn.TEXTJOIN( "", , data_scaledImpacts[[#This Row],[sector]:[impactType]] )</f>
        <v>CILAgricultureGFDL-CM34Without CO2 FertilizationMaize</v>
      </c>
      <c r="C2560" s="33" t="s">
        <v>1224</v>
      </c>
      <c r="D2560" s="33" t="s">
        <v>5</v>
      </c>
      <c r="E2560" s="34">
        <v>4</v>
      </c>
      <c r="F2560" s="34"/>
      <c r="G2560" s="34" t="s">
        <v>1159</v>
      </c>
      <c r="H2560" t="s">
        <v>1162</v>
      </c>
      <c r="I2560" s="43" t="s">
        <v>61</v>
      </c>
      <c r="J2560" s="96">
        <v>8438288122.261838</v>
      </c>
      <c r="K2560" s="36">
        <v>434594503.96098727</v>
      </c>
      <c r="L2560" s="36">
        <v>1723701225.1738634</v>
      </c>
      <c r="M2560" s="36">
        <v>0</v>
      </c>
      <c r="N2560" s="36">
        <v>1030805407.8767785</v>
      </c>
      <c r="O2560" s="36">
        <v>807765943.24928415</v>
      </c>
      <c r="P2560" s="110">
        <v>98714904.755021289</v>
      </c>
    </row>
    <row r="2561" spans="1:16" hidden="1" x14ac:dyDescent="0.35">
      <c r="A2561" s="3">
        <f xml:space="preserve"> ROW( data_scaledImpacts[[#This Row],[row_id]] ) - ROW( data_scaledImpacts[[#Headers],[row_id]] )</f>
        <v>2560</v>
      </c>
      <c r="B2561" s="41" t="str">
        <f xml:space="preserve"> _xlfn.TEXTJOIN( "", , data_scaledImpacts[[#This Row],[sector]:[impactType]] )</f>
        <v>CILAgricultureGFDL-CM35Without CO2 FertilizationMaize</v>
      </c>
      <c r="C2561" s="33" t="s">
        <v>1224</v>
      </c>
      <c r="D2561" s="33" t="s">
        <v>5</v>
      </c>
      <c r="E2561" s="34">
        <v>5</v>
      </c>
      <c r="F2561" s="34"/>
      <c r="G2561" s="34" t="s">
        <v>1159</v>
      </c>
      <c r="H2561" t="s">
        <v>1162</v>
      </c>
      <c r="I2561" s="43" t="s">
        <v>68</v>
      </c>
      <c r="J2561" s="96">
        <v>12916539243.021814</v>
      </c>
      <c r="K2561" s="36">
        <v>612443475.31596267</v>
      </c>
      <c r="L2561" s="36">
        <v>2773407916.67378</v>
      </c>
      <c r="M2561" s="36">
        <v>0</v>
      </c>
      <c r="N2561" s="36">
        <v>1453741942.7077332</v>
      </c>
      <c r="O2561" s="36">
        <v>1313184987.5438151</v>
      </c>
      <c r="P2561" s="110">
        <v>194011297.88540792</v>
      </c>
    </row>
    <row r="2562" spans="1:16" hidden="1" x14ac:dyDescent="0.35">
      <c r="A2562" s="3">
        <f xml:space="preserve"> ROW( data_scaledImpacts[[#This Row],[row_id]] ) - ROW( data_scaledImpacts[[#Headers],[row_id]] )</f>
        <v>2561</v>
      </c>
      <c r="B2562" s="41" t="str">
        <f xml:space="preserve"> _xlfn.TEXTJOIN( "", , data_scaledImpacts[[#This Row],[sector]:[impactType]] )</f>
        <v>CILAgricultureGFDL-CM36Without CO2 FertilizationMaize</v>
      </c>
      <c r="C2562" s="33" t="s">
        <v>1224</v>
      </c>
      <c r="D2562" s="33" t="s">
        <v>5</v>
      </c>
      <c r="E2562" s="34">
        <v>6</v>
      </c>
      <c r="F2562" s="34"/>
      <c r="G2562" s="34" t="s">
        <v>1159</v>
      </c>
      <c r="H2562" t="s">
        <v>1162</v>
      </c>
      <c r="I2562" s="43" t="s">
        <v>75</v>
      </c>
      <c r="J2562" s="96">
        <v>15735210818.069454</v>
      </c>
      <c r="K2562" s="36">
        <v>763951991.55642438</v>
      </c>
      <c r="L2562" s="36">
        <v>3425044606.7016191</v>
      </c>
      <c r="M2562" s="36">
        <v>0</v>
      </c>
      <c r="N2562" s="36">
        <v>1591044363.2601101</v>
      </c>
      <c r="O2562" s="36">
        <v>1412336310.6640134</v>
      </c>
      <c r="P2562" s="110">
        <v>247642982.58978879</v>
      </c>
    </row>
    <row r="2563" spans="1:16" hidden="1" x14ac:dyDescent="0.35">
      <c r="A2563" s="3">
        <f xml:space="preserve"> ROW( data_scaledImpacts[[#This Row],[row_id]] ) - ROW( data_scaledImpacts[[#Headers],[row_id]] )</f>
        <v>2562</v>
      </c>
      <c r="B2563" s="41" t="str">
        <f xml:space="preserve"> _xlfn.TEXTJOIN( "", , data_scaledImpacts[[#This Row],[sector]:[impactType]] )</f>
        <v>CILAgricultureGISS-E2-R1Without CO2 FertilizationMaize</v>
      </c>
      <c r="C2563" s="33" t="s">
        <v>1224</v>
      </c>
      <c r="D2563" s="33" t="s">
        <v>2</v>
      </c>
      <c r="E2563" s="34">
        <v>1</v>
      </c>
      <c r="F2563" s="34"/>
      <c r="G2563" s="34" t="s">
        <v>1159</v>
      </c>
      <c r="H2563" t="s">
        <v>1162</v>
      </c>
      <c r="I2563" s="43" t="s">
        <v>37</v>
      </c>
      <c r="J2563" s="96">
        <v>-651147157.74946558</v>
      </c>
      <c r="K2563" s="36">
        <v>-46379849.268204041</v>
      </c>
      <c r="L2563" s="36">
        <v>-90145495.153053731</v>
      </c>
      <c r="M2563" s="36">
        <v>0</v>
      </c>
      <c r="N2563" s="36">
        <v>-304420832.96060306</v>
      </c>
      <c r="O2563" s="36">
        <v>93553110.689311251</v>
      </c>
      <c r="P2563" s="110">
        <v>24490312.198698837</v>
      </c>
    </row>
    <row r="2564" spans="1:16" hidden="1" x14ac:dyDescent="0.35">
      <c r="A2564" s="3">
        <f xml:space="preserve"> ROW( data_scaledImpacts[[#This Row],[row_id]] ) - ROW( data_scaledImpacts[[#Headers],[row_id]] )</f>
        <v>2563</v>
      </c>
      <c r="B2564" s="41" t="str">
        <f xml:space="preserve"> _xlfn.TEXTJOIN( "", , data_scaledImpacts[[#This Row],[sector]:[impactType]] )</f>
        <v>CILAgricultureGISS-E2-R2Without CO2 FertilizationMaize</v>
      </c>
      <c r="C2564" s="33" t="s">
        <v>1224</v>
      </c>
      <c r="D2564" s="33" t="s">
        <v>2</v>
      </c>
      <c r="E2564" s="34">
        <v>2</v>
      </c>
      <c r="F2564" s="34"/>
      <c r="G2564" s="34" t="s">
        <v>1159</v>
      </c>
      <c r="H2564" t="s">
        <v>1162</v>
      </c>
      <c r="I2564" s="43" t="s">
        <v>44</v>
      </c>
      <c r="J2564" s="96">
        <v>657235242.37865269</v>
      </c>
      <c r="K2564" s="36">
        <v>95821019.149041116</v>
      </c>
      <c r="L2564" s="36">
        <v>72517293.587434158</v>
      </c>
      <c r="M2564" s="36">
        <v>0</v>
      </c>
      <c r="N2564" s="36">
        <v>90114062.931851178</v>
      </c>
      <c r="O2564" s="36">
        <v>78567721.290347442</v>
      </c>
      <c r="P2564" s="110">
        <v>36892981.606761977</v>
      </c>
    </row>
    <row r="2565" spans="1:16" hidden="1" x14ac:dyDescent="0.35">
      <c r="A2565" s="3">
        <f xml:space="preserve"> ROW( data_scaledImpacts[[#This Row],[row_id]] ) - ROW( data_scaledImpacts[[#Headers],[row_id]] )</f>
        <v>2564</v>
      </c>
      <c r="B2565" s="41" t="str">
        <f xml:space="preserve"> _xlfn.TEXTJOIN( "", , data_scaledImpacts[[#This Row],[sector]:[impactType]] )</f>
        <v>CILAgricultureGISS-E2-R3Without CO2 FertilizationMaize</v>
      </c>
      <c r="C2565" s="33" t="s">
        <v>1224</v>
      </c>
      <c r="D2565" s="33" t="s">
        <v>2</v>
      </c>
      <c r="E2565" s="34">
        <v>3</v>
      </c>
      <c r="F2565" s="34"/>
      <c r="G2565" s="34" t="s">
        <v>1159</v>
      </c>
      <c r="H2565" t="s">
        <v>1162</v>
      </c>
      <c r="I2565" s="43" t="s">
        <v>51</v>
      </c>
      <c r="J2565" s="96">
        <v>4568478465.6303501</v>
      </c>
      <c r="K2565" s="36">
        <v>175911769.99224314</v>
      </c>
      <c r="L2565" s="36">
        <v>1283384644.330775</v>
      </c>
      <c r="M2565" s="36">
        <v>0</v>
      </c>
      <c r="N2565" s="36">
        <v>579142991.12828481</v>
      </c>
      <c r="O2565" s="36">
        <v>673450052.22804284</v>
      </c>
      <c r="P2565" s="110">
        <v>133349439.49711767</v>
      </c>
    </row>
    <row r="2566" spans="1:16" hidden="1" x14ac:dyDescent="0.35">
      <c r="A2566" s="3">
        <f xml:space="preserve"> ROW( data_scaledImpacts[[#This Row],[row_id]] ) - ROW( data_scaledImpacts[[#Headers],[row_id]] )</f>
        <v>2565</v>
      </c>
      <c r="B2566" s="41" t="str">
        <f xml:space="preserve"> _xlfn.TEXTJOIN( "", , data_scaledImpacts[[#This Row],[sector]:[impactType]] )</f>
        <v>CILAgricultureHadGEM2-ES1Without CO2 FertilizationMaize</v>
      </c>
      <c r="C2566" s="33" t="s">
        <v>1224</v>
      </c>
      <c r="D2566" s="33" t="s">
        <v>3</v>
      </c>
      <c r="E2566" s="34">
        <v>1</v>
      </c>
      <c r="F2566" s="34"/>
      <c r="G2566" s="34" t="s">
        <v>1159</v>
      </c>
      <c r="H2566" t="s">
        <v>1162</v>
      </c>
      <c r="I2566" s="43" t="s">
        <v>38</v>
      </c>
      <c r="J2566" s="96">
        <v>-1234898877.7398598</v>
      </c>
      <c r="K2566" s="36">
        <v>-62535285.629773721</v>
      </c>
      <c r="L2566" s="36">
        <v>-5220356.5510856975</v>
      </c>
      <c r="M2566" s="36">
        <v>0</v>
      </c>
      <c r="N2566" s="36">
        <v>-308394050.52184474</v>
      </c>
      <c r="O2566" s="36">
        <v>-12115787.515328031</v>
      </c>
      <c r="P2566" s="110">
        <v>16808405.030432183</v>
      </c>
    </row>
    <row r="2567" spans="1:16" hidden="1" x14ac:dyDescent="0.35">
      <c r="A2567" s="3">
        <f xml:space="preserve"> ROW( data_scaledImpacts[[#This Row],[row_id]] ) - ROW( data_scaledImpacts[[#Headers],[row_id]] )</f>
        <v>2566</v>
      </c>
      <c r="B2567" s="41" t="str">
        <f xml:space="preserve"> _xlfn.TEXTJOIN( "", , data_scaledImpacts[[#This Row],[sector]:[impactType]] )</f>
        <v>CILAgricultureHadGEM2-ES2Without CO2 FertilizationMaize</v>
      </c>
      <c r="C2567" s="33" t="s">
        <v>1224</v>
      </c>
      <c r="D2567" s="33" t="s">
        <v>3</v>
      </c>
      <c r="E2567" s="34">
        <v>2</v>
      </c>
      <c r="F2567" s="34"/>
      <c r="G2567" s="34" t="s">
        <v>1159</v>
      </c>
      <c r="H2567" t="s">
        <v>1162</v>
      </c>
      <c r="I2567" s="43" t="s">
        <v>45</v>
      </c>
      <c r="J2567" s="96">
        <v>1278446055.0189357</v>
      </c>
      <c r="K2567" s="36">
        <v>62478562.792859837</v>
      </c>
      <c r="L2567" s="36">
        <v>461051098.11094975</v>
      </c>
      <c r="M2567" s="36">
        <v>0</v>
      </c>
      <c r="N2567" s="36">
        <v>211925270.07118481</v>
      </c>
      <c r="O2567" s="36">
        <v>374586589.65888941</v>
      </c>
      <c r="P2567" s="110">
        <v>65967527.926483661</v>
      </c>
    </row>
    <row r="2568" spans="1:16" hidden="1" x14ac:dyDescent="0.35">
      <c r="A2568" s="3">
        <f xml:space="preserve"> ROW( data_scaledImpacts[[#This Row],[row_id]] ) - ROW( data_scaledImpacts[[#Headers],[row_id]] )</f>
        <v>2567</v>
      </c>
      <c r="B2568" s="41" t="str">
        <f xml:space="preserve"> _xlfn.TEXTJOIN( "", , data_scaledImpacts[[#This Row],[sector]:[impactType]] )</f>
        <v>CILAgricultureHadGEM2-ES3Without CO2 FertilizationMaize</v>
      </c>
      <c r="C2568" s="33" t="s">
        <v>1224</v>
      </c>
      <c r="D2568" s="33" t="s">
        <v>3</v>
      </c>
      <c r="E2568" s="34">
        <v>3</v>
      </c>
      <c r="F2568" s="34"/>
      <c r="G2568" s="34" t="s">
        <v>1159</v>
      </c>
      <c r="H2568" t="s">
        <v>1162</v>
      </c>
      <c r="I2568" s="43" t="s">
        <v>52</v>
      </c>
      <c r="J2568" s="96">
        <v>7007136836.8199129</v>
      </c>
      <c r="K2568" s="36">
        <v>171242121.00117043</v>
      </c>
      <c r="L2568" s="36">
        <v>1461224752.1223392</v>
      </c>
      <c r="M2568" s="36">
        <v>0</v>
      </c>
      <c r="N2568" s="36">
        <v>919431483.56645596</v>
      </c>
      <c r="O2568" s="36">
        <v>795091250.61981404</v>
      </c>
      <c r="P2568" s="110">
        <v>112912246.57615852</v>
      </c>
    </row>
    <row r="2569" spans="1:16" hidden="1" x14ac:dyDescent="0.35">
      <c r="A2569" s="3">
        <f xml:space="preserve"> ROW( data_scaledImpacts[[#This Row],[row_id]] ) - ROW( data_scaledImpacts[[#Headers],[row_id]] )</f>
        <v>2568</v>
      </c>
      <c r="B2569" s="41" t="str">
        <f xml:space="preserve"> _xlfn.TEXTJOIN( "", , data_scaledImpacts[[#This Row],[sector]:[impactType]] )</f>
        <v>CILAgricultureHadGEM2-ES4Without CO2 FertilizationMaize</v>
      </c>
      <c r="C2569" s="33" t="s">
        <v>1224</v>
      </c>
      <c r="D2569" s="33" t="s">
        <v>3</v>
      </c>
      <c r="E2569" s="34">
        <v>4</v>
      </c>
      <c r="F2569" s="34"/>
      <c r="G2569" s="34" t="s">
        <v>1159</v>
      </c>
      <c r="H2569" t="s">
        <v>1162</v>
      </c>
      <c r="I2569" s="43" t="s">
        <v>59</v>
      </c>
      <c r="J2569" s="96">
        <v>8319021839.5489912</v>
      </c>
      <c r="K2569" s="36">
        <v>291120995.01489121</v>
      </c>
      <c r="L2569" s="36">
        <v>1668555483.7409055</v>
      </c>
      <c r="M2569" s="36">
        <v>0</v>
      </c>
      <c r="N2569" s="36">
        <v>1318310984.6596076</v>
      </c>
      <c r="O2569" s="36">
        <v>915776416.3805778</v>
      </c>
      <c r="P2569" s="110">
        <v>140965897.93282405</v>
      </c>
    </row>
    <row r="2570" spans="1:16" hidden="1" x14ac:dyDescent="0.35">
      <c r="A2570" s="3">
        <f xml:space="preserve"> ROW( data_scaledImpacts[[#This Row],[row_id]] ) - ROW( data_scaledImpacts[[#Headers],[row_id]] )</f>
        <v>2569</v>
      </c>
      <c r="B2570" s="41" t="str">
        <f xml:space="preserve"> _xlfn.TEXTJOIN( "", , data_scaledImpacts[[#This Row],[sector]:[impactType]] )</f>
        <v>CILAgricultureHadGEM2-ES5Without CO2 FertilizationMaize</v>
      </c>
      <c r="C2570" s="33" t="s">
        <v>1224</v>
      </c>
      <c r="D2570" s="33" t="s">
        <v>3</v>
      </c>
      <c r="E2570" s="34">
        <v>5</v>
      </c>
      <c r="F2570" s="34"/>
      <c r="G2570" s="34" t="s">
        <v>1159</v>
      </c>
      <c r="H2570" t="s">
        <v>1162</v>
      </c>
      <c r="I2570" s="43" t="s">
        <v>66</v>
      </c>
      <c r="J2570" s="96">
        <v>11672874660.125402</v>
      </c>
      <c r="K2570" s="36">
        <v>521957486.99333805</v>
      </c>
      <c r="L2570" s="36">
        <v>2116218570.9806075</v>
      </c>
      <c r="M2570" s="36">
        <v>0</v>
      </c>
      <c r="N2570" s="36">
        <v>1545206505.2849817</v>
      </c>
      <c r="O2570" s="36">
        <v>1074235162.5173404</v>
      </c>
      <c r="P2570" s="110">
        <v>179808506.11050403</v>
      </c>
    </row>
    <row r="2571" spans="1:16" hidden="1" x14ac:dyDescent="0.35">
      <c r="A2571" s="3">
        <f xml:space="preserve"> ROW( data_scaledImpacts[[#This Row],[row_id]] ) - ROW( data_scaledImpacts[[#Headers],[row_id]] )</f>
        <v>2570</v>
      </c>
      <c r="B2571" s="41" t="str">
        <f xml:space="preserve"> _xlfn.TEXTJOIN( "", , data_scaledImpacts[[#This Row],[sector]:[impactType]] )</f>
        <v>CILAgricultureHadGEM2-ES6Without CO2 FertilizationMaize</v>
      </c>
      <c r="C2571" s="33" t="s">
        <v>1224</v>
      </c>
      <c r="D2571" s="33" t="s">
        <v>3</v>
      </c>
      <c r="E2571" s="34">
        <v>6</v>
      </c>
      <c r="F2571" s="34"/>
      <c r="G2571" s="34" t="s">
        <v>1159</v>
      </c>
      <c r="H2571" t="s">
        <v>1162</v>
      </c>
      <c r="I2571" s="43" t="s">
        <v>73</v>
      </c>
      <c r="J2571" s="96">
        <v>15502815929.106888</v>
      </c>
      <c r="K2571" s="36">
        <v>676312549.56679809</v>
      </c>
      <c r="L2571" s="36">
        <v>2998924780.4054623</v>
      </c>
      <c r="M2571" s="36">
        <v>0</v>
      </c>
      <c r="N2571" s="36">
        <v>1638200811.63288</v>
      </c>
      <c r="O2571" s="36">
        <v>1182963659.9335549</v>
      </c>
      <c r="P2571" s="110">
        <v>211038733.94913214</v>
      </c>
    </row>
    <row r="2572" spans="1:16" hidden="1" x14ac:dyDescent="0.35">
      <c r="A2572" s="3">
        <f xml:space="preserve"> ROW( data_scaledImpacts[[#This Row],[row_id]] ) - ROW( data_scaledImpacts[[#Headers],[row_id]] )</f>
        <v>2571</v>
      </c>
      <c r="B2572" s="41" t="str">
        <f xml:space="preserve"> _xlfn.TEXTJOIN( "", , data_scaledImpacts[[#This Row],[sector]:[impactType]] )</f>
        <v>CILAgricultureMIROC51Without CO2 FertilizationMaize</v>
      </c>
      <c r="C2572" s="33" t="s">
        <v>1224</v>
      </c>
      <c r="D2572" s="33" t="s">
        <v>4</v>
      </c>
      <c r="E2572" s="34">
        <v>1</v>
      </c>
      <c r="F2572" s="34"/>
      <c r="G2572" s="34" t="s">
        <v>1159</v>
      </c>
      <c r="H2572" t="s">
        <v>1162</v>
      </c>
      <c r="I2572" s="43" t="s">
        <v>39</v>
      </c>
      <c r="J2572" s="96">
        <v>627734166.3560524</v>
      </c>
      <c r="K2572" s="36">
        <v>-22874478.438354123</v>
      </c>
      <c r="L2572" s="36">
        <v>393061146.68435448</v>
      </c>
      <c r="M2572" s="36">
        <v>0</v>
      </c>
      <c r="N2572" s="36">
        <v>179558727.54700303</v>
      </c>
      <c r="O2572" s="36">
        <v>168642347.17452046</v>
      </c>
      <c r="P2572" s="110">
        <v>-12503987.079075694</v>
      </c>
    </row>
    <row r="2573" spans="1:16" hidden="1" x14ac:dyDescent="0.35">
      <c r="A2573" s="3">
        <f xml:space="preserve"> ROW( data_scaledImpacts[[#This Row],[row_id]] ) - ROW( data_scaledImpacts[[#Headers],[row_id]] )</f>
        <v>2572</v>
      </c>
      <c r="B2573" s="41" t="str">
        <f xml:space="preserve"> _xlfn.TEXTJOIN( "", , data_scaledImpacts[[#This Row],[sector]:[impactType]] )</f>
        <v>CILAgricultureMIROC52Without CO2 FertilizationMaize</v>
      </c>
      <c r="C2573" s="33" t="s">
        <v>1224</v>
      </c>
      <c r="D2573" s="33" t="s">
        <v>4</v>
      </c>
      <c r="E2573" s="34">
        <v>2</v>
      </c>
      <c r="F2573" s="34"/>
      <c r="G2573" s="34" t="s">
        <v>1159</v>
      </c>
      <c r="H2573" t="s">
        <v>1162</v>
      </c>
      <c r="I2573" s="43" t="s">
        <v>46</v>
      </c>
      <c r="J2573" s="96">
        <v>2647343907.265974</v>
      </c>
      <c r="K2573" s="36">
        <v>83985209.904296741</v>
      </c>
      <c r="L2573" s="36">
        <v>1029162759.0700459</v>
      </c>
      <c r="M2573" s="36">
        <v>0</v>
      </c>
      <c r="N2573" s="36">
        <v>673668140.89249754</v>
      </c>
      <c r="O2573" s="36">
        <v>511761156.97998816</v>
      </c>
      <c r="P2573" s="110">
        <v>19709632.575256694</v>
      </c>
    </row>
    <row r="2574" spans="1:16" hidden="1" x14ac:dyDescent="0.35">
      <c r="A2574" s="3">
        <f xml:space="preserve"> ROW( data_scaledImpacts[[#This Row],[row_id]] ) - ROW( data_scaledImpacts[[#Headers],[row_id]] )</f>
        <v>2573</v>
      </c>
      <c r="B2574" s="41" t="str">
        <f xml:space="preserve"> _xlfn.TEXTJOIN( "", , data_scaledImpacts[[#This Row],[sector]:[impactType]] )</f>
        <v>CILAgricultureMIROC53Without CO2 FertilizationMaize</v>
      </c>
      <c r="C2574" s="33" t="s">
        <v>1224</v>
      </c>
      <c r="D2574" s="33" t="s">
        <v>4</v>
      </c>
      <c r="E2574" s="34">
        <v>3</v>
      </c>
      <c r="F2574" s="34"/>
      <c r="G2574" s="34" t="s">
        <v>1159</v>
      </c>
      <c r="H2574" t="s">
        <v>1162</v>
      </c>
      <c r="I2574" s="43" t="s">
        <v>53</v>
      </c>
      <c r="J2574" s="96">
        <v>3440114981.569315</v>
      </c>
      <c r="K2574" s="36">
        <v>172348256.1198715</v>
      </c>
      <c r="L2574" s="36">
        <v>1360589548.8448243</v>
      </c>
      <c r="M2574" s="36">
        <v>0</v>
      </c>
      <c r="N2574" s="36">
        <v>799440501.72843897</v>
      </c>
      <c r="O2574" s="36">
        <v>726100859.26278651</v>
      </c>
      <c r="P2574" s="110">
        <v>79229632.88555716</v>
      </c>
    </row>
    <row r="2575" spans="1:16" hidden="1" x14ac:dyDescent="0.35">
      <c r="A2575" s="3">
        <f xml:space="preserve"> ROW( data_scaledImpacts[[#This Row],[row_id]] ) - ROW( data_scaledImpacts[[#Headers],[row_id]] )</f>
        <v>2574</v>
      </c>
      <c r="B2575" s="41" t="str">
        <f xml:space="preserve"> _xlfn.TEXTJOIN( "", , data_scaledImpacts[[#This Row],[sector]:[impactType]] )</f>
        <v>CILAgricultureMIROC54Without CO2 FertilizationMaize</v>
      </c>
      <c r="C2575" s="33" t="s">
        <v>1224</v>
      </c>
      <c r="D2575" s="33" t="s">
        <v>4</v>
      </c>
      <c r="E2575" s="34">
        <v>4</v>
      </c>
      <c r="F2575" s="34"/>
      <c r="G2575" s="34" t="s">
        <v>1159</v>
      </c>
      <c r="H2575" t="s">
        <v>1162</v>
      </c>
      <c r="I2575" s="43" t="s">
        <v>60</v>
      </c>
      <c r="J2575" s="96">
        <v>8113961700.9073105</v>
      </c>
      <c r="K2575" s="36">
        <v>279387493.06274444</v>
      </c>
      <c r="L2575" s="36">
        <v>2460925221.3418102</v>
      </c>
      <c r="M2575" s="36">
        <v>0</v>
      </c>
      <c r="N2575" s="36">
        <v>1083827677.4543869</v>
      </c>
      <c r="O2575" s="36">
        <v>954863715.08278751</v>
      </c>
      <c r="P2575" s="110">
        <v>116995551.48856367</v>
      </c>
    </row>
    <row r="2576" spans="1:16" hidden="1" x14ac:dyDescent="0.35">
      <c r="A2576" s="3">
        <f xml:space="preserve"> ROW( data_scaledImpacts[[#This Row],[row_id]] ) - ROW( data_scaledImpacts[[#Headers],[row_id]] )</f>
        <v>2575</v>
      </c>
      <c r="B2576" s="41" t="str">
        <f xml:space="preserve"> _xlfn.TEXTJOIN( "", , data_scaledImpacts[[#This Row],[sector]:[impactType]] )</f>
        <v>CILAgricultureMIROC55Without CO2 FertilizationMaize</v>
      </c>
      <c r="C2576" s="33" t="s">
        <v>1224</v>
      </c>
      <c r="D2576" s="33" t="s">
        <v>4</v>
      </c>
      <c r="E2576" s="34">
        <v>5</v>
      </c>
      <c r="F2576" s="34"/>
      <c r="G2576" s="34" t="s">
        <v>1159</v>
      </c>
      <c r="H2576" t="s">
        <v>1162</v>
      </c>
      <c r="I2576" s="43" t="s">
        <v>67</v>
      </c>
      <c r="J2576" s="96">
        <v>11884852203.520344</v>
      </c>
      <c r="K2576" s="36">
        <v>405475497.23695284</v>
      </c>
      <c r="L2576" s="36">
        <v>3167822961.6598983</v>
      </c>
      <c r="M2576" s="36">
        <v>0</v>
      </c>
      <c r="N2576" s="36">
        <v>1379246292.7235634</v>
      </c>
      <c r="O2576" s="36">
        <v>1299802795.6807015</v>
      </c>
      <c r="P2576" s="110">
        <v>172166352.31780311</v>
      </c>
    </row>
    <row r="2577" spans="1:16" hidden="1" x14ac:dyDescent="0.35">
      <c r="A2577" s="3">
        <f xml:space="preserve"> ROW( data_scaledImpacts[[#This Row],[row_id]] ) - ROW( data_scaledImpacts[[#Headers],[row_id]] )</f>
        <v>2576</v>
      </c>
      <c r="B2577" s="41" t="str">
        <f xml:space="preserve"> _xlfn.TEXTJOIN( "", , data_scaledImpacts[[#This Row],[sector]:[impactType]] )</f>
        <v>CILAgricultureCanESM21With CO2 FertilizationSoybean</v>
      </c>
      <c r="C2577" s="33" t="s">
        <v>1224</v>
      </c>
      <c r="D2577" s="33" t="s">
        <v>0</v>
      </c>
      <c r="E2577" s="34">
        <v>1</v>
      </c>
      <c r="F2577" s="34"/>
      <c r="G2577" s="34" t="s">
        <v>1160</v>
      </c>
      <c r="H2577" t="s">
        <v>1163</v>
      </c>
      <c r="I2577" s="43" t="s">
        <v>35</v>
      </c>
      <c r="J2577" s="96">
        <v>403505457.46798742</v>
      </c>
      <c r="K2577" s="36">
        <v>-9935856.73752358</v>
      </c>
      <c r="L2577" s="36">
        <v>155163078.08041927</v>
      </c>
      <c r="M2577" s="36">
        <v>0</v>
      </c>
      <c r="N2577" s="36">
        <v>-66542220.095279418</v>
      </c>
      <c r="O2577" s="36">
        <v>58623772.779481687</v>
      </c>
      <c r="P2577" s="110">
        <v>0</v>
      </c>
    </row>
    <row r="2578" spans="1:16" hidden="1" x14ac:dyDescent="0.35">
      <c r="A2578" s="3">
        <f xml:space="preserve"> ROW( data_scaledImpacts[[#This Row],[row_id]] ) - ROW( data_scaledImpacts[[#Headers],[row_id]] )</f>
        <v>2577</v>
      </c>
      <c r="B2578" s="41" t="str">
        <f xml:space="preserve"> _xlfn.TEXTJOIN( "", , data_scaledImpacts[[#This Row],[sector]:[impactType]] )</f>
        <v>CILAgricultureCanESM22With CO2 FertilizationSoybean</v>
      </c>
      <c r="C2578" s="33" t="s">
        <v>1224</v>
      </c>
      <c r="D2578" s="33" t="s">
        <v>0</v>
      </c>
      <c r="E2578" s="34">
        <v>2</v>
      </c>
      <c r="F2578" s="34"/>
      <c r="G2578" s="34" t="s">
        <v>1160</v>
      </c>
      <c r="H2578" t="s">
        <v>1163</v>
      </c>
      <c r="I2578" s="43" t="s">
        <v>42</v>
      </c>
      <c r="J2578" s="96">
        <v>-462485273.22966641</v>
      </c>
      <c r="K2578" s="36">
        <v>10250448.496726027</v>
      </c>
      <c r="L2578" s="36">
        <v>16376325.781250561</v>
      </c>
      <c r="M2578" s="36">
        <v>0</v>
      </c>
      <c r="N2578" s="36">
        <v>210425391.96528655</v>
      </c>
      <c r="O2578" s="36">
        <v>56882788.176251873</v>
      </c>
      <c r="P2578" s="110">
        <v>0</v>
      </c>
    </row>
    <row r="2579" spans="1:16" hidden="1" x14ac:dyDescent="0.35">
      <c r="A2579" s="3">
        <f xml:space="preserve"> ROW( data_scaledImpacts[[#This Row],[row_id]] ) - ROW( data_scaledImpacts[[#Headers],[row_id]] )</f>
        <v>2578</v>
      </c>
      <c r="B2579" s="41" t="str">
        <f xml:space="preserve"> _xlfn.TEXTJOIN( "", , data_scaledImpacts[[#This Row],[sector]:[impactType]] )</f>
        <v>CILAgricultureCanESM23With CO2 FertilizationSoybean</v>
      </c>
      <c r="C2579" s="33" t="s">
        <v>1224</v>
      </c>
      <c r="D2579" s="33" t="s">
        <v>0</v>
      </c>
      <c r="E2579" s="34">
        <v>3</v>
      </c>
      <c r="F2579" s="34"/>
      <c r="G2579" s="34" t="s">
        <v>1160</v>
      </c>
      <c r="H2579" t="s">
        <v>1163</v>
      </c>
      <c r="I2579" s="43" t="s">
        <v>49</v>
      </c>
      <c r="J2579" s="96">
        <v>344588448.24396503</v>
      </c>
      <c r="K2579" s="36">
        <v>18409420.559714522</v>
      </c>
      <c r="L2579" s="36">
        <v>101448598.72052158</v>
      </c>
      <c r="M2579" s="36">
        <v>0</v>
      </c>
      <c r="N2579" s="36">
        <v>703041011.19265699</v>
      </c>
      <c r="O2579" s="36">
        <v>138475794.92115504</v>
      </c>
      <c r="P2579" s="110">
        <v>0</v>
      </c>
    </row>
    <row r="2580" spans="1:16" hidden="1" x14ac:dyDescent="0.35">
      <c r="A2580" s="3">
        <f xml:space="preserve"> ROW( data_scaledImpacts[[#This Row],[row_id]] ) - ROW( data_scaledImpacts[[#Headers],[row_id]] )</f>
        <v>2579</v>
      </c>
      <c r="B2580" s="41" t="str">
        <f xml:space="preserve"> _xlfn.TEXTJOIN( "", , data_scaledImpacts[[#This Row],[sector]:[impactType]] )</f>
        <v>CILAgricultureCanESM24With CO2 FertilizationSoybean</v>
      </c>
      <c r="C2580" s="33" t="s">
        <v>1224</v>
      </c>
      <c r="D2580" s="33" t="s">
        <v>0</v>
      </c>
      <c r="E2580" s="34">
        <v>4</v>
      </c>
      <c r="F2580" s="34"/>
      <c r="G2580" s="34" t="s">
        <v>1160</v>
      </c>
      <c r="H2580" t="s">
        <v>1163</v>
      </c>
      <c r="I2580" s="43" t="s">
        <v>56</v>
      </c>
      <c r="J2580" s="96">
        <v>58067078.712072916</v>
      </c>
      <c r="K2580" s="36">
        <v>31253314.375214878</v>
      </c>
      <c r="L2580" s="36">
        <v>97988425.949957386</v>
      </c>
      <c r="M2580" s="36">
        <v>0</v>
      </c>
      <c r="N2580" s="36">
        <v>723271200.80299735</v>
      </c>
      <c r="O2580" s="36">
        <v>131338047.58502704</v>
      </c>
      <c r="P2580" s="110">
        <v>0</v>
      </c>
    </row>
    <row r="2581" spans="1:16" hidden="1" x14ac:dyDescent="0.35">
      <c r="A2581" s="3">
        <f xml:space="preserve"> ROW( data_scaledImpacts[[#This Row],[row_id]] ) - ROW( data_scaledImpacts[[#Headers],[row_id]] )</f>
        <v>2580</v>
      </c>
      <c r="B2581" s="41" t="str">
        <f xml:space="preserve"> _xlfn.TEXTJOIN( "", , data_scaledImpacts[[#This Row],[sector]:[impactType]] )</f>
        <v>CILAgricultureCanESM25With CO2 FertilizationSoybean</v>
      </c>
      <c r="C2581" s="33" t="s">
        <v>1224</v>
      </c>
      <c r="D2581" s="33" t="s">
        <v>0</v>
      </c>
      <c r="E2581" s="34">
        <v>5</v>
      </c>
      <c r="F2581" s="34"/>
      <c r="G2581" s="34" t="s">
        <v>1160</v>
      </c>
      <c r="H2581" t="s">
        <v>1163</v>
      </c>
      <c r="I2581" s="43" t="s">
        <v>63</v>
      </c>
      <c r="J2581" s="96">
        <v>1418748477.3942766</v>
      </c>
      <c r="K2581" s="36">
        <v>87182330.581515461</v>
      </c>
      <c r="L2581" s="36">
        <v>233650077.31527206</v>
      </c>
      <c r="M2581" s="36">
        <v>0</v>
      </c>
      <c r="N2581" s="36">
        <v>1126286568.1277497</v>
      </c>
      <c r="O2581" s="36">
        <v>198038129.84699306</v>
      </c>
      <c r="P2581" s="110">
        <v>0</v>
      </c>
    </row>
    <row r="2582" spans="1:16" hidden="1" x14ac:dyDescent="0.35">
      <c r="A2582" s="3">
        <f xml:space="preserve"> ROW( data_scaledImpacts[[#This Row],[row_id]] ) - ROW( data_scaledImpacts[[#Headers],[row_id]] )</f>
        <v>2581</v>
      </c>
      <c r="B2582" s="41" t="str">
        <f xml:space="preserve"> _xlfn.TEXTJOIN( "", , data_scaledImpacts[[#This Row],[sector]:[impactType]] )</f>
        <v>CILAgricultureCanESM26With CO2 FertilizationSoybean</v>
      </c>
      <c r="C2582" s="33" t="s">
        <v>1224</v>
      </c>
      <c r="D2582" s="33" t="s">
        <v>0</v>
      </c>
      <c r="E2582" s="34">
        <v>6</v>
      </c>
      <c r="F2582" s="34"/>
      <c r="G2582" s="34" t="s">
        <v>1160</v>
      </c>
      <c r="H2582" t="s">
        <v>1163</v>
      </c>
      <c r="I2582" s="43" t="s">
        <v>70</v>
      </c>
      <c r="J2582" s="96">
        <v>3895034586.9942141</v>
      </c>
      <c r="K2582" s="36">
        <v>110901732.54934938</v>
      </c>
      <c r="L2582" s="36">
        <v>604361793.52545285</v>
      </c>
      <c r="M2582" s="36">
        <v>0</v>
      </c>
      <c r="N2582" s="36">
        <v>1592021215.6740546</v>
      </c>
      <c r="O2582" s="36">
        <v>318174780.87962794</v>
      </c>
      <c r="P2582" s="110">
        <v>0</v>
      </c>
    </row>
    <row r="2583" spans="1:16" hidden="1" x14ac:dyDescent="0.35">
      <c r="A2583" s="3">
        <f xml:space="preserve"> ROW( data_scaledImpacts[[#This Row],[row_id]] ) - ROW( data_scaledImpacts[[#Headers],[row_id]] )</f>
        <v>2582</v>
      </c>
      <c r="B2583" s="41" t="str">
        <f xml:space="preserve"> _xlfn.TEXTJOIN( "", , data_scaledImpacts[[#This Row],[sector]:[impactType]] )</f>
        <v>CILAgricultureCCSM41With CO2 FertilizationSoybean</v>
      </c>
      <c r="C2583" s="33" t="s">
        <v>1224</v>
      </c>
      <c r="D2583" s="33" t="s">
        <v>1</v>
      </c>
      <c r="E2583" s="34">
        <v>1</v>
      </c>
      <c r="F2583" s="34"/>
      <c r="G2583" s="34" t="s">
        <v>1160</v>
      </c>
      <c r="H2583" t="s">
        <v>1163</v>
      </c>
      <c r="I2583" s="43" t="s">
        <v>36</v>
      </c>
      <c r="J2583" s="96">
        <v>393055147.70538372</v>
      </c>
      <c r="K2583" s="36">
        <v>-4244052.0555813229</v>
      </c>
      <c r="L2583" s="36">
        <v>101883610.31863432</v>
      </c>
      <c r="M2583" s="36">
        <v>0</v>
      </c>
      <c r="N2583" s="36">
        <v>39801025.910708122</v>
      </c>
      <c r="O2583" s="36">
        <v>5149310.8754027514</v>
      </c>
      <c r="P2583" s="110">
        <v>0</v>
      </c>
    </row>
    <row r="2584" spans="1:16" hidden="1" x14ac:dyDescent="0.35">
      <c r="A2584" s="3">
        <f xml:space="preserve"> ROW( data_scaledImpacts[[#This Row],[row_id]] ) - ROW( data_scaledImpacts[[#Headers],[row_id]] )</f>
        <v>2583</v>
      </c>
      <c r="B2584" s="41" t="str">
        <f xml:space="preserve"> _xlfn.TEXTJOIN( "", , data_scaledImpacts[[#This Row],[sector]:[impactType]] )</f>
        <v>CILAgricultureCCSM42With CO2 FertilizationSoybean</v>
      </c>
      <c r="C2584" s="33" t="s">
        <v>1224</v>
      </c>
      <c r="D2584" s="33" t="s">
        <v>1</v>
      </c>
      <c r="E2584" s="34">
        <v>2</v>
      </c>
      <c r="F2584" s="34"/>
      <c r="G2584" s="34" t="s">
        <v>1160</v>
      </c>
      <c r="H2584" t="s">
        <v>1163</v>
      </c>
      <c r="I2584" s="43" t="s">
        <v>43</v>
      </c>
      <c r="J2584" s="96">
        <v>236838389.18033847</v>
      </c>
      <c r="K2584" s="36">
        <v>-15639420.417775262</v>
      </c>
      <c r="L2584" s="36">
        <v>62168818.291094244</v>
      </c>
      <c r="M2584" s="36">
        <v>0</v>
      </c>
      <c r="N2584" s="36">
        <v>319811192.88327718</v>
      </c>
      <c r="O2584" s="36">
        <v>27671133.341111712</v>
      </c>
      <c r="P2584" s="110">
        <v>0</v>
      </c>
    </row>
    <row r="2585" spans="1:16" hidden="1" x14ac:dyDescent="0.35">
      <c r="A2585" s="3">
        <f xml:space="preserve"> ROW( data_scaledImpacts[[#This Row],[row_id]] ) - ROW( data_scaledImpacts[[#Headers],[row_id]] )</f>
        <v>2584</v>
      </c>
      <c r="B2585" s="41" t="str">
        <f xml:space="preserve"> _xlfn.TEXTJOIN( "", , data_scaledImpacts[[#This Row],[sector]:[impactType]] )</f>
        <v>CILAgricultureCCSM43With CO2 FertilizationSoybean</v>
      </c>
      <c r="C2585" s="33" t="s">
        <v>1224</v>
      </c>
      <c r="D2585" s="33" t="s">
        <v>1</v>
      </c>
      <c r="E2585" s="34">
        <v>3</v>
      </c>
      <c r="F2585" s="34"/>
      <c r="G2585" s="34" t="s">
        <v>1160</v>
      </c>
      <c r="H2585" t="s">
        <v>1163</v>
      </c>
      <c r="I2585" s="43" t="s">
        <v>50</v>
      </c>
      <c r="J2585" s="96">
        <v>991501015.20513153</v>
      </c>
      <c r="K2585" s="36">
        <v>-29142210.307699103</v>
      </c>
      <c r="L2585" s="36">
        <v>186706406.20629978</v>
      </c>
      <c r="M2585" s="36">
        <v>0</v>
      </c>
      <c r="N2585" s="36">
        <v>587343668.45477092</v>
      </c>
      <c r="O2585" s="36">
        <v>118684423.06031001</v>
      </c>
      <c r="P2585" s="110">
        <v>0</v>
      </c>
    </row>
    <row r="2586" spans="1:16" hidden="1" x14ac:dyDescent="0.35">
      <c r="A2586" s="3">
        <f xml:space="preserve"> ROW( data_scaledImpacts[[#This Row],[row_id]] ) - ROW( data_scaledImpacts[[#Headers],[row_id]] )</f>
        <v>2585</v>
      </c>
      <c r="B2586" s="41" t="str">
        <f xml:space="preserve"> _xlfn.TEXTJOIN( "", , data_scaledImpacts[[#This Row],[sector]:[impactType]] )</f>
        <v>CILAgricultureCCSM44With CO2 FertilizationSoybean</v>
      </c>
      <c r="C2586" s="33" t="s">
        <v>1224</v>
      </c>
      <c r="D2586" s="33" t="s">
        <v>1</v>
      </c>
      <c r="E2586" s="34">
        <v>4</v>
      </c>
      <c r="F2586" s="34"/>
      <c r="G2586" s="34" t="s">
        <v>1160</v>
      </c>
      <c r="H2586" t="s">
        <v>1163</v>
      </c>
      <c r="I2586" s="43" t="s">
        <v>57</v>
      </c>
      <c r="J2586" s="96">
        <v>3346909841.0217104</v>
      </c>
      <c r="K2586" s="36">
        <v>-8145104.580675913</v>
      </c>
      <c r="L2586" s="36">
        <v>457390365.64817989</v>
      </c>
      <c r="M2586" s="36">
        <v>0</v>
      </c>
      <c r="N2586" s="36">
        <v>1195667197.9163194</v>
      </c>
      <c r="O2586" s="36">
        <v>220403969.03010157</v>
      </c>
      <c r="P2586" s="110">
        <v>0</v>
      </c>
    </row>
    <row r="2587" spans="1:16" hidden="1" x14ac:dyDescent="0.35">
      <c r="A2587" s="3">
        <f xml:space="preserve"> ROW( data_scaledImpacts[[#This Row],[row_id]] ) - ROW( data_scaledImpacts[[#Headers],[row_id]] )</f>
        <v>2586</v>
      </c>
      <c r="B2587" s="41" t="str">
        <f xml:space="preserve"> _xlfn.TEXTJOIN( "", , data_scaledImpacts[[#This Row],[sector]:[impactType]] )</f>
        <v>CILAgricultureCCSM45With CO2 FertilizationSoybean</v>
      </c>
      <c r="C2587" s="33" t="s">
        <v>1224</v>
      </c>
      <c r="D2587" s="33" t="s">
        <v>1</v>
      </c>
      <c r="E2587" s="34">
        <v>5</v>
      </c>
      <c r="F2587" s="34"/>
      <c r="G2587" s="34" t="s">
        <v>1160</v>
      </c>
      <c r="H2587" t="s">
        <v>1163</v>
      </c>
      <c r="I2587" s="43" t="s">
        <v>64</v>
      </c>
      <c r="J2587" s="96">
        <v>2473310397.3971143</v>
      </c>
      <c r="K2587" s="36">
        <v>-10579050.296623033</v>
      </c>
      <c r="L2587" s="36">
        <v>485611231.10911775</v>
      </c>
      <c r="M2587" s="36">
        <v>0</v>
      </c>
      <c r="N2587" s="36">
        <v>1254036810.448904</v>
      </c>
      <c r="O2587" s="36">
        <v>212003554.70980623</v>
      </c>
      <c r="P2587" s="110">
        <v>0</v>
      </c>
    </row>
    <row r="2588" spans="1:16" hidden="1" x14ac:dyDescent="0.35">
      <c r="A2588" s="3">
        <f xml:space="preserve"> ROW( data_scaledImpacts[[#This Row],[row_id]] ) - ROW( data_scaledImpacts[[#Headers],[row_id]] )</f>
        <v>2587</v>
      </c>
      <c r="B2588" s="41" t="str">
        <f xml:space="preserve"> _xlfn.TEXTJOIN( "", , data_scaledImpacts[[#This Row],[sector]:[impactType]] )</f>
        <v>CILAgricultureGFDL-CM31With CO2 FertilizationSoybean</v>
      </c>
      <c r="C2588" s="33" t="s">
        <v>1224</v>
      </c>
      <c r="D2588" s="33" t="s">
        <v>5</v>
      </c>
      <c r="E2588" s="34">
        <v>1</v>
      </c>
      <c r="F2588" s="34"/>
      <c r="G2588" s="34" t="s">
        <v>1160</v>
      </c>
      <c r="H2588" t="s">
        <v>1163</v>
      </c>
      <c r="I2588" s="43" t="s">
        <v>40</v>
      </c>
      <c r="J2588" s="96">
        <v>83795536.606639326</v>
      </c>
      <c r="K2588" s="36">
        <v>13951053.598106969</v>
      </c>
      <c r="L2588" s="36">
        <v>91819077.895159677</v>
      </c>
      <c r="M2588" s="36">
        <v>0</v>
      </c>
      <c r="N2588" s="36">
        <v>198085135.36716923</v>
      </c>
      <c r="O2588" s="36">
        <v>60842776.485146224</v>
      </c>
      <c r="P2588" s="110">
        <v>0</v>
      </c>
    </row>
    <row r="2589" spans="1:16" hidden="1" x14ac:dyDescent="0.35">
      <c r="A2589" s="3">
        <f xml:space="preserve"> ROW( data_scaledImpacts[[#This Row],[row_id]] ) - ROW( data_scaledImpacts[[#Headers],[row_id]] )</f>
        <v>2588</v>
      </c>
      <c r="B2589" s="41" t="str">
        <f xml:space="preserve"> _xlfn.TEXTJOIN( "", , data_scaledImpacts[[#This Row],[sector]:[impactType]] )</f>
        <v>CILAgricultureGFDL-CM32With CO2 FertilizationSoybean</v>
      </c>
      <c r="C2589" s="33" t="s">
        <v>1224</v>
      </c>
      <c r="D2589" s="33" t="s">
        <v>5</v>
      </c>
      <c r="E2589" s="34">
        <v>2</v>
      </c>
      <c r="F2589" s="34"/>
      <c r="G2589" s="34" t="s">
        <v>1160</v>
      </c>
      <c r="H2589" t="s">
        <v>1163</v>
      </c>
      <c r="I2589" s="43" t="s">
        <v>47</v>
      </c>
      <c r="J2589" s="96">
        <v>810265938.09558022</v>
      </c>
      <c r="K2589" s="36">
        <v>31062262.935408186</v>
      </c>
      <c r="L2589" s="36">
        <v>154678863.47265208</v>
      </c>
      <c r="M2589" s="36">
        <v>0</v>
      </c>
      <c r="N2589" s="36">
        <v>378369100.72427529</v>
      </c>
      <c r="O2589" s="36">
        <v>101461954.91610913</v>
      </c>
      <c r="P2589" s="110">
        <v>0</v>
      </c>
    </row>
    <row r="2590" spans="1:16" hidden="1" x14ac:dyDescent="0.35">
      <c r="A2590" s="3">
        <f xml:space="preserve"> ROW( data_scaledImpacts[[#This Row],[row_id]] ) - ROW( data_scaledImpacts[[#Headers],[row_id]] )</f>
        <v>2589</v>
      </c>
      <c r="B2590" s="41" t="str">
        <f xml:space="preserve"> _xlfn.TEXTJOIN( "", , data_scaledImpacts[[#This Row],[sector]:[impactType]] )</f>
        <v>CILAgricultureGFDL-CM33With CO2 FertilizationSoybean</v>
      </c>
      <c r="C2590" s="33" t="s">
        <v>1224</v>
      </c>
      <c r="D2590" s="33" t="s">
        <v>5</v>
      </c>
      <c r="E2590" s="34">
        <v>3</v>
      </c>
      <c r="F2590" s="34"/>
      <c r="G2590" s="34" t="s">
        <v>1160</v>
      </c>
      <c r="H2590" t="s">
        <v>1163</v>
      </c>
      <c r="I2590" s="43" t="s">
        <v>54</v>
      </c>
      <c r="J2590" s="96">
        <v>-293815305.55449432</v>
      </c>
      <c r="K2590" s="36">
        <v>43253605.71351593</v>
      </c>
      <c r="L2590" s="36">
        <v>13455889.431997756</v>
      </c>
      <c r="M2590" s="36">
        <v>0</v>
      </c>
      <c r="N2590" s="36">
        <v>594327978.17614579</v>
      </c>
      <c r="O2590" s="36">
        <v>100247383.06970771</v>
      </c>
      <c r="P2590" s="110">
        <v>0</v>
      </c>
    </row>
    <row r="2591" spans="1:16" hidden="1" x14ac:dyDescent="0.35">
      <c r="A2591" s="3">
        <f xml:space="preserve"> ROW( data_scaledImpacts[[#This Row],[row_id]] ) - ROW( data_scaledImpacts[[#Headers],[row_id]] )</f>
        <v>2590</v>
      </c>
      <c r="B2591" s="41" t="str">
        <f xml:space="preserve"> _xlfn.TEXTJOIN( "", , data_scaledImpacts[[#This Row],[sector]:[impactType]] )</f>
        <v>CILAgricultureGFDL-CM34With CO2 FertilizationSoybean</v>
      </c>
      <c r="C2591" s="33" t="s">
        <v>1224</v>
      </c>
      <c r="D2591" s="33" t="s">
        <v>5</v>
      </c>
      <c r="E2591" s="34">
        <v>4</v>
      </c>
      <c r="F2591" s="34"/>
      <c r="G2591" s="34" t="s">
        <v>1160</v>
      </c>
      <c r="H2591" t="s">
        <v>1163</v>
      </c>
      <c r="I2591" s="43" t="s">
        <v>61</v>
      </c>
      <c r="J2591" s="96">
        <v>1359342952.7665575</v>
      </c>
      <c r="K2591" s="36">
        <v>59106026.75048434</v>
      </c>
      <c r="L2591" s="36">
        <v>69400580.212666944</v>
      </c>
      <c r="M2591" s="36">
        <v>0</v>
      </c>
      <c r="N2591" s="36">
        <v>1054115717.180647</v>
      </c>
      <c r="O2591" s="36">
        <v>152774873.98008284</v>
      </c>
      <c r="P2591" s="110">
        <v>0</v>
      </c>
    </row>
    <row r="2592" spans="1:16" hidden="1" x14ac:dyDescent="0.35">
      <c r="A2592" s="3">
        <f xml:space="preserve"> ROW( data_scaledImpacts[[#This Row],[row_id]] ) - ROW( data_scaledImpacts[[#Headers],[row_id]] )</f>
        <v>2591</v>
      </c>
      <c r="B2592" s="41" t="str">
        <f xml:space="preserve"> _xlfn.TEXTJOIN( "", , data_scaledImpacts[[#This Row],[sector]:[impactType]] )</f>
        <v>CILAgricultureGFDL-CM35With CO2 FertilizationSoybean</v>
      </c>
      <c r="C2592" s="33" t="s">
        <v>1224</v>
      </c>
      <c r="D2592" s="33" t="s">
        <v>5</v>
      </c>
      <c r="E2592" s="34">
        <v>5</v>
      </c>
      <c r="F2592" s="34"/>
      <c r="G2592" s="34" t="s">
        <v>1160</v>
      </c>
      <c r="H2592" t="s">
        <v>1163</v>
      </c>
      <c r="I2592" s="43" t="s">
        <v>68</v>
      </c>
      <c r="J2592" s="96">
        <v>4676919283.8743563</v>
      </c>
      <c r="K2592" s="36">
        <v>124367976.54254436</v>
      </c>
      <c r="L2592" s="36">
        <v>484816055.54749548</v>
      </c>
      <c r="M2592" s="36">
        <v>0</v>
      </c>
      <c r="N2592" s="36">
        <v>1894394087.6102483</v>
      </c>
      <c r="O2592" s="36">
        <v>417378194.91741049</v>
      </c>
      <c r="P2592" s="110">
        <v>0</v>
      </c>
    </row>
    <row r="2593" spans="1:16" hidden="1" x14ac:dyDescent="0.35">
      <c r="A2593" s="3">
        <f xml:space="preserve"> ROW( data_scaledImpacts[[#This Row],[row_id]] ) - ROW( data_scaledImpacts[[#Headers],[row_id]] )</f>
        <v>2592</v>
      </c>
      <c r="B2593" s="41" t="str">
        <f xml:space="preserve"> _xlfn.TEXTJOIN( "", , data_scaledImpacts[[#This Row],[sector]:[impactType]] )</f>
        <v>CILAgricultureGFDL-CM36With CO2 FertilizationSoybean</v>
      </c>
      <c r="C2593" s="33" t="s">
        <v>1224</v>
      </c>
      <c r="D2593" s="33" t="s">
        <v>5</v>
      </c>
      <c r="E2593" s="34">
        <v>6</v>
      </c>
      <c r="F2593" s="34"/>
      <c r="G2593" s="34" t="s">
        <v>1160</v>
      </c>
      <c r="H2593" t="s">
        <v>1163</v>
      </c>
      <c r="I2593" s="43" t="s">
        <v>75</v>
      </c>
      <c r="J2593" s="96">
        <v>6072823840.0377178</v>
      </c>
      <c r="K2593" s="36">
        <v>174754194.3439509</v>
      </c>
      <c r="L2593" s="36">
        <v>720011092.27721298</v>
      </c>
      <c r="M2593" s="36">
        <v>0</v>
      </c>
      <c r="N2593" s="36">
        <v>1973502228.4212761</v>
      </c>
      <c r="O2593" s="36">
        <v>425441460.27639443</v>
      </c>
      <c r="P2593" s="110">
        <v>0</v>
      </c>
    </row>
    <row r="2594" spans="1:16" hidden="1" x14ac:dyDescent="0.35">
      <c r="A2594" s="3">
        <f xml:space="preserve"> ROW( data_scaledImpacts[[#This Row],[row_id]] ) - ROW( data_scaledImpacts[[#Headers],[row_id]] )</f>
        <v>2593</v>
      </c>
      <c r="B2594" s="41" t="str">
        <f xml:space="preserve"> _xlfn.TEXTJOIN( "", , data_scaledImpacts[[#This Row],[sector]:[impactType]] )</f>
        <v>CILAgricultureGISS-E2-R1With CO2 FertilizationSoybean</v>
      </c>
      <c r="C2594" s="33" t="s">
        <v>1224</v>
      </c>
      <c r="D2594" s="33" t="s">
        <v>2</v>
      </c>
      <c r="E2594" s="34">
        <v>1</v>
      </c>
      <c r="F2594" s="34"/>
      <c r="G2594" s="34" t="s">
        <v>1160</v>
      </c>
      <c r="H2594" t="s">
        <v>1163</v>
      </c>
      <c r="I2594" s="43" t="s">
        <v>37</v>
      </c>
      <c r="J2594" s="96">
        <v>-1239806832.1504929</v>
      </c>
      <c r="K2594" s="36">
        <v>-29822019.575392742</v>
      </c>
      <c r="L2594" s="36">
        <v>-164907462.66201159</v>
      </c>
      <c r="M2594" s="36">
        <v>0</v>
      </c>
      <c r="N2594" s="36">
        <v>-496758026.92376494</v>
      </c>
      <c r="O2594" s="36">
        <v>-31393447.422386531</v>
      </c>
      <c r="P2594" s="110">
        <v>0</v>
      </c>
    </row>
    <row r="2595" spans="1:16" hidden="1" x14ac:dyDescent="0.35">
      <c r="A2595" s="3">
        <f xml:space="preserve"> ROW( data_scaledImpacts[[#This Row],[row_id]] ) - ROW( data_scaledImpacts[[#Headers],[row_id]] )</f>
        <v>2594</v>
      </c>
      <c r="B2595" s="41" t="str">
        <f xml:space="preserve"> _xlfn.TEXTJOIN( "", , data_scaledImpacts[[#This Row],[sector]:[impactType]] )</f>
        <v>CILAgricultureGISS-E2-R2With CO2 FertilizationSoybean</v>
      </c>
      <c r="C2595" s="33" t="s">
        <v>1224</v>
      </c>
      <c r="D2595" s="33" t="s">
        <v>2</v>
      </c>
      <c r="E2595" s="34">
        <v>2</v>
      </c>
      <c r="F2595" s="34"/>
      <c r="G2595" s="34" t="s">
        <v>1160</v>
      </c>
      <c r="H2595" t="s">
        <v>1163</v>
      </c>
      <c r="I2595" s="43" t="s">
        <v>44</v>
      </c>
      <c r="J2595" s="96">
        <v>-3211047823.8917866</v>
      </c>
      <c r="K2595" s="36">
        <v>-38486482.149197385</v>
      </c>
      <c r="L2595" s="36">
        <v>-453251917.72261608</v>
      </c>
      <c r="M2595" s="36">
        <v>0</v>
      </c>
      <c r="N2595" s="36">
        <v>-600287347.80226994</v>
      </c>
      <c r="O2595" s="36">
        <v>-165668879.47076151</v>
      </c>
      <c r="P2595" s="110">
        <v>0</v>
      </c>
    </row>
    <row r="2596" spans="1:16" hidden="1" x14ac:dyDescent="0.35">
      <c r="A2596" s="3">
        <f xml:space="preserve"> ROW( data_scaledImpacts[[#This Row],[row_id]] ) - ROW( data_scaledImpacts[[#Headers],[row_id]] )</f>
        <v>2595</v>
      </c>
      <c r="B2596" s="41" t="str">
        <f xml:space="preserve"> _xlfn.TEXTJOIN( "", , data_scaledImpacts[[#This Row],[sector]:[impactType]] )</f>
        <v>CILAgricultureGISS-E2-R3With CO2 FertilizationSoybean</v>
      </c>
      <c r="C2596" s="33" t="s">
        <v>1224</v>
      </c>
      <c r="D2596" s="33" t="s">
        <v>2</v>
      </c>
      <c r="E2596" s="34">
        <v>3</v>
      </c>
      <c r="F2596" s="34"/>
      <c r="G2596" s="34" t="s">
        <v>1160</v>
      </c>
      <c r="H2596" t="s">
        <v>1163</v>
      </c>
      <c r="I2596" s="43" t="s">
        <v>51</v>
      </c>
      <c r="J2596" s="96">
        <v>-4586817475.5358047</v>
      </c>
      <c r="K2596" s="36">
        <v>-108496453.67621094</v>
      </c>
      <c r="L2596" s="36">
        <v>-506709212.75796819</v>
      </c>
      <c r="M2596" s="36">
        <v>0</v>
      </c>
      <c r="N2596" s="36">
        <v>-431795283.01283431</v>
      </c>
      <c r="O2596" s="36">
        <v>-58487349.057325147</v>
      </c>
      <c r="P2596" s="110">
        <v>0</v>
      </c>
    </row>
    <row r="2597" spans="1:16" hidden="1" x14ac:dyDescent="0.35">
      <c r="A2597" s="3">
        <f xml:space="preserve"> ROW( data_scaledImpacts[[#This Row],[row_id]] ) - ROW( data_scaledImpacts[[#Headers],[row_id]] )</f>
        <v>2596</v>
      </c>
      <c r="B2597" s="41" t="str">
        <f xml:space="preserve"> _xlfn.TEXTJOIN( "", , data_scaledImpacts[[#This Row],[sector]:[impactType]] )</f>
        <v>CILAgricultureHadGEM2-ES1With CO2 FertilizationSoybean</v>
      </c>
      <c r="C2597" s="33" t="s">
        <v>1224</v>
      </c>
      <c r="D2597" s="33" t="s">
        <v>3</v>
      </c>
      <c r="E2597" s="34">
        <v>1</v>
      </c>
      <c r="F2597" s="34"/>
      <c r="G2597" s="34" t="s">
        <v>1160</v>
      </c>
      <c r="H2597" t="s">
        <v>1163</v>
      </c>
      <c r="I2597" s="43" t="s">
        <v>38</v>
      </c>
      <c r="J2597" s="96">
        <v>-442538999.94751084</v>
      </c>
      <c r="K2597" s="36">
        <v>-5515941.311467668</v>
      </c>
      <c r="L2597" s="36">
        <v>24211206.462591693</v>
      </c>
      <c r="M2597" s="36">
        <v>0</v>
      </c>
      <c r="N2597" s="36">
        <v>-99984610.842177033</v>
      </c>
      <c r="O2597" s="36">
        <v>47060382.441131212</v>
      </c>
      <c r="P2597" s="110">
        <v>0</v>
      </c>
    </row>
    <row r="2598" spans="1:16" hidden="1" x14ac:dyDescent="0.35">
      <c r="A2598" s="3">
        <f xml:space="preserve"> ROW( data_scaledImpacts[[#This Row],[row_id]] ) - ROW( data_scaledImpacts[[#Headers],[row_id]] )</f>
        <v>2597</v>
      </c>
      <c r="B2598" s="41" t="str">
        <f xml:space="preserve"> _xlfn.TEXTJOIN( "", , data_scaledImpacts[[#This Row],[sector]:[impactType]] )</f>
        <v>CILAgricultureHadGEM2-ES2With CO2 FertilizationSoybean</v>
      </c>
      <c r="C2598" s="33" t="s">
        <v>1224</v>
      </c>
      <c r="D2598" s="33" t="s">
        <v>3</v>
      </c>
      <c r="E2598" s="34">
        <v>2</v>
      </c>
      <c r="F2598" s="34"/>
      <c r="G2598" s="34" t="s">
        <v>1160</v>
      </c>
      <c r="H2598" t="s">
        <v>1163</v>
      </c>
      <c r="I2598" s="43" t="s">
        <v>45</v>
      </c>
      <c r="J2598" s="96">
        <v>-132725696.55258772</v>
      </c>
      <c r="K2598" s="36">
        <v>3666483.6304192091</v>
      </c>
      <c r="L2598" s="36">
        <v>5575074.4103165492</v>
      </c>
      <c r="M2598" s="36">
        <v>0</v>
      </c>
      <c r="N2598" s="36">
        <v>428044580.05646718</v>
      </c>
      <c r="O2598" s="36">
        <v>127780225.75735231</v>
      </c>
      <c r="P2598" s="110">
        <v>0</v>
      </c>
    </row>
    <row r="2599" spans="1:16" hidden="1" x14ac:dyDescent="0.35">
      <c r="A2599" s="3">
        <f xml:space="preserve"> ROW( data_scaledImpacts[[#This Row],[row_id]] ) - ROW( data_scaledImpacts[[#Headers],[row_id]] )</f>
        <v>2598</v>
      </c>
      <c r="B2599" s="41" t="str">
        <f xml:space="preserve"> _xlfn.TEXTJOIN( "", , data_scaledImpacts[[#This Row],[sector]:[impactType]] )</f>
        <v>CILAgricultureHadGEM2-ES3With CO2 FertilizationSoybean</v>
      </c>
      <c r="C2599" s="33" t="s">
        <v>1224</v>
      </c>
      <c r="D2599" s="33" t="s">
        <v>3</v>
      </c>
      <c r="E2599" s="34">
        <v>3</v>
      </c>
      <c r="F2599" s="34"/>
      <c r="G2599" s="34" t="s">
        <v>1160</v>
      </c>
      <c r="H2599" t="s">
        <v>1163</v>
      </c>
      <c r="I2599" s="43" t="s">
        <v>52</v>
      </c>
      <c r="J2599" s="96">
        <v>2798956616.9143906</v>
      </c>
      <c r="K2599" s="36">
        <v>6860321.302619989</v>
      </c>
      <c r="L2599" s="36">
        <v>249828680.58151248</v>
      </c>
      <c r="M2599" s="36">
        <v>0</v>
      </c>
      <c r="N2599" s="36">
        <v>1279357645.7920055</v>
      </c>
      <c r="O2599" s="36">
        <v>273601816.01026791</v>
      </c>
      <c r="P2599" s="110">
        <v>0</v>
      </c>
    </row>
    <row r="2600" spans="1:16" hidden="1" x14ac:dyDescent="0.35">
      <c r="A2600" s="3">
        <f xml:space="preserve"> ROW( data_scaledImpacts[[#This Row],[row_id]] ) - ROW( data_scaledImpacts[[#Headers],[row_id]] )</f>
        <v>2599</v>
      </c>
      <c r="B2600" s="41" t="str">
        <f xml:space="preserve"> _xlfn.TEXTJOIN( "", , data_scaledImpacts[[#This Row],[sector]:[impactType]] )</f>
        <v>CILAgricultureHadGEM2-ES4With CO2 FertilizationSoybean</v>
      </c>
      <c r="C2600" s="33" t="s">
        <v>1224</v>
      </c>
      <c r="D2600" s="33" t="s">
        <v>3</v>
      </c>
      <c r="E2600" s="34">
        <v>4</v>
      </c>
      <c r="F2600" s="34"/>
      <c r="G2600" s="34" t="s">
        <v>1160</v>
      </c>
      <c r="H2600" t="s">
        <v>1163</v>
      </c>
      <c r="I2600" s="43" t="s">
        <v>59</v>
      </c>
      <c r="J2600" s="96">
        <v>2724960928.660028</v>
      </c>
      <c r="K2600" s="36">
        <v>22792992.80814169</v>
      </c>
      <c r="L2600" s="36">
        <v>184603214.81830323</v>
      </c>
      <c r="M2600" s="36">
        <v>0</v>
      </c>
      <c r="N2600" s="36">
        <v>1865547631.1489346</v>
      </c>
      <c r="O2600" s="36">
        <v>277703092.31280077</v>
      </c>
      <c r="P2600" s="110">
        <v>0</v>
      </c>
    </row>
    <row r="2601" spans="1:16" hidden="1" x14ac:dyDescent="0.35">
      <c r="A2601" s="3">
        <f xml:space="preserve"> ROW( data_scaledImpacts[[#This Row],[row_id]] ) - ROW( data_scaledImpacts[[#Headers],[row_id]] )</f>
        <v>2600</v>
      </c>
      <c r="B2601" s="41" t="str">
        <f xml:space="preserve"> _xlfn.TEXTJOIN( "", , data_scaledImpacts[[#This Row],[sector]:[impactType]] )</f>
        <v>CILAgricultureHadGEM2-ES5With CO2 FertilizationSoybean</v>
      </c>
      <c r="C2601" s="33" t="s">
        <v>1224</v>
      </c>
      <c r="D2601" s="33" t="s">
        <v>3</v>
      </c>
      <c r="E2601" s="34">
        <v>5</v>
      </c>
      <c r="F2601" s="34"/>
      <c r="G2601" s="34" t="s">
        <v>1160</v>
      </c>
      <c r="H2601" t="s">
        <v>1163</v>
      </c>
      <c r="I2601" s="43" t="s">
        <v>66</v>
      </c>
      <c r="J2601" s="96">
        <v>4837075325.8480539</v>
      </c>
      <c r="K2601" s="36">
        <v>92689446.308627978</v>
      </c>
      <c r="L2601" s="36">
        <v>307023907.27190626</v>
      </c>
      <c r="M2601" s="36">
        <v>0</v>
      </c>
      <c r="N2601" s="36">
        <v>2205842468.4314833</v>
      </c>
      <c r="O2601" s="36">
        <v>345560447.76563698</v>
      </c>
      <c r="P2601" s="110">
        <v>0</v>
      </c>
    </row>
    <row r="2602" spans="1:16" hidden="1" x14ac:dyDescent="0.35">
      <c r="A2602" s="3">
        <f xml:space="preserve"> ROW( data_scaledImpacts[[#This Row],[row_id]] ) - ROW( data_scaledImpacts[[#Headers],[row_id]] )</f>
        <v>2601</v>
      </c>
      <c r="B2602" s="41" t="str">
        <f xml:space="preserve"> _xlfn.TEXTJOIN( "", , data_scaledImpacts[[#This Row],[sector]:[impactType]] )</f>
        <v>CILAgricultureHadGEM2-ES6With CO2 FertilizationSoybean</v>
      </c>
      <c r="C2602" s="33" t="s">
        <v>1224</v>
      </c>
      <c r="D2602" s="33" t="s">
        <v>3</v>
      </c>
      <c r="E2602" s="34">
        <v>6</v>
      </c>
      <c r="F2602" s="34"/>
      <c r="G2602" s="34" t="s">
        <v>1160</v>
      </c>
      <c r="H2602" t="s">
        <v>1163</v>
      </c>
      <c r="I2602" s="43" t="s">
        <v>73</v>
      </c>
      <c r="J2602" s="96">
        <v>7095843270.9286222</v>
      </c>
      <c r="K2602" s="36">
        <v>125479160.89149842</v>
      </c>
      <c r="L2602" s="36">
        <v>643950181.90735936</v>
      </c>
      <c r="M2602" s="36">
        <v>0</v>
      </c>
      <c r="N2602" s="36">
        <v>2260077031.8377337</v>
      </c>
      <c r="O2602" s="36">
        <v>355491718.66171682</v>
      </c>
      <c r="P2602" s="110">
        <v>0</v>
      </c>
    </row>
    <row r="2603" spans="1:16" hidden="1" x14ac:dyDescent="0.35">
      <c r="A2603" s="3">
        <f xml:space="preserve"> ROW( data_scaledImpacts[[#This Row],[row_id]] ) - ROW( data_scaledImpacts[[#Headers],[row_id]] )</f>
        <v>2602</v>
      </c>
      <c r="B2603" s="41" t="str">
        <f xml:space="preserve"> _xlfn.TEXTJOIN( "", , data_scaledImpacts[[#This Row],[sector]:[impactType]] )</f>
        <v>CILAgricultureMIROC51With CO2 FertilizationSoybean</v>
      </c>
      <c r="C2603" s="33" t="s">
        <v>1224</v>
      </c>
      <c r="D2603" s="33" t="s">
        <v>4</v>
      </c>
      <c r="E2603" s="34">
        <v>1</v>
      </c>
      <c r="F2603" s="34"/>
      <c r="G2603" s="34" t="s">
        <v>1160</v>
      </c>
      <c r="H2603" t="s">
        <v>1163</v>
      </c>
      <c r="I2603" s="43" t="s">
        <v>39</v>
      </c>
      <c r="J2603" s="96">
        <v>260239329.90070209</v>
      </c>
      <c r="K2603" s="36">
        <v>-16178614.544877196</v>
      </c>
      <c r="L2603" s="36">
        <v>49537298.248969339</v>
      </c>
      <c r="M2603" s="36">
        <v>0</v>
      </c>
      <c r="N2603" s="36">
        <v>300745920.80385149</v>
      </c>
      <c r="O2603" s="36">
        <v>87069468.953687638</v>
      </c>
      <c r="P2603" s="110">
        <v>0</v>
      </c>
    </row>
    <row r="2604" spans="1:16" hidden="1" x14ac:dyDescent="0.35">
      <c r="A2604" s="3">
        <f xml:space="preserve"> ROW( data_scaledImpacts[[#This Row],[row_id]] ) - ROW( data_scaledImpacts[[#Headers],[row_id]] )</f>
        <v>2603</v>
      </c>
      <c r="B2604" s="41" t="str">
        <f xml:space="preserve"> _xlfn.TEXTJOIN( "", , data_scaledImpacts[[#This Row],[sector]:[impactType]] )</f>
        <v>CILAgricultureMIROC52With CO2 FertilizationSoybean</v>
      </c>
      <c r="C2604" s="33" t="s">
        <v>1224</v>
      </c>
      <c r="D2604" s="33" t="s">
        <v>4</v>
      </c>
      <c r="E2604" s="34">
        <v>2</v>
      </c>
      <c r="F2604" s="34"/>
      <c r="G2604" s="34" t="s">
        <v>1160</v>
      </c>
      <c r="H2604" t="s">
        <v>1163</v>
      </c>
      <c r="I2604" s="43" t="s">
        <v>46</v>
      </c>
      <c r="J2604" s="96">
        <v>83078518.490620151</v>
      </c>
      <c r="K2604" s="36">
        <v>-6265366.5497712102</v>
      </c>
      <c r="L2604" s="36">
        <v>86214170.945049614</v>
      </c>
      <c r="M2604" s="36">
        <v>0</v>
      </c>
      <c r="N2604" s="36">
        <v>875570652.62860143</v>
      </c>
      <c r="O2604" s="36">
        <v>126633035.36915173</v>
      </c>
      <c r="P2604" s="110">
        <v>0</v>
      </c>
    </row>
    <row r="2605" spans="1:16" hidden="1" x14ac:dyDescent="0.35">
      <c r="A2605" s="3">
        <f xml:space="preserve"> ROW( data_scaledImpacts[[#This Row],[row_id]] ) - ROW( data_scaledImpacts[[#Headers],[row_id]] )</f>
        <v>2604</v>
      </c>
      <c r="B2605" s="41" t="str">
        <f xml:space="preserve"> _xlfn.TEXTJOIN( "", , data_scaledImpacts[[#This Row],[sector]:[impactType]] )</f>
        <v>CILAgricultureMIROC53With CO2 FertilizationSoybean</v>
      </c>
      <c r="C2605" s="33" t="s">
        <v>1224</v>
      </c>
      <c r="D2605" s="33" t="s">
        <v>4</v>
      </c>
      <c r="E2605" s="34">
        <v>3</v>
      </c>
      <c r="F2605" s="34"/>
      <c r="G2605" s="34" t="s">
        <v>1160</v>
      </c>
      <c r="H2605" t="s">
        <v>1163</v>
      </c>
      <c r="I2605" s="43" t="s">
        <v>53</v>
      </c>
      <c r="J2605" s="96">
        <v>-718282896.52365053</v>
      </c>
      <c r="K2605" s="36">
        <v>-15946502.275945406</v>
      </c>
      <c r="L2605" s="36">
        <v>54071825.205886342</v>
      </c>
      <c r="M2605" s="36">
        <v>0</v>
      </c>
      <c r="N2605" s="36">
        <v>715939666.67231262</v>
      </c>
      <c r="O2605" s="36">
        <v>166570445.29788345</v>
      </c>
      <c r="P2605" s="110">
        <v>0</v>
      </c>
    </row>
    <row r="2606" spans="1:16" hidden="1" x14ac:dyDescent="0.35">
      <c r="A2606" s="3">
        <f xml:space="preserve"> ROW( data_scaledImpacts[[#This Row],[row_id]] ) - ROW( data_scaledImpacts[[#Headers],[row_id]] )</f>
        <v>2605</v>
      </c>
      <c r="B2606" s="41" t="str">
        <f xml:space="preserve"> _xlfn.TEXTJOIN( "", , data_scaledImpacts[[#This Row],[sector]:[impactType]] )</f>
        <v>CILAgricultureMIROC54With CO2 FertilizationSoybean</v>
      </c>
      <c r="C2606" s="33" t="s">
        <v>1224</v>
      </c>
      <c r="D2606" s="33" t="s">
        <v>4</v>
      </c>
      <c r="E2606" s="34">
        <v>4</v>
      </c>
      <c r="F2606" s="34"/>
      <c r="G2606" s="34" t="s">
        <v>1160</v>
      </c>
      <c r="H2606" t="s">
        <v>1163</v>
      </c>
      <c r="I2606" s="43" t="s">
        <v>60</v>
      </c>
      <c r="J2606" s="96">
        <v>538778548.59068179</v>
      </c>
      <c r="K2606" s="36">
        <v>-27006134.838199336</v>
      </c>
      <c r="L2606" s="36">
        <v>340416138.37898445</v>
      </c>
      <c r="M2606" s="36">
        <v>0</v>
      </c>
      <c r="N2606" s="36">
        <v>1049337957.0519702</v>
      </c>
      <c r="O2606" s="36">
        <v>217843863.49998131</v>
      </c>
      <c r="P2606" s="110">
        <v>0</v>
      </c>
    </row>
    <row r="2607" spans="1:16" hidden="1" x14ac:dyDescent="0.35">
      <c r="A2607" s="3">
        <f xml:space="preserve"> ROW( data_scaledImpacts[[#This Row],[row_id]] ) - ROW( data_scaledImpacts[[#Headers],[row_id]] )</f>
        <v>2606</v>
      </c>
      <c r="B2607" s="41" t="str">
        <f xml:space="preserve"> _xlfn.TEXTJOIN( "", , data_scaledImpacts[[#This Row],[sector]:[impactType]] )</f>
        <v>CILAgricultureMIROC55With CO2 FertilizationSoybean</v>
      </c>
      <c r="C2607" s="33" t="s">
        <v>1224</v>
      </c>
      <c r="D2607" s="33" t="s">
        <v>4</v>
      </c>
      <c r="E2607" s="34">
        <v>5</v>
      </c>
      <c r="F2607" s="34"/>
      <c r="G2607" s="34" t="s">
        <v>1160</v>
      </c>
      <c r="H2607" t="s">
        <v>1163</v>
      </c>
      <c r="I2607" s="43" t="s">
        <v>67</v>
      </c>
      <c r="J2607" s="96">
        <v>2849573902.6377358</v>
      </c>
      <c r="K2607" s="36">
        <v>-2638435.3088808404</v>
      </c>
      <c r="L2607" s="36">
        <v>619173098.42611122</v>
      </c>
      <c r="M2607" s="36">
        <v>0</v>
      </c>
      <c r="N2607" s="36">
        <v>1565605663.7710893</v>
      </c>
      <c r="O2607" s="36">
        <v>392123715.25360107</v>
      </c>
      <c r="P2607" s="110">
        <v>0</v>
      </c>
    </row>
    <row r="2608" spans="1:16" hidden="1" x14ac:dyDescent="0.35">
      <c r="A2608" s="3">
        <f xml:space="preserve"> ROW( data_scaledImpacts[[#This Row],[row_id]] ) - ROW( data_scaledImpacts[[#Headers],[row_id]] )</f>
        <v>2607</v>
      </c>
      <c r="B2608" s="41" t="str">
        <f xml:space="preserve"> _xlfn.TEXTJOIN( "", , data_scaledImpacts[[#This Row],[sector]:[impactType]] )</f>
        <v>CILAgricultureCanESM21Without CO2 FertilizationSoybean</v>
      </c>
      <c r="C2608" s="33" t="s">
        <v>1224</v>
      </c>
      <c r="D2608" s="33" t="s">
        <v>0</v>
      </c>
      <c r="E2608" s="34">
        <v>1</v>
      </c>
      <c r="F2608" s="34"/>
      <c r="G2608" s="34" t="s">
        <v>1159</v>
      </c>
      <c r="H2608" t="s">
        <v>1163</v>
      </c>
      <c r="I2608" s="43" t="s">
        <v>35</v>
      </c>
      <c r="J2608" s="96">
        <v>367939074.1223411</v>
      </c>
      <c r="K2608" s="36">
        <v>-10824714.195591314</v>
      </c>
      <c r="L2608" s="36">
        <v>150272385.55033875</v>
      </c>
      <c r="M2608" s="36">
        <v>0</v>
      </c>
      <c r="N2608" s="36">
        <v>-75746031.03656368</v>
      </c>
      <c r="O2608" s="36">
        <v>56956077.066870116</v>
      </c>
      <c r="P2608" s="110">
        <v>0</v>
      </c>
    </row>
    <row r="2609" spans="1:16" hidden="1" x14ac:dyDescent="0.35">
      <c r="A2609" s="3">
        <f xml:space="preserve"> ROW( data_scaledImpacts[[#This Row],[row_id]] ) - ROW( data_scaledImpacts[[#Headers],[row_id]] )</f>
        <v>2608</v>
      </c>
      <c r="B2609" s="41" t="str">
        <f xml:space="preserve"> _xlfn.TEXTJOIN( "", , data_scaledImpacts[[#This Row],[sector]:[impactType]] )</f>
        <v>CILAgricultureCanESM22Without CO2 FertilizationSoybean</v>
      </c>
      <c r="C2609" s="33" t="s">
        <v>1224</v>
      </c>
      <c r="D2609" s="33" t="s">
        <v>0</v>
      </c>
      <c r="E2609" s="34">
        <v>2</v>
      </c>
      <c r="F2609" s="34"/>
      <c r="G2609" s="34" t="s">
        <v>1159</v>
      </c>
      <c r="H2609" t="s">
        <v>1163</v>
      </c>
      <c r="I2609" s="43" t="s">
        <v>42</v>
      </c>
      <c r="J2609" s="96">
        <v>595761249.28268301</v>
      </c>
      <c r="K2609" s="36">
        <v>34729516.148032226</v>
      </c>
      <c r="L2609" s="36">
        <v>158145660.6664024</v>
      </c>
      <c r="M2609" s="36">
        <v>0</v>
      </c>
      <c r="N2609" s="36">
        <v>409818886.56576484</v>
      </c>
      <c r="O2609" s="36">
        <v>100616667.14036386</v>
      </c>
      <c r="P2609" s="110">
        <v>0</v>
      </c>
    </row>
    <row r="2610" spans="1:16" hidden="1" x14ac:dyDescent="0.35">
      <c r="A2610" s="3">
        <f xml:space="preserve"> ROW( data_scaledImpacts[[#This Row],[row_id]] ) - ROW( data_scaledImpacts[[#Headers],[row_id]] )</f>
        <v>2609</v>
      </c>
      <c r="B2610" s="41" t="str">
        <f xml:space="preserve"> _xlfn.TEXTJOIN( "", , data_scaledImpacts[[#This Row],[sector]:[impactType]] )</f>
        <v>CILAgricultureCanESM23Without CO2 FertilizationSoybean</v>
      </c>
      <c r="C2610" s="33" t="s">
        <v>1224</v>
      </c>
      <c r="D2610" s="33" t="s">
        <v>0</v>
      </c>
      <c r="E2610" s="34">
        <v>3</v>
      </c>
      <c r="F2610" s="34"/>
      <c r="G2610" s="34" t="s">
        <v>1159</v>
      </c>
      <c r="H2610" t="s">
        <v>1163</v>
      </c>
      <c r="I2610" s="43" t="s">
        <v>49</v>
      </c>
      <c r="J2610" s="96">
        <v>2280432664.9088202</v>
      </c>
      <c r="K2610" s="36">
        <v>64577459.973026149</v>
      </c>
      <c r="L2610" s="36">
        <v>360055347.30886787</v>
      </c>
      <c r="M2610" s="36">
        <v>0</v>
      </c>
      <c r="N2610" s="36">
        <v>1024742719.7391673</v>
      </c>
      <c r="O2610" s="36">
        <v>212626111.80325326</v>
      </c>
      <c r="P2610" s="110">
        <v>0</v>
      </c>
    </row>
    <row r="2611" spans="1:16" hidden="1" x14ac:dyDescent="0.35">
      <c r="A2611" s="3">
        <f xml:space="preserve"> ROW( data_scaledImpacts[[#This Row],[row_id]] ) - ROW( data_scaledImpacts[[#Headers],[row_id]] )</f>
        <v>2610</v>
      </c>
      <c r="B2611" s="41" t="str">
        <f xml:space="preserve"> _xlfn.TEXTJOIN( "", , data_scaledImpacts[[#This Row],[sector]:[impactType]] )</f>
        <v>CILAgricultureCanESM24Without CO2 FertilizationSoybean</v>
      </c>
      <c r="C2611" s="33" t="s">
        <v>1224</v>
      </c>
      <c r="D2611" s="33" t="s">
        <v>0</v>
      </c>
      <c r="E2611" s="34">
        <v>4</v>
      </c>
      <c r="F2611" s="34"/>
      <c r="G2611" s="34" t="s">
        <v>1159</v>
      </c>
      <c r="H2611" t="s">
        <v>1163</v>
      </c>
      <c r="I2611" s="43" t="s">
        <v>56</v>
      </c>
      <c r="J2611" s="96">
        <v>3032599633.9267621</v>
      </c>
      <c r="K2611" s="36">
        <v>98471604.486282378</v>
      </c>
      <c r="L2611" s="36">
        <v>492858588.1620813</v>
      </c>
      <c r="M2611" s="36">
        <v>0</v>
      </c>
      <c r="N2611" s="36">
        <v>1204632500.5170665</v>
      </c>
      <c r="O2611" s="36">
        <v>244806233.31172463</v>
      </c>
      <c r="P2611" s="110">
        <v>0</v>
      </c>
    </row>
    <row r="2612" spans="1:16" hidden="1" x14ac:dyDescent="0.35">
      <c r="A2612" s="3">
        <f xml:space="preserve"> ROW( data_scaledImpacts[[#This Row],[row_id]] ) - ROW( data_scaledImpacts[[#Headers],[row_id]] )</f>
        <v>2611</v>
      </c>
      <c r="B2612" s="41" t="str">
        <f xml:space="preserve"> _xlfn.TEXTJOIN( "", , data_scaledImpacts[[#This Row],[sector]:[impactType]] )</f>
        <v>CILAgricultureCanESM25Without CO2 FertilizationSoybean</v>
      </c>
      <c r="C2612" s="33" t="s">
        <v>1224</v>
      </c>
      <c r="D2612" s="33" t="s">
        <v>0</v>
      </c>
      <c r="E2612" s="34">
        <v>5</v>
      </c>
      <c r="F2612" s="34"/>
      <c r="G2612" s="34" t="s">
        <v>1159</v>
      </c>
      <c r="H2612" t="s">
        <v>1163</v>
      </c>
      <c r="I2612" s="43" t="s">
        <v>63</v>
      </c>
      <c r="J2612" s="96">
        <v>5120421937.2770882</v>
      </c>
      <c r="K2612" s="36">
        <v>164668190.71232155</v>
      </c>
      <c r="L2612" s="36">
        <v>734642015.45355868</v>
      </c>
      <c r="M2612" s="36">
        <v>0</v>
      </c>
      <c r="N2612" s="36">
        <v>1680170120.5978231</v>
      </c>
      <c r="O2612" s="36">
        <v>334889763.41841882</v>
      </c>
      <c r="P2612" s="110">
        <v>0</v>
      </c>
    </row>
    <row r="2613" spans="1:16" hidden="1" x14ac:dyDescent="0.35">
      <c r="A2613" s="3">
        <f xml:space="preserve"> ROW( data_scaledImpacts[[#This Row],[row_id]] ) - ROW( data_scaledImpacts[[#Headers],[row_id]] )</f>
        <v>2612</v>
      </c>
      <c r="B2613" s="41" t="str">
        <f xml:space="preserve"> _xlfn.TEXTJOIN( "", , data_scaledImpacts[[#This Row],[sector]:[impactType]] )</f>
        <v>CILAgricultureCanESM26Without CO2 FertilizationSoybean</v>
      </c>
      <c r="C2613" s="33" t="s">
        <v>1224</v>
      </c>
      <c r="D2613" s="33" t="s">
        <v>0</v>
      </c>
      <c r="E2613" s="34">
        <v>6</v>
      </c>
      <c r="F2613" s="34"/>
      <c r="G2613" s="34" t="s">
        <v>1159</v>
      </c>
      <c r="H2613" t="s">
        <v>1163</v>
      </c>
      <c r="I2613" s="43" t="s">
        <v>70</v>
      </c>
      <c r="J2613" s="96">
        <v>7742829232.9572849</v>
      </c>
      <c r="K2613" s="36">
        <v>201207569.24586529</v>
      </c>
      <c r="L2613" s="36">
        <v>1114298628.8435786</v>
      </c>
      <c r="M2613" s="36">
        <v>0</v>
      </c>
      <c r="N2613" s="36">
        <v>2138851006.3292096</v>
      </c>
      <c r="O2613" s="36">
        <v>452857051.75638986</v>
      </c>
      <c r="P2613" s="110">
        <v>0</v>
      </c>
    </row>
    <row r="2614" spans="1:16" hidden="1" x14ac:dyDescent="0.35">
      <c r="A2614" s="3">
        <f xml:space="preserve"> ROW( data_scaledImpacts[[#This Row],[row_id]] ) - ROW( data_scaledImpacts[[#Headers],[row_id]] )</f>
        <v>2613</v>
      </c>
      <c r="B2614" s="41" t="str">
        <f xml:space="preserve"> _xlfn.TEXTJOIN( "", , data_scaledImpacts[[#This Row],[sector]:[impactType]] )</f>
        <v>CILAgricultureCCSM41Without CO2 FertilizationSoybean</v>
      </c>
      <c r="C2614" s="33" t="s">
        <v>1224</v>
      </c>
      <c r="D2614" s="33" t="s">
        <v>1</v>
      </c>
      <c r="E2614" s="34">
        <v>1</v>
      </c>
      <c r="F2614" s="34"/>
      <c r="G2614" s="34" t="s">
        <v>1159</v>
      </c>
      <c r="H2614" t="s">
        <v>1163</v>
      </c>
      <c r="I2614" s="43" t="s">
        <v>36</v>
      </c>
      <c r="J2614" s="96">
        <v>353401368.3841604</v>
      </c>
      <c r="K2614" s="36">
        <v>-5045250.0801879829</v>
      </c>
      <c r="L2614" s="36">
        <v>96477464.751219168</v>
      </c>
      <c r="M2614" s="36">
        <v>0</v>
      </c>
      <c r="N2614" s="36">
        <v>30411596.532755278</v>
      </c>
      <c r="O2614" s="36">
        <v>2905304.9459871878</v>
      </c>
      <c r="P2614" s="110">
        <v>0</v>
      </c>
    </row>
    <row r="2615" spans="1:16" hidden="1" x14ac:dyDescent="0.35">
      <c r="A2615" s="3">
        <f xml:space="preserve"> ROW( data_scaledImpacts[[#This Row],[row_id]] ) - ROW( data_scaledImpacts[[#Headers],[row_id]] )</f>
        <v>2614</v>
      </c>
      <c r="B2615" s="41" t="str">
        <f xml:space="preserve"> _xlfn.TEXTJOIN( "", , data_scaledImpacts[[#This Row],[sector]:[impactType]] )</f>
        <v>CILAgricultureCCSM42Without CO2 FertilizationSoybean</v>
      </c>
      <c r="C2615" s="33" t="s">
        <v>1224</v>
      </c>
      <c r="D2615" s="33" t="s">
        <v>1</v>
      </c>
      <c r="E2615" s="34">
        <v>2</v>
      </c>
      <c r="F2615" s="34"/>
      <c r="G2615" s="34" t="s">
        <v>1159</v>
      </c>
      <c r="H2615" t="s">
        <v>1163</v>
      </c>
      <c r="I2615" s="43" t="s">
        <v>43</v>
      </c>
      <c r="J2615" s="96">
        <v>1497250385.2873907</v>
      </c>
      <c r="K2615" s="36">
        <v>17448625.894763317</v>
      </c>
      <c r="L2615" s="36">
        <v>234793768.40446892</v>
      </c>
      <c r="M2615" s="36">
        <v>0</v>
      </c>
      <c r="N2615" s="36">
        <v>554770940.96025133</v>
      </c>
      <c r="O2615" s="36">
        <v>84506017.728559032</v>
      </c>
      <c r="P2615" s="110">
        <v>0</v>
      </c>
    </row>
    <row r="2616" spans="1:16" hidden="1" x14ac:dyDescent="0.35">
      <c r="A2616" s="3">
        <f xml:space="preserve"> ROW( data_scaledImpacts[[#This Row],[row_id]] ) - ROW( data_scaledImpacts[[#Headers],[row_id]] )</f>
        <v>2615</v>
      </c>
      <c r="B2616" s="41" t="str">
        <f xml:space="preserve"> _xlfn.TEXTJOIN( "", , data_scaledImpacts[[#This Row],[sector]:[impactType]] )</f>
        <v>CILAgricultureCCSM43Without CO2 FertilizationSoybean</v>
      </c>
      <c r="C2616" s="33" t="s">
        <v>1224</v>
      </c>
      <c r="D2616" s="33" t="s">
        <v>1</v>
      </c>
      <c r="E2616" s="34">
        <v>3</v>
      </c>
      <c r="F2616" s="34"/>
      <c r="G2616" s="34" t="s">
        <v>1159</v>
      </c>
      <c r="H2616" t="s">
        <v>1163</v>
      </c>
      <c r="I2616" s="43" t="s">
        <v>50</v>
      </c>
      <c r="J2616" s="96">
        <v>3618859945.4184022</v>
      </c>
      <c r="K2616" s="36">
        <v>45469969.787765294</v>
      </c>
      <c r="L2616" s="36">
        <v>541591433.06974638</v>
      </c>
      <c r="M2616" s="36">
        <v>0</v>
      </c>
      <c r="N2616" s="36">
        <v>1063248961.3090883</v>
      </c>
      <c r="O2616" s="36">
        <v>229609912.40231964</v>
      </c>
      <c r="P2616" s="110">
        <v>0</v>
      </c>
    </row>
    <row r="2617" spans="1:16" hidden="1" x14ac:dyDescent="0.35">
      <c r="A2617" s="3">
        <f xml:space="preserve"> ROW( data_scaledImpacts[[#This Row],[row_id]] ) - ROW( data_scaledImpacts[[#Headers],[row_id]] )</f>
        <v>2616</v>
      </c>
      <c r="B2617" s="41" t="str">
        <f xml:space="preserve"> _xlfn.TEXTJOIN( "", , data_scaledImpacts[[#This Row],[sector]:[impactType]] )</f>
        <v>CILAgricultureCCSM44Without CO2 FertilizationSoybean</v>
      </c>
      <c r="C2617" s="33" t="s">
        <v>1224</v>
      </c>
      <c r="D2617" s="33" t="s">
        <v>1</v>
      </c>
      <c r="E2617" s="34">
        <v>4</v>
      </c>
      <c r="F2617" s="34"/>
      <c r="G2617" s="34" t="s">
        <v>1159</v>
      </c>
      <c r="H2617" t="s">
        <v>1163</v>
      </c>
      <c r="I2617" s="43" t="s">
        <v>57</v>
      </c>
      <c r="J2617" s="96">
        <v>6654141902.9502039</v>
      </c>
      <c r="K2617" s="36">
        <v>97400904.655807436</v>
      </c>
      <c r="L2617" s="36">
        <v>916191006.40352118</v>
      </c>
      <c r="M2617" s="36">
        <v>0</v>
      </c>
      <c r="N2617" s="36">
        <v>1749662058.7162569</v>
      </c>
      <c r="O2617" s="36">
        <v>357537715.98339874</v>
      </c>
      <c r="P2617" s="110">
        <v>0</v>
      </c>
    </row>
    <row r="2618" spans="1:16" hidden="1" x14ac:dyDescent="0.35">
      <c r="A2618" s="3">
        <f xml:space="preserve"> ROW( data_scaledImpacts[[#This Row],[row_id]] ) - ROW( data_scaledImpacts[[#Headers],[row_id]] )</f>
        <v>2617</v>
      </c>
      <c r="B2618" s="41" t="str">
        <f xml:space="preserve"> _xlfn.TEXTJOIN( "", , data_scaledImpacts[[#This Row],[sector]:[impactType]] )</f>
        <v>CILAgricultureCCSM45Without CO2 FertilizationSoybean</v>
      </c>
      <c r="C2618" s="33" t="s">
        <v>1224</v>
      </c>
      <c r="D2618" s="33" t="s">
        <v>1</v>
      </c>
      <c r="E2618" s="34">
        <v>5</v>
      </c>
      <c r="F2618" s="34"/>
      <c r="G2618" s="34" t="s">
        <v>1159</v>
      </c>
      <c r="H2618" t="s">
        <v>1163</v>
      </c>
      <c r="I2618" s="43" t="s">
        <v>64</v>
      </c>
      <c r="J2618" s="96">
        <v>6833632342.0453596</v>
      </c>
      <c r="K2618" s="36">
        <v>120729610.77524194</v>
      </c>
      <c r="L2618" s="36">
        <v>1041439859.1962838</v>
      </c>
      <c r="M2618" s="36">
        <v>0</v>
      </c>
      <c r="N2618" s="36">
        <v>1913586872.8758268</v>
      </c>
      <c r="O2618" s="36">
        <v>382490470.84963256</v>
      </c>
      <c r="P2618" s="110">
        <v>0</v>
      </c>
    </row>
    <row r="2619" spans="1:16" hidden="1" x14ac:dyDescent="0.35">
      <c r="A2619" s="3">
        <f xml:space="preserve"> ROW( data_scaledImpacts[[#This Row],[row_id]] ) - ROW( data_scaledImpacts[[#Headers],[row_id]] )</f>
        <v>2618</v>
      </c>
      <c r="B2619" s="41" t="str">
        <f xml:space="preserve"> _xlfn.TEXTJOIN( "", , data_scaledImpacts[[#This Row],[sector]:[impactType]] )</f>
        <v>CILAgricultureGFDL-CM31Without CO2 FertilizationSoybean</v>
      </c>
      <c r="C2619" s="33" t="s">
        <v>1224</v>
      </c>
      <c r="D2619" s="33" t="s">
        <v>5</v>
      </c>
      <c r="E2619" s="34">
        <v>1</v>
      </c>
      <c r="F2619" s="34"/>
      <c r="G2619" s="34" t="s">
        <v>1159</v>
      </c>
      <c r="H2619" t="s">
        <v>1163</v>
      </c>
      <c r="I2619" s="43" t="s">
        <v>40</v>
      </c>
      <c r="J2619" s="96">
        <v>128950276.71945688</v>
      </c>
      <c r="K2619" s="36">
        <v>15012264.020722324</v>
      </c>
      <c r="L2619" s="36">
        <v>97957112.341747195</v>
      </c>
      <c r="M2619" s="36">
        <v>0</v>
      </c>
      <c r="N2619" s="36">
        <v>205293867.49240628</v>
      </c>
      <c r="O2619" s="36">
        <v>62142715.313658185</v>
      </c>
      <c r="P2619" s="110">
        <v>0</v>
      </c>
    </row>
    <row r="2620" spans="1:16" hidden="1" x14ac:dyDescent="0.35">
      <c r="A2620" s="3">
        <f xml:space="preserve"> ROW( data_scaledImpacts[[#This Row],[row_id]] ) - ROW( data_scaledImpacts[[#Headers],[row_id]] )</f>
        <v>2619</v>
      </c>
      <c r="B2620" s="41" t="str">
        <f xml:space="preserve"> _xlfn.TEXTJOIN( "", , data_scaledImpacts[[#This Row],[sector]:[impactType]] )</f>
        <v>CILAgricultureGFDL-CM32Without CO2 FertilizationSoybean</v>
      </c>
      <c r="C2620" s="33" t="s">
        <v>1224</v>
      </c>
      <c r="D2620" s="33" t="s">
        <v>5</v>
      </c>
      <c r="E2620" s="34">
        <v>2</v>
      </c>
      <c r="F2620" s="34"/>
      <c r="G2620" s="34" t="s">
        <v>1159</v>
      </c>
      <c r="H2620" t="s">
        <v>1163</v>
      </c>
      <c r="I2620" s="43" t="s">
        <v>47</v>
      </c>
      <c r="J2620" s="96">
        <v>1748477077.2430711</v>
      </c>
      <c r="K2620" s="36">
        <v>53892525.666401334</v>
      </c>
      <c r="L2620" s="36">
        <v>280453006.09015441</v>
      </c>
      <c r="M2620" s="36">
        <v>0</v>
      </c>
      <c r="N2620" s="36">
        <v>561405563.08667254</v>
      </c>
      <c r="O2620" s="36">
        <v>141097089.73945126</v>
      </c>
      <c r="P2620" s="110">
        <v>0</v>
      </c>
    </row>
    <row r="2621" spans="1:16" hidden="1" x14ac:dyDescent="0.35">
      <c r="A2621" s="3">
        <f xml:space="preserve"> ROW( data_scaledImpacts[[#This Row],[row_id]] ) - ROW( data_scaledImpacts[[#Headers],[row_id]] )</f>
        <v>2620</v>
      </c>
      <c r="B2621" s="41" t="str">
        <f xml:space="preserve"> _xlfn.TEXTJOIN( "", , data_scaledImpacts[[#This Row],[sector]:[impactType]] )</f>
        <v>CILAgricultureGFDL-CM33Without CO2 FertilizationSoybean</v>
      </c>
      <c r="C2621" s="33" t="s">
        <v>1224</v>
      </c>
      <c r="D2621" s="33" t="s">
        <v>5</v>
      </c>
      <c r="E2621" s="34">
        <v>3</v>
      </c>
      <c r="F2621" s="34"/>
      <c r="G2621" s="34" t="s">
        <v>1159</v>
      </c>
      <c r="H2621" t="s">
        <v>1163</v>
      </c>
      <c r="I2621" s="43" t="s">
        <v>54</v>
      </c>
      <c r="J2621" s="96">
        <v>1817385370.7765474</v>
      </c>
      <c r="K2621" s="36">
        <v>88441073.717434525</v>
      </c>
      <c r="L2621" s="36">
        <v>298920190.38161969</v>
      </c>
      <c r="M2621" s="36">
        <v>0</v>
      </c>
      <c r="N2621" s="36">
        <v>948907888.44144392</v>
      </c>
      <c r="O2621" s="36">
        <v>184043377.61879647</v>
      </c>
      <c r="P2621" s="110">
        <v>0</v>
      </c>
    </row>
    <row r="2622" spans="1:16" hidden="1" x14ac:dyDescent="0.35">
      <c r="A2622" s="3">
        <f xml:space="preserve"> ROW( data_scaledImpacts[[#This Row],[row_id]] ) - ROW( data_scaledImpacts[[#Headers],[row_id]] )</f>
        <v>2621</v>
      </c>
      <c r="B2622" s="41" t="str">
        <f xml:space="preserve"> _xlfn.TEXTJOIN( "", , data_scaledImpacts[[#This Row],[sector]:[impactType]] )</f>
        <v>CILAgricultureGFDL-CM34Without CO2 FertilizationSoybean</v>
      </c>
      <c r="C2622" s="33" t="s">
        <v>1224</v>
      </c>
      <c r="D2622" s="33" t="s">
        <v>5</v>
      </c>
      <c r="E2622" s="34">
        <v>4</v>
      </c>
      <c r="F2622" s="34"/>
      <c r="G2622" s="34" t="s">
        <v>1159</v>
      </c>
      <c r="H2622" t="s">
        <v>1163</v>
      </c>
      <c r="I2622" s="43" t="s">
        <v>61</v>
      </c>
      <c r="J2622" s="96">
        <v>4115217306.3485637</v>
      </c>
      <c r="K2622" s="36">
        <v>121727015.13578194</v>
      </c>
      <c r="L2622" s="36">
        <v>472661174.13051844</v>
      </c>
      <c r="M2622" s="36">
        <v>0</v>
      </c>
      <c r="N2622" s="36">
        <v>1478028910.489953</v>
      </c>
      <c r="O2622" s="36">
        <v>263035644.37427369</v>
      </c>
      <c r="P2622" s="110">
        <v>0</v>
      </c>
    </row>
    <row r="2623" spans="1:16" hidden="1" x14ac:dyDescent="0.35">
      <c r="A2623" s="3">
        <f xml:space="preserve"> ROW( data_scaledImpacts[[#This Row],[row_id]] ) - ROW( data_scaledImpacts[[#Headers],[row_id]] )</f>
        <v>2622</v>
      </c>
      <c r="B2623" s="41" t="str">
        <f xml:space="preserve"> _xlfn.TEXTJOIN( "", , data_scaledImpacts[[#This Row],[sector]:[impactType]] )</f>
        <v>CILAgricultureGFDL-CM35Without CO2 FertilizationSoybean</v>
      </c>
      <c r="C2623" s="33" t="s">
        <v>1224</v>
      </c>
      <c r="D2623" s="33" t="s">
        <v>5</v>
      </c>
      <c r="E2623" s="34">
        <v>5</v>
      </c>
      <c r="F2623" s="34"/>
      <c r="G2623" s="34" t="s">
        <v>1159</v>
      </c>
      <c r="H2623" t="s">
        <v>1163</v>
      </c>
      <c r="I2623" s="43" t="s">
        <v>68</v>
      </c>
      <c r="J2623" s="96">
        <v>7301966654.323287</v>
      </c>
      <c r="K2623" s="36">
        <v>186912640.83869305</v>
      </c>
      <c r="L2623" s="36">
        <v>886347323.86963379</v>
      </c>
      <c r="M2623" s="36">
        <v>0</v>
      </c>
      <c r="N2623" s="36">
        <v>2222675421.6786489</v>
      </c>
      <c r="O2623" s="36">
        <v>492089317.64433026</v>
      </c>
      <c r="P2623" s="110">
        <v>0</v>
      </c>
    </row>
    <row r="2624" spans="1:16" hidden="1" x14ac:dyDescent="0.35">
      <c r="A2624" s="3">
        <f xml:space="preserve"> ROW( data_scaledImpacts[[#This Row],[row_id]] ) - ROW( data_scaledImpacts[[#Headers],[row_id]] )</f>
        <v>2623</v>
      </c>
      <c r="B2624" s="41" t="str">
        <f xml:space="preserve"> _xlfn.TEXTJOIN( "", , data_scaledImpacts[[#This Row],[sector]:[impactType]] )</f>
        <v>CILAgricultureGFDL-CM36Without CO2 FertilizationSoybean</v>
      </c>
      <c r="C2624" s="33" t="s">
        <v>1224</v>
      </c>
      <c r="D2624" s="33" t="s">
        <v>5</v>
      </c>
      <c r="E2624" s="34">
        <v>6</v>
      </c>
      <c r="F2624" s="34"/>
      <c r="G2624" s="34" t="s">
        <v>1159</v>
      </c>
      <c r="H2624" t="s">
        <v>1163</v>
      </c>
      <c r="I2624" s="43" t="s">
        <v>75</v>
      </c>
      <c r="J2624" s="96">
        <v>9106832857.5670185</v>
      </c>
      <c r="K2624" s="36">
        <v>241865071.44659156</v>
      </c>
      <c r="L2624" s="36">
        <v>1176335731.0223415</v>
      </c>
      <c r="M2624" s="36">
        <v>0</v>
      </c>
      <c r="N2624" s="36">
        <v>2383994351.6505785</v>
      </c>
      <c r="O2624" s="36">
        <v>522281807.10145468</v>
      </c>
      <c r="P2624" s="110">
        <v>0</v>
      </c>
    </row>
    <row r="2625" spans="1:16" hidden="1" x14ac:dyDescent="0.35">
      <c r="A2625" s="3">
        <f xml:space="preserve"> ROW( data_scaledImpacts[[#This Row],[row_id]] ) - ROW( data_scaledImpacts[[#Headers],[row_id]] )</f>
        <v>2624</v>
      </c>
      <c r="B2625" s="41" t="str">
        <f xml:space="preserve"> _xlfn.TEXTJOIN( "", , data_scaledImpacts[[#This Row],[sector]:[impactType]] )</f>
        <v>CILAgricultureGISS-E2-R1Without CO2 FertilizationSoybean</v>
      </c>
      <c r="C2625" s="33" t="s">
        <v>1224</v>
      </c>
      <c r="D2625" s="33" t="s">
        <v>2</v>
      </c>
      <c r="E2625" s="34">
        <v>1</v>
      </c>
      <c r="F2625" s="34"/>
      <c r="G2625" s="34" t="s">
        <v>1159</v>
      </c>
      <c r="H2625" t="s">
        <v>1163</v>
      </c>
      <c r="I2625" s="43" t="s">
        <v>37</v>
      </c>
      <c r="J2625" s="96">
        <v>-508773445.72944552</v>
      </c>
      <c r="K2625" s="36">
        <v>-11729302.806506513</v>
      </c>
      <c r="L2625" s="36">
        <v>-63829595.255301543</v>
      </c>
      <c r="M2625" s="36">
        <v>0</v>
      </c>
      <c r="N2625" s="36">
        <v>-333483290.83542424</v>
      </c>
      <c r="O2625" s="36">
        <v>1788866.38843693</v>
      </c>
      <c r="P2625" s="110">
        <v>0</v>
      </c>
    </row>
    <row r="2626" spans="1:16" hidden="1" x14ac:dyDescent="0.35">
      <c r="A2626" s="3">
        <f xml:space="preserve"> ROW( data_scaledImpacts[[#This Row],[row_id]] ) - ROW( data_scaledImpacts[[#Headers],[row_id]] )</f>
        <v>2625</v>
      </c>
      <c r="B2626" s="41" t="str">
        <f xml:space="preserve"> _xlfn.TEXTJOIN( "", , data_scaledImpacts[[#This Row],[sector]:[impactType]] )</f>
        <v>CILAgricultureGISS-E2-R2Without CO2 FertilizationSoybean</v>
      </c>
      <c r="C2626" s="33" t="s">
        <v>1224</v>
      </c>
      <c r="D2626" s="33" t="s">
        <v>2</v>
      </c>
      <c r="E2626" s="34">
        <v>2</v>
      </c>
      <c r="F2626" s="34"/>
      <c r="G2626" s="34" t="s">
        <v>1159</v>
      </c>
      <c r="H2626" t="s">
        <v>1163</v>
      </c>
      <c r="I2626" s="43" t="s">
        <v>44</v>
      </c>
      <c r="J2626" s="96">
        <v>-433637897.80677748</v>
      </c>
      <c r="K2626" s="36">
        <v>24619189.929950185</v>
      </c>
      <c r="L2626" s="36">
        <v>-69511079.346272692</v>
      </c>
      <c r="M2626" s="36">
        <v>0</v>
      </c>
      <c r="N2626" s="36">
        <v>-31120316.932280883</v>
      </c>
      <c r="O2626" s="36">
        <v>-33496614.116393037</v>
      </c>
      <c r="P2626" s="110">
        <v>0</v>
      </c>
    </row>
    <row r="2627" spans="1:16" hidden="1" x14ac:dyDescent="0.35">
      <c r="A2627" s="3">
        <f xml:space="preserve"> ROW( data_scaledImpacts[[#This Row],[row_id]] ) - ROW( data_scaledImpacts[[#Headers],[row_id]] )</f>
        <v>2626</v>
      </c>
      <c r="B2627" s="41" t="str">
        <f xml:space="preserve"> _xlfn.TEXTJOIN( "", , data_scaledImpacts[[#This Row],[sector]:[impactType]] )</f>
        <v>CILAgricultureGISS-E2-R3Without CO2 FertilizationSoybean</v>
      </c>
      <c r="C2627" s="33" t="s">
        <v>1224</v>
      </c>
      <c r="D2627" s="33" t="s">
        <v>2</v>
      </c>
      <c r="E2627" s="34">
        <v>3</v>
      </c>
      <c r="F2627" s="34"/>
      <c r="G2627" s="34" t="s">
        <v>1159</v>
      </c>
      <c r="H2627" t="s">
        <v>1163</v>
      </c>
      <c r="I2627" s="43" t="s">
        <v>51</v>
      </c>
      <c r="J2627" s="96">
        <v>1399487580.3051536</v>
      </c>
      <c r="K2627" s="36">
        <v>38059457.14349439</v>
      </c>
      <c r="L2627" s="36">
        <v>281262171.15800309</v>
      </c>
      <c r="M2627" s="36">
        <v>0</v>
      </c>
      <c r="N2627" s="36">
        <v>660582021.24855268</v>
      </c>
      <c r="O2627" s="36">
        <v>175320944.88713196</v>
      </c>
      <c r="P2627" s="110">
        <v>0</v>
      </c>
    </row>
    <row r="2628" spans="1:16" hidden="1" x14ac:dyDescent="0.35">
      <c r="A2628" s="3">
        <f xml:space="preserve"> ROW( data_scaledImpacts[[#This Row],[row_id]] ) - ROW( data_scaledImpacts[[#Headers],[row_id]] )</f>
        <v>2627</v>
      </c>
      <c r="B2628" s="41" t="str">
        <f xml:space="preserve"> _xlfn.TEXTJOIN( "", , data_scaledImpacts[[#This Row],[sector]:[impactType]] )</f>
        <v>CILAgricultureHadGEM2-ES1Without CO2 FertilizationSoybean</v>
      </c>
      <c r="C2628" s="33" t="s">
        <v>1224</v>
      </c>
      <c r="D2628" s="33" t="s">
        <v>3</v>
      </c>
      <c r="E2628" s="34">
        <v>1</v>
      </c>
      <c r="F2628" s="34"/>
      <c r="G2628" s="34" t="s">
        <v>1159</v>
      </c>
      <c r="H2628" t="s">
        <v>1163</v>
      </c>
      <c r="I2628" s="43" t="s">
        <v>38</v>
      </c>
      <c r="J2628" s="96">
        <v>-388666514.98598564</v>
      </c>
      <c r="K2628" s="36">
        <v>-4315142.8993363557</v>
      </c>
      <c r="L2628" s="36">
        <v>30689123.110572912</v>
      </c>
      <c r="M2628" s="36">
        <v>0</v>
      </c>
      <c r="N2628" s="36">
        <v>-88322854.599621326</v>
      </c>
      <c r="O2628" s="36">
        <v>49648491.489090316</v>
      </c>
      <c r="P2628" s="110">
        <v>0</v>
      </c>
    </row>
    <row r="2629" spans="1:16" hidden="1" x14ac:dyDescent="0.35">
      <c r="A2629" s="3">
        <f xml:space="preserve"> ROW( data_scaledImpacts[[#This Row],[row_id]] ) - ROW( data_scaledImpacts[[#Headers],[row_id]] )</f>
        <v>2628</v>
      </c>
      <c r="B2629" s="41" t="str">
        <f xml:space="preserve"> _xlfn.TEXTJOIN( "", , data_scaledImpacts[[#This Row],[sector]:[impactType]] )</f>
        <v>CILAgricultureHadGEM2-ES2Without CO2 FertilizationSoybean</v>
      </c>
      <c r="C2629" s="33" t="s">
        <v>1224</v>
      </c>
      <c r="D2629" s="33" t="s">
        <v>3</v>
      </c>
      <c r="E2629" s="34">
        <v>2</v>
      </c>
      <c r="F2629" s="34"/>
      <c r="G2629" s="34" t="s">
        <v>1159</v>
      </c>
      <c r="H2629" t="s">
        <v>1163</v>
      </c>
      <c r="I2629" s="43" t="s">
        <v>45</v>
      </c>
      <c r="J2629" s="96">
        <v>709368011.38136566</v>
      </c>
      <c r="K2629" s="36">
        <v>24023666.817417525</v>
      </c>
      <c r="L2629" s="36">
        <v>119692798.48310348</v>
      </c>
      <c r="M2629" s="36">
        <v>0</v>
      </c>
      <c r="N2629" s="36">
        <v>577291601.14087605</v>
      </c>
      <c r="O2629" s="36">
        <v>159900571.07394809</v>
      </c>
      <c r="P2629" s="110">
        <v>0</v>
      </c>
    </row>
    <row r="2630" spans="1:16" hidden="1" x14ac:dyDescent="0.35">
      <c r="A2630" s="3">
        <f xml:space="preserve"> ROW( data_scaledImpacts[[#This Row],[row_id]] ) - ROW( data_scaledImpacts[[#Headers],[row_id]] )</f>
        <v>2629</v>
      </c>
      <c r="B2630" s="41" t="str">
        <f xml:space="preserve"> _xlfn.TEXTJOIN( "", , data_scaledImpacts[[#This Row],[sector]:[impactType]] )</f>
        <v>CILAgricultureHadGEM2-ES3Without CO2 FertilizationSoybean</v>
      </c>
      <c r="C2630" s="33" t="s">
        <v>1224</v>
      </c>
      <c r="D2630" s="33" t="s">
        <v>3</v>
      </c>
      <c r="E2630" s="34">
        <v>3</v>
      </c>
      <c r="F2630" s="34"/>
      <c r="G2630" s="34" t="s">
        <v>1159</v>
      </c>
      <c r="H2630" t="s">
        <v>1163</v>
      </c>
      <c r="I2630" s="43" t="s">
        <v>52</v>
      </c>
      <c r="J2630" s="96">
        <v>4214571508.0907755</v>
      </c>
      <c r="K2630" s="36">
        <v>48550907.981424659</v>
      </c>
      <c r="L2630" s="36">
        <v>459735757.48479182</v>
      </c>
      <c r="M2630" s="36">
        <v>0</v>
      </c>
      <c r="N2630" s="36">
        <v>1491320563.7365527</v>
      </c>
      <c r="O2630" s="36">
        <v>322697834.71478266</v>
      </c>
      <c r="P2630" s="110">
        <v>0</v>
      </c>
    </row>
    <row r="2631" spans="1:16" hidden="1" x14ac:dyDescent="0.35">
      <c r="A2631" s="3">
        <f xml:space="preserve"> ROW( data_scaledImpacts[[#This Row],[row_id]] ) - ROW( data_scaledImpacts[[#Headers],[row_id]] )</f>
        <v>2630</v>
      </c>
      <c r="B2631" s="41" t="str">
        <f xml:space="preserve"> _xlfn.TEXTJOIN( "", , data_scaledImpacts[[#This Row],[sector]:[impactType]] )</f>
        <v>CILAgricultureHadGEM2-ES4Without CO2 FertilizationSoybean</v>
      </c>
      <c r="C2631" s="33" t="s">
        <v>1224</v>
      </c>
      <c r="D2631" s="33" t="s">
        <v>3</v>
      </c>
      <c r="E2631" s="34">
        <v>4</v>
      </c>
      <c r="F2631" s="34"/>
      <c r="G2631" s="34" t="s">
        <v>1159</v>
      </c>
      <c r="H2631" t="s">
        <v>1163</v>
      </c>
      <c r="I2631" s="43" t="s">
        <v>59</v>
      </c>
      <c r="J2631" s="96">
        <v>4808715393.8450918</v>
      </c>
      <c r="K2631" s="36">
        <v>80968625.548179507</v>
      </c>
      <c r="L2631" s="36">
        <v>504890884.8931371</v>
      </c>
      <c r="M2631" s="36">
        <v>0</v>
      </c>
      <c r="N2631" s="36">
        <v>2090191911.4330211</v>
      </c>
      <c r="O2631" s="36">
        <v>350524143.25664735</v>
      </c>
      <c r="P2631" s="110">
        <v>0</v>
      </c>
    </row>
    <row r="2632" spans="1:16" hidden="1" x14ac:dyDescent="0.35">
      <c r="A2632" s="3">
        <f xml:space="preserve"> ROW( data_scaledImpacts[[#This Row],[row_id]] ) - ROW( data_scaledImpacts[[#Headers],[row_id]] )</f>
        <v>2631</v>
      </c>
      <c r="B2632" s="41" t="str">
        <f xml:space="preserve"> _xlfn.TEXTJOIN( "", , data_scaledImpacts[[#This Row],[sector]:[impactType]] )</f>
        <v>CILAgricultureHadGEM2-ES5Without CO2 FertilizationSoybean</v>
      </c>
      <c r="C2632" s="33" t="s">
        <v>1224</v>
      </c>
      <c r="D2632" s="33" t="s">
        <v>3</v>
      </c>
      <c r="E2632" s="34">
        <v>5</v>
      </c>
      <c r="F2632" s="34"/>
      <c r="G2632" s="34" t="s">
        <v>1159</v>
      </c>
      <c r="H2632" t="s">
        <v>1163</v>
      </c>
      <c r="I2632" s="43" t="s">
        <v>66</v>
      </c>
      <c r="J2632" s="96">
        <v>7050414643.0725174</v>
      </c>
      <c r="K2632" s="36">
        <v>152506560.14063868</v>
      </c>
      <c r="L2632" s="36">
        <v>686578396.45308268</v>
      </c>
      <c r="M2632" s="36">
        <v>0</v>
      </c>
      <c r="N2632" s="36">
        <v>2423316167.6364532</v>
      </c>
      <c r="O2632" s="36">
        <v>424877434.1078074</v>
      </c>
      <c r="P2632" s="110">
        <v>0</v>
      </c>
    </row>
    <row r="2633" spans="1:16" hidden="1" x14ac:dyDescent="0.35">
      <c r="A2633" s="3">
        <f xml:space="preserve"> ROW( data_scaledImpacts[[#This Row],[row_id]] ) - ROW( data_scaledImpacts[[#Headers],[row_id]] )</f>
        <v>2632</v>
      </c>
      <c r="B2633" s="41" t="str">
        <f xml:space="preserve"> _xlfn.TEXTJOIN( "", , data_scaledImpacts[[#This Row],[sector]:[impactType]] )</f>
        <v>CILAgricultureHadGEM2-ES6Without CO2 FertilizationSoybean</v>
      </c>
      <c r="C2633" s="33" t="s">
        <v>1224</v>
      </c>
      <c r="D2633" s="33" t="s">
        <v>3</v>
      </c>
      <c r="E2633" s="34">
        <v>6</v>
      </c>
      <c r="F2633" s="34"/>
      <c r="G2633" s="34" t="s">
        <v>1159</v>
      </c>
      <c r="H2633" t="s">
        <v>1163</v>
      </c>
      <c r="I2633" s="43" t="s">
        <v>73</v>
      </c>
      <c r="J2633" s="96">
        <v>9395317441.1833458</v>
      </c>
      <c r="K2633" s="36">
        <v>195563470.56724316</v>
      </c>
      <c r="L2633" s="36">
        <v>1052523767.4647946</v>
      </c>
      <c r="M2633" s="36">
        <v>0</v>
      </c>
      <c r="N2633" s="36">
        <v>2528304269.185092</v>
      </c>
      <c r="O2633" s="36">
        <v>455569018.7877602</v>
      </c>
      <c r="P2633" s="110">
        <v>0</v>
      </c>
    </row>
    <row r="2634" spans="1:16" hidden="1" x14ac:dyDescent="0.35">
      <c r="A2634" s="3">
        <f xml:space="preserve"> ROW( data_scaledImpacts[[#This Row],[row_id]] ) - ROW( data_scaledImpacts[[#Headers],[row_id]] )</f>
        <v>2633</v>
      </c>
      <c r="B2634" s="41" t="str">
        <f xml:space="preserve"> _xlfn.TEXTJOIN( "", , data_scaledImpacts[[#This Row],[sector]:[impactType]] )</f>
        <v>CILAgricultureMIROC51Without CO2 FertilizationSoybean</v>
      </c>
      <c r="C2634" s="33" t="s">
        <v>1224</v>
      </c>
      <c r="D2634" s="33" t="s">
        <v>4</v>
      </c>
      <c r="E2634" s="34">
        <v>1</v>
      </c>
      <c r="F2634" s="34"/>
      <c r="G2634" s="34" t="s">
        <v>1159</v>
      </c>
      <c r="H2634" t="s">
        <v>1163</v>
      </c>
      <c r="I2634" s="43" t="s">
        <v>39</v>
      </c>
      <c r="J2634" s="96">
        <v>477085741.74210364</v>
      </c>
      <c r="K2634" s="36">
        <v>-10535966.377107874</v>
      </c>
      <c r="L2634" s="36">
        <v>78841949.298149586</v>
      </c>
      <c r="M2634" s="36">
        <v>0</v>
      </c>
      <c r="N2634" s="36">
        <v>340305081.63452643</v>
      </c>
      <c r="O2634" s="36">
        <v>95669041.377997294</v>
      </c>
      <c r="P2634" s="110">
        <v>0</v>
      </c>
    </row>
    <row r="2635" spans="1:16" hidden="1" x14ac:dyDescent="0.35">
      <c r="A2635" s="3">
        <f xml:space="preserve"> ROW( data_scaledImpacts[[#This Row],[row_id]] ) - ROW( data_scaledImpacts[[#Headers],[row_id]] )</f>
        <v>2634</v>
      </c>
      <c r="B2635" s="41" t="str">
        <f xml:space="preserve"> _xlfn.TEXTJOIN( "", , data_scaledImpacts[[#This Row],[sector]:[impactType]] )</f>
        <v>CILAgricultureMIROC52Without CO2 FertilizationSoybean</v>
      </c>
      <c r="C2635" s="33" t="s">
        <v>1224</v>
      </c>
      <c r="D2635" s="33" t="s">
        <v>4</v>
      </c>
      <c r="E2635" s="34">
        <v>2</v>
      </c>
      <c r="F2635" s="34"/>
      <c r="G2635" s="34" t="s">
        <v>1159</v>
      </c>
      <c r="H2635" t="s">
        <v>1163</v>
      </c>
      <c r="I2635" s="43" t="s">
        <v>46</v>
      </c>
      <c r="J2635" s="96">
        <v>1103705571.9099329</v>
      </c>
      <c r="K2635" s="36">
        <v>19591425.161055036</v>
      </c>
      <c r="L2635" s="36">
        <v>222933751.05541703</v>
      </c>
      <c r="M2635" s="36">
        <v>0</v>
      </c>
      <c r="N2635" s="36">
        <v>1031999930.6980559</v>
      </c>
      <c r="O2635" s="36">
        <v>165642342.47898528</v>
      </c>
      <c r="P2635" s="110">
        <v>0</v>
      </c>
    </row>
    <row r="2636" spans="1:16" hidden="1" x14ac:dyDescent="0.35">
      <c r="A2636" s="3">
        <f xml:space="preserve"> ROW( data_scaledImpacts[[#This Row],[row_id]] ) - ROW( data_scaledImpacts[[#Headers],[row_id]] )</f>
        <v>2635</v>
      </c>
      <c r="B2636" s="41" t="str">
        <f xml:space="preserve"> _xlfn.TEXTJOIN( "", , data_scaledImpacts[[#This Row],[sector]:[impactType]] )</f>
        <v>CILAgricultureMIROC53Without CO2 FertilizationSoybean</v>
      </c>
      <c r="C2636" s="33" t="s">
        <v>1224</v>
      </c>
      <c r="D2636" s="33" t="s">
        <v>4</v>
      </c>
      <c r="E2636" s="34">
        <v>3</v>
      </c>
      <c r="F2636" s="34"/>
      <c r="G2636" s="34" t="s">
        <v>1159</v>
      </c>
      <c r="H2636" t="s">
        <v>1163</v>
      </c>
      <c r="I2636" s="43" t="s">
        <v>53</v>
      </c>
      <c r="J2636" s="96">
        <v>1517864102.1463907</v>
      </c>
      <c r="K2636" s="36">
        <v>38776910.816246763</v>
      </c>
      <c r="L2636" s="36">
        <v>342610528.04910946</v>
      </c>
      <c r="M2636" s="36">
        <v>0</v>
      </c>
      <c r="N2636" s="36">
        <v>1059762883.1128972</v>
      </c>
      <c r="O2636" s="36">
        <v>243875920.46200296</v>
      </c>
      <c r="P2636" s="110">
        <v>0</v>
      </c>
    </row>
    <row r="2637" spans="1:16" hidden="1" x14ac:dyDescent="0.35">
      <c r="A2637" s="3">
        <f xml:space="preserve"> ROW( data_scaledImpacts[[#This Row],[row_id]] ) - ROW( data_scaledImpacts[[#Headers],[row_id]] )</f>
        <v>2636</v>
      </c>
      <c r="B2637" s="41" t="str">
        <f xml:space="preserve"> _xlfn.TEXTJOIN( "", , data_scaledImpacts[[#This Row],[sector]:[impactType]] )</f>
        <v>CILAgricultureMIROC54Without CO2 FertilizationSoybean</v>
      </c>
      <c r="C2637" s="33" t="s">
        <v>1224</v>
      </c>
      <c r="D2637" s="33" t="s">
        <v>4</v>
      </c>
      <c r="E2637" s="34">
        <v>4</v>
      </c>
      <c r="F2637" s="34"/>
      <c r="G2637" s="34" t="s">
        <v>1159</v>
      </c>
      <c r="H2637" t="s">
        <v>1163</v>
      </c>
      <c r="I2637" s="43" t="s">
        <v>60</v>
      </c>
      <c r="J2637" s="96">
        <v>3843399598.0552235</v>
      </c>
      <c r="K2637" s="36">
        <v>62986764.731061891</v>
      </c>
      <c r="L2637" s="36">
        <v>736708231.29746449</v>
      </c>
      <c r="M2637" s="36">
        <v>0</v>
      </c>
      <c r="N2637" s="36">
        <v>1531147275.4659281</v>
      </c>
      <c r="O2637" s="36">
        <v>328902710.11105537</v>
      </c>
      <c r="P2637" s="110">
        <v>0</v>
      </c>
    </row>
    <row r="2638" spans="1:16" hidden="1" x14ac:dyDescent="0.35">
      <c r="A2638" s="3">
        <f xml:space="preserve"> ROW( data_scaledImpacts[[#This Row],[row_id]] ) - ROW( data_scaledImpacts[[#Headers],[row_id]] )</f>
        <v>2637</v>
      </c>
      <c r="B2638" s="41" t="str">
        <f xml:space="preserve"> _xlfn.TEXTJOIN( "", , data_scaledImpacts[[#This Row],[sector]:[impactType]] )</f>
        <v>CILAgricultureMIROC55Without CO2 FertilizationSoybean</v>
      </c>
      <c r="C2638" s="33" t="s">
        <v>1224</v>
      </c>
      <c r="D2638" s="33" t="s">
        <v>4</v>
      </c>
      <c r="E2638" s="34">
        <v>5</v>
      </c>
      <c r="F2638" s="34"/>
      <c r="G2638" s="34" t="s">
        <v>1159</v>
      </c>
      <c r="H2638" t="s">
        <v>1163</v>
      </c>
      <c r="I2638" s="43" t="s">
        <v>67</v>
      </c>
      <c r="J2638" s="96">
        <v>6553638421.2160549</v>
      </c>
      <c r="K2638" s="36">
        <v>109149885.37389682</v>
      </c>
      <c r="L2638" s="36">
        <v>1063943102.6952728</v>
      </c>
      <c r="M2638" s="36">
        <v>0</v>
      </c>
      <c r="N2638" s="36">
        <v>2052985120.9325333</v>
      </c>
      <c r="O2638" s="36">
        <v>489359542.59594703</v>
      </c>
      <c r="P2638" s="110">
        <v>0</v>
      </c>
    </row>
    <row r="2639" spans="1:16" hidden="1" x14ac:dyDescent="0.35">
      <c r="A2639" s="3">
        <f xml:space="preserve"> ROW( data_scaledImpacts[[#This Row],[row_id]] ) - ROW( data_scaledImpacts[[#Headers],[row_id]] )</f>
        <v>2638</v>
      </c>
      <c r="B2639" s="41" t="str">
        <f xml:space="preserve"> _xlfn.TEXTJOIN( "", , data_scaledImpacts[[#This Row],[sector]:[impactType]] )</f>
        <v>CILAgricultureCanESM21With CO2 FertilizationWheat</v>
      </c>
      <c r="C2639" s="33" t="s">
        <v>1224</v>
      </c>
      <c r="D2639" s="33" t="s">
        <v>0</v>
      </c>
      <c r="E2639" s="34">
        <v>1</v>
      </c>
      <c r="F2639" s="34"/>
      <c r="G2639" s="34" t="s">
        <v>1160</v>
      </c>
      <c r="H2639" t="s">
        <v>1164</v>
      </c>
      <c r="I2639" s="43" t="s">
        <v>35</v>
      </c>
      <c r="J2639" s="96">
        <v>24451182.646916363</v>
      </c>
      <c r="K2639" s="36">
        <v>1964831.4545171629</v>
      </c>
      <c r="L2639" s="36">
        <v>44920623.510428183</v>
      </c>
      <c r="M2639" s="36">
        <v>0</v>
      </c>
      <c r="N2639" s="36">
        <v>9150979.110135911</v>
      </c>
      <c r="O2639" s="36">
        <v>106720834.84597382</v>
      </c>
      <c r="P2639" s="110">
        <v>17150946.895140562</v>
      </c>
    </row>
    <row r="2640" spans="1:16" hidden="1" x14ac:dyDescent="0.35">
      <c r="A2640" s="3">
        <f xml:space="preserve"> ROW( data_scaledImpacts[[#This Row],[row_id]] ) - ROW( data_scaledImpacts[[#Headers],[row_id]] )</f>
        <v>2639</v>
      </c>
      <c r="B2640" s="41" t="str">
        <f xml:space="preserve"> _xlfn.TEXTJOIN( "", , data_scaledImpacts[[#This Row],[sector]:[impactType]] )</f>
        <v>CILAgricultureCanESM22With CO2 FertilizationWheat</v>
      </c>
      <c r="C2640" s="33" t="s">
        <v>1224</v>
      </c>
      <c r="D2640" s="33" t="s">
        <v>0</v>
      </c>
      <c r="E2640" s="34">
        <v>2</v>
      </c>
      <c r="F2640" s="34"/>
      <c r="G2640" s="34" t="s">
        <v>1160</v>
      </c>
      <c r="H2640" t="s">
        <v>1164</v>
      </c>
      <c r="I2640" s="43" t="s">
        <v>42</v>
      </c>
      <c r="J2640" s="96">
        <v>-66500390.371664889</v>
      </c>
      <c r="K2640" s="36">
        <v>-2896892.2356285537</v>
      </c>
      <c r="L2640" s="36">
        <v>-221970685.38708344</v>
      </c>
      <c r="M2640" s="36">
        <v>0</v>
      </c>
      <c r="N2640" s="36">
        <v>-24037103.427497286</v>
      </c>
      <c r="O2640" s="36">
        <v>-30612572.225819167</v>
      </c>
      <c r="P2640" s="110">
        <v>-25268297.271582752</v>
      </c>
    </row>
    <row r="2641" spans="1:16" hidden="1" x14ac:dyDescent="0.35">
      <c r="A2641" s="3">
        <f xml:space="preserve"> ROW( data_scaledImpacts[[#This Row],[row_id]] ) - ROW( data_scaledImpacts[[#Headers],[row_id]] )</f>
        <v>2640</v>
      </c>
      <c r="B2641" s="41" t="str">
        <f xml:space="preserve"> _xlfn.TEXTJOIN( "", , data_scaledImpacts[[#This Row],[sector]:[impactType]] )</f>
        <v>CILAgricultureCanESM23With CO2 FertilizationWheat</v>
      </c>
      <c r="C2641" s="33" t="s">
        <v>1224</v>
      </c>
      <c r="D2641" s="33" t="s">
        <v>0</v>
      </c>
      <c r="E2641" s="34">
        <v>3</v>
      </c>
      <c r="F2641" s="34"/>
      <c r="G2641" s="34" t="s">
        <v>1160</v>
      </c>
      <c r="H2641" t="s">
        <v>1164</v>
      </c>
      <c r="I2641" s="43" t="s">
        <v>49</v>
      </c>
      <c r="J2641" s="96">
        <v>-122705344.55315419</v>
      </c>
      <c r="K2641" s="36">
        <v>-9820463.2500194944</v>
      </c>
      <c r="L2641" s="36">
        <v>-328327306.59659517</v>
      </c>
      <c r="M2641" s="36">
        <v>0</v>
      </c>
      <c r="N2641" s="36">
        <v>-55832961.262831308</v>
      </c>
      <c r="O2641" s="36">
        <v>-133126253.1525974</v>
      </c>
      <c r="P2641" s="110">
        <v>-68530803.094223052</v>
      </c>
    </row>
    <row r="2642" spans="1:16" hidden="1" x14ac:dyDescent="0.35">
      <c r="A2642" s="3">
        <f xml:space="preserve"> ROW( data_scaledImpacts[[#This Row],[row_id]] ) - ROW( data_scaledImpacts[[#Headers],[row_id]] )</f>
        <v>2641</v>
      </c>
      <c r="B2642" s="41" t="str">
        <f xml:space="preserve"> _xlfn.TEXTJOIN( "", , data_scaledImpacts[[#This Row],[sector]:[impactType]] )</f>
        <v>CILAgricultureCanESM24With CO2 FertilizationWheat</v>
      </c>
      <c r="C2642" s="33" t="s">
        <v>1224</v>
      </c>
      <c r="D2642" s="33" t="s">
        <v>0</v>
      </c>
      <c r="E2642" s="34">
        <v>4</v>
      </c>
      <c r="F2642" s="34"/>
      <c r="G2642" s="34" t="s">
        <v>1160</v>
      </c>
      <c r="H2642" t="s">
        <v>1164</v>
      </c>
      <c r="I2642" s="43" t="s">
        <v>56</v>
      </c>
      <c r="J2642" s="96">
        <v>-211363284.48113954</v>
      </c>
      <c r="K2642" s="36">
        <v>-17825969.036916755</v>
      </c>
      <c r="L2642" s="36">
        <v>-564451192.30245697</v>
      </c>
      <c r="M2642" s="36">
        <v>0</v>
      </c>
      <c r="N2642" s="36">
        <v>-90337159.700270981</v>
      </c>
      <c r="O2642" s="36">
        <v>-275022178.38661605</v>
      </c>
      <c r="P2642" s="110">
        <v>-120297122.24705306</v>
      </c>
    </row>
    <row r="2643" spans="1:16" hidden="1" x14ac:dyDescent="0.35">
      <c r="A2643" s="3">
        <f xml:space="preserve"> ROW( data_scaledImpacts[[#This Row],[row_id]] ) - ROW( data_scaledImpacts[[#Headers],[row_id]] )</f>
        <v>2642</v>
      </c>
      <c r="B2643" s="41" t="str">
        <f xml:space="preserve"> _xlfn.TEXTJOIN( "", , data_scaledImpacts[[#This Row],[sector]:[impactType]] )</f>
        <v>CILAgricultureCanESM25With CO2 FertilizationWheat</v>
      </c>
      <c r="C2643" s="33" t="s">
        <v>1224</v>
      </c>
      <c r="D2643" s="33" t="s">
        <v>0</v>
      </c>
      <c r="E2643" s="34">
        <v>5</v>
      </c>
      <c r="F2643" s="34"/>
      <c r="G2643" s="34" t="s">
        <v>1160</v>
      </c>
      <c r="H2643" t="s">
        <v>1164</v>
      </c>
      <c r="I2643" s="43" t="s">
        <v>63</v>
      </c>
      <c r="J2643" s="96">
        <v>-349947713.92168295</v>
      </c>
      <c r="K2643" s="36">
        <v>-29057931.519027416</v>
      </c>
      <c r="L2643" s="36">
        <v>-863975895.88564384</v>
      </c>
      <c r="M2643" s="36">
        <v>0</v>
      </c>
      <c r="N2643" s="36">
        <v>-152236860.60374749</v>
      </c>
      <c r="O2643" s="36">
        <v>-540106532.10960829</v>
      </c>
      <c r="P2643" s="110">
        <v>-186401313.82507825</v>
      </c>
    </row>
    <row r="2644" spans="1:16" hidden="1" x14ac:dyDescent="0.35">
      <c r="A2644" s="3">
        <f xml:space="preserve"> ROW( data_scaledImpacts[[#This Row],[row_id]] ) - ROW( data_scaledImpacts[[#Headers],[row_id]] )</f>
        <v>2643</v>
      </c>
      <c r="B2644" s="41" t="str">
        <f xml:space="preserve"> _xlfn.TEXTJOIN( "", , data_scaledImpacts[[#This Row],[sector]:[impactType]] )</f>
        <v>CILAgricultureCanESM26With CO2 FertilizationWheat</v>
      </c>
      <c r="C2644" s="33" t="s">
        <v>1224</v>
      </c>
      <c r="D2644" s="33" t="s">
        <v>0</v>
      </c>
      <c r="E2644" s="34">
        <v>6</v>
      </c>
      <c r="F2644" s="34"/>
      <c r="G2644" s="34" t="s">
        <v>1160</v>
      </c>
      <c r="H2644" t="s">
        <v>1164</v>
      </c>
      <c r="I2644" s="43" t="s">
        <v>70</v>
      </c>
      <c r="J2644" s="96">
        <v>-440114572.69900727</v>
      </c>
      <c r="K2644" s="36">
        <v>-39028864.892051309</v>
      </c>
      <c r="L2644" s="36">
        <v>-1132878418.3843198</v>
      </c>
      <c r="M2644" s="36">
        <v>0</v>
      </c>
      <c r="N2644" s="36">
        <v>-221017031.90910476</v>
      </c>
      <c r="O2644" s="36">
        <v>-734654713.33449352</v>
      </c>
      <c r="P2644" s="110">
        <v>-261597555.99568504</v>
      </c>
    </row>
    <row r="2645" spans="1:16" hidden="1" x14ac:dyDescent="0.35">
      <c r="A2645" s="3">
        <f xml:space="preserve"> ROW( data_scaledImpacts[[#This Row],[row_id]] ) - ROW( data_scaledImpacts[[#Headers],[row_id]] )</f>
        <v>2644</v>
      </c>
      <c r="B2645" s="41" t="str">
        <f xml:space="preserve"> _xlfn.TEXTJOIN( "", , data_scaledImpacts[[#This Row],[sector]:[impactType]] )</f>
        <v>CILAgricultureCCSM41With CO2 FertilizationWheat</v>
      </c>
      <c r="C2645" s="33" t="s">
        <v>1224</v>
      </c>
      <c r="D2645" s="33" t="s">
        <v>1</v>
      </c>
      <c r="E2645" s="34">
        <v>1</v>
      </c>
      <c r="F2645" s="34"/>
      <c r="G2645" s="34" t="s">
        <v>1160</v>
      </c>
      <c r="H2645" t="s">
        <v>1164</v>
      </c>
      <c r="I2645" s="43" t="s">
        <v>36</v>
      </c>
      <c r="J2645" s="96">
        <v>-32879950.915254079</v>
      </c>
      <c r="K2645" s="36">
        <v>-362737.9193104647</v>
      </c>
      <c r="L2645" s="36">
        <v>31771107.630862996</v>
      </c>
      <c r="M2645" s="36">
        <v>0</v>
      </c>
      <c r="N2645" s="36">
        <v>-15002026.380161747</v>
      </c>
      <c r="O2645" s="36">
        <v>-86808644.154063091</v>
      </c>
      <c r="P2645" s="110">
        <v>6533110.953809699</v>
      </c>
    </row>
    <row r="2646" spans="1:16" hidden="1" x14ac:dyDescent="0.35">
      <c r="A2646" s="3">
        <f xml:space="preserve"> ROW( data_scaledImpacts[[#This Row],[row_id]] ) - ROW( data_scaledImpacts[[#Headers],[row_id]] )</f>
        <v>2645</v>
      </c>
      <c r="B2646" s="41" t="str">
        <f xml:space="preserve"> _xlfn.TEXTJOIN( "", , data_scaledImpacts[[#This Row],[sector]:[impactType]] )</f>
        <v>CILAgricultureCCSM42With CO2 FertilizationWheat</v>
      </c>
      <c r="C2646" s="33" t="s">
        <v>1224</v>
      </c>
      <c r="D2646" s="33" t="s">
        <v>1</v>
      </c>
      <c r="E2646" s="34">
        <v>2</v>
      </c>
      <c r="F2646" s="34"/>
      <c r="G2646" s="34" t="s">
        <v>1160</v>
      </c>
      <c r="H2646" t="s">
        <v>1164</v>
      </c>
      <c r="I2646" s="43" t="s">
        <v>43</v>
      </c>
      <c r="J2646" s="96">
        <v>-146990141.56542009</v>
      </c>
      <c r="K2646" s="36">
        <v>-10990292.832935786</v>
      </c>
      <c r="L2646" s="36">
        <v>-215657895.399757</v>
      </c>
      <c r="M2646" s="36">
        <v>0</v>
      </c>
      <c r="N2646" s="36">
        <v>-73906656.212033421</v>
      </c>
      <c r="O2646" s="36">
        <v>-332816380.38873029</v>
      </c>
      <c r="P2646" s="110">
        <v>-52361124.945418268</v>
      </c>
    </row>
    <row r="2647" spans="1:16" hidden="1" x14ac:dyDescent="0.35">
      <c r="A2647" s="3">
        <f xml:space="preserve"> ROW( data_scaledImpacts[[#This Row],[row_id]] ) - ROW( data_scaledImpacts[[#Headers],[row_id]] )</f>
        <v>2646</v>
      </c>
      <c r="B2647" s="41" t="str">
        <f xml:space="preserve"> _xlfn.TEXTJOIN( "", , data_scaledImpacts[[#This Row],[sector]:[impactType]] )</f>
        <v>CILAgricultureCCSM43With CO2 FertilizationWheat</v>
      </c>
      <c r="C2647" s="33" t="s">
        <v>1224</v>
      </c>
      <c r="D2647" s="33" t="s">
        <v>1</v>
      </c>
      <c r="E2647" s="34">
        <v>3</v>
      </c>
      <c r="F2647" s="34"/>
      <c r="G2647" s="34" t="s">
        <v>1160</v>
      </c>
      <c r="H2647" t="s">
        <v>1164</v>
      </c>
      <c r="I2647" s="43" t="s">
        <v>50</v>
      </c>
      <c r="J2647" s="96">
        <v>-294126296.094751</v>
      </c>
      <c r="K2647" s="36">
        <v>-28064310.561025843</v>
      </c>
      <c r="L2647" s="36">
        <v>-545486997.21638548</v>
      </c>
      <c r="M2647" s="36">
        <v>0</v>
      </c>
      <c r="N2647" s="36">
        <v>-143970957.18124273</v>
      </c>
      <c r="O2647" s="36">
        <v>-640222257.66338217</v>
      </c>
      <c r="P2647" s="110">
        <v>-145934427.92397016</v>
      </c>
    </row>
    <row r="2648" spans="1:16" hidden="1" x14ac:dyDescent="0.35">
      <c r="A2648" s="3">
        <f xml:space="preserve"> ROW( data_scaledImpacts[[#This Row],[row_id]] ) - ROW( data_scaledImpacts[[#Headers],[row_id]] )</f>
        <v>2647</v>
      </c>
      <c r="B2648" s="41" t="str">
        <f xml:space="preserve"> _xlfn.TEXTJOIN( "", , data_scaledImpacts[[#This Row],[sector]:[impactType]] )</f>
        <v>CILAgricultureCCSM44With CO2 FertilizationWheat</v>
      </c>
      <c r="C2648" s="33" t="s">
        <v>1224</v>
      </c>
      <c r="D2648" s="33" t="s">
        <v>1</v>
      </c>
      <c r="E2648" s="34">
        <v>4</v>
      </c>
      <c r="F2648" s="34"/>
      <c r="G2648" s="34" t="s">
        <v>1160</v>
      </c>
      <c r="H2648" t="s">
        <v>1164</v>
      </c>
      <c r="I2648" s="43" t="s">
        <v>57</v>
      </c>
      <c r="J2648" s="96">
        <v>-453361310.62053192</v>
      </c>
      <c r="K2648" s="36">
        <v>-43119463.036476888</v>
      </c>
      <c r="L2648" s="36">
        <v>-886407485.96406853</v>
      </c>
      <c r="M2648" s="36">
        <v>0</v>
      </c>
      <c r="N2648" s="36">
        <v>-221981637.53621179</v>
      </c>
      <c r="O2648" s="36">
        <v>-944103891.83034539</v>
      </c>
      <c r="P2648" s="110">
        <v>-234940021.42422867</v>
      </c>
    </row>
    <row r="2649" spans="1:16" hidden="1" x14ac:dyDescent="0.35">
      <c r="A2649" s="3">
        <f xml:space="preserve"> ROW( data_scaledImpacts[[#This Row],[row_id]] ) - ROW( data_scaledImpacts[[#Headers],[row_id]] )</f>
        <v>2648</v>
      </c>
      <c r="B2649" s="41" t="str">
        <f xml:space="preserve"> _xlfn.TEXTJOIN( "", , data_scaledImpacts[[#This Row],[sector]:[impactType]] )</f>
        <v>CILAgricultureCCSM45With CO2 FertilizationWheat</v>
      </c>
      <c r="C2649" s="33" t="s">
        <v>1224</v>
      </c>
      <c r="D2649" s="33" t="s">
        <v>1</v>
      </c>
      <c r="E2649" s="34">
        <v>5</v>
      </c>
      <c r="F2649" s="34"/>
      <c r="G2649" s="34" t="s">
        <v>1160</v>
      </c>
      <c r="H2649" t="s">
        <v>1164</v>
      </c>
      <c r="I2649" s="43" t="s">
        <v>64</v>
      </c>
      <c r="J2649" s="96">
        <v>-605311025.56846857</v>
      </c>
      <c r="K2649" s="36">
        <v>-56639003.945032552</v>
      </c>
      <c r="L2649" s="36">
        <v>-1218700419.5722008</v>
      </c>
      <c r="M2649" s="36">
        <v>0</v>
      </c>
      <c r="N2649" s="36">
        <v>-270719225.23878622</v>
      </c>
      <c r="O2649" s="36">
        <v>-1194941543.2232046</v>
      </c>
      <c r="P2649" s="110">
        <v>-316654167.44073582</v>
      </c>
    </row>
    <row r="2650" spans="1:16" hidden="1" x14ac:dyDescent="0.35">
      <c r="A2650" s="3">
        <f xml:space="preserve"> ROW( data_scaledImpacts[[#This Row],[row_id]] ) - ROW( data_scaledImpacts[[#Headers],[row_id]] )</f>
        <v>2649</v>
      </c>
      <c r="B2650" s="41" t="str">
        <f xml:space="preserve"> _xlfn.TEXTJOIN( "", , data_scaledImpacts[[#This Row],[sector]:[impactType]] )</f>
        <v>CILAgricultureGFDL-CM31With CO2 FertilizationWheat</v>
      </c>
      <c r="C2650" s="33" t="s">
        <v>1224</v>
      </c>
      <c r="D2650" s="33" t="s">
        <v>5</v>
      </c>
      <c r="E2650" s="34">
        <v>1</v>
      </c>
      <c r="F2650" s="34"/>
      <c r="G2650" s="34" t="s">
        <v>1160</v>
      </c>
      <c r="H2650" t="s">
        <v>1164</v>
      </c>
      <c r="I2650" s="43" t="s">
        <v>40</v>
      </c>
      <c r="J2650" s="96">
        <v>4118165.5993509307</v>
      </c>
      <c r="K2650" s="36">
        <v>-1406150.6847600196</v>
      </c>
      <c r="L2650" s="36">
        <v>33089145.235115603</v>
      </c>
      <c r="M2650" s="36">
        <v>0</v>
      </c>
      <c r="N2650" s="36">
        <v>3530496.0181998131</v>
      </c>
      <c r="O2650" s="36">
        <v>31545838.076652016</v>
      </c>
      <c r="P2650" s="110">
        <v>851338.63120665809</v>
      </c>
    </row>
    <row r="2651" spans="1:16" hidden="1" x14ac:dyDescent="0.35">
      <c r="A2651" s="3">
        <f xml:space="preserve"> ROW( data_scaledImpacts[[#This Row],[row_id]] ) - ROW( data_scaledImpacts[[#Headers],[row_id]] )</f>
        <v>2650</v>
      </c>
      <c r="B2651" s="41" t="str">
        <f xml:space="preserve"> _xlfn.TEXTJOIN( "", , data_scaledImpacts[[#This Row],[sector]:[impactType]] )</f>
        <v>CILAgricultureGFDL-CM32With CO2 FertilizationWheat</v>
      </c>
      <c r="C2651" s="33" t="s">
        <v>1224</v>
      </c>
      <c r="D2651" s="33" t="s">
        <v>5</v>
      </c>
      <c r="E2651" s="34">
        <v>2</v>
      </c>
      <c r="F2651" s="34"/>
      <c r="G2651" s="34" t="s">
        <v>1160</v>
      </c>
      <c r="H2651" t="s">
        <v>1164</v>
      </c>
      <c r="I2651" s="43" t="s">
        <v>47</v>
      </c>
      <c r="J2651" s="96">
        <v>-49965025.132735662</v>
      </c>
      <c r="K2651" s="36">
        <v>-6413937.048701792</v>
      </c>
      <c r="L2651" s="36">
        <v>-31086740.367865991</v>
      </c>
      <c r="M2651" s="36">
        <v>0</v>
      </c>
      <c r="N2651" s="36">
        <v>-28356130.067557082</v>
      </c>
      <c r="O2651" s="36">
        <v>-114792483.92273095</v>
      </c>
      <c r="P2651" s="110">
        <v>-39061071.316256747</v>
      </c>
    </row>
    <row r="2652" spans="1:16" hidden="1" x14ac:dyDescent="0.35">
      <c r="A2652" s="3">
        <f xml:space="preserve"> ROW( data_scaledImpacts[[#This Row],[row_id]] ) - ROW( data_scaledImpacts[[#Headers],[row_id]] )</f>
        <v>2651</v>
      </c>
      <c r="B2652" s="41" t="str">
        <f xml:space="preserve"> _xlfn.TEXTJOIN( "", , data_scaledImpacts[[#This Row],[sector]:[impactType]] )</f>
        <v>CILAgricultureGFDL-CM33With CO2 FertilizationWheat</v>
      </c>
      <c r="C2652" s="33" t="s">
        <v>1224</v>
      </c>
      <c r="D2652" s="33" t="s">
        <v>5</v>
      </c>
      <c r="E2652" s="34">
        <v>3</v>
      </c>
      <c r="F2652" s="34"/>
      <c r="G2652" s="34" t="s">
        <v>1160</v>
      </c>
      <c r="H2652" t="s">
        <v>1164</v>
      </c>
      <c r="I2652" s="43" t="s">
        <v>54</v>
      </c>
      <c r="J2652" s="96">
        <v>-146829344.99769643</v>
      </c>
      <c r="K2652" s="36">
        <v>-13780657.855576288</v>
      </c>
      <c r="L2652" s="36">
        <v>-302915703.46126044</v>
      </c>
      <c r="M2652" s="36">
        <v>0</v>
      </c>
      <c r="N2652" s="36">
        <v>-67502732.386501923</v>
      </c>
      <c r="O2652" s="36">
        <v>-287534068.38840079</v>
      </c>
      <c r="P2652" s="110">
        <v>-93399414.176080674</v>
      </c>
    </row>
    <row r="2653" spans="1:16" hidden="1" x14ac:dyDescent="0.35">
      <c r="A2653" s="3">
        <f xml:space="preserve"> ROW( data_scaledImpacts[[#This Row],[row_id]] ) - ROW( data_scaledImpacts[[#Headers],[row_id]] )</f>
        <v>2652</v>
      </c>
      <c r="B2653" s="41" t="str">
        <f xml:space="preserve"> _xlfn.TEXTJOIN( "", , data_scaledImpacts[[#This Row],[sector]:[impactType]] )</f>
        <v>CILAgricultureGFDL-CM34With CO2 FertilizationWheat</v>
      </c>
      <c r="C2653" s="33" t="s">
        <v>1224</v>
      </c>
      <c r="D2653" s="33" t="s">
        <v>5</v>
      </c>
      <c r="E2653" s="34">
        <v>4</v>
      </c>
      <c r="F2653" s="34"/>
      <c r="G2653" s="34" t="s">
        <v>1160</v>
      </c>
      <c r="H2653" t="s">
        <v>1164</v>
      </c>
      <c r="I2653" s="43" t="s">
        <v>61</v>
      </c>
      <c r="J2653" s="96">
        <v>-219814324.49994472</v>
      </c>
      <c r="K2653" s="36">
        <v>-20917107.169408292</v>
      </c>
      <c r="L2653" s="36">
        <v>-485297183.52492094</v>
      </c>
      <c r="M2653" s="36">
        <v>0</v>
      </c>
      <c r="N2653" s="36">
        <v>-110000653.49393022</v>
      </c>
      <c r="O2653" s="36">
        <v>-469508853.61953497</v>
      </c>
      <c r="P2653" s="110">
        <v>-140584288.92887276</v>
      </c>
    </row>
    <row r="2654" spans="1:16" hidden="1" x14ac:dyDescent="0.35">
      <c r="A2654" s="3">
        <f xml:space="preserve"> ROW( data_scaledImpacts[[#This Row],[row_id]] ) - ROW( data_scaledImpacts[[#Headers],[row_id]] )</f>
        <v>2653</v>
      </c>
      <c r="B2654" s="41" t="str">
        <f xml:space="preserve"> _xlfn.TEXTJOIN( "", , data_scaledImpacts[[#This Row],[sector]:[impactType]] )</f>
        <v>CILAgricultureGFDL-CM35With CO2 FertilizationWheat</v>
      </c>
      <c r="C2654" s="33" t="s">
        <v>1224</v>
      </c>
      <c r="D2654" s="33" t="s">
        <v>5</v>
      </c>
      <c r="E2654" s="34">
        <v>5</v>
      </c>
      <c r="F2654" s="34"/>
      <c r="G2654" s="34" t="s">
        <v>1160</v>
      </c>
      <c r="H2654" t="s">
        <v>1164</v>
      </c>
      <c r="I2654" s="43" t="s">
        <v>68</v>
      </c>
      <c r="J2654" s="96">
        <v>-289060518.41692674</v>
      </c>
      <c r="K2654" s="36">
        <v>-28110729.290298644</v>
      </c>
      <c r="L2654" s="36">
        <v>-665629215.49066079</v>
      </c>
      <c r="M2654" s="36">
        <v>0</v>
      </c>
      <c r="N2654" s="36">
        <v>-138751371.67118064</v>
      </c>
      <c r="O2654" s="36">
        <v>-555507908.30746555</v>
      </c>
      <c r="P2654" s="110">
        <v>-181039949.39139056</v>
      </c>
    </row>
    <row r="2655" spans="1:16" hidden="1" x14ac:dyDescent="0.35">
      <c r="A2655" s="3">
        <f xml:space="preserve"> ROW( data_scaledImpacts[[#This Row],[row_id]] ) - ROW( data_scaledImpacts[[#Headers],[row_id]] )</f>
        <v>2654</v>
      </c>
      <c r="B2655" s="41" t="str">
        <f xml:space="preserve"> _xlfn.TEXTJOIN( "", , data_scaledImpacts[[#This Row],[sector]:[impactType]] )</f>
        <v>CILAgricultureGFDL-CM36With CO2 FertilizationWheat</v>
      </c>
      <c r="C2655" s="33" t="s">
        <v>1224</v>
      </c>
      <c r="D2655" s="33" t="s">
        <v>5</v>
      </c>
      <c r="E2655" s="34">
        <v>6</v>
      </c>
      <c r="F2655" s="34"/>
      <c r="G2655" s="34" t="s">
        <v>1160</v>
      </c>
      <c r="H2655" t="s">
        <v>1164</v>
      </c>
      <c r="I2655" s="43" t="s">
        <v>75</v>
      </c>
      <c r="J2655" s="96">
        <v>-414928517.19265115</v>
      </c>
      <c r="K2655" s="36">
        <v>-40602844.974780515</v>
      </c>
      <c r="L2655" s="36">
        <v>-958583170.15778589</v>
      </c>
      <c r="M2655" s="36">
        <v>0</v>
      </c>
      <c r="N2655" s="36">
        <v>-218405144.14982194</v>
      </c>
      <c r="O2655" s="36">
        <v>-856810417.97255909</v>
      </c>
      <c r="P2655" s="110">
        <v>-262230240.60288137</v>
      </c>
    </row>
    <row r="2656" spans="1:16" hidden="1" x14ac:dyDescent="0.35">
      <c r="A2656" s="3">
        <f xml:space="preserve"> ROW( data_scaledImpacts[[#This Row],[row_id]] ) - ROW( data_scaledImpacts[[#Headers],[row_id]] )</f>
        <v>2655</v>
      </c>
      <c r="B2656" s="41" t="str">
        <f xml:space="preserve"> _xlfn.TEXTJOIN( "", , data_scaledImpacts[[#This Row],[sector]:[impactType]] )</f>
        <v>CILAgricultureGISS-E2-R1With CO2 FertilizationWheat</v>
      </c>
      <c r="C2656" s="33" t="s">
        <v>1224</v>
      </c>
      <c r="D2656" s="33" t="s">
        <v>2</v>
      </c>
      <c r="E2656" s="34">
        <v>1</v>
      </c>
      <c r="F2656" s="34"/>
      <c r="G2656" s="34" t="s">
        <v>1160</v>
      </c>
      <c r="H2656" t="s">
        <v>1164</v>
      </c>
      <c r="I2656" s="43" t="s">
        <v>37</v>
      </c>
      <c r="J2656" s="96">
        <v>-129819889.62927879</v>
      </c>
      <c r="K2656" s="36">
        <v>-10571060.819576332</v>
      </c>
      <c r="L2656" s="36">
        <v>-221988952.0581055</v>
      </c>
      <c r="M2656" s="36">
        <v>0</v>
      </c>
      <c r="N2656" s="36">
        <v>-73246327.650321096</v>
      </c>
      <c r="O2656" s="36">
        <v>-274091247.4034276</v>
      </c>
      <c r="P2656" s="110">
        <v>-43333315.041718692</v>
      </c>
    </row>
    <row r="2657" spans="1:16" hidden="1" x14ac:dyDescent="0.35">
      <c r="A2657" s="3">
        <f xml:space="preserve"> ROW( data_scaledImpacts[[#This Row],[row_id]] ) - ROW( data_scaledImpacts[[#Headers],[row_id]] )</f>
        <v>2656</v>
      </c>
      <c r="B2657" s="41" t="str">
        <f xml:space="preserve"> _xlfn.TEXTJOIN( "", , data_scaledImpacts[[#This Row],[sector]:[impactType]] )</f>
        <v>CILAgricultureGISS-E2-R2With CO2 FertilizationWheat</v>
      </c>
      <c r="C2657" s="33" t="s">
        <v>1224</v>
      </c>
      <c r="D2657" s="33" t="s">
        <v>2</v>
      </c>
      <c r="E2657" s="34">
        <v>2</v>
      </c>
      <c r="F2657" s="34"/>
      <c r="G2657" s="34" t="s">
        <v>1160</v>
      </c>
      <c r="H2657" t="s">
        <v>1164</v>
      </c>
      <c r="I2657" s="43" t="s">
        <v>44</v>
      </c>
      <c r="J2657" s="96">
        <v>-311158382.46819735</v>
      </c>
      <c r="K2657" s="36">
        <v>-26045564.336882263</v>
      </c>
      <c r="L2657" s="36">
        <v>-642049773.33889246</v>
      </c>
      <c r="M2657" s="36">
        <v>0</v>
      </c>
      <c r="N2657" s="36">
        <v>-160273083.61657909</v>
      </c>
      <c r="O2657" s="36">
        <v>-655606822.59257221</v>
      </c>
      <c r="P2657" s="110">
        <v>-142408719.30933768</v>
      </c>
    </row>
    <row r="2658" spans="1:16" hidden="1" x14ac:dyDescent="0.35">
      <c r="A2658" s="3">
        <f xml:space="preserve"> ROW( data_scaledImpacts[[#This Row],[row_id]] ) - ROW( data_scaledImpacts[[#Headers],[row_id]] )</f>
        <v>2657</v>
      </c>
      <c r="B2658" s="41" t="str">
        <f xml:space="preserve"> _xlfn.TEXTJOIN( "", , data_scaledImpacts[[#This Row],[sector]:[impactType]] )</f>
        <v>CILAgricultureGISS-E2-R3With CO2 FertilizationWheat</v>
      </c>
      <c r="C2658" s="33" t="s">
        <v>1224</v>
      </c>
      <c r="D2658" s="33" t="s">
        <v>2</v>
      </c>
      <c r="E2658" s="34">
        <v>3</v>
      </c>
      <c r="F2658" s="34"/>
      <c r="G2658" s="34" t="s">
        <v>1160</v>
      </c>
      <c r="H2658" t="s">
        <v>1164</v>
      </c>
      <c r="I2658" s="43" t="s">
        <v>51</v>
      </c>
      <c r="J2658" s="96">
        <v>-665626506.32443929</v>
      </c>
      <c r="K2658" s="36">
        <v>-61970728.821484827</v>
      </c>
      <c r="L2658" s="36">
        <v>-1378214779.5385432</v>
      </c>
      <c r="M2658" s="36">
        <v>0</v>
      </c>
      <c r="N2658" s="36">
        <v>-332777686.94953251</v>
      </c>
      <c r="O2658" s="36">
        <v>-1245856689.8314104</v>
      </c>
      <c r="P2658" s="110">
        <v>-293293694.90165293</v>
      </c>
    </row>
    <row r="2659" spans="1:16" hidden="1" x14ac:dyDescent="0.35">
      <c r="A2659" s="3">
        <f xml:space="preserve"> ROW( data_scaledImpacts[[#This Row],[row_id]] ) - ROW( data_scaledImpacts[[#Headers],[row_id]] )</f>
        <v>2658</v>
      </c>
      <c r="B2659" s="41" t="str">
        <f xml:space="preserve"> _xlfn.TEXTJOIN( "", , data_scaledImpacts[[#This Row],[sector]:[impactType]] )</f>
        <v>CILAgricultureHadGEM2-ES1With CO2 FertilizationWheat</v>
      </c>
      <c r="C2659" s="33" t="s">
        <v>1224</v>
      </c>
      <c r="D2659" s="33" t="s">
        <v>3</v>
      </c>
      <c r="E2659" s="34">
        <v>1</v>
      </c>
      <c r="F2659" s="34"/>
      <c r="G2659" s="34" t="s">
        <v>1160</v>
      </c>
      <c r="H2659" t="s">
        <v>1164</v>
      </c>
      <c r="I2659" s="43" t="s">
        <v>38</v>
      </c>
      <c r="J2659" s="96">
        <v>-5371945.76369558</v>
      </c>
      <c r="K2659" s="36">
        <v>-470703.81738438358</v>
      </c>
      <c r="L2659" s="36">
        <v>-3462828.3105647182</v>
      </c>
      <c r="M2659" s="36">
        <v>0</v>
      </c>
      <c r="N2659" s="36">
        <v>4020312.0431477507</v>
      </c>
      <c r="O2659" s="36">
        <v>33392113.366518665</v>
      </c>
      <c r="P2659" s="110">
        <v>4730781.8812121199</v>
      </c>
    </row>
    <row r="2660" spans="1:16" hidden="1" x14ac:dyDescent="0.35">
      <c r="A2660" s="3">
        <f xml:space="preserve"> ROW( data_scaledImpacts[[#This Row],[row_id]] ) - ROW( data_scaledImpacts[[#Headers],[row_id]] )</f>
        <v>2659</v>
      </c>
      <c r="B2660" s="41" t="str">
        <f xml:space="preserve"> _xlfn.TEXTJOIN( "", , data_scaledImpacts[[#This Row],[sector]:[impactType]] )</f>
        <v>CILAgricultureHadGEM2-ES2With CO2 FertilizationWheat</v>
      </c>
      <c r="C2660" s="33" t="s">
        <v>1224</v>
      </c>
      <c r="D2660" s="33" t="s">
        <v>3</v>
      </c>
      <c r="E2660" s="34">
        <v>2</v>
      </c>
      <c r="F2660" s="34"/>
      <c r="G2660" s="34" t="s">
        <v>1160</v>
      </c>
      <c r="H2660" t="s">
        <v>1164</v>
      </c>
      <c r="I2660" s="43" t="s">
        <v>45</v>
      </c>
      <c r="J2660" s="96">
        <v>-66579605.647984318</v>
      </c>
      <c r="K2660" s="36">
        <v>-4905927.3191926181</v>
      </c>
      <c r="L2660" s="36">
        <v>-135055573.84161913</v>
      </c>
      <c r="M2660" s="36">
        <v>0</v>
      </c>
      <c r="N2660" s="36">
        <v>-13092889.857948713</v>
      </c>
      <c r="O2660" s="36">
        <v>-34193997.099480972</v>
      </c>
      <c r="P2660" s="110">
        <v>-17229051.598341268</v>
      </c>
    </row>
    <row r="2661" spans="1:16" hidden="1" x14ac:dyDescent="0.35">
      <c r="A2661" s="3">
        <f xml:space="preserve"> ROW( data_scaledImpacts[[#This Row],[row_id]] ) - ROW( data_scaledImpacts[[#Headers],[row_id]] )</f>
        <v>2660</v>
      </c>
      <c r="B2661" s="41" t="str">
        <f xml:space="preserve"> _xlfn.TEXTJOIN( "", , data_scaledImpacts[[#This Row],[sector]:[impactType]] )</f>
        <v>CILAgricultureHadGEM2-ES3With CO2 FertilizationWheat</v>
      </c>
      <c r="C2661" s="33" t="s">
        <v>1224</v>
      </c>
      <c r="D2661" s="33" t="s">
        <v>3</v>
      </c>
      <c r="E2661" s="34">
        <v>3</v>
      </c>
      <c r="F2661" s="34"/>
      <c r="G2661" s="34" t="s">
        <v>1160</v>
      </c>
      <c r="H2661" t="s">
        <v>1164</v>
      </c>
      <c r="I2661" s="43" t="s">
        <v>52</v>
      </c>
      <c r="J2661" s="96">
        <v>-103456276.42233206</v>
      </c>
      <c r="K2661" s="36">
        <v>-10109834.117761003</v>
      </c>
      <c r="L2661" s="36">
        <v>-324777227.59851509</v>
      </c>
      <c r="M2661" s="36">
        <v>0</v>
      </c>
      <c r="N2661" s="36">
        <v>-12546513.375078451</v>
      </c>
      <c r="O2661" s="36">
        <v>-94188757.804624423</v>
      </c>
      <c r="P2661" s="110">
        <v>-56226773.995874166</v>
      </c>
    </row>
    <row r="2662" spans="1:16" hidden="1" x14ac:dyDescent="0.35">
      <c r="A2662" s="3">
        <f xml:space="preserve"> ROW( data_scaledImpacts[[#This Row],[row_id]] ) - ROW( data_scaledImpacts[[#Headers],[row_id]] )</f>
        <v>2661</v>
      </c>
      <c r="B2662" s="41" t="str">
        <f xml:space="preserve"> _xlfn.TEXTJOIN( "", , data_scaledImpacts[[#This Row],[sector]:[impactType]] )</f>
        <v>CILAgricultureHadGEM2-ES4With CO2 FertilizationWheat</v>
      </c>
      <c r="C2662" s="33" t="s">
        <v>1224</v>
      </c>
      <c r="D2662" s="33" t="s">
        <v>3</v>
      </c>
      <c r="E2662" s="34">
        <v>4</v>
      </c>
      <c r="F2662" s="34"/>
      <c r="G2662" s="34" t="s">
        <v>1160</v>
      </c>
      <c r="H2662" t="s">
        <v>1164</v>
      </c>
      <c r="I2662" s="43" t="s">
        <v>59</v>
      </c>
      <c r="J2662" s="96">
        <v>-160808455.80293703</v>
      </c>
      <c r="K2662" s="36">
        <v>-16879837.66290462</v>
      </c>
      <c r="L2662" s="36">
        <v>-386556555.84377325</v>
      </c>
      <c r="M2662" s="36">
        <v>0</v>
      </c>
      <c r="N2662" s="36">
        <v>-31749690.331442732</v>
      </c>
      <c r="O2662" s="36">
        <v>-171810848.35434464</v>
      </c>
      <c r="P2662" s="110">
        <v>-83394470.763558581</v>
      </c>
    </row>
    <row r="2663" spans="1:16" hidden="1" x14ac:dyDescent="0.35">
      <c r="A2663" s="3">
        <f xml:space="preserve"> ROW( data_scaledImpacts[[#This Row],[row_id]] ) - ROW( data_scaledImpacts[[#Headers],[row_id]] )</f>
        <v>2662</v>
      </c>
      <c r="B2663" s="41" t="str">
        <f xml:space="preserve"> _xlfn.TEXTJOIN( "", , data_scaledImpacts[[#This Row],[sector]:[impactType]] )</f>
        <v>CILAgricultureHadGEM2-ES5With CO2 FertilizationWheat</v>
      </c>
      <c r="C2663" s="33" t="s">
        <v>1224</v>
      </c>
      <c r="D2663" s="33" t="s">
        <v>3</v>
      </c>
      <c r="E2663" s="34">
        <v>5</v>
      </c>
      <c r="F2663" s="34"/>
      <c r="G2663" s="34" t="s">
        <v>1160</v>
      </c>
      <c r="H2663" t="s">
        <v>1164</v>
      </c>
      <c r="I2663" s="43" t="s">
        <v>66</v>
      </c>
      <c r="J2663" s="96">
        <v>-192118618.06334963</v>
      </c>
      <c r="K2663" s="36">
        <v>-18970792.231226716</v>
      </c>
      <c r="L2663" s="36">
        <v>-467812207.70924902</v>
      </c>
      <c r="M2663" s="36">
        <v>0</v>
      </c>
      <c r="N2663" s="36">
        <v>-55113744.526055284</v>
      </c>
      <c r="O2663" s="36">
        <v>-262195749.07068256</v>
      </c>
      <c r="P2663" s="110">
        <v>-106362510.1384024</v>
      </c>
    </row>
    <row r="2664" spans="1:16" hidden="1" x14ac:dyDescent="0.35">
      <c r="A2664" s="3">
        <f xml:space="preserve"> ROW( data_scaledImpacts[[#This Row],[row_id]] ) - ROW( data_scaledImpacts[[#Headers],[row_id]] )</f>
        <v>2663</v>
      </c>
      <c r="B2664" s="41" t="str">
        <f xml:space="preserve"> _xlfn.TEXTJOIN( "", , data_scaledImpacts[[#This Row],[sector]:[impactType]] )</f>
        <v>CILAgricultureHadGEM2-ES6With CO2 FertilizationWheat</v>
      </c>
      <c r="C2664" s="33" t="s">
        <v>1224</v>
      </c>
      <c r="D2664" s="33" t="s">
        <v>3</v>
      </c>
      <c r="E2664" s="34">
        <v>6</v>
      </c>
      <c r="F2664" s="34"/>
      <c r="G2664" s="34" t="s">
        <v>1160</v>
      </c>
      <c r="H2664" t="s">
        <v>1164</v>
      </c>
      <c r="I2664" s="43" t="s">
        <v>73</v>
      </c>
      <c r="J2664" s="96">
        <v>-279905285.32363856</v>
      </c>
      <c r="K2664" s="36">
        <v>-27387303.319753405</v>
      </c>
      <c r="L2664" s="36">
        <v>-682701467.8554529</v>
      </c>
      <c r="M2664" s="36">
        <v>0</v>
      </c>
      <c r="N2664" s="36">
        <v>-119592058.3293903</v>
      </c>
      <c r="O2664" s="36">
        <v>-595629023.06696248</v>
      </c>
      <c r="P2664" s="110">
        <v>-184403410.9889167</v>
      </c>
    </row>
    <row r="2665" spans="1:16" hidden="1" x14ac:dyDescent="0.35">
      <c r="A2665" s="3">
        <f xml:space="preserve"> ROW( data_scaledImpacts[[#This Row],[row_id]] ) - ROW( data_scaledImpacts[[#Headers],[row_id]] )</f>
        <v>2664</v>
      </c>
      <c r="B2665" s="41" t="str">
        <f xml:space="preserve"> _xlfn.TEXTJOIN( "", , data_scaledImpacts[[#This Row],[sector]:[impactType]] )</f>
        <v>CILAgricultureMIROC51With CO2 FertilizationWheat</v>
      </c>
      <c r="C2665" s="33" t="s">
        <v>1224</v>
      </c>
      <c r="D2665" s="33" t="s">
        <v>4</v>
      </c>
      <c r="E2665" s="34">
        <v>1</v>
      </c>
      <c r="F2665" s="34"/>
      <c r="G2665" s="34" t="s">
        <v>1160</v>
      </c>
      <c r="H2665" t="s">
        <v>1164</v>
      </c>
      <c r="I2665" s="43" t="s">
        <v>39</v>
      </c>
      <c r="J2665" s="96">
        <v>-35791005.43298661</v>
      </c>
      <c r="K2665" s="36">
        <v>-2756122.3055532109</v>
      </c>
      <c r="L2665" s="36">
        <v>-96473670.936839268</v>
      </c>
      <c r="M2665" s="36">
        <v>0</v>
      </c>
      <c r="N2665" s="36">
        <v>-4179708.5047411239</v>
      </c>
      <c r="O2665" s="36">
        <v>-81527652.864390954</v>
      </c>
      <c r="P2665" s="110">
        <v>-17670664.599956136</v>
      </c>
    </row>
    <row r="2666" spans="1:16" hidden="1" x14ac:dyDescent="0.35">
      <c r="A2666" s="3">
        <f xml:space="preserve"> ROW( data_scaledImpacts[[#This Row],[row_id]] ) - ROW( data_scaledImpacts[[#Headers],[row_id]] )</f>
        <v>2665</v>
      </c>
      <c r="B2666" s="41" t="str">
        <f xml:space="preserve"> _xlfn.TEXTJOIN( "", , data_scaledImpacts[[#This Row],[sector]:[impactType]] )</f>
        <v>CILAgricultureMIROC52With CO2 FertilizationWheat</v>
      </c>
      <c r="C2666" s="33" t="s">
        <v>1224</v>
      </c>
      <c r="D2666" s="33" t="s">
        <v>4</v>
      </c>
      <c r="E2666" s="34">
        <v>2</v>
      </c>
      <c r="F2666" s="34"/>
      <c r="G2666" s="34" t="s">
        <v>1160</v>
      </c>
      <c r="H2666" t="s">
        <v>1164</v>
      </c>
      <c r="I2666" s="43" t="s">
        <v>46</v>
      </c>
      <c r="J2666" s="96">
        <v>-95989108.561105564</v>
      </c>
      <c r="K2666" s="36">
        <v>-8039841.1449106</v>
      </c>
      <c r="L2666" s="36">
        <v>-257378299.43261778</v>
      </c>
      <c r="M2666" s="36">
        <v>0</v>
      </c>
      <c r="N2666" s="36">
        <v>-17719779.405479118</v>
      </c>
      <c r="O2666" s="36">
        <v>-149103901.82335323</v>
      </c>
      <c r="P2666" s="110">
        <v>-49052411.022739075</v>
      </c>
    </row>
    <row r="2667" spans="1:16" hidden="1" x14ac:dyDescent="0.35">
      <c r="A2667" s="3">
        <f xml:space="preserve"> ROW( data_scaledImpacts[[#This Row],[row_id]] ) - ROW( data_scaledImpacts[[#Headers],[row_id]] )</f>
        <v>2666</v>
      </c>
      <c r="B2667" s="41" t="str">
        <f xml:space="preserve"> _xlfn.TEXTJOIN( "", , data_scaledImpacts[[#This Row],[sector]:[impactType]] )</f>
        <v>CILAgricultureMIROC53With CO2 FertilizationWheat</v>
      </c>
      <c r="C2667" s="33" t="s">
        <v>1224</v>
      </c>
      <c r="D2667" s="33" t="s">
        <v>4</v>
      </c>
      <c r="E2667" s="34">
        <v>3</v>
      </c>
      <c r="F2667" s="34"/>
      <c r="G2667" s="34" t="s">
        <v>1160</v>
      </c>
      <c r="H2667" t="s">
        <v>1164</v>
      </c>
      <c r="I2667" s="43" t="s">
        <v>53</v>
      </c>
      <c r="J2667" s="96">
        <v>-207024231.03770217</v>
      </c>
      <c r="K2667" s="36">
        <v>-18803975.683628634</v>
      </c>
      <c r="L2667" s="36">
        <v>-494959696.18426311</v>
      </c>
      <c r="M2667" s="36">
        <v>0</v>
      </c>
      <c r="N2667" s="36">
        <v>-75346001.008534461</v>
      </c>
      <c r="O2667" s="36">
        <v>-342591436.11341941</v>
      </c>
      <c r="P2667" s="110">
        <v>-99701199.406740099</v>
      </c>
    </row>
    <row r="2668" spans="1:16" hidden="1" x14ac:dyDescent="0.35">
      <c r="A2668" s="3">
        <f xml:space="preserve"> ROW( data_scaledImpacts[[#This Row],[row_id]] ) - ROW( data_scaledImpacts[[#Headers],[row_id]] )</f>
        <v>2667</v>
      </c>
      <c r="B2668" s="41" t="str">
        <f xml:space="preserve"> _xlfn.TEXTJOIN( "", , data_scaledImpacts[[#This Row],[sector]:[impactType]] )</f>
        <v>CILAgricultureMIROC54With CO2 FertilizationWheat</v>
      </c>
      <c r="C2668" s="33" t="s">
        <v>1224</v>
      </c>
      <c r="D2668" s="33" t="s">
        <v>4</v>
      </c>
      <c r="E2668" s="34">
        <v>4</v>
      </c>
      <c r="F2668" s="34"/>
      <c r="G2668" s="34" t="s">
        <v>1160</v>
      </c>
      <c r="H2668" t="s">
        <v>1164</v>
      </c>
      <c r="I2668" s="43" t="s">
        <v>60</v>
      </c>
      <c r="J2668" s="96">
        <v>-323788719.64137143</v>
      </c>
      <c r="K2668" s="36">
        <v>-32757529.817872379</v>
      </c>
      <c r="L2668" s="36">
        <v>-709053738.57183301</v>
      </c>
      <c r="M2668" s="36">
        <v>0</v>
      </c>
      <c r="N2668" s="36">
        <v>-142618579.82344741</v>
      </c>
      <c r="O2668" s="36">
        <v>-608177206.2900697</v>
      </c>
      <c r="P2668" s="110">
        <v>-182655878.51521742</v>
      </c>
    </row>
    <row r="2669" spans="1:16" hidden="1" x14ac:dyDescent="0.35">
      <c r="A2669" s="3">
        <f xml:space="preserve"> ROW( data_scaledImpacts[[#This Row],[row_id]] ) - ROW( data_scaledImpacts[[#Headers],[row_id]] )</f>
        <v>2668</v>
      </c>
      <c r="B2669" s="41" t="str">
        <f xml:space="preserve"> _xlfn.TEXTJOIN( "", , data_scaledImpacts[[#This Row],[sector]:[impactType]] )</f>
        <v>CILAgricultureMIROC55With CO2 FertilizationWheat</v>
      </c>
      <c r="C2669" s="33" t="s">
        <v>1224</v>
      </c>
      <c r="D2669" s="33" t="s">
        <v>4</v>
      </c>
      <c r="E2669" s="34">
        <v>5</v>
      </c>
      <c r="F2669" s="34"/>
      <c r="G2669" s="34" t="s">
        <v>1160</v>
      </c>
      <c r="H2669" t="s">
        <v>1164</v>
      </c>
      <c r="I2669" s="43" t="s">
        <v>67</v>
      </c>
      <c r="J2669" s="96">
        <v>-456561816.20614922</v>
      </c>
      <c r="K2669" s="36">
        <v>-46816436.405430064</v>
      </c>
      <c r="L2669" s="36">
        <v>-1032916168.6477556</v>
      </c>
      <c r="M2669" s="36">
        <v>0</v>
      </c>
      <c r="N2669" s="36">
        <v>-198968073.82058159</v>
      </c>
      <c r="O2669" s="36">
        <v>-739950654.94844127</v>
      </c>
      <c r="P2669" s="110">
        <v>-257364454.54735437</v>
      </c>
    </row>
    <row r="2670" spans="1:16" hidden="1" x14ac:dyDescent="0.35">
      <c r="A2670" s="3">
        <f xml:space="preserve"> ROW( data_scaledImpacts[[#This Row],[row_id]] ) - ROW( data_scaledImpacts[[#Headers],[row_id]] )</f>
        <v>2669</v>
      </c>
      <c r="B2670" s="41" t="str">
        <f xml:space="preserve"> _xlfn.TEXTJOIN( "", , data_scaledImpacts[[#This Row],[sector]:[impactType]] )</f>
        <v>CILAgricultureCanESM21Without CO2 FertilizationWheat</v>
      </c>
      <c r="C2670" s="33" t="s">
        <v>1224</v>
      </c>
      <c r="D2670" s="33" t="s">
        <v>0</v>
      </c>
      <c r="E2670" s="34">
        <v>1</v>
      </c>
      <c r="F2670" s="34"/>
      <c r="G2670" s="34" t="s">
        <v>1159</v>
      </c>
      <c r="H2670" t="s">
        <v>1164</v>
      </c>
      <c r="I2670" s="43" t="s">
        <v>35</v>
      </c>
      <c r="J2670" s="96">
        <v>20340611.640638351</v>
      </c>
      <c r="K2670" s="36">
        <v>1531655.9048756598</v>
      </c>
      <c r="L2670" s="36">
        <v>35614974.387685642</v>
      </c>
      <c r="M2670" s="36">
        <v>0</v>
      </c>
      <c r="N2670" s="36">
        <v>7112826.3579865107</v>
      </c>
      <c r="O2670" s="36">
        <v>99319165.825385168</v>
      </c>
      <c r="P2670" s="110">
        <v>15133719.461596301</v>
      </c>
    </row>
    <row r="2671" spans="1:16" hidden="1" x14ac:dyDescent="0.35">
      <c r="A2671" s="3">
        <f xml:space="preserve"> ROW( data_scaledImpacts[[#This Row],[row_id]] ) - ROW( data_scaledImpacts[[#Headers],[row_id]] )</f>
        <v>2670</v>
      </c>
      <c r="B2671" s="41" t="str">
        <f xml:space="preserve"> _xlfn.TEXTJOIN( "", , data_scaledImpacts[[#This Row],[sector]:[impactType]] )</f>
        <v>CILAgricultureCanESM22Without CO2 FertilizationWheat</v>
      </c>
      <c r="C2671" s="33" t="s">
        <v>1224</v>
      </c>
      <c r="D2671" s="33" t="s">
        <v>0</v>
      </c>
      <c r="E2671" s="34">
        <v>2</v>
      </c>
      <c r="F2671" s="34"/>
      <c r="G2671" s="34" t="s">
        <v>1159</v>
      </c>
      <c r="H2671" t="s">
        <v>1164</v>
      </c>
      <c r="I2671" s="43" t="s">
        <v>42</v>
      </c>
      <c r="J2671" s="96">
        <v>60053397.698056273</v>
      </c>
      <c r="K2671" s="36">
        <v>9296292.2496582735</v>
      </c>
      <c r="L2671" s="36">
        <v>69609618.193401873</v>
      </c>
      <c r="M2671" s="36">
        <v>0</v>
      </c>
      <c r="N2671" s="36">
        <v>37568820.658569463</v>
      </c>
      <c r="O2671" s="36">
        <v>200251820.42778522</v>
      </c>
      <c r="P2671" s="110">
        <v>37568223.004916035</v>
      </c>
    </row>
    <row r="2672" spans="1:16" hidden="1" x14ac:dyDescent="0.35">
      <c r="A2672" s="3">
        <f xml:space="preserve"> ROW( data_scaledImpacts[[#This Row],[row_id]] ) - ROW( data_scaledImpacts[[#Headers],[row_id]] )</f>
        <v>2671</v>
      </c>
      <c r="B2672" s="41" t="str">
        <f xml:space="preserve"> _xlfn.TEXTJOIN( "", , data_scaledImpacts[[#This Row],[sector]:[impactType]] )</f>
        <v>CILAgricultureCanESM23Without CO2 FertilizationWheat</v>
      </c>
      <c r="C2672" s="33" t="s">
        <v>1224</v>
      </c>
      <c r="D2672" s="33" t="s">
        <v>0</v>
      </c>
      <c r="E2672" s="34">
        <v>3</v>
      </c>
      <c r="F2672" s="34"/>
      <c r="G2672" s="34" t="s">
        <v>1159</v>
      </c>
      <c r="H2672" t="s">
        <v>1164</v>
      </c>
      <c r="I2672" s="43" t="s">
        <v>49</v>
      </c>
      <c r="J2672" s="96">
        <v>126519843.01616046</v>
      </c>
      <c r="K2672" s="36">
        <v>14349698.896912739</v>
      </c>
      <c r="L2672" s="36">
        <v>241984651.72371346</v>
      </c>
      <c r="M2672" s="36">
        <v>0</v>
      </c>
      <c r="N2672" s="36">
        <v>65998095.432399251</v>
      </c>
      <c r="O2672" s="36">
        <v>320812631.37173367</v>
      </c>
      <c r="P2672" s="110">
        <v>56736371.524805129</v>
      </c>
    </row>
    <row r="2673" spans="1:16" hidden="1" x14ac:dyDescent="0.35">
      <c r="A2673" s="3">
        <f xml:space="preserve"> ROW( data_scaledImpacts[[#This Row],[row_id]] ) - ROW( data_scaledImpacts[[#Headers],[row_id]] )</f>
        <v>2672</v>
      </c>
      <c r="B2673" s="41" t="str">
        <f xml:space="preserve"> _xlfn.TEXTJOIN( "", , data_scaledImpacts[[#This Row],[sector]:[impactType]] )</f>
        <v>CILAgricultureCanESM24Without CO2 FertilizationWheat</v>
      </c>
      <c r="C2673" s="33" t="s">
        <v>1224</v>
      </c>
      <c r="D2673" s="33" t="s">
        <v>0</v>
      </c>
      <c r="E2673" s="34">
        <v>4</v>
      </c>
      <c r="F2673" s="34"/>
      <c r="G2673" s="34" t="s">
        <v>1159</v>
      </c>
      <c r="H2673" t="s">
        <v>1164</v>
      </c>
      <c r="I2673" s="43" t="s">
        <v>56</v>
      </c>
      <c r="J2673" s="96">
        <v>184024680.23944882</v>
      </c>
      <c r="K2673" s="36">
        <v>20403207.611594614</v>
      </c>
      <c r="L2673" s="36">
        <v>351736611.35723823</v>
      </c>
      <c r="M2673" s="36">
        <v>0</v>
      </c>
      <c r="N2673" s="36">
        <v>101634787.29662585</v>
      </c>
      <c r="O2673" s="36">
        <v>444723218.19534582</v>
      </c>
      <c r="P2673" s="110">
        <v>79931285.724458024</v>
      </c>
    </row>
    <row r="2674" spans="1:16" hidden="1" x14ac:dyDescent="0.35">
      <c r="A2674" s="3">
        <f xml:space="preserve"> ROW( data_scaledImpacts[[#This Row],[row_id]] ) - ROW( data_scaledImpacts[[#Headers],[row_id]] )</f>
        <v>2673</v>
      </c>
      <c r="B2674" s="41" t="str">
        <f xml:space="preserve"> _xlfn.TEXTJOIN( "", , data_scaledImpacts[[#This Row],[sector]:[impactType]] )</f>
        <v>CILAgricultureCanESM25Without CO2 FertilizationWheat</v>
      </c>
      <c r="C2674" s="33" t="s">
        <v>1224</v>
      </c>
      <c r="D2674" s="33" t="s">
        <v>0</v>
      </c>
      <c r="E2674" s="34">
        <v>5</v>
      </c>
      <c r="F2674" s="34"/>
      <c r="G2674" s="34" t="s">
        <v>1159</v>
      </c>
      <c r="H2674" t="s">
        <v>1164</v>
      </c>
      <c r="I2674" s="43" t="s">
        <v>63</v>
      </c>
      <c r="J2674" s="96">
        <v>222712946.76008871</v>
      </c>
      <c r="K2674" s="36">
        <v>25803180.586214196</v>
      </c>
      <c r="L2674" s="36">
        <v>451895773.05861646</v>
      </c>
      <c r="M2674" s="36">
        <v>0</v>
      </c>
      <c r="N2674" s="36">
        <v>124662909.15193182</v>
      </c>
      <c r="O2674" s="36">
        <v>503546676.16755974</v>
      </c>
      <c r="P2674" s="110">
        <v>101493349.76543942</v>
      </c>
    </row>
    <row r="2675" spans="1:16" hidden="1" x14ac:dyDescent="0.35">
      <c r="A2675" s="3">
        <f xml:space="preserve"> ROW( data_scaledImpacts[[#This Row],[row_id]] ) - ROW( data_scaledImpacts[[#Headers],[row_id]] )</f>
        <v>2674</v>
      </c>
      <c r="B2675" s="41" t="str">
        <f xml:space="preserve"> _xlfn.TEXTJOIN( "", , data_scaledImpacts[[#This Row],[sector]:[impactType]] )</f>
        <v>CILAgricultureCanESM26Without CO2 FertilizationWheat</v>
      </c>
      <c r="C2675" s="33" t="s">
        <v>1224</v>
      </c>
      <c r="D2675" s="33" t="s">
        <v>0</v>
      </c>
      <c r="E2675" s="34">
        <v>6</v>
      </c>
      <c r="F2675" s="34"/>
      <c r="G2675" s="34" t="s">
        <v>1159</v>
      </c>
      <c r="H2675" t="s">
        <v>1164</v>
      </c>
      <c r="I2675" s="43" t="s">
        <v>70</v>
      </c>
      <c r="J2675" s="96">
        <v>307637797.1602326</v>
      </c>
      <c r="K2675" s="36">
        <v>33363291.371600833</v>
      </c>
      <c r="L2675" s="36">
        <v>604822715.44597101</v>
      </c>
      <c r="M2675" s="36">
        <v>0</v>
      </c>
      <c r="N2675" s="36">
        <v>151011621.42328697</v>
      </c>
      <c r="O2675" s="36">
        <v>644457347.88497388</v>
      </c>
      <c r="P2675" s="110">
        <v>125578348.2194875</v>
      </c>
    </row>
    <row r="2676" spans="1:16" hidden="1" x14ac:dyDescent="0.35">
      <c r="A2676" s="3">
        <f xml:space="preserve"> ROW( data_scaledImpacts[[#This Row],[row_id]] ) - ROW( data_scaledImpacts[[#Headers],[row_id]] )</f>
        <v>2675</v>
      </c>
      <c r="B2676" s="41" t="str">
        <f xml:space="preserve"> _xlfn.TEXTJOIN( "", , data_scaledImpacts[[#This Row],[sector]:[impactType]] )</f>
        <v>CILAgricultureCCSM41Without CO2 FertilizationWheat</v>
      </c>
      <c r="C2676" s="33" t="s">
        <v>1224</v>
      </c>
      <c r="D2676" s="33" t="s">
        <v>1</v>
      </c>
      <c r="E2676" s="34">
        <v>1</v>
      </c>
      <c r="F2676" s="34"/>
      <c r="G2676" s="34" t="s">
        <v>1159</v>
      </c>
      <c r="H2676" t="s">
        <v>1164</v>
      </c>
      <c r="I2676" s="43" t="s">
        <v>36</v>
      </c>
      <c r="J2676" s="96">
        <v>-36871736.751296438</v>
      </c>
      <c r="K2676" s="36">
        <v>-747659.8912505256</v>
      </c>
      <c r="L2676" s="36">
        <v>22550986.584257308</v>
      </c>
      <c r="M2676" s="36">
        <v>0</v>
      </c>
      <c r="N2676" s="36">
        <v>-16965441.902358785</v>
      </c>
      <c r="O2676" s="36">
        <v>-94761270.683210328</v>
      </c>
      <c r="P2676" s="110">
        <v>4523116.1453833301</v>
      </c>
    </row>
    <row r="2677" spans="1:16" hidden="1" x14ac:dyDescent="0.35">
      <c r="A2677" s="3">
        <f xml:space="preserve"> ROW( data_scaledImpacts[[#This Row],[row_id]] ) - ROW( data_scaledImpacts[[#Headers],[row_id]] )</f>
        <v>2676</v>
      </c>
      <c r="B2677" s="41" t="str">
        <f xml:space="preserve"> _xlfn.TEXTJOIN( "", , data_scaledImpacts[[#This Row],[sector]:[impactType]] )</f>
        <v>CILAgricultureCCSM42Without CO2 FertilizationWheat</v>
      </c>
      <c r="C2677" s="33" t="s">
        <v>1224</v>
      </c>
      <c r="D2677" s="33" t="s">
        <v>1</v>
      </c>
      <c r="E2677" s="34">
        <v>2</v>
      </c>
      <c r="F2677" s="34"/>
      <c r="G2677" s="34" t="s">
        <v>1159</v>
      </c>
      <c r="H2677" t="s">
        <v>1164</v>
      </c>
      <c r="I2677" s="43" t="s">
        <v>43</v>
      </c>
      <c r="J2677" s="96">
        <v>14078506.437100384</v>
      </c>
      <c r="K2677" s="36">
        <v>4796037.1298946319</v>
      </c>
      <c r="L2677" s="36">
        <v>134474049.54633108</v>
      </c>
      <c r="M2677" s="36">
        <v>0</v>
      </c>
      <c r="N2677" s="36">
        <v>5984525.3725468507</v>
      </c>
      <c r="O2677" s="36">
        <v>-25993302.996513311</v>
      </c>
      <c r="P2677" s="110">
        <v>25720990.657094322</v>
      </c>
    </row>
    <row r="2678" spans="1:16" hidden="1" x14ac:dyDescent="0.35">
      <c r="A2678" s="3">
        <f xml:space="preserve"> ROW( data_scaledImpacts[[#This Row],[row_id]] ) - ROW( data_scaledImpacts[[#Headers],[row_id]] )</f>
        <v>2677</v>
      </c>
      <c r="B2678" s="41" t="str">
        <f xml:space="preserve"> _xlfn.TEXTJOIN( "", , data_scaledImpacts[[#This Row],[sector]:[impactType]] )</f>
        <v>CILAgricultureCCSM43Without CO2 FertilizationWheat</v>
      </c>
      <c r="C2678" s="33" t="s">
        <v>1224</v>
      </c>
      <c r="D2678" s="33" t="s">
        <v>1</v>
      </c>
      <c r="E2678" s="34">
        <v>3</v>
      </c>
      <c r="F2678" s="34"/>
      <c r="G2678" s="34" t="s">
        <v>1159</v>
      </c>
      <c r="H2678" t="s">
        <v>1164</v>
      </c>
      <c r="I2678" s="43" t="s">
        <v>50</v>
      </c>
      <c r="J2678" s="96">
        <v>89957408.873977125</v>
      </c>
      <c r="K2678" s="36">
        <v>9801735.9427516554</v>
      </c>
      <c r="L2678" s="36">
        <v>291861719.58288819</v>
      </c>
      <c r="M2678" s="36">
        <v>0</v>
      </c>
      <c r="N2678" s="36">
        <v>45314434.512825519</v>
      </c>
      <c r="O2678" s="36">
        <v>95699567.347562596</v>
      </c>
      <c r="P2678" s="110">
        <v>43513660.173294671</v>
      </c>
    </row>
    <row r="2679" spans="1:16" hidden="1" x14ac:dyDescent="0.35">
      <c r="A2679" s="3">
        <f xml:space="preserve"> ROW( data_scaledImpacts[[#This Row],[row_id]] ) - ROW( data_scaledImpacts[[#Headers],[row_id]] )</f>
        <v>2678</v>
      </c>
      <c r="B2679" s="41" t="str">
        <f xml:space="preserve"> _xlfn.TEXTJOIN( "", , data_scaledImpacts[[#This Row],[sector]:[impactType]] )</f>
        <v>CILAgricultureCCSM44Without CO2 FertilizationWheat</v>
      </c>
      <c r="C2679" s="33" t="s">
        <v>1224</v>
      </c>
      <c r="D2679" s="33" t="s">
        <v>1</v>
      </c>
      <c r="E2679" s="34">
        <v>4</v>
      </c>
      <c r="F2679" s="34"/>
      <c r="G2679" s="34" t="s">
        <v>1159</v>
      </c>
      <c r="H2679" t="s">
        <v>1164</v>
      </c>
      <c r="I2679" s="43" t="s">
        <v>57</v>
      </c>
      <c r="J2679" s="96">
        <v>162026810.29623592</v>
      </c>
      <c r="K2679" s="36">
        <v>17126538.430669587</v>
      </c>
      <c r="L2679" s="36">
        <v>460330206.51777989</v>
      </c>
      <c r="M2679" s="36">
        <v>0</v>
      </c>
      <c r="N2679" s="36">
        <v>81064586.060103431</v>
      </c>
      <c r="O2679" s="36">
        <v>240082280.59576979</v>
      </c>
      <c r="P2679" s="110">
        <v>72602241.259727433</v>
      </c>
    </row>
    <row r="2680" spans="1:16" hidden="1" x14ac:dyDescent="0.35">
      <c r="A2680" s="3">
        <f xml:space="preserve"> ROW( data_scaledImpacts[[#This Row],[row_id]] ) - ROW( data_scaledImpacts[[#Headers],[row_id]] )</f>
        <v>2679</v>
      </c>
      <c r="B2680" s="41" t="str">
        <f xml:space="preserve"> _xlfn.TEXTJOIN( "", , data_scaledImpacts[[#This Row],[sector]:[impactType]] )</f>
        <v>CILAgricultureCCSM45Without CO2 FertilizationWheat</v>
      </c>
      <c r="C2680" s="33" t="s">
        <v>1224</v>
      </c>
      <c r="D2680" s="33" t="s">
        <v>1</v>
      </c>
      <c r="E2680" s="34">
        <v>5</v>
      </c>
      <c r="F2680" s="34"/>
      <c r="G2680" s="34" t="s">
        <v>1159</v>
      </c>
      <c r="H2680" t="s">
        <v>1164</v>
      </c>
      <c r="I2680" s="43" t="s">
        <v>64</v>
      </c>
      <c r="J2680" s="96">
        <v>206438231.26274055</v>
      </c>
      <c r="K2680" s="36">
        <v>22288056.046091821</v>
      </c>
      <c r="L2680" s="36">
        <v>555974600.25171852</v>
      </c>
      <c r="M2680" s="36">
        <v>0</v>
      </c>
      <c r="N2680" s="36">
        <v>118785261.76434745</v>
      </c>
      <c r="O2680" s="36">
        <v>353632153.96417207</v>
      </c>
      <c r="P2680" s="110">
        <v>90942324.9557513</v>
      </c>
    </row>
    <row r="2681" spans="1:16" hidden="1" x14ac:dyDescent="0.35">
      <c r="A2681" s="3">
        <f xml:space="preserve"> ROW( data_scaledImpacts[[#This Row],[row_id]] ) - ROW( data_scaledImpacts[[#Headers],[row_id]] )</f>
        <v>2680</v>
      </c>
      <c r="B2681" s="41" t="str">
        <f xml:space="preserve"> _xlfn.TEXTJOIN( "", , data_scaledImpacts[[#This Row],[sector]:[impactType]] )</f>
        <v>CILAgricultureGFDL-CM31Without CO2 FertilizationWheat</v>
      </c>
      <c r="C2681" s="33" t="s">
        <v>1224</v>
      </c>
      <c r="D2681" s="33" t="s">
        <v>5</v>
      </c>
      <c r="E2681" s="34">
        <v>1</v>
      </c>
      <c r="F2681" s="34"/>
      <c r="G2681" s="34" t="s">
        <v>1159</v>
      </c>
      <c r="H2681" t="s">
        <v>1164</v>
      </c>
      <c r="I2681" s="43" t="s">
        <v>40</v>
      </c>
      <c r="J2681" s="96">
        <v>9553192.2927069794</v>
      </c>
      <c r="K2681" s="36">
        <v>-878873.97613808094</v>
      </c>
      <c r="L2681" s="36">
        <v>45711508.616884626</v>
      </c>
      <c r="M2681" s="36">
        <v>0</v>
      </c>
      <c r="N2681" s="36">
        <v>6182605.8483917722</v>
      </c>
      <c r="O2681" s="36">
        <v>41656459.400121041</v>
      </c>
      <c r="P2681" s="110">
        <v>3609842.6601115768</v>
      </c>
    </row>
    <row r="2682" spans="1:16" hidden="1" x14ac:dyDescent="0.35">
      <c r="A2682" s="3">
        <f xml:space="preserve"> ROW( data_scaledImpacts[[#This Row],[row_id]] ) - ROW( data_scaledImpacts[[#Headers],[row_id]] )</f>
        <v>2681</v>
      </c>
      <c r="B2682" s="41" t="str">
        <f xml:space="preserve"> _xlfn.TEXTJOIN( "", , data_scaledImpacts[[#This Row],[sector]:[impactType]] )</f>
        <v>CILAgricultureGFDL-CM32Without CO2 FertilizationWheat</v>
      </c>
      <c r="C2682" s="33" t="s">
        <v>1224</v>
      </c>
      <c r="D2682" s="33" t="s">
        <v>5</v>
      </c>
      <c r="E2682" s="34">
        <v>2</v>
      </c>
      <c r="F2682" s="34"/>
      <c r="G2682" s="34" t="s">
        <v>1159</v>
      </c>
      <c r="H2682" t="s">
        <v>1164</v>
      </c>
      <c r="I2682" s="43" t="s">
        <v>47</v>
      </c>
      <c r="J2682" s="96">
        <v>68975804.351221889</v>
      </c>
      <c r="K2682" s="36">
        <v>5487878.7318439586</v>
      </c>
      <c r="L2682" s="36">
        <v>233284673.76124045</v>
      </c>
      <c r="M2682" s="36">
        <v>0</v>
      </c>
      <c r="N2682" s="36">
        <v>30663569.840110496</v>
      </c>
      <c r="O2682" s="36">
        <v>110041640.99681552</v>
      </c>
      <c r="P2682" s="110">
        <v>20735698.839681935</v>
      </c>
    </row>
    <row r="2683" spans="1:16" hidden="1" x14ac:dyDescent="0.35">
      <c r="A2683" s="3">
        <f xml:space="preserve"> ROW( data_scaledImpacts[[#This Row],[row_id]] ) - ROW( data_scaledImpacts[[#Headers],[row_id]] )</f>
        <v>2682</v>
      </c>
      <c r="B2683" s="41" t="str">
        <f xml:space="preserve"> _xlfn.TEXTJOIN( "", , data_scaledImpacts[[#This Row],[sector]:[impactType]] )</f>
        <v>CILAgricultureGFDL-CM33Without CO2 FertilizationWheat</v>
      </c>
      <c r="C2683" s="33" t="s">
        <v>1224</v>
      </c>
      <c r="D2683" s="33" t="s">
        <v>5</v>
      </c>
      <c r="E2683" s="34">
        <v>3</v>
      </c>
      <c r="F2683" s="34"/>
      <c r="G2683" s="34" t="s">
        <v>1159</v>
      </c>
      <c r="H2683" t="s">
        <v>1164</v>
      </c>
      <c r="I2683" s="43" t="s">
        <v>54</v>
      </c>
      <c r="J2683" s="96">
        <v>114574106.22051713</v>
      </c>
      <c r="K2683" s="36">
        <v>12014380.75705084</v>
      </c>
      <c r="L2683" s="36">
        <v>282371155.62371087</v>
      </c>
      <c r="M2683" s="36">
        <v>0</v>
      </c>
      <c r="N2683" s="36">
        <v>61248320.54027053</v>
      </c>
      <c r="O2683" s="36">
        <v>208646081.90659285</v>
      </c>
      <c r="P2683" s="110">
        <v>38758261.202241503</v>
      </c>
    </row>
    <row r="2684" spans="1:16" hidden="1" x14ac:dyDescent="0.35">
      <c r="A2684" s="3">
        <f xml:space="preserve"> ROW( data_scaledImpacts[[#This Row],[row_id]] ) - ROW( data_scaledImpacts[[#Headers],[row_id]] )</f>
        <v>2683</v>
      </c>
      <c r="B2684" s="41" t="str">
        <f xml:space="preserve"> _xlfn.TEXTJOIN( "", , data_scaledImpacts[[#This Row],[sector]:[impactType]] )</f>
        <v>CILAgricultureGFDL-CM34Without CO2 FertilizationWheat</v>
      </c>
      <c r="C2684" s="33" t="s">
        <v>1224</v>
      </c>
      <c r="D2684" s="33" t="s">
        <v>5</v>
      </c>
      <c r="E2684" s="34">
        <v>4</v>
      </c>
      <c r="F2684" s="34"/>
      <c r="G2684" s="34" t="s">
        <v>1159</v>
      </c>
      <c r="H2684" t="s">
        <v>1164</v>
      </c>
      <c r="I2684" s="43" t="s">
        <v>61</v>
      </c>
      <c r="J2684" s="96">
        <v>167812960.81837374</v>
      </c>
      <c r="K2684" s="36">
        <v>17250014.771887321</v>
      </c>
      <c r="L2684" s="36">
        <v>384519288.35917288</v>
      </c>
      <c r="M2684" s="36">
        <v>0</v>
      </c>
      <c r="N2684" s="36">
        <v>81702355.980946496</v>
      </c>
      <c r="O2684" s="36">
        <v>272777246.84560001</v>
      </c>
      <c r="P2684" s="110">
        <v>57122927.807054996</v>
      </c>
    </row>
    <row r="2685" spans="1:16" hidden="1" x14ac:dyDescent="0.35">
      <c r="A2685" s="3">
        <f xml:space="preserve"> ROW( data_scaledImpacts[[#This Row],[row_id]] ) - ROW( data_scaledImpacts[[#Headers],[row_id]] )</f>
        <v>2684</v>
      </c>
      <c r="B2685" s="41" t="str">
        <f xml:space="preserve"> _xlfn.TEXTJOIN( "", , data_scaledImpacts[[#This Row],[sector]:[impactType]] )</f>
        <v>CILAgricultureGFDL-CM35Without CO2 FertilizationWheat</v>
      </c>
      <c r="C2685" s="33" t="s">
        <v>1224</v>
      </c>
      <c r="D2685" s="33" t="s">
        <v>5</v>
      </c>
      <c r="E2685" s="34">
        <v>5</v>
      </c>
      <c r="F2685" s="34"/>
      <c r="G2685" s="34" t="s">
        <v>1159</v>
      </c>
      <c r="H2685" t="s">
        <v>1164</v>
      </c>
      <c r="I2685" s="43" t="s">
        <v>68</v>
      </c>
      <c r="J2685" s="96">
        <v>216801760.67822</v>
      </c>
      <c r="K2685" s="36">
        <v>21851249.89904939</v>
      </c>
      <c r="L2685" s="36">
        <v>473867931.58177155</v>
      </c>
      <c r="M2685" s="36">
        <v>0</v>
      </c>
      <c r="N2685" s="36">
        <v>111519736.64413932</v>
      </c>
      <c r="O2685" s="36">
        <v>404043656.16336709</v>
      </c>
      <c r="P2685" s="110">
        <v>78108862.009312049</v>
      </c>
    </row>
    <row r="2686" spans="1:16" hidden="1" x14ac:dyDescent="0.35">
      <c r="A2686" s="3">
        <f xml:space="preserve"> ROW( data_scaledImpacts[[#This Row],[row_id]] ) - ROW( data_scaledImpacts[[#Headers],[row_id]] )</f>
        <v>2685</v>
      </c>
      <c r="B2686" s="41" t="str">
        <f xml:space="preserve"> _xlfn.TEXTJOIN( "", , data_scaledImpacts[[#This Row],[sector]:[impactType]] )</f>
        <v>CILAgricultureGFDL-CM36Without CO2 FertilizationWheat</v>
      </c>
      <c r="C2686" s="33" t="s">
        <v>1224</v>
      </c>
      <c r="D2686" s="33" t="s">
        <v>5</v>
      </c>
      <c r="E2686" s="34">
        <v>6</v>
      </c>
      <c r="F2686" s="34"/>
      <c r="G2686" s="34" t="s">
        <v>1159</v>
      </c>
      <c r="H2686" t="s">
        <v>1164</v>
      </c>
      <c r="I2686" s="43" t="s">
        <v>75</v>
      </c>
      <c r="J2686" s="96">
        <v>289314050.44195962</v>
      </c>
      <c r="K2686" s="36">
        <v>29021582.915134247</v>
      </c>
      <c r="L2686" s="36">
        <v>629289066.04676068</v>
      </c>
      <c r="M2686" s="36">
        <v>0</v>
      </c>
      <c r="N2686" s="36">
        <v>135813243.07997081</v>
      </c>
      <c r="O2686" s="36">
        <v>501890649.64081293</v>
      </c>
      <c r="P2686" s="110">
        <v>104713773.19969061</v>
      </c>
    </row>
    <row r="2687" spans="1:16" hidden="1" x14ac:dyDescent="0.35">
      <c r="A2687" s="3">
        <f xml:space="preserve"> ROW( data_scaledImpacts[[#This Row],[row_id]] ) - ROW( data_scaledImpacts[[#Headers],[row_id]] )</f>
        <v>2686</v>
      </c>
      <c r="B2687" s="41" t="str">
        <f xml:space="preserve"> _xlfn.TEXTJOIN( "", , data_scaledImpacts[[#This Row],[sector]:[impactType]] )</f>
        <v>CILAgricultureGISS-E2-R1Without CO2 FertilizationWheat</v>
      </c>
      <c r="C2687" s="33" t="s">
        <v>1224</v>
      </c>
      <c r="D2687" s="33" t="s">
        <v>2</v>
      </c>
      <c r="E2687" s="34">
        <v>1</v>
      </c>
      <c r="F2687" s="34"/>
      <c r="G2687" s="34" t="s">
        <v>1159</v>
      </c>
      <c r="H2687" t="s">
        <v>1164</v>
      </c>
      <c r="I2687" s="43" t="s">
        <v>37</v>
      </c>
      <c r="J2687" s="96">
        <v>-43494347.215635002</v>
      </c>
      <c r="K2687" s="36">
        <v>-2156529.0766292247</v>
      </c>
      <c r="L2687" s="36">
        <v>-31993524.933730446</v>
      </c>
      <c r="M2687" s="36">
        <v>0</v>
      </c>
      <c r="N2687" s="36">
        <v>-30401343.024714682</v>
      </c>
      <c r="O2687" s="36">
        <v>-111797816.09251371</v>
      </c>
      <c r="P2687" s="110">
        <v>-1952066.4621427674</v>
      </c>
    </row>
    <row r="2688" spans="1:16" hidden="1" x14ac:dyDescent="0.35">
      <c r="A2688" s="3">
        <f xml:space="preserve"> ROW( data_scaledImpacts[[#This Row],[row_id]] ) - ROW( data_scaledImpacts[[#Headers],[row_id]] )</f>
        <v>2687</v>
      </c>
      <c r="B2688" s="41" t="str">
        <f xml:space="preserve"> _xlfn.TEXTJOIN( "", , data_scaledImpacts[[#This Row],[sector]:[impactType]] )</f>
        <v>CILAgricultureGISS-E2-R2Without CO2 FertilizationWheat</v>
      </c>
      <c r="C2688" s="33" t="s">
        <v>1224</v>
      </c>
      <c r="D2688" s="33" t="s">
        <v>2</v>
      </c>
      <c r="E2688" s="34">
        <v>2</v>
      </c>
      <c r="F2688" s="34"/>
      <c r="G2688" s="34" t="s">
        <v>1159</v>
      </c>
      <c r="H2688" t="s">
        <v>1164</v>
      </c>
      <c r="I2688" s="43" t="s">
        <v>44</v>
      </c>
      <c r="J2688" s="96">
        <v>8741006.4959730953</v>
      </c>
      <c r="K2688" s="36">
        <v>4673188.8009787649</v>
      </c>
      <c r="L2688" s="36">
        <v>68901797.258159623</v>
      </c>
      <c r="M2688" s="36">
        <v>0</v>
      </c>
      <c r="N2688" s="36">
        <v>-1253408.8852896353</v>
      </c>
      <c r="O2688" s="36">
        <v>-41415194.080230333</v>
      </c>
      <c r="P2688" s="110">
        <v>13811162.042686973</v>
      </c>
    </row>
    <row r="2689" spans="1:16" hidden="1" x14ac:dyDescent="0.35">
      <c r="A2689" s="3">
        <f xml:space="preserve"> ROW( data_scaledImpacts[[#This Row],[row_id]] ) - ROW( data_scaledImpacts[[#Headers],[row_id]] )</f>
        <v>2688</v>
      </c>
      <c r="B2689" s="41" t="str">
        <f xml:space="preserve"> _xlfn.TEXTJOIN( "", , data_scaledImpacts[[#This Row],[sector]:[impactType]] )</f>
        <v>CILAgricultureGISS-E2-R3Without CO2 FertilizationWheat</v>
      </c>
      <c r="C2689" s="33" t="s">
        <v>1224</v>
      </c>
      <c r="D2689" s="33" t="s">
        <v>2</v>
      </c>
      <c r="E2689" s="34">
        <v>3</v>
      </c>
      <c r="F2689" s="34"/>
      <c r="G2689" s="34" t="s">
        <v>1159</v>
      </c>
      <c r="H2689" t="s">
        <v>1164</v>
      </c>
      <c r="I2689" s="43" t="s">
        <v>51</v>
      </c>
      <c r="J2689" s="96">
        <v>74066894.337194204</v>
      </c>
      <c r="K2689" s="36">
        <v>9716610.2047867645</v>
      </c>
      <c r="L2689" s="36">
        <v>247366305.70476052</v>
      </c>
      <c r="M2689" s="36">
        <v>0</v>
      </c>
      <c r="N2689" s="36">
        <v>33910517.894304372</v>
      </c>
      <c r="O2689" s="36">
        <v>147140565.04453775</v>
      </c>
      <c r="P2689" s="110">
        <v>60891055.616769888</v>
      </c>
    </row>
    <row r="2690" spans="1:16" hidden="1" x14ac:dyDescent="0.35">
      <c r="A2690" s="3">
        <f xml:space="preserve"> ROW( data_scaledImpacts[[#This Row],[row_id]] ) - ROW( data_scaledImpacts[[#Headers],[row_id]] )</f>
        <v>2689</v>
      </c>
      <c r="B2690" s="41" t="str">
        <f xml:space="preserve"> _xlfn.TEXTJOIN( "", , data_scaledImpacts[[#This Row],[sector]:[impactType]] )</f>
        <v>CILAgricultureHadGEM2-ES1Without CO2 FertilizationWheat</v>
      </c>
      <c r="C2690" s="33" t="s">
        <v>1224</v>
      </c>
      <c r="D2690" s="33" t="s">
        <v>3</v>
      </c>
      <c r="E2690" s="34">
        <v>1</v>
      </c>
      <c r="F2690" s="34"/>
      <c r="G2690" s="34" t="s">
        <v>1159</v>
      </c>
      <c r="H2690" t="s">
        <v>1164</v>
      </c>
      <c r="I2690" s="43" t="s">
        <v>38</v>
      </c>
      <c r="J2690" s="96">
        <v>177306.47805822757</v>
      </c>
      <c r="K2690" s="36">
        <v>66290.418449539269</v>
      </c>
      <c r="L2690" s="36">
        <v>8647892.7376104165</v>
      </c>
      <c r="M2690" s="36">
        <v>0</v>
      </c>
      <c r="N2690" s="36">
        <v>6643034.1911264965</v>
      </c>
      <c r="O2690" s="36">
        <v>43502836.050540239</v>
      </c>
      <c r="P2690" s="110">
        <v>7503900.6678917129</v>
      </c>
    </row>
    <row r="2691" spans="1:16" hidden="1" x14ac:dyDescent="0.35">
      <c r="A2691" s="3">
        <f xml:space="preserve"> ROW( data_scaledImpacts[[#This Row],[row_id]] ) - ROW( data_scaledImpacts[[#Headers],[row_id]] )</f>
        <v>2690</v>
      </c>
      <c r="B2691" s="41" t="str">
        <f xml:space="preserve"> _xlfn.TEXTJOIN( "", , data_scaledImpacts[[#This Row],[sector]:[impactType]] )</f>
        <v>CILAgricultureHadGEM2-ES2Without CO2 FertilizationWheat</v>
      </c>
      <c r="C2691" s="33" t="s">
        <v>1224</v>
      </c>
      <c r="D2691" s="33" t="s">
        <v>3</v>
      </c>
      <c r="E2691" s="34">
        <v>2</v>
      </c>
      <c r="F2691" s="34"/>
      <c r="G2691" s="34" t="s">
        <v>1159</v>
      </c>
      <c r="H2691" t="s">
        <v>1164</v>
      </c>
      <c r="I2691" s="43" t="s">
        <v>45</v>
      </c>
      <c r="J2691" s="96">
        <v>33694000.163464613</v>
      </c>
      <c r="K2691" s="36">
        <v>4866679.8106062375</v>
      </c>
      <c r="L2691" s="36">
        <v>90413985.581096873</v>
      </c>
      <c r="M2691" s="36">
        <v>0</v>
      </c>
      <c r="N2691" s="36">
        <v>35331374.697280824</v>
      </c>
      <c r="O2691" s="36">
        <v>150117302.59304544</v>
      </c>
      <c r="P2691" s="110">
        <v>31111132.61162005</v>
      </c>
    </row>
    <row r="2692" spans="1:16" hidden="1" x14ac:dyDescent="0.35">
      <c r="A2692" s="3">
        <f xml:space="preserve"> ROW( data_scaledImpacts[[#This Row],[row_id]] ) - ROW( data_scaledImpacts[[#Headers],[row_id]] )</f>
        <v>2691</v>
      </c>
      <c r="B2692" s="41" t="str">
        <f xml:space="preserve"> _xlfn.TEXTJOIN( "", , data_scaledImpacts[[#This Row],[sector]:[impactType]] )</f>
        <v>CILAgricultureHadGEM2-ES3Without CO2 FertilizationWheat</v>
      </c>
      <c r="C2692" s="33" t="s">
        <v>1224</v>
      </c>
      <c r="D2692" s="33" t="s">
        <v>3</v>
      </c>
      <c r="E2692" s="34">
        <v>3</v>
      </c>
      <c r="F2692" s="34"/>
      <c r="G2692" s="34" t="s">
        <v>1159</v>
      </c>
      <c r="H2692" t="s">
        <v>1164</v>
      </c>
      <c r="I2692" s="43" t="s">
        <v>52</v>
      </c>
      <c r="J2692" s="96">
        <v>108914618.86005016</v>
      </c>
      <c r="K2692" s="36">
        <v>10918587.546675667</v>
      </c>
      <c r="L2692" s="36">
        <v>163624387.76568741</v>
      </c>
      <c r="M2692" s="36">
        <v>0</v>
      </c>
      <c r="N2692" s="36">
        <v>88273829.710685313</v>
      </c>
      <c r="O2692" s="36">
        <v>294129857.62177527</v>
      </c>
      <c r="P2692" s="110">
        <v>48899989.765308447</v>
      </c>
    </row>
    <row r="2693" spans="1:16" hidden="1" x14ac:dyDescent="0.35">
      <c r="A2693" s="3">
        <f xml:space="preserve"> ROW( data_scaledImpacts[[#This Row],[row_id]] ) - ROW( data_scaledImpacts[[#Headers],[row_id]] )</f>
        <v>2692</v>
      </c>
      <c r="B2693" s="41" t="str">
        <f xml:space="preserve"> _xlfn.TEXTJOIN( "", , data_scaledImpacts[[#This Row],[sector]:[impactType]] )</f>
        <v>CILAgricultureHadGEM2-ES4Without CO2 FertilizationWheat</v>
      </c>
      <c r="C2693" s="33" t="s">
        <v>1224</v>
      </c>
      <c r="D2693" s="33" t="s">
        <v>3</v>
      </c>
      <c r="E2693" s="34">
        <v>4</v>
      </c>
      <c r="F2693" s="34"/>
      <c r="G2693" s="34" t="s">
        <v>1159</v>
      </c>
      <c r="H2693" t="s">
        <v>1164</v>
      </c>
      <c r="I2693" s="43" t="s">
        <v>59</v>
      </c>
      <c r="J2693" s="96">
        <v>157816103.47189063</v>
      </c>
      <c r="K2693" s="36">
        <v>14907800.995966543</v>
      </c>
      <c r="L2693" s="36">
        <v>330311632.57412523</v>
      </c>
      <c r="M2693" s="36">
        <v>0</v>
      </c>
      <c r="N2693" s="36">
        <v>118024411.00930519</v>
      </c>
      <c r="O2693" s="36">
        <v>407924925.74484181</v>
      </c>
      <c r="P2693" s="110">
        <v>74563872.196242556</v>
      </c>
    </row>
    <row r="2694" spans="1:16" hidden="1" x14ac:dyDescent="0.35">
      <c r="A2694" s="3">
        <f xml:space="preserve"> ROW( data_scaledImpacts[[#This Row],[row_id]] ) - ROW( data_scaledImpacts[[#Headers],[row_id]] )</f>
        <v>2693</v>
      </c>
      <c r="B2694" s="41" t="str">
        <f xml:space="preserve"> _xlfn.TEXTJOIN( "", , data_scaledImpacts[[#This Row],[sector]:[impactType]] )</f>
        <v>CILAgricultureHadGEM2-ES5Without CO2 FertilizationWheat</v>
      </c>
      <c r="C2694" s="33" t="s">
        <v>1224</v>
      </c>
      <c r="D2694" s="33" t="s">
        <v>3</v>
      </c>
      <c r="E2694" s="34">
        <v>5</v>
      </c>
      <c r="F2694" s="34"/>
      <c r="G2694" s="34" t="s">
        <v>1159</v>
      </c>
      <c r="H2694" t="s">
        <v>1164</v>
      </c>
      <c r="I2694" s="43" t="s">
        <v>66</v>
      </c>
      <c r="J2694" s="96">
        <v>220380403.46138653</v>
      </c>
      <c r="K2694" s="36">
        <v>21972293.813440796</v>
      </c>
      <c r="L2694" s="36">
        <v>459615061.42572337</v>
      </c>
      <c r="M2694" s="36">
        <v>0</v>
      </c>
      <c r="N2694" s="36">
        <v>139689800.16518673</v>
      </c>
      <c r="O2694" s="36">
        <v>497616709.2473228</v>
      </c>
      <c r="P2694" s="110">
        <v>99983410.451257661</v>
      </c>
    </row>
    <row r="2695" spans="1:16" hidden="1" x14ac:dyDescent="0.35">
      <c r="A2695" s="3">
        <f xml:space="preserve"> ROW( data_scaledImpacts[[#This Row],[row_id]] ) - ROW( data_scaledImpacts[[#Headers],[row_id]] )</f>
        <v>2694</v>
      </c>
      <c r="B2695" s="41" t="str">
        <f xml:space="preserve"> _xlfn.TEXTJOIN( "", , data_scaledImpacts[[#This Row],[sector]:[impactType]] )</f>
        <v>CILAgricultureHadGEM2-ES6Without CO2 FertilizationWheat</v>
      </c>
      <c r="C2695" s="33" t="s">
        <v>1224</v>
      </c>
      <c r="D2695" s="33" t="s">
        <v>3</v>
      </c>
      <c r="E2695" s="34">
        <v>6</v>
      </c>
      <c r="F2695" s="34"/>
      <c r="G2695" s="34" t="s">
        <v>1159</v>
      </c>
      <c r="H2695" t="s">
        <v>1164</v>
      </c>
      <c r="I2695" s="43" t="s">
        <v>73</v>
      </c>
      <c r="J2695" s="96">
        <v>286911809.64313287</v>
      </c>
      <c r="K2695" s="36">
        <v>28663890.51305031</v>
      </c>
      <c r="L2695" s="36">
        <v>597956563.63914788</v>
      </c>
      <c r="M2695" s="36">
        <v>0</v>
      </c>
      <c r="N2695" s="36">
        <v>153281207.46576467</v>
      </c>
      <c r="O2695" s="36">
        <v>496311709.33623892</v>
      </c>
      <c r="P2695" s="110">
        <v>107160671.07687013</v>
      </c>
    </row>
    <row r="2696" spans="1:16" hidden="1" x14ac:dyDescent="0.35">
      <c r="A2696" s="3">
        <f xml:space="preserve"> ROW( data_scaledImpacts[[#This Row],[row_id]] ) - ROW( data_scaledImpacts[[#Headers],[row_id]] )</f>
        <v>2695</v>
      </c>
      <c r="B2696" s="41" t="str">
        <f xml:space="preserve"> _xlfn.TEXTJOIN( "", , data_scaledImpacts[[#This Row],[sector]:[impactType]] )</f>
        <v>CILAgricultureMIROC51Without CO2 FertilizationWheat</v>
      </c>
      <c r="C2696" s="33" t="s">
        <v>1224</v>
      </c>
      <c r="D2696" s="33" t="s">
        <v>4</v>
      </c>
      <c r="E2696" s="34">
        <v>1</v>
      </c>
      <c r="F2696" s="34"/>
      <c r="G2696" s="34" t="s">
        <v>1159</v>
      </c>
      <c r="H2696" t="s">
        <v>1164</v>
      </c>
      <c r="I2696" s="43" t="s">
        <v>39</v>
      </c>
      <c r="J2696" s="96">
        <v>-8622012.6631899308</v>
      </c>
      <c r="K2696" s="36">
        <v>-89460.504867070587</v>
      </c>
      <c r="L2696" s="36">
        <v>-35020894.586930998</v>
      </c>
      <c r="M2696" s="36">
        <v>0</v>
      </c>
      <c r="N2696" s="36">
        <v>9077808.3531620987</v>
      </c>
      <c r="O2696" s="36">
        <v>-29298283.583467241</v>
      </c>
      <c r="P2696" s="110">
        <v>-3980268.3071534233</v>
      </c>
    </row>
    <row r="2697" spans="1:16" hidden="1" x14ac:dyDescent="0.35">
      <c r="A2697" s="3">
        <f xml:space="preserve"> ROW( data_scaledImpacts[[#This Row],[row_id]] ) - ROW( data_scaledImpacts[[#Headers],[row_id]] )</f>
        <v>2696</v>
      </c>
      <c r="B2697" s="41" t="str">
        <f xml:space="preserve"> _xlfn.TEXTJOIN( "", , data_scaledImpacts[[#This Row],[sector]:[impactType]] )</f>
        <v>CILAgricultureMIROC52Without CO2 FertilizationWheat</v>
      </c>
      <c r="C2697" s="33" t="s">
        <v>1224</v>
      </c>
      <c r="D2697" s="33" t="s">
        <v>4</v>
      </c>
      <c r="E2697" s="34">
        <v>2</v>
      </c>
      <c r="F2697" s="34"/>
      <c r="G2697" s="34" t="s">
        <v>1159</v>
      </c>
      <c r="H2697" t="s">
        <v>1164</v>
      </c>
      <c r="I2697" s="43" t="s">
        <v>46</v>
      </c>
      <c r="J2697" s="96">
        <v>34353187.433899753</v>
      </c>
      <c r="K2697" s="36">
        <v>4758660.9013322173</v>
      </c>
      <c r="L2697" s="36">
        <v>37690428.937843516</v>
      </c>
      <c r="M2697" s="36">
        <v>0</v>
      </c>
      <c r="N2697" s="36">
        <v>45955560.975212112</v>
      </c>
      <c r="O2697" s="36">
        <v>97227732.776697084</v>
      </c>
      <c r="P2697" s="110">
        <v>15920207.942977523</v>
      </c>
    </row>
    <row r="2698" spans="1:16" hidden="1" x14ac:dyDescent="0.35">
      <c r="A2698" s="3">
        <f xml:space="preserve"> ROW( data_scaledImpacts[[#This Row],[row_id]] ) - ROW( data_scaledImpacts[[#Headers],[row_id]] )</f>
        <v>2697</v>
      </c>
      <c r="B2698" s="41" t="str">
        <f xml:space="preserve"> _xlfn.TEXTJOIN( "", , data_scaledImpacts[[#This Row],[sector]:[impactType]] )</f>
        <v>CILAgricultureMIROC53Without CO2 FertilizationWheat</v>
      </c>
      <c r="C2698" s="33" t="s">
        <v>1224</v>
      </c>
      <c r="D2698" s="33" t="s">
        <v>4</v>
      </c>
      <c r="E2698" s="34">
        <v>3</v>
      </c>
      <c r="F2698" s="34"/>
      <c r="G2698" s="34" t="s">
        <v>1159</v>
      </c>
      <c r="H2698" t="s">
        <v>1164</v>
      </c>
      <c r="I2698" s="43" t="s">
        <v>53</v>
      </c>
      <c r="J2698" s="96">
        <v>76003982.224922463</v>
      </c>
      <c r="K2698" s="36">
        <v>8952751.2795851212</v>
      </c>
      <c r="L2698" s="36">
        <v>141865242.4299669</v>
      </c>
      <c r="M2698" s="36">
        <v>0</v>
      </c>
      <c r="N2698" s="36">
        <v>62648367.019905001</v>
      </c>
      <c r="O2698" s="36">
        <v>190257304.88020006</v>
      </c>
      <c r="P2698" s="110">
        <v>40073746.875262596</v>
      </c>
    </row>
    <row r="2699" spans="1:16" hidden="1" x14ac:dyDescent="0.35">
      <c r="A2699" s="3">
        <f xml:space="preserve"> ROW( data_scaledImpacts[[#This Row],[row_id]] ) - ROW( data_scaledImpacts[[#Headers],[row_id]] )</f>
        <v>2698</v>
      </c>
      <c r="B2699" s="41" t="str">
        <f xml:space="preserve"> _xlfn.TEXTJOIN( "", , data_scaledImpacts[[#This Row],[sector]:[impactType]] )</f>
        <v>CILAgricultureMIROC54Without CO2 FertilizationWheat</v>
      </c>
      <c r="C2699" s="33" t="s">
        <v>1224</v>
      </c>
      <c r="D2699" s="33" t="s">
        <v>4</v>
      </c>
      <c r="E2699" s="34">
        <v>4</v>
      </c>
      <c r="F2699" s="34"/>
      <c r="G2699" s="34" t="s">
        <v>1159</v>
      </c>
      <c r="H2699" t="s">
        <v>1164</v>
      </c>
      <c r="I2699" s="43" t="s">
        <v>60</v>
      </c>
      <c r="J2699" s="96">
        <v>156950103.65951478</v>
      </c>
      <c r="K2699" s="36">
        <v>14933759.320791358</v>
      </c>
      <c r="L2699" s="36">
        <v>359243248.90652198</v>
      </c>
      <c r="M2699" s="36">
        <v>0</v>
      </c>
      <c r="N2699" s="36">
        <v>93383086.518812984</v>
      </c>
      <c r="O2699" s="36">
        <v>305618589.14479148</v>
      </c>
      <c r="P2699" s="110">
        <v>60429958.649128757</v>
      </c>
    </row>
    <row r="2700" spans="1:16" hidden="1" x14ac:dyDescent="0.35">
      <c r="A2700" s="3">
        <f xml:space="preserve"> ROW( data_scaledImpacts[[#This Row],[row_id]] ) - ROW( data_scaledImpacts[[#Headers],[row_id]] )</f>
        <v>2699</v>
      </c>
      <c r="B2700" s="41" t="str">
        <f xml:space="preserve"> _xlfn.TEXTJOIN( "", , data_scaledImpacts[[#This Row],[sector]:[impactType]] )</f>
        <v>CILAgricultureMIROC55Without CO2 FertilizationWheat</v>
      </c>
      <c r="C2700" s="33" t="s">
        <v>1224</v>
      </c>
      <c r="D2700" s="33" t="s">
        <v>4</v>
      </c>
      <c r="E2700" s="34">
        <v>5</v>
      </c>
      <c r="F2700" s="34"/>
      <c r="G2700" s="34" t="s">
        <v>1159</v>
      </c>
      <c r="H2700" t="s">
        <v>1164</v>
      </c>
      <c r="I2700" s="43" t="s">
        <v>67</v>
      </c>
      <c r="J2700" s="111">
        <v>211844940.01043928</v>
      </c>
      <c r="K2700" s="38">
        <v>19580744.797902014</v>
      </c>
      <c r="L2700" s="38">
        <v>461325663.98781735</v>
      </c>
      <c r="M2700" s="38">
        <v>0</v>
      </c>
      <c r="N2700" s="38">
        <v>125956620.90413472</v>
      </c>
      <c r="O2700" s="38">
        <v>499891713.67861933</v>
      </c>
      <c r="P2700" s="110">
        <v>83054330.144895867</v>
      </c>
    </row>
    <row r="2701" spans="1:16" hidden="1" x14ac:dyDescent="0.35">
      <c r="A2701" s="3">
        <f xml:space="preserve"> ROW( data_scaledImpacts[[#This Row],[row_id]] ) - ROW( data_scaledImpacts[[#Headers],[row_id]] )</f>
        <v>2700</v>
      </c>
      <c r="B2701" s="41" t="str">
        <f xml:space="preserve"> _xlfn.TEXTJOIN( "", , data_scaledImpacts[[#This Row],[sector]:[impactType]] )</f>
        <v>CILCrimeCanESM21N/AProperty</v>
      </c>
      <c r="C2701" s="33" t="s">
        <v>1225</v>
      </c>
      <c r="D2701" s="33" t="s">
        <v>0</v>
      </c>
      <c r="E2701" s="34">
        <v>1</v>
      </c>
      <c r="F2701" s="34"/>
      <c r="G2701" s="34" t="s">
        <v>201</v>
      </c>
      <c r="H2701" t="s">
        <v>1218</v>
      </c>
      <c r="I2701" s="43" t="s">
        <v>35</v>
      </c>
      <c r="J2701" s="111">
        <v>-250.30349271235704</v>
      </c>
      <c r="K2701" s="38">
        <v>-58.144322188353605</v>
      </c>
      <c r="L2701" s="38">
        <v>-53.58961191788616</v>
      </c>
      <c r="M2701" s="38">
        <v>-1.8296697089590885</v>
      </c>
      <c r="N2701" s="38">
        <v>-43.534095654535534</v>
      </c>
      <c r="O2701" s="38">
        <v>-78.469579528826742</v>
      </c>
      <c r="P2701" s="110">
        <v>-140.78878876260387</v>
      </c>
    </row>
    <row r="2702" spans="1:16" hidden="1" x14ac:dyDescent="0.35">
      <c r="A2702" s="3">
        <f xml:space="preserve"> ROW( data_scaledImpacts[[#This Row],[row_id]] ) - ROW( data_scaledImpacts[[#Headers],[row_id]] )</f>
        <v>2701</v>
      </c>
      <c r="B2702" s="41" t="str">
        <f xml:space="preserve"> _xlfn.TEXTJOIN( "", , data_scaledImpacts[[#This Row],[sector]:[impactType]] )</f>
        <v>CILCrimeCanESM22N/AProperty</v>
      </c>
      <c r="C2702" s="33" t="s">
        <v>1225</v>
      </c>
      <c r="D2702" s="33" t="s">
        <v>0</v>
      </c>
      <c r="E2702" s="34">
        <v>2</v>
      </c>
      <c r="F2702" s="34"/>
      <c r="G2702" s="34" t="s">
        <v>201</v>
      </c>
      <c r="H2702" t="s">
        <v>1218</v>
      </c>
      <c r="I2702" s="43" t="s">
        <v>42</v>
      </c>
      <c r="J2702" s="111">
        <v>225.74407252972003</v>
      </c>
      <c r="K2702" s="38">
        <v>212.84201995286912</v>
      </c>
      <c r="L2702" s="38">
        <v>1.8253530907782752E-2</v>
      </c>
      <c r="M2702" s="38">
        <v>135.22401283892518</v>
      </c>
      <c r="N2702" s="38">
        <v>5.5675761283102014</v>
      </c>
      <c r="O2702" s="38">
        <v>-34.033203648963571</v>
      </c>
      <c r="P2702" s="110">
        <v>96.833489618823762</v>
      </c>
    </row>
    <row r="2703" spans="1:16" hidden="1" x14ac:dyDescent="0.35">
      <c r="A2703" s="3">
        <f xml:space="preserve"> ROW( data_scaledImpacts[[#This Row],[row_id]] ) - ROW( data_scaledImpacts[[#Headers],[row_id]] )</f>
        <v>2702</v>
      </c>
      <c r="B2703" s="41" t="str">
        <f xml:space="preserve"> _xlfn.TEXTJOIN( "", , data_scaledImpacts[[#This Row],[sector]:[impactType]] )</f>
        <v>CILCrimeCanESM23N/AProperty</v>
      </c>
      <c r="C2703" s="33" t="s">
        <v>1225</v>
      </c>
      <c r="D2703" s="33" t="s">
        <v>0</v>
      </c>
      <c r="E2703" s="34">
        <v>3</v>
      </c>
      <c r="F2703" s="34"/>
      <c r="G2703" s="34" t="s">
        <v>201</v>
      </c>
      <c r="H2703" t="s">
        <v>1218</v>
      </c>
      <c r="I2703" s="43" t="s">
        <v>49</v>
      </c>
      <c r="J2703" s="111">
        <v>801.26418512585906</v>
      </c>
      <c r="K2703" s="38">
        <v>695.99790130973031</v>
      </c>
      <c r="L2703" s="38">
        <v>47.726174644838437</v>
      </c>
      <c r="M2703" s="38">
        <v>224.86659508217147</v>
      </c>
      <c r="N2703" s="38">
        <v>330.95882138451759</v>
      </c>
      <c r="O2703" s="38">
        <v>28.743718792467853</v>
      </c>
      <c r="P2703" s="110">
        <v>231.75048378499099</v>
      </c>
    </row>
    <row r="2704" spans="1:16" hidden="1" x14ac:dyDescent="0.35">
      <c r="A2704" s="3">
        <f xml:space="preserve"> ROW( data_scaledImpacts[[#This Row],[row_id]] ) - ROW( data_scaledImpacts[[#Headers],[row_id]] )</f>
        <v>2703</v>
      </c>
      <c r="B2704" s="41" t="str">
        <f xml:space="preserve"> _xlfn.TEXTJOIN( "", , data_scaledImpacts[[#This Row],[sector]:[impactType]] )</f>
        <v>CILCrimeCanESM24N/AProperty</v>
      </c>
      <c r="C2704" s="33" t="s">
        <v>1225</v>
      </c>
      <c r="D2704" s="33" t="s">
        <v>0</v>
      </c>
      <c r="E2704" s="34">
        <v>4</v>
      </c>
      <c r="F2704" s="34"/>
      <c r="G2704" s="34" t="s">
        <v>201</v>
      </c>
      <c r="H2704" t="s">
        <v>1218</v>
      </c>
      <c r="I2704" s="43" t="s">
        <v>56</v>
      </c>
      <c r="J2704" s="111">
        <v>941.70054345256415</v>
      </c>
      <c r="K2704" s="38">
        <v>833.04584187163698</v>
      </c>
      <c r="L2704" s="38">
        <v>65.492369872839049</v>
      </c>
      <c r="M2704" s="38">
        <v>303.83074400511788</v>
      </c>
      <c r="N2704" s="38">
        <v>327.69517785280379</v>
      </c>
      <c r="O2704" s="38">
        <v>36.044865338619147</v>
      </c>
      <c r="P2704" s="110">
        <v>404.3226950225212</v>
      </c>
    </row>
    <row r="2705" spans="1:16" hidden="1" x14ac:dyDescent="0.35">
      <c r="A2705" s="3">
        <f xml:space="preserve"> ROW( data_scaledImpacts[[#This Row],[row_id]] ) - ROW( data_scaledImpacts[[#Headers],[row_id]] )</f>
        <v>2704</v>
      </c>
      <c r="B2705" s="41" t="str">
        <f xml:space="preserve"> _xlfn.TEXTJOIN( "", , data_scaledImpacts[[#This Row],[sector]:[impactType]] )</f>
        <v>CILCrimeCanESM25N/AProperty</v>
      </c>
      <c r="C2705" s="33" t="s">
        <v>1225</v>
      </c>
      <c r="D2705" s="33" t="s">
        <v>0</v>
      </c>
      <c r="E2705" s="34">
        <v>5</v>
      </c>
      <c r="F2705" s="34"/>
      <c r="G2705" s="34" t="s">
        <v>201</v>
      </c>
      <c r="H2705" t="s">
        <v>1218</v>
      </c>
      <c r="I2705" s="43" t="s">
        <v>63</v>
      </c>
      <c r="J2705" s="111">
        <v>1834.0817220736283</v>
      </c>
      <c r="K2705" s="38">
        <v>1366.9162781303314</v>
      </c>
      <c r="L2705" s="38">
        <v>134.12911761652023</v>
      </c>
      <c r="M2705" s="38">
        <v>366.03534381531836</v>
      </c>
      <c r="N2705" s="38">
        <v>411.75879190688141</v>
      </c>
      <c r="O2705" s="38">
        <v>106.17005259713548</v>
      </c>
      <c r="P2705" s="110">
        <v>464.76808284545342</v>
      </c>
    </row>
    <row r="2706" spans="1:16" hidden="1" x14ac:dyDescent="0.35">
      <c r="A2706" s="3">
        <f xml:space="preserve"> ROW( data_scaledImpacts[[#This Row],[row_id]] ) - ROW( data_scaledImpacts[[#Headers],[row_id]] )</f>
        <v>2705</v>
      </c>
      <c r="B2706" s="41" t="str">
        <f xml:space="preserve"> _xlfn.TEXTJOIN( "", , data_scaledImpacts[[#This Row],[sector]:[impactType]] )</f>
        <v>CILCrimeCanESM26N/AProperty</v>
      </c>
      <c r="C2706" s="33" t="s">
        <v>1225</v>
      </c>
      <c r="D2706" s="33" t="s">
        <v>0</v>
      </c>
      <c r="E2706" s="34">
        <v>6</v>
      </c>
      <c r="F2706" s="34"/>
      <c r="G2706" s="34" t="s">
        <v>201</v>
      </c>
      <c r="H2706" t="s">
        <v>1218</v>
      </c>
      <c r="I2706" s="43" t="s">
        <v>70</v>
      </c>
      <c r="J2706" s="111">
        <v>1963.1899650937194</v>
      </c>
      <c r="K2706" s="38">
        <v>1542.9806700220197</v>
      </c>
      <c r="L2706" s="38">
        <v>132.78411235074714</v>
      </c>
      <c r="M2706" s="38">
        <v>415.90703053163719</v>
      </c>
      <c r="N2706" s="38">
        <v>341.98766773443811</v>
      </c>
      <c r="O2706" s="38">
        <v>-7.6927789279371881</v>
      </c>
      <c r="P2706" s="110">
        <v>480.96557909051984</v>
      </c>
    </row>
    <row r="2707" spans="1:16" hidden="1" x14ac:dyDescent="0.35">
      <c r="A2707" s="3">
        <f xml:space="preserve"> ROW( data_scaledImpacts[[#This Row],[row_id]] ) - ROW( data_scaledImpacts[[#Headers],[row_id]] )</f>
        <v>2706</v>
      </c>
      <c r="B2707" s="41" t="str">
        <f xml:space="preserve"> _xlfn.TEXTJOIN( "", , data_scaledImpacts[[#This Row],[sector]:[impactType]] )</f>
        <v>CILCrimeCCSM41N/AProperty</v>
      </c>
      <c r="C2707" s="33" t="s">
        <v>1225</v>
      </c>
      <c r="D2707" s="33" t="s">
        <v>1</v>
      </c>
      <c r="E2707" s="34">
        <v>1</v>
      </c>
      <c r="F2707" s="34"/>
      <c r="G2707" s="34" t="s">
        <v>201</v>
      </c>
      <c r="H2707" t="s">
        <v>1218</v>
      </c>
      <c r="I2707" s="43" t="s">
        <v>36</v>
      </c>
      <c r="J2707" s="111">
        <v>-1049.2806783723092</v>
      </c>
      <c r="K2707" s="38">
        <v>-621.81570996268874</v>
      </c>
      <c r="L2707" s="38">
        <v>-95.904152175857547</v>
      </c>
      <c r="M2707" s="38">
        <v>-106.77783355495707</v>
      </c>
      <c r="N2707" s="38">
        <v>-366.82497281633795</v>
      </c>
      <c r="O2707" s="38">
        <v>-55.962868670126333</v>
      </c>
      <c r="P2707" s="110">
        <v>-164.6923184863864</v>
      </c>
    </row>
    <row r="2708" spans="1:16" hidden="1" x14ac:dyDescent="0.35">
      <c r="A2708" s="3">
        <f xml:space="preserve"> ROW( data_scaledImpacts[[#This Row],[row_id]] ) - ROW( data_scaledImpacts[[#Headers],[row_id]] )</f>
        <v>2707</v>
      </c>
      <c r="B2708" s="41" t="str">
        <f xml:space="preserve"> _xlfn.TEXTJOIN( "", , data_scaledImpacts[[#This Row],[sector]:[impactType]] )</f>
        <v>CILCrimeCCSM42N/AProperty</v>
      </c>
      <c r="C2708" s="33" t="s">
        <v>1225</v>
      </c>
      <c r="D2708" s="33" t="s">
        <v>1</v>
      </c>
      <c r="E2708" s="34">
        <v>2</v>
      </c>
      <c r="F2708" s="34"/>
      <c r="G2708" s="34" t="s">
        <v>201</v>
      </c>
      <c r="H2708" t="s">
        <v>1218</v>
      </c>
      <c r="I2708" s="43" t="s">
        <v>43</v>
      </c>
      <c r="J2708" s="111">
        <v>-661.02242103701144</v>
      </c>
      <c r="K2708" s="38">
        <v>-208.29107749519662</v>
      </c>
      <c r="L2708" s="38">
        <v>-80.141791496063576</v>
      </c>
      <c r="M2708" s="38">
        <v>-11.894919470328384</v>
      </c>
      <c r="N2708" s="38">
        <v>-161.76174872595669</v>
      </c>
      <c r="O2708" s="38">
        <v>-43.479324246873894</v>
      </c>
      <c r="P2708" s="110">
        <v>-27.455158980043205</v>
      </c>
    </row>
    <row r="2709" spans="1:16" hidden="1" x14ac:dyDescent="0.35">
      <c r="A2709" s="3">
        <f xml:space="preserve"> ROW( data_scaledImpacts[[#This Row],[row_id]] ) - ROW( data_scaledImpacts[[#Headers],[row_id]] )</f>
        <v>2708</v>
      </c>
      <c r="B2709" s="41" t="str">
        <f xml:space="preserve"> _xlfn.TEXTJOIN( "", , data_scaledImpacts[[#This Row],[sector]:[impactType]] )</f>
        <v>CILCrimeCCSM43N/AProperty</v>
      </c>
      <c r="C2709" s="33" t="s">
        <v>1225</v>
      </c>
      <c r="D2709" s="33" t="s">
        <v>1</v>
      </c>
      <c r="E2709" s="34">
        <v>3</v>
      </c>
      <c r="F2709" s="34"/>
      <c r="G2709" s="34" t="s">
        <v>201</v>
      </c>
      <c r="H2709" t="s">
        <v>1218</v>
      </c>
      <c r="I2709" s="43" t="s">
        <v>50</v>
      </c>
      <c r="J2709" s="111">
        <v>-180.02752830048399</v>
      </c>
      <c r="K2709" s="38">
        <v>282.59808345723491</v>
      </c>
      <c r="L2709" s="38">
        <v>-73.187476182328837</v>
      </c>
      <c r="M2709" s="38">
        <v>-45.128709445926177</v>
      </c>
      <c r="N2709" s="38">
        <v>145.08111665878531</v>
      </c>
      <c r="O2709" s="38">
        <v>39.019260827517584</v>
      </c>
      <c r="P2709" s="110">
        <v>-31.302835868215585</v>
      </c>
    </row>
    <row r="2710" spans="1:16" hidden="1" x14ac:dyDescent="0.35">
      <c r="A2710" s="3">
        <f xml:space="preserve"> ROW( data_scaledImpacts[[#This Row],[row_id]] ) - ROW( data_scaledImpacts[[#Headers],[row_id]] )</f>
        <v>2709</v>
      </c>
      <c r="B2710" s="41" t="str">
        <f xml:space="preserve"> _xlfn.TEXTJOIN( "", , data_scaledImpacts[[#This Row],[sector]:[impactType]] )</f>
        <v>CILCrimeCCSM44N/AProperty</v>
      </c>
      <c r="C2710" s="33" t="s">
        <v>1225</v>
      </c>
      <c r="D2710" s="33" t="s">
        <v>1</v>
      </c>
      <c r="E2710" s="34">
        <v>4</v>
      </c>
      <c r="F2710" s="34"/>
      <c r="G2710" s="34" t="s">
        <v>201</v>
      </c>
      <c r="H2710" t="s">
        <v>1218</v>
      </c>
      <c r="I2710" s="43" t="s">
        <v>57</v>
      </c>
      <c r="J2710" s="111">
        <v>472.40502590097304</v>
      </c>
      <c r="K2710" s="38">
        <v>610.07168755421253</v>
      </c>
      <c r="L2710" s="38">
        <v>14.101938879328467</v>
      </c>
      <c r="M2710" s="38">
        <v>193.87909098396494</v>
      </c>
      <c r="N2710" s="38">
        <v>198.70470417834298</v>
      </c>
      <c r="O2710" s="38">
        <v>59.752086799789573</v>
      </c>
      <c r="P2710" s="110">
        <v>297.0358184899514</v>
      </c>
    </row>
    <row r="2711" spans="1:16" hidden="1" x14ac:dyDescent="0.35">
      <c r="A2711" s="3">
        <f xml:space="preserve"> ROW( data_scaledImpacts[[#This Row],[row_id]] ) - ROW( data_scaledImpacts[[#Headers],[row_id]] )</f>
        <v>2710</v>
      </c>
      <c r="B2711" s="41" t="str">
        <f xml:space="preserve"> _xlfn.TEXTJOIN( "", , data_scaledImpacts[[#This Row],[sector]:[impactType]] )</f>
        <v>CILCrimeCCSM45N/AProperty</v>
      </c>
      <c r="C2711" s="33" t="s">
        <v>1225</v>
      </c>
      <c r="D2711" s="33" t="s">
        <v>1</v>
      </c>
      <c r="E2711" s="34">
        <v>5</v>
      </c>
      <c r="F2711" s="34"/>
      <c r="G2711" s="34" t="s">
        <v>201</v>
      </c>
      <c r="H2711" t="s">
        <v>1218</v>
      </c>
      <c r="I2711" s="43" t="s">
        <v>64</v>
      </c>
      <c r="J2711" s="111">
        <v>444.68410443651447</v>
      </c>
      <c r="K2711" s="38">
        <v>694.80911365562883</v>
      </c>
      <c r="L2711" s="38">
        <v>2.7012538107065791</v>
      </c>
      <c r="M2711" s="38">
        <v>203.06095216490806</v>
      </c>
      <c r="N2711" s="38">
        <v>156.90612639505414</v>
      </c>
      <c r="O2711" s="38">
        <v>-1.7745842299673285</v>
      </c>
      <c r="P2711" s="110">
        <v>316.70877258465924</v>
      </c>
    </row>
    <row r="2712" spans="1:16" hidden="1" x14ac:dyDescent="0.35">
      <c r="A2712" s="3">
        <f xml:space="preserve"> ROW( data_scaledImpacts[[#This Row],[row_id]] ) - ROW( data_scaledImpacts[[#Headers],[row_id]] )</f>
        <v>2711</v>
      </c>
      <c r="B2712" s="41" t="str">
        <f xml:space="preserve"> _xlfn.TEXTJOIN( "", , data_scaledImpacts[[#This Row],[sector]:[impactType]] )</f>
        <v>CILCrimeGFDL-CM31N/AProperty</v>
      </c>
      <c r="C2712" s="33" t="s">
        <v>1225</v>
      </c>
      <c r="D2712" s="33" t="s">
        <v>5</v>
      </c>
      <c r="E2712" s="34">
        <v>1</v>
      </c>
      <c r="F2712" s="34"/>
      <c r="G2712" s="34" t="s">
        <v>201</v>
      </c>
      <c r="H2712" t="s">
        <v>1218</v>
      </c>
      <c r="I2712" s="43" t="s">
        <v>40</v>
      </c>
      <c r="J2712" s="111">
        <v>-595.18323283075176</v>
      </c>
      <c r="K2712" s="38">
        <v>-424.05497896364233</v>
      </c>
      <c r="L2712" s="38">
        <v>12.883297320772186</v>
      </c>
      <c r="M2712" s="38">
        <v>71.896138594259412</v>
      </c>
      <c r="N2712" s="38">
        <v>-379.51591462731301</v>
      </c>
      <c r="O2712" s="38">
        <v>-155.0900073228506</v>
      </c>
      <c r="P2712" s="110">
        <v>-51.250792298985758</v>
      </c>
    </row>
    <row r="2713" spans="1:16" hidden="1" x14ac:dyDescent="0.35">
      <c r="A2713" s="3">
        <f xml:space="preserve"> ROW( data_scaledImpacts[[#This Row],[row_id]] ) - ROW( data_scaledImpacts[[#Headers],[row_id]] )</f>
        <v>2712</v>
      </c>
      <c r="B2713" s="41" t="str">
        <f xml:space="preserve"> _xlfn.TEXTJOIN( "", , data_scaledImpacts[[#This Row],[sector]:[impactType]] )</f>
        <v>CILCrimeGFDL-CM32N/AProperty</v>
      </c>
      <c r="C2713" s="33" t="s">
        <v>1225</v>
      </c>
      <c r="D2713" s="33" t="s">
        <v>5</v>
      </c>
      <c r="E2713" s="34">
        <v>2</v>
      </c>
      <c r="F2713" s="34"/>
      <c r="G2713" s="34" t="s">
        <v>201</v>
      </c>
      <c r="H2713" t="s">
        <v>1218</v>
      </c>
      <c r="I2713" s="43" t="s">
        <v>47</v>
      </c>
      <c r="J2713" s="111">
        <v>66.29553996605506</v>
      </c>
      <c r="K2713" s="38">
        <v>115.71646332012199</v>
      </c>
      <c r="L2713" s="38">
        <v>46.886277054890826</v>
      </c>
      <c r="M2713" s="38">
        <v>129.82058867297212</v>
      </c>
      <c r="N2713" s="38">
        <v>-91.160533750133084</v>
      </c>
      <c r="O2713" s="38">
        <v>-23.957061940443662</v>
      </c>
      <c r="P2713" s="110">
        <v>168.89635191397929</v>
      </c>
    </row>
    <row r="2714" spans="1:16" hidden="1" x14ac:dyDescent="0.35">
      <c r="A2714" s="3">
        <f xml:space="preserve"> ROW( data_scaledImpacts[[#This Row],[row_id]] ) - ROW( data_scaledImpacts[[#Headers],[row_id]] )</f>
        <v>2713</v>
      </c>
      <c r="B2714" s="41" t="str">
        <f xml:space="preserve"> _xlfn.TEXTJOIN( "", , data_scaledImpacts[[#This Row],[sector]:[impactType]] )</f>
        <v>CILCrimeGFDL-CM33N/AProperty</v>
      </c>
      <c r="C2714" s="33" t="s">
        <v>1225</v>
      </c>
      <c r="D2714" s="33" t="s">
        <v>5</v>
      </c>
      <c r="E2714" s="34">
        <v>3</v>
      </c>
      <c r="F2714" s="34"/>
      <c r="G2714" s="34" t="s">
        <v>201</v>
      </c>
      <c r="H2714" t="s">
        <v>1218</v>
      </c>
      <c r="I2714" s="43" t="s">
        <v>54</v>
      </c>
      <c r="J2714" s="111">
        <v>332.72249613849908</v>
      </c>
      <c r="K2714" s="38">
        <v>371.60135701836009</v>
      </c>
      <c r="L2714" s="38">
        <v>102.48479643478805</v>
      </c>
      <c r="M2714" s="38">
        <v>314.50117486857982</v>
      </c>
      <c r="N2714" s="38">
        <v>-12.300863508485351</v>
      </c>
      <c r="O2714" s="38">
        <v>1.9843872916383427</v>
      </c>
      <c r="P2714" s="110">
        <v>339.22975201469177</v>
      </c>
    </row>
    <row r="2715" spans="1:16" hidden="1" x14ac:dyDescent="0.35">
      <c r="A2715" s="3">
        <f xml:space="preserve"> ROW( data_scaledImpacts[[#This Row],[row_id]] ) - ROW( data_scaledImpacts[[#Headers],[row_id]] )</f>
        <v>2714</v>
      </c>
      <c r="B2715" s="41" t="str">
        <f xml:space="preserve"> _xlfn.TEXTJOIN( "", , data_scaledImpacts[[#This Row],[sector]:[impactType]] )</f>
        <v>CILCrimeGFDL-CM34N/AProperty</v>
      </c>
      <c r="C2715" s="33" t="s">
        <v>1225</v>
      </c>
      <c r="D2715" s="33" t="s">
        <v>5</v>
      </c>
      <c r="E2715" s="34">
        <v>4</v>
      </c>
      <c r="F2715" s="34"/>
      <c r="G2715" s="34" t="s">
        <v>201</v>
      </c>
      <c r="H2715" t="s">
        <v>1218</v>
      </c>
      <c r="I2715" s="43" t="s">
        <v>61</v>
      </c>
      <c r="J2715" s="111">
        <v>847.82130474825078</v>
      </c>
      <c r="K2715" s="38">
        <v>803.10924934867171</v>
      </c>
      <c r="L2715" s="38">
        <v>126.44442589828458</v>
      </c>
      <c r="M2715" s="38">
        <v>340.03859258772184</v>
      </c>
      <c r="N2715" s="38">
        <v>87.682886510987316</v>
      </c>
      <c r="O2715" s="38">
        <v>-38.707441027109049</v>
      </c>
      <c r="P2715" s="110">
        <v>423.38015274085672</v>
      </c>
    </row>
    <row r="2716" spans="1:16" hidden="1" x14ac:dyDescent="0.35">
      <c r="A2716" s="3">
        <f xml:space="preserve"> ROW( data_scaledImpacts[[#This Row],[row_id]] ) - ROW( data_scaledImpacts[[#Headers],[row_id]] )</f>
        <v>2715</v>
      </c>
      <c r="B2716" s="41" t="str">
        <f xml:space="preserve"> _xlfn.TEXTJOIN( "", , data_scaledImpacts[[#This Row],[sector]:[impactType]] )</f>
        <v>CILCrimeGFDL-CM35N/AProperty</v>
      </c>
      <c r="C2716" s="33" t="s">
        <v>1225</v>
      </c>
      <c r="D2716" s="33" t="s">
        <v>5</v>
      </c>
      <c r="E2716" s="34">
        <v>5</v>
      </c>
      <c r="F2716" s="34"/>
      <c r="G2716" s="34" t="s">
        <v>201</v>
      </c>
      <c r="H2716" t="s">
        <v>1218</v>
      </c>
      <c r="I2716" s="43" t="s">
        <v>68</v>
      </c>
      <c r="J2716" s="111">
        <v>1366.7366980061063</v>
      </c>
      <c r="K2716" s="38">
        <v>1183.6921565538605</v>
      </c>
      <c r="L2716" s="38">
        <v>159.37575539083807</v>
      </c>
      <c r="M2716" s="38">
        <v>400.06686226997834</v>
      </c>
      <c r="N2716" s="38">
        <v>176.75244745143192</v>
      </c>
      <c r="O2716" s="38">
        <v>-111.23863231328011</v>
      </c>
      <c r="P2716" s="110">
        <v>464.78582999792343</v>
      </c>
    </row>
    <row r="2717" spans="1:16" hidden="1" x14ac:dyDescent="0.35">
      <c r="A2717" s="3">
        <f xml:space="preserve"> ROW( data_scaledImpacts[[#This Row],[row_id]] ) - ROW( data_scaledImpacts[[#Headers],[row_id]] )</f>
        <v>2716</v>
      </c>
      <c r="B2717" s="41" t="str">
        <f xml:space="preserve"> _xlfn.TEXTJOIN( "", , data_scaledImpacts[[#This Row],[sector]:[impactType]] )</f>
        <v>CILCrimeGFDL-CM36N/AProperty</v>
      </c>
      <c r="C2717" s="33" t="s">
        <v>1225</v>
      </c>
      <c r="D2717" s="33" t="s">
        <v>5</v>
      </c>
      <c r="E2717" s="34">
        <v>6</v>
      </c>
      <c r="F2717" s="34"/>
      <c r="G2717" s="34" t="s">
        <v>201</v>
      </c>
      <c r="H2717" t="s">
        <v>1218</v>
      </c>
      <c r="I2717" s="43" t="s">
        <v>75</v>
      </c>
      <c r="J2717" s="111">
        <v>1602.5984296938384</v>
      </c>
      <c r="K2717" s="38">
        <v>1369.7527929201972</v>
      </c>
      <c r="L2717" s="38">
        <v>187.52703386441902</v>
      </c>
      <c r="M2717" s="38">
        <v>399.50488692076658</v>
      </c>
      <c r="N2717" s="38">
        <v>101.68812426175162</v>
      </c>
      <c r="O2717" s="38">
        <v>-68.535666812531318</v>
      </c>
      <c r="P2717" s="110">
        <v>438.01778422191938</v>
      </c>
    </row>
    <row r="2718" spans="1:16" hidden="1" x14ac:dyDescent="0.35">
      <c r="A2718" s="3">
        <f xml:space="preserve"> ROW( data_scaledImpacts[[#This Row],[row_id]] ) - ROW( data_scaledImpacts[[#Headers],[row_id]] )</f>
        <v>2717</v>
      </c>
      <c r="B2718" s="41" t="str">
        <f xml:space="preserve"> _xlfn.TEXTJOIN( "", , data_scaledImpacts[[#This Row],[sector]:[impactType]] )</f>
        <v>CILCrimeGISS-E2-R1N/AProperty</v>
      </c>
      <c r="C2718" s="33" t="s">
        <v>1225</v>
      </c>
      <c r="D2718" s="33" t="s">
        <v>2</v>
      </c>
      <c r="E2718" s="34">
        <v>1</v>
      </c>
      <c r="F2718" s="34"/>
      <c r="G2718" s="34" t="s">
        <v>201</v>
      </c>
      <c r="H2718" t="s">
        <v>1218</v>
      </c>
      <c r="I2718" s="43" t="s">
        <v>37</v>
      </c>
      <c r="J2718" s="111">
        <v>-26.524946106058778</v>
      </c>
      <c r="K2718" s="38">
        <v>444.16070948786188</v>
      </c>
      <c r="L2718" s="38">
        <v>37.653965877805668</v>
      </c>
      <c r="M2718" s="38">
        <v>-237.48117211461715</v>
      </c>
      <c r="N2718" s="38">
        <v>131.86995445332124</v>
      </c>
      <c r="O2718" s="38">
        <v>123.07283626066074</v>
      </c>
      <c r="P2718" s="110">
        <v>-183.08669233101833</v>
      </c>
    </row>
    <row r="2719" spans="1:16" hidden="1" x14ac:dyDescent="0.35">
      <c r="A2719" s="3">
        <f xml:space="preserve"> ROW( data_scaledImpacts[[#This Row],[row_id]] ) - ROW( data_scaledImpacts[[#Headers],[row_id]] )</f>
        <v>2718</v>
      </c>
      <c r="B2719" s="41" t="str">
        <f xml:space="preserve"> _xlfn.TEXTJOIN( "", , data_scaledImpacts[[#This Row],[sector]:[impactType]] )</f>
        <v>CILCrimeGISS-E2-R2N/AProperty</v>
      </c>
      <c r="C2719" s="33" t="s">
        <v>1225</v>
      </c>
      <c r="D2719" s="33" t="s">
        <v>2</v>
      </c>
      <c r="E2719" s="34">
        <v>2</v>
      </c>
      <c r="F2719" s="34"/>
      <c r="G2719" s="34" t="s">
        <v>201</v>
      </c>
      <c r="H2719" t="s">
        <v>1218</v>
      </c>
      <c r="I2719" s="43" t="s">
        <v>44</v>
      </c>
      <c r="J2719" s="111">
        <v>293.82295628722653</v>
      </c>
      <c r="K2719" s="38">
        <v>552.01136323736716</v>
      </c>
      <c r="L2719" s="38">
        <v>95.473245663096449</v>
      </c>
      <c r="M2719" s="38">
        <v>6.00988265552221</v>
      </c>
      <c r="N2719" s="38">
        <v>197.93376887132601</v>
      </c>
      <c r="O2719" s="38">
        <v>201.76113548127952</v>
      </c>
      <c r="P2719" s="110">
        <v>64.685072609911813</v>
      </c>
    </row>
    <row r="2720" spans="1:16" hidden="1" x14ac:dyDescent="0.35">
      <c r="A2720" s="3">
        <f xml:space="preserve"> ROW( data_scaledImpacts[[#This Row],[row_id]] ) - ROW( data_scaledImpacts[[#Headers],[row_id]] )</f>
        <v>2719</v>
      </c>
      <c r="B2720" s="41" t="str">
        <f xml:space="preserve"> _xlfn.TEXTJOIN( "", , data_scaledImpacts[[#This Row],[sector]:[impactType]] )</f>
        <v>CILCrimeGISS-E2-R3N/AProperty</v>
      </c>
      <c r="C2720" s="33" t="s">
        <v>1225</v>
      </c>
      <c r="D2720" s="33" t="s">
        <v>2</v>
      </c>
      <c r="E2720" s="34">
        <v>3</v>
      </c>
      <c r="F2720" s="34"/>
      <c r="G2720" s="34" t="s">
        <v>201</v>
      </c>
      <c r="H2720" t="s">
        <v>1218</v>
      </c>
      <c r="I2720" s="43" t="s">
        <v>51</v>
      </c>
      <c r="J2720" s="111">
        <v>623.59509485627837</v>
      </c>
      <c r="K2720" s="38">
        <v>972.24786118288921</v>
      </c>
      <c r="L2720" s="38">
        <v>107.84444745326618</v>
      </c>
      <c r="M2720" s="38">
        <v>30.962444761535568</v>
      </c>
      <c r="N2720" s="38">
        <v>393.02250634108555</v>
      </c>
      <c r="O2720" s="38">
        <v>132.82964022572889</v>
      </c>
      <c r="P2720" s="110">
        <v>138.49610795058948</v>
      </c>
    </row>
    <row r="2721" spans="1:16" hidden="1" x14ac:dyDescent="0.35">
      <c r="A2721" s="3">
        <f xml:space="preserve"> ROW( data_scaledImpacts[[#This Row],[row_id]] ) - ROW( data_scaledImpacts[[#Headers],[row_id]] )</f>
        <v>2720</v>
      </c>
      <c r="B2721" s="41" t="str">
        <f xml:space="preserve"> _xlfn.TEXTJOIN( "", , data_scaledImpacts[[#This Row],[sector]:[impactType]] )</f>
        <v>CILCrimeHadGEM2-ES1N/AProperty</v>
      </c>
      <c r="C2721" s="33" t="s">
        <v>1225</v>
      </c>
      <c r="D2721" s="33" t="s">
        <v>3</v>
      </c>
      <c r="E2721" s="34">
        <v>1</v>
      </c>
      <c r="F2721" s="34"/>
      <c r="G2721" s="34" t="s">
        <v>201</v>
      </c>
      <c r="H2721" t="s">
        <v>1218</v>
      </c>
      <c r="I2721" s="43" t="s">
        <v>38</v>
      </c>
      <c r="J2721" s="111">
        <v>446.28898972776193</v>
      </c>
      <c r="K2721" s="38">
        <v>159.68493138886657</v>
      </c>
      <c r="L2721" s="38">
        <v>11.793617518003654</v>
      </c>
      <c r="M2721" s="38">
        <v>43.597347282945229</v>
      </c>
      <c r="N2721" s="38">
        <v>101.11744770859984</v>
      </c>
      <c r="O2721" s="38">
        <v>-41.313981814544306</v>
      </c>
      <c r="P2721" s="110">
        <v>-102.12104167376883</v>
      </c>
    </row>
    <row r="2722" spans="1:16" hidden="1" x14ac:dyDescent="0.35">
      <c r="A2722" s="3">
        <f xml:space="preserve"> ROW( data_scaledImpacts[[#This Row],[row_id]] ) - ROW( data_scaledImpacts[[#Headers],[row_id]] )</f>
        <v>2721</v>
      </c>
      <c r="B2722" s="41" t="str">
        <f xml:space="preserve"> _xlfn.TEXTJOIN( "", , data_scaledImpacts[[#This Row],[sector]:[impactType]] )</f>
        <v>CILCrimeHadGEM2-ES2N/AProperty</v>
      </c>
      <c r="C2722" s="33" t="s">
        <v>1225</v>
      </c>
      <c r="D2722" s="33" t="s">
        <v>3</v>
      </c>
      <c r="E2722" s="34">
        <v>2</v>
      </c>
      <c r="F2722" s="34"/>
      <c r="G2722" s="34" t="s">
        <v>201</v>
      </c>
      <c r="H2722" t="s">
        <v>1218</v>
      </c>
      <c r="I2722" s="43" t="s">
        <v>45</v>
      </c>
      <c r="J2722" s="111">
        <v>638.37501681019251</v>
      </c>
      <c r="K2722" s="38">
        <v>165.97854968743064</v>
      </c>
      <c r="L2722" s="38">
        <v>71.184067176560532</v>
      </c>
      <c r="M2722" s="38">
        <v>148.15857543422925</v>
      </c>
      <c r="N2722" s="38">
        <v>130.08467637042776</v>
      </c>
      <c r="O2722" s="38">
        <v>43.179742958396162</v>
      </c>
      <c r="P2722" s="110">
        <v>156.85592981696115</v>
      </c>
    </row>
    <row r="2723" spans="1:16" hidden="1" x14ac:dyDescent="0.35">
      <c r="A2723" s="3">
        <f xml:space="preserve"> ROW( data_scaledImpacts[[#This Row],[row_id]] ) - ROW( data_scaledImpacts[[#Headers],[row_id]] )</f>
        <v>2722</v>
      </c>
      <c r="B2723" s="41" t="str">
        <f xml:space="preserve"> _xlfn.TEXTJOIN( "", , data_scaledImpacts[[#This Row],[sector]:[impactType]] )</f>
        <v>CILCrimeHadGEM2-ES3N/AProperty</v>
      </c>
      <c r="C2723" s="33" t="s">
        <v>1225</v>
      </c>
      <c r="D2723" s="33" t="s">
        <v>3</v>
      </c>
      <c r="E2723" s="34">
        <v>3</v>
      </c>
      <c r="F2723" s="34"/>
      <c r="G2723" s="34" t="s">
        <v>201</v>
      </c>
      <c r="H2723" t="s">
        <v>1218</v>
      </c>
      <c r="I2723" s="43" t="s">
        <v>52</v>
      </c>
      <c r="J2723" s="111">
        <v>1498.4354854371961</v>
      </c>
      <c r="K2723" s="38">
        <v>804.69562692791249</v>
      </c>
      <c r="L2723" s="38">
        <v>115.25968122015028</v>
      </c>
      <c r="M2723" s="38">
        <v>202.64805544824563</v>
      </c>
      <c r="N2723" s="38">
        <v>199.1842116723937</v>
      </c>
      <c r="O2723" s="38">
        <v>31.876777846755001</v>
      </c>
      <c r="P2723" s="110">
        <v>228.96999186172053</v>
      </c>
    </row>
    <row r="2724" spans="1:16" hidden="1" x14ac:dyDescent="0.35">
      <c r="A2724" s="3">
        <f xml:space="preserve"> ROW( data_scaledImpacts[[#This Row],[row_id]] ) - ROW( data_scaledImpacts[[#Headers],[row_id]] )</f>
        <v>2723</v>
      </c>
      <c r="B2724" s="41" t="str">
        <f xml:space="preserve"> _xlfn.TEXTJOIN( "", , data_scaledImpacts[[#This Row],[sector]:[impactType]] )</f>
        <v>CILCrimeHadGEM2-ES4N/AProperty</v>
      </c>
      <c r="C2724" s="33" t="s">
        <v>1225</v>
      </c>
      <c r="D2724" s="33" t="s">
        <v>3</v>
      </c>
      <c r="E2724" s="34">
        <v>4</v>
      </c>
      <c r="F2724" s="34"/>
      <c r="G2724" s="34" t="s">
        <v>201</v>
      </c>
      <c r="H2724" t="s">
        <v>1218</v>
      </c>
      <c r="I2724" s="43" t="s">
        <v>59</v>
      </c>
      <c r="J2724" s="111">
        <v>1978.1556548990823</v>
      </c>
      <c r="K2724" s="38">
        <v>1208.5101054490488</v>
      </c>
      <c r="L2724" s="38">
        <v>156.25688766932595</v>
      </c>
      <c r="M2724" s="38">
        <v>305.28982106501797</v>
      </c>
      <c r="N2724" s="38">
        <v>237.21841204592883</v>
      </c>
      <c r="O2724" s="38">
        <v>16.650757735692956</v>
      </c>
      <c r="P2724" s="110">
        <v>399.04896375888023</v>
      </c>
    </row>
    <row r="2725" spans="1:16" hidden="1" x14ac:dyDescent="0.35">
      <c r="A2725" s="3">
        <f xml:space="preserve"> ROW( data_scaledImpacts[[#This Row],[row_id]] ) - ROW( data_scaledImpacts[[#Headers],[row_id]] )</f>
        <v>2724</v>
      </c>
      <c r="B2725" s="41" t="str">
        <f xml:space="preserve"> _xlfn.TEXTJOIN( "", , data_scaledImpacts[[#This Row],[sector]:[impactType]] )</f>
        <v>CILCrimeHadGEM2-ES5N/AProperty</v>
      </c>
      <c r="C2725" s="33" t="s">
        <v>1225</v>
      </c>
      <c r="D2725" s="33" t="s">
        <v>3</v>
      </c>
      <c r="E2725" s="34">
        <v>5</v>
      </c>
      <c r="F2725" s="34"/>
      <c r="G2725" s="34" t="s">
        <v>201</v>
      </c>
      <c r="H2725" t="s">
        <v>1218</v>
      </c>
      <c r="I2725" s="43" t="s">
        <v>66</v>
      </c>
      <c r="J2725" s="111">
        <v>2379.5142004371473</v>
      </c>
      <c r="K2725" s="38">
        <v>1474.1696136824446</v>
      </c>
      <c r="L2725" s="38">
        <v>208.76088483457823</v>
      </c>
      <c r="M2725" s="38">
        <v>419.94582917050991</v>
      </c>
      <c r="N2725" s="38">
        <v>307.33542188534341</v>
      </c>
      <c r="O2725" s="38">
        <v>111.05855135201247</v>
      </c>
      <c r="P2725" s="110">
        <v>538.36913639097668</v>
      </c>
    </row>
    <row r="2726" spans="1:16" hidden="1" x14ac:dyDescent="0.35">
      <c r="A2726" s="3">
        <f xml:space="preserve"> ROW( data_scaledImpacts[[#This Row],[row_id]] ) - ROW( data_scaledImpacts[[#Headers],[row_id]] )</f>
        <v>2725</v>
      </c>
      <c r="B2726" s="41" t="str">
        <f xml:space="preserve"> _xlfn.TEXTJOIN( "", , data_scaledImpacts[[#This Row],[sector]:[impactType]] )</f>
        <v>CILCrimeHadGEM2-ES6N/AProperty</v>
      </c>
      <c r="C2726" s="33" t="s">
        <v>1225</v>
      </c>
      <c r="D2726" s="33" t="s">
        <v>3</v>
      </c>
      <c r="E2726" s="34">
        <v>6</v>
      </c>
      <c r="F2726" s="34"/>
      <c r="G2726" s="34" t="s">
        <v>201</v>
      </c>
      <c r="H2726" t="s">
        <v>1218</v>
      </c>
      <c r="I2726" s="43" t="s">
        <v>73</v>
      </c>
      <c r="J2726" s="111">
        <v>2990.4871489919005</v>
      </c>
      <c r="K2726" s="38">
        <v>1897.2357821468206</v>
      </c>
      <c r="L2726" s="38">
        <v>220.39615577157818</v>
      </c>
      <c r="M2726" s="38">
        <v>417.01482603550511</v>
      </c>
      <c r="N2726" s="38">
        <v>533.74107912983175</v>
      </c>
      <c r="O2726" s="38">
        <v>115.19656707170378</v>
      </c>
      <c r="P2726" s="110">
        <v>534.00286572000732</v>
      </c>
    </row>
    <row r="2727" spans="1:16" hidden="1" x14ac:dyDescent="0.35">
      <c r="A2727" s="3">
        <f xml:space="preserve"> ROW( data_scaledImpacts[[#This Row],[row_id]] ) - ROW( data_scaledImpacts[[#Headers],[row_id]] )</f>
        <v>2726</v>
      </c>
      <c r="B2727" s="41" t="str">
        <f xml:space="preserve"> _xlfn.TEXTJOIN( "", , data_scaledImpacts[[#This Row],[sector]:[impactType]] )</f>
        <v>CILCrimeMIROC51N/AProperty</v>
      </c>
      <c r="C2727" s="33" t="s">
        <v>1225</v>
      </c>
      <c r="D2727" s="33" t="s">
        <v>4</v>
      </c>
      <c r="E2727" s="34">
        <v>1</v>
      </c>
      <c r="F2727" s="34"/>
      <c r="G2727" s="34" t="s">
        <v>201</v>
      </c>
      <c r="H2727" t="s">
        <v>1218</v>
      </c>
      <c r="I2727" s="43" t="s">
        <v>39</v>
      </c>
      <c r="J2727" s="111">
        <v>101.81802162992732</v>
      </c>
      <c r="K2727" s="38">
        <v>589.91593163096138</v>
      </c>
      <c r="L2727" s="38">
        <v>-65.261625084891278</v>
      </c>
      <c r="M2727" s="38">
        <v>-110.95203526633675</v>
      </c>
      <c r="N2727" s="38">
        <v>124.04820594006144</v>
      </c>
      <c r="O2727" s="38">
        <v>-138.89023875180797</v>
      </c>
      <c r="P2727" s="110">
        <v>-295.68138094214953</v>
      </c>
    </row>
    <row r="2728" spans="1:16" hidden="1" x14ac:dyDescent="0.35">
      <c r="A2728" s="3">
        <f xml:space="preserve"> ROW( data_scaledImpacts[[#This Row],[row_id]] ) - ROW( data_scaledImpacts[[#Headers],[row_id]] )</f>
        <v>2727</v>
      </c>
      <c r="B2728" s="41" t="str">
        <f xml:space="preserve"> _xlfn.TEXTJOIN( "", , data_scaledImpacts[[#This Row],[sector]:[impactType]] )</f>
        <v>CILCrimeMIROC52N/AProperty</v>
      </c>
      <c r="C2728" s="33" t="s">
        <v>1225</v>
      </c>
      <c r="D2728" s="33" t="s">
        <v>4</v>
      </c>
      <c r="E2728" s="34">
        <v>2</v>
      </c>
      <c r="F2728" s="34"/>
      <c r="G2728" s="34" t="s">
        <v>201</v>
      </c>
      <c r="H2728" t="s">
        <v>1218</v>
      </c>
      <c r="I2728" s="43" t="s">
        <v>46</v>
      </c>
      <c r="J2728" s="111">
        <v>1025.9452297424627</v>
      </c>
      <c r="K2728" s="38">
        <v>1228.4113789319524</v>
      </c>
      <c r="L2728" s="38">
        <v>-2.1492916727227116</v>
      </c>
      <c r="M2728" s="38">
        <v>-40.244393008282934</v>
      </c>
      <c r="N2728" s="38">
        <v>389.782003047655</v>
      </c>
      <c r="O2728" s="38">
        <v>-8.5582165573301214</v>
      </c>
      <c r="P2728" s="110">
        <v>-131.57251972502144</v>
      </c>
    </row>
    <row r="2729" spans="1:16" hidden="1" x14ac:dyDescent="0.35">
      <c r="A2729" s="3">
        <f xml:space="preserve"> ROW( data_scaledImpacts[[#This Row],[row_id]] ) - ROW( data_scaledImpacts[[#Headers],[row_id]] )</f>
        <v>2728</v>
      </c>
      <c r="B2729" s="41" t="str">
        <f xml:space="preserve"> _xlfn.TEXTJOIN( "", , data_scaledImpacts[[#This Row],[sector]:[impactType]] )</f>
        <v>CILCrimeMIROC53N/AProperty</v>
      </c>
      <c r="C2729" s="33" t="s">
        <v>1225</v>
      </c>
      <c r="D2729" s="33" t="s">
        <v>4</v>
      </c>
      <c r="E2729" s="34">
        <v>3</v>
      </c>
      <c r="F2729" s="34"/>
      <c r="G2729" s="34" t="s">
        <v>201</v>
      </c>
      <c r="H2729" t="s">
        <v>1218</v>
      </c>
      <c r="I2729" s="43" t="s">
        <v>53</v>
      </c>
      <c r="J2729" s="111">
        <v>1668.5926313114037</v>
      </c>
      <c r="K2729" s="38">
        <v>1853.6495977244069</v>
      </c>
      <c r="L2729" s="38">
        <v>31.524251023208709</v>
      </c>
      <c r="M2729" s="38">
        <v>25.375151939409083</v>
      </c>
      <c r="N2729" s="38">
        <v>655.37487088450064</v>
      </c>
      <c r="O2729" s="38">
        <v>59.640541505334483</v>
      </c>
      <c r="P2729" s="110">
        <v>-9.5960266895519197</v>
      </c>
    </row>
    <row r="2730" spans="1:16" hidden="1" x14ac:dyDescent="0.35">
      <c r="A2730" s="3">
        <f xml:space="preserve"> ROW( data_scaledImpacts[[#This Row],[row_id]] ) - ROW( data_scaledImpacts[[#Headers],[row_id]] )</f>
        <v>2729</v>
      </c>
      <c r="B2730" s="41" t="str">
        <f xml:space="preserve"> _xlfn.TEXTJOIN( "", , data_scaledImpacts[[#This Row],[sector]:[impactType]] )</f>
        <v>CILCrimeMIROC54N/AProperty</v>
      </c>
      <c r="C2730" s="33" t="s">
        <v>1225</v>
      </c>
      <c r="D2730" s="33" t="s">
        <v>4</v>
      </c>
      <c r="E2730" s="34">
        <v>4</v>
      </c>
      <c r="F2730" s="34"/>
      <c r="G2730" s="34" t="s">
        <v>201</v>
      </c>
      <c r="H2730" t="s">
        <v>1218</v>
      </c>
      <c r="I2730" s="43" t="s">
        <v>60</v>
      </c>
      <c r="J2730" s="111">
        <v>2391.4713336876794</v>
      </c>
      <c r="K2730" s="38">
        <v>2348.1801597376907</v>
      </c>
      <c r="L2730" s="38">
        <v>82.045903533390586</v>
      </c>
      <c r="M2730" s="38">
        <v>106.62759024559099</v>
      </c>
      <c r="N2730" s="38">
        <v>817.34557770202298</v>
      </c>
      <c r="O2730" s="38">
        <v>42.780155543855244</v>
      </c>
      <c r="P2730" s="110">
        <v>63.175308214385424</v>
      </c>
    </row>
    <row r="2731" spans="1:16" hidden="1" x14ac:dyDescent="0.35">
      <c r="A2731" s="3">
        <f xml:space="preserve"> ROW( data_scaledImpacts[[#This Row],[row_id]] ) - ROW( data_scaledImpacts[[#Headers],[row_id]] )</f>
        <v>2730</v>
      </c>
      <c r="B2731" s="41" t="str">
        <f xml:space="preserve"> _xlfn.TEXTJOIN( "", , data_scaledImpacts[[#This Row],[sector]:[impactType]] )</f>
        <v>CILCrimeMIROC55N/AProperty</v>
      </c>
      <c r="C2731" s="33" t="s">
        <v>1225</v>
      </c>
      <c r="D2731" s="33" t="s">
        <v>4</v>
      </c>
      <c r="E2731" s="34">
        <v>5</v>
      </c>
      <c r="F2731" s="34"/>
      <c r="G2731" s="34" t="s">
        <v>201</v>
      </c>
      <c r="H2731" t="s">
        <v>1218</v>
      </c>
      <c r="I2731" s="43" t="s">
        <v>67</v>
      </c>
      <c r="J2731" s="111">
        <v>2842.2598497119297</v>
      </c>
      <c r="K2731" s="38">
        <v>2607.8203182781581</v>
      </c>
      <c r="L2731" s="38">
        <v>118.30504208468162</v>
      </c>
      <c r="M2731" s="38">
        <v>149.36326453521022</v>
      </c>
      <c r="N2731" s="38">
        <v>784.06260760698467</v>
      </c>
      <c r="O2731" s="38">
        <v>-51.383042669732816</v>
      </c>
      <c r="P2731" s="110">
        <v>132.30140941186613</v>
      </c>
    </row>
    <row r="2732" spans="1:16" hidden="1" x14ac:dyDescent="0.35">
      <c r="A2732" s="3">
        <f xml:space="preserve"> ROW( data_scaledImpacts[[#This Row],[row_id]] ) - ROW( data_scaledImpacts[[#Headers],[row_id]] )</f>
        <v>2731</v>
      </c>
      <c r="B2732" s="41" t="str">
        <f xml:space="preserve"> _xlfn.TEXTJOIN( "", , data_scaledImpacts[[#This Row],[sector]:[impactType]] )</f>
        <v>CILCrimeCanESM21N/AViolent</v>
      </c>
      <c r="C2732" s="33" t="s">
        <v>1225</v>
      </c>
      <c r="D2732" s="33" t="s">
        <v>0</v>
      </c>
      <c r="E2732" s="34">
        <v>1</v>
      </c>
      <c r="F2732" s="34"/>
      <c r="G2732" s="34" t="s">
        <v>201</v>
      </c>
      <c r="H2732" t="s">
        <v>1219</v>
      </c>
      <c r="I2732" s="43" t="s">
        <v>35</v>
      </c>
      <c r="J2732" s="111">
        <v>-320.05739721747432</v>
      </c>
      <c r="K2732" s="38">
        <v>-74.663633981682594</v>
      </c>
      <c r="L2732" s="38">
        <v>-47.193388489166011</v>
      </c>
      <c r="M2732" s="38">
        <v>37.071839901074881</v>
      </c>
      <c r="N2732" s="38">
        <v>-529.21258969320934</v>
      </c>
      <c r="O2732" s="38">
        <v>-375.21647306085634</v>
      </c>
      <c r="P2732" s="110">
        <v>-225.76995524336661</v>
      </c>
    </row>
    <row r="2733" spans="1:16" hidden="1" x14ac:dyDescent="0.35">
      <c r="A2733" s="3">
        <f xml:space="preserve"> ROW( data_scaledImpacts[[#This Row],[row_id]] ) - ROW( data_scaledImpacts[[#Headers],[row_id]] )</f>
        <v>2732</v>
      </c>
      <c r="B2733" s="41" t="str">
        <f xml:space="preserve"> _xlfn.TEXTJOIN( "", , data_scaledImpacts[[#This Row],[sector]:[impactType]] )</f>
        <v>CILCrimeCanESM22N/AViolent</v>
      </c>
      <c r="C2733" s="33" t="s">
        <v>1225</v>
      </c>
      <c r="D2733" s="33" t="s">
        <v>0</v>
      </c>
      <c r="E2733" s="34">
        <v>2</v>
      </c>
      <c r="F2733" s="34"/>
      <c r="G2733" s="34" t="s">
        <v>201</v>
      </c>
      <c r="H2733" t="s">
        <v>1219</v>
      </c>
      <c r="I2733" s="43" t="s">
        <v>42</v>
      </c>
      <c r="J2733" s="111">
        <v>34.480781435460131</v>
      </c>
      <c r="K2733" s="38">
        <v>346.65393915229447</v>
      </c>
      <c r="L2733" s="38">
        <v>-16.936765578269629</v>
      </c>
      <c r="M2733" s="38">
        <v>104.60755308802344</v>
      </c>
      <c r="N2733" s="38">
        <v>-70.195376239118772</v>
      </c>
      <c r="O2733" s="38">
        <v>-233.01340528796649</v>
      </c>
      <c r="P2733" s="110">
        <v>203.58804170331641</v>
      </c>
    </row>
    <row r="2734" spans="1:16" hidden="1" x14ac:dyDescent="0.35">
      <c r="A2734" s="3">
        <f xml:space="preserve"> ROW( data_scaledImpacts[[#This Row],[row_id]] ) - ROW( data_scaledImpacts[[#Headers],[row_id]] )</f>
        <v>2733</v>
      </c>
      <c r="B2734" s="41" t="str">
        <f xml:space="preserve"> _xlfn.TEXTJOIN( "", , data_scaledImpacts[[#This Row],[sector]:[impactType]] )</f>
        <v>CILCrimeCanESM23N/AViolent</v>
      </c>
      <c r="C2734" s="33" t="s">
        <v>1225</v>
      </c>
      <c r="D2734" s="33" t="s">
        <v>0</v>
      </c>
      <c r="E2734" s="34">
        <v>3</v>
      </c>
      <c r="F2734" s="34"/>
      <c r="G2734" s="34" t="s">
        <v>201</v>
      </c>
      <c r="H2734" t="s">
        <v>1219</v>
      </c>
      <c r="I2734" s="43" t="s">
        <v>49</v>
      </c>
      <c r="J2734" s="111">
        <v>442.05709640265229</v>
      </c>
      <c r="K2734" s="38">
        <v>709.27570763654103</v>
      </c>
      <c r="L2734" s="38">
        <v>14.746452887870282</v>
      </c>
      <c r="M2734" s="38">
        <v>203.79096112127718</v>
      </c>
      <c r="N2734" s="38">
        <v>471.08547518874036</v>
      </c>
      <c r="O2734" s="38">
        <v>51.209678323888333</v>
      </c>
      <c r="P2734" s="110">
        <v>462.10724803396346</v>
      </c>
    </row>
    <row r="2735" spans="1:16" hidden="1" x14ac:dyDescent="0.35">
      <c r="A2735" s="3">
        <f xml:space="preserve"> ROW( data_scaledImpacts[[#This Row],[row_id]] ) - ROW( data_scaledImpacts[[#Headers],[row_id]] )</f>
        <v>2734</v>
      </c>
      <c r="B2735" s="41" t="str">
        <f xml:space="preserve"> _xlfn.TEXTJOIN( "", , data_scaledImpacts[[#This Row],[sector]:[impactType]] )</f>
        <v>CILCrimeCanESM24N/AViolent</v>
      </c>
      <c r="C2735" s="33" t="s">
        <v>1225</v>
      </c>
      <c r="D2735" s="33" t="s">
        <v>0</v>
      </c>
      <c r="E2735" s="34">
        <v>4</v>
      </c>
      <c r="F2735" s="34"/>
      <c r="G2735" s="34" t="s">
        <v>201</v>
      </c>
      <c r="H2735" t="s">
        <v>1219</v>
      </c>
      <c r="I2735" s="43" t="s">
        <v>56</v>
      </c>
      <c r="J2735" s="111">
        <v>801.33041398345824</v>
      </c>
      <c r="K2735" s="38">
        <v>1161.5824810533984</v>
      </c>
      <c r="L2735" s="38">
        <v>43.402150029514956</v>
      </c>
      <c r="M2735" s="38">
        <v>285.01548022211853</v>
      </c>
      <c r="N2735" s="38">
        <v>882.58604389148002</v>
      </c>
      <c r="O2735" s="38">
        <v>242.14222522854084</v>
      </c>
      <c r="P2735" s="110">
        <v>778.58765426875823</v>
      </c>
    </row>
    <row r="2736" spans="1:16" hidden="1" x14ac:dyDescent="0.35">
      <c r="A2736" s="3">
        <f xml:space="preserve"> ROW( data_scaledImpacts[[#This Row],[row_id]] ) - ROW( data_scaledImpacts[[#Headers],[row_id]] )</f>
        <v>2735</v>
      </c>
      <c r="B2736" s="41" t="str">
        <f xml:space="preserve"> _xlfn.TEXTJOIN( "", , data_scaledImpacts[[#This Row],[sector]:[impactType]] )</f>
        <v>CILCrimeCanESM25N/AViolent</v>
      </c>
      <c r="C2736" s="33" t="s">
        <v>1225</v>
      </c>
      <c r="D2736" s="33" t="s">
        <v>0</v>
      </c>
      <c r="E2736" s="34">
        <v>5</v>
      </c>
      <c r="F2736" s="34"/>
      <c r="G2736" s="34" t="s">
        <v>201</v>
      </c>
      <c r="H2736" t="s">
        <v>1219</v>
      </c>
      <c r="I2736" s="43" t="s">
        <v>63</v>
      </c>
      <c r="J2736" s="111">
        <v>1296.6339006232722</v>
      </c>
      <c r="K2736" s="38">
        <v>1563.9377300581662</v>
      </c>
      <c r="L2736" s="38">
        <v>87.683167267972138</v>
      </c>
      <c r="M2736" s="38">
        <v>359.50067301760322</v>
      </c>
      <c r="N2736" s="38">
        <v>1188.8103798418661</v>
      </c>
      <c r="O2736" s="38">
        <v>385.88910974863711</v>
      </c>
      <c r="P2736" s="110">
        <v>1080.3775752720699</v>
      </c>
    </row>
    <row r="2737" spans="1:16" hidden="1" x14ac:dyDescent="0.35">
      <c r="A2737" s="3">
        <f xml:space="preserve"> ROW( data_scaledImpacts[[#This Row],[row_id]] ) - ROW( data_scaledImpacts[[#Headers],[row_id]] )</f>
        <v>2736</v>
      </c>
      <c r="B2737" s="41" t="str">
        <f xml:space="preserve"> _xlfn.TEXTJOIN( "", , data_scaledImpacts[[#This Row],[sector]:[impactType]] )</f>
        <v>CILCrimeCanESM26N/AViolent</v>
      </c>
      <c r="C2737" s="33" t="s">
        <v>1225</v>
      </c>
      <c r="D2737" s="33" t="s">
        <v>0</v>
      </c>
      <c r="E2737" s="34">
        <v>6</v>
      </c>
      <c r="F2737" s="34"/>
      <c r="G2737" s="34" t="s">
        <v>201</v>
      </c>
      <c r="H2737" t="s">
        <v>1219</v>
      </c>
      <c r="I2737" s="43" t="s">
        <v>70</v>
      </c>
      <c r="J2737" s="111">
        <v>1703.2743128335055</v>
      </c>
      <c r="K2737" s="38">
        <v>2005.4534054370904</v>
      </c>
      <c r="L2737" s="38">
        <v>112.54693164038498</v>
      </c>
      <c r="M2737" s="38">
        <v>448.06290787967799</v>
      </c>
      <c r="N2737" s="38">
        <v>1615.5469040167027</v>
      </c>
      <c r="O2737" s="38">
        <v>553.17589127713961</v>
      </c>
      <c r="P2737" s="110">
        <v>1374.6644993148643</v>
      </c>
    </row>
    <row r="2738" spans="1:16" hidden="1" x14ac:dyDescent="0.35">
      <c r="A2738" s="3">
        <f xml:space="preserve"> ROW( data_scaledImpacts[[#This Row],[row_id]] ) - ROW( data_scaledImpacts[[#Headers],[row_id]] )</f>
        <v>2737</v>
      </c>
      <c r="B2738" s="41" t="str">
        <f xml:space="preserve"> _xlfn.TEXTJOIN( "", , data_scaledImpacts[[#This Row],[sector]:[impactType]] )</f>
        <v>CILCrimeCCSM41N/AViolent</v>
      </c>
      <c r="C2738" s="33" t="s">
        <v>1225</v>
      </c>
      <c r="D2738" s="33" t="s">
        <v>1</v>
      </c>
      <c r="E2738" s="34">
        <v>1</v>
      </c>
      <c r="F2738" s="34"/>
      <c r="G2738" s="34" t="s">
        <v>201</v>
      </c>
      <c r="H2738" t="s">
        <v>1219</v>
      </c>
      <c r="I2738" s="43" t="s">
        <v>36</v>
      </c>
      <c r="J2738" s="111">
        <v>-472.97315221358429</v>
      </c>
      <c r="K2738" s="38">
        <v>-195.62233524378743</v>
      </c>
      <c r="L2738" s="38">
        <v>-65.220341028332484</v>
      </c>
      <c r="M2738" s="38">
        <v>-31.133094244032183</v>
      </c>
      <c r="N2738" s="38">
        <v>-461.72120008050325</v>
      </c>
      <c r="O2738" s="38">
        <v>-309.08891648563804</v>
      </c>
      <c r="P2738" s="110">
        <v>-529.46990575633117</v>
      </c>
    </row>
    <row r="2739" spans="1:16" hidden="1" x14ac:dyDescent="0.35">
      <c r="A2739" s="3">
        <f xml:space="preserve"> ROW( data_scaledImpacts[[#This Row],[row_id]] ) - ROW( data_scaledImpacts[[#Headers],[row_id]] )</f>
        <v>2738</v>
      </c>
      <c r="B2739" s="41" t="str">
        <f xml:space="preserve"> _xlfn.TEXTJOIN( "", , data_scaledImpacts[[#This Row],[sector]:[impactType]] )</f>
        <v>CILCrimeCCSM42N/AViolent</v>
      </c>
      <c r="C2739" s="33" t="s">
        <v>1225</v>
      </c>
      <c r="D2739" s="33" t="s">
        <v>1</v>
      </c>
      <c r="E2739" s="34">
        <v>2</v>
      </c>
      <c r="F2739" s="34"/>
      <c r="G2739" s="34" t="s">
        <v>201</v>
      </c>
      <c r="H2739" t="s">
        <v>1219</v>
      </c>
      <c r="I2739" s="43" t="s">
        <v>43</v>
      </c>
      <c r="J2739" s="111">
        <v>-30.785307550673146</v>
      </c>
      <c r="K2739" s="38">
        <v>291.97296627228212</v>
      </c>
      <c r="L2739" s="38">
        <v>-46.052247786394858</v>
      </c>
      <c r="M2739" s="38">
        <v>63.808022472836704</v>
      </c>
      <c r="N2739" s="38">
        <v>114.63103552802725</v>
      </c>
      <c r="O2739" s="38">
        <v>-145.60118061501237</v>
      </c>
      <c r="P2739" s="110">
        <v>-303.99833158794064</v>
      </c>
    </row>
    <row r="2740" spans="1:16" hidden="1" x14ac:dyDescent="0.35">
      <c r="A2740" s="3">
        <f xml:space="preserve"> ROW( data_scaledImpacts[[#This Row],[row_id]] ) - ROW( data_scaledImpacts[[#Headers],[row_id]] )</f>
        <v>2739</v>
      </c>
      <c r="B2740" s="41" t="str">
        <f xml:space="preserve"> _xlfn.TEXTJOIN( "", , data_scaledImpacts[[#This Row],[sector]:[impactType]] )</f>
        <v>CILCrimeCCSM43N/AViolent</v>
      </c>
      <c r="C2740" s="33" t="s">
        <v>1225</v>
      </c>
      <c r="D2740" s="33" t="s">
        <v>1</v>
      </c>
      <c r="E2740" s="34">
        <v>3</v>
      </c>
      <c r="F2740" s="34"/>
      <c r="G2740" s="34" t="s">
        <v>201</v>
      </c>
      <c r="H2740" t="s">
        <v>1219</v>
      </c>
      <c r="I2740" s="43" t="s">
        <v>50</v>
      </c>
      <c r="J2740" s="111">
        <v>418.87429693408052</v>
      </c>
      <c r="K2740" s="38">
        <v>732.33481545751636</v>
      </c>
      <c r="L2740" s="38">
        <v>-15.601522440900757</v>
      </c>
      <c r="M2740" s="38">
        <v>118.06597245153988</v>
      </c>
      <c r="N2740" s="38">
        <v>634.62121650916288</v>
      </c>
      <c r="O2740" s="38">
        <v>101.31035641094581</v>
      </c>
      <c r="P2740" s="110">
        <v>2.9898204390853453</v>
      </c>
    </row>
    <row r="2741" spans="1:16" hidden="1" x14ac:dyDescent="0.35">
      <c r="A2741" s="3">
        <f xml:space="preserve"> ROW( data_scaledImpacts[[#This Row],[row_id]] ) - ROW( data_scaledImpacts[[#Headers],[row_id]] )</f>
        <v>2740</v>
      </c>
      <c r="B2741" s="41" t="str">
        <f xml:space="preserve"> _xlfn.TEXTJOIN( "", , data_scaledImpacts[[#This Row],[sector]:[impactType]] )</f>
        <v>CILCrimeCCSM44N/AViolent</v>
      </c>
      <c r="C2741" s="33" t="s">
        <v>1225</v>
      </c>
      <c r="D2741" s="33" t="s">
        <v>1</v>
      </c>
      <c r="E2741" s="34">
        <v>4</v>
      </c>
      <c r="F2741" s="34"/>
      <c r="G2741" s="34" t="s">
        <v>201</v>
      </c>
      <c r="H2741" t="s">
        <v>1219</v>
      </c>
      <c r="I2741" s="43" t="s">
        <v>57</v>
      </c>
      <c r="J2741" s="111">
        <v>950.88935691430629</v>
      </c>
      <c r="K2741" s="38">
        <v>1174.7472398421951</v>
      </c>
      <c r="L2741" s="38">
        <v>38.878746514476994</v>
      </c>
      <c r="M2741" s="38">
        <v>258.54447933107463</v>
      </c>
      <c r="N2741" s="38">
        <v>1065.0743196614567</v>
      </c>
      <c r="O2741" s="38">
        <v>320.49383362090924</v>
      </c>
      <c r="P2741" s="110">
        <v>501.82939140257002</v>
      </c>
    </row>
    <row r="2742" spans="1:16" hidden="1" x14ac:dyDescent="0.35">
      <c r="A2742" s="3">
        <f xml:space="preserve"> ROW( data_scaledImpacts[[#This Row],[row_id]] ) - ROW( data_scaledImpacts[[#Headers],[row_id]] )</f>
        <v>2741</v>
      </c>
      <c r="B2742" s="41" t="str">
        <f xml:space="preserve"> _xlfn.TEXTJOIN( "", , data_scaledImpacts[[#This Row],[sector]:[impactType]] )</f>
        <v>CILCrimeCCSM45N/AViolent</v>
      </c>
      <c r="C2742" s="33" t="s">
        <v>1225</v>
      </c>
      <c r="D2742" s="33" t="s">
        <v>1</v>
      </c>
      <c r="E2742" s="34">
        <v>5</v>
      </c>
      <c r="F2742" s="34"/>
      <c r="G2742" s="34" t="s">
        <v>201</v>
      </c>
      <c r="H2742" t="s">
        <v>1219</v>
      </c>
      <c r="I2742" s="43" t="s">
        <v>64</v>
      </c>
      <c r="J2742" s="111">
        <v>1186.3356601858036</v>
      </c>
      <c r="K2742" s="38">
        <v>1436.2960881986792</v>
      </c>
      <c r="L2742" s="38">
        <v>46.434125857050873</v>
      </c>
      <c r="M2742" s="38">
        <v>291.89852817664115</v>
      </c>
      <c r="N2742" s="38">
        <v>1338.6556131799846</v>
      </c>
      <c r="O2742" s="38">
        <v>401.46811995993193</v>
      </c>
      <c r="P2742" s="110">
        <v>562.9486329661529</v>
      </c>
    </row>
    <row r="2743" spans="1:16" hidden="1" x14ac:dyDescent="0.35">
      <c r="A2743" s="3">
        <f xml:space="preserve"> ROW( data_scaledImpacts[[#This Row],[row_id]] ) - ROW( data_scaledImpacts[[#Headers],[row_id]] )</f>
        <v>2742</v>
      </c>
      <c r="B2743" s="41" t="str">
        <f xml:space="preserve"> _xlfn.TEXTJOIN( "", , data_scaledImpacts[[#This Row],[sector]:[impactType]] )</f>
        <v>CILCrimeGFDL-CM31N/AViolent</v>
      </c>
      <c r="C2743" s="33" t="s">
        <v>1225</v>
      </c>
      <c r="D2743" s="33" t="s">
        <v>5</v>
      </c>
      <c r="E2743" s="34">
        <v>1</v>
      </c>
      <c r="F2743" s="34"/>
      <c r="G2743" s="34" t="s">
        <v>201</v>
      </c>
      <c r="H2743" t="s">
        <v>1219</v>
      </c>
      <c r="I2743" s="43" t="s">
        <v>40</v>
      </c>
      <c r="J2743" s="111">
        <v>-262.88209226343099</v>
      </c>
      <c r="K2743" s="38">
        <v>-47.201311335385334</v>
      </c>
      <c r="L2743" s="38">
        <v>-5.624387379977378</v>
      </c>
      <c r="M2743" s="38">
        <v>20.458658689459181</v>
      </c>
      <c r="N2743" s="38">
        <v>-457.28596251785865</v>
      </c>
      <c r="O2743" s="38">
        <v>-189.6909567168735</v>
      </c>
      <c r="P2743" s="110">
        <v>150.20031553682614</v>
      </c>
    </row>
    <row r="2744" spans="1:16" hidden="1" x14ac:dyDescent="0.35">
      <c r="A2744" s="3">
        <f xml:space="preserve"> ROW( data_scaledImpacts[[#This Row],[row_id]] ) - ROW( data_scaledImpacts[[#Headers],[row_id]] )</f>
        <v>2743</v>
      </c>
      <c r="B2744" s="41" t="str">
        <f xml:space="preserve"> _xlfn.TEXTJOIN( "", , data_scaledImpacts[[#This Row],[sector]:[impactType]] )</f>
        <v>CILCrimeGFDL-CM32N/AViolent</v>
      </c>
      <c r="C2744" s="33" t="s">
        <v>1225</v>
      </c>
      <c r="D2744" s="33" t="s">
        <v>5</v>
      </c>
      <c r="E2744" s="34">
        <v>2</v>
      </c>
      <c r="F2744" s="34"/>
      <c r="G2744" s="34" t="s">
        <v>201</v>
      </c>
      <c r="H2744" t="s">
        <v>1219</v>
      </c>
      <c r="I2744" s="43" t="s">
        <v>47</v>
      </c>
      <c r="J2744" s="111">
        <v>241.01226983902779</v>
      </c>
      <c r="K2744" s="38">
        <v>458.13053900000659</v>
      </c>
      <c r="L2744" s="38">
        <v>28.514994134916478</v>
      </c>
      <c r="M2744" s="38">
        <v>87.507542793479303</v>
      </c>
      <c r="N2744" s="38">
        <v>116.06317934754063</v>
      </c>
      <c r="O2744" s="38">
        <v>57.219853191174352</v>
      </c>
      <c r="P2744" s="110">
        <v>482.28878640151135</v>
      </c>
    </row>
    <row r="2745" spans="1:16" hidden="1" x14ac:dyDescent="0.35">
      <c r="A2745" s="3">
        <f xml:space="preserve"> ROW( data_scaledImpacts[[#This Row],[row_id]] ) - ROW( data_scaledImpacts[[#Headers],[row_id]] )</f>
        <v>2744</v>
      </c>
      <c r="B2745" s="41" t="str">
        <f xml:space="preserve"> _xlfn.TEXTJOIN( "", , data_scaledImpacts[[#This Row],[sector]:[impactType]] )</f>
        <v>CILCrimeGFDL-CM33N/AViolent</v>
      </c>
      <c r="C2745" s="33" t="s">
        <v>1225</v>
      </c>
      <c r="D2745" s="33" t="s">
        <v>5</v>
      </c>
      <c r="E2745" s="34">
        <v>3</v>
      </c>
      <c r="F2745" s="34"/>
      <c r="G2745" s="34" t="s">
        <v>201</v>
      </c>
      <c r="H2745" t="s">
        <v>1219</v>
      </c>
      <c r="I2745" s="43" t="s">
        <v>54</v>
      </c>
      <c r="J2745" s="111">
        <v>519.66691032086055</v>
      </c>
      <c r="K2745" s="38">
        <v>873.71508266279204</v>
      </c>
      <c r="L2745" s="38">
        <v>56.994137711648243</v>
      </c>
      <c r="M2745" s="38">
        <v>184.08848094164503</v>
      </c>
      <c r="N2745" s="38">
        <v>490.58835216023715</v>
      </c>
      <c r="O2745" s="38">
        <v>214.76976242659157</v>
      </c>
      <c r="P2745" s="110">
        <v>894.06027891183714</v>
      </c>
    </row>
    <row r="2746" spans="1:16" hidden="1" x14ac:dyDescent="0.35">
      <c r="A2746" s="3">
        <f xml:space="preserve"> ROW( data_scaledImpacts[[#This Row],[row_id]] ) - ROW( data_scaledImpacts[[#Headers],[row_id]] )</f>
        <v>2745</v>
      </c>
      <c r="B2746" s="41" t="str">
        <f xml:space="preserve"> _xlfn.TEXTJOIN( "", , data_scaledImpacts[[#This Row],[sector]:[impactType]] )</f>
        <v>CILCrimeGFDL-CM34N/AViolent</v>
      </c>
      <c r="C2746" s="33" t="s">
        <v>1225</v>
      </c>
      <c r="D2746" s="33" t="s">
        <v>5</v>
      </c>
      <c r="E2746" s="34">
        <v>4</v>
      </c>
      <c r="F2746" s="34"/>
      <c r="G2746" s="34" t="s">
        <v>201</v>
      </c>
      <c r="H2746" t="s">
        <v>1219</v>
      </c>
      <c r="I2746" s="43" t="s">
        <v>61</v>
      </c>
      <c r="J2746" s="111">
        <v>993.27707739411426</v>
      </c>
      <c r="K2746" s="38">
        <v>1338.8569792563428</v>
      </c>
      <c r="L2746" s="38">
        <v>81.886747136588113</v>
      </c>
      <c r="M2746" s="38">
        <v>253.44902110645418</v>
      </c>
      <c r="N2746" s="38">
        <v>984.10802692841241</v>
      </c>
      <c r="O2746" s="38">
        <v>371.12181761653591</v>
      </c>
      <c r="P2746" s="110">
        <v>1120.7930865465248</v>
      </c>
    </row>
    <row r="2747" spans="1:16" hidden="1" x14ac:dyDescent="0.35">
      <c r="A2747" s="3">
        <f xml:space="preserve"> ROW( data_scaledImpacts[[#This Row],[row_id]] ) - ROW( data_scaledImpacts[[#Headers],[row_id]] )</f>
        <v>2746</v>
      </c>
      <c r="B2747" s="41" t="str">
        <f xml:space="preserve"> _xlfn.TEXTJOIN( "", , data_scaledImpacts[[#This Row],[sector]:[impactType]] )</f>
        <v>CILCrimeGFDL-CM35N/AViolent</v>
      </c>
      <c r="C2747" s="33" t="s">
        <v>1225</v>
      </c>
      <c r="D2747" s="33" t="s">
        <v>5</v>
      </c>
      <c r="E2747" s="34">
        <v>5</v>
      </c>
      <c r="F2747" s="34"/>
      <c r="G2747" s="34" t="s">
        <v>201</v>
      </c>
      <c r="H2747" t="s">
        <v>1219</v>
      </c>
      <c r="I2747" s="43" t="s">
        <v>68</v>
      </c>
      <c r="J2747" s="111">
        <v>1477.6712287179319</v>
      </c>
      <c r="K2747" s="38">
        <v>1730.8266754532867</v>
      </c>
      <c r="L2747" s="38">
        <v>126.68761502149391</v>
      </c>
      <c r="M2747" s="38">
        <v>309.5574503893892</v>
      </c>
      <c r="N2747" s="38">
        <v>1483.4536234077557</v>
      </c>
      <c r="O2747" s="38">
        <v>675.88561863617554</v>
      </c>
      <c r="P2747" s="110">
        <v>1434.7339983956385</v>
      </c>
    </row>
    <row r="2748" spans="1:16" hidden="1" x14ac:dyDescent="0.35">
      <c r="A2748" s="3">
        <f xml:space="preserve"> ROW( data_scaledImpacts[[#This Row],[row_id]] ) - ROW( data_scaledImpacts[[#Headers],[row_id]] )</f>
        <v>2747</v>
      </c>
      <c r="B2748" s="41" t="str">
        <f xml:space="preserve"> _xlfn.TEXTJOIN( "", , data_scaledImpacts[[#This Row],[sector]:[impactType]] )</f>
        <v>CILCrimeGFDL-CM36N/AViolent</v>
      </c>
      <c r="C2748" s="33" t="s">
        <v>1225</v>
      </c>
      <c r="D2748" s="33" t="s">
        <v>5</v>
      </c>
      <c r="E2748" s="34">
        <v>6</v>
      </c>
      <c r="F2748" s="34"/>
      <c r="G2748" s="34" t="s">
        <v>201</v>
      </c>
      <c r="H2748" t="s">
        <v>1219</v>
      </c>
      <c r="I2748" s="43" t="s">
        <v>75</v>
      </c>
      <c r="J2748" s="111">
        <v>1851.9747614232863</v>
      </c>
      <c r="K2748" s="38">
        <v>2101.099422573232</v>
      </c>
      <c r="L2748" s="38">
        <v>157.07800954515761</v>
      </c>
      <c r="M2748" s="38">
        <v>378.7061015310598</v>
      </c>
      <c r="N2748" s="38">
        <v>1805.1634743612403</v>
      </c>
      <c r="O2748" s="38">
        <v>765.35344199751967</v>
      </c>
      <c r="P2748" s="110">
        <v>1785.3360684365196</v>
      </c>
    </row>
    <row r="2749" spans="1:16" hidden="1" x14ac:dyDescent="0.35">
      <c r="A2749" s="3">
        <f xml:space="preserve"> ROW( data_scaledImpacts[[#This Row],[row_id]] ) - ROW( data_scaledImpacts[[#Headers],[row_id]] )</f>
        <v>2748</v>
      </c>
      <c r="B2749" s="41" t="str">
        <f xml:space="preserve"> _xlfn.TEXTJOIN( "", , data_scaledImpacts[[#This Row],[sector]:[impactType]] )</f>
        <v>CILCrimeGISS-E2-R1N/AViolent</v>
      </c>
      <c r="C2749" s="33" t="s">
        <v>1225</v>
      </c>
      <c r="D2749" s="33" t="s">
        <v>2</v>
      </c>
      <c r="E2749" s="34">
        <v>1</v>
      </c>
      <c r="F2749" s="34"/>
      <c r="G2749" s="34" t="s">
        <v>201</v>
      </c>
      <c r="H2749" t="s">
        <v>1219</v>
      </c>
      <c r="I2749" s="43" t="s">
        <v>37</v>
      </c>
      <c r="J2749" s="111">
        <v>190.56848241817673</v>
      </c>
      <c r="K2749" s="38">
        <v>474.20220456528443</v>
      </c>
      <c r="L2749" s="38">
        <v>26.089977501906727</v>
      </c>
      <c r="M2749" s="38">
        <v>-86.457523040820078</v>
      </c>
      <c r="N2749" s="38">
        <v>571.30311803167069</v>
      </c>
      <c r="O2749" s="38">
        <v>115.60829393193086</v>
      </c>
      <c r="P2749" s="110">
        <v>-119.94954270558473</v>
      </c>
    </row>
    <row r="2750" spans="1:16" hidden="1" x14ac:dyDescent="0.35">
      <c r="A2750" s="3">
        <f xml:space="preserve"> ROW( data_scaledImpacts[[#This Row],[row_id]] ) - ROW( data_scaledImpacts[[#Headers],[row_id]] )</f>
        <v>2749</v>
      </c>
      <c r="B2750" s="41" t="str">
        <f xml:space="preserve"> _xlfn.TEXTJOIN( "", , data_scaledImpacts[[#This Row],[sector]:[impactType]] )</f>
        <v>CILCrimeGISS-E2-R2N/AViolent</v>
      </c>
      <c r="C2750" s="33" t="s">
        <v>1225</v>
      </c>
      <c r="D2750" s="33" t="s">
        <v>2</v>
      </c>
      <c r="E2750" s="34">
        <v>2</v>
      </c>
      <c r="F2750" s="34"/>
      <c r="G2750" s="34" t="s">
        <v>201</v>
      </c>
      <c r="H2750" t="s">
        <v>1219</v>
      </c>
      <c r="I2750" s="43" t="s">
        <v>44</v>
      </c>
      <c r="J2750" s="111">
        <v>551.81970172111323</v>
      </c>
      <c r="K2750" s="38">
        <v>841.95302599484933</v>
      </c>
      <c r="L2750" s="38">
        <v>62.103132848833326</v>
      </c>
      <c r="M2750" s="38">
        <v>42.553647187506911</v>
      </c>
      <c r="N2750" s="38">
        <v>945.62186685857819</v>
      </c>
      <c r="O2750" s="38">
        <v>227.82781848688688</v>
      </c>
      <c r="P2750" s="110">
        <v>146.90319965026629</v>
      </c>
    </row>
    <row r="2751" spans="1:16" hidden="1" x14ac:dyDescent="0.35">
      <c r="A2751" s="3">
        <f xml:space="preserve"> ROW( data_scaledImpacts[[#This Row],[row_id]] ) - ROW( data_scaledImpacts[[#Headers],[row_id]] )</f>
        <v>2750</v>
      </c>
      <c r="B2751" s="41" t="str">
        <f xml:space="preserve"> _xlfn.TEXTJOIN( "", , data_scaledImpacts[[#This Row],[sector]:[impactType]] )</f>
        <v>CILCrimeGISS-E2-R3N/AViolent</v>
      </c>
      <c r="C2751" s="33" t="s">
        <v>1225</v>
      </c>
      <c r="D2751" s="33" t="s">
        <v>2</v>
      </c>
      <c r="E2751" s="34">
        <v>3</v>
      </c>
      <c r="F2751" s="34"/>
      <c r="G2751" s="34" t="s">
        <v>201</v>
      </c>
      <c r="H2751" t="s">
        <v>1219</v>
      </c>
      <c r="I2751" s="43" t="s">
        <v>51</v>
      </c>
      <c r="J2751" s="111">
        <v>982.61294976740226</v>
      </c>
      <c r="K2751" s="38">
        <v>1288.6545722873518</v>
      </c>
      <c r="L2751" s="38">
        <v>98.79305280746307</v>
      </c>
      <c r="M2751" s="38">
        <v>111.25579446111129</v>
      </c>
      <c r="N2751" s="38">
        <v>1465.3186241225335</v>
      </c>
      <c r="O2751" s="38">
        <v>472.71854941646404</v>
      </c>
      <c r="P2751" s="110">
        <v>694.11030280277396</v>
      </c>
    </row>
    <row r="2752" spans="1:16" hidden="1" x14ac:dyDescent="0.35">
      <c r="A2752" s="3">
        <f xml:space="preserve"> ROW( data_scaledImpacts[[#This Row],[row_id]] ) - ROW( data_scaledImpacts[[#Headers],[row_id]] )</f>
        <v>2751</v>
      </c>
      <c r="B2752" s="41" t="str">
        <f xml:space="preserve"> _xlfn.TEXTJOIN( "", , data_scaledImpacts[[#This Row],[sector]:[impactType]] )</f>
        <v>CILCrimeHadGEM2-ES1N/AViolent</v>
      </c>
      <c r="C2752" s="33" t="s">
        <v>1225</v>
      </c>
      <c r="D2752" s="33" t="s">
        <v>3</v>
      </c>
      <c r="E2752" s="34">
        <v>1</v>
      </c>
      <c r="F2752" s="34"/>
      <c r="G2752" s="34" t="s">
        <v>201</v>
      </c>
      <c r="H2752" t="s">
        <v>1219</v>
      </c>
      <c r="I2752" s="43" t="s">
        <v>38</v>
      </c>
      <c r="J2752" s="111">
        <v>517.07358251836706</v>
      </c>
      <c r="K2752" s="38">
        <v>416.58451959389504</v>
      </c>
      <c r="L2752" s="38">
        <v>21.110779250169845</v>
      </c>
      <c r="M2752" s="38">
        <v>16.603473289519247</v>
      </c>
      <c r="N2752" s="38">
        <v>529.42192824286394</v>
      </c>
      <c r="O2752" s="38">
        <v>103.0227918015571</v>
      </c>
      <c r="P2752" s="110">
        <v>-366.20427522367959</v>
      </c>
    </row>
    <row r="2753" spans="1:16" hidden="1" x14ac:dyDescent="0.35">
      <c r="A2753" s="3">
        <f xml:space="preserve"> ROW( data_scaledImpacts[[#This Row],[row_id]] ) - ROW( data_scaledImpacts[[#Headers],[row_id]] )</f>
        <v>2752</v>
      </c>
      <c r="B2753" s="41" t="str">
        <f xml:space="preserve"> _xlfn.TEXTJOIN( "", , data_scaledImpacts[[#This Row],[sector]:[impactType]] )</f>
        <v>CILCrimeHadGEM2-ES2N/AViolent</v>
      </c>
      <c r="C2753" s="33" t="s">
        <v>1225</v>
      </c>
      <c r="D2753" s="33" t="s">
        <v>3</v>
      </c>
      <c r="E2753" s="34">
        <v>2</v>
      </c>
      <c r="F2753" s="34"/>
      <c r="G2753" s="34" t="s">
        <v>201</v>
      </c>
      <c r="H2753" t="s">
        <v>1219</v>
      </c>
      <c r="I2753" s="43" t="s">
        <v>45</v>
      </c>
      <c r="J2753" s="111">
        <v>839.56492010913121</v>
      </c>
      <c r="K2753" s="38">
        <v>632.22450037199906</v>
      </c>
      <c r="L2753" s="38">
        <v>64.655664507152224</v>
      </c>
      <c r="M2753" s="38">
        <v>88.830474235511218</v>
      </c>
      <c r="N2753" s="38">
        <v>924.90565694978625</v>
      </c>
      <c r="O2753" s="38">
        <v>572.14843348772195</v>
      </c>
      <c r="P2753" s="110">
        <v>73.655353333615878</v>
      </c>
    </row>
    <row r="2754" spans="1:16" hidden="1" x14ac:dyDescent="0.35">
      <c r="A2754" s="3">
        <f xml:space="preserve"> ROW( data_scaledImpacts[[#This Row],[row_id]] ) - ROW( data_scaledImpacts[[#Headers],[row_id]] )</f>
        <v>2753</v>
      </c>
      <c r="B2754" s="41" t="str">
        <f xml:space="preserve"> _xlfn.TEXTJOIN( "", , data_scaledImpacts[[#This Row],[sector]:[impactType]] )</f>
        <v>CILCrimeHadGEM2-ES3N/AViolent</v>
      </c>
      <c r="C2754" s="33" t="s">
        <v>1225</v>
      </c>
      <c r="D2754" s="33" t="s">
        <v>3</v>
      </c>
      <c r="E2754" s="34">
        <v>3</v>
      </c>
      <c r="F2754" s="34"/>
      <c r="G2754" s="34" t="s">
        <v>201</v>
      </c>
      <c r="H2754" t="s">
        <v>1219</v>
      </c>
      <c r="I2754" s="43" t="s">
        <v>52</v>
      </c>
      <c r="J2754" s="111">
        <v>1552.1043801819822</v>
      </c>
      <c r="K2754" s="38">
        <v>1305.9914658536143</v>
      </c>
      <c r="L2754" s="38">
        <v>101.56323101627599</v>
      </c>
      <c r="M2754" s="38">
        <v>137.00241482832183</v>
      </c>
      <c r="N2754" s="38">
        <v>1521.1908862922958</v>
      </c>
      <c r="O2754" s="38">
        <v>738.04809217869354</v>
      </c>
      <c r="P2754" s="110">
        <v>316.09463426088735</v>
      </c>
    </row>
    <row r="2755" spans="1:16" hidden="1" x14ac:dyDescent="0.35">
      <c r="A2755" s="3">
        <f xml:space="preserve"> ROW( data_scaledImpacts[[#This Row],[row_id]] ) - ROW( data_scaledImpacts[[#Headers],[row_id]] )</f>
        <v>2754</v>
      </c>
      <c r="B2755" s="41" t="str">
        <f xml:space="preserve"> _xlfn.TEXTJOIN( "", , data_scaledImpacts[[#This Row],[sector]:[impactType]] )</f>
        <v>CILCrimeHadGEM2-ES4N/AViolent</v>
      </c>
      <c r="C2755" s="33" t="s">
        <v>1225</v>
      </c>
      <c r="D2755" s="33" t="s">
        <v>3</v>
      </c>
      <c r="E2755" s="34">
        <v>4</v>
      </c>
      <c r="F2755" s="34"/>
      <c r="G2755" s="34" t="s">
        <v>201</v>
      </c>
      <c r="H2755" t="s">
        <v>1219</v>
      </c>
      <c r="I2755" s="43" t="s">
        <v>59</v>
      </c>
      <c r="J2755" s="111">
        <v>1873.501011067106</v>
      </c>
      <c r="K2755" s="38">
        <v>1647.0171257299987</v>
      </c>
      <c r="L2755" s="38">
        <v>132.96416973106011</v>
      </c>
      <c r="M2755" s="38">
        <v>263.29638610054775</v>
      </c>
      <c r="N2755" s="38">
        <v>1906.0933637488536</v>
      </c>
      <c r="O2755" s="38">
        <v>864.82906178533722</v>
      </c>
      <c r="P2755" s="110">
        <v>665.3272964276249</v>
      </c>
    </row>
    <row r="2756" spans="1:16" hidden="1" x14ac:dyDescent="0.35">
      <c r="A2756" s="3">
        <f xml:space="preserve"> ROW( data_scaledImpacts[[#This Row],[row_id]] ) - ROW( data_scaledImpacts[[#Headers],[row_id]] )</f>
        <v>2755</v>
      </c>
      <c r="B2756" s="41" t="str">
        <f xml:space="preserve"> _xlfn.TEXTJOIN( "", , data_scaledImpacts[[#This Row],[sector]:[impactType]] )</f>
        <v>CILCrimeHadGEM2-ES5N/AViolent</v>
      </c>
      <c r="C2756" s="33" t="s">
        <v>1225</v>
      </c>
      <c r="D2756" s="33" t="s">
        <v>3</v>
      </c>
      <c r="E2756" s="34">
        <v>5</v>
      </c>
      <c r="F2756" s="34"/>
      <c r="G2756" s="34" t="s">
        <v>201</v>
      </c>
      <c r="H2756" t="s">
        <v>1219</v>
      </c>
      <c r="I2756" s="43" t="s">
        <v>66</v>
      </c>
      <c r="J2756" s="111">
        <v>2252.5020482066761</v>
      </c>
      <c r="K2756" s="38">
        <v>2065.7846434556186</v>
      </c>
      <c r="L2756" s="38">
        <v>166.93250144968414</v>
      </c>
      <c r="M2756" s="38">
        <v>336.49850846468763</v>
      </c>
      <c r="N2756" s="38">
        <v>2193.1865024847175</v>
      </c>
      <c r="O2756" s="38">
        <v>1026.7369885721953</v>
      </c>
      <c r="P2756" s="110">
        <v>1033.4965397375347</v>
      </c>
    </row>
    <row r="2757" spans="1:16" hidden="1" x14ac:dyDescent="0.35">
      <c r="A2757" s="3">
        <f xml:space="preserve"> ROW( data_scaledImpacts[[#This Row],[row_id]] ) - ROW( data_scaledImpacts[[#Headers],[row_id]] )</f>
        <v>2756</v>
      </c>
      <c r="B2757" s="41" t="str">
        <f xml:space="preserve"> _xlfn.TEXTJOIN( "", , data_scaledImpacts[[#This Row],[sector]:[impactType]] )</f>
        <v>CILCrimeHadGEM2-ES6N/AViolent</v>
      </c>
      <c r="C2757" s="33" t="s">
        <v>1225</v>
      </c>
      <c r="D2757" s="33" t="s">
        <v>3</v>
      </c>
      <c r="E2757" s="34">
        <v>6</v>
      </c>
      <c r="F2757" s="34"/>
      <c r="G2757" s="34" t="s">
        <v>201</v>
      </c>
      <c r="H2757" t="s">
        <v>1219</v>
      </c>
      <c r="I2757" s="43" t="s">
        <v>73</v>
      </c>
      <c r="J2757" s="111">
        <v>2773.69155094916</v>
      </c>
      <c r="K2757" s="38">
        <v>2597.9441206345832</v>
      </c>
      <c r="L2757" s="38">
        <v>194.0396580898848</v>
      </c>
      <c r="M2757" s="38">
        <v>404.57251684962904</v>
      </c>
      <c r="N2757" s="38">
        <v>2701.9909516697403</v>
      </c>
      <c r="O2757" s="38">
        <v>1172.7913817807146</v>
      </c>
      <c r="P2757" s="110">
        <v>1143.3575168120981</v>
      </c>
    </row>
    <row r="2758" spans="1:16" hidden="1" x14ac:dyDescent="0.35">
      <c r="A2758" s="3">
        <f xml:space="preserve"> ROW( data_scaledImpacts[[#This Row],[row_id]] ) - ROW( data_scaledImpacts[[#Headers],[row_id]] )</f>
        <v>2757</v>
      </c>
      <c r="B2758" s="41" t="str">
        <f xml:space="preserve"> _xlfn.TEXTJOIN( "", , data_scaledImpacts[[#This Row],[sector]:[impactType]] )</f>
        <v>CILCrimeMIROC51N/AViolent</v>
      </c>
      <c r="C2758" s="33" t="s">
        <v>1225</v>
      </c>
      <c r="D2758" s="33" t="s">
        <v>4</v>
      </c>
      <c r="E2758" s="34">
        <v>1</v>
      </c>
      <c r="F2758" s="34"/>
      <c r="G2758" s="34" t="s">
        <v>201</v>
      </c>
      <c r="H2758" t="s">
        <v>1219</v>
      </c>
      <c r="I2758" s="43" t="s">
        <v>39</v>
      </c>
      <c r="J2758" s="111">
        <v>253.20424121205934</v>
      </c>
      <c r="K2758" s="38">
        <v>410.04522335058562</v>
      </c>
      <c r="L2758" s="38">
        <v>-22.35342177266492</v>
      </c>
      <c r="M2758" s="38">
        <v>-30.078604003338924</v>
      </c>
      <c r="N2758" s="38">
        <v>396.17083713826349</v>
      </c>
      <c r="O2758" s="38">
        <v>216.5977004972583</v>
      </c>
      <c r="P2758" s="110">
        <v>-34.769959041998248</v>
      </c>
    </row>
    <row r="2759" spans="1:16" hidden="1" x14ac:dyDescent="0.35">
      <c r="A2759" s="3">
        <f xml:space="preserve"> ROW( data_scaledImpacts[[#This Row],[row_id]] ) - ROW( data_scaledImpacts[[#Headers],[row_id]] )</f>
        <v>2758</v>
      </c>
      <c r="B2759" s="41" t="str">
        <f xml:space="preserve"> _xlfn.TEXTJOIN( "", , data_scaledImpacts[[#This Row],[sector]:[impactType]] )</f>
        <v>CILCrimeMIROC52N/AViolent</v>
      </c>
      <c r="C2759" s="33" t="s">
        <v>1225</v>
      </c>
      <c r="D2759" s="33" t="s">
        <v>4</v>
      </c>
      <c r="E2759" s="34">
        <v>2</v>
      </c>
      <c r="F2759" s="34"/>
      <c r="G2759" s="34" t="s">
        <v>201</v>
      </c>
      <c r="H2759" t="s">
        <v>1219</v>
      </c>
      <c r="I2759" s="43" t="s">
        <v>46</v>
      </c>
      <c r="J2759" s="111">
        <v>808.76235125968833</v>
      </c>
      <c r="K2759" s="38">
        <v>946.80253847581912</v>
      </c>
      <c r="L2759" s="38">
        <v>22.344731201058401</v>
      </c>
      <c r="M2759" s="38">
        <v>-1.0783261159446358</v>
      </c>
      <c r="N2759" s="38">
        <v>924.26270416101056</v>
      </c>
      <c r="O2759" s="38">
        <v>529.76992938781564</v>
      </c>
      <c r="P2759" s="110">
        <v>271.60650677325236</v>
      </c>
    </row>
    <row r="2760" spans="1:16" hidden="1" x14ac:dyDescent="0.35">
      <c r="A2760" s="3">
        <f xml:space="preserve"> ROW( data_scaledImpacts[[#This Row],[row_id]] ) - ROW( data_scaledImpacts[[#Headers],[row_id]] )</f>
        <v>2759</v>
      </c>
      <c r="B2760" s="41" t="str">
        <f xml:space="preserve"> _xlfn.TEXTJOIN( "", , data_scaledImpacts[[#This Row],[sector]:[impactType]] )</f>
        <v>CILCrimeMIROC53N/AViolent</v>
      </c>
      <c r="C2760" s="33" t="s">
        <v>1225</v>
      </c>
      <c r="D2760" s="33" t="s">
        <v>4</v>
      </c>
      <c r="E2760" s="34">
        <v>3</v>
      </c>
      <c r="F2760" s="34"/>
      <c r="G2760" s="34" t="s">
        <v>201</v>
      </c>
      <c r="H2760" t="s">
        <v>1219</v>
      </c>
      <c r="I2760" s="43" t="s">
        <v>53</v>
      </c>
      <c r="J2760" s="111">
        <v>1312.7970404276389</v>
      </c>
      <c r="K2760" s="38">
        <v>1593.915783763809</v>
      </c>
      <c r="L2760" s="38">
        <v>55.999008753467251</v>
      </c>
      <c r="M2760" s="38">
        <v>64.857779849223064</v>
      </c>
      <c r="N2760" s="38">
        <v>1543.5867593568967</v>
      </c>
      <c r="O2760" s="38">
        <v>773.61084747846257</v>
      </c>
      <c r="P2760" s="110">
        <v>639.66907809764723</v>
      </c>
    </row>
    <row r="2761" spans="1:16" hidden="1" x14ac:dyDescent="0.35">
      <c r="A2761" s="3">
        <f xml:space="preserve"> ROW( data_scaledImpacts[[#This Row],[row_id]] ) - ROW( data_scaledImpacts[[#Headers],[row_id]] )</f>
        <v>2760</v>
      </c>
      <c r="B2761" s="41" t="str">
        <f xml:space="preserve"> _xlfn.TEXTJOIN( "", , data_scaledImpacts[[#This Row],[sector]:[impactType]] )</f>
        <v>CILCrimeMIROC54N/AViolent</v>
      </c>
      <c r="C2761" s="33" t="s">
        <v>1225</v>
      </c>
      <c r="D2761" s="33" t="s">
        <v>4</v>
      </c>
      <c r="E2761" s="34">
        <v>4</v>
      </c>
      <c r="F2761" s="34"/>
      <c r="G2761" s="34" t="s">
        <v>201</v>
      </c>
      <c r="H2761" t="s">
        <v>1219</v>
      </c>
      <c r="I2761" s="43" t="s">
        <v>60</v>
      </c>
      <c r="J2761" s="111">
        <v>1925.0093586999715</v>
      </c>
      <c r="K2761" s="38">
        <v>2059.3517222288465</v>
      </c>
      <c r="L2761" s="38">
        <v>105.3120775853437</v>
      </c>
      <c r="M2761" s="38">
        <v>143.50389704231534</v>
      </c>
      <c r="N2761" s="38">
        <v>1971.1907306022651</v>
      </c>
      <c r="O2761" s="38">
        <v>993.90325221346586</v>
      </c>
      <c r="P2761" s="110">
        <v>872.68040849292515</v>
      </c>
    </row>
    <row r="2762" spans="1:16" hidden="1" x14ac:dyDescent="0.35">
      <c r="A2762" s="3">
        <f xml:space="preserve"> ROW( data_scaledImpacts[[#This Row],[row_id]] ) - ROW( data_scaledImpacts[[#Headers],[row_id]] )</f>
        <v>2761</v>
      </c>
      <c r="B2762" s="41" t="str">
        <f xml:space="preserve"> _xlfn.TEXTJOIN( "", , data_scaledImpacts[[#This Row],[sector]:[impactType]] )</f>
        <v>CILCrimeMIROC55N/AViolent</v>
      </c>
      <c r="C2762" s="33" t="s">
        <v>1225</v>
      </c>
      <c r="D2762" s="33" t="s">
        <v>4</v>
      </c>
      <c r="E2762" s="34">
        <v>5</v>
      </c>
      <c r="F2762" s="34"/>
      <c r="G2762" s="34" t="s">
        <v>201</v>
      </c>
      <c r="H2762" t="s">
        <v>1219</v>
      </c>
      <c r="I2762" s="43" t="s">
        <v>67</v>
      </c>
      <c r="J2762" s="111">
        <v>2334.8700971567437</v>
      </c>
      <c r="K2762" s="38">
        <v>2467.7771511152132</v>
      </c>
      <c r="L2762" s="38">
        <v>136.26700040679404</v>
      </c>
      <c r="M2762" s="38">
        <v>192.17203153271711</v>
      </c>
      <c r="N2762" s="38">
        <v>2375.5670851198561</v>
      </c>
      <c r="O2762" s="38">
        <v>1218.1966596059394</v>
      </c>
      <c r="P2762" s="110">
        <v>1094.6623563933849</v>
      </c>
    </row>
    <row r="2763" spans="1:16" hidden="1" x14ac:dyDescent="0.35">
      <c r="A2763" s="3">
        <f xml:space="preserve"> ROW( data_scaledImpacts[[#This Row],[row_id]] ) - ROW( data_scaledImpacts[[#Headers],[row_id]] )</f>
        <v>2762</v>
      </c>
      <c r="B2763" s="41" t="str">
        <f xml:space="preserve"> _xlfn.TEXTJOIN( "", , data_scaledImpacts[[#This Row],[sector]:[impactType]] )</f>
        <v>ATSExtremeTempCanESM21mean</v>
      </c>
      <c r="C2763" s="33" t="s">
        <v>1243</v>
      </c>
      <c r="D2763" s="33" t="s">
        <v>0</v>
      </c>
      <c r="E2763" s="34">
        <v>1</v>
      </c>
      <c r="F2763" s="34"/>
      <c r="G2763" s="34" t="s">
        <v>1244</v>
      </c>
      <c r="H2763" s="35"/>
      <c r="I2763" s="43" t="s">
        <v>35</v>
      </c>
      <c r="J2763" s="117">
        <v>5.2514531588903849E-5</v>
      </c>
      <c r="K2763" s="117">
        <v>5.8909027114161829E-5</v>
      </c>
      <c r="L2763" s="117">
        <v>4.2765686750168582E-5</v>
      </c>
      <c r="M2763" s="117">
        <v>4.0047462719415631E-5</v>
      </c>
      <c r="N2763" s="117">
        <v>4.0689408318192168E-5</v>
      </c>
      <c r="O2763" s="117">
        <v>3.5726928550177215E-5</v>
      </c>
      <c r="P2763" s="117">
        <v>2.4464362506589127E-5</v>
      </c>
    </row>
    <row r="2764" spans="1:16" hidden="1" x14ac:dyDescent="0.35">
      <c r="A2764" s="3">
        <f xml:space="preserve"> ROW( data_scaledImpacts[[#This Row],[row_id]] ) - ROW( data_scaledImpacts[[#Headers],[row_id]] )</f>
        <v>2763</v>
      </c>
      <c r="B2764" s="41" t="str">
        <f xml:space="preserve"> _xlfn.TEXTJOIN( "", , data_scaledImpacts[[#This Row],[sector]:[impactType]] )</f>
        <v>ATSExtremeTempCanESM22mean</v>
      </c>
      <c r="C2764" s="33" t="s">
        <v>1243</v>
      </c>
      <c r="D2764" s="33" t="s">
        <v>0</v>
      </c>
      <c r="E2764" s="34">
        <v>2</v>
      </c>
      <c r="F2764" s="34"/>
      <c r="G2764" s="34" t="s">
        <v>1244</v>
      </c>
      <c r="H2764" s="35"/>
      <c r="I2764" s="43" t="s">
        <v>42</v>
      </c>
      <c r="J2764" s="117">
        <v>1.0815328390326149E-4</v>
      </c>
      <c r="K2764" s="117">
        <v>1.0754347776653553E-4</v>
      </c>
      <c r="L2764" s="117">
        <v>9.6985542825576366E-5</v>
      </c>
      <c r="M2764" s="117">
        <v>9.6379580086328236E-5</v>
      </c>
      <c r="N2764" s="117">
        <v>9.9073846493658146E-5</v>
      </c>
      <c r="O2764" s="117">
        <v>8.4883500755457208E-5</v>
      </c>
      <c r="P2764" s="117">
        <v>7.8663618527013965E-5</v>
      </c>
    </row>
    <row r="2765" spans="1:16" hidden="1" x14ac:dyDescent="0.35">
      <c r="A2765" s="3">
        <f xml:space="preserve"> ROW( data_scaledImpacts[[#This Row],[row_id]] ) - ROW( data_scaledImpacts[[#Headers],[row_id]] )</f>
        <v>2764</v>
      </c>
      <c r="B2765" s="41" t="str">
        <f xml:space="preserve"> _xlfn.TEXTJOIN( "", , data_scaledImpacts[[#This Row],[sector]:[impactType]] )</f>
        <v>ATSExtremeTempCanESM23mean</v>
      </c>
      <c r="C2765" s="33" t="s">
        <v>1243</v>
      </c>
      <c r="D2765" s="33" t="s">
        <v>0</v>
      </c>
      <c r="E2765" s="34">
        <v>3</v>
      </c>
      <c r="F2765" s="34"/>
      <c r="G2765" s="34" t="s">
        <v>1244</v>
      </c>
      <c r="H2765" s="35"/>
      <c r="I2765" s="43" t="s">
        <v>49</v>
      </c>
      <c r="J2765" s="117">
        <v>1.5583314002887489E-4</v>
      </c>
      <c r="K2765" s="117">
        <v>1.5857632445702815E-4</v>
      </c>
      <c r="L2765" s="117">
        <v>1.5063671490612784E-4</v>
      </c>
      <c r="M2765" s="117">
        <v>1.6042916513550213E-4</v>
      </c>
      <c r="N2765" s="117">
        <v>1.5917313834459178E-4</v>
      </c>
      <c r="O2765" s="117">
        <v>1.4260688465664518E-4</v>
      </c>
      <c r="P2765" s="117">
        <v>1.2975406028404053E-4</v>
      </c>
    </row>
    <row r="2766" spans="1:16" hidden="1" x14ac:dyDescent="0.35">
      <c r="A2766" s="3">
        <f xml:space="preserve"> ROW( data_scaledImpacts[[#This Row],[row_id]] ) - ROW( data_scaledImpacts[[#Headers],[row_id]] )</f>
        <v>2765</v>
      </c>
      <c r="B2766" s="41" t="str">
        <f xml:space="preserve"> _xlfn.TEXTJOIN( "", , data_scaledImpacts[[#This Row],[sector]:[impactType]] )</f>
        <v>ATSExtremeTempCanESM24mean</v>
      </c>
      <c r="C2766" s="33" t="s">
        <v>1243</v>
      </c>
      <c r="D2766" s="33" t="s">
        <v>0</v>
      </c>
      <c r="E2766" s="34">
        <v>4</v>
      </c>
      <c r="F2766" s="34"/>
      <c r="G2766" s="34" t="s">
        <v>1244</v>
      </c>
      <c r="H2766" s="35"/>
      <c r="I2766" s="43" t="s">
        <v>56</v>
      </c>
      <c r="J2766" s="117">
        <v>1.8928461161437141E-4</v>
      </c>
      <c r="K2766" s="117">
        <v>1.9375356301194494E-4</v>
      </c>
      <c r="L2766" s="117">
        <v>1.8112372229963974E-4</v>
      </c>
      <c r="M2766" s="117">
        <v>2.0852154237057895E-4</v>
      </c>
      <c r="N2766" s="117">
        <v>2.0124086708071885E-4</v>
      </c>
      <c r="O2766" s="117">
        <v>1.8739444479830787E-4</v>
      </c>
      <c r="P2766" s="117">
        <v>1.7444961026169239E-4</v>
      </c>
    </row>
    <row r="2767" spans="1:16" hidden="1" x14ac:dyDescent="0.35">
      <c r="A2767" s="3">
        <f xml:space="preserve"> ROW( data_scaledImpacts[[#This Row],[row_id]] ) - ROW( data_scaledImpacts[[#Headers],[row_id]] )</f>
        <v>2766</v>
      </c>
      <c r="B2767" s="41" t="str">
        <f xml:space="preserve"> _xlfn.TEXTJOIN( "", , data_scaledImpacts[[#This Row],[sector]:[impactType]] )</f>
        <v>ATSExtremeTempCanESM25mean</v>
      </c>
      <c r="C2767" s="33" t="s">
        <v>1243</v>
      </c>
      <c r="D2767" s="33" t="s">
        <v>0</v>
      </c>
      <c r="E2767" s="34">
        <v>5</v>
      </c>
      <c r="F2767" s="34"/>
      <c r="G2767" s="34" t="s">
        <v>1244</v>
      </c>
      <c r="H2767" s="35"/>
      <c r="I2767" s="43" t="s">
        <v>63</v>
      </c>
      <c r="J2767" s="117">
        <v>2.470554146856776E-4</v>
      </c>
      <c r="K2767" s="117">
        <v>2.4220457455051167E-4</v>
      </c>
      <c r="L2767" s="117">
        <v>2.4162556040973457E-4</v>
      </c>
      <c r="M2767" s="117">
        <v>2.5711753978803676E-4</v>
      </c>
      <c r="N2767" s="117">
        <v>2.414308979108094E-4</v>
      </c>
      <c r="O2767" s="117">
        <v>2.2285317315842433E-4</v>
      </c>
      <c r="P2767" s="117">
        <v>2.0948694498097945E-4</v>
      </c>
    </row>
    <row r="2768" spans="1:16" hidden="1" x14ac:dyDescent="0.35">
      <c r="A2768" s="3">
        <f xml:space="preserve"> ROW( data_scaledImpacts[[#This Row],[row_id]] ) - ROW( data_scaledImpacts[[#Headers],[row_id]] )</f>
        <v>2767</v>
      </c>
      <c r="B2768" s="41" t="str">
        <f xml:space="preserve"> _xlfn.TEXTJOIN( "", , data_scaledImpacts[[#This Row],[sector]:[impactType]] )</f>
        <v>ATSExtremeTempCanESM26mean</v>
      </c>
      <c r="C2768" s="33" t="s">
        <v>1243</v>
      </c>
      <c r="D2768" s="33" t="s">
        <v>0</v>
      </c>
      <c r="E2768" s="34">
        <v>6</v>
      </c>
      <c r="F2768" s="34"/>
      <c r="G2768" s="34" t="s">
        <v>1244</v>
      </c>
      <c r="H2768" s="35"/>
      <c r="I2768" s="43" t="s">
        <v>70</v>
      </c>
      <c r="J2768" s="117">
        <v>2.9738801096379058E-4</v>
      </c>
      <c r="K2768" s="117">
        <v>2.9589941644588512E-4</v>
      </c>
      <c r="L2768" s="117">
        <v>2.8600270531065292E-4</v>
      </c>
      <c r="M2768" s="117">
        <v>3.0928866667278318E-4</v>
      </c>
      <c r="N2768" s="117">
        <v>2.9298011726756326E-4</v>
      </c>
      <c r="O2768" s="117">
        <v>2.6909079654946407E-4</v>
      </c>
      <c r="P2768" s="117">
        <v>2.5465581241363946E-4</v>
      </c>
    </row>
    <row r="2769" spans="1:16" hidden="1" x14ac:dyDescent="0.35">
      <c r="A2769" s="3">
        <f xml:space="preserve"> ROW( data_scaledImpacts[[#This Row],[row_id]] ) - ROW( data_scaledImpacts[[#Headers],[row_id]] )</f>
        <v>2768</v>
      </c>
      <c r="B2769" s="41" t="str">
        <f xml:space="preserve"> _xlfn.TEXTJOIN( "", , data_scaledImpacts[[#This Row],[sector]:[impactType]] )</f>
        <v>ATSExtremeTempCCSM41mean</v>
      </c>
      <c r="C2769" s="33" t="s">
        <v>1243</v>
      </c>
      <c r="D2769" s="33" t="s">
        <v>1</v>
      </c>
      <c r="E2769" s="34">
        <v>1</v>
      </c>
      <c r="F2769" s="34"/>
      <c r="G2769" s="34" t="s">
        <v>1244</v>
      </c>
      <c r="H2769" s="35"/>
      <c r="I2769" s="43" t="s">
        <v>36</v>
      </c>
      <c r="J2769" s="117">
        <v>4.8410615531342089E-5</v>
      </c>
      <c r="K2769" s="117">
        <v>3.8008257812000717E-5</v>
      </c>
      <c r="L2769" s="117">
        <v>4.7000674020439516E-5</v>
      </c>
      <c r="M2769" s="117">
        <v>2.924733009882255E-5</v>
      </c>
      <c r="N2769" s="117">
        <v>3.7833103177672171E-5</v>
      </c>
      <c r="O2769" s="117">
        <v>3.8116917978065835E-5</v>
      </c>
      <c r="P2769" s="117">
        <v>2.5289604141298103E-5</v>
      </c>
    </row>
    <row r="2770" spans="1:16" hidden="1" x14ac:dyDescent="0.35">
      <c r="A2770" s="3">
        <f xml:space="preserve"> ROW( data_scaledImpacts[[#This Row],[row_id]] ) - ROW( data_scaledImpacts[[#Headers],[row_id]] )</f>
        <v>2769</v>
      </c>
      <c r="B2770" s="41" t="str">
        <f xml:space="preserve"> _xlfn.TEXTJOIN( "", , data_scaledImpacts[[#This Row],[sector]:[impactType]] )</f>
        <v>ATSExtremeTempCCSM42mean</v>
      </c>
      <c r="C2770" s="33" t="s">
        <v>1243</v>
      </c>
      <c r="D2770" s="33" t="s">
        <v>1</v>
      </c>
      <c r="E2770" s="34">
        <v>2</v>
      </c>
      <c r="F2770" s="34"/>
      <c r="G2770" s="34" t="s">
        <v>1244</v>
      </c>
      <c r="H2770" s="35"/>
      <c r="I2770" s="43" t="s">
        <v>43</v>
      </c>
      <c r="J2770" s="117">
        <v>1.0042633084760385E-4</v>
      </c>
      <c r="K2770" s="117">
        <v>8.8592802754527505E-5</v>
      </c>
      <c r="L2770" s="117">
        <v>1.0210794171846017E-4</v>
      </c>
      <c r="M2770" s="117">
        <v>8.3876085010051022E-5</v>
      </c>
      <c r="N2770" s="117">
        <v>9.1019896730756535E-5</v>
      </c>
      <c r="O2770" s="117">
        <v>1.0251976814528998E-4</v>
      </c>
      <c r="P2770" s="117">
        <v>7.6814643832939423E-5</v>
      </c>
    </row>
    <row r="2771" spans="1:16" hidden="1" x14ac:dyDescent="0.35">
      <c r="A2771" s="3">
        <f xml:space="preserve"> ROW( data_scaledImpacts[[#This Row],[row_id]] ) - ROW( data_scaledImpacts[[#Headers],[row_id]] )</f>
        <v>2770</v>
      </c>
      <c r="B2771" s="41" t="str">
        <f xml:space="preserve"> _xlfn.TEXTJOIN( "", , data_scaledImpacts[[#This Row],[sector]:[impactType]] )</f>
        <v>ATSExtremeTempCCSM43mean</v>
      </c>
      <c r="C2771" s="33" t="s">
        <v>1243</v>
      </c>
      <c r="D2771" s="33" t="s">
        <v>1</v>
      </c>
      <c r="E2771" s="34">
        <v>3</v>
      </c>
      <c r="F2771" s="34"/>
      <c r="G2771" s="34" t="s">
        <v>1244</v>
      </c>
      <c r="H2771" s="35"/>
      <c r="I2771" s="43" t="s">
        <v>50</v>
      </c>
      <c r="J2771" s="117">
        <v>1.6057109466261098E-4</v>
      </c>
      <c r="K2771" s="117">
        <v>1.42475247156256E-4</v>
      </c>
      <c r="L2771" s="117">
        <v>1.4759972402037558E-4</v>
      </c>
      <c r="M2771" s="117">
        <v>1.3224364167758763E-4</v>
      </c>
      <c r="N2771" s="117">
        <v>1.5408133247161494E-4</v>
      </c>
      <c r="O2771" s="117">
        <v>1.4921419579132486E-4</v>
      </c>
      <c r="P2771" s="117">
        <v>1.1217347480520852E-4</v>
      </c>
    </row>
    <row r="2772" spans="1:16" hidden="1" x14ac:dyDescent="0.35">
      <c r="A2772" s="3">
        <f xml:space="preserve"> ROW( data_scaledImpacts[[#This Row],[row_id]] ) - ROW( data_scaledImpacts[[#Headers],[row_id]] )</f>
        <v>2771</v>
      </c>
      <c r="B2772" s="41" t="str">
        <f xml:space="preserve"> _xlfn.TEXTJOIN( "", , data_scaledImpacts[[#This Row],[sector]:[impactType]] )</f>
        <v>ATSExtremeTempCCSM44mean</v>
      </c>
      <c r="C2772" s="33" t="s">
        <v>1243</v>
      </c>
      <c r="D2772" s="33" t="s">
        <v>1</v>
      </c>
      <c r="E2772" s="34">
        <v>4</v>
      </c>
      <c r="F2772" s="34"/>
      <c r="G2772" s="34" t="s">
        <v>1244</v>
      </c>
      <c r="H2772" s="35"/>
      <c r="I2772" s="43" t="s">
        <v>57</v>
      </c>
      <c r="J2772" s="117">
        <v>2.0500822713218005E-4</v>
      </c>
      <c r="K2772" s="117">
        <v>1.9253110075674373E-4</v>
      </c>
      <c r="L2772" s="117">
        <v>1.9533958816634478E-4</v>
      </c>
      <c r="M2772" s="117">
        <v>1.8588371215720769E-4</v>
      </c>
      <c r="N2772" s="117">
        <v>2.0072770786600316E-4</v>
      </c>
      <c r="O2772" s="117">
        <v>1.8323693112301474E-4</v>
      </c>
      <c r="P2772" s="117">
        <v>1.5273143253112352E-4</v>
      </c>
    </row>
    <row r="2773" spans="1:16" hidden="1" x14ac:dyDescent="0.35">
      <c r="A2773" s="3">
        <f xml:space="preserve"> ROW( data_scaledImpacts[[#This Row],[row_id]] ) - ROW( data_scaledImpacts[[#Headers],[row_id]] )</f>
        <v>2772</v>
      </c>
      <c r="B2773" s="41" t="str">
        <f xml:space="preserve"> _xlfn.TEXTJOIN( "", , data_scaledImpacts[[#This Row],[sector]:[impactType]] )</f>
        <v>ATSExtremeTempCCSM45mean</v>
      </c>
      <c r="C2773" s="33" t="s">
        <v>1243</v>
      </c>
      <c r="D2773" s="33" t="s">
        <v>1</v>
      </c>
      <c r="E2773" s="34">
        <v>5</v>
      </c>
      <c r="F2773" s="34"/>
      <c r="G2773" s="34" t="s">
        <v>1244</v>
      </c>
      <c r="H2773" s="35"/>
      <c r="I2773" s="43" t="s">
        <v>64</v>
      </c>
      <c r="J2773" s="117">
        <v>2.5674010211038827E-4</v>
      </c>
      <c r="K2773" s="117">
        <v>2.3822211662538091E-4</v>
      </c>
      <c r="L2773" s="117">
        <v>2.4242821977748225E-4</v>
      </c>
      <c r="M2773" s="117">
        <v>2.1270172572562259E-4</v>
      </c>
      <c r="N2773" s="117">
        <v>2.6371874080711191E-4</v>
      </c>
      <c r="O2773" s="117">
        <v>2.4570574097188788E-4</v>
      </c>
      <c r="P2773" s="117">
        <v>1.8402895671673511E-4</v>
      </c>
    </row>
    <row r="2774" spans="1:16" hidden="1" x14ac:dyDescent="0.35">
      <c r="A2774" s="3">
        <f xml:space="preserve"> ROW( data_scaledImpacts[[#This Row],[row_id]] ) - ROW( data_scaledImpacts[[#Headers],[row_id]] )</f>
        <v>2773</v>
      </c>
      <c r="B2774" s="41" t="str">
        <f xml:space="preserve"> _xlfn.TEXTJOIN( "", , data_scaledImpacts[[#This Row],[sector]:[impactType]] )</f>
        <v>ATSExtremeTempCCSM46mean</v>
      </c>
      <c r="C2774" s="33" t="s">
        <v>1243</v>
      </c>
      <c r="D2774" s="33" t="s">
        <v>1</v>
      </c>
      <c r="E2774" s="34">
        <v>6</v>
      </c>
      <c r="F2774" s="34"/>
      <c r="G2774" s="34" t="s">
        <v>1244</v>
      </c>
      <c r="H2774" s="35"/>
      <c r="I2774" s="43" t="s">
        <v>71</v>
      </c>
      <c r="J2774" s="117"/>
      <c r="K2774" s="117"/>
      <c r="L2774" s="117"/>
      <c r="M2774" s="117"/>
      <c r="N2774" s="117"/>
      <c r="O2774" s="117"/>
      <c r="P2774" s="117"/>
    </row>
    <row r="2775" spans="1:16" hidden="1" x14ac:dyDescent="0.35">
      <c r="A2775" s="3">
        <f xml:space="preserve"> ROW( data_scaledImpacts[[#This Row],[row_id]] ) - ROW( data_scaledImpacts[[#Headers],[row_id]] )</f>
        <v>2774</v>
      </c>
      <c r="B2775" s="41" t="str">
        <f xml:space="preserve"> _xlfn.TEXTJOIN( "", , data_scaledImpacts[[#This Row],[sector]:[impactType]] )</f>
        <v>ATSExtremeTempGISS-E2-R1mean</v>
      </c>
      <c r="C2775" s="33" t="s">
        <v>1243</v>
      </c>
      <c r="D2775" s="33" t="s">
        <v>2</v>
      </c>
      <c r="E2775" s="34">
        <v>1</v>
      </c>
      <c r="F2775" s="34"/>
      <c r="G2775" s="34" t="s">
        <v>1244</v>
      </c>
      <c r="H2775" s="35"/>
      <c r="I2775" s="43" t="s">
        <v>37</v>
      </c>
      <c r="J2775" s="117">
        <v>6.2032369226999606E-5</v>
      </c>
      <c r="K2775" s="117">
        <v>5.8883831381111665E-5</v>
      </c>
      <c r="L2775" s="117">
        <v>4.9106224135166902E-5</v>
      </c>
      <c r="M2775" s="117">
        <v>3.6740173983763286E-5</v>
      </c>
      <c r="N2775" s="117">
        <v>5.1488354915788584E-5</v>
      </c>
      <c r="O2775" s="117">
        <v>3.7715656678442398E-5</v>
      </c>
      <c r="P2775" s="117">
        <v>2.5644139890231801E-5</v>
      </c>
    </row>
    <row r="2776" spans="1:16" hidden="1" x14ac:dyDescent="0.35">
      <c r="A2776" s="3">
        <f xml:space="preserve"> ROW( data_scaledImpacts[[#This Row],[row_id]] ) - ROW( data_scaledImpacts[[#Headers],[row_id]] )</f>
        <v>2775</v>
      </c>
      <c r="B2776" s="41" t="str">
        <f xml:space="preserve"> _xlfn.TEXTJOIN( "", , data_scaledImpacts[[#This Row],[sector]:[impactType]] )</f>
        <v>ATSExtremeTempGISS-E2-R2mean</v>
      </c>
      <c r="C2776" s="33" t="s">
        <v>1243</v>
      </c>
      <c r="D2776" s="33" t="s">
        <v>2</v>
      </c>
      <c r="E2776" s="34">
        <v>2</v>
      </c>
      <c r="F2776" s="34"/>
      <c r="G2776" s="34" t="s">
        <v>1244</v>
      </c>
      <c r="H2776" s="35"/>
      <c r="I2776" s="43" t="s">
        <v>44</v>
      </c>
      <c r="J2776" s="117">
        <v>1.2914377396347918E-4</v>
      </c>
      <c r="K2776" s="117">
        <v>1.2496511807465966E-4</v>
      </c>
      <c r="L2776" s="117">
        <v>8.6007828371716658E-5</v>
      </c>
      <c r="M2776" s="117">
        <v>7.5919224834161017E-5</v>
      </c>
      <c r="N2776" s="117">
        <v>1.224027486098149E-4</v>
      </c>
      <c r="O2776" s="117">
        <v>9.7671469094336665E-5</v>
      </c>
      <c r="P2776" s="117">
        <v>7.9538004222725939E-5</v>
      </c>
    </row>
    <row r="2777" spans="1:16" hidden="1" x14ac:dyDescent="0.35">
      <c r="A2777" s="3">
        <f xml:space="preserve"> ROW( data_scaledImpacts[[#This Row],[row_id]] ) - ROW( data_scaledImpacts[[#Headers],[row_id]] )</f>
        <v>2776</v>
      </c>
      <c r="B2777" s="41" t="str">
        <f xml:space="preserve"> _xlfn.TEXTJOIN( "", , data_scaledImpacts[[#This Row],[sector]:[impactType]] )</f>
        <v>ATSExtremeTempGISS-E2-R3mean</v>
      </c>
      <c r="C2777" s="33" t="s">
        <v>1243</v>
      </c>
      <c r="D2777" s="33" t="s">
        <v>2</v>
      </c>
      <c r="E2777" s="34">
        <v>3</v>
      </c>
      <c r="F2777" s="34"/>
      <c r="G2777" s="34" t="s">
        <v>1244</v>
      </c>
      <c r="H2777" s="35"/>
      <c r="I2777" s="43" t="s">
        <v>51</v>
      </c>
      <c r="J2777" s="117">
        <v>1.795528379258279E-4</v>
      </c>
      <c r="K2777" s="117">
        <v>1.6387403910391322E-4</v>
      </c>
      <c r="L2777" s="117">
        <v>1.3807051115649212E-4</v>
      </c>
      <c r="M2777" s="117">
        <v>1.0244716358524407E-4</v>
      </c>
      <c r="N2777" s="117">
        <v>1.7220227215253368E-4</v>
      </c>
      <c r="O2777" s="117">
        <v>1.4286020579994487E-4</v>
      </c>
      <c r="P2777" s="117">
        <v>1.1736362325575695E-4</v>
      </c>
    </row>
    <row r="2778" spans="1:16" hidden="1" x14ac:dyDescent="0.35">
      <c r="A2778" s="3">
        <f xml:space="preserve"> ROW( data_scaledImpacts[[#This Row],[row_id]] ) - ROW( data_scaledImpacts[[#Headers],[row_id]] )</f>
        <v>2777</v>
      </c>
      <c r="B2778" s="41" t="str">
        <f xml:space="preserve"> _xlfn.TEXTJOIN( "", , data_scaledImpacts[[#This Row],[sector]:[impactType]] )</f>
        <v>ATSExtremeTempGISS-E2-R4mean</v>
      </c>
      <c r="C2778" s="33" t="s">
        <v>1243</v>
      </c>
      <c r="D2778" s="33" t="s">
        <v>2</v>
      </c>
      <c r="E2778" s="34">
        <v>4</v>
      </c>
      <c r="F2778" s="34"/>
      <c r="G2778" s="34" t="s">
        <v>1244</v>
      </c>
      <c r="H2778" s="35"/>
      <c r="I2778" s="43" t="s">
        <v>58</v>
      </c>
      <c r="J2778" s="117"/>
      <c r="K2778" s="117"/>
      <c r="L2778" s="117"/>
      <c r="M2778" s="117"/>
      <c r="N2778" s="117"/>
      <c r="O2778" s="117"/>
      <c r="P2778" s="117"/>
    </row>
    <row r="2779" spans="1:16" hidden="1" x14ac:dyDescent="0.35">
      <c r="A2779" s="3">
        <f xml:space="preserve"> ROW( data_scaledImpacts[[#This Row],[row_id]] ) - ROW( data_scaledImpacts[[#Headers],[row_id]] )</f>
        <v>2778</v>
      </c>
      <c r="B2779" s="41" t="str">
        <f xml:space="preserve"> _xlfn.TEXTJOIN( "", , data_scaledImpacts[[#This Row],[sector]:[impactType]] )</f>
        <v>ATSExtremeTempGISS-E2-R5mean</v>
      </c>
      <c r="C2779" s="33" t="s">
        <v>1243</v>
      </c>
      <c r="D2779" s="33" t="s">
        <v>2</v>
      </c>
      <c r="E2779" s="34">
        <v>5</v>
      </c>
      <c r="F2779" s="34"/>
      <c r="G2779" s="34" t="s">
        <v>1244</v>
      </c>
      <c r="H2779" s="35"/>
      <c r="I2779" s="43" t="s">
        <v>65</v>
      </c>
      <c r="J2779" s="117"/>
      <c r="K2779" s="117"/>
      <c r="L2779" s="117"/>
      <c r="M2779" s="117"/>
      <c r="N2779" s="117"/>
      <c r="O2779" s="117"/>
      <c r="P2779" s="117"/>
    </row>
    <row r="2780" spans="1:16" hidden="1" x14ac:dyDescent="0.35">
      <c r="A2780" s="3">
        <f xml:space="preserve"> ROW( data_scaledImpacts[[#This Row],[row_id]] ) - ROW( data_scaledImpacts[[#Headers],[row_id]] )</f>
        <v>2779</v>
      </c>
      <c r="B2780" s="41" t="str">
        <f xml:space="preserve"> _xlfn.TEXTJOIN( "", , data_scaledImpacts[[#This Row],[sector]:[impactType]] )</f>
        <v>ATSExtremeTempGISS-E2-R6mean</v>
      </c>
      <c r="C2780" s="33" t="s">
        <v>1243</v>
      </c>
      <c r="D2780" s="33" t="s">
        <v>2</v>
      </c>
      <c r="E2780" s="34">
        <v>6</v>
      </c>
      <c r="F2780" s="34"/>
      <c r="G2780" s="34" t="s">
        <v>1244</v>
      </c>
      <c r="H2780" s="35"/>
      <c r="I2780" s="43" t="s">
        <v>72</v>
      </c>
      <c r="J2780" s="117"/>
      <c r="K2780" s="117"/>
      <c r="L2780" s="117"/>
      <c r="M2780" s="117"/>
      <c r="N2780" s="117"/>
      <c r="O2780" s="117"/>
      <c r="P2780" s="117"/>
    </row>
    <row r="2781" spans="1:16" hidden="1" x14ac:dyDescent="0.35">
      <c r="A2781" s="3">
        <f xml:space="preserve"> ROW( data_scaledImpacts[[#This Row],[row_id]] ) - ROW( data_scaledImpacts[[#Headers],[row_id]] )</f>
        <v>2780</v>
      </c>
      <c r="B2781" s="41" t="str">
        <f xml:space="preserve"> _xlfn.TEXTJOIN( "", , data_scaledImpacts[[#This Row],[sector]:[impactType]] )</f>
        <v>ATSExtremeTempHadGEM2-ES1mean</v>
      </c>
      <c r="C2781" s="33" t="s">
        <v>1243</v>
      </c>
      <c r="D2781" s="33" t="s">
        <v>3</v>
      </c>
      <c r="E2781" s="34">
        <v>1</v>
      </c>
      <c r="F2781" s="34"/>
      <c r="G2781" s="34" t="s">
        <v>1244</v>
      </c>
      <c r="H2781" s="35"/>
      <c r="I2781" s="43" t="s">
        <v>38</v>
      </c>
      <c r="J2781" s="117">
        <v>6.6382206718627746E-5</v>
      </c>
      <c r="K2781" s="117">
        <v>5.5294419668398282E-5</v>
      </c>
      <c r="L2781" s="117">
        <v>4.0488556342703673E-5</v>
      </c>
      <c r="M2781" s="117">
        <v>4.1217374211548998E-5</v>
      </c>
      <c r="N2781" s="117">
        <v>6.2688066982731529E-5</v>
      </c>
      <c r="O2781" s="117">
        <v>4.0932742718476761E-5</v>
      </c>
      <c r="P2781" s="117">
        <v>1.7356315509044951E-5</v>
      </c>
    </row>
    <row r="2782" spans="1:16" hidden="1" x14ac:dyDescent="0.35">
      <c r="A2782" s="3">
        <f xml:space="preserve"> ROW( data_scaledImpacts[[#This Row],[row_id]] ) - ROW( data_scaledImpacts[[#Headers],[row_id]] )</f>
        <v>2781</v>
      </c>
      <c r="B2782" s="41" t="str">
        <f xml:space="preserve"> _xlfn.TEXTJOIN( "", , data_scaledImpacts[[#This Row],[sector]:[impactType]] )</f>
        <v>ATSExtremeTempHadGEM2-ES2mean</v>
      </c>
      <c r="C2782" s="33" t="s">
        <v>1243</v>
      </c>
      <c r="D2782" s="33" t="s">
        <v>3</v>
      </c>
      <c r="E2782" s="34">
        <v>2</v>
      </c>
      <c r="F2782" s="34"/>
      <c r="G2782" s="34" t="s">
        <v>1244</v>
      </c>
      <c r="H2782" s="35"/>
      <c r="I2782" s="43" t="s">
        <v>45</v>
      </c>
      <c r="J2782" s="117">
        <v>1.0778901618770991E-4</v>
      </c>
      <c r="K2782" s="117">
        <v>8.5417685666125656E-5</v>
      </c>
      <c r="L2782" s="117">
        <v>9.4797753574889685E-5</v>
      </c>
      <c r="M2782" s="117">
        <v>8.3135098101263437E-5</v>
      </c>
      <c r="N2782" s="117">
        <v>1.0158281165701367E-4</v>
      </c>
      <c r="O2782" s="117">
        <v>9.7378613280679917E-5</v>
      </c>
      <c r="P2782" s="117">
        <v>5.8100341725708294E-5</v>
      </c>
    </row>
    <row r="2783" spans="1:16" hidden="1" x14ac:dyDescent="0.35">
      <c r="A2783" s="3">
        <f xml:space="preserve"> ROW( data_scaledImpacts[[#This Row],[row_id]] ) - ROW( data_scaledImpacts[[#Headers],[row_id]] )</f>
        <v>2782</v>
      </c>
      <c r="B2783" s="41" t="str">
        <f xml:space="preserve"> _xlfn.TEXTJOIN( "", , data_scaledImpacts[[#This Row],[sector]:[impactType]] )</f>
        <v>ATSExtremeTempHadGEM2-ES3mean</v>
      </c>
      <c r="C2783" s="33" t="s">
        <v>1243</v>
      </c>
      <c r="D2783" s="33" t="s">
        <v>3</v>
      </c>
      <c r="E2783" s="34">
        <v>3</v>
      </c>
      <c r="F2783" s="34"/>
      <c r="G2783" s="34" t="s">
        <v>1244</v>
      </c>
      <c r="H2783" s="35"/>
      <c r="I2783" s="43" t="s">
        <v>52</v>
      </c>
      <c r="J2783" s="117">
        <v>1.8738271841795727E-4</v>
      </c>
      <c r="K2783" s="117">
        <v>1.6136151288703306E-4</v>
      </c>
      <c r="L2783" s="117">
        <v>1.5652670735990328E-4</v>
      </c>
      <c r="M2783" s="117">
        <v>1.235384110926749E-4</v>
      </c>
      <c r="N2783" s="117">
        <v>1.7881106708276623E-4</v>
      </c>
      <c r="O2783" s="117">
        <v>1.5834848611035146E-4</v>
      </c>
      <c r="P2783" s="117">
        <v>9.8792402517981442E-5</v>
      </c>
    </row>
    <row r="2784" spans="1:16" hidden="1" x14ac:dyDescent="0.35">
      <c r="A2784" s="3">
        <f xml:space="preserve"> ROW( data_scaledImpacts[[#This Row],[row_id]] ) - ROW( data_scaledImpacts[[#Headers],[row_id]] )</f>
        <v>2783</v>
      </c>
      <c r="B2784" s="41" t="str">
        <f xml:space="preserve"> _xlfn.TEXTJOIN( "", , data_scaledImpacts[[#This Row],[sector]:[impactType]] )</f>
        <v>ATSExtremeTempHadGEM2-ES4mean</v>
      </c>
      <c r="C2784" s="33" t="s">
        <v>1243</v>
      </c>
      <c r="D2784" s="33" t="s">
        <v>3</v>
      </c>
      <c r="E2784" s="34">
        <v>4</v>
      </c>
      <c r="F2784" s="34"/>
      <c r="G2784" s="34" t="s">
        <v>1244</v>
      </c>
      <c r="H2784" s="35"/>
      <c r="I2784" s="43" t="s">
        <v>59</v>
      </c>
      <c r="J2784" s="117">
        <v>2.3063550896043446E-4</v>
      </c>
      <c r="K2784" s="117">
        <v>2.0502556230521179E-4</v>
      </c>
      <c r="L2784" s="117">
        <v>2.0255809261924233E-4</v>
      </c>
      <c r="M2784" s="117">
        <v>1.8971357970828408E-4</v>
      </c>
      <c r="N2784" s="117">
        <v>2.2403468449435496E-4</v>
      </c>
      <c r="O2784" s="117">
        <v>1.9660778485299557E-4</v>
      </c>
      <c r="P2784" s="117">
        <v>1.5486065446092457E-4</v>
      </c>
    </row>
    <row r="2785" spans="1:16" hidden="1" x14ac:dyDescent="0.35">
      <c r="A2785" s="3">
        <f xml:space="preserve"> ROW( data_scaledImpacts[[#This Row],[row_id]] ) - ROW( data_scaledImpacts[[#Headers],[row_id]] )</f>
        <v>2784</v>
      </c>
      <c r="B2785" s="41" t="str">
        <f xml:space="preserve"> _xlfn.TEXTJOIN( "", , data_scaledImpacts[[#This Row],[sector]:[impactType]] )</f>
        <v>ATSExtremeTempHadGEM2-ES5mean</v>
      </c>
      <c r="C2785" s="33" t="s">
        <v>1243</v>
      </c>
      <c r="D2785" s="33" t="s">
        <v>3</v>
      </c>
      <c r="E2785" s="34">
        <v>5</v>
      </c>
      <c r="F2785" s="34"/>
      <c r="G2785" s="34" t="s">
        <v>1244</v>
      </c>
      <c r="H2785" s="35"/>
      <c r="I2785" s="43" t="s">
        <v>66</v>
      </c>
      <c r="J2785" s="117">
        <v>2.702558047024999E-4</v>
      </c>
      <c r="K2785" s="117">
        <v>2.4310794696948812E-4</v>
      </c>
      <c r="L2785" s="117">
        <v>2.5053176244061224E-4</v>
      </c>
      <c r="M2785" s="117">
        <v>2.3809803133425082E-4</v>
      </c>
      <c r="N2785" s="117">
        <v>2.5423124043616523E-4</v>
      </c>
      <c r="O2785" s="117">
        <v>2.2233375635257626E-4</v>
      </c>
      <c r="P2785" s="117">
        <v>1.9036097553138065E-4</v>
      </c>
    </row>
    <row r="2786" spans="1:16" hidden="1" x14ac:dyDescent="0.35">
      <c r="A2786" s="3">
        <f xml:space="preserve"> ROW( data_scaledImpacts[[#This Row],[row_id]] ) - ROW( data_scaledImpacts[[#Headers],[row_id]] )</f>
        <v>2785</v>
      </c>
      <c r="B2786" s="41" t="str">
        <f xml:space="preserve"> _xlfn.TEXTJOIN( "", , data_scaledImpacts[[#This Row],[sector]:[impactType]] )</f>
        <v>ATSExtremeTempHadGEM2-ES6mean</v>
      </c>
      <c r="C2786" s="33" t="s">
        <v>1243</v>
      </c>
      <c r="D2786" s="33" t="s">
        <v>3</v>
      </c>
      <c r="E2786" s="34">
        <v>6</v>
      </c>
      <c r="F2786" s="34"/>
      <c r="G2786" s="34" t="s">
        <v>1244</v>
      </c>
      <c r="H2786" s="35"/>
      <c r="I2786" s="43" t="s">
        <v>73</v>
      </c>
      <c r="J2786" s="117">
        <v>3.3879921190244869E-4</v>
      </c>
      <c r="K2786" s="117">
        <v>3.0501613424431095E-4</v>
      </c>
      <c r="L2786" s="117">
        <v>2.9307328504854941E-4</v>
      </c>
      <c r="M2786" s="117">
        <v>2.7657721075442158E-4</v>
      </c>
      <c r="N2786" s="117">
        <v>3.1669109059391992E-4</v>
      </c>
      <c r="O2786" s="117">
        <v>2.6489738515711149E-4</v>
      </c>
      <c r="P2786" s="117">
        <v>2.2105776644824787E-4</v>
      </c>
    </row>
    <row r="2787" spans="1:16" hidden="1" x14ac:dyDescent="0.35">
      <c r="A2787" s="3">
        <f xml:space="preserve"> ROW( data_scaledImpacts[[#This Row],[row_id]] ) - ROW( data_scaledImpacts[[#Headers],[row_id]] )</f>
        <v>2786</v>
      </c>
      <c r="B2787" s="41" t="str">
        <f xml:space="preserve"> _xlfn.TEXTJOIN( "", , data_scaledImpacts[[#This Row],[sector]:[impactType]] )</f>
        <v>ATSExtremeTempMIROC51mean</v>
      </c>
      <c r="C2787" s="33" t="s">
        <v>1243</v>
      </c>
      <c r="D2787" s="33" t="s">
        <v>4</v>
      </c>
      <c r="E2787" s="34">
        <v>1</v>
      </c>
      <c r="F2787" s="34"/>
      <c r="G2787" s="34" t="s">
        <v>1244</v>
      </c>
      <c r="H2787" s="35"/>
      <c r="I2787" s="43" t="s">
        <v>39</v>
      </c>
      <c r="J2787" s="117">
        <v>6.0695767108034864E-5</v>
      </c>
      <c r="K2787" s="117">
        <v>5.1971071522647689E-5</v>
      </c>
      <c r="L2787" s="117">
        <v>4.4759341832154782E-5</v>
      </c>
      <c r="M2787" s="117">
        <v>3.082420638455606E-5</v>
      </c>
      <c r="N2787" s="117">
        <v>4.3615605986031172E-5</v>
      </c>
      <c r="O2787" s="117">
        <v>4.5478148343231302E-5</v>
      </c>
      <c r="P2787" s="117">
        <v>2.0192717678084217E-5</v>
      </c>
    </row>
    <row r="2788" spans="1:16" hidden="1" x14ac:dyDescent="0.35">
      <c r="A2788" s="3">
        <f xml:space="preserve"> ROW( data_scaledImpacts[[#This Row],[row_id]] ) - ROW( data_scaledImpacts[[#Headers],[row_id]] )</f>
        <v>2787</v>
      </c>
      <c r="B2788" s="41" t="str">
        <f xml:space="preserve"> _xlfn.TEXTJOIN( "", , data_scaledImpacts[[#This Row],[sector]:[impactType]] )</f>
        <v>ATSExtremeTempMIROC52mean</v>
      </c>
      <c r="C2788" s="33" t="s">
        <v>1243</v>
      </c>
      <c r="D2788" s="33" t="s">
        <v>4</v>
      </c>
      <c r="E2788" s="34">
        <v>2</v>
      </c>
      <c r="F2788" s="34"/>
      <c r="G2788" s="34" t="s">
        <v>1244</v>
      </c>
      <c r="H2788" s="35"/>
      <c r="I2788" s="43" t="s">
        <v>46</v>
      </c>
      <c r="J2788" s="117">
        <v>1.2262722122157355E-4</v>
      </c>
      <c r="K2788" s="117">
        <v>1.1093782594467235E-4</v>
      </c>
      <c r="L2788" s="117">
        <v>1.0749220963413818E-4</v>
      </c>
      <c r="M2788" s="117">
        <v>6.0899084925319091E-5</v>
      </c>
      <c r="N2788" s="117">
        <v>9.7301978112792145E-5</v>
      </c>
      <c r="O2788" s="117">
        <v>1.0380101308731005E-4</v>
      </c>
      <c r="P2788" s="117">
        <v>6.2921176264783235E-5</v>
      </c>
    </row>
    <row r="2789" spans="1:16" hidden="1" x14ac:dyDescent="0.35">
      <c r="A2789" s="3">
        <f xml:space="preserve"> ROW( data_scaledImpacts[[#This Row],[row_id]] ) - ROW( data_scaledImpacts[[#Headers],[row_id]] )</f>
        <v>2788</v>
      </c>
      <c r="B2789" s="41" t="str">
        <f xml:space="preserve"> _xlfn.TEXTJOIN( "", , data_scaledImpacts[[#This Row],[sector]:[impactType]] )</f>
        <v>ATSExtremeTempMIROC53mean</v>
      </c>
      <c r="C2789" s="33" t="s">
        <v>1243</v>
      </c>
      <c r="D2789" s="33" t="s">
        <v>4</v>
      </c>
      <c r="E2789" s="34">
        <v>3</v>
      </c>
      <c r="F2789" s="34"/>
      <c r="G2789" s="34" t="s">
        <v>1244</v>
      </c>
      <c r="H2789" s="35"/>
      <c r="I2789" s="43" t="s">
        <v>53</v>
      </c>
      <c r="J2789" s="117">
        <v>1.8589495982803994E-4</v>
      </c>
      <c r="K2789" s="117">
        <v>1.894985077441272E-4</v>
      </c>
      <c r="L2789" s="117">
        <v>1.5888389920049435E-4</v>
      </c>
      <c r="M2789" s="117">
        <v>9.6940223595957535E-5</v>
      </c>
      <c r="N2789" s="117">
        <v>1.6278568299800666E-4</v>
      </c>
      <c r="O2789" s="117">
        <v>1.6147102654041513E-4</v>
      </c>
      <c r="P2789" s="117">
        <v>1.0931998438689413E-4</v>
      </c>
    </row>
    <row r="2790" spans="1:16" hidden="1" x14ac:dyDescent="0.35">
      <c r="A2790" s="3">
        <f xml:space="preserve"> ROW( data_scaledImpacts[[#This Row],[row_id]] ) - ROW( data_scaledImpacts[[#Headers],[row_id]] )</f>
        <v>2789</v>
      </c>
      <c r="B2790" s="41" t="str">
        <f xml:space="preserve"> _xlfn.TEXTJOIN( "", , data_scaledImpacts[[#This Row],[sector]:[impactType]] )</f>
        <v>ATSExtremeTempMIROC54mean</v>
      </c>
      <c r="C2790" s="33" t="s">
        <v>1243</v>
      </c>
      <c r="D2790" s="33" t="s">
        <v>4</v>
      </c>
      <c r="E2790" s="34">
        <v>4</v>
      </c>
      <c r="F2790" s="34"/>
      <c r="G2790" s="34" t="s">
        <v>1244</v>
      </c>
      <c r="H2790" s="35"/>
      <c r="I2790" s="43" t="s">
        <v>60</v>
      </c>
      <c r="J2790" s="117">
        <v>2.4378496455805215E-4</v>
      </c>
      <c r="K2790" s="117">
        <v>2.3145178159228672E-4</v>
      </c>
      <c r="L2790" s="117">
        <v>2.1415679799782837E-4</v>
      </c>
      <c r="M2790" s="117">
        <v>1.3719486831322635E-4</v>
      </c>
      <c r="N2790" s="117">
        <v>2.0266346689414149E-4</v>
      </c>
      <c r="O2790" s="117">
        <v>2.0144373662604395E-4</v>
      </c>
      <c r="P2790" s="117">
        <v>1.3603042916363487E-4</v>
      </c>
    </row>
    <row r="2791" spans="1:16" hidden="1" x14ac:dyDescent="0.35">
      <c r="A2791" s="3">
        <f xml:space="preserve"> ROW( data_scaledImpacts[[#This Row],[row_id]] ) - ROW( data_scaledImpacts[[#Headers],[row_id]] )</f>
        <v>2790</v>
      </c>
      <c r="B2791" s="41" t="str">
        <f xml:space="preserve"> _xlfn.TEXTJOIN( "", , data_scaledImpacts[[#This Row],[sector]:[impactType]] )</f>
        <v>ATSExtremeTempMIROC55mean</v>
      </c>
      <c r="C2791" s="33" t="s">
        <v>1243</v>
      </c>
      <c r="D2791" s="33" t="s">
        <v>4</v>
      </c>
      <c r="E2791" s="34">
        <v>5</v>
      </c>
      <c r="F2791" s="34"/>
      <c r="G2791" s="34" t="s">
        <v>1244</v>
      </c>
      <c r="H2791" s="35"/>
      <c r="I2791" s="43" t="s">
        <v>67</v>
      </c>
      <c r="J2791" s="117">
        <v>2.943372077169427E-4</v>
      </c>
      <c r="K2791" s="117">
        <v>2.6720014432206975E-4</v>
      </c>
      <c r="L2791" s="117">
        <v>2.6308239840352869E-4</v>
      </c>
      <c r="M2791" s="117">
        <v>1.6965679649292781E-4</v>
      </c>
      <c r="N2791" s="117">
        <v>2.4517106198750717E-4</v>
      </c>
      <c r="O2791" s="117">
        <v>2.5829593916886916E-4</v>
      </c>
      <c r="P2791" s="117">
        <v>1.6822807393927558E-4</v>
      </c>
    </row>
    <row r="2792" spans="1:16" hidden="1" x14ac:dyDescent="0.35">
      <c r="A2792" s="3">
        <f xml:space="preserve"> ROW( data_scaledImpacts[[#This Row],[row_id]] ) - ROW( data_scaledImpacts[[#Headers],[row_id]] )</f>
        <v>2791</v>
      </c>
      <c r="B2792" s="41" t="str">
        <f xml:space="preserve"> _xlfn.TEXTJOIN( "", , data_scaledImpacts[[#This Row],[sector]:[impactType]] )</f>
        <v>ATSExtremeTempMIROC56mean</v>
      </c>
      <c r="C2792" s="33" t="s">
        <v>1243</v>
      </c>
      <c r="D2792" s="33" t="s">
        <v>4</v>
      </c>
      <c r="E2792" s="34">
        <v>6</v>
      </c>
      <c r="F2792" s="34"/>
      <c r="G2792" s="34" t="s">
        <v>1244</v>
      </c>
      <c r="H2792" s="35"/>
      <c r="I2792" s="43" t="s">
        <v>74</v>
      </c>
      <c r="J2792" s="117"/>
      <c r="K2792" s="117"/>
      <c r="L2792" s="117"/>
      <c r="M2792" s="117"/>
      <c r="N2792" s="117"/>
      <c r="O2792" s="117"/>
      <c r="P2792" s="117"/>
    </row>
    <row r="2793" spans="1:16" hidden="1" x14ac:dyDescent="0.35">
      <c r="A2793" s="3">
        <f xml:space="preserve"> ROW( data_scaledImpacts[[#This Row],[row_id]] ) - ROW( data_scaledImpacts[[#Headers],[row_id]] )</f>
        <v>2792</v>
      </c>
      <c r="B2793" s="41" t="str">
        <f xml:space="preserve"> _xlfn.TEXTJOIN( "", , data_scaledImpacts[[#This Row],[sector]:[impactType]] )</f>
        <v>ATSExtremeTempGFDL-CM31mean</v>
      </c>
      <c r="C2793" s="33" t="s">
        <v>1243</v>
      </c>
      <c r="D2793" s="33" t="s">
        <v>5</v>
      </c>
      <c r="E2793" s="34">
        <v>1</v>
      </c>
      <c r="F2793" s="34"/>
      <c r="G2793" s="34" t="s">
        <v>1244</v>
      </c>
      <c r="H2793" s="35"/>
      <c r="I2793" s="43" t="s">
        <v>40</v>
      </c>
      <c r="J2793" s="117">
        <v>6.1073256660910085E-5</v>
      </c>
      <c r="K2793" s="117">
        <v>6.2536753561144717E-5</v>
      </c>
      <c r="L2793" s="117">
        <v>3.293738283571172E-5</v>
      </c>
      <c r="M2793" s="117">
        <v>2.7346020092639174E-5</v>
      </c>
      <c r="N2793" s="117">
        <v>5.769349618495258E-5</v>
      </c>
      <c r="O2793" s="117">
        <v>4.7386340910546249E-5</v>
      </c>
      <c r="P2793" s="117">
        <v>2.3798251850556626E-5</v>
      </c>
    </row>
    <row r="2794" spans="1:16" hidden="1" x14ac:dyDescent="0.35">
      <c r="A2794" s="3">
        <f xml:space="preserve"> ROW( data_scaledImpacts[[#This Row],[row_id]] ) - ROW( data_scaledImpacts[[#Headers],[row_id]] )</f>
        <v>2793</v>
      </c>
      <c r="B2794" s="41" t="str">
        <f xml:space="preserve"> _xlfn.TEXTJOIN( "", , data_scaledImpacts[[#This Row],[sector]:[impactType]] )</f>
        <v>ATSExtremeTempGFDL-CM32mean</v>
      </c>
      <c r="C2794" s="33" t="s">
        <v>1243</v>
      </c>
      <c r="D2794" s="33" t="s">
        <v>5</v>
      </c>
      <c r="E2794" s="34">
        <v>2</v>
      </c>
      <c r="F2794" s="34"/>
      <c r="G2794" s="34" t="s">
        <v>1244</v>
      </c>
      <c r="H2794" s="35"/>
      <c r="I2794" s="43" t="s">
        <v>47</v>
      </c>
      <c r="J2794" s="117">
        <v>1.1163582602604235E-4</v>
      </c>
      <c r="K2794" s="117">
        <v>1.1848543271737066E-4</v>
      </c>
      <c r="L2794" s="117">
        <v>8.024596960519682E-5</v>
      </c>
      <c r="M2794" s="117">
        <v>6.6714205543956311E-5</v>
      </c>
      <c r="N2794" s="117">
        <v>1.1295936463166841E-4</v>
      </c>
      <c r="O2794" s="117">
        <v>9.2470968036920725E-5</v>
      </c>
      <c r="P2794" s="117">
        <v>6.1573109922567808E-5</v>
      </c>
    </row>
    <row r="2795" spans="1:16" hidden="1" x14ac:dyDescent="0.35">
      <c r="A2795" s="3">
        <f xml:space="preserve"> ROW( data_scaledImpacts[[#This Row],[row_id]] ) - ROW( data_scaledImpacts[[#Headers],[row_id]] )</f>
        <v>2794</v>
      </c>
      <c r="B2795" s="41" t="str">
        <f xml:space="preserve"> _xlfn.TEXTJOIN( "", , data_scaledImpacts[[#This Row],[sector]:[impactType]] )</f>
        <v>ATSExtremeTempGFDL-CM33mean</v>
      </c>
      <c r="C2795" s="33" t="s">
        <v>1243</v>
      </c>
      <c r="D2795" s="33" t="s">
        <v>5</v>
      </c>
      <c r="E2795" s="34">
        <v>3</v>
      </c>
      <c r="F2795" s="34"/>
      <c r="G2795" s="34" t="s">
        <v>1244</v>
      </c>
      <c r="H2795" s="35"/>
      <c r="I2795" s="43" t="s">
        <v>54</v>
      </c>
      <c r="J2795" s="117">
        <v>1.6341645836318602E-4</v>
      </c>
      <c r="K2795" s="117">
        <v>1.842311486075424E-4</v>
      </c>
      <c r="L2795" s="117">
        <v>1.3783595265282181E-4</v>
      </c>
      <c r="M2795" s="117">
        <v>1.328123951421038E-4</v>
      </c>
      <c r="N2795" s="117">
        <v>1.7554405634855234E-4</v>
      </c>
      <c r="O2795" s="117">
        <v>1.5021946462698965E-4</v>
      </c>
      <c r="P2795" s="117">
        <v>1.2711648503363834E-4</v>
      </c>
    </row>
    <row r="2796" spans="1:16" hidden="1" x14ac:dyDescent="0.35">
      <c r="A2796" s="3">
        <f xml:space="preserve"> ROW( data_scaledImpacts[[#This Row],[row_id]] ) - ROW( data_scaledImpacts[[#Headers],[row_id]] )</f>
        <v>2795</v>
      </c>
      <c r="B2796" s="41" t="str">
        <f xml:space="preserve"> _xlfn.TEXTJOIN( "", , data_scaledImpacts[[#This Row],[sector]:[impactType]] )</f>
        <v>ATSExtremeTempGFDL-CM34mean</v>
      </c>
      <c r="C2796" s="33" t="s">
        <v>1243</v>
      </c>
      <c r="D2796" s="33" t="s">
        <v>5</v>
      </c>
      <c r="E2796" s="34">
        <v>4</v>
      </c>
      <c r="F2796" s="34"/>
      <c r="G2796" s="34" t="s">
        <v>1244</v>
      </c>
      <c r="H2796" s="35"/>
      <c r="I2796" s="43" t="s">
        <v>61</v>
      </c>
      <c r="J2796" s="117">
        <v>2.0673842528109898E-4</v>
      </c>
      <c r="K2796" s="117">
        <v>2.2749130093248184E-4</v>
      </c>
      <c r="L2796" s="117">
        <v>1.6413877769832201E-4</v>
      </c>
      <c r="M2796" s="117">
        <v>1.6573269928739237E-4</v>
      </c>
      <c r="N2796" s="117">
        <v>2.2321510661938419E-4</v>
      </c>
      <c r="O2796" s="117">
        <v>1.939391177586045E-4</v>
      </c>
      <c r="P2796" s="117">
        <v>1.6345820830076483E-4</v>
      </c>
    </row>
    <row r="2797" spans="1:16" hidden="1" x14ac:dyDescent="0.35">
      <c r="A2797" s="3">
        <f xml:space="preserve"> ROW( data_scaledImpacts[[#This Row],[row_id]] ) - ROW( data_scaledImpacts[[#Headers],[row_id]] )</f>
        <v>2796</v>
      </c>
      <c r="B2797" s="41" t="str">
        <f xml:space="preserve"> _xlfn.TEXTJOIN( "", , data_scaledImpacts[[#This Row],[sector]:[impactType]] )</f>
        <v>ATSExtremeTempGFDL-CM35mean</v>
      </c>
      <c r="C2797" s="33" t="s">
        <v>1243</v>
      </c>
      <c r="D2797" s="33" t="s">
        <v>5</v>
      </c>
      <c r="E2797" s="34">
        <v>5</v>
      </c>
      <c r="F2797" s="34"/>
      <c r="G2797" s="34" t="s">
        <v>1244</v>
      </c>
      <c r="H2797" s="35"/>
      <c r="I2797" s="43" t="s">
        <v>68</v>
      </c>
      <c r="J2797" s="117">
        <v>2.6280059695395561E-4</v>
      </c>
      <c r="K2797" s="117">
        <v>2.6651671208084346E-4</v>
      </c>
      <c r="L2797" s="117">
        <v>2.2688719570950234E-4</v>
      </c>
      <c r="M2797" s="117">
        <v>1.9802677284033192E-4</v>
      </c>
      <c r="N2797" s="117">
        <v>2.6834258833147287E-4</v>
      </c>
      <c r="O2797" s="117">
        <v>2.4687398647425893E-4</v>
      </c>
      <c r="P2797" s="117">
        <v>2.0104909637816705E-4</v>
      </c>
    </row>
    <row r="2798" spans="1:16" hidden="1" x14ac:dyDescent="0.35">
      <c r="A2798" s="3">
        <f xml:space="preserve"> ROW( data_scaledImpacts[[#This Row],[row_id]] ) - ROW( data_scaledImpacts[[#Headers],[row_id]] )</f>
        <v>2797</v>
      </c>
      <c r="B2798" s="41" t="str">
        <f xml:space="preserve"> _xlfn.TEXTJOIN( "", , data_scaledImpacts[[#This Row],[sector]:[impactType]] )</f>
        <v>ATSExtremeTempGFDL-CM36mean</v>
      </c>
      <c r="C2798" s="33" t="s">
        <v>1243</v>
      </c>
      <c r="D2798" s="33" t="s">
        <v>5</v>
      </c>
      <c r="E2798" s="34">
        <v>6</v>
      </c>
      <c r="F2798" s="34"/>
      <c r="G2798" s="34" t="s">
        <v>1244</v>
      </c>
      <c r="H2798" s="35"/>
      <c r="I2798" s="43" t="s">
        <v>75</v>
      </c>
      <c r="J2798" s="117">
        <v>3.1348569473949056E-4</v>
      </c>
      <c r="K2798" s="117">
        <v>3.1729511964377583E-4</v>
      </c>
      <c r="L2798" s="117">
        <v>2.7467664626556223E-4</v>
      </c>
      <c r="M2798" s="117">
        <v>2.3774759666259131E-4</v>
      </c>
      <c r="N2798" s="117">
        <v>3.1798106967761551E-4</v>
      </c>
      <c r="O2798" s="117">
        <v>2.8281522846270054E-4</v>
      </c>
      <c r="P2798" s="117">
        <v>2.4642255897065285E-4</v>
      </c>
    </row>
    <row r="2799" spans="1:16" hidden="1" x14ac:dyDescent="0.35">
      <c r="A2799" s="3">
        <f xml:space="preserve"> ROW( data_scaledImpacts[[#This Row],[row_id]] ) - ROW( data_scaledImpacts[[#Headers],[row_id]] )</f>
        <v>2798</v>
      </c>
      <c r="B2799" s="41" t="str">
        <f xml:space="preserve"> _xlfn.TEXTJOIN( "", , data_scaledImpacts[[#This Row],[sector]:[impactType]] )</f>
        <v>ATSExtremeTempGCMAverage1mean</v>
      </c>
      <c r="C2799" s="33" t="s">
        <v>1243</v>
      </c>
      <c r="D2799" s="33" t="s">
        <v>1245</v>
      </c>
      <c r="E2799" s="34">
        <v>1</v>
      </c>
      <c r="F2799" s="34"/>
      <c r="G2799" s="34" t="s">
        <v>1244</v>
      </c>
      <c r="H2799" s="35"/>
      <c r="I2799" s="43" t="s">
        <v>1246</v>
      </c>
      <c r="J2799" s="117">
        <v>5.8518124472469703E-5</v>
      </c>
      <c r="K2799" s="117">
        <v>5.4267226843244147E-5</v>
      </c>
      <c r="L2799" s="117">
        <v>4.2842977652724199E-5</v>
      </c>
      <c r="M2799" s="117">
        <v>3.4237094581790951E-5</v>
      </c>
      <c r="N2799" s="117">
        <v>4.9001339260894701E-5</v>
      </c>
      <c r="O2799" s="117">
        <v>4.0892789196489959E-5</v>
      </c>
      <c r="P2799" s="117">
        <v>2.2790898595967472E-5</v>
      </c>
    </row>
    <row r="2800" spans="1:16" hidden="1" x14ac:dyDescent="0.35">
      <c r="A2800" s="3">
        <f xml:space="preserve"> ROW( data_scaledImpacts[[#This Row],[row_id]] ) - ROW( data_scaledImpacts[[#Headers],[row_id]] )</f>
        <v>2799</v>
      </c>
      <c r="B2800" s="41" t="str">
        <f xml:space="preserve"> _xlfn.TEXTJOIN( "", , data_scaledImpacts[[#This Row],[sector]:[impactType]] )</f>
        <v>ATSExtremeTempGCMAverage2mean</v>
      </c>
      <c r="C2800" s="33" t="s">
        <v>1243</v>
      </c>
      <c r="D2800" s="33" t="s">
        <v>1245</v>
      </c>
      <c r="E2800" s="34">
        <v>2</v>
      </c>
      <c r="F2800" s="34"/>
      <c r="G2800" s="34" t="s">
        <v>1244</v>
      </c>
      <c r="H2800" s="35"/>
      <c r="I2800" s="43" t="s">
        <v>1247</v>
      </c>
      <c r="J2800" s="117">
        <v>1.1329590869161173E-4</v>
      </c>
      <c r="K2800" s="117">
        <v>1.0599039048731522E-4</v>
      </c>
      <c r="L2800" s="117">
        <v>9.4606207621662981E-5</v>
      </c>
      <c r="M2800" s="117">
        <v>7.7820546416846527E-5</v>
      </c>
      <c r="N2800" s="117">
        <v>1.0405677437261731E-4</v>
      </c>
      <c r="O2800" s="117">
        <v>9.6454222066665737E-5</v>
      </c>
      <c r="P2800" s="117">
        <v>6.9601815749289773E-5</v>
      </c>
    </row>
    <row r="2801" spans="1:16" hidden="1" x14ac:dyDescent="0.35">
      <c r="A2801" s="3">
        <f xml:space="preserve"> ROW( data_scaledImpacts[[#This Row],[row_id]] ) - ROW( data_scaledImpacts[[#Headers],[row_id]] )</f>
        <v>2800</v>
      </c>
      <c r="B2801" s="41" t="str">
        <f xml:space="preserve"> _xlfn.TEXTJOIN( "", , data_scaledImpacts[[#This Row],[sector]:[impactType]] )</f>
        <v>ATSExtremeTempGCMAverage3mean</v>
      </c>
      <c r="C2801" s="33" t="s">
        <v>1243</v>
      </c>
      <c r="D2801" s="33" t="s">
        <v>1245</v>
      </c>
      <c r="E2801" s="34">
        <v>3</v>
      </c>
      <c r="F2801" s="34"/>
      <c r="G2801" s="34" t="s">
        <v>1244</v>
      </c>
      <c r="H2801" s="35"/>
      <c r="I2801" s="43" t="s">
        <v>1248</v>
      </c>
      <c r="J2801" s="117">
        <v>1.7210853487108281E-4</v>
      </c>
      <c r="K2801" s="117">
        <v>1.6666946332598333E-4</v>
      </c>
      <c r="L2801" s="117">
        <v>1.4825891821603583E-4</v>
      </c>
      <c r="M2801" s="117">
        <v>1.24735166704845E-4</v>
      </c>
      <c r="N2801" s="117">
        <v>1.6709959156634426E-4</v>
      </c>
      <c r="O2801" s="117">
        <v>1.5078671058761187E-4</v>
      </c>
      <c r="P2801" s="117">
        <v>1.1575333838058665E-4</v>
      </c>
    </row>
    <row r="2802" spans="1:16" hidden="1" x14ac:dyDescent="0.35">
      <c r="A2802" s="3">
        <f xml:space="preserve"> ROW( data_scaledImpacts[[#This Row],[row_id]] ) - ROW( data_scaledImpacts[[#Headers],[row_id]] )</f>
        <v>2801</v>
      </c>
      <c r="B2802" s="41" t="str">
        <f xml:space="preserve"> _xlfn.TEXTJOIN( "", , data_scaledImpacts[[#This Row],[sector]:[impactType]] )</f>
        <v>ATSExtremeTempGCMAverage4mean</v>
      </c>
      <c r="C2802" s="33" t="s">
        <v>1243</v>
      </c>
      <c r="D2802" s="33" t="s">
        <v>1245</v>
      </c>
      <c r="E2802" s="34">
        <v>4</v>
      </c>
      <c r="F2802" s="34"/>
      <c r="G2802" s="34" t="s">
        <v>1244</v>
      </c>
      <c r="H2802" s="35"/>
      <c r="I2802" s="43" t="s">
        <v>1249</v>
      </c>
      <c r="J2802" s="117">
        <v>2.1509034750922742E-4</v>
      </c>
      <c r="K2802" s="117">
        <v>2.1005066171973379E-4</v>
      </c>
      <c r="L2802" s="117">
        <v>1.9146339575627547E-4</v>
      </c>
      <c r="M2802" s="117">
        <v>1.7740928036733789E-4</v>
      </c>
      <c r="N2802" s="117">
        <v>2.1037636659092051E-4</v>
      </c>
      <c r="O2802" s="117">
        <v>1.9252440303179334E-4</v>
      </c>
      <c r="P2802" s="117">
        <v>1.5630606694362804E-4</v>
      </c>
    </row>
    <row r="2803" spans="1:16" hidden="1" x14ac:dyDescent="0.35">
      <c r="A2803" s="3">
        <f xml:space="preserve"> ROW( data_scaledImpacts[[#This Row],[row_id]] ) - ROW( data_scaledImpacts[[#Headers],[row_id]] )</f>
        <v>2802</v>
      </c>
      <c r="B2803" s="41" t="str">
        <f xml:space="preserve"> _xlfn.TEXTJOIN( "", , data_scaledImpacts[[#This Row],[sector]:[impactType]] )</f>
        <v>ATSExtremeTempGCMAverage5mean</v>
      </c>
      <c r="C2803" s="33" t="s">
        <v>1243</v>
      </c>
      <c r="D2803" s="33" t="s">
        <v>1245</v>
      </c>
      <c r="E2803" s="34">
        <v>5</v>
      </c>
      <c r="F2803" s="34"/>
      <c r="G2803" s="34" t="s">
        <v>1244</v>
      </c>
      <c r="H2803" s="35"/>
      <c r="I2803" s="43" t="s">
        <v>1250</v>
      </c>
      <c r="J2803" s="117">
        <v>2.6623782523389278E-4</v>
      </c>
      <c r="K2803" s="117">
        <v>2.5145029890965876E-4</v>
      </c>
      <c r="L2803" s="117">
        <v>2.4491102734817201E-4</v>
      </c>
      <c r="M2803" s="117">
        <v>2.1512017323623397E-4</v>
      </c>
      <c r="N2803" s="117">
        <v>2.5457890589461333E-4</v>
      </c>
      <c r="O2803" s="117">
        <v>2.3921251922520329E-4</v>
      </c>
      <c r="P2803" s="117">
        <v>1.9063080950930758E-4</v>
      </c>
    </row>
    <row r="2804" spans="1:16" hidden="1" x14ac:dyDescent="0.35">
      <c r="A2804" s="3">
        <f xml:space="preserve"> ROW( data_scaledImpacts[[#This Row],[row_id]] ) - ROW( data_scaledImpacts[[#Headers],[row_id]] )</f>
        <v>2803</v>
      </c>
      <c r="B2804" s="41" t="str">
        <f xml:space="preserve"> _xlfn.TEXTJOIN( "", , data_scaledImpacts[[#This Row],[sector]:[impactType]] )</f>
        <v>ATSExtremeTempGCMAverage6mean</v>
      </c>
      <c r="C2804" s="33" t="s">
        <v>1243</v>
      </c>
      <c r="D2804" s="33" t="s">
        <v>1245</v>
      </c>
      <c r="E2804" s="34">
        <v>6</v>
      </c>
      <c r="F2804" s="34"/>
      <c r="G2804" s="34" t="s">
        <v>1244</v>
      </c>
      <c r="H2804" s="35"/>
      <c r="I2804" s="43" t="s">
        <v>1251</v>
      </c>
      <c r="J2804" s="117">
        <v>3.1655763920190996E-4</v>
      </c>
      <c r="K2804" s="117">
        <v>3.0607022344465734E-4</v>
      </c>
      <c r="L2804" s="117">
        <v>2.8458421220825487E-4</v>
      </c>
      <c r="M2804" s="117">
        <v>2.7453782469659865E-4</v>
      </c>
      <c r="N2804" s="117">
        <v>3.0921742584636623E-4</v>
      </c>
      <c r="O2804" s="117">
        <v>2.7226780338975872E-4</v>
      </c>
      <c r="P2804" s="117">
        <v>2.407120459441801E-4</v>
      </c>
    </row>
    <row r="2805" spans="1:16" hidden="1" x14ac:dyDescent="0.35">
      <c r="A2805" s="3">
        <f xml:space="preserve"> ROW( data_scaledImpacts[[#This Row],[row_id]] ) - ROW( data_scaledImpacts[[#Headers],[row_id]] )</f>
        <v>2804</v>
      </c>
      <c r="B2805" s="41" t="str">
        <f xml:space="preserve"> _xlfn.TEXTJOIN( "", , data_scaledImpacts[[#This Row],[sector]:[impactType]] )</f>
        <v>ATSExtremeTempCanESM21low CI</v>
      </c>
      <c r="C2805" s="33" t="s">
        <v>1243</v>
      </c>
      <c r="D2805" s="33" t="s">
        <v>0</v>
      </c>
      <c r="E2805" s="34">
        <v>1</v>
      </c>
      <c r="F2805" s="34"/>
      <c r="G2805" s="34" t="s">
        <v>1252</v>
      </c>
      <c r="H2805" s="35"/>
      <c r="I2805" s="43" t="s">
        <v>35</v>
      </c>
      <c r="J2805" s="117">
        <v>7.2759919017042169E-6</v>
      </c>
      <c r="K2805" s="117">
        <v>8.1619618656273185E-6</v>
      </c>
      <c r="L2805" s="117">
        <v>5.9252702261709431E-6</v>
      </c>
      <c r="M2805" s="117">
        <v>5.548654926817209E-6</v>
      </c>
      <c r="N2805" s="117">
        <v>5.6375977553393574E-6</v>
      </c>
      <c r="O2805" s="117">
        <v>4.9500363982829557E-6</v>
      </c>
      <c r="P2805" s="117">
        <v>3.3895856650068615E-6</v>
      </c>
    </row>
    <row r="2806" spans="1:16" hidden="1" x14ac:dyDescent="0.35">
      <c r="A2806" s="3">
        <f xml:space="preserve"> ROW( data_scaledImpacts[[#This Row],[row_id]] ) - ROW( data_scaledImpacts[[#Headers],[row_id]] )</f>
        <v>2805</v>
      </c>
      <c r="B2806" s="41" t="str">
        <f xml:space="preserve"> _xlfn.TEXTJOIN( "", , data_scaledImpacts[[#This Row],[sector]:[impactType]] )</f>
        <v>ATSExtremeTempCanESM22low CI</v>
      </c>
      <c r="C2806" s="33" t="s">
        <v>1243</v>
      </c>
      <c r="D2806" s="33" t="s">
        <v>0</v>
      </c>
      <c r="E2806" s="34">
        <v>2</v>
      </c>
      <c r="F2806" s="34"/>
      <c r="G2806" s="34" t="s">
        <v>1252</v>
      </c>
      <c r="H2806" s="35"/>
      <c r="I2806" s="43" t="s">
        <v>42</v>
      </c>
      <c r="J2806" s="117">
        <v>1.4984850745371979E-5</v>
      </c>
      <c r="K2806" s="117">
        <v>1.4900360902690706E-5</v>
      </c>
      <c r="L2806" s="117">
        <v>1.3437538198101056E-5</v>
      </c>
      <c r="M2806" s="117">
        <v>1.3353580865718896E-5</v>
      </c>
      <c r="N2806" s="117">
        <v>1.3726876789106864E-5</v>
      </c>
      <c r="O2806" s="117">
        <v>1.1760776406039762E-5</v>
      </c>
      <c r="P2806" s="117">
        <v>1.0898999458699165E-5</v>
      </c>
    </row>
    <row r="2807" spans="1:16" hidden="1" x14ac:dyDescent="0.35">
      <c r="A2807" s="3">
        <f xml:space="preserve"> ROW( data_scaledImpacts[[#This Row],[row_id]] ) - ROW( data_scaledImpacts[[#Headers],[row_id]] )</f>
        <v>2806</v>
      </c>
      <c r="B2807" s="41" t="str">
        <f xml:space="preserve"> _xlfn.TEXTJOIN( "", , data_scaledImpacts[[#This Row],[sector]:[impactType]] )</f>
        <v>ATSExtremeTempCanESM23low CI</v>
      </c>
      <c r="C2807" s="33" t="s">
        <v>1243</v>
      </c>
      <c r="D2807" s="33" t="s">
        <v>0</v>
      </c>
      <c r="E2807" s="34">
        <v>3</v>
      </c>
      <c r="F2807" s="34"/>
      <c r="G2807" s="34" t="s">
        <v>1252</v>
      </c>
      <c r="H2807" s="35"/>
      <c r="I2807" s="43" t="s">
        <v>49</v>
      </c>
      <c r="J2807" s="117">
        <v>2.1590988828448574E-5</v>
      </c>
      <c r="K2807" s="117">
        <v>2.1971062440079945E-5</v>
      </c>
      <c r="L2807" s="117">
        <v>2.0871013881192047E-5</v>
      </c>
      <c r="M2807" s="117">
        <v>2.2227777169581063E-5</v>
      </c>
      <c r="N2807" s="117">
        <v>2.2053752181021167E-5</v>
      </c>
      <c r="O2807" s="117">
        <v>1.9758465066615179E-5</v>
      </c>
      <c r="P2807" s="117">
        <v>1.7977680906124674E-5</v>
      </c>
    </row>
    <row r="2808" spans="1:16" hidden="1" x14ac:dyDescent="0.35">
      <c r="A2808" s="3">
        <f xml:space="preserve"> ROW( data_scaledImpacts[[#This Row],[row_id]] ) - ROW( data_scaledImpacts[[#Headers],[row_id]] )</f>
        <v>2807</v>
      </c>
      <c r="B2808" s="41" t="str">
        <f xml:space="preserve"> _xlfn.TEXTJOIN( "", , data_scaledImpacts[[#This Row],[sector]:[impactType]] )</f>
        <v>ATSExtremeTempCanESM24low CI</v>
      </c>
      <c r="C2808" s="33" t="s">
        <v>1243</v>
      </c>
      <c r="D2808" s="33" t="s">
        <v>0</v>
      </c>
      <c r="E2808" s="34">
        <v>4</v>
      </c>
      <c r="F2808" s="34"/>
      <c r="G2808" s="34" t="s">
        <v>1252</v>
      </c>
      <c r="H2808" s="35"/>
      <c r="I2808" s="43" t="s">
        <v>56</v>
      </c>
      <c r="J2808" s="117">
        <v>2.6225756177446255E-5</v>
      </c>
      <c r="K2808" s="117">
        <v>2.6844938205620855E-5</v>
      </c>
      <c r="L2808" s="117">
        <v>2.5095048870952118E-5</v>
      </c>
      <c r="M2808" s="117">
        <v>2.8891070865797902E-5</v>
      </c>
      <c r="N2808" s="117">
        <v>2.7882318948087673E-5</v>
      </c>
      <c r="O2808" s="117">
        <v>2.5963869837981075E-5</v>
      </c>
      <c r="P2808" s="117">
        <v>2.4170337487837885E-5</v>
      </c>
    </row>
    <row r="2809" spans="1:16" hidden="1" x14ac:dyDescent="0.35">
      <c r="A2809" s="3">
        <f xml:space="preserve"> ROW( data_scaledImpacts[[#This Row],[row_id]] ) - ROW( data_scaledImpacts[[#Headers],[row_id]] )</f>
        <v>2808</v>
      </c>
      <c r="B2809" s="41" t="str">
        <f xml:space="preserve"> _xlfn.TEXTJOIN( "", , data_scaledImpacts[[#This Row],[sector]:[impactType]] )</f>
        <v>ATSExtremeTempCanESM25low CI</v>
      </c>
      <c r="C2809" s="33" t="s">
        <v>1243</v>
      </c>
      <c r="D2809" s="33" t="s">
        <v>0</v>
      </c>
      <c r="E2809" s="34">
        <v>5</v>
      </c>
      <c r="F2809" s="34"/>
      <c r="G2809" s="34" t="s">
        <v>1252</v>
      </c>
      <c r="H2809" s="35"/>
      <c r="I2809" s="43" t="s">
        <v>63</v>
      </c>
      <c r="J2809" s="117">
        <v>3.4230014857544519E-5</v>
      </c>
      <c r="K2809" s="117">
        <v>3.3557921391754354E-5</v>
      </c>
      <c r="L2809" s="117">
        <v>3.3477697840828571E-5</v>
      </c>
      <c r="M2809" s="117">
        <v>3.5624142131340195E-5</v>
      </c>
      <c r="N2809" s="117">
        <v>3.3450726967759827E-5</v>
      </c>
      <c r="O2809" s="117">
        <v>3.0876746571084258E-5</v>
      </c>
      <c r="P2809" s="117">
        <v>2.902482930108484E-5</v>
      </c>
    </row>
    <row r="2810" spans="1:16" hidden="1" x14ac:dyDescent="0.35">
      <c r="A2810" s="3">
        <f xml:space="preserve"> ROW( data_scaledImpacts[[#This Row],[row_id]] ) - ROW( data_scaledImpacts[[#Headers],[row_id]] )</f>
        <v>2809</v>
      </c>
      <c r="B2810" s="41" t="str">
        <f xml:space="preserve"> _xlfn.TEXTJOIN( "", , data_scaledImpacts[[#This Row],[sector]:[impactType]] )</f>
        <v>ATSExtremeTempCanESM26low CI</v>
      </c>
      <c r="C2810" s="33" t="s">
        <v>1243</v>
      </c>
      <c r="D2810" s="33" t="s">
        <v>0</v>
      </c>
      <c r="E2810" s="34">
        <v>6</v>
      </c>
      <c r="F2810" s="34"/>
      <c r="G2810" s="34" t="s">
        <v>1252</v>
      </c>
      <c r="H2810" s="35"/>
      <c r="I2810" s="43" t="s">
        <v>70</v>
      </c>
      <c r="J2810" s="117">
        <v>4.1203695319519245E-5</v>
      </c>
      <c r="K2810" s="117">
        <v>4.0997447613798702E-5</v>
      </c>
      <c r="L2810" s="117">
        <v>3.9626238771317635E-5</v>
      </c>
      <c r="M2810" s="117">
        <v>4.2852554634145525E-5</v>
      </c>
      <c r="N2810" s="117">
        <v>4.0592972956262012E-5</v>
      </c>
      <c r="O2810" s="117">
        <v>3.7283060464938783E-5</v>
      </c>
      <c r="P2810" s="117">
        <v>3.5283064949493924E-5</v>
      </c>
    </row>
    <row r="2811" spans="1:16" hidden="1" x14ac:dyDescent="0.35">
      <c r="A2811" s="3">
        <f xml:space="preserve"> ROW( data_scaledImpacts[[#This Row],[row_id]] ) - ROW( data_scaledImpacts[[#Headers],[row_id]] )</f>
        <v>2810</v>
      </c>
      <c r="B2811" s="41" t="str">
        <f xml:space="preserve"> _xlfn.TEXTJOIN( "", , data_scaledImpacts[[#This Row],[sector]:[impactType]] )</f>
        <v>ATSExtremeTempCCSM41low CI</v>
      </c>
      <c r="C2811" s="33" t="s">
        <v>1243</v>
      </c>
      <c r="D2811" s="33" t="s">
        <v>1</v>
      </c>
      <c r="E2811" s="34">
        <v>1</v>
      </c>
      <c r="F2811" s="34"/>
      <c r="G2811" s="34" t="s">
        <v>1252</v>
      </c>
      <c r="H2811" s="35"/>
      <c r="I2811" s="43" t="s">
        <v>36</v>
      </c>
      <c r="J2811" s="117">
        <v>6.7073862396782262E-6</v>
      </c>
      <c r="K2811" s="117">
        <v>5.2661190659165374E-6</v>
      </c>
      <c r="L2811" s="117">
        <v>6.5120360631687634E-6</v>
      </c>
      <c r="M2811" s="117">
        <v>4.0522752561400986E-6</v>
      </c>
      <c r="N2811" s="117">
        <v>5.2418510459540445E-6</v>
      </c>
      <c r="O2811" s="117">
        <v>5.2811741461849221E-6</v>
      </c>
      <c r="P2811" s="117">
        <v>3.5039245207372321E-6</v>
      </c>
    </row>
    <row r="2812" spans="1:16" hidden="1" x14ac:dyDescent="0.35">
      <c r="A2812" s="3">
        <f xml:space="preserve"> ROW( data_scaledImpacts[[#This Row],[row_id]] ) - ROW( data_scaledImpacts[[#Headers],[row_id]] )</f>
        <v>2811</v>
      </c>
      <c r="B2812" s="41" t="str">
        <f xml:space="preserve"> _xlfn.TEXTJOIN( "", , data_scaledImpacts[[#This Row],[sector]:[impactType]] )</f>
        <v>ATSExtremeTempCCSM42low CI</v>
      </c>
      <c r="C2812" s="33" t="s">
        <v>1243</v>
      </c>
      <c r="D2812" s="33" t="s">
        <v>1</v>
      </c>
      <c r="E2812" s="34">
        <v>2</v>
      </c>
      <c r="F2812" s="34"/>
      <c r="G2812" s="34" t="s">
        <v>1252</v>
      </c>
      <c r="H2812" s="35"/>
      <c r="I2812" s="43" t="s">
        <v>43</v>
      </c>
      <c r="J2812" s="117">
        <v>1.3914266163223822E-5</v>
      </c>
      <c r="K2812" s="117">
        <v>1.2274707512147398E-5</v>
      </c>
      <c r="L2812" s="117">
        <v>1.4147256665242388E-5</v>
      </c>
      <c r="M2812" s="117">
        <v>1.1621196968054755E-5</v>
      </c>
      <c r="N2812" s="117">
        <v>1.2610986168386003E-5</v>
      </c>
      <c r="O2812" s="117">
        <v>1.4204316028733964E-5</v>
      </c>
      <c r="P2812" s="117">
        <v>1.0642820368959653E-5</v>
      </c>
    </row>
    <row r="2813" spans="1:16" hidden="1" x14ac:dyDescent="0.35">
      <c r="A2813" s="3">
        <f xml:space="preserve"> ROW( data_scaledImpacts[[#This Row],[row_id]] ) - ROW( data_scaledImpacts[[#Headers],[row_id]] )</f>
        <v>2812</v>
      </c>
      <c r="B2813" s="41" t="str">
        <f xml:space="preserve"> _xlfn.TEXTJOIN( "", , data_scaledImpacts[[#This Row],[sector]:[impactType]] )</f>
        <v>ATSExtremeTempCCSM43low CI</v>
      </c>
      <c r="C2813" s="33" t="s">
        <v>1243</v>
      </c>
      <c r="D2813" s="33" t="s">
        <v>1</v>
      </c>
      <c r="E2813" s="34">
        <v>3</v>
      </c>
      <c r="F2813" s="34"/>
      <c r="G2813" s="34" t="s">
        <v>1252</v>
      </c>
      <c r="H2813" s="35"/>
      <c r="I2813" s="43" t="s">
        <v>50</v>
      </c>
      <c r="J2813" s="117">
        <v>2.2247441785423794E-5</v>
      </c>
      <c r="K2813" s="117">
        <v>1.9740226431368675E-5</v>
      </c>
      <c r="L2813" s="117">
        <v>2.0450232805522109E-5</v>
      </c>
      <c r="M2813" s="117">
        <v>1.8322617317247696E-5</v>
      </c>
      <c r="N2813" s="117">
        <v>2.1348272437112356E-5</v>
      </c>
      <c r="O2813" s="117">
        <v>2.0673921052861212E-5</v>
      </c>
      <c r="P2813" s="117">
        <v>1.5541856121995246E-5</v>
      </c>
    </row>
    <row r="2814" spans="1:16" hidden="1" x14ac:dyDescent="0.35">
      <c r="A2814" s="3">
        <f xml:space="preserve"> ROW( data_scaledImpacts[[#This Row],[row_id]] ) - ROW( data_scaledImpacts[[#Headers],[row_id]] )</f>
        <v>2813</v>
      </c>
      <c r="B2814" s="41" t="str">
        <f xml:space="preserve"> _xlfn.TEXTJOIN( "", , data_scaledImpacts[[#This Row],[sector]:[impactType]] )</f>
        <v>ATSExtremeTempCCSM44low CI</v>
      </c>
      <c r="C2814" s="33" t="s">
        <v>1243</v>
      </c>
      <c r="D2814" s="33" t="s">
        <v>1</v>
      </c>
      <c r="E2814" s="34">
        <v>4</v>
      </c>
      <c r="F2814" s="34"/>
      <c r="G2814" s="34" t="s">
        <v>1252</v>
      </c>
      <c r="H2814" s="35"/>
      <c r="I2814" s="43" t="s">
        <v>57</v>
      </c>
      <c r="J2814" s="117">
        <v>2.8404294111835124E-5</v>
      </c>
      <c r="K2814" s="117">
        <v>2.6675563649667194E-5</v>
      </c>
      <c r="L2814" s="117">
        <v>2.706468511814497E-5</v>
      </c>
      <c r="M2814" s="117">
        <v>2.5754554851639119E-5</v>
      </c>
      <c r="N2814" s="117">
        <v>2.7811219727022877E-5</v>
      </c>
      <c r="O2814" s="117">
        <v>2.538783812033265E-5</v>
      </c>
      <c r="P2814" s="117">
        <v>2.1161241138575541E-5</v>
      </c>
    </row>
    <row r="2815" spans="1:16" hidden="1" x14ac:dyDescent="0.35">
      <c r="A2815" s="3">
        <f xml:space="preserve"> ROW( data_scaledImpacts[[#This Row],[row_id]] ) - ROW( data_scaledImpacts[[#Headers],[row_id]] )</f>
        <v>2814</v>
      </c>
      <c r="B2815" s="41" t="str">
        <f xml:space="preserve"> _xlfn.TEXTJOIN( "", , data_scaledImpacts[[#This Row],[sector]:[impactType]] )</f>
        <v>ATSExtremeTempCCSM45low CI</v>
      </c>
      <c r="C2815" s="33" t="s">
        <v>1243</v>
      </c>
      <c r="D2815" s="33" t="s">
        <v>1</v>
      </c>
      <c r="E2815" s="34">
        <v>5</v>
      </c>
      <c r="F2815" s="34"/>
      <c r="G2815" s="34" t="s">
        <v>1252</v>
      </c>
      <c r="H2815" s="35"/>
      <c r="I2815" s="43" t="s">
        <v>64</v>
      </c>
      <c r="J2815" s="117">
        <v>3.5571847396856802E-5</v>
      </c>
      <c r="K2815" s="117">
        <v>3.3006143993472211E-5</v>
      </c>
      <c r="L2815" s="117">
        <v>3.3588907878942934E-5</v>
      </c>
      <c r="M2815" s="117">
        <v>2.9470243512276631E-5</v>
      </c>
      <c r="N2815" s="117">
        <v>3.6538751549021138E-5</v>
      </c>
      <c r="O2815" s="117">
        <v>3.4043014903163196E-5</v>
      </c>
      <c r="P2815" s="117">
        <v>2.5497574828087487E-5</v>
      </c>
    </row>
    <row r="2816" spans="1:16" hidden="1" x14ac:dyDescent="0.35">
      <c r="A2816" s="3">
        <f xml:space="preserve"> ROW( data_scaledImpacts[[#This Row],[row_id]] ) - ROW( data_scaledImpacts[[#Headers],[row_id]] )</f>
        <v>2815</v>
      </c>
      <c r="B2816" s="41" t="str">
        <f xml:space="preserve"> _xlfn.TEXTJOIN( "", , data_scaledImpacts[[#This Row],[sector]:[impactType]] )</f>
        <v>ATSExtremeTempCCSM46low CI</v>
      </c>
      <c r="C2816" s="33" t="s">
        <v>1243</v>
      </c>
      <c r="D2816" s="33" t="s">
        <v>1</v>
      </c>
      <c r="E2816" s="34">
        <v>6</v>
      </c>
      <c r="F2816" s="34"/>
      <c r="G2816" s="34" t="s">
        <v>1252</v>
      </c>
      <c r="H2816" s="35"/>
      <c r="I2816" s="43" t="s">
        <v>71</v>
      </c>
      <c r="J2816" s="117"/>
      <c r="K2816" s="117"/>
      <c r="L2816" s="117"/>
      <c r="M2816" s="117"/>
      <c r="N2816" s="117"/>
      <c r="O2816" s="117"/>
      <c r="P2816" s="117"/>
    </row>
    <row r="2817" spans="1:16" hidden="1" x14ac:dyDescent="0.35">
      <c r="A2817" s="3">
        <f xml:space="preserve"> ROW( data_scaledImpacts[[#This Row],[row_id]] ) - ROW( data_scaledImpacts[[#Headers],[row_id]] )</f>
        <v>2816</v>
      </c>
      <c r="B2817" s="41" t="str">
        <f xml:space="preserve"> _xlfn.TEXTJOIN( "", , data_scaledImpacts[[#This Row],[sector]:[impactType]] )</f>
        <v>ATSExtremeTempGISS-E2-R1low CI</v>
      </c>
      <c r="C2817" s="33" t="s">
        <v>1243</v>
      </c>
      <c r="D2817" s="33" t="s">
        <v>2</v>
      </c>
      <c r="E2817" s="34">
        <v>1</v>
      </c>
      <c r="F2817" s="34"/>
      <c r="G2817" s="34" t="s">
        <v>1252</v>
      </c>
      <c r="H2817" s="35"/>
      <c r="I2817" s="43" t="s">
        <v>37</v>
      </c>
      <c r="J2817" s="117">
        <v>8.5947070740804716E-6</v>
      </c>
      <c r="K2817" s="117">
        <v>8.1584709471313872E-6</v>
      </c>
      <c r="L2817" s="117">
        <v>6.8037641833644734E-6</v>
      </c>
      <c r="M2817" s="117">
        <v>5.0904235510604731E-6</v>
      </c>
      <c r="N2817" s="117">
        <v>7.1338131001916495E-6</v>
      </c>
      <c r="O2817" s="117">
        <v>5.2255786019004868E-6</v>
      </c>
      <c r="P2817" s="117">
        <v>3.5530461478384685E-6</v>
      </c>
    </row>
    <row r="2818" spans="1:16" hidden="1" x14ac:dyDescent="0.35">
      <c r="A2818" s="3">
        <f xml:space="preserve"> ROW( data_scaledImpacts[[#This Row],[row_id]] ) - ROW( data_scaledImpacts[[#Headers],[row_id]] )</f>
        <v>2817</v>
      </c>
      <c r="B2818" s="41" t="str">
        <f xml:space="preserve"> _xlfn.TEXTJOIN( "", , data_scaledImpacts[[#This Row],[sector]:[impactType]] )</f>
        <v>ATSExtremeTempGISS-E2-R2low CI</v>
      </c>
      <c r="C2818" s="33" t="s">
        <v>1243</v>
      </c>
      <c r="D2818" s="33" t="s">
        <v>2</v>
      </c>
      <c r="E2818" s="34">
        <v>2</v>
      </c>
      <c r="F2818" s="34"/>
      <c r="G2818" s="34" t="s">
        <v>1252</v>
      </c>
      <c r="H2818" s="35"/>
      <c r="I2818" s="43" t="s">
        <v>44</v>
      </c>
      <c r="J2818" s="117">
        <v>1.7893124533026164E-5</v>
      </c>
      <c r="K2818" s="117">
        <v>1.7314163520004717E-5</v>
      </c>
      <c r="L2818" s="117">
        <v>1.1916554214262543E-5</v>
      </c>
      <c r="M2818" s="117">
        <v>1.0518758301059179E-5</v>
      </c>
      <c r="N2818" s="117">
        <v>1.6959142178077208E-5</v>
      </c>
      <c r="O2818" s="117">
        <v>1.3532574635172144E-5</v>
      </c>
      <c r="P2818" s="117">
        <v>1.1020147320985539E-5</v>
      </c>
    </row>
    <row r="2819" spans="1:16" hidden="1" x14ac:dyDescent="0.35">
      <c r="A2819" s="3">
        <f xml:space="preserve"> ROW( data_scaledImpacts[[#This Row],[row_id]] ) - ROW( data_scaledImpacts[[#Headers],[row_id]] )</f>
        <v>2818</v>
      </c>
      <c r="B2819" s="41" t="str">
        <f xml:space="preserve"> _xlfn.TEXTJOIN( "", , data_scaledImpacts[[#This Row],[sector]:[impactType]] )</f>
        <v>ATSExtremeTempGISS-E2-R3low CI</v>
      </c>
      <c r="C2819" s="33" t="s">
        <v>1243</v>
      </c>
      <c r="D2819" s="33" t="s">
        <v>2</v>
      </c>
      <c r="E2819" s="34">
        <v>3</v>
      </c>
      <c r="F2819" s="34"/>
      <c r="G2819" s="34" t="s">
        <v>1252</v>
      </c>
      <c r="H2819" s="35"/>
      <c r="I2819" s="43" t="s">
        <v>51</v>
      </c>
      <c r="J2819" s="117">
        <v>2.4877399743433592E-5</v>
      </c>
      <c r="K2819" s="117">
        <v>2.2705071250632104E-5</v>
      </c>
      <c r="L2819" s="117">
        <v>1.9129941573182855E-5</v>
      </c>
      <c r="M2819" s="117">
        <v>1.4194256523775292E-5</v>
      </c>
      <c r="N2819" s="117">
        <v>2.3858964361431006E-5</v>
      </c>
      <c r="O2819" s="117">
        <v>1.9793563210527222E-5</v>
      </c>
      <c r="P2819" s="117">
        <v>1.6260961423942039E-5</v>
      </c>
    </row>
    <row r="2820" spans="1:16" hidden="1" x14ac:dyDescent="0.35">
      <c r="A2820" s="3">
        <f xml:space="preserve"> ROW( data_scaledImpacts[[#This Row],[row_id]] ) - ROW( data_scaledImpacts[[#Headers],[row_id]] )</f>
        <v>2819</v>
      </c>
      <c r="B2820" s="41" t="str">
        <f xml:space="preserve"> _xlfn.TEXTJOIN( "", , data_scaledImpacts[[#This Row],[sector]:[impactType]] )</f>
        <v>ATSExtremeTempGISS-E2-R4low CI</v>
      </c>
      <c r="C2820" s="33" t="s">
        <v>1243</v>
      </c>
      <c r="D2820" s="33" t="s">
        <v>2</v>
      </c>
      <c r="E2820" s="34">
        <v>4</v>
      </c>
      <c r="F2820" s="34"/>
      <c r="G2820" s="34" t="s">
        <v>1252</v>
      </c>
      <c r="H2820" s="35"/>
      <c r="I2820" s="43" t="s">
        <v>58</v>
      </c>
      <c r="J2820" s="117"/>
      <c r="K2820" s="117"/>
      <c r="L2820" s="117"/>
      <c r="M2820" s="117"/>
      <c r="N2820" s="117"/>
      <c r="O2820" s="117"/>
      <c r="P2820" s="117"/>
    </row>
    <row r="2821" spans="1:16" hidden="1" x14ac:dyDescent="0.35">
      <c r="A2821" s="3">
        <f xml:space="preserve"> ROW( data_scaledImpacts[[#This Row],[row_id]] ) - ROW( data_scaledImpacts[[#Headers],[row_id]] )</f>
        <v>2820</v>
      </c>
      <c r="B2821" s="41" t="str">
        <f xml:space="preserve"> _xlfn.TEXTJOIN( "", , data_scaledImpacts[[#This Row],[sector]:[impactType]] )</f>
        <v>ATSExtremeTempGISS-E2-R5low CI</v>
      </c>
      <c r="C2821" s="33" t="s">
        <v>1243</v>
      </c>
      <c r="D2821" s="33" t="s">
        <v>2</v>
      </c>
      <c r="E2821" s="34">
        <v>5</v>
      </c>
      <c r="F2821" s="34"/>
      <c r="G2821" s="34" t="s">
        <v>1252</v>
      </c>
      <c r="H2821" s="35"/>
      <c r="I2821" s="43" t="s">
        <v>65</v>
      </c>
      <c r="J2821" s="117"/>
      <c r="K2821" s="117"/>
      <c r="L2821" s="117"/>
      <c r="M2821" s="117"/>
      <c r="N2821" s="117"/>
      <c r="O2821" s="117"/>
      <c r="P2821" s="117"/>
    </row>
    <row r="2822" spans="1:16" hidden="1" x14ac:dyDescent="0.35">
      <c r="A2822" s="3">
        <f xml:space="preserve"> ROW( data_scaledImpacts[[#This Row],[row_id]] ) - ROW( data_scaledImpacts[[#Headers],[row_id]] )</f>
        <v>2821</v>
      </c>
      <c r="B2822" s="41" t="str">
        <f xml:space="preserve"> _xlfn.TEXTJOIN( "", , data_scaledImpacts[[#This Row],[sector]:[impactType]] )</f>
        <v>ATSExtremeTempGISS-E2-R6low CI</v>
      </c>
      <c r="C2822" s="33" t="s">
        <v>1243</v>
      </c>
      <c r="D2822" s="33" t="s">
        <v>2</v>
      </c>
      <c r="E2822" s="34">
        <v>6</v>
      </c>
      <c r="F2822" s="34"/>
      <c r="G2822" s="34" t="s">
        <v>1252</v>
      </c>
      <c r="H2822" s="35"/>
      <c r="I2822" s="43" t="s">
        <v>72</v>
      </c>
      <c r="J2822" s="117"/>
      <c r="K2822" s="117"/>
      <c r="L2822" s="117"/>
      <c r="M2822" s="117"/>
      <c r="N2822" s="117"/>
      <c r="O2822" s="117"/>
      <c r="P2822" s="117"/>
    </row>
    <row r="2823" spans="1:16" hidden="1" x14ac:dyDescent="0.35">
      <c r="A2823" s="3">
        <f xml:space="preserve"> ROW( data_scaledImpacts[[#This Row],[row_id]] ) - ROW( data_scaledImpacts[[#Headers],[row_id]] )</f>
        <v>2822</v>
      </c>
      <c r="B2823" s="41" t="str">
        <f xml:space="preserve"> _xlfn.TEXTJOIN( "", , data_scaledImpacts[[#This Row],[sector]:[impactType]] )</f>
        <v>ATSExtremeTempHadGEM2-ES1low CI</v>
      </c>
      <c r="C2823" s="33" t="s">
        <v>1243</v>
      </c>
      <c r="D2823" s="33" t="s">
        <v>3</v>
      </c>
      <c r="E2823" s="34">
        <v>1</v>
      </c>
      <c r="F2823" s="34"/>
      <c r="G2823" s="34" t="s">
        <v>1252</v>
      </c>
      <c r="H2823" s="35"/>
      <c r="I2823" s="43" t="s">
        <v>38</v>
      </c>
      <c r="J2823" s="117">
        <v>9.1973856357131805E-6</v>
      </c>
      <c r="K2823" s="117">
        <v>7.6611508766024934E-6</v>
      </c>
      <c r="L2823" s="117">
        <v>5.6097693180882032E-6</v>
      </c>
      <c r="M2823" s="117">
        <v>5.7107484709262797E-6</v>
      </c>
      <c r="N2823" s="117">
        <v>8.6855552910657764E-6</v>
      </c>
      <c r="O2823" s="117">
        <v>5.6713122163143946E-6</v>
      </c>
      <c r="P2823" s="117">
        <v>2.4047517375917656E-6</v>
      </c>
    </row>
    <row r="2824" spans="1:16" hidden="1" x14ac:dyDescent="0.35">
      <c r="A2824" s="3">
        <f xml:space="preserve"> ROW( data_scaledImpacts[[#This Row],[row_id]] ) - ROW( data_scaledImpacts[[#Headers],[row_id]] )</f>
        <v>2823</v>
      </c>
      <c r="B2824" s="41" t="str">
        <f xml:space="preserve"> _xlfn.TEXTJOIN( "", , data_scaledImpacts[[#This Row],[sector]:[impactType]] )</f>
        <v>ATSExtremeTempHadGEM2-ES2low CI</v>
      </c>
      <c r="C2824" s="33" t="s">
        <v>1243</v>
      </c>
      <c r="D2824" s="33" t="s">
        <v>3</v>
      </c>
      <c r="E2824" s="34">
        <v>2</v>
      </c>
      <c r="F2824" s="34"/>
      <c r="G2824" s="34" t="s">
        <v>1252</v>
      </c>
      <c r="H2824" s="35"/>
      <c r="I2824" s="43" t="s">
        <v>45</v>
      </c>
      <c r="J2824" s="117">
        <v>1.4934380735106008E-5</v>
      </c>
      <c r="K2824" s="117">
        <v>1.1834788778738095E-5</v>
      </c>
      <c r="L2824" s="117">
        <v>1.3134415683456094E-5</v>
      </c>
      <c r="M2824" s="117">
        <v>1.1518531770737317E-5</v>
      </c>
      <c r="N2824" s="117">
        <v>1.407449885975844E-5</v>
      </c>
      <c r="O2824" s="117">
        <v>1.3491998884726264E-5</v>
      </c>
      <c r="P2824" s="117">
        <v>8.0499169104618671E-6</v>
      </c>
    </row>
    <row r="2825" spans="1:16" hidden="1" x14ac:dyDescent="0.35">
      <c r="A2825" s="3">
        <f xml:space="preserve"> ROW( data_scaledImpacts[[#This Row],[row_id]] ) - ROW( data_scaledImpacts[[#Headers],[row_id]] )</f>
        <v>2824</v>
      </c>
      <c r="B2825" s="41" t="str">
        <f xml:space="preserve"> _xlfn.TEXTJOIN( "", , data_scaledImpacts[[#This Row],[sector]:[impactType]] )</f>
        <v>ATSExtremeTempHadGEM2-ES3low CI</v>
      </c>
      <c r="C2825" s="33" t="s">
        <v>1243</v>
      </c>
      <c r="D2825" s="33" t="s">
        <v>3</v>
      </c>
      <c r="E2825" s="34">
        <v>3</v>
      </c>
      <c r="F2825" s="34"/>
      <c r="G2825" s="34" t="s">
        <v>1252</v>
      </c>
      <c r="H2825" s="35"/>
      <c r="I2825" s="43" t="s">
        <v>52</v>
      </c>
      <c r="J2825" s="117">
        <v>2.5962245124861001E-5</v>
      </c>
      <c r="K2825" s="117">
        <v>2.2356955788992833E-5</v>
      </c>
      <c r="L2825" s="117">
        <v>2.1687083949763801E-5</v>
      </c>
      <c r="M2825" s="117">
        <v>1.7116490454418049E-5</v>
      </c>
      <c r="N2825" s="117">
        <v>2.4774625930476684E-5</v>
      </c>
      <c r="O2825" s="117">
        <v>2.1939494987887946E-5</v>
      </c>
      <c r="P2825" s="117">
        <v>1.3687882171315396E-5</v>
      </c>
    </row>
    <row r="2826" spans="1:16" hidden="1" x14ac:dyDescent="0.35">
      <c r="A2826" s="3">
        <f xml:space="preserve"> ROW( data_scaledImpacts[[#This Row],[row_id]] ) - ROW( data_scaledImpacts[[#Headers],[row_id]] )</f>
        <v>2825</v>
      </c>
      <c r="B2826" s="41" t="str">
        <f xml:space="preserve"> _xlfn.TEXTJOIN( "", , data_scaledImpacts[[#This Row],[sector]:[impactType]] )</f>
        <v>ATSExtremeTempHadGEM2-ES4low CI</v>
      </c>
      <c r="C2826" s="33" t="s">
        <v>1243</v>
      </c>
      <c r="D2826" s="33" t="s">
        <v>3</v>
      </c>
      <c r="E2826" s="34">
        <v>4</v>
      </c>
      <c r="F2826" s="34"/>
      <c r="G2826" s="34" t="s">
        <v>1252</v>
      </c>
      <c r="H2826" s="35"/>
      <c r="I2826" s="43" t="s">
        <v>59</v>
      </c>
      <c r="J2826" s="117">
        <v>3.1955004541945292E-5</v>
      </c>
      <c r="K2826" s="117">
        <v>2.8406695934240742E-5</v>
      </c>
      <c r="L2826" s="117">
        <v>2.806482314380331E-5</v>
      </c>
      <c r="M2826" s="117">
        <v>2.6285190552712765E-5</v>
      </c>
      <c r="N2826" s="117">
        <v>3.1040447296424428E-5</v>
      </c>
      <c r="O2826" s="117">
        <v>2.72403962697567E-5</v>
      </c>
      <c r="P2826" s="117">
        <v>2.1456249035426676E-5</v>
      </c>
    </row>
    <row r="2827" spans="1:16" hidden="1" x14ac:dyDescent="0.35">
      <c r="A2827" s="3">
        <f xml:space="preserve"> ROW( data_scaledImpacts[[#This Row],[row_id]] ) - ROW( data_scaledImpacts[[#Headers],[row_id]] )</f>
        <v>2826</v>
      </c>
      <c r="B2827" s="41" t="str">
        <f xml:space="preserve"> _xlfn.TEXTJOIN( "", , data_scaledImpacts[[#This Row],[sector]:[impactType]] )</f>
        <v>ATSExtremeTempHadGEM2-ES5low CI</v>
      </c>
      <c r="C2827" s="33" t="s">
        <v>1243</v>
      </c>
      <c r="D2827" s="33" t="s">
        <v>3</v>
      </c>
      <c r="E2827" s="34">
        <v>5</v>
      </c>
      <c r="F2827" s="34"/>
      <c r="G2827" s="34" t="s">
        <v>1252</v>
      </c>
      <c r="H2827" s="35"/>
      <c r="I2827" s="43" t="s">
        <v>66</v>
      </c>
      <c r="J2827" s="117">
        <v>3.7444474641747132E-5</v>
      </c>
      <c r="K2827" s="117">
        <v>3.3683085421706122E-5</v>
      </c>
      <c r="L2827" s="117">
        <v>3.4711669693779429E-5</v>
      </c>
      <c r="M2827" s="117">
        <v>3.2988951731710277E-5</v>
      </c>
      <c r="N2827" s="117">
        <v>3.5224239664828416E-5</v>
      </c>
      <c r="O2827" s="117">
        <v>3.0804780348429068E-5</v>
      </c>
      <c r="P2827" s="117">
        <v>2.6374888520561409E-5</v>
      </c>
    </row>
    <row r="2828" spans="1:16" hidden="1" x14ac:dyDescent="0.35">
      <c r="A2828" s="3">
        <f xml:space="preserve"> ROW( data_scaledImpacts[[#This Row],[row_id]] ) - ROW( data_scaledImpacts[[#Headers],[row_id]] )</f>
        <v>2827</v>
      </c>
      <c r="B2828" s="41" t="str">
        <f xml:space="preserve"> _xlfn.TEXTJOIN( "", , data_scaledImpacts[[#This Row],[sector]:[impactType]] )</f>
        <v>ATSExtremeTempHadGEM2-ES6low CI</v>
      </c>
      <c r="C2828" s="33" t="s">
        <v>1243</v>
      </c>
      <c r="D2828" s="33" t="s">
        <v>3</v>
      </c>
      <c r="E2828" s="34">
        <v>6</v>
      </c>
      <c r="F2828" s="34"/>
      <c r="G2828" s="34" t="s">
        <v>1252</v>
      </c>
      <c r="H2828" s="35"/>
      <c r="I2828" s="43" t="s">
        <v>73</v>
      </c>
      <c r="J2828" s="117">
        <v>4.6941298865681101E-5</v>
      </c>
      <c r="K2828" s="117">
        <v>4.2260586841446028E-5</v>
      </c>
      <c r="L2828" s="117">
        <v>4.0605881536029227E-5</v>
      </c>
      <c r="M2828" s="117">
        <v>3.8320317915019131E-5</v>
      </c>
      <c r="N2828" s="117">
        <v>4.3878175064787457E-5</v>
      </c>
      <c r="O2828" s="117">
        <v>3.6702055047807311E-5</v>
      </c>
      <c r="P2828" s="117">
        <v>3.0627989431141128E-5</v>
      </c>
    </row>
    <row r="2829" spans="1:16" hidden="1" x14ac:dyDescent="0.35">
      <c r="A2829" s="3">
        <f xml:space="preserve"> ROW( data_scaledImpacts[[#This Row],[row_id]] ) - ROW( data_scaledImpacts[[#Headers],[row_id]] )</f>
        <v>2828</v>
      </c>
      <c r="B2829" s="41" t="str">
        <f xml:space="preserve"> _xlfn.TEXTJOIN( "", , data_scaledImpacts[[#This Row],[sector]:[impactType]] )</f>
        <v>ATSExtremeTempMIROC51low CI</v>
      </c>
      <c r="C2829" s="33" t="s">
        <v>1243</v>
      </c>
      <c r="D2829" s="33" t="s">
        <v>4</v>
      </c>
      <c r="E2829" s="34">
        <v>1</v>
      </c>
      <c r="F2829" s="34"/>
      <c r="G2829" s="34" t="s">
        <v>1252</v>
      </c>
      <c r="H2829" s="35"/>
      <c r="I2829" s="43" t="s">
        <v>39</v>
      </c>
      <c r="J2829" s="117">
        <v>8.4095182149372944E-6</v>
      </c>
      <c r="K2829" s="117">
        <v>7.2006944379101085E-6</v>
      </c>
      <c r="L2829" s="117">
        <v>6.201495068941667E-6</v>
      </c>
      <c r="M2829" s="117">
        <v>4.2707545748704352E-6</v>
      </c>
      <c r="N2829" s="117">
        <v>6.0430282122013345E-6</v>
      </c>
      <c r="O2829" s="117">
        <v>6.3010871284201195E-6</v>
      </c>
      <c r="P2829" s="117">
        <v>2.7977408510330194E-6</v>
      </c>
    </row>
    <row r="2830" spans="1:16" hidden="1" x14ac:dyDescent="0.35">
      <c r="A2830" s="3">
        <f xml:space="preserve"> ROW( data_scaledImpacts[[#This Row],[row_id]] ) - ROW( data_scaledImpacts[[#Headers],[row_id]] )</f>
        <v>2829</v>
      </c>
      <c r="B2830" s="41" t="str">
        <f xml:space="preserve"> _xlfn.TEXTJOIN( "", , data_scaledImpacts[[#This Row],[sector]:[impactType]] )</f>
        <v>ATSExtremeTempMIROC52low CI</v>
      </c>
      <c r="C2830" s="33" t="s">
        <v>1243</v>
      </c>
      <c r="D2830" s="33" t="s">
        <v>4</v>
      </c>
      <c r="E2830" s="34">
        <v>2</v>
      </c>
      <c r="F2830" s="34"/>
      <c r="G2830" s="34" t="s">
        <v>1252</v>
      </c>
      <c r="H2830" s="35"/>
      <c r="I2830" s="43" t="s">
        <v>46</v>
      </c>
      <c r="J2830" s="117">
        <v>1.699024330105968E-5</v>
      </c>
      <c r="K2830" s="117">
        <v>1.5370654535870623E-5</v>
      </c>
      <c r="L2830" s="117">
        <v>1.4893257601854699E-5</v>
      </c>
      <c r="M2830" s="117">
        <v>8.4376882994314724E-6</v>
      </c>
      <c r="N2830" s="117">
        <v>1.3481380931103383E-5</v>
      </c>
      <c r="O2830" s="117">
        <v>1.4381835041856192E-5</v>
      </c>
      <c r="P2830" s="117">
        <v>8.7178530417474213E-6</v>
      </c>
    </row>
    <row r="2831" spans="1:16" hidden="1" x14ac:dyDescent="0.35">
      <c r="A2831" s="3">
        <f xml:space="preserve"> ROW( data_scaledImpacts[[#This Row],[row_id]] ) - ROW( data_scaledImpacts[[#Headers],[row_id]] )</f>
        <v>2830</v>
      </c>
      <c r="B2831" s="41" t="str">
        <f xml:space="preserve"> _xlfn.TEXTJOIN( "", , data_scaledImpacts[[#This Row],[sector]:[impactType]] )</f>
        <v>ATSExtremeTempMIROC53low CI</v>
      </c>
      <c r="C2831" s="33" t="s">
        <v>1243</v>
      </c>
      <c r="D2831" s="33" t="s">
        <v>4</v>
      </c>
      <c r="E2831" s="34">
        <v>3</v>
      </c>
      <c r="F2831" s="34"/>
      <c r="G2831" s="34" t="s">
        <v>1252</v>
      </c>
      <c r="H2831" s="35"/>
      <c r="I2831" s="43" t="s">
        <v>53</v>
      </c>
      <c r="J2831" s="117">
        <v>2.5756113238611442E-5</v>
      </c>
      <c r="K2831" s="117">
        <v>2.6255391907992114E-5</v>
      </c>
      <c r="L2831" s="117">
        <v>2.2013677527274225E-5</v>
      </c>
      <c r="M2831" s="117">
        <v>1.343125912947527E-5</v>
      </c>
      <c r="N2831" s="117">
        <v>2.255427736609864E-5</v>
      </c>
      <c r="O2831" s="117">
        <v>2.2372129121611974E-5</v>
      </c>
      <c r="P2831" s="117">
        <v>1.514649939792171E-5</v>
      </c>
    </row>
    <row r="2832" spans="1:16" hidden="1" x14ac:dyDescent="0.35">
      <c r="A2832" s="3">
        <f xml:space="preserve"> ROW( data_scaledImpacts[[#This Row],[row_id]] ) - ROW( data_scaledImpacts[[#Headers],[row_id]] )</f>
        <v>2831</v>
      </c>
      <c r="B2832" s="41" t="str">
        <f xml:space="preserve"> _xlfn.TEXTJOIN( "", , data_scaledImpacts[[#This Row],[sector]:[impactType]] )</f>
        <v>ATSExtremeTempMIROC54low CI</v>
      </c>
      <c r="C2832" s="33" t="s">
        <v>1243</v>
      </c>
      <c r="D2832" s="33" t="s">
        <v>4</v>
      </c>
      <c r="E2832" s="34">
        <v>4</v>
      </c>
      <c r="F2832" s="34"/>
      <c r="G2832" s="34" t="s">
        <v>1252</v>
      </c>
      <c r="H2832" s="35"/>
      <c r="I2832" s="43" t="s">
        <v>60</v>
      </c>
      <c r="J2832" s="117">
        <v>3.3776887543569506E-5</v>
      </c>
      <c r="K2832" s="117">
        <v>3.2068100724644458E-5</v>
      </c>
      <c r="L2832" s="117">
        <v>2.9671846644755129E-5</v>
      </c>
      <c r="M2832" s="117">
        <v>1.9008619530624022E-5</v>
      </c>
      <c r="N2832" s="117">
        <v>2.8079422957371363E-5</v>
      </c>
      <c r="O2832" s="117">
        <v>2.7910426923618015E-5</v>
      </c>
      <c r="P2832" s="117">
        <v>1.8847284190364707E-5</v>
      </c>
    </row>
    <row r="2833" spans="1:16" hidden="1" x14ac:dyDescent="0.35">
      <c r="A2833" s="3">
        <f xml:space="preserve"> ROW( data_scaledImpacts[[#This Row],[row_id]] ) - ROW( data_scaledImpacts[[#Headers],[row_id]] )</f>
        <v>2832</v>
      </c>
      <c r="B2833" s="41" t="str">
        <f xml:space="preserve"> _xlfn.TEXTJOIN( "", , data_scaledImpacts[[#This Row],[sector]:[impactType]] )</f>
        <v>ATSExtremeTempMIROC55low CI</v>
      </c>
      <c r="C2833" s="33" t="s">
        <v>1243</v>
      </c>
      <c r="D2833" s="33" t="s">
        <v>4</v>
      </c>
      <c r="E2833" s="34">
        <v>5</v>
      </c>
      <c r="F2833" s="34"/>
      <c r="G2833" s="34" t="s">
        <v>1252</v>
      </c>
      <c r="H2833" s="35"/>
      <c r="I2833" s="43" t="s">
        <v>67</v>
      </c>
      <c r="J2833" s="117">
        <v>4.0781000513983802E-5</v>
      </c>
      <c r="K2833" s="117">
        <v>3.7021106870776426E-5</v>
      </c>
      <c r="L2833" s="117">
        <v>3.6450585054241583E-5</v>
      </c>
      <c r="M2833" s="117">
        <v>2.3506283689531219E-5</v>
      </c>
      <c r="N2833" s="117">
        <v>3.3968934075577801E-5</v>
      </c>
      <c r="O2833" s="117">
        <v>3.5787411689165263E-5</v>
      </c>
      <c r="P2833" s="117">
        <v>2.3308331362515651E-5</v>
      </c>
    </row>
    <row r="2834" spans="1:16" hidden="1" x14ac:dyDescent="0.35">
      <c r="A2834" s="3">
        <f xml:space="preserve"> ROW( data_scaledImpacts[[#This Row],[row_id]] ) - ROW( data_scaledImpacts[[#Headers],[row_id]] )</f>
        <v>2833</v>
      </c>
      <c r="B2834" s="41" t="str">
        <f xml:space="preserve"> _xlfn.TEXTJOIN( "", , data_scaledImpacts[[#This Row],[sector]:[impactType]] )</f>
        <v>ATSExtremeTempMIROC56low CI</v>
      </c>
      <c r="C2834" s="33" t="s">
        <v>1243</v>
      </c>
      <c r="D2834" s="33" t="s">
        <v>4</v>
      </c>
      <c r="E2834" s="34">
        <v>6</v>
      </c>
      <c r="F2834" s="34"/>
      <c r="G2834" s="34" t="s">
        <v>1252</v>
      </c>
      <c r="H2834" s="35"/>
      <c r="I2834" s="43" t="s">
        <v>74</v>
      </c>
      <c r="J2834" s="117"/>
      <c r="K2834" s="117"/>
      <c r="L2834" s="117"/>
      <c r="M2834" s="117"/>
      <c r="N2834" s="117"/>
      <c r="O2834" s="117"/>
      <c r="P2834" s="117"/>
    </row>
    <row r="2835" spans="1:16" hidden="1" x14ac:dyDescent="0.35">
      <c r="A2835" s="3">
        <f xml:space="preserve"> ROW( data_scaledImpacts[[#This Row],[row_id]] ) - ROW( data_scaledImpacts[[#Headers],[row_id]] )</f>
        <v>2834</v>
      </c>
      <c r="B2835" s="41" t="str">
        <f xml:space="preserve"> _xlfn.TEXTJOIN( "", , data_scaledImpacts[[#This Row],[sector]:[impactType]] )</f>
        <v>ATSExtremeTempGFDL-CM31low CI</v>
      </c>
      <c r="C2835" s="33" t="s">
        <v>1243</v>
      </c>
      <c r="D2835" s="33" t="s">
        <v>5</v>
      </c>
      <c r="E2835" s="34">
        <v>1</v>
      </c>
      <c r="F2835" s="34"/>
      <c r="G2835" s="34" t="s">
        <v>1252</v>
      </c>
      <c r="H2835" s="35"/>
      <c r="I2835" s="43" t="s">
        <v>40</v>
      </c>
      <c r="J2835" s="117">
        <v>8.4618201368357626E-6</v>
      </c>
      <c r="K2835" s="117">
        <v>8.6645905181396297E-6</v>
      </c>
      <c r="L2835" s="117">
        <v>4.5635393390161598E-6</v>
      </c>
      <c r="M2835" s="117">
        <v>3.7888450057112351E-6</v>
      </c>
      <c r="N2835" s="117">
        <v>7.9935476585573329E-6</v>
      </c>
      <c r="O2835" s="117">
        <v>6.5654709712650518E-6</v>
      </c>
      <c r="P2835" s="117">
        <v>3.2972947201523627E-6</v>
      </c>
    </row>
    <row r="2836" spans="1:16" hidden="1" x14ac:dyDescent="0.35">
      <c r="A2836" s="3">
        <f xml:space="preserve"> ROW( data_scaledImpacts[[#This Row],[row_id]] ) - ROW( data_scaledImpacts[[#Headers],[row_id]] )</f>
        <v>2835</v>
      </c>
      <c r="B2836" s="41" t="str">
        <f xml:space="preserve"> _xlfn.TEXTJOIN( "", , data_scaledImpacts[[#This Row],[sector]:[impactType]] )</f>
        <v>ATSExtremeTempGFDL-CM32low CI</v>
      </c>
      <c r="C2836" s="33" t="s">
        <v>1243</v>
      </c>
      <c r="D2836" s="33" t="s">
        <v>5</v>
      </c>
      <c r="E2836" s="34">
        <v>2</v>
      </c>
      <c r="F2836" s="34"/>
      <c r="G2836" s="34" t="s">
        <v>1252</v>
      </c>
      <c r="H2836" s="35"/>
      <c r="I2836" s="43" t="s">
        <v>47</v>
      </c>
      <c r="J2836" s="117">
        <v>1.5467363823486376E-5</v>
      </c>
      <c r="K2836" s="117">
        <v>1.6416390336873301E-5</v>
      </c>
      <c r="L2836" s="117">
        <v>1.1118237320718742E-5</v>
      </c>
      <c r="M2836" s="117">
        <v>9.2433847276098007E-6</v>
      </c>
      <c r="N2836" s="117">
        <v>1.5650742707097379E-5</v>
      </c>
      <c r="O2836" s="117">
        <v>1.2812034959130214E-5</v>
      </c>
      <c r="P2836" s="117">
        <v>8.5310757918672638E-6</v>
      </c>
    </row>
    <row r="2837" spans="1:16" hidden="1" x14ac:dyDescent="0.35">
      <c r="A2837" s="3">
        <f xml:space="preserve"> ROW( data_scaledImpacts[[#This Row],[row_id]] ) - ROW( data_scaledImpacts[[#Headers],[row_id]] )</f>
        <v>2836</v>
      </c>
      <c r="B2837" s="41" t="str">
        <f xml:space="preserve"> _xlfn.TEXTJOIN( "", , data_scaledImpacts[[#This Row],[sector]:[impactType]] )</f>
        <v>ATSExtremeTempGFDL-CM33low CI</v>
      </c>
      <c r="C2837" s="33" t="s">
        <v>1243</v>
      </c>
      <c r="D2837" s="33" t="s">
        <v>5</v>
      </c>
      <c r="E2837" s="34">
        <v>3</v>
      </c>
      <c r="F2837" s="34"/>
      <c r="G2837" s="34" t="s">
        <v>1252</v>
      </c>
      <c r="H2837" s="35"/>
      <c r="I2837" s="43" t="s">
        <v>54</v>
      </c>
      <c r="J2837" s="117">
        <v>2.2641672536729983E-5</v>
      </c>
      <c r="K2837" s="117">
        <v>2.5525588913248097E-5</v>
      </c>
      <c r="L2837" s="117">
        <v>1.9097443029988387E-5</v>
      </c>
      <c r="M2837" s="117">
        <v>1.8401419231245163E-5</v>
      </c>
      <c r="N2837" s="117">
        <v>2.4321975151240911E-5</v>
      </c>
      <c r="O2837" s="117">
        <v>2.0813203032268199E-5</v>
      </c>
      <c r="P2837" s="117">
        <v>1.7612239654314761E-5</v>
      </c>
    </row>
    <row r="2838" spans="1:16" hidden="1" x14ac:dyDescent="0.35">
      <c r="A2838" s="3">
        <f xml:space="preserve"> ROW( data_scaledImpacts[[#This Row],[row_id]] ) - ROW( data_scaledImpacts[[#Headers],[row_id]] )</f>
        <v>2837</v>
      </c>
      <c r="B2838" s="41" t="str">
        <f xml:space="preserve"> _xlfn.TEXTJOIN( "", , data_scaledImpacts[[#This Row],[sector]:[impactType]] )</f>
        <v>ATSExtremeTempGFDL-CM34low CI</v>
      </c>
      <c r="C2838" s="33" t="s">
        <v>1243</v>
      </c>
      <c r="D2838" s="33" t="s">
        <v>5</v>
      </c>
      <c r="E2838" s="34">
        <v>4</v>
      </c>
      <c r="F2838" s="34"/>
      <c r="G2838" s="34" t="s">
        <v>1252</v>
      </c>
      <c r="H2838" s="35"/>
      <c r="I2838" s="43" t="s">
        <v>61</v>
      </c>
      <c r="J2838" s="117">
        <v>2.8644016477035386E-5</v>
      </c>
      <c r="K2838" s="117">
        <v>3.1519368319808803E-5</v>
      </c>
      <c r="L2838" s="117">
        <v>2.2741751304908604E-5</v>
      </c>
      <c r="M2838" s="117">
        <v>2.2962592284026801E-5</v>
      </c>
      <c r="N2838" s="117">
        <v>3.0926893165773792E-5</v>
      </c>
      <c r="O2838" s="117">
        <v>2.6870647181654095E-5</v>
      </c>
      <c r="P2838" s="117">
        <v>2.2647457072905608E-5</v>
      </c>
    </row>
    <row r="2839" spans="1:16" hidden="1" x14ac:dyDescent="0.35">
      <c r="A2839" s="3">
        <f xml:space="preserve"> ROW( data_scaledImpacts[[#This Row],[row_id]] ) - ROW( data_scaledImpacts[[#Headers],[row_id]] )</f>
        <v>2838</v>
      </c>
      <c r="B2839" s="41" t="str">
        <f xml:space="preserve"> _xlfn.TEXTJOIN( "", , data_scaledImpacts[[#This Row],[sector]:[impactType]] )</f>
        <v>ATSExtremeTempGFDL-CM35low CI</v>
      </c>
      <c r="C2839" s="33" t="s">
        <v>1243</v>
      </c>
      <c r="D2839" s="33" t="s">
        <v>5</v>
      </c>
      <c r="E2839" s="34">
        <v>5</v>
      </c>
      <c r="F2839" s="34"/>
      <c r="G2839" s="34" t="s">
        <v>1252</v>
      </c>
      <c r="H2839" s="35"/>
      <c r="I2839" s="43" t="s">
        <v>68</v>
      </c>
      <c r="J2839" s="117">
        <v>3.6411540907736862E-5</v>
      </c>
      <c r="K2839" s="117">
        <v>3.6926415986137977E-5</v>
      </c>
      <c r="L2839" s="117">
        <v>3.1435668349968319E-5</v>
      </c>
      <c r="M2839" s="117">
        <v>2.7436999853414262E-5</v>
      </c>
      <c r="N2839" s="117">
        <v>3.7179394740991919E-5</v>
      </c>
      <c r="O2839" s="117">
        <v>3.4204877621105671E-5</v>
      </c>
      <c r="P2839" s="117">
        <v>2.7855748739108688E-5</v>
      </c>
    </row>
    <row r="2840" spans="1:16" hidden="1" x14ac:dyDescent="0.35">
      <c r="A2840" s="3">
        <f xml:space="preserve"> ROW( data_scaledImpacts[[#This Row],[row_id]] ) - ROW( data_scaledImpacts[[#Headers],[row_id]] )</f>
        <v>2839</v>
      </c>
      <c r="B2840" s="41" t="str">
        <f xml:space="preserve"> _xlfn.TEXTJOIN( "", , data_scaledImpacts[[#This Row],[sector]:[impactType]] )</f>
        <v>ATSExtremeTempGFDL-CM36low CI</v>
      </c>
      <c r="C2840" s="33" t="s">
        <v>1243</v>
      </c>
      <c r="D2840" s="33" t="s">
        <v>5</v>
      </c>
      <c r="E2840" s="34">
        <v>6</v>
      </c>
      <c r="F2840" s="34"/>
      <c r="G2840" s="34" t="s">
        <v>1252</v>
      </c>
      <c r="H2840" s="35"/>
      <c r="I2840" s="43" t="s">
        <v>75</v>
      </c>
      <c r="J2840" s="117">
        <v>4.343406114864022E-5</v>
      </c>
      <c r="K2840" s="117">
        <v>4.3961864480691446E-5</v>
      </c>
      <c r="L2840" s="117">
        <v>3.8056990957485519E-5</v>
      </c>
      <c r="M2840" s="117">
        <v>3.294039831695204E-5</v>
      </c>
      <c r="N2840" s="117">
        <v>4.4056904210461042E-5</v>
      </c>
      <c r="O2840" s="117">
        <v>3.9184607568851163E-5</v>
      </c>
      <c r="P2840" s="117">
        <v>3.4142331450339864E-5</v>
      </c>
    </row>
    <row r="2841" spans="1:16" hidden="1" x14ac:dyDescent="0.35">
      <c r="A2841" s="3">
        <f xml:space="preserve"> ROW( data_scaledImpacts[[#This Row],[row_id]] ) - ROW( data_scaledImpacts[[#Headers],[row_id]] )</f>
        <v>2840</v>
      </c>
      <c r="B2841" s="41" t="str">
        <f xml:space="preserve"> _xlfn.TEXTJOIN( "", , data_scaledImpacts[[#This Row],[sector]:[impactType]] )</f>
        <v>ATSExtremeTempGCMAverage1low CI</v>
      </c>
      <c r="C2841" s="33" t="s">
        <v>1243</v>
      </c>
      <c r="D2841" s="33" t="s">
        <v>1245</v>
      </c>
      <c r="E2841" s="34">
        <v>1</v>
      </c>
      <c r="F2841" s="34"/>
      <c r="G2841" s="34" t="s">
        <v>1252</v>
      </c>
      <c r="H2841" s="35"/>
      <c r="I2841" s="43" t="s">
        <v>1246</v>
      </c>
      <c r="J2841" s="117">
        <v>8.1078015338248577E-6</v>
      </c>
      <c r="K2841" s="117">
        <v>7.5188312852212465E-6</v>
      </c>
      <c r="L2841" s="117">
        <v>5.9359790331250348E-6</v>
      </c>
      <c r="M2841" s="117">
        <v>4.7436169642542885E-6</v>
      </c>
      <c r="N2841" s="117">
        <v>6.7892321772182494E-6</v>
      </c>
      <c r="O2841" s="117">
        <v>5.6657765770613219E-6</v>
      </c>
      <c r="P2841" s="117">
        <v>3.1577239403932849E-6</v>
      </c>
    </row>
    <row r="2842" spans="1:16" hidden="1" x14ac:dyDescent="0.35">
      <c r="A2842" s="3">
        <f xml:space="preserve"> ROW( data_scaledImpacts[[#This Row],[row_id]] ) - ROW( data_scaledImpacts[[#Headers],[row_id]] )</f>
        <v>2841</v>
      </c>
      <c r="B2842" s="41" t="str">
        <f xml:space="preserve"> _xlfn.TEXTJOIN( "", , data_scaledImpacts[[#This Row],[sector]:[impactType]] )</f>
        <v>ATSExtremeTempGCMAverage2low CI</v>
      </c>
      <c r="C2842" s="33" t="s">
        <v>1243</v>
      </c>
      <c r="D2842" s="33" t="s">
        <v>1245</v>
      </c>
      <c r="E2842" s="34">
        <v>2</v>
      </c>
      <c r="F2842" s="34"/>
      <c r="G2842" s="34" t="s">
        <v>1252</v>
      </c>
      <c r="H2842" s="35"/>
      <c r="I2842" s="43" t="s">
        <v>1247</v>
      </c>
      <c r="J2842" s="117">
        <v>1.5697371550212335E-5</v>
      </c>
      <c r="K2842" s="117">
        <v>1.4685177597720805E-5</v>
      </c>
      <c r="L2842" s="117">
        <v>1.3107876613939255E-5</v>
      </c>
      <c r="M2842" s="117">
        <v>1.0782190155435236E-5</v>
      </c>
      <c r="N2842" s="117">
        <v>1.4417271272254879E-5</v>
      </c>
      <c r="O2842" s="117">
        <v>1.3363922659276423E-5</v>
      </c>
      <c r="P2842" s="117">
        <v>9.6434688154534863E-6</v>
      </c>
    </row>
    <row r="2843" spans="1:16" hidden="1" x14ac:dyDescent="0.35">
      <c r="A2843" s="3">
        <f xml:space="preserve"> ROW( data_scaledImpacts[[#This Row],[row_id]] ) - ROW( data_scaledImpacts[[#Headers],[row_id]] )</f>
        <v>2842</v>
      </c>
      <c r="B2843" s="41" t="str">
        <f xml:space="preserve"> _xlfn.TEXTJOIN( "", , data_scaledImpacts[[#This Row],[sector]:[impactType]] )</f>
        <v>ATSExtremeTempGCMAverage3low CI</v>
      </c>
      <c r="C2843" s="33" t="s">
        <v>1243</v>
      </c>
      <c r="D2843" s="33" t="s">
        <v>1245</v>
      </c>
      <c r="E2843" s="34">
        <v>3</v>
      </c>
      <c r="F2843" s="34"/>
      <c r="G2843" s="34" t="s">
        <v>1252</v>
      </c>
      <c r="H2843" s="35"/>
      <c r="I2843" s="43" t="s">
        <v>1248</v>
      </c>
      <c r="J2843" s="117">
        <v>2.3845976876251399E-5</v>
      </c>
      <c r="K2843" s="117">
        <v>2.3092382788718964E-5</v>
      </c>
      <c r="L2843" s="117">
        <v>2.0541565461153902E-5</v>
      </c>
      <c r="M2843" s="117">
        <v>1.728230330429042E-5</v>
      </c>
      <c r="N2843" s="117">
        <v>2.3151977904563461E-5</v>
      </c>
      <c r="O2843" s="117">
        <v>2.0891796078628623E-5</v>
      </c>
      <c r="P2843" s="117">
        <v>1.6037853279268971E-5</v>
      </c>
    </row>
    <row r="2844" spans="1:16" hidden="1" x14ac:dyDescent="0.35">
      <c r="A2844" s="3">
        <f xml:space="preserve"> ROW( data_scaledImpacts[[#This Row],[row_id]] ) - ROW( data_scaledImpacts[[#Headers],[row_id]] )</f>
        <v>2843</v>
      </c>
      <c r="B2844" s="41" t="str">
        <f xml:space="preserve"> _xlfn.TEXTJOIN( "", , data_scaledImpacts[[#This Row],[sector]:[impactType]] )</f>
        <v>ATSExtremeTempGCMAverage4low CI</v>
      </c>
      <c r="C2844" s="33" t="s">
        <v>1243</v>
      </c>
      <c r="D2844" s="33" t="s">
        <v>1245</v>
      </c>
      <c r="E2844" s="34">
        <v>4</v>
      </c>
      <c r="F2844" s="34"/>
      <c r="G2844" s="34" t="s">
        <v>1252</v>
      </c>
      <c r="H2844" s="35"/>
      <c r="I2844" s="43" t="s">
        <v>1249</v>
      </c>
      <c r="J2844" s="117">
        <v>2.9801191770366312E-5</v>
      </c>
      <c r="K2844" s="117">
        <v>2.9102933366796409E-5</v>
      </c>
      <c r="L2844" s="117">
        <v>2.6527631016512824E-5</v>
      </c>
      <c r="M2844" s="117">
        <v>2.4580405616960123E-5</v>
      </c>
      <c r="N2844" s="117">
        <v>2.9148060418936028E-5</v>
      </c>
      <c r="O2844" s="117">
        <v>2.6674635666668505E-5</v>
      </c>
      <c r="P2844" s="117">
        <v>2.1656513785022083E-5</v>
      </c>
    </row>
    <row r="2845" spans="1:16" hidden="1" x14ac:dyDescent="0.35">
      <c r="A2845" s="3">
        <f xml:space="preserve"> ROW( data_scaledImpacts[[#This Row],[row_id]] ) - ROW( data_scaledImpacts[[#Headers],[row_id]] )</f>
        <v>2844</v>
      </c>
      <c r="B2845" s="41" t="str">
        <f xml:space="preserve"> _xlfn.TEXTJOIN( "", , data_scaledImpacts[[#This Row],[sector]:[impactType]] )</f>
        <v>ATSExtremeTempGCMAverage5low CI</v>
      </c>
      <c r="C2845" s="33" t="s">
        <v>1243</v>
      </c>
      <c r="D2845" s="33" t="s">
        <v>1245</v>
      </c>
      <c r="E2845" s="34">
        <v>5</v>
      </c>
      <c r="F2845" s="34"/>
      <c r="G2845" s="34" t="s">
        <v>1252</v>
      </c>
      <c r="H2845" s="35"/>
      <c r="I2845" s="43" t="s">
        <v>1250</v>
      </c>
      <c r="J2845" s="117">
        <v>3.6887775663573825E-5</v>
      </c>
      <c r="K2845" s="117">
        <v>3.4838934732769418E-5</v>
      </c>
      <c r="L2845" s="117">
        <v>3.3932905763552167E-5</v>
      </c>
      <c r="M2845" s="117">
        <v>2.9805324183654513E-5</v>
      </c>
      <c r="N2845" s="117">
        <v>3.5272409399635826E-5</v>
      </c>
      <c r="O2845" s="117">
        <v>3.3143366226589498E-5</v>
      </c>
      <c r="P2845" s="117">
        <v>2.6412274550271614E-5</v>
      </c>
    </row>
    <row r="2846" spans="1:16" hidden="1" x14ac:dyDescent="0.35">
      <c r="A2846" s="3">
        <f xml:space="preserve"> ROW( data_scaledImpacts[[#This Row],[row_id]] ) - ROW( data_scaledImpacts[[#Headers],[row_id]] )</f>
        <v>2845</v>
      </c>
      <c r="B2846" s="41" t="str">
        <f xml:space="preserve"> _xlfn.TEXTJOIN( "", , data_scaledImpacts[[#This Row],[sector]:[impactType]] )</f>
        <v>ATSExtremeTempGCMAverage6low CI</v>
      </c>
      <c r="C2846" s="33" t="s">
        <v>1243</v>
      </c>
      <c r="D2846" s="33" t="s">
        <v>1245</v>
      </c>
      <c r="E2846" s="34">
        <v>6</v>
      </c>
      <c r="F2846" s="34"/>
      <c r="G2846" s="34" t="s">
        <v>1252</v>
      </c>
      <c r="H2846" s="35"/>
      <c r="I2846" s="43" t="s">
        <v>1251</v>
      </c>
      <c r="J2846" s="117">
        <v>4.3859685111280195E-5</v>
      </c>
      <c r="K2846" s="117">
        <v>4.2406632978645397E-5</v>
      </c>
      <c r="L2846" s="117">
        <v>3.9429703754944129E-5</v>
      </c>
      <c r="M2846" s="117">
        <v>3.8037756955372232E-5</v>
      </c>
      <c r="N2846" s="117">
        <v>4.2842684077170168E-5</v>
      </c>
      <c r="O2846" s="117">
        <v>3.7723241027199079E-5</v>
      </c>
      <c r="P2846" s="117">
        <v>3.3351128610324965E-5</v>
      </c>
    </row>
    <row r="2847" spans="1:16" hidden="1" x14ac:dyDescent="0.35">
      <c r="A2847" s="3">
        <f xml:space="preserve"> ROW( data_scaledImpacts[[#This Row],[row_id]] ) - ROW( data_scaledImpacts[[#Headers],[row_id]] )</f>
        <v>2846</v>
      </c>
      <c r="B2847" s="41" t="str">
        <f xml:space="preserve"> _xlfn.TEXTJOIN( "", , data_scaledImpacts[[#This Row],[sector]:[impactType]] )</f>
        <v>ATSExtremeTempCanESM21high CI</v>
      </c>
      <c r="C2847" s="33" t="s">
        <v>1243</v>
      </c>
      <c r="D2847" s="33" t="s">
        <v>0</v>
      </c>
      <c r="E2847" s="34">
        <v>1</v>
      </c>
      <c r="F2847" s="34"/>
      <c r="G2847" s="34" t="s">
        <v>1253</v>
      </c>
      <c r="H2847" s="35"/>
      <c r="I2847" s="43" t="s">
        <v>35</v>
      </c>
      <c r="J2847" s="117">
        <v>9.7573382015378907E-5</v>
      </c>
      <c r="K2847" s="117">
        <v>1.0945452302156579E-4</v>
      </c>
      <c r="L2847" s="117">
        <v>7.9459771689288465E-5</v>
      </c>
      <c r="M2847" s="117">
        <v>7.4409239889208946E-5</v>
      </c>
      <c r="N2847" s="117">
        <v>7.5601991709464274E-5</v>
      </c>
      <c r="O2847" s="117">
        <v>6.6381573674726796E-5</v>
      </c>
      <c r="P2847" s="117">
        <v>4.5455429504821382E-5</v>
      </c>
    </row>
    <row r="2848" spans="1:16" hidden="1" x14ac:dyDescent="0.35">
      <c r="A2848" s="3">
        <f xml:space="preserve"> ROW( data_scaledImpacts[[#This Row],[row_id]] ) - ROW( data_scaledImpacts[[#Headers],[row_id]] )</f>
        <v>2847</v>
      </c>
      <c r="B2848" s="41" t="str">
        <f xml:space="preserve"> _xlfn.TEXTJOIN( "", , data_scaledImpacts[[#This Row],[sector]:[impactType]] )</f>
        <v>ATSExtremeTempCanESM22high CI</v>
      </c>
      <c r="C2848" s="33" t="s">
        <v>1243</v>
      </c>
      <c r="D2848" s="33" t="s">
        <v>0</v>
      </c>
      <c r="E2848" s="34">
        <v>2</v>
      </c>
      <c r="F2848" s="34"/>
      <c r="G2848" s="34" t="s">
        <v>1253</v>
      </c>
      <c r="H2848" s="35"/>
      <c r="I2848" s="43" t="s">
        <v>42</v>
      </c>
      <c r="J2848" s="117">
        <v>2.0095164837651277E-4</v>
      </c>
      <c r="K2848" s="117">
        <v>1.9981861252274391E-4</v>
      </c>
      <c r="L2848" s="117">
        <v>1.8020169148930216E-4</v>
      </c>
      <c r="M2848" s="117">
        <v>1.7907579676921596E-4</v>
      </c>
      <c r="N2848" s="117">
        <v>1.8408181467434678E-4</v>
      </c>
      <c r="O2848" s="117">
        <v>1.5771577876484317E-4</v>
      </c>
      <c r="P2848" s="117">
        <v>1.4615907386042798E-4</v>
      </c>
    </row>
    <row r="2849" spans="1:16" hidden="1" x14ac:dyDescent="0.35">
      <c r="A2849" s="3">
        <f xml:space="preserve"> ROW( data_scaledImpacts[[#This Row],[row_id]] ) - ROW( data_scaledImpacts[[#Headers],[row_id]] )</f>
        <v>2848</v>
      </c>
      <c r="B2849" s="41" t="str">
        <f xml:space="preserve"> _xlfn.TEXTJOIN( "", , data_scaledImpacts[[#This Row],[sector]:[impactType]] )</f>
        <v>ATSExtremeTempCanESM23high CI</v>
      </c>
      <c r="C2849" s="33" t="s">
        <v>1243</v>
      </c>
      <c r="D2849" s="33" t="s">
        <v>0</v>
      </c>
      <c r="E2849" s="34">
        <v>3</v>
      </c>
      <c r="F2849" s="34"/>
      <c r="G2849" s="34" t="s">
        <v>1253</v>
      </c>
      <c r="H2849" s="35"/>
      <c r="I2849" s="43" t="s">
        <v>49</v>
      </c>
      <c r="J2849" s="117">
        <v>2.8954207611948398E-4</v>
      </c>
      <c r="K2849" s="117">
        <v>2.9463898499495795E-4</v>
      </c>
      <c r="L2849" s="117">
        <v>2.7988698145758569E-4</v>
      </c>
      <c r="M2849" s="117">
        <v>2.9808161174729432E-4</v>
      </c>
      <c r="N2849" s="117">
        <v>2.9574788090779166E-4</v>
      </c>
      <c r="O2849" s="117">
        <v>2.649673454873969E-4</v>
      </c>
      <c r="P2849" s="117">
        <v>2.4108645948231808E-4</v>
      </c>
    </row>
    <row r="2850" spans="1:16" hidden="1" x14ac:dyDescent="0.35">
      <c r="A2850" s="3">
        <f xml:space="preserve"> ROW( data_scaledImpacts[[#This Row],[row_id]] ) - ROW( data_scaledImpacts[[#Headers],[row_id]] )</f>
        <v>2849</v>
      </c>
      <c r="B2850" s="41" t="str">
        <f xml:space="preserve"> _xlfn.TEXTJOIN( "", , data_scaledImpacts[[#This Row],[sector]:[impactType]] )</f>
        <v>ATSExtremeTempCanESM24high CI</v>
      </c>
      <c r="C2850" s="33" t="s">
        <v>1243</v>
      </c>
      <c r="D2850" s="33" t="s">
        <v>0</v>
      </c>
      <c r="E2850" s="34">
        <v>4</v>
      </c>
      <c r="F2850" s="34"/>
      <c r="G2850" s="34" t="s">
        <v>1253</v>
      </c>
      <c r="H2850" s="35"/>
      <c r="I2850" s="43" t="s">
        <v>56</v>
      </c>
      <c r="J2850" s="117">
        <v>3.5169579085770844E-4</v>
      </c>
      <c r="K2850" s="117">
        <v>3.5999922018917701E-4</v>
      </c>
      <c r="L2850" s="117">
        <v>3.3653264369446211E-4</v>
      </c>
      <c r="M2850" s="117">
        <v>3.874385145703099E-4</v>
      </c>
      <c r="N2850" s="117">
        <v>3.7391082823486543E-4</v>
      </c>
      <c r="O2850" s="117">
        <v>3.4818381115920752E-4</v>
      </c>
      <c r="P2850" s="117">
        <v>3.2413196784744229E-4</v>
      </c>
    </row>
    <row r="2851" spans="1:16" hidden="1" x14ac:dyDescent="0.35">
      <c r="A2851" s="3">
        <f xml:space="preserve"> ROW( data_scaledImpacts[[#This Row],[row_id]] ) - ROW( data_scaledImpacts[[#Headers],[row_id]] )</f>
        <v>2850</v>
      </c>
      <c r="B2851" s="41" t="str">
        <f xml:space="preserve"> _xlfn.TEXTJOIN( "", , data_scaledImpacts[[#This Row],[sector]:[impactType]] )</f>
        <v>ATSExtremeTempCanESM25high CI</v>
      </c>
      <c r="C2851" s="33" t="s">
        <v>1243</v>
      </c>
      <c r="D2851" s="33" t="s">
        <v>0</v>
      </c>
      <c r="E2851" s="34">
        <v>5</v>
      </c>
      <c r="F2851" s="34"/>
      <c r="G2851" s="34" t="s">
        <v>1253</v>
      </c>
      <c r="H2851" s="35"/>
      <c r="I2851" s="43" t="s">
        <v>63</v>
      </c>
      <c r="J2851" s="117">
        <v>4.5903546364654347E-4</v>
      </c>
      <c r="K2851" s="117">
        <v>4.5002247498829328E-4</v>
      </c>
      <c r="L2851" s="117">
        <v>4.4894665147352561E-4</v>
      </c>
      <c r="M2851" s="117">
        <v>4.7773115694882228E-4</v>
      </c>
      <c r="N2851" s="117">
        <v>4.4858496342648293E-4</v>
      </c>
      <c r="O2851" s="117">
        <v>4.1406706182105376E-4</v>
      </c>
      <c r="P2851" s="117">
        <v>3.8923225803241785E-4</v>
      </c>
    </row>
    <row r="2852" spans="1:16" hidden="1" x14ac:dyDescent="0.35">
      <c r="A2852" s="3">
        <f xml:space="preserve"> ROW( data_scaledImpacts[[#This Row],[row_id]] ) - ROW( data_scaledImpacts[[#Headers],[row_id]] )</f>
        <v>2851</v>
      </c>
      <c r="B2852" s="41" t="str">
        <f xml:space="preserve"> _xlfn.TEXTJOIN( "", , data_scaledImpacts[[#This Row],[sector]:[impactType]] )</f>
        <v>ATSExtremeTempCanESM26high CI</v>
      </c>
      <c r="C2852" s="33" t="s">
        <v>1243</v>
      </c>
      <c r="D2852" s="33" t="s">
        <v>0</v>
      </c>
      <c r="E2852" s="34">
        <v>6</v>
      </c>
      <c r="F2852" s="34"/>
      <c r="G2852" s="34" t="s">
        <v>1253</v>
      </c>
      <c r="H2852" s="35"/>
      <c r="I2852" s="43" t="s">
        <v>70</v>
      </c>
      <c r="J2852" s="117">
        <v>5.5255475242008763E-4</v>
      </c>
      <c r="K2852" s="117">
        <v>5.4978890462202361E-4</v>
      </c>
      <c r="L2852" s="117">
        <v>5.3140055482480384E-4</v>
      </c>
      <c r="M2852" s="117">
        <v>5.7466648398454454E-4</v>
      </c>
      <c r="N2852" s="117">
        <v>5.4436476990492354E-4</v>
      </c>
      <c r="O2852" s="117">
        <v>4.9997778317975757E-4</v>
      </c>
      <c r="P2852" s="117">
        <v>4.7315720268793039E-4</v>
      </c>
    </row>
    <row r="2853" spans="1:16" hidden="1" x14ac:dyDescent="0.35">
      <c r="A2853" s="3">
        <f xml:space="preserve"> ROW( data_scaledImpacts[[#This Row],[row_id]] ) - ROW( data_scaledImpacts[[#Headers],[row_id]] )</f>
        <v>2852</v>
      </c>
      <c r="B2853" s="41" t="str">
        <f xml:space="preserve"> _xlfn.TEXTJOIN( "", , data_scaledImpacts[[#This Row],[sector]:[impactType]] )</f>
        <v>ATSExtremeTempCCSM41high CI</v>
      </c>
      <c r="C2853" s="33" t="s">
        <v>1243</v>
      </c>
      <c r="D2853" s="33" t="s">
        <v>1</v>
      </c>
      <c r="E2853" s="34">
        <v>1</v>
      </c>
      <c r="F2853" s="34"/>
      <c r="G2853" s="34" t="s">
        <v>1253</v>
      </c>
      <c r="H2853" s="35"/>
      <c r="I2853" s="43" t="s">
        <v>36</v>
      </c>
      <c r="J2853" s="117">
        <v>8.9948197954361196E-5</v>
      </c>
      <c r="K2853" s="117">
        <v>7.0620343493894364E-5</v>
      </c>
      <c r="L2853" s="117">
        <v>8.7328489513665349E-5</v>
      </c>
      <c r="M2853" s="117">
        <v>5.4342309191715087E-5</v>
      </c>
      <c r="N2853" s="117">
        <v>7.0294901572772562E-5</v>
      </c>
      <c r="O2853" s="117">
        <v>7.0822236942670149E-5</v>
      </c>
      <c r="P2853" s="117">
        <v>4.6988750184681869E-5</v>
      </c>
    </row>
    <row r="2854" spans="1:16" hidden="1" x14ac:dyDescent="0.35">
      <c r="A2854" s="3">
        <f xml:space="preserve"> ROW( data_scaledImpacts[[#This Row],[row_id]] ) - ROW( data_scaledImpacts[[#Headers],[row_id]] )</f>
        <v>2853</v>
      </c>
      <c r="B2854" s="41" t="str">
        <f xml:space="preserve"> _xlfn.TEXTJOIN( "", , data_scaledImpacts[[#This Row],[sector]:[impactType]] )</f>
        <v>ATSExtremeTempCCSM42high CI</v>
      </c>
      <c r="C2854" s="33" t="s">
        <v>1243</v>
      </c>
      <c r="D2854" s="33" t="s">
        <v>1</v>
      </c>
      <c r="E2854" s="34">
        <v>2</v>
      </c>
      <c r="F2854" s="34"/>
      <c r="G2854" s="34" t="s">
        <v>1253</v>
      </c>
      <c r="H2854" s="35"/>
      <c r="I2854" s="43" t="s">
        <v>43</v>
      </c>
      <c r="J2854" s="117">
        <v>1.8659476620498989E-4</v>
      </c>
      <c r="K2854" s="117">
        <v>1.6460775951788431E-4</v>
      </c>
      <c r="L2854" s="117">
        <v>1.8971924346754563E-4</v>
      </c>
      <c r="M2854" s="117">
        <v>1.5584397379199652E-4</v>
      </c>
      <c r="N2854" s="117">
        <v>1.6911736401333471E-4</v>
      </c>
      <c r="O2854" s="117">
        <v>1.9048442780897039E-4</v>
      </c>
      <c r="P2854" s="117">
        <v>1.4272363020886888E-4</v>
      </c>
    </row>
    <row r="2855" spans="1:16" hidden="1" x14ac:dyDescent="0.35">
      <c r="A2855" s="3">
        <f xml:space="preserve"> ROW( data_scaledImpacts[[#This Row],[row_id]] ) - ROW( data_scaledImpacts[[#Headers],[row_id]] )</f>
        <v>2854</v>
      </c>
      <c r="B2855" s="41" t="str">
        <f xml:space="preserve"> _xlfn.TEXTJOIN( "", , data_scaledImpacts[[#This Row],[sector]:[impactType]] )</f>
        <v>ATSExtremeTempCCSM43high CI</v>
      </c>
      <c r="C2855" s="33" t="s">
        <v>1243</v>
      </c>
      <c r="D2855" s="33" t="s">
        <v>1</v>
      </c>
      <c r="E2855" s="34">
        <v>3</v>
      </c>
      <c r="F2855" s="34"/>
      <c r="G2855" s="34" t="s">
        <v>1253</v>
      </c>
      <c r="H2855" s="35"/>
      <c r="I2855" s="43" t="s">
        <v>50</v>
      </c>
      <c r="J2855" s="117">
        <v>2.9834532054462816E-4</v>
      </c>
      <c r="K2855" s="117">
        <v>2.6472275954662232E-4</v>
      </c>
      <c r="L2855" s="117">
        <v>2.7424417245011965E-4</v>
      </c>
      <c r="M2855" s="117">
        <v>2.4571216724398248E-4</v>
      </c>
      <c r="N2855" s="117">
        <v>2.8628717156582516E-4</v>
      </c>
      <c r="O2855" s="117">
        <v>2.7724390349776688E-4</v>
      </c>
      <c r="P2855" s="117">
        <v>2.0842126889452771E-4</v>
      </c>
    </row>
    <row r="2856" spans="1:16" hidden="1" x14ac:dyDescent="0.35">
      <c r="A2856" s="3">
        <f xml:space="preserve"> ROW( data_scaledImpacts[[#This Row],[row_id]] ) - ROW( data_scaledImpacts[[#Headers],[row_id]] )</f>
        <v>2855</v>
      </c>
      <c r="B2856" s="41" t="str">
        <f xml:space="preserve"> _xlfn.TEXTJOIN( "", , data_scaledImpacts[[#This Row],[sector]:[impactType]] )</f>
        <v>ATSExtremeTempCCSM44high CI</v>
      </c>
      <c r="C2856" s="33" t="s">
        <v>1243</v>
      </c>
      <c r="D2856" s="33" t="s">
        <v>1</v>
      </c>
      <c r="E2856" s="34">
        <v>4</v>
      </c>
      <c r="F2856" s="34"/>
      <c r="G2856" s="34" t="s">
        <v>1253</v>
      </c>
      <c r="H2856" s="35"/>
      <c r="I2856" s="43" t="s">
        <v>57</v>
      </c>
      <c r="J2856" s="117">
        <v>3.8091068237749352E-4</v>
      </c>
      <c r="K2856" s="117">
        <v>3.5772785314053073E-4</v>
      </c>
      <c r="L2856" s="117">
        <v>3.6294609667448429E-4</v>
      </c>
      <c r="M2856" s="117">
        <v>3.453768301455119E-4</v>
      </c>
      <c r="N2856" s="117">
        <v>3.729573649061991E-4</v>
      </c>
      <c r="O2856" s="117">
        <v>3.404590413136117E-4</v>
      </c>
      <c r="P2856" s="117">
        <v>2.8377902194340863E-4</v>
      </c>
    </row>
    <row r="2857" spans="1:16" hidden="1" x14ac:dyDescent="0.35">
      <c r="A2857" s="3">
        <f xml:space="preserve"> ROW( data_scaledImpacts[[#This Row],[row_id]] ) - ROW( data_scaledImpacts[[#Headers],[row_id]] )</f>
        <v>2856</v>
      </c>
      <c r="B2857" s="41" t="str">
        <f xml:space="preserve"> _xlfn.TEXTJOIN( "", , data_scaledImpacts[[#This Row],[sector]:[impactType]] )</f>
        <v>ATSExtremeTempCCSM45high CI</v>
      </c>
      <c r="C2857" s="33" t="s">
        <v>1243</v>
      </c>
      <c r="D2857" s="33" t="s">
        <v>1</v>
      </c>
      <c r="E2857" s="34">
        <v>5</v>
      </c>
      <c r="F2857" s="34"/>
      <c r="G2857" s="34" t="s">
        <v>1253</v>
      </c>
      <c r="H2857" s="35"/>
      <c r="I2857" s="43" t="s">
        <v>64</v>
      </c>
      <c r="J2857" s="117">
        <v>4.7702986780858114E-4</v>
      </c>
      <c r="K2857" s="117">
        <v>4.4262296333443587E-4</v>
      </c>
      <c r="L2857" s="117">
        <v>4.5043801370694638E-4</v>
      </c>
      <c r="M2857" s="117">
        <v>3.9520540527760855E-4</v>
      </c>
      <c r="N2857" s="117">
        <v>4.8999636220356524E-4</v>
      </c>
      <c r="O2857" s="117">
        <v>4.5652773435929237E-4</v>
      </c>
      <c r="P2857" s="117">
        <v>3.4193064571498046E-4</v>
      </c>
    </row>
    <row r="2858" spans="1:16" hidden="1" x14ac:dyDescent="0.35">
      <c r="A2858" s="3">
        <f xml:space="preserve"> ROW( data_scaledImpacts[[#This Row],[row_id]] ) - ROW( data_scaledImpacts[[#Headers],[row_id]] )</f>
        <v>2857</v>
      </c>
      <c r="B2858" s="41" t="str">
        <f xml:space="preserve"> _xlfn.TEXTJOIN( "", , data_scaledImpacts[[#This Row],[sector]:[impactType]] )</f>
        <v>ATSExtremeTempCCSM46high CI</v>
      </c>
      <c r="C2858" s="33" t="s">
        <v>1243</v>
      </c>
      <c r="D2858" s="33" t="s">
        <v>1</v>
      </c>
      <c r="E2858" s="34">
        <v>6</v>
      </c>
      <c r="F2858" s="34"/>
      <c r="G2858" s="34" t="s">
        <v>1253</v>
      </c>
      <c r="H2858" s="35"/>
      <c r="I2858" s="43" t="s">
        <v>71</v>
      </c>
      <c r="J2858" s="117"/>
      <c r="K2858" s="117"/>
      <c r="L2858" s="117"/>
      <c r="M2858" s="117"/>
      <c r="N2858" s="117"/>
      <c r="O2858" s="117"/>
      <c r="P2858" s="117"/>
    </row>
    <row r="2859" spans="1:16" hidden="1" x14ac:dyDescent="0.35">
      <c r="A2859" s="3">
        <f xml:space="preserve"> ROW( data_scaledImpacts[[#This Row],[row_id]] ) - ROW( data_scaledImpacts[[#Headers],[row_id]] )</f>
        <v>2858</v>
      </c>
      <c r="B2859" s="41" t="str">
        <f xml:space="preserve"> _xlfn.TEXTJOIN( "", , data_scaledImpacts[[#This Row],[sector]:[impactType]] )</f>
        <v>ATSExtremeTempGISS-E2-R1high CI</v>
      </c>
      <c r="C2859" s="33" t="s">
        <v>1243</v>
      </c>
      <c r="D2859" s="33" t="s">
        <v>2</v>
      </c>
      <c r="E2859" s="34">
        <v>1</v>
      </c>
      <c r="F2859" s="34"/>
      <c r="G2859" s="34" t="s">
        <v>1253</v>
      </c>
      <c r="H2859" s="35"/>
      <c r="I2859" s="43" t="s">
        <v>37</v>
      </c>
      <c r="J2859" s="117">
        <v>1.1525777488195253E-4</v>
      </c>
      <c r="K2859" s="117">
        <v>1.0940770868633971E-4</v>
      </c>
      <c r="L2859" s="117">
        <v>9.1240657050550158E-5</v>
      </c>
      <c r="M2859" s="117">
        <v>6.8264210361664756E-5</v>
      </c>
      <c r="N2859" s="117">
        <v>9.5666718745010911E-5</v>
      </c>
      <c r="O2859" s="117">
        <v>7.0076682885697125E-5</v>
      </c>
      <c r="P2859" s="117">
        <v>4.7647486938531665E-5</v>
      </c>
    </row>
    <row r="2860" spans="1:16" hidden="1" x14ac:dyDescent="0.35">
      <c r="A2860" s="3">
        <f xml:space="preserve"> ROW( data_scaledImpacts[[#This Row],[row_id]] ) - ROW( data_scaledImpacts[[#Headers],[row_id]] )</f>
        <v>2859</v>
      </c>
      <c r="B2860" s="41" t="str">
        <f xml:space="preserve"> _xlfn.TEXTJOIN( "", , data_scaledImpacts[[#This Row],[sector]:[impactType]] )</f>
        <v>ATSExtremeTempGISS-E2-R2high CI</v>
      </c>
      <c r="C2860" s="33" t="s">
        <v>1243</v>
      </c>
      <c r="D2860" s="33" t="s">
        <v>2</v>
      </c>
      <c r="E2860" s="34">
        <v>2</v>
      </c>
      <c r="F2860" s="34"/>
      <c r="G2860" s="34" t="s">
        <v>1253</v>
      </c>
      <c r="H2860" s="35"/>
      <c r="I2860" s="43" t="s">
        <v>44</v>
      </c>
      <c r="J2860" s="117">
        <v>2.3995253143434389E-4</v>
      </c>
      <c r="K2860" s="117">
        <v>2.3218847879949672E-4</v>
      </c>
      <c r="L2860" s="117">
        <v>1.5980480907116907E-4</v>
      </c>
      <c r="M2860" s="117">
        <v>1.4105991813931094E-4</v>
      </c>
      <c r="N2860" s="117">
        <v>2.2742752888538453E-4</v>
      </c>
      <c r="O2860" s="117">
        <v>1.8147616055207594E-4</v>
      </c>
      <c r="P2860" s="117">
        <v>1.4778370549923533E-4</v>
      </c>
    </row>
    <row r="2861" spans="1:16" hidden="1" x14ac:dyDescent="0.35">
      <c r="A2861" s="3">
        <f xml:space="preserve"> ROW( data_scaledImpacts[[#This Row],[row_id]] ) - ROW( data_scaledImpacts[[#Headers],[row_id]] )</f>
        <v>2860</v>
      </c>
      <c r="B2861" s="41" t="str">
        <f xml:space="preserve"> _xlfn.TEXTJOIN( "", , data_scaledImpacts[[#This Row],[sector]:[impactType]] )</f>
        <v>ATSExtremeTempGISS-E2-R3high CI</v>
      </c>
      <c r="C2861" s="33" t="s">
        <v>1243</v>
      </c>
      <c r="D2861" s="33" t="s">
        <v>2</v>
      </c>
      <c r="E2861" s="34">
        <v>3</v>
      </c>
      <c r="F2861" s="34"/>
      <c r="G2861" s="34" t="s">
        <v>1253</v>
      </c>
      <c r="H2861" s="35"/>
      <c r="I2861" s="43" t="s">
        <v>51</v>
      </c>
      <c r="J2861" s="117">
        <v>3.3361389917803332E-4</v>
      </c>
      <c r="K2861" s="117">
        <v>3.0448227825891598E-4</v>
      </c>
      <c r="L2861" s="117">
        <v>2.5653864411460595E-4</v>
      </c>
      <c r="M2861" s="117">
        <v>1.9034952662525854E-4</v>
      </c>
      <c r="N2861" s="117">
        <v>3.1995635448466394E-4</v>
      </c>
      <c r="O2861" s="117">
        <v>2.6543802283973943E-4</v>
      </c>
      <c r="P2861" s="117">
        <v>2.1806470133426179E-4</v>
      </c>
    </row>
    <row r="2862" spans="1:16" hidden="1" x14ac:dyDescent="0.35">
      <c r="A2862" s="3">
        <f xml:space="preserve"> ROW( data_scaledImpacts[[#This Row],[row_id]] ) - ROW( data_scaledImpacts[[#Headers],[row_id]] )</f>
        <v>2861</v>
      </c>
      <c r="B2862" s="41" t="str">
        <f xml:space="preserve"> _xlfn.TEXTJOIN( "", , data_scaledImpacts[[#This Row],[sector]:[impactType]] )</f>
        <v>ATSExtremeTempGISS-E2-R4high CI</v>
      </c>
      <c r="C2862" s="33" t="s">
        <v>1243</v>
      </c>
      <c r="D2862" s="33" t="s">
        <v>2</v>
      </c>
      <c r="E2862" s="34">
        <v>4</v>
      </c>
      <c r="F2862" s="34"/>
      <c r="G2862" s="34" t="s">
        <v>1253</v>
      </c>
      <c r="H2862" s="35"/>
      <c r="I2862" s="43" t="s">
        <v>58</v>
      </c>
      <c r="J2862" s="117"/>
      <c r="K2862" s="117"/>
      <c r="L2862" s="117"/>
      <c r="M2862" s="117"/>
      <c r="N2862" s="117"/>
      <c r="O2862" s="117"/>
      <c r="P2862" s="117"/>
    </row>
    <row r="2863" spans="1:16" hidden="1" x14ac:dyDescent="0.35">
      <c r="A2863" s="3">
        <f xml:space="preserve"> ROW( data_scaledImpacts[[#This Row],[row_id]] ) - ROW( data_scaledImpacts[[#Headers],[row_id]] )</f>
        <v>2862</v>
      </c>
      <c r="B2863" s="41" t="str">
        <f xml:space="preserve"> _xlfn.TEXTJOIN( "", , data_scaledImpacts[[#This Row],[sector]:[impactType]] )</f>
        <v>ATSExtremeTempGISS-E2-R5high CI</v>
      </c>
      <c r="C2863" s="33" t="s">
        <v>1243</v>
      </c>
      <c r="D2863" s="33" t="s">
        <v>2</v>
      </c>
      <c r="E2863" s="34">
        <v>5</v>
      </c>
      <c r="F2863" s="34"/>
      <c r="G2863" s="34" t="s">
        <v>1253</v>
      </c>
      <c r="H2863" s="35"/>
      <c r="I2863" s="43" t="s">
        <v>65</v>
      </c>
      <c r="J2863" s="117"/>
      <c r="K2863" s="117"/>
      <c r="L2863" s="117"/>
      <c r="M2863" s="117"/>
      <c r="N2863" s="117"/>
      <c r="O2863" s="117"/>
      <c r="P2863" s="117"/>
    </row>
    <row r="2864" spans="1:16" hidden="1" x14ac:dyDescent="0.35">
      <c r="A2864" s="3">
        <f xml:space="preserve"> ROW( data_scaledImpacts[[#This Row],[row_id]] ) - ROW( data_scaledImpacts[[#Headers],[row_id]] )</f>
        <v>2863</v>
      </c>
      <c r="B2864" s="41" t="str">
        <f xml:space="preserve"> _xlfn.TEXTJOIN( "", , data_scaledImpacts[[#This Row],[sector]:[impactType]] )</f>
        <v>ATSExtremeTempGISS-E2-R6high CI</v>
      </c>
      <c r="C2864" s="33" t="s">
        <v>1243</v>
      </c>
      <c r="D2864" s="33" t="s">
        <v>2</v>
      </c>
      <c r="E2864" s="34">
        <v>6</v>
      </c>
      <c r="F2864" s="34"/>
      <c r="G2864" s="34" t="s">
        <v>1253</v>
      </c>
      <c r="H2864" s="35"/>
      <c r="I2864" s="43" t="s">
        <v>72</v>
      </c>
      <c r="J2864" s="117"/>
      <c r="K2864" s="117"/>
      <c r="L2864" s="117"/>
      <c r="M2864" s="117"/>
      <c r="N2864" s="117"/>
      <c r="O2864" s="117"/>
      <c r="P2864" s="117"/>
    </row>
    <row r="2865" spans="1:16" hidden="1" x14ac:dyDescent="0.35">
      <c r="A2865" s="3">
        <f xml:space="preserve"> ROW( data_scaledImpacts[[#This Row],[row_id]] ) - ROW( data_scaledImpacts[[#Headers],[row_id]] )</f>
        <v>2864</v>
      </c>
      <c r="B2865" s="41" t="str">
        <f xml:space="preserve"> _xlfn.TEXTJOIN( "", , data_scaledImpacts[[#This Row],[sector]:[impactType]] )</f>
        <v>ATSExtremeTempHadGEM2-ES1high CI</v>
      </c>
      <c r="C2865" s="33" t="s">
        <v>1243</v>
      </c>
      <c r="D2865" s="33" t="s">
        <v>3</v>
      </c>
      <c r="E2865" s="34">
        <v>1</v>
      </c>
      <c r="F2865" s="34"/>
      <c r="G2865" s="34" t="s">
        <v>1253</v>
      </c>
      <c r="H2865" s="35"/>
      <c r="I2865" s="43" t="s">
        <v>38</v>
      </c>
      <c r="J2865" s="117">
        <v>1.2333988744077669E-4</v>
      </c>
      <c r="K2865" s="117">
        <v>1.027384872411831E-4</v>
      </c>
      <c r="L2865" s="117">
        <v>7.5228803452044254E-5</v>
      </c>
      <c r="M2865" s="117">
        <v>7.6582966236798247E-5</v>
      </c>
      <c r="N2865" s="117">
        <v>1.1647607857182454E-4</v>
      </c>
      <c r="O2865" s="117">
        <v>7.6054113430406426E-5</v>
      </c>
      <c r="P2865" s="117">
        <v>3.2248491080539752E-5</v>
      </c>
    </row>
    <row r="2866" spans="1:16" hidden="1" x14ac:dyDescent="0.35">
      <c r="A2866" s="3">
        <f xml:space="preserve"> ROW( data_scaledImpacts[[#This Row],[row_id]] ) - ROW( data_scaledImpacts[[#Headers],[row_id]] )</f>
        <v>2865</v>
      </c>
      <c r="B2866" s="41" t="str">
        <f xml:space="preserve"> _xlfn.TEXTJOIN( "", , data_scaledImpacts[[#This Row],[sector]:[impactType]] )</f>
        <v>ATSExtremeTempHadGEM2-ES2high CI</v>
      </c>
      <c r="C2866" s="33" t="s">
        <v>1243</v>
      </c>
      <c r="D2866" s="33" t="s">
        <v>3</v>
      </c>
      <c r="E2866" s="34">
        <v>2</v>
      </c>
      <c r="F2866" s="34"/>
      <c r="G2866" s="34" t="s">
        <v>1253</v>
      </c>
      <c r="H2866" s="35"/>
      <c r="I2866" s="43" t="s">
        <v>45</v>
      </c>
      <c r="J2866" s="117">
        <v>2.002748293725155E-4</v>
      </c>
      <c r="K2866" s="117">
        <v>1.5870830839004362E-4</v>
      </c>
      <c r="L2866" s="117">
        <v>1.7613672147305049E-4</v>
      </c>
      <c r="M2866" s="117">
        <v>1.544672006107081E-4</v>
      </c>
      <c r="N2866" s="117">
        <v>1.8874353799054741E-4</v>
      </c>
      <c r="O2866" s="117">
        <v>1.8093202674155233E-4</v>
      </c>
      <c r="P2866" s="117">
        <v>1.0795196428305291E-4</v>
      </c>
    </row>
    <row r="2867" spans="1:16" hidden="1" x14ac:dyDescent="0.35">
      <c r="A2867" s="3">
        <f xml:space="preserve"> ROW( data_scaledImpacts[[#This Row],[row_id]] ) - ROW( data_scaledImpacts[[#Headers],[row_id]] )</f>
        <v>2866</v>
      </c>
      <c r="B2867" s="41" t="str">
        <f xml:space="preserve"> _xlfn.TEXTJOIN( "", , data_scaledImpacts[[#This Row],[sector]:[impactType]] )</f>
        <v>ATSExtremeTempHadGEM2-ES3high CI</v>
      </c>
      <c r="C2867" s="33" t="s">
        <v>1243</v>
      </c>
      <c r="D2867" s="33" t="s">
        <v>3</v>
      </c>
      <c r="E2867" s="34">
        <v>3</v>
      </c>
      <c r="F2867" s="34"/>
      <c r="G2867" s="34" t="s">
        <v>1253</v>
      </c>
      <c r="H2867" s="35"/>
      <c r="I2867" s="43" t="s">
        <v>52</v>
      </c>
      <c r="J2867" s="117">
        <v>3.4816202323584647E-4</v>
      </c>
      <c r="K2867" s="117">
        <v>2.9981393841153019E-4</v>
      </c>
      <c r="L2867" s="117">
        <v>2.9083074247708524E-4</v>
      </c>
      <c r="M2867" s="117">
        <v>2.295376196722182E-4</v>
      </c>
      <c r="N2867" s="117">
        <v>3.3223566942622859E-4</v>
      </c>
      <c r="O2867" s="117">
        <v>2.9421565534951686E-4</v>
      </c>
      <c r="P2867" s="117">
        <v>1.8355888435917964E-4</v>
      </c>
    </row>
    <row r="2868" spans="1:16" hidden="1" x14ac:dyDescent="0.35">
      <c r="A2868" s="3">
        <f xml:space="preserve"> ROW( data_scaledImpacts[[#This Row],[row_id]] ) - ROW( data_scaledImpacts[[#Headers],[row_id]] )</f>
        <v>2867</v>
      </c>
      <c r="B2868" s="41" t="str">
        <f xml:space="preserve"> _xlfn.TEXTJOIN( "", , data_scaledImpacts[[#This Row],[sector]:[impactType]] )</f>
        <v>ATSExtremeTempHadGEM2-ES4high CI</v>
      </c>
      <c r="C2868" s="33" t="s">
        <v>1243</v>
      </c>
      <c r="D2868" s="33" t="s">
        <v>3</v>
      </c>
      <c r="E2868" s="34">
        <v>4</v>
      </c>
      <c r="F2868" s="34"/>
      <c r="G2868" s="34" t="s">
        <v>1253</v>
      </c>
      <c r="H2868" s="35"/>
      <c r="I2868" s="43" t="s">
        <v>59</v>
      </c>
      <c r="J2868" s="117">
        <v>4.2852684659312171E-4</v>
      </c>
      <c r="K2868" s="117">
        <v>3.8094289158529458E-4</v>
      </c>
      <c r="L2868" s="117">
        <v>3.7635826795834906E-4</v>
      </c>
      <c r="M2868" s="117">
        <v>3.5249282486778875E-4</v>
      </c>
      <c r="N2868" s="117">
        <v>4.1626234098375786E-4</v>
      </c>
      <c r="O2868" s="117">
        <v>3.6530243950061621E-4</v>
      </c>
      <c r="P2868" s="117">
        <v>2.8773517233580633E-4</v>
      </c>
    </row>
    <row r="2869" spans="1:16" hidden="1" x14ac:dyDescent="0.35">
      <c r="A2869" s="3">
        <f xml:space="preserve"> ROW( data_scaledImpacts[[#This Row],[row_id]] ) - ROW( data_scaledImpacts[[#Headers],[row_id]] )</f>
        <v>2868</v>
      </c>
      <c r="B2869" s="41" t="str">
        <f xml:space="preserve"> _xlfn.TEXTJOIN( "", , data_scaledImpacts[[#This Row],[sector]:[impactType]] )</f>
        <v>ATSExtremeTempHadGEM2-ES5high CI</v>
      </c>
      <c r="C2869" s="33" t="s">
        <v>1243</v>
      </c>
      <c r="D2869" s="33" t="s">
        <v>3</v>
      </c>
      <c r="E2869" s="34">
        <v>5</v>
      </c>
      <c r="F2869" s="34"/>
      <c r="G2869" s="34" t="s">
        <v>1253</v>
      </c>
      <c r="H2869" s="35"/>
      <c r="I2869" s="43" t="s">
        <v>66</v>
      </c>
      <c r="J2869" s="117">
        <v>5.0214239899423318E-4</v>
      </c>
      <c r="K2869" s="117">
        <v>4.5170096472193399E-4</v>
      </c>
      <c r="L2869" s="117">
        <v>4.6549460928199947E-4</v>
      </c>
      <c r="M2869" s="117">
        <v>4.4239240959725867E-4</v>
      </c>
      <c r="N2869" s="117">
        <v>4.723683367779112E-4</v>
      </c>
      <c r="O2869" s="117">
        <v>4.1310197172334613E-4</v>
      </c>
      <c r="P2869" s="117">
        <v>3.5369570334829519E-4</v>
      </c>
    </row>
    <row r="2870" spans="1:16" hidden="1" x14ac:dyDescent="0.35">
      <c r="A2870" s="3">
        <f xml:space="preserve"> ROW( data_scaledImpacts[[#This Row],[row_id]] ) - ROW( data_scaledImpacts[[#Headers],[row_id]] )</f>
        <v>2869</v>
      </c>
      <c r="B2870" s="41" t="str">
        <f xml:space="preserve"> _xlfn.TEXTJOIN( "", , data_scaledImpacts[[#This Row],[sector]:[impactType]] )</f>
        <v>ATSExtremeTempHadGEM2-ES6high CI</v>
      </c>
      <c r="C2870" s="33" t="s">
        <v>1243</v>
      </c>
      <c r="D2870" s="33" t="s">
        <v>3</v>
      </c>
      <c r="E2870" s="34">
        <v>6</v>
      </c>
      <c r="F2870" s="34"/>
      <c r="G2870" s="34" t="s">
        <v>1253</v>
      </c>
      <c r="H2870" s="35"/>
      <c r="I2870" s="43" t="s">
        <v>73</v>
      </c>
      <c r="J2870" s="117">
        <v>6.2949785381789455E-4</v>
      </c>
      <c r="K2870" s="117">
        <v>5.6672800626794044E-4</v>
      </c>
      <c r="L2870" s="117">
        <v>5.4453787809442085E-4</v>
      </c>
      <c r="M2870" s="117">
        <v>5.1388773783505161E-4</v>
      </c>
      <c r="N2870" s="117">
        <v>5.8842038248165158E-4</v>
      </c>
      <c r="O2870" s="117">
        <v>4.9218631443094117E-4</v>
      </c>
      <c r="P2870" s="117">
        <v>4.1073114889363078E-4</v>
      </c>
    </row>
    <row r="2871" spans="1:16" hidden="1" x14ac:dyDescent="0.35">
      <c r="A2871" s="3">
        <f xml:space="preserve"> ROW( data_scaledImpacts[[#This Row],[row_id]] ) - ROW( data_scaledImpacts[[#Headers],[row_id]] )</f>
        <v>2870</v>
      </c>
      <c r="B2871" s="41" t="str">
        <f xml:space="preserve"> _xlfn.TEXTJOIN( "", , data_scaledImpacts[[#This Row],[sector]:[impactType]] )</f>
        <v>ATSExtremeTempMIROC51high CI</v>
      </c>
      <c r="C2871" s="33" t="s">
        <v>1243</v>
      </c>
      <c r="D2871" s="33" t="s">
        <v>4</v>
      </c>
      <c r="E2871" s="34">
        <v>1</v>
      </c>
      <c r="F2871" s="34"/>
      <c r="G2871" s="34" t="s">
        <v>1253</v>
      </c>
      <c r="H2871" s="35"/>
      <c r="I2871" s="43" t="s">
        <v>39</v>
      </c>
      <c r="J2871" s="117">
        <v>1.1277433296196658E-4</v>
      </c>
      <c r="K2871" s="117">
        <v>9.6563618906949633E-5</v>
      </c>
      <c r="L2871" s="117">
        <v>8.3164035309963062E-5</v>
      </c>
      <c r="M2871" s="117">
        <v>5.7272186838217406E-5</v>
      </c>
      <c r="N2871" s="117">
        <v>8.1038944001672885E-5</v>
      </c>
      <c r="O2871" s="117">
        <v>8.4499596728456719E-5</v>
      </c>
      <c r="P2871" s="117">
        <v>3.7518600972320542E-5</v>
      </c>
    </row>
    <row r="2872" spans="1:16" hidden="1" x14ac:dyDescent="0.35">
      <c r="A2872" s="3">
        <f xml:space="preserve"> ROW( data_scaledImpacts[[#This Row],[row_id]] ) - ROW( data_scaledImpacts[[#Headers],[row_id]] )</f>
        <v>2871</v>
      </c>
      <c r="B2872" s="41" t="str">
        <f xml:space="preserve"> _xlfn.TEXTJOIN( "", , data_scaledImpacts[[#This Row],[sector]:[impactType]] )</f>
        <v>ATSExtremeTempMIROC52high CI</v>
      </c>
      <c r="C2872" s="33" t="s">
        <v>1243</v>
      </c>
      <c r="D2872" s="33" t="s">
        <v>4</v>
      </c>
      <c r="E2872" s="34">
        <v>2</v>
      </c>
      <c r="F2872" s="34"/>
      <c r="G2872" s="34" t="s">
        <v>1253</v>
      </c>
      <c r="H2872" s="35"/>
      <c r="I2872" s="43" t="s">
        <v>46</v>
      </c>
      <c r="J2872" s="117">
        <v>2.2784460490675253E-4</v>
      </c>
      <c r="K2872" s="117">
        <v>2.0612540078606195E-4</v>
      </c>
      <c r="L2872" s="117">
        <v>1.9972335498323528E-4</v>
      </c>
      <c r="M2872" s="117">
        <v>1.1315210281835048E-4</v>
      </c>
      <c r="N2872" s="117">
        <v>1.8078963658237353E-4</v>
      </c>
      <c r="O2872" s="117">
        <v>1.9286501463704425E-4</v>
      </c>
      <c r="P2872" s="117">
        <v>1.1690920175393768E-4</v>
      </c>
    </row>
    <row r="2873" spans="1:16" hidden="1" x14ac:dyDescent="0.35">
      <c r="A2873" s="3">
        <f xml:space="preserve"> ROW( data_scaledImpacts[[#This Row],[row_id]] ) - ROW( data_scaledImpacts[[#Headers],[row_id]] )</f>
        <v>2872</v>
      </c>
      <c r="B2873" s="41" t="str">
        <f xml:space="preserve"> _xlfn.TEXTJOIN( "", , data_scaledImpacts[[#This Row],[sector]:[impactType]] )</f>
        <v>ATSExtremeTempMIROC53high CI</v>
      </c>
      <c r="C2873" s="33" t="s">
        <v>1243</v>
      </c>
      <c r="D2873" s="33" t="s">
        <v>4</v>
      </c>
      <c r="E2873" s="34">
        <v>3</v>
      </c>
      <c r="F2873" s="34"/>
      <c r="G2873" s="34" t="s">
        <v>1253</v>
      </c>
      <c r="H2873" s="35"/>
      <c r="I2873" s="43" t="s">
        <v>53</v>
      </c>
      <c r="J2873" s="117">
        <v>3.4539772861398696E-4</v>
      </c>
      <c r="K2873" s="117">
        <v>3.5209321549711494E-4</v>
      </c>
      <c r="L2873" s="117">
        <v>2.9521046696450939E-4</v>
      </c>
      <c r="M2873" s="117">
        <v>1.8011748716774672E-4</v>
      </c>
      <c r="N2873" s="117">
        <v>3.0246008396569264E-4</v>
      </c>
      <c r="O2873" s="117">
        <v>3.0001741766220709E-4</v>
      </c>
      <c r="P2873" s="117">
        <v>2.0311940858578514E-4</v>
      </c>
    </row>
    <row r="2874" spans="1:16" hidden="1" x14ac:dyDescent="0.35">
      <c r="A2874" s="3">
        <f xml:space="preserve"> ROW( data_scaledImpacts[[#This Row],[row_id]] ) - ROW( data_scaledImpacts[[#Headers],[row_id]] )</f>
        <v>2873</v>
      </c>
      <c r="B2874" s="41" t="str">
        <f xml:space="preserve"> _xlfn.TEXTJOIN( "", , data_scaledImpacts[[#This Row],[sector]:[impactType]] )</f>
        <v>ATSExtremeTempMIROC54high CI</v>
      </c>
      <c r="C2874" s="33" t="s">
        <v>1243</v>
      </c>
      <c r="D2874" s="33" t="s">
        <v>4</v>
      </c>
      <c r="E2874" s="34">
        <v>4</v>
      </c>
      <c r="F2874" s="34"/>
      <c r="G2874" s="34" t="s">
        <v>1253</v>
      </c>
      <c r="H2874" s="35"/>
      <c r="I2874" s="43" t="s">
        <v>60</v>
      </c>
      <c r="J2874" s="117">
        <v>4.5295888122240293E-4</v>
      </c>
      <c r="K2874" s="117">
        <v>4.3004350262958608E-4</v>
      </c>
      <c r="L2874" s="117">
        <v>3.9790896786076873E-4</v>
      </c>
      <c r="M2874" s="117">
        <v>2.5491167666255213E-4</v>
      </c>
      <c r="N2874" s="117">
        <v>3.7655405613484485E-4</v>
      </c>
      <c r="O2874" s="117">
        <v>3.7428776519015012E-4</v>
      </c>
      <c r="P2874" s="117">
        <v>2.5274811807145226E-4</v>
      </c>
    </row>
    <row r="2875" spans="1:16" hidden="1" x14ac:dyDescent="0.35">
      <c r="A2875" s="3">
        <f xml:space="preserve"> ROW( data_scaledImpacts[[#This Row],[row_id]] ) - ROW( data_scaledImpacts[[#Headers],[row_id]] )</f>
        <v>2874</v>
      </c>
      <c r="B2875" s="41" t="str">
        <f xml:space="preserve"> _xlfn.TEXTJOIN( "", , data_scaledImpacts[[#This Row],[sector]:[impactType]] )</f>
        <v>ATSExtremeTempMIROC55high CI</v>
      </c>
      <c r="C2875" s="33" t="s">
        <v>1243</v>
      </c>
      <c r="D2875" s="33" t="s">
        <v>4</v>
      </c>
      <c r="E2875" s="34">
        <v>5</v>
      </c>
      <c r="F2875" s="34"/>
      <c r="G2875" s="34" t="s">
        <v>1253</v>
      </c>
      <c r="H2875" s="35"/>
      <c r="I2875" s="43" t="s">
        <v>67</v>
      </c>
      <c r="J2875" s="117">
        <v>5.4688627968212816E-4</v>
      </c>
      <c r="K2875" s="117">
        <v>4.9646490157422571E-4</v>
      </c>
      <c r="L2875" s="117">
        <v>4.8881402126746897E-4</v>
      </c>
      <c r="M2875" s="117">
        <v>3.1522679370537621E-4</v>
      </c>
      <c r="N2875" s="117">
        <v>4.5553428673212877E-4</v>
      </c>
      <c r="O2875" s="117">
        <v>4.7992065401703866E-4</v>
      </c>
      <c r="P2875" s="117">
        <v>3.1257218959288382E-4</v>
      </c>
    </row>
    <row r="2876" spans="1:16" hidden="1" x14ac:dyDescent="0.35">
      <c r="A2876" s="3">
        <f xml:space="preserve"> ROW( data_scaledImpacts[[#This Row],[row_id]] ) - ROW( data_scaledImpacts[[#Headers],[row_id]] )</f>
        <v>2875</v>
      </c>
      <c r="B2876" s="41" t="str">
        <f xml:space="preserve"> _xlfn.TEXTJOIN( "", , data_scaledImpacts[[#This Row],[sector]:[impactType]] )</f>
        <v>ATSExtremeTempMIROC56high CI</v>
      </c>
      <c r="C2876" s="33" t="s">
        <v>1243</v>
      </c>
      <c r="D2876" s="33" t="s">
        <v>4</v>
      </c>
      <c r="E2876" s="34">
        <v>6</v>
      </c>
      <c r="F2876" s="34"/>
      <c r="G2876" s="34" t="s">
        <v>1253</v>
      </c>
      <c r="H2876" s="35"/>
      <c r="I2876" s="43" t="s">
        <v>74</v>
      </c>
      <c r="J2876" s="117"/>
      <c r="K2876" s="117"/>
      <c r="L2876" s="117"/>
      <c r="M2876" s="117"/>
      <c r="N2876" s="117"/>
      <c r="O2876" s="117"/>
      <c r="P2876" s="117"/>
    </row>
    <row r="2877" spans="1:16" hidden="1" x14ac:dyDescent="0.35">
      <c r="A2877" s="3">
        <f xml:space="preserve"> ROW( data_scaledImpacts[[#This Row],[row_id]] ) - ROW( data_scaledImpacts[[#Headers],[row_id]] )</f>
        <v>2876</v>
      </c>
      <c r="B2877" s="41" t="str">
        <f xml:space="preserve"> _xlfn.TEXTJOIN( "", , data_scaledImpacts[[#This Row],[sector]:[impactType]] )</f>
        <v>ATSExtremeTempGFDL-CM31high CI</v>
      </c>
      <c r="C2877" s="33" t="s">
        <v>1243</v>
      </c>
      <c r="D2877" s="33" t="s">
        <v>5</v>
      </c>
      <c r="E2877" s="34">
        <v>1</v>
      </c>
      <c r="F2877" s="34"/>
      <c r="G2877" s="34" t="s">
        <v>1253</v>
      </c>
      <c r="H2877" s="35"/>
      <c r="I2877" s="43" t="s">
        <v>40</v>
      </c>
      <c r="J2877" s="117">
        <v>1.1347571848774535E-4</v>
      </c>
      <c r="K2877" s="117">
        <v>1.1619493425154144E-4</v>
      </c>
      <c r="L2877" s="117">
        <v>6.1198524308931509E-5</v>
      </c>
      <c r="M2877" s="117">
        <v>5.0809625152652038E-5</v>
      </c>
      <c r="N2877" s="117">
        <v>1.0719603455906367E-4</v>
      </c>
      <c r="O2877" s="117">
        <v>8.8045068747269801E-5</v>
      </c>
      <c r="P2877" s="117">
        <v>4.4217778372095463E-5</v>
      </c>
    </row>
    <row r="2878" spans="1:16" hidden="1" x14ac:dyDescent="0.35">
      <c r="A2878" s="3">
        <f xml:space="preserve"> ROW( data_scaledImpacts[[#This Row],[row_id]] ) - ROW( data_scaledImpacts[[#Headers],[row_id]] )</f>
        <v>2877</v>
      </c>
      <c r="B2878" s="41" t="str">
        <f xml:space="preserve"> _xlfn.TEXTJOIN( "", , data_scaledImpacts[[#This Row],[sector]:[impactType]] )</f>
        <v>ATSExtremeTempGFDL-CM32high CI</v>
      </c>
      <c r="C2878" s="33" t="s">
        <v>1243</v>
      </c>
      <c r="D2878" s="33" t="s">
        <v>5</v>
      </c>
      <c r="E2878" s="34">
        <v>2</v>
      </c>
      <c r="F2878" s="34"/>
      <c r="G2878" s="34" t="s">
        <v>1253</v>
      </c>
      <c r="H2878" s="35"/>
      <c r="I2878" s="43" t="s">
        <v>47</v>
      </c>
      <c r="J2878" s="117">
        <v>2.0742230331048046E-4</v>
      </c>
      <c r="K2878" s="117">
        <v>2.201490528429715E-4</v>
      </c>
      <c r="L2878" s="117">
        <v>1.4909912381541249E-4</v>
      </c>
      <c r="M2878" s="117">
        <v>1.2395674999733612E-4</v>
      </c>
      <c r="N2878" s="117">
        <v>2.0988147287881638E-4</v>
      </c>
      <c r="O2878" s="117">
        <v>1.7181349269627363E-4</v>
      </c>
      <c r="P2878" s="117">
        <v>1.1440445900538277E-4</v>
      </c>
    </row>
    <row r="2879" spans="1:16" hidden="1" x14ac:dyDescent="0.35">
      <c r="A2879" s="3">
        <f xml:space="preserve"> ROW( data_scaledImpacts[[#This Row],[row_id]] ) - ROW( data_scaledImpacts[[#Headers],[row_id]] )</f>
        <v>2878</v>
      </c>
      <c r="B2879" s="41" t="str">
        <f xml:space="preserve"> _xlfn.TEXTJOIN( "", , data_scaledImpacts[[#This Row],[sector]:[impactType]] )</f>
        <v>ATSExtremeTempGFDL-CM33high CI</v>
      </c>
      <c r="C2879" s="33" t="s">
        <v>1243</v>
      </c>
      <c r="D2879" s="33" t="s">
        <v>5</v>
      </c>
      <c r="E2879" s="34">
        <v>3</v>
      </c>
      <c r="F2879" s="34"/>
      <c r="G2879" s="34" t="s">
        <v>1253</v>
      </c>
      <c r="H2879" s="35"/>
      <c r="I2879" s="43" t="s">
        <v>54</v>
      </c>
      <c r="J2879" s="117">
        <v>3.0363208119789338E-4</v>
      </c>
      <c r="K2879" s="117">
        <v>3.4230632357033254E-4</v>
      </c>
      <c r="L2879" s="117">
        <v>2.5610282824057836E-4</v>
      </c>
      <c r="M2879" s="117">
        <v>2.4676892615216892E-4</v>
      </c>
      <c r="N2879" s="117">
        <v>3.2616547748558173E-4</v>
      </c>
      <c r="O2879" s="117">
        <v>2.7911171945580154E-4</v>
      </c>
      <c r="P2879" s="117">
        <v>2.3618577523902226E-4</v>
      </c>
    </row>
    <row r="2880" spans="1:16" hidden="1" x14ac:dyDescent="0.35">
      <c r="A2880" s="3">
        <f xml:space="preserve"> ROW( data_scaledImpacts[[#This Row],[row_id]] ) - ROW( data_scaledImpacts[[#Headers],[row_id]] )</f>
        <v>2879</v>
      </c>
      <c r="B2880" s="41" t="str">
        <f xml:space="preserve"> _xlfn.TEXTJOIN( "", , data_scaledImpacts[[#This Row],[sector]:[impactType]] )</f>
        <v>ATSExtremeTempGFDL-CM34high CI</v>
      </c>
      <c r="C2880" s="33" t="s">
        <v>1243</v>
      </c>
      <c r="D2880" s="33" t="s">
        <v>5</v>
      </c>
      <c r="E2880" s="34">
        <v>4</v>
      </c>
      <c r="F2880" s="34"/>
      <c r="G2880" s="34" t="s">
        <v>1253</v>
      </c>
      <c r="H2880" s="35"/>
      <c r="I2880" s="43" t="s">
        <v>61</v>
      </c>
      <c r="J2880" s="117">
        <v>3.8412543608163616E-4</v>
      </c>
      <c r="K2880" s="117">
        <v>4.2268482531320427E-4</v>
      </c>
      <c r="L2880" s="117">
        <v>3.049741695359569E-4</v>
      </c>
      <c r="M2880" s="117">
        <v>3.0793571780473705E-4</v>
      </c>
      <c r="N2880" s="117">
        <v>4.1473954371857663E-4</v>
      </c>
      <c r="O2880" s="117">
        <v>3.6034398579276854E-4</v>
      </c>
      <c r="P2880" s="117">
        <v>3.037096536808854E-4</v>
      </c>
    </row>
    <row r="2881" spans="1:16" hidden="1" x14ac:dyDescent="0.35">
      <c r="A2881" s="3">
        <f xml:space="preserve"> ROW( data_scaledImpacts[[#This Row],[row_id]] ) - ROW( data_scaledImpacts[[#Headers],[row_id]] )</f>
        <v>2880</v>
      </c>
      <c r="B2881" s="41" t="str">
        <f xml:space="preserve"> _xlfn.TEXTJOIN( "", , data_scaledImpacts[[#This Row],[sector]:[impactType]] )</f>
        <v>ATSExtremeTempGFDL-CM35high CI</v>
      </c>
      <c r="C2881" s="33" t="s">
        <v>1243</v>
      </c>
      <c r="D2881" s="33" t="s">
        <v>5</v>
      </c>
      <c r="E2881" s="34">
        <v>5</v>
      </c>
      <c r="F2881" s="34"/>
      <c r="G2881" s="34" t="s">
        <v>1253</v>
      </c>
      <c r="H2881" s="35"/>
      <c r="I2881" s="43" t="s">
        <v>68</v>
      </c>
      <c r="J2881" s="117">
        <v>4.882904267563933E-4</v>
      </c>
      <c r="K2881" s="117">
        <v>4.9519506648025829E-4</v>
      </c>
      <c r="L2881" s="117">
        <v>4.2156238190723994E-4</v>
      </c>
      <c r="M2881" s="117">
        <v>3.6793895653265387E-4</v>
      </c>
      <c r="N2881" s="117">
        <v>4.9858759261588496E-4</v>
      </c>
      <c r="O2881" s="117">
        <v>4.5869836525405043E-4</v>
      </c>
      <c r="P2881" s="117">
        <v>3.7355451322160563E-4</v>
      </c>
    </row>
    <row r="2882" spans="1:16" hidden="1" x14ac:dyDescent="0.35">
      <c r="A2882" s="3">
        <f xml:space="preserve"> ROW( data_scaledImpacts[[#This Row],[row_id]] ) - ROW( data_scaledImpacts[[#Headers],[row_id]] )</f>
        <v>2881</v>
      </c>
      <c r="B2882" s="41" t="str">
        <f xml:space="preserve"> _xlfn.TEXTJOIN( "", , data_scaledImpacts[[#This Row],[sector]:[impactType]] )</f>
        <v>ATSExtremeTempGFDL-CM36high CI</v>
      </c>
      <c r="C2882" s="33" t="s">
        <v>1243</v>
      </c>
      <c r="D2882" s="33" t="s">
        <v>5</v>
      </c>
      <c r="E2882" s="34">
        <v>6</v>
      </c>
      <c r="F2882" s="34"/>
      <c r="G2882" s="34" t="s">
        <v>1253</v>
      </c>
      <c r="H2882" s="35"/>
      <c r="I2882" s="43" t="s">
        <v>75</v>
      </c>
      <c r="J2882" s="117">
        <v>5.8246467260951223E-4</v>
      </c>
      <c r="K2882" s="117">
        <v>5.8954268435594613E-4</v>
      </c>
      <c r="L2882" s="117">
        <v>5.1035643898680015E-4</v>
      </c>
      <c r="M2882" s="117">
        <v>4.4174129275293555E-4</v>
      </c>
      <c r="N2882" s="117">
        <v>5.9081719757486239E-4</v>
      </c>
      <c r="O2882" s="117">
        <v>5.2547813893837666E-4</v>
      </c>
      <c r="P2882" s="117">
        <v>4.5785960106956871E-4</v>
      </c>
    </row>
    <row r="2883" spans="1:16" hidden="1" x14ac:dyDescent="0.35">
      <c r="A2883" s="3">
        <f xml:space="preserve"> ROW( data_scaledImpacts[[#This Row],[row_id]] ) - ROW( data_scaledImpacts[[#Headers],[row_id]] )</f>
        <v>2882</v>
      </c>
      <c r="B2883" s="41" t="str">
        <f xml:space="preserve"> _xlfn.TEXTJOIN( "", , data_scaledImpacts[[#This Row],[sector]:[impactType]] )</f>
        <v>ATSExtremeTempGCMAverage1high CI</v>
      </c>
      <c r="C2883" s="33" t="s">
        <v>1243</v>
      </c>
      <c r="D2883" s="33" t="s">
        <v>1245</v>
      </c>
      <c r="E2883" s="34">
        <v>1</v>
      </c>
      <c r="F2883" s="34"/>
      <c r="G2883" s="34" t="s">
        <v>1253</v>
      </c>
      <c r="H2883" s="35"/>
      <c r="I2883" s="43" t="s">
        <v>1246</v>
      </c>
      <c r="J2883" s="117">
        <v>1.0872821562369686E-4</v>
      </c>
      <c r="K2883" s="117">
        <v>1.0082993593357899E-4</v>
      </c>
      <c r="L2883" s="117">
        <v>7.9603380220740462E-5</v>
      </c>
      <c r="M2883" s="117">
        <v>6.3613422945042747E-5</v>
      </c>
      <c r="N2883" s="117">
        <v>9.1045778193301472E-5</v>
      </c>
      <c r="O2883" s="117">
        <v>7.5979878734871176E-5</v>
      </c>
      <c r="P2883" s="117">
        <v>4.2346089508831781E-5</v>
      </c>
    </row>
    <row r="2884" spans="1:16" hidden="1" x14ac:dyDescent="0.35">
      <c r="A2884" s="3">
        <f xml:space="preserve"> ROW( data_scaledImpacts[[#This Row],[row_id]] ) - ROW( data_scaledImpacts[[#Headers],[row_id]] )</f>
        <v>2883</v>
      </c>
      <c r="B2884" s="41" t="str">
        <f xml:space="preserve"> _xlfn.TEXTJOIN( "", , data_scaledImpacts[[#This Row],[sector]:[impactType]] )</f>
        <v>ATSExtremeTempGCMAverage2high CI</v>
      </c>
      <c r="C2884" s="33" t="s">
        <v>1243</v>
      </c>
      <c r="D2884" s="33" t="s">
        <v>1245</v>
      </c>
      <c r="E2884" s="34">
        <v>2</v>
      </c>
      <c r="F2884" s="34"/>
      <c r="G2884" s="34" t="s">
        <v>1253</v>
      </c>
      <c r="H2884" s="35"/>
      <c r="I2884" s="43" t="s">
        <v>1247</v>
      </c>
      <c r="J2884" s="117">
        <v>2.1050678060093251E-4</v>
      </c>
      <c r="K2884" s="117">
        <v>1.9693293547653364E-4</v>
      </c>
      <c r="L2884" s="117">
        <v>1.7578082404995249E-4</v>
      </c>
      <c r="M2884" s="117">
        <v>1.4459262368781968E-4</v>
      </c>
      <c r="N2884" s="117">
        <v>1.9334022583746721E-4</v>
      </c>
      <c r="O2884" s="117">
        <v>1.7921448353345996E-4</v>
      </c>
      <c r="P2884" s="117">
        <v>1.2932200576848426E-4</v>
      </c>
    </row>
    <row r="2885" spans="1:16" hidden="1" x14ac:dyDescent="0.35">
      <c r="A2885" s="3">
        <f xml:space="preserve"> ROW( data_scaledImpacts[[#This Row],[row_id]] ) - ROW( data_scaledImpacts[[#Headers],[row_id]] )</f>
        <v>2884</v>
      </c>
      <c r="B2885" s="41" t="str">
        <f xml:space="preserve"> _xlfn.TEXTJOIN( "", , data_scaledImpacts[[#This Row],[sector]:[impactType]] )</f>
        <v>ATSExtremeTempGCMAverage3high CI</v>
      </c>
      <c r="C2885" s="33" t="s">
        <v>1243</v>
      </c>
      <c r="D2885" s="33" t="s">
        <v>1245</v>
      </c>
      <c r="E2885" s="34">
        <v>3</v>
      </c>
      <c r="F2885" s="34"/>
      <c r="G2885" s="34" t="s">
        <v>1253</v>
      </c>
      <c r="H2885" s="35"/>
      <c r="I2885" s="43" t="s">
        <v>1248</v>
      </c>
      <c r="J2885" s="117">
        <v>3.1978218814831204E-4</v>
      </c>
      <c r="K2885" s="117">
        <v>3.0967625004657898E-4</v>
      </c>
      <c r="L2885" s="117">
        <v>2.7546897261741403E-4</v>
      </c>
      <c r="M2885" s="117">
        <v>2.3176122310144482E-4</v>
      </c>
      <c r="N2885" s="117">
        <v>3.104754396392973E-4</v>
      </c>
      <c r="O2885" s="117">
        <v>2.8016567738207147E-4</v>
      </c>
      <c r="P2885" s="117">
        <v>2.1507274964918246E-4</v>
      </c>
    </row>
    <row r="2886" spans="1:16" hidden="1" x14ac:dyDescent="0.35">
      <c r="A2886" s="3">
        <f xml:space="preserve"> ROW( data_scaledImpacts[[#This Row],[row_id]] ) - ROW( data_scaledImpacts[[#Headers],[row_id]] )</f>
        <v>2885</v>
      </c>
      <c r="B2886" s="41" t="str">
        <f xml:space="preserve"> _xlfn.TEXTJOIN( "", , data_scaledImpacts[[#This Row],[sector]:[impactType]] )</f>
        <v>ATSExtremeTempGCMAverage4high CI</v>
      </c>
      <c r="C2886" s="33" t="s">
        <v>1243</v>
      </c>
      <c r="D2886" s="33" t="s">
        <v>1245</v>
      </c>
      <c r="E2886" s="34">
        <v>4</v>
      </c>
      <c r="F2886" s="34"/>
      <c r="G2886" s="34" t="s">
        <v>1253</v>
      </c>
      <c r="H2886" s="35"/>
      <c r="I2886" s="43" t="s">
        <v>1249</v>
      </c>
      <c r="J2886" s="117">
        <v>3.9964352742647249E-4</v>
      </c>
      <c r="K2886" s="117">
        <v>3.9027965857155856E-4</v>
      </c>
      <c r="L2886" s="117">
        <v>3.5574402914480421E-4</v>
      </c>
      <c r="M2886" s="117">
        <v>3.2963111281017997E-4</v>
      </c>
      <c r="N2886" s="117">
        <v>3.908848267956488E-4</v>
      </c>
      <c r="O2886" s="117">
        <v>3.5771540859127083E-4</v>
      </c>
      <c r="P2886" s="117">
        <v>2.9042078677579897E-4</v>
      </c>
    </row>
    <row r="2887" spans="1:16" hidden="1" x14ac:dyDescent="0.35">
      <c r="A2887" s="3">
        <f xml:space="preserve"> ROW( data_scaledImpacts[[#This Row],[row_id]] ) - ROW( data_scaledImpacts[[#Headers],[row_id]] )</f>
        <v>2886</v>
      </c>
      <c r="B2887" s="41" t="str">
        <f xml:space="preserve"> _xlfn.TEXTJOIN( "", , data_scaledImpacts[[#This Row],[sector]:[impactType]] )</f>
        <v>ATSExtremeTempGCMAverage5high CI</v>
      </c>
      <c r="C2887" s="33" t="s">
        <v>1243</v>
      </c>
      <c r="D2887" s="33" t="s">
        <v>1245</v>
      </c>
      <c r="E2887" s="34">
        <v>5</v>
      </c>
      <c r="F2887" s="34"/>
      <c r="G2887" s="34" t="s">
        <v>1253</v>
      </c>
      <c r="H2887" s="35"/>
      <c r="I2887" s="43" t="s">
        <v>1250</v>
      </c>
      <c r="J2887" s="117">
        <v>4.9467688737757593E-4</v>
      </c>
      <c r="K2887" s="117">
        <v>4.6720127421982939E-4</v>
      </c>
      <c r="L2887" s="117">
        <v>4.5505113552743611E-4</v>
      </c>
      <c r="M2887" s="117">
        <v>3.9969894441234388E-4</v>
      </c>
      <c r="N2887" s="117">
        <v>4.7301430835119463E-4</v>
      </c>
      <c r="O2887" s="117">
        <v>4.4446315743495627E-4</v>
      </c>
      <c r="P2887" s="117">
        <v>3.5419706198203663E-4</v>
      </c>
    </row>
    <row r="2888" spans="1:16" hidden="1" x14ac:dyDescent="0.35">
      <c r="A2888" s="3">
        <f xml:space="preserve"> ROW( data_scaledImpacts[[#This Row],[row_id]] ) - ROW( data_scaledImpacts[[#Headers],[row_id]] )</f>
        <v>2887</v>
      </c>
      <c r="B2888" s="41" t="str">
        <f xml:space="preserve"> _xlfn.TEXTJOIN( "", , data_scaledImpacts[[#This Row],[sector]:[impactType]] )</f>
        <v>ATSExtremeTempGCMAverage6high CI</v>
      </c>
      <c r="C2888" s="33" t="s">
        <v>1243</v>
      </c>
      <c r="D2888" s="33" t="s">
        <v>1245</v>
      </c>
      <c r="E2888" s="34">
        <v>6</v>
      </c>
      <c r="F2888" s="34"/>
      <c r="G2888" s="34" t="s">
        <v>1253</v>
      </c>
      <c r="H2888" s="35"/>
      <c r="I2888" s="43" t="s">
        <v>1251</v>
      </c>
      <c r="J2888" s="117">
        <v>5.881724262824981E-4</v>
      </c>
      <c r="K2888" s="117">
        <v>5.6868653174863666E-4</v>
      </c>
      <c r="L2888" s="117">
        <v>5.2876495730200821E-4</v>
      </c>
      <c r="M2888" s="117">
        <v>5.1009850485751057E-4</v>
      </c>
      <c r="N2888" s="117">
        <v>5.7453411665381239E-4</v>
      </c>
      <c r="O2888" s="117">
        <v>5.058807455163585E-4</v>
      </c>
      <c r="P2888" s="117">
        <v>4.4724931755037661E-4</v>
      </c>
    </row>
    <row r="2889" spans="1:16" hidden="1" x14ac:dyDescent="0.35">
      <c r="A2889" s="3">
        <f xml:space="preserve"> ROW( data_scaledImpacts[[#This Row],[row_id]] ) - ROW( data_scaledImpacts[[#Headers],[row_id]] )</f>
        <v>2888</v>
      </c>
      <c r="B2889" s="41" t="str">
        <f xml:space="preserve"> _xlfn.TEXTJOIN( "", , data_scaledImpacts[[#This Row],[sector]:[impactType]] )</f>
        <v>CILExtremeTempCanESM21low CI</v>
      </c>
      <c r="C2889" s="33" t="s">
        <v>1154</v>
      </c>
      <c r="D2889" s="33" t="s">
        <v>0</v>
      </c>
      <c r="E2889" s="34">
        <v>1</v>
      </c>
      <c r="F2889" s="34"/>
      <c r="G2889" s="34" t="s">
        <v>1252</v>
      </c>
      <c r="H2889" s="35"/>
      <c r="I2889" s="43" t="s">
        <v>35</v>
      </c>
      <c r="J2889" s="111">
        <v>-3.0499999999999999E-5</v>
      </c>
      <c r="K2889" s="38">
        <v>-2.05E-5</v>
      </c>
      <c r="L2889" s="38">
        <v>-3.0599999999999998E-5</v>
      </c>
      <c r="M2889" s="38">
        <v>-5.5399999999999998E-5</v>
      </c>
      <c r="N2889" s="38">
        <v>-4.3699999999999998E-5</v>
      </c>
      <c r="O2889" s="38">
        <v>-4.74E-5</v>
      </c>
      <c r="P2889" s="110">
        <v>-3.8699999999999999E-5</v>
      </c>
    </row>
    <row r="2890" spans="1:16" hidden="1" x14ac:dyDescent="0.35">
      <c r="A2890" s="3">
        <f xml:space="preserve"> ROW( data_scaledImpacts[[#This Row],[row_id]] ) - ROW( data_scaledImpacts[[#Headers],[row_id]] )</f>
        <v>2889</v>
      </c>
      <c r="B2890" s="41" t="str">
        <f xml:space="preserve"> _xlfn.TEXTJOIN( "", , data_scaledImpacts[[#This Row],[sector]:[impactType]] )</f>
        <v>CILExtremeTempCCSM41low CI</v>
      </c>
      <c r="C2890" s="33" t="s">
        <v>1154</v>
      </c>
      <c r="D2890" s="33" t="s">
        <v>1</v>
      </c>
      <c r="E2890" s="34">
        <v>1</v>
      </c>
      <c r="F2890" s="34"/>
      <c r="G2890" s="34" t="s">
        <v>1252</v>
      </c>
      <c r="H2890" s="35"/>
      <c r="I2890" s="43" t="s">
        <v>36</v>
      </c>
      <c r="J2890" s="111">
        <v>1.9899999999999999E-5</v>
      </c>
      <c r="K2890" s="38">
        <v>-8.4800000000000001E-6</v>
      </c>
      <c r="L2890" s="38">
        <v>9.02E-6</v>
      </c>
      <c r="M2890" s="38">
        <v>-1.1199999999999999E-5</v>
      </c>
      <c r="N2890" s="38">
        <v>-1.5699999999999999E-5</v>
      </c>
      <c r="O2890" s="38">
        <v>-1.12E-4</v>
      </c>
      <c r="P2890" s="110">
        <v>-7.9900000000000004E-5</v>
      </c>
    </row>
    <row r="2891" spans="1:16" hidden="1" x14ac:dyDescent="0.35">
      <c r="A2891" s="3">
        <f xml:space="preserve"> ROW( data_scaledImpacts[[#This Row],[row_id]] ) - ROW( data_scaledImpacts[[#Headers],[row_id]] )</f>
        <v>2890</v>
      </c>
      <c r="B2891" s="41" t="str">
        <f xml:space="preserve"> _xlfn.TEXTJOIN( "", , data_scaledImpacts[[#This Row],[sector]:[impactType]] )</f>
        <v>CILExtremeTempGFDL-CM31low CI</v>
      </c>
      <c r="C2891" s="33" t="s">
        <v>1154</v>
      </c>
      <c r="D2891" s="33" t="s">
        <v>5</v>
      </c>
      <c r="E2891" s="34">
        <v>1</v>
      </c>
      <c r="F2891" s="34"/>
      <c r="G2891" s="34" t="s">
        <v>1252</v>
      </c>
      <c r="H2891" s="35"/>
      <c r="I2891" s="43" t="s">
        <v>40</v>
      </c>
      <c r="J2891" s="111">
        <v>6.7399999999999998E-6</v>
      </c>
      <c r="K2891" s="38">
        <v>3.63E-6</v>
      </c>
      <c r="L2891" s="38">
        <v>-7.7200000000000006E-5</v>
      </c>
      <c r="M2891" s="38">
        <v>-7.0199999999999999E-5</v>
      </c>
      <c r="N2891" s="38">
        <v>-3.15E-5</v>
      </c>
      <c r="O2891" s="38">
        <v>-5.0899999999999997E-5</v>
      </c>
      <c r="P2891" s="110">
        <v>-1.9300000000000002E-5</v>
      </c>
    </row>
    <row r="2892" spans="1:16" hidden="1" x14ac:dyDescent="0.35">
      <c r="A2892" s="3">
        <f xml:space="preserve"> ROW( data_scaledImpacts[[#This Row],[row_id]] ) - ROW( data_scaledImpacts[[#Headers],[row_id]] )</f>
        <v>2891</v>
      </c>
      <c r="B2892" s="41" t="str">
        <f xml:space="preserve"> _xlfn.TEXTJOIN( "", , data_scaledImpacts[[#This Row],[sector]:[impactType]] )</f>
        <v>CILExtremeTempGISS-E2-R1low CI</v>
      </c>
      <c r="C2892" s="33" t="s">
        <v>1154</v>
      </c>
      <c r="D2892" s="33" t="s">
        <v>2</v>
      </c>
      <c r="E2892" s="34">
        <v>1</v>
      </c>
      <c r="F2892" s="34"/>
      <c r="G2892" s="34" t="s">
        <v>1252</v>
      </c>
      <c r="H2892" s="35"/>
      <c r="I2892" s="43" t="s">
        <v>37</v>
      </c>
      <c r="J2892" s="111">
        <v>-3.7499999999999997E-5</v>
      </c>
      <c r="K2892" s="38">
        <v>-8.7800000000000006E-5</v>
      </c>
      <c r="L2892" s="38">
        <v>-7.6500000000000003E-5</v>
      </c>
      <c r="M2892" s="38">
        <v>1.6099999999999998E-5</v>
      </c>
      <c r="N2892" s="38">
        <v>-4.6300000000000001E-5</v>
      </c>
      <c r="O2892" s="38">
        <v>-5.5600000000000003E-5</v>
      </c>
      <c r="P2892" s="110">
        <v>-2.09E-5</v>
      </c>
    </row>
    <row r="2893" spans="1:16" hidden="1" x14ac:dyDescent="0.35">
      <c r="A2893" s="3">
        <f xml:space="preserve"> ROW( data_scaledImpacts[[#This Row],[row_id]] ) - ROW( data_scaledImpacts[[#Headers],[row_id]] )</f>
        <v>2892</v>
      </c>
      <c r="B2893" s="41" t="str">
        <f xml:space="preserve"> _xlfn.TEXTJOIN( "", , data_scaledImpacts[[#This Row],[sector]:[impactType]] )</f>
        <v>CILExtremeTempHadGEM2-ES1low CI</v>
      </c>
      <c r="C2893" s="33" t="s">
        <v>1154</v>
      </c>
      <c r="D2893" s="33" t="s">
        <v>3</v>
      </c>
      <c r="E2893" s="34">
        <v>1</v>
      </c>
      <c r="F2893" s="34"/>
      <c r="G2893" s="34" t="s">
        <v>1252</v>
      </c>
      <c r="H2893" s="35"/>
      <c r="I2893" s="43" t="s">
        <v>38</v>
      </c>
      <c r="J2893" s="111">
        <v>-7.3300000000000006E-5</v>
      </c>
      <c r="K2893" s="38">
        <v>-3.1600000000000002E-5</v>
      </c>
      <c r="L2893" s="38">
        <v>-9.2700000000000004E-5</v>
      </c>
      <c r="M2893" s="38">
        <v>-7.8999999999999996E-5</v>
      </c>
      <c r="N2893" s="38">
        <v>-2.1500000000000001E-5</v>
      </c>
      <c r="O2893" s="38">
        <v>-6.5799999999999997E-6</v>
      </c>
      <c r="P2893" s="110">
        <v>-5.0399999999999999E-5</v>
      </c>
    </row>
    <row r="2894" spans="1:16" hidden="1" x14ac:dyDescent="0.35">
      <c r="A2894" s="3">
        <f xml:space="preserve"> ROW( data_scaledImpacts[[#This Row],[row_id]] ) - ROW( data_scaledImpacts[[#Headers],[row_id]] )</f>
        <v>2893</v>
      </c>
      <c r="B2894" s="41" t="str">
        <f xml:space="preserve"> _xlfn.TEXTJOIN( "", , data_scaledImpacts[[#This Row],[sector]:[impactType]] )</f>
        <v>CILExtremeTempMIROC51low CI</v>
      </c>
      <c r="C2894" s="33" t="s">
        <v>1154</v>
      </c>
      <c r="D2894" s="33" t="s">
        <v>4</v>
      </c>
      <c r="E2894" s="34">
        <v>1</v>
      </c>
      <c r="F2894" s="34"/>
      <c r="G2894" s="34" t="s">
        <v>1252</v>
      </c>
      <c r="H2894" s="35"/>
      <c r="I2894" s="43" t="s">
        <v>39</v>
      </c>
      <c r="J2894" s="111">
        <v>-2.9899999999999998E-5</v>
      </c>
      <c r="K2894" s="38">
        <v>-1.0399999999999999E-4</v>
      </c>
      <c r="L2894" s="38">
        <v>8.4500000000000004E-6</v>
      </c>
      <c r="M2894" s="38">
        <v>-3.8999999999999999E-5</v>
      </c>
      <c r="N2894" s="38">
        <v>-5.7200000000000003E-6</v>
      </c>
      <c r="O2894" s="38">
        <v>7.0199999999999999E-5</v>
      </c>
      <c r="P2894" s="110">
        <v>-1.5699999999999999E-5</v>
      </c>
    </row>
    <row r="2895" spans="1:16" hidden="1" x14ac:dyDescent="0.35">
      <c r="A2895" s="3">
        <f xml:space="preserve"> ROW( data_scaledImpacts[[#This Row],[row_id]] ) - ROW( data_scaledImpacts[[#Headers],[row_id]] )</f>
        <v>2894</v>
      </c>
      <c r="B2895" s="41" t="str">
        <f xml:space="preserve"> _xlfn.TEXTJOIN( "", , data_scaledImpacts[[#This Row],[sector]:[impactType]] )</f>
        <v>CILExtremeTempCanESM22low CI</v>
      </c>
      <c r="C2895" s="33" t="s">
        <v>1154</v>
      </c>
      <c r="D2895" s="33" t="s">
        <v>0</v>
      </c>
      <c r="E2895" s="34">
        <v>2</v>
      </c>
      <c r="F2895" s="34"/>
      <c r="G2895" s="34" t="s">
        <v>1252</v>
      </c>
      <c r="H2895" s="35"/>
      <c r="I2895" s="43" t="s">
        <v>42</v>
      </c>
      <c r="J2895" s="111">
        <v>-3.7299999999999999E-5</v>
      </c>
      <c r="K2895" s="38">
        <v>-1.17E-5</v>
      </c>
      <c r="L2895" s="38">
        <v>-6.0300000000000002E-5</v>
      </c>
      <c r="M2895" s="38">
        <v>-8.4599999999999996E-5</v>
      </c>
      <c r="N2895" s="38">
        <v>6.2600000000000002E-6</v>
      </c>
      <c r="O2895" s="38">
        <v>-4.9799999999999998E-6</v>
      </c>
      <c r="P2895" s="110">
        <v>-3.79E-5</v>
      </c>
    </row>
    <row r="2896" spans="1:16" hidden="1" x14ac:dyDescent="0.35">
      <c r="A2896" s="3">
        <f xml:space="preserve"> ROW( data_scaledImpacts[[#This Row],[row_id]] ) - ROW( data_scaledImpacts[[#Headers],[row_id]] )</f>
        <v>2895</v>
      </c>
      <c r="B2896" s="41" t="str">
        <f xml:space="preserve"> _xlfn.TEXTJOIN( "", , data_scaledImpacts[[#This Row],[sector]:[impactType]] )</f>
        <v>CILExtremeTempCCSM42low CI</v>
      </c>
      <c r="C2896" s="33" t="s">
        <v>1154</v>
      </c>
      <c r="D2896" s="33" t="s">
        <v>1</v>
      </c>
      <c r="E2896" s="34">
        <v>2</v>
      </c>
      <c r="F2896" s="34"/>
      <c r="G2896" s="34" t="s">
        <v>1252</v>
      </c>
      <c r="H2896" s="35"/>
      <c r="I2896" s="43" t="s">
        <v>43</v>
      </c>
      <c r="J2896" s="111">
        <v>8.3599999999999996E-6</v>
      </c>
      <c r="K2896" s="38">
        <v>-2.65E-5</v>
      </c>
      <c r="L2896" s="38">
        <v>-6.5300000000000002E-6</v>
      </c>
      <c r="M2896" s="38">
        <v>-7.3700000000000002E-5</v>
      </c>
      <c r="N2896" s="38">
        <v>2.37E-5</v>
      </c>
      <c r="O2896" s="38">
        <v>-6.2500000000000001E-5</v>
      </c>
      <c r="P2896" s="110">
        <v>-6.1099999999999994E-5</v>
      </c>
    </row>
    <row r="2897" spans="1:16" hidden="1" x14ac:dyDescent="0.35">
      <c r="A2897" s="3">
        <f xml:space="preserve"> ROW( data_scaledImpacts[[#This Row],[row_id]] ) - ROW( data_scaledImpacts[[#Headers],[row_id]] )</f>
        <v>2896</v>
      </c>
      <c r="B2897" s="41" t="str">
        <f xml:space="preserve"> _xlfn.TEXTJOIN( "", , data_scaledImpacts[[#This Row],[sector]:[impactType]] )</f>
        <v>CILExtremeTempGFDL-CM32low CI</v>
      </c>
      <c r="C2897" s="33" t="s">
        <v>1154</v>
      </c>
      <c r="D2897" s="33" t="s">
        <v>5</v>
      </c>
      <c r="E2897" s="34">
        <v>2</v>
      </c>
      <c r="F2897" s="34"/>
      <c r="G2897" s="34" t="s">
        <v>1252</v>
      </c>
      <c r="H2897" s="35"/>
      <c r="I2897" s="43" t="s">
        <v>47</v>
      </c>
      <c r="J2897" s="111">
        <v>-1.34E-5</v>
      </c>
      <c r="K2897" s="38">
        <v>-2.62E-5</v>
      </c>
      <c r="L2897" s="38">
        <v>-7.6299999999999998E-5</v>
      </c>
      <c r="M2897" s="38">
        <v>-7.8300000000000006E-5</v>
      </c>
      <c r="N2897" s="38">
        <v>4.3900000000000003E-6</v>
      </c>
      <c r="O2897" s="38">
        <v>-2.1999999999999999E-5</v>
      </c>
      <c r="P2897" s="110">
        <v>-2.12E-5</v>
      </c>
    </row>
    <row r="2898" spans="1:16" hidden="1" x14ac:dyDescent="0.35">
      <c r="A2898" s="3">
        <f xml:space="preserve"> ROW( data_scaledImpacts[[#This Row],[row_id]] ) - ROW( data_scaledImpacts[[#Headers],[row_id]] )</f>
        <v>2897</v>
      </c>
      <c r="B2898" s="41" t="str">
        <f xml:space="preserve"> _xlfn.TEXTJOIN( "", , data_scaledImpacts[[#This Row],[sector]:[impactType]] )</f>
        <v>CILExtremeTempGISS-E2-R2low CI</v>
      </c>
      <c r="C2898" s="33" t="s">
        <v>1154</v>
      </c>
      <c r="D2898" s="33" t="s">
        <v>2</v>
      </c>
      <c r="E2898" s="34">
        <v>2</v>
      </c>
      <c r="F2898" s="34"/>
      <c r="G2898" s="34" t="s">
        <v>1252</v>
      </c>
      <c r="H2898" s="35"/>
      <c r="I2898" s="43" t="s">
        <v>44</v>
      </c>
      <c r="J2898" s="111">
        <v>-4.2799999999999997E-5</v>
      </c>
      <c r="K2898" s="38">
        <v>-8.6600000000000004E-5</v>
      </c>
      <c r="L2898" s="38">
        <v>-1.12E-4</v>
      </c>
      <c r="M2898" s="38">
        <v>-6.2100000000000005E-5</v>
      </c>
      <c r="N2898" s="38">
        <v>-2.3499999999999999E-6</v>
      </c>
      <c r="O2898" s="38">
        <v>-4.3800000000000001E-5</v>
      </c>
      <c r="P2898" s="110">
        <v>-5.4399999999999996E-6</v>
      </c>
    </row>
    <row r="2899" spans="1:16" hidden="1" x14ac:dyDescent="0.35">
      <c r="A2899" s="3">
        <f xml:space="preserve"> ROW( data_scaledImpacts[[#This Row],[row_id]] ) - ROW( data_scaledImpacts[[#Headers],[row_id]] )</f>
        <v>2898</v>
      </c>
      <c r="B2899" s="41" t="str">
        <f xml:space="preserve"> _xlfn.TEXTJOIN( "", , data_scaledImpacts[[#This Row],[sector]:[impactType]] )</f>
        <v>CILExtremeTempHadGEM2-ES2low CI</v>
      </c>
      <c r="C2899" s="33" t="s">
        <v>1154</v>
      </c>
      <c r="D2899" s="33" t="s">
        <v>3</v>
      </c>
      <c r="E2899" s="34">
        <v>2</v>
      </c>
      <c r="F2899" s="34"/>
      <c r="G2899" s="34" t="s">
        <v>1252</v>
      </c>
      <c r="H2899" s="35"/>
      <c r="I2899" s="43" t="s">
        <v>45</v>
      </c>
      <c r="J2899" s="111">
        <v>-5.1999999999999997E-5</v>
      </c>
      <c r="K2899" s="38">
        <v>-7.3799999999999996E-6</v>
      </c>
      <c r="L2899" s="38">
        <v>-1.34E-4</v>
      </c>
      <c r="M2899" s="38">
        <v>-1E-4</v>
      </c>
      <c r="N2899" s="38">
        <v>1.5299999999999999E-5</v>
      </c>
      <c r="O2899" s="38">
        <v>2.2099999999999998E-5</v>
      </c>
      <c r="P2899" s="110">
        <v>-4.2599999999999999E-5</v>
      </c>
    </row>
    <row r="2900" spans="1:16" hidden="1" x14ac:dyDescent="0.35">
      <c r="A2900" s="3">
        <f xml:space="preserve"> ROW( data_scaledImpacts[[#This Row],[row_id]] ) - ROW( data_scaledImpacts[[#Headers],[row_id]] )</f>
        <v>2899</v>
      </c>
      <c r="B2900" s="41" t="str">
        <f xml:space="preserve"> _xlfn.TEXTJOIN( "", , data_scaledImpacts[[#This Row],[sector]:[impactType]] )</f>
        <v>CILExtremeTempMIROC52low CI</v>
      </c>
      <c r="C2900" s="33" t="s">
        <v>1154</v>
      </c>
      <c r="D2900" s="33" t="s">
        <v>4</v>
      </c>
      <c r="E2900" s="34">
        <v>2</v>
      </c>
      <c r="F2900" s="34"/>
      <c r="G2900" s="34" t="s">
        <v>1252</v>
      </c>
      <c r="H2900" s="35"/>
      <c r="I2900" s="43" t="s">
        <v>46</v>
      </c>
      <c r="J2900" s="111">
        <v>-9.1899999999999998E-5</v>
      </c>
      <c r="K2900" s="38">
        <v>-1.54E-4</v>
      </c>
      <c r="L2900" s="38">
        <v>-4.8099999999999997E-5</v>
      </c>
      <c r="M2900" s="38">
        <v>-5.2200000000000002E-5</v>
      </c>
      <c r="N2900" s="38">
        <v>1.1E-5</v>
      </c>
      <c r="O2900" s="38">
        <v>7.5900000000000002E-5</v>
      </c>
      <c r="P2900" s="110">
        <v>3.5599999999999998E-6</v>
      </c>
    </row>
    <row r="2901" spans="1:16" hidden="1" x14ac:dyDescent="0.35">
      <c r="A2901" s="3">
        <f xml:space="preserve"> ROW( data_scaledImpacts[[#This Row],[row_id]] ) - ROW( data_scaledImpacts[[#Headers],[row_id]] )</f>
        <v>2900</v>
      </c>
      <c r="B2901" s="41" t="str">
        <f xml:space="preserve"> _xlfn.TEXTJOIN( "", , data_scaledImpacts[[#This Row],[sector]:[impactType]] )</f>
        <v>CILExtremeTempCanESM23low CI</v>
      </c>
      <c r="C2901" s="33" t="s">
        <v>1154</v>
      </c>
      <c r="D2901" s="33" t="s">
        <v>0</v>
      </c>
      <c r="E2901" s="34">
        <v>3</v>
      </c>
      <c r="F2901" s="34"/>
      <c r="G2901" s="34" t="s">
        <v>1252</v>
      </c>
      <c r="H2901" s="35"/>
      <c r="I2901" s="43" t="s">
        <v>49</v>
      </c>
      <c r="J2901" s="111">
        <v>-4.57E-5</v>
      </c>
      <c r="K2901" s="38">
        <v>-2.7500000000000001E-5</v>
      </c>
      <c r="L2901" s="38">
        <v>-9.09E-5</v>
      </c>
      <c r="M2901" s="38">
        <v>-1.12E-4</v>
      </c>
      <c r="N2901" s="38">
        <v>3.2499999999999997E-5</v>
      </c>
      <c r="O2901" s="38">
        <v>3.3899999999999997E-5</v>
      </c>
      <c r="P2901" s="110">
        <v>-4.2200000000000003E-5</v>
      </c>
    </row>
    <row r="2902" spans="1:16" hidden="1" x14ac:dyDescent="0.35">
      <c r="A2902" s="3">
        <f xml:space="preserve"> ROW( data_scaledImpacts[[#This Row],[row_id]] ) - ROW( data_scaledImpacts[[#Headers],[row_id]] )</f>
        <v>2901</v>
      </c>
      <c r="B2902" s="41" t="str">
        <f xml:space="preserve"> _xlfn.TEXTJOIN( "", , data_scaledImpacts[[#This Row],[sector]:[impactType]] )</f>
        <v>CILExtremeTempCCSM43low CI</v>
      </c>
      <c r="C2902" s="33" t="s">
        <v>1154</v>
      </c>
      <c r="D2902" s="33" t="s">
        <v>1</v>
      </c>
      <c r="E2902" s="34">
        <v>3</v>
      </c>
      <c r="F2902" s="34"/>
      <c r="G2902" s="34" t="s">
        <v>1252</v>
      </c>
      <c r="H2902" s="35"/>
      <c r="I2902" s="43" t="s">
        <v>50</v>
      </c>
      <c r="J2902" s="111">
        <v>1.8199999999999999E-5</v>
      </c>
      <c r="K2902" s="38">
        <v>-3.9900000000000001E-5</v>
      </c>
      <c r="L2902" s="38">
        <v>4.7199999999999997E-6</v>
      </c>
      <c r="M2902" s="38">
        <v>-9.87E-5</v>
      </c>
      <c r="N2902" s="38">
        <v>4.7200000000000002E-5</v>
      </c>
      <c r="O2902" s="38">
        <v>-2.2799999999999999E-5</v>
      </c>
      <c r="P2902" s="110">
        <v>-1.22E-5</v>
      </c>
    </row>
    <row r="2903" spans="1:16" hidden="1" x14ac:dyDescent="0.35">
      <c r="A2903" s="3">
        <f xml:space="preserve"> ROW( data_scaledImpacts[[#This Row],[row_id]] ) - ROW( data_scaledImpacts[[#Headers],[row_id]] )</f>
        <v>2902</v>
      </c>
      <c r="B2903" s="41" t="str">
        <f xml:space="preserve"> _xlfn.TEXTJOIN( "", , data_scaledImpacts[[#This Row],[sector]:[impactType]] )</f>
        <v>CILExtremeTempGFDL-CM33low CI</v>
      </c>
      <c r="C2903" s="33" t="s">
        <v>1154</v>
      </c>
      <c r="D2903" s="33" t="s">
        <v>5</v>
      </c>
      <c r="E2903" s="34">
        <v>3</v>
      </c>
      <c r="F2903" s="34"/>
      <c r="G2903" s="34" t="s">
        <v>1252</v>
      </c>
      <c r="H2903" s="35"/>
      <c r="I2903" s="43" t="s">
        <v>54</v>
      </c>
      <c r="J2903" s="111">
        <v>3.4699999999999998E-6</v>
      </c>
      <c r="K2903" s="38">
        <v>-1.73E-6</v>
      </c>
      <c r="L2903" s="38">
        <v>-1.34E-4</v>
      </c>
      <c r="M2903" s="38">
        <v>-1.45E-4</v>
      </c>
      <c r="N2903" s="38">
        <v>7.3399999999999995E-5</v>
      </c>
      <c r="O2903" s="38">
        <v>3.3300000000000003E-5</v>
      </c>
      <c r="P2903" s="110">
        <v>-1.6900000000000001E-5</v>
      </c>
    </row>
    <row r="2904" spans="1:16" hidden="1" x14ac:dyDescent="0.35">
      <c r="A2904" s="3">
        <f xml:space="preserve"> ROW( data_scaledImpacts[[#This Row],[row_id]] ) - ROW( data_scaledImpacts[[#Headers],[row_id]] )</f>
        <v>2903</v>
      </c>
      <c r="B2904" s="41" t="str">
        <f xml:space="preserve"> _xlfn.TEXTJOIN( "", , data_scaledImpacts[[#This Row],[sector]:[impactType]] )</f>
        <v>CILExtremeTempGISS-E2-R3low CI</v>
      </c>
      <c r="C2904" s="33" t="s">
        <v>1154</v>
      </c>
      <c r="D2904" s="33" t="s">
        <v>2</v>
      </c>
      <c r="E2904" s="34">
        <v>3</v>
      </c>
      <c r="F2904" s="34"/>
      <c r="G2904" s="34" t="s">
        <v>1252</v>
      </c>
      <c r="H2904" s="35"/>
      <c r="I2904" s="43" t="s">
        <v>51</v>
      </c>
      <c r="J2904" s="111">
        <v>-4.88E-5</v>
      </c>
      <c r="K2904" s="38">
        <v>-1.03E-4</v>
      </c>
      <c r="L2904" s="38">
        <v>-1.07E-4</v>
      </c>
      <c r="M2904" s="38">
        <v>-9.1899999999999998E-5</v>
      </c>
      <c r="N2904" s="38">
        <v>2.5400000000000001E-5</v>
      </c>
      <c r="O2904" s="38">
        <v>2.5899999999999999E-5</v>
      </c>
      <c r="P2904" s="110">
        <v>2.09E-5</v>
      </c>
    </row>
    <row r="2905" spans="1:16" hidden="1" x14ac:dyDescent="0.35">
      <c r="A2905" s="3">
        <f xml:space="preserve"> ROW( data_scaledImpacts[[#This Row],[row_id]] ) - ROW( data_scaledImpacts[[#Headers],[row_id]] )</f>
        <v>2904</v>
      </c>
      <c r="B2905" s="41" t="str">
        <f xml:space="preserve"> _xlfn.TEXTJOIN( "", , data_scaledImpacts[[#This Row],[sector]:[impactType]] )</f>
        <v>CILExtremeTempHadGEM2-ES3low CI</v>
      </c>
      <c r="C2905" s="33" t="s">
        <v>1154</v>
      </c>
      <c r="D2905" s="33" t="s">
        <v>3</v>
      </c>
      <c r="E2905" s="34">
        <v>3</v>
      </c>
      <c r="F2905" s="34"/>
      <c r="G2905" s="34" t="s">
        <v>1252</v>
      </c>
      <c r="H2905" s="35"/>
      <c r="I2905" s="43" t="s">
        <v>52</v>
      </c>
      <c r="J2905" s="111">
        <v>-7.1699999999999995E-5</v>
      </c>
      <c r="K2905" s="38">
        <v>-5.9700000000000001E-5</v>
      </c>
      <c r="L2905" s="38">
        <v>-1.6799999999999999E-4</v>
      </c>
      <c r="M2905" s="38">
        <v>-1.2E-4</v>
      </c>
      <c r="N2905" s="38">
        <v>6.8399999999999996E-5</v>
      </c>
      <c r="O2905" s="38">
        <v>5.7299999999999997E-5</v>
      </c>
      <c r="P2905" s="110">
        <v>-3.2199999999999997E-5</v>
      </c>
    </row>
    <row r="2906" spans="1:16" hidden="1" x14ac:dyDescent="0.35">
      <c r="A2906" s="3">
        <f xml:space="preserve"> ROW( data_scaledImpacts[[#This Row],[row_id]] ) - ROW( data_scaledImpacts[[#Headers],[row_id]] )</f>
        <v>2905</v>
      </c>
      <c r="B2906" s="41" t="str">
        <f xml:space="preserve"> _xlfn.TEXTJOIN( "", , data_scaledImpacts[[#This Row],[sector]:[impactType]] )</f>
        <v>CILExtremeTempMIROC53low CI</v>
      </c>
      <c r="C2906" s="33" t="s">
        <v>1154</v>
      </c>
      <c r="D2906" s="33" t="s">
        <v>4</v>
      </c>
      <c r="E2906" s="34">
        <v>3</v>
      </c>
      <c r="F2906" s="34"/>
      <c r="G2906" s="34" t="s">
        <v>1252</v>
      </c>
      <c r="H2906" s="35"/>
      <c r="I2906" s="43" t="s">
        <v>53</v>
      </c>
      <c r="J2906" s="111">
        <v>-1.06E-4</v>
      </c>
      <c r="K2906" s="38">
        <v>-1.85E-4</v>
      </c>
      <c r="L2906" s="38">
        <v>-5.1E-5</v>
      </c>
      <c r="M2906" s="38">
        <v>-9.0600000000000007E-5</v>
      </c>
      <c r="N2906" s="38">
        <v>1.2799999999999999E-5</v>
      </c>
      <c r="O2906" s="38">
        <v>9.2600000000000001E-5</v>
      </c>
      <c r="P2906" s="110">
        <v>1.31E-5</v>
      </c>
    </row>
    <row r="2907" spans="1:16" hidden="1" x14ac:dyDescent="0.35">
      <c r="A2907" s="3">
        <f xml:space="preserve"> ROW( data_scaledImpacts[[#This Row],[row_id]] ) - ROW( data_scaledImpacts[[#Headers],[row_id]] )</f>
        <v>2906</v>
      </c>
      <c r="B2907" s="41" t="str">
        <f xml:space="preserve"> _xlfn.TEXTJOIN( "", , data_scaledImpacts[[#This Row],[sector]:[impactType]] )</f>
        <v>CILExtremeTempCanESM24low CI</v>
      </c>
      <c r="C2907" s="33" t="s">
        <v>1154</v>
      </c>
      <c r="D2907" s="33" t="s">
        <v>0</v>
      </c>
      <c r="E2907" s="34">
        <v>4</v>
      </c>
      <c r="F2907" s="34"/>
      <c r="G2907" s="34" t="s">
        <v>1252</v>
      </c>
      <c r="H2907" s="35"/>
      <c r="I2907" s="43" t="s">
        <v>56</v>
      </c>
      <c r="J2907" s="111">
        <v>-2.0400000000000001E-5</v>
      </c>
      <c r="K2907" s="38">
        <v>-6.2999999999999998E-6</v>
      </c>
      <c r="L2907" s="38">
        <v>-8.3200000000000003E-5</v>
      </c>
      <c r="M2907" s="38">
        <v>-1.34E-4</v>
      </c>
      <c r="N2907" s="38">
        <v>7.6699999999999994E-5</v>
      </c>
      <c r="O2907" s="38">
        <v>6.6199999999999996E-5</v>
      </c>
      <c r="P2907" s="110">
        <v>-6.6699999999999995E-5</v>
      </c>
    </row>
    <row r="2908" spans="1:16" hidden="1" x14ac:dyDescent="0.35">
      <c r="A2908" s="3">
        <f xml:space="preserve"> ROW( data_scaledImpacts[[#This Row],[row_id]] ) - ROW( data_scaledImpacts[[#Headers],[row_id]] )</f>
        <v>2907</v>
      </c>
      <c r="B2908" s="41" t="str">
        <f xml:space="preserve"> _xlfn.TEXTJOIN( "", , data_scaledImpacts[[#This Row],[sector]:[impactType]] )</f>
        <v>CILExtremeTempCCSM44low CI</v>
      </c>
      <c r="C2908" s="33" t="s">
        <v>1154</v>
      </c>
      <c r="D2908" s="33" t="s">
        <v>1</v>
      </c>
      <c r="E2908" s="34">
        <v>4</v>
      </c>
      <c r="F2908" s="34"/>
      <c r="G2908" s="34" t="s">
        <v>1252</v>
      </c>
      <c r="H2908" s="35"/>
      <c r="I2908" s="43" t="s">
        <v>57</v>
      </c>
      <c r="J2908" s="111">
        <v>1.6200000000000001E-5</v>
      </c>
      <c r="K2908" s="38">
        <v>-3.7799999999999997E-5</v>
      </c>
      <c r="L2908" s="38">
        <v>-2.8500000000000002E-5</v>
      </c>
      <c r="M2908" s="38">
        <v>-1.4799999999999999E-4</v>
      </c>
      <c r="N2908" s="38">
        <v>1.07E-4</v>
      </c>
      <c r="O2908" s="38">
        <v>2.0100000000000001E-5</v>
      </c>
      <c r="P2908" s="110">
        <v>-2.9099999999999999E-5</v>
      </c>
    </row>
    <row r="2909" spans="1:16" hidden="1" x14ac:dyDescent="0.35">
      <c r="A2909" s="3">
        <f xml:space="preserve"> ROW( data_scaledImpacts[[#This Row],[row_id]] ) - ROW( data_scaledImpacts[[#Headers],[row_id]] )</f>
        <v>2908</v>
      </c>
      <c r="B2909" s="41" t="str">
        <f xml:space="preserve"> _xlfn.TEXTJOIN( "", , data_scaledImpacts[[#This Row],[sector]:[impactType]] )</f>
        <v>CILExtremeTempGFDL-CM34low CI</v>
      </c>
      <c r="C2909" s="33" t="s">
        <v>1154</v>
      </c>
      <c r="D2909" s="33" t="s">
        <v>5</v>
      </c>
      <c r="E2909" s="34">
        <v>4</v>
      </c>
      <c r="F2909" s="34"/>
      <c r="G2909" s="34" t="s">
        <v>1252</v>
      </c>
      <c r="H2909" s="35"/>
      <c r="I2909" s="43" t="s">
        <v>61</v>
      </c>
      <c r="J2909" s="111">
        <v>-4.4100000000000001E-6</v>
      </c>
      <c r="K2909" s="38">
        <v>-1.49E-5</v>
      </c>
      <c r="L2909" s="38">
        <v>-1.2999999999999999E-4</v>
      </c>
      <c r="M2909" s="38">
        <v>-1.5699999999999999E-4</v>
      </c>
      <c r="N2909" s="38">
        <v>1.34E-4</v>
      </c>
      <c r="O2909" s="38">
        <v>9.9199999999999999E-5</v>
      </c>
      <c r="P2909" s="110">
        <v>-1.0000000000000001E-5</v>
      </c>
    </row>
    <row r="2910" spans="1:16" hidden="1" x14ac:dyDescent="0.35">
      <c r="A2910" s="3">
        <f xml:space="preserve"> ROW( data_scaledImpacts[[#This Row],[row_id]] ) - ROW( data_scaledImpacts[[#Headers],[row_id]] )</f>
        <v>2909</v>
      </c>
      <c r="B2910" s="41" t="str">
        <f xml:space="preserve"> _xlfn.TEXTJOIN( "", , data_scaledImpacts[[#This Row],[sector]:[impactType]] )</f>
        <v>CILExtremeTempHadGEM2-ES4low CI</v>
      </c>
      <c r="C2910" s="33" t="s">
        <v>1154</v>
      </c>
      <c r="D2910" s="33" t="s">
        <v>3</v>
      </c>
      <c r="E2910" s="34">
        <v>4</v>
      </c>
      <c r="F2910" s="34"/>
      <c r="G2910" s="34" t="s">
        <v>1252</v>
      </c>
      <c r="H2910" s="35"/>
      <c r="I2910" s="43" t="s">
        <v>59</v>
      </c>
      <c r="J2910" s="111">
        <v>-1.06E-4</v>
      </c>
      <c r="K2910" s="38">
        <v>-6.3600000000000001E-5</v>
      </c>
      <c r="L2910" s="38">
        <v>-2.05E-4</v>
      </c>
      <c r="M2910" s="38">
        <v>-1.46E-4</v>
      </c>
      <c r="N2910" s="38">
        <v>9.8999999999999994E-5</v>
      </c>
      <c r="O2910" s="38">
        <v>7.4499999999999995E-5</v>
      </c>
      <c r="P2910" s="110">
        <v>-3.9900000000000001E-5</v>
      </c>
    </row>
    <row r="2911" spans="1:16" hidden="1" x14ac:dyDescent="0.35">
      <c r="A2911" s="3">
        <f xml:space="preserve"> ROW( data_scaledImpacts[[#This Row],[row_id]] ) - ROW( data_scaledImpacts[[#Headers],[row_id]] )</f>
        <v>2910</v>
      </c>
      <c r="B2911" s="41" t="str">
        <f xml:space="preserve"> _xlfn.TEXTJOIN( "", , data_scaledImpacts[[#This Row],[sector]:[impactType]] )</f>
        <v>CILExtremeTempMIROC54low CI</v>
      </c>
      <c r="C2911" s="33" t="s">
        <v>1154</v>
      </c>
      <c r="D2911" s="33" t="s">
        <v>4</v>
      </c>
      <c r="E2911" s="34">
        <v>4</v>
      </c>
      <c r="F2911" s="34"/>
      <c r="G2911" s="34" t="s">
        <v>1252</v>
      </c>
      <c r="H2911" s="35"/>
      <c r="I2911" s="43" t="s">
        <v>60</v>
      </c>
      <c r="J2911" s="111">
        <v>-1.2E-4</v>
      </c>
      <c r="K2911" s="38">
        <v>-2.0900000000000001E-4</v>
      </c>
      <c r="L2911" s="38">
        <v>-5.2500000000000002E-5</v>
      </c>
      <c r="M2911" s="38">
        <v>-1.21E-4</v>
      </c>
      <c r="N2911" s="38">
        <v>4.2200000000000003E-5</v>
      </c>
      <c r="O2911" s="38">
        <v>1.35E-4</v>
      </c>
      <c r="P2911" s="110">
        <v>9.0100000000000001E-6</v>
      </c>
    </row>
    <row r="2912" spans="1:16" hidden="1" x14ac:dyDescent="0.35">
      <c r="A2912" s="3">
        <f xml:space="preserve"> ROW( data_scaledImpacts[[#This Row],[row_id]] ) - ROW( data_scaledImpacts[[#Headers],[row_id]] )</f>
        <v>2911</v>
      </c>
      <c r="B2912" s="41" t="str">
        <f xml:space="preserve"> _xlfn.TEXTJOIN( "", , data_scaledImpacts[[#This Row],[sector]:[impactType]] )</f>
        <v>CILExtremeTempCanESM25low CI</v>
      </c>
      <c r="C2912" s="33" t="s">
        <v>1154</v>
      </c>
      <c r="D2912" s="33" t="s">
        <v>0</v>
      </c>
      <c r="E2912" s="34">
        <v>5</v>
      </c>
      <c r="F2912" s="34"/>
      <c r="G2912" s="34" t="s">
        <v>1252</v>
      </c>
      <c r="H2912" s="35"/>
      <c r="I2912" s="43" t="s">
        <v>63</v>
      </c>
      <c r="J2912" s="111">
        <v>-5.1199999999999998E-5</v>
      </c>
      <c r="K2912" s="38">
        <v>-1.15E-5</v>
      </c>
      <c r="L2912" s="38">
        <v>-1.3999999999999999E-4</v>
      </c>
      <c r="M2912" s="38">
        <v>-1.63E-4</v>
      </c>
      <c r="N2912" s="38">
        <v>1.06E-4</v>
      </c>
      <c r="O2912" s="38">
        <v>7.2700000000000005E-5</v>
      </c>
      <c r="P2912" s="110">
        <v>-6.2100000000000005E-5</v>
      </c>
    </row>
    <row r="2913" spans="1:16" hidden="1" x14ac:dyDescent="0.35">
      <c r="A2913" s="3">
        <f xml:space="preserve"> ROW( data_scaledImpacts[[#This Row],[row_id]] ) - ROW( data_scaledImpacts[[#Headers],[row_id]] )</f>
        <v>2912</v>
      </c>
      <c r="B2913" s="41" t="str">
        <f xml:space="preserve"> _xlfn.TEXTJOIN( "", , data_scaledImpacts[[#This Row],[sector]:[impactType]] )</f>
        <v>CILExtremeTempCCSM45low CI</v>
      </c>
      <c r="C2913" s="33" t="s">
        <v>1154</v>
      </c>
      <c r="D2913" s="33" t="s">
        <v>1</v>
      </c>
      <c r="E2913" s="34">
        <v>5</v>
      </c>
      <c r="F2913" s="34"/>
      <c r="G2913" s="34" t="s">
        <v>1252</v>
      </c>
      <c r="H2913" s="35"/>
      <c r="I2913" s="43" t="s">
        <v>64</v>
      </c>
      <c r="J2913" s="111">
        <v>5.63E-5</v>
      </c>
      <c r="K2913" s="38">
        <v>-2.7100000000000001E-5</v>
      </c>
      <c r="L2913" s="38">
        <v>8.4400000000000005E-6</v>
      </c>
      <c r="M2913" s="38">
        <v>-1.45E-4</v>
      </c>
      <c r="N2913" s="38">
        <v>1.74E-4</v>
      </c>
      <c r="O2913" s="38">
        <v>8.4599999999999996E-5</v>
      </c>
      <c r="P2913" s="110">
        <v>-2.05E-5</v>
      </c>
    </row>
    <row r="2914" spans="1:16" hidden="1" x14ac:dyDescent="0.35">
      <c r="A2914" s="3">
        <f xml:space="preserve"> ROW( data_scaledImpacts[[#This Row],[row_id]] ) - ROW( data_scaledImpacts[[#Headers],[row_id]] )</f>
        <v>2913</v>
      </c>
      <c r="B2914" s="41" t="str">
        <f xml:space="preserve"> _xlfn.TEXTJOIN( "", , data_scaledImpacts[[#This Row],[sector]:[impactType]] )</f>
        <v>CILExtremeTempGFDL-CM35low CI</v>
      </c>
      <c r="C2914" s="33" t="s">
        <v>1154</v>
      </c>
      <c r="D2914" s="33" t="s">
        <v>5</v>
      </c>
      <c r="E2914" s="34">
        <v>5</v>
      </c>
      <c r="F2914" s="34"/>
      <c r="G2914" s="34" t="s">
        <v>1252</v>
      </c>
      <c r="H2914" s="35"/>
      <c r="I2914" s="43" t="s">
        <v>68</v>
      </c>
      <c r="J2914" s="111">
        <v>3.4499999999999998E-5</v>
      </c>
      <c r="K2914" s="38">
        <v>-7.5800000000000003E-6</v>
      </c>
      <c r="L2914" s="38">
        <v>-8.9800000000000001E-5</v>
      </c>
      <c r="M2914" s="38">
        <v>-1.7899999999999999E-4</v>
      </c>
      <c r="N2914" s="38">
        <v>1.76E-4</v>
      </c>
      <c r="O2914" s="38">
        <v>1.83E-4</v>
      </c>
      <c r="P2914" s="110">
        <v>2.9799999999999998E-6</v>
      </c>
    </row>
    <row r="2915" spans="1:16" hidden="1" x14ac:dyDescent="0.35">
      <c r="A2915" s="3">
        <f xml:space="preserve"> ROW( data_scaledImpacts[[#This Row],[row_id]] ) - ROW( data_scaledImpacts[[#Headers],[row_id]] )</f>
        <v>2914</v>
      </c>
      <c r="B2915" s="41" t="str">
        <f xml:space="preserve"> _xlfn.TEXTJOIN( "", , data_scaledImpacts[[#This Row],[sector]:[impactType]] )</f>
        <v>CILExtremeTempHadGEM2-ES5low CI</v>
      </c>
      <c r="C2915" s="33" t="s">
        <v>1154</v>
      </c>
      <c r="D2915" s="33" t="s">
        <v>3</v>
      </c>
      <c r="E2915" s="34">
        <v>5</v>
      </c>
      <c r="F2915" s="34"/>
      <c r="G2915" s="34" t="s">
        <v>1252</v>
      </c>
      <c r="H2915" s="35"/>
      <c r="I2915" s="43" t="s">
        <v>66</v>
      </c>
      <c r="J2915" s="111">
        <v>-7.1299999999999998E-5</v>
      </c>
      <c r="K2915" s="38">
        <v>-5.3900000000000002E-5</v>
      </c>
      <c r="L2915" s="38">
        <v>-2.2000000000000001E-4</v>
      </c>
      <c r="M2915" s="38">
        <v>-1.83E-4</v>
      </c>
      <c r="N2915" s="38">
        <v>1.4100000000000001E-4</v>
      </c>
      <c r="O2915" s="38">
        <v>7.7399999999999998E-5</v>
      </c>
      <c r="P2915" s="110">
        <v>-5.7000000000000003E-5</v>
      </c>
    </row>
    <row r="2916" spans="1:16" hidden="1" x14ac:dyDescent="0.35">
      <c r="A2916" s="3">
        <f xml:space="preserve"> ROW( data_scaledImpacts[[#This Row],[row_id]] ) - ROW( data_scaledImpacts[[#Headers],[row_id]] )</f>
        <v>2915</v>
      </c>
      <c r="B2916" s="41" t="str">
        <f xml:space="preserve"> _xlfn.TEXTJOIN( "", , data_scaledImpacts[[#This Row],[sector]:[impactType]] )</f>
        <v>CILExtremeTempMIROC55low CI</v>
      </c>
      <c r="C2916" s="33" t="s">
        <v>1154</v>
      </c>
      <c r="D2916" s="33" t="s">
        <v>4</v>
      </c>
      <c r="E2916" s="34">
        <v>5</v>
      </c>
      <c r="F2916" s="34"/>
      <c r="G2916" s="34" t="s">
        <v>1252</v>
      </c>
      <c r="H2916" s="35"/>
      <c r="I2916" s="43" t="s">
        <v>67</v>
      </c>
      <c r="J2916" s="111">
        <v>-1.1E-4</v>
      </c>
      <c r="K2916" s="38">
        <v>-1.9100000000000001E-4</v>
      </c>
      <c r="L2916" s="38">
        <v>-6.58E-5</v>
      </c>
      <c r="M2916" s="38">
        <v>-1.4300000000000001E-4</v>
      </c>
      <c r="N2916" s="38">
        <v>1.07E-4</v>
      </c>
      <c r="O2916" s="38">
        <v>2.1000000000000001E-4</v>
      </c>
      <c r="P2916" s="110">
        <v>9.7899999999999994E-6</v>
      </c>
    </row>
    <row r="2917" spans="1:16" hidden="1" x14ac:dyDescent="0.35">
      <c r="A2917" s="3">
        <f xml:space="preserve"> ROW( data_scaledImpacts[[#This Row],[row_id]] ) - ROW( data_scaledImpacts[[#Headers],[row_id]] )</f>
        <v>2916</v>
      </c>
      <c r="B2917" s="41" t="str">
        <f xml:space="preserve"> _xlfn.TEXTJOIN( "", , data_scaledImpacts[[#This Row],[sector]:[impactType]] )</f>
        <v>CILExtremeTempCanESM26low CI</v>
      </c>
      <c r="C2917" s="33" t="s">
        <v>1154</v>
      </c>
      <c r="D2917" s="33" t="s">
        <v>0</v>
      </c>
      <c r="E2917" s="34">
        <v>6</v>
      </c>
      <c r="F2917" s="34"/>
      <c r="G2917" s="34" t="s">
        <v>1252</v>
      </c>
      <c r="H2917" s="35"/>
      <c r="I2917" s="43" t="s">
        <v>70</v>
      </c>
      <c r="J2917" s="111">
        <v>2.2699999999999999E-6</v>
      </c>
      <c r="K2917" s="38">
        <v>1.27E-5</v>
      </c>
      <c r="L2917" s="38">
        <v>-8.0199999999999998E-5</v>
      </c>
      <c r="M2917" s="38">
        <v>-1.75E-4</v>
      </c>
      <c r="N2917" s="38">
        <v>1.6899999999999999E-4</v>
      </c>
      <c r="O2917" s="38">
        <v>1.4200000000000001E-4</v>
      </c>
      <c r="P2917" s="110">
        <v>-5.4299999999999998E-5</v>
      </c>
    </row>
    <row r="2918" spans="1:16" hidden="1" x14ac:dyDescent="0.35">
      <c r="A2918" s="3">
        <f xml:space="preserve"> ROW( data_scaledImpacts[[#This Row],[row_id]] ) - ROW( data_scaledImpacts[[#Headers],[row_id]] )</f>
        <v>2917</v>
      </c>
      <c r="B2918" s="41" t="str">
        <f xml:space="preserve"> _xlfn.TEXTJOIN( "", , data_scaledImpacts[[#This Row],[sector]:[impactType]] )</f>
        <v>CILExtremeTempGFDL-CM36low CI</v>
      </c>
      <c r="C2918" s="33" t="s">
        <v>1154</v>
      </c>
      <c r="D2918" s="33" t="s">
        <v>5</v>
      </c>
      <c r="E2918" s="34">
        <v>6</v>
      </c>
      <c r="F2918" s="34"/>
      <c r="G2918" s="34" t="s">
        <v>1252</v>
      </c>
      <c r="H2918" s="35"/>
      <c r="I2918" s="43" t="s">
        <v>75</v>
      </c>
      <c r="J2918" s="111">
        <v>5.7099999999999999E-5</v>
      </c>
      <c r="K2918" s="38">
        <v>1.7799999999999999E-5</v>
      </c>
      <c r="L2918" s="38">
        <v>-8.2899999999999996E-5</v>
      </c>
      <c r="M2918" s="38">
        <v>-1.5300000000000001E-4</v>
      </c>
      <c r="N2918" s="38">
        <v>2.4800000000000001E-4</v>
      </c>
      <c r="O2918" s="38">
        <v>2.0100000000000001E-4</v>
      </c>
      <c r="P2918" s="110">
        <v>4.1399999999999997E-5</v>
      </c>
    </row>
    <row r="2919" spans="1:16" hidden="1" x14ac:dyDescent="0.35">
      <c r="A2919" s="3">
        <f xml:space="preserve"> ROW( data_scaledImpacts[[#This Row],[row_id]] ) - ROW( data_scaledImpacts[[#Headers],[row_id]] )</f>
        <v>2918</v>
      </c>
      <c r="B2919" s="41" t="str">
        <f xml:space="preserve"> _xlfn.TEXTJOIN( "", , data_scaledImpacts[[#This Row],[sector]:[impactType]] )</f>
        <v>CILExtremeTempHadGEM2-ES6low CI</v>
      </c>
      <c r="C2919" s="33" t="s">
        <v>1154</v>
      </c>
      <c r="D2919" s="33" t="s">
        <v>3</v>
      </c>
      <c r="E2919" s="34">
        <v>6</v>
      </c>
      <c r="F2919" s="34"/>
      <c r="G2919" s="34" t="s">
        <v>1252</v>
      </c>
      <c r="H2919" s="35"/>
      <c r="I2919" s="43" t="s">
        <v>73</v>
      </c>
      <c r="J2919" s="111">
        <v>-6.2500000000000001E-5</v>
      </c>
      <c r="K2919" s="38">
        <v>-5.2599999999999998E-5</v>
      </c>
      <c r="L2919" s="38">
        <v>-1.8699999999999999E-4</v>
      </c>
      <c r="M2919" s="38">
        <v>-1.75E-4</v>
      </c>
      <c r="N2919" s="38">
        <v>1.5200000000000001E-4</v>
      </c>
      <c r="O2919" s="38">
        <v>9.0199999999999997E-5</v>
      </c>
      <c r="P2919" s="110">
        <v>-3.65E-5</v>
      </c>
    </row>
    <row r="2920" spans="1:16" hidden="1" x14ac:dyDescent="0.35">
      <c r="A2920" s="3">
        <f xml:space="preserve"> ROW( data_scaledImpacts[[#This Row],[row_id]] ) - ROW( data_scaledImpacts[[#Headers],[row_id]] )</f>
        <v>2919</v>
      </c>
      <c r="B2920" s="41" t="str">
        <f xml:space="preserve"> _xlfn.TEXTJOIN( "", , data_scaledImpacts[[#This Row],[sector]:[impactType]] )</f>
        <v>CILExtremeTempCanESM21high CI</v>
      </c>
      <c r="C2920" s="33" t="s">
        <v>1154</v>
      </c>
      <c r="D2920" s="33" t="s">
        <v>0</v>
      </c>
      <c r="E2920" s="34">
        <v>1</v>
      </c>
      <c r="F2920" s="34"/>
      <c r="G2920" s="34" t="s">
        <v>1253</v>
      </c>
      <c r="H2920" s="35"/>
      <c r="I2920" s="43" t="s">
        <v>35</v>
      </c>
      <c r="J2920" s="110">
        <v>4.7299999999999998E-5</v>
      </c>
      <c r="K2920" s="110">
        <v>4.74E-5</v>
      </c>
      <c r="L2920" s="110">
        <v>6.2100000000000005E-5</v>
      </c>
      <c r="M2920" s="110">
        <v>2.5400000000000001E-5</v>
      </c>
      <c r="N2920" s="110">
        <v>3.0000000000000001E-5</v>
      </c>
      <c r="O2920" s="110">
        <v>2.34E-5</v>
      </c>
      <c r="P2920" s="110">
        <v>1.5E-5</v>
      </c>
    </row>
    <row r="2921" spans="1:16" hidden="1" x14ac:dyDescent="0.35">
      <c r="A2921" s="3">
        <f xml:space="preserve"> ROW( data_scaledImpacts[[#This Row],[row_id]] ) - ROW( data_scaledImpacts[[#Headers],[row_id]] )</f>
        <v>2920</v>
      </c>
      <c r="B2921" s="41" t="str">
        <f xml:space="preserve"> _xlfn.TEXTJOIN( "", , data_scaledImpacts[[#This Row],[sector]:[impactType]] )</f>
        <v>CILExtremeTempCCSM41high CI</v>
      </c>
      <c r="C2921" s="33" t="s">
        <v>1154</v>
      </c>
      <c r="D2921" s="33" t="s">
        <v>1</v>
      </c>
      <c r="E2921" s="34">
        <v>1</v>
      </c>
      <c r="F2921" s="34"/>
      <c r="G2921" s="34" t="s">
        <v>1253</v>
      </c>
      <c r="H2921" s="35"/>
      <c r="I2921" s="43" t="s">
        <v>36</v>
      </c>
      <c r="J2921" s="110">
        <v>1.7000000000000001E-4</v>
      </c>
      <c r="K2921" s="110">
        <v>1.4200000000000001E-4</v>
      </c>
      <c r="L2921" s="110">
        <v>1.5799999999999999E-4</v>
      </c>
      <c r="M2921" s="110">
        <v>8.7499999999999999E-5</v>
      </c>
      <c r="N2921" s="110">
        <v>7.6600000000000005E-5</v>
      </c>
      <c r="O2921" s="110">
        <v>-2.4600000000000002E-5</v>
      </c>
      <c r="P2921" s="110">
        <v>3.0700000000000001E-5</v>
      </c>
    </row>
    <row r="2922" spans="1:16" hidden="1" x14ac:dyDescent="0.35">
      <c r="A2922" s="3">
        <f xml:space="preserve"> ROW( data_scaledImpacts[[#This Row],[row_id]] ) - ROW( data_scaledImpacts[[#Headers],[row_id]] )</f>
        <v>2921</v>
      </c>
      <c r="B2922" s="41" t="str">
        <f xml:space="preserve"> _xlfn.TEXTJOIN( "", , data_scaledImpacts[[#This Row],[sector]:[impactType]] )</f>
        <v>CILExtremeTempGFDL-CM31high CI</v>
      </c>
      <c r="C2922" s="33" t="s">
        <v>1154</v>
      </c>
      <c r="D2922" s="33" t="s">
        <v>5</v>
      </c>
      <c r="E2922" s="34">
        <v>1</v>
      </c>
      <c r="F2922" s="34"/>
      <c r="G2922" s="34" t="s">
        <v>1253</v>
      </c>
      <c r="H2922" s="35"/>
      <c r="I2922" s="43" t="s">
        <v>40</v>
      </c>
      <c r="J2922" s="110">
        <v>1.18E-4</v>
      </c>
      <c r="K2922" s="110">
        <v>1.07E-4</v>
      </c>
      <c r="L2922" s="110">
        <v>5.4400000000000001E-5</v>
      </c>
      <c r="M2922" s="110">
        <v>2.76E-5</v>
      </c>
      <c r="N2922" s="110">
        <v>6.1799999999999998E-5</v>
      </c>
      <c r="O2922" s="110">
        <v>3.0499999999999999E-5</v>
      </c>
      <c r="P2922" s="110">
        <v>5.4200000000000003E-5</v>
      </c>
    </row>
    <row r="2923" spans="1:16" hidden="1" x14ac:dyDescent="0.35">
      <c r="A2923" s="3">
        <f xml:space="preserve"> ROW( data_scaledImpacts[[#This Row],[row_id]] ) - ROW( data_scaledImpacts[[#Headers],[row_id]] )</f>
        <v>2922</v>
      </c>
      <c r="B2923" s="41" t="str">
        <f xml:space="preserve"> _xlfn.TEXTJOIN( "", , data_scaledImpacts[[#This Row],[sector]:[impactType]] )</f>
        <v>CILExtremeTempGISS-E2-R1high CI</v>
      </c>
      <c r="C2923" s="33" t="s">
        <v>1154</v>
      </c>
      <c r="D2923" s="33" t="s">
        <v>2</v>
      </c>
      <c r="E2923" s="34">
        <v>1</v>
      </c>
      <c r="F2923" s="34"/>
      <c r="G2923" s="34" t="s">
        <v>1253</v>
      </c>
      <c r="H2923" s="35"/>
      <c r="I2923" s="43" t="s">
        <v>37</v>
      </c>
      <c r="J2923" s="110">
        <v>9.6600000000000003E-5</v>
      </c>
      <c r="K2923" s="110">
        <v>1.5500000000000001E-5</v>
      </c>
      <c r="L2923" s="110">
        <v>5.4299999999999998E-5</v>
      </c>
      <c r="M2923" s="110">
        <v>1.56E-4</v>
      </c>
      <c r="N2923" s="110">
        <v>9.3599999999999998E-5</v>
      </c>
      <c r="O2923" s="110">
        <v>3.3300000000000003E-5</v>
      </c>
      <c r="P2923" s="110">
        <v>5.9200000000000002E-5</v>
      </c>
    </row>
    <row r="2924" spans="1:16" hidden="1" x14ac:dyDescent="0.35">
      <c r="A2924" s="3">
        <f xml:space="preserve"> ROW( data_scaledImpacts[[#This Row],[row_id]] ) - ROW( data_scaledImpacts[[#Headers],[row_id]] )</f>
        <v>2923</v>
      </c>
      <c r="B2924" s="41" t="str">
        <f xml:space="preserve"> _xlfn.TEXTJOIN( "", , data_scaledImpacts[[#This Row],[sector]:[impactType]] )</f>
        <v>CILExtremeTempHadGEM2-ES1high CI</v>
      </c>
      <c r="C2924" s="33" t="s">
        <v>1154</v>
      </c>
      <c r="D2924" s="33" t="s">
        <v>3</v>
      </c>
      <c r="E2924" s="34">
        <v>1</v>
      </c>
      <c r="F2924" s="34"/>
      <c r="G2924" s="34" t="s">
        <v>1253</v>
      </c>
      <c r="H2924" s="35"/>
      <c r="I2924" s="43" t="s">
        <v>38</v>
      </c>
      <c r="J2924" s="110">
        <v>3.4E-5</v>
      </c>
      <c r="K2924" s="110">
        <v>4.5300000000000003E-5</v>
      </c>
      <c r="L2924" s="110">
        <v>4.3399999999999998E-5</v>
      </c>
      <c r="M2924" s="110">
        <v>2.1299999999999999E-5</v>
      </c>
      <c r="N2924" s="110">
        <v>9.2700000000000004E-5</v>
      </c>
      <c r="O2924" s="110">
        <v>9.2999999999999997E-5</v>
      </c>
      <c r="P2924" s="110">
        <v>1.8E-5</v>
      </c>
    </row>
    <row r="2925" spans="1:16" hidden="1" x14ac:dyDescent="0.35">
      <c r="A2925" s="3">
        <f xml:space="preserve"> ROW( data_scaledImpacts[[#This Row],[row_id]] ) - ROW( data_scaledImpacts[[#Headers],[row_id]] )</f>
        <v>2924</v>
      </c>
      <c r="B2925" s="41" t="str">
        <f xml:space="preserve"> _xlfn.TEXTJOIN( "", , data_scaledImpacts[[#This Row],[sector]:[impactType]] )</f>
        <v>CILExtremeTempMIROC51high CI</v>
      </c>
      <c r="C2925" s="33" t="s">
        <v>1154</v>
      </c>
      <c r="D2925" s="33" t="s">
        <v>4</v>
      </c>
      <c r="E2925" s="34">
        <v>1</v>
      </c>
      <c r="F2925" s="34"/>
      <c r="G2925" s="34" t="s">
        <v>1253</v>
      </c>
      <c r="H2925" s="35"/>
      <c r="I2925" s="43" t="s">
        <v>39</v>
      </c>
      <c r="J2925" s="110">
        <v>8.5699999999999996E-5</v>
      </c>
      <c r="K2925" s="110">
        <v>4.5500000000000001E-5</v>
      </c>
      <c r="L2925" s="110">
        <v>1.2899999999999999E-4</v>
      </c>
      <c r="M2925" s="110">
        <v>9.2499999999999999E-5</v>
      </c>
      <c r="N2925" s="110">
        <v>7.6000000000000004E-5</v>
      </c>
      <c r="O2925" s="110">
        <v>1.4300000000000001E-4</v>
      </c>
      <c r="P2925" s="110">
        <v>7.5900000000000002E-5</v>
      </c>
    </row>
    <row r="2926" spans="1:16" hidden="1" x14ac:dyDescent="0.35">
      <c r="A2926" s="3">
        <f xml:space="preserve"> ROW( data_scaledImpacts[[#This Row],[row_id]] ) - ROW( data_scaledImpacts[[#Headers],[row_id]] )</f>
        <v>2925</v>
      </c>
      <c r="B2926" s="41" t="str">
        <f xml:space="preserve"> _xlfn.TEXTJOIN( "", , data_scaledImpacts[[#This Row],[sector]:[impactType]] )</f>
        <v>CILExtremeTempCanESM22high CI</v>
      </c>
      <c r="C2926" s="33" t="s">
        <v>1154</v>
      </c>
      <c r="D2926" s="33" t="s">
        <v>0</v>
      </c>
      <c r="E2926" s="34">
        <v>2</v>
      </c>
      <c r="F2926" s="34"/>
      <c r="G2926" s="34" t="s">
        <v>1253</v>
      </c>
      <c r="H2926" s="35"/>
      <c r="I2926" s="43" t="s">
        <v>42</v>
      </c>
      <c r="J2926" s="110">
        <v>4.3300000000000002E-5</v>
      </c>
      <c r="K2926" s="110">
        <v>5.2200000000000002E-5</v>
      </c>
      <c r="L2926" s="110">
        <v>3.96E-5</v>
      </c>
      <c r="M2926" s="110">
        <v>-1.8199999999999999E-5</v>
      </c>
      <c r="N2926" s="110">
        <v>9.0400000000000002E-5</v>
      </c>
      <c r="O2926" s="110">
        <v>6.9900000000000005E-5</v>
      </c>
      <c r="P2926" s="110">
        <v>2.5700000000000001E-5</v>
      </c>
    </row>
    <row r="2927" spans="1:16" hidden="1" x14ac:dyDescent="0.35">
      <c r="A2927" s="3">
        <f xml:space="preserve"> ROW( data_scaledImpacts[[#This Row],[row_id]] ) - ROW( data_scaledImpacts[[#Headers],[row_id]] )</f>
        <v>2926</v>
      </c>
      <c r="B2927" s="41" t="str">
        <f xml:space="preserve"> _xlfn.TEXTJOIN( "", , data_scaledImpacts[[#This Row],[sector]:[impactType]] )</f>
        <v>CILExtremeTempCCSM42high CI</v>
      </c>
      <c r="C2927" s="33" t="s">
        <v>1154</v>
      </c>
      <c r="D2927" s="33" t="s">
        <v>1</v>
      </c>
      <c r="E2927" s="34">
        <v>2</v>
      </c>
      <c r="F2927" s="34"/>
      <c r="G2927" s="34" t="s">
        <v>1253</v>
      </c>
      <c r="H2927" s="35"/>
      <c r="I2927" s="43" t="s">
        <v>43</v>
      </c>
      <c r="J2927" s="110">
        <v>1.6200000000000001E-4</v>
      </c>
      <c r="K2927" s="110">
        <v>1.17E-4</v>
      </c>
      <c r="L2927" s="110">
        <v>1.56E-4</v>
      </c>
      <c r="M2927" s="110">
        <v>9.4199999999999999E-5</v>
      </c>
      <c r="N2927" s="110">
        <v>1.2799999999999999E-4</v>
      </c>
      <c r="O2927" s="110">
        <v>3.6999999999999998E-5</v>
      </c>
      <c r="P2927" s="110">
        <v>3.3699999999999999E-5</v>
      </c>
    </row>
    <row r="2928" spans="1:16" hidden="1" x14ac:dyDescent="0.35">
      <c r="A2928" s="3">
        <f xml:space="preserve"> ROW( data_scaledImpacts[[#This Row],[row_id]] ) - ROW( data_scaledImpacts[[#Headers],[row_id]] )</f>
        <v>2927</v>
      </c>
      <c r="B2928" s="41" t="str">
        <f xml:space="preserve"> _xlfn.TEXTJOIN( "", , data_scaledImpacts[[#This Row],[sector]:[impactType]] )</f>
        <v>CILExtremeTempGFDL-CM32high CI</v>
      </c>
      <c r="C2928" s="33" t="s">
        <v>1154</v>
      </c>
      <c r="D2928" s="33" t="s">
        <v>5</v>
      </c>
      <c r="E2928" s="34">
        <v>2</v>
      </c>
      <c r="F2928" s="34"/>
      <c r="G2928" s="34" t="s">
        <v>1253</v>
      </c>
      <c r="H2928" s="35"/>
      <c r="I2928" s="43" t="s">
        <v>47</v>
      </c>
      <c r="J2928" s="110">
        <v>9.7800000000000006E-5</v>
      </c>
      <c r="K2928" s="110">
        <v>7.36E-5</v>
      </c>
      <c r="L2928" s="110">
        <v>5.0800000000000002E-5</v>
      </c>
      <c r="M2928" s="110">
        <v>1.5E-5</v>
      </c>
      <c r="N2928" s="110">
        <v>1.11E-4</v>
      </c>
      <c r="O2928" s="110">
        <v>5.7099999999999999E-5</v>
      </c>
      <c r="P2928" s="110">
        <v>7.0900000000000002E-5</v>
      </c>
    </row>
    <row r="2929" spans="1:16" hidden="1" x14ac:dyDescent="0.35">
      <c r="A2929" s="3">
        <f xml:space="preserve"> ROW( data_scaledImpacts[[#This Row],[row_id]] ) - ROW( data_scaledImpacts[[#Headers],[row_id]] )</f>
        <v>2928</v>
      </c>
      <c r="B2929" s="41" t="str">
        <f xml:space="preserve"> _xlfn.TEXTJOIN( "", , data_scaledImpacts[[#This Row],[sector]:[impactType]] )</f>
        <v>CILExtremeTempGISS-E2-R2high CI</v>
      </c>
      <c r="C2929" s="33" t="s">
        <v>1154</v>
      </c>
      <c r="D2929" s="33" t="s">
        <v>2</v>
      </c>
      <c r="E2929" s="34">
        <v>2</v>
      </c>
      <c r="F2929" s="34"/>
      <c r="G2929" s="34" t="s">
        <v>1253</v>
      </c>
      <c r="H2929" s="35"/>
      <c r="I2929" s="43" t="s">
        <v>44</v>
      </c>
      <c r="J2929" s="110">
        <v>1.13E-4</v>
      </c>
      <c r="K2929" s="110">
        <v>6.2399999999999999E-5</v>
      </c>
      <c r="L2929" s="110">
        <v>4.4900000000000002E-6</v>
      </c>
      <c r="M2929" s="110">
        <v>5.3600000000000002E-5</v>
      </c>
      <c r="N2929" s="110">
        <v>1.6699999999999999E-4</v>
      </c>
      <c r="O2929" s="110">
        <v>5.3199999999999999E-5</v>
      </c>
      <c r="P2929" s="110">
        <v>5.3100000000000003E-5</v>
      </c>
    </row>
    <row r="2930" spans="1:16" hidden="1" x14ac:dyDescent="0.35">
      <c r="A2930" s="3">
        <f xml:space="preserve"> ROW( data_scaledImpacts[[#This Row],[row_id]] ) - ROW( data_scaledImpacts[[#Headers],[row_id]] )</f>
        <v>2929</v>
      </c>
      <c r="B2930" s="41" t="str">
        <f xml:space="preserve"> _xlfn.TEXTJOIN( "", , data_scaledImpacts[[#This Row],[sector]:[impactType]] )</f>
        <v>CILExtremeTempHadGEM2-ES2high CI</v>
      </c>
      <c r="C2930" s="33" t="s">
        <v>1154</v>
      </c>
      <c r="D2930" s="33" t="s">
        <v>3</v>
      </c>
      <c r="E2930" s="34">
        <v>2</v>
      </c>
      <c r="F2930" s="34"/>
      <c r="G2930" s="34" t="s">
        <v>1253</v>
      </c>
      <c r="H2930" s="35"/>
      <c r="I2930" s="43" t="s">
        <v>45</v>
      </c>
      <c r="J2930" s="110">
        <v>5.77E-5</v>
      </c>
      <c r="K2930" s="110">
        <v>9.1299999999999997E-5</v>
      </c>
      <c r="L2930" s="110">
        <v>-2.26E-6</v>
      </c>
      <c r="M2930" s="110">
        <v>-1.7200000000000001E-5</v>
      </c>
      <c r="N2930" s="110">
        <v>1.65E-4</v>
      </c>
      <c r="O2930" s="110">
        <v>1.9000000000000001E-4</v>
      </c>
      <c r="P2930" s="110">
        <v>1.47E-5</v>
      </c>
    </row>
    <row r="2931" spans="1:16" hidden="1" x14ac:dyDescent="0.35">
      <c r="A2931" s="3">
        <f xml:space="preserve"> ROW( data_scaledImpacts[[#This Row],[row_id]] ) - ROW( data_scaledImpacts[[#Headers],[row_id]] )</f>
        <v>2930</v>
      </c>
      <c r="B2931" s="41" t="str">
        <f xml:space="preserve"> _xlfn.TEXTJOIN( "", , data_scaledImpacts[[#This Row],[sector]:[impactType]] )</f>
        <v>CILExtremeTempMIROC52high CI</v>
      </c>
      <c r="C2931" s="33" t="s">
        <v>1154</v>
      </c>
      <c r="D2931" s="33" t="s">
        <v>4</v>
      </c>
      <c r="E2931" s="34">
        <v>2</v>
      </c>
      <c r="F2931" s="34"/>
      <c r="G2931" s="34" t="s">
        <v>1253</v>
      </c>
      <c r="H2931" s="35"/>
      <c r="I2931" s="43" t="s">
        <v>46</v>
      </c>
      <c r="J2931" s="110">
        <v>5.38E-5</v>
      </c>
      <c r="K2931" s="110">
        <v>2.37E-5</v>
      </c>
      <c r="L2931" s="110">
        <v>9.4400000000000004E-5</v>
      </c>
      <c r="M2931" s="110">
        <v>6.3800000000000006E-5</v>
      </c>
      <c r="N2931" s="110">
        <v>1.15E-4</v>
      </c>
      <c r="O2931" s="110">
        <v>1.8799999999999999E-4</v>
      </c>
      <c r="P2931" s="110">
        <v>8.0000000000000007E-5</v>
      </c>
    </row>
    <row r="2932" spans="1:16" hidden="1" x14ac:dyDescent="0.35">
      <c r="A2932" s="3">
        <f xml:space="preserve"> ROW( data_scaledImpacts[[#This Row],[row_id]] ) - ROW( data_scaledImpacts[[#Headers],[row_id]] )</f>
        <v>2931</v>
      </c>
      <c r="B2932" s="41" t="str">
        <f xml:space="preserve"> _xlfn.TEXTJOIN( "", , data_scaledImpacts[[#This Row],[sector]:[impactType]] )</f>
        <v>CILExtremeTempCanESM23high CI</v>
      </c>
      <c r="C2932" s="33" t="s">
        <v>1154</v>
      </c>
      <c r="D2932" s="33" t="s">
        <v>0</v>
      </c>
      <c r="E2932" s="34">
        <v>3</v>
      </c>
      <c r="F2932" s="34"/>
      <c r="G2932" s="34" t="s">
        <v>1253</v>
      </c>
      <c r="H2932" s="35"/>
      <c r="I2932" s="43" t="s">
        <v>49</v>
      </c>
      <c r="J2932" s="110">
        <v>4.0899999999999998E-5</v>
      </c>
      <c r="K2932" s="110">
        <v>5.0699999999999999E-5</v>
      </c>
      <c r="L2932" s="110">
        <v>5.9699999999999996E-6</v>
      </c>
      <c r="M2932" s="110">
        <v>-3.7200000000000003E-5</v>
      </c>
      <c r="N2932" s="110">
        <v>1.2899999999999999E-4</v>
      </c>
      <c r="O2932" s="110">
        <v>1.16E-4</v>
      </c>
      <c r="P2932" s="110">
        <v>5.8600000000000001E-5</v>
      </c>
    </row>
    <row r="2933" spans="1:16" hidden="1" x14ac:dyDescent="0.35">
      <c r="A2933" s="3">
        <f xml:space="preserve"> ROW( data_scaledImpacts[[#This Row],[row_id]] ) - ROW( data_scaledImpacts[[#Headers],[row_id]] )</f>
        <v>2932</v>
      </c>
      <c r="B2933" s="41" t="str">
        <f xml:space="preserve"> _xlfn.TEXTJOIN( "", , data_scaledImpacts[[#This Row],[sector]:[impactType]] )</f>
        <v>CILExtremeTempCCSM43high CI</v>
      </c>
      <c r="C2933" s="33" t="s">
        <v>1154</v>
      </c>
      <c r="D2933" s="33" t="s">
        <v>1</v>
      </c>
      <c r="E2933" s="34">
        <v>3</v>
      </c>
      <c r="F2933" s="34"/>
      <c r="G2933" s="34" t="s">
        <v>1253</v>
      </c>
      <c r="H2933" s="35"/>
      <c r="I2933" s="43" t="s">
        <v>50</v>
      </c>
      <c r="J2933" s="110">
        <v>1.7000000000000001E-4</v>
      </c>
      <c r="K2933" s="110">
        <v>9.5400000000000001E-5</v>
      </c>
      <c r="L2933" s="110">
        <v>1.9900000000000001E-4</v>
      </c>
      <c r="M2933" s="110">
        <v>1.54E-4</v>
      </c>
      <c r="N2933" s="110">
        <v>1.92E-4</v>
      </c>
      <c r="O2933" s="110">
        <v>1.11E-4</v>
      </c>
      <c r="P2933" s="110">
        <v>7.3300000000000006E-5</v>
      </c>
    </row>
    <row r="2934" spans="1:16" hidden="1" x14ac:dyDescent="0.35">
      <c r="A2934" s="3">
        <f xml:space="preserve"> ROW( data_scaledImpacts[[#This Row],[row_id]] ) - ROW( data_scaledImpacts[[#Headers],[row_id]] )</f>
        <v>2933</v>
      </c>
      <c r="B2934" s="41" t="str">
        <f xml:space="preserve"> _xlfn.TEXTJOIN( "", , data_scaledImpacts[[#This Row],[sector]:[impactType]] )</f>
        <v>CILExtremeTempGFDL-CM33high CI</v>
      </c>
      <c r="C2934" s="33" t="s">
        <v>1154</v>
      </c>
      <c r="D2934" s="33" t="s">
        <v>5</v>
      </c>
      <c r="E2934" s="34">
        <v>3</v>
      </c>
      <c r="F2934" s="34"/>
      <c r="G2934" s="34" t="s">
        <v>1253</v>
      </c>
      <c r="H2934" s="35"/>
      <c r="I2934" s="43" t="s">
        <v>54</v>
      </c>
      <c r="J2934" s="110">
        <v>1.2999999999999999E-4</v>
      </c>
      <c r="K2934" s="110">
        <v>1.2899999999999999E-4</v>
      </c>
      <c r="L2934" s="110">
        <v>7.7000000000000008E-6</v>
      </c>
      <c r="M2934" s="110">
        <v>-3.3200000000000001E-5</v>
      </c>
      <c r="N2934" s="110">
        <v>2.0799999999999999E-4</v>
      </c>
      <c r="O2934" s="110">
        <v>1.2400000000000001E-4</v>
      </c>
      <c r="P2934" s="110">
        <v>1.27E-4</v>
      </c>
    </row>
    <row r="2935" spans="1:16" hidden="1" x14ac:dyDescent="0.35">
      <c r="A2935" s="3">
        <f xml:space="preserve"> ROW( data_scaledImpacts[[#This Row],[row_id]] ) - ROW( data_scaledImpacts[[#Headers],[row_id]] )</f>
        <v>2934</v>
      </c>
      <c r="B2935" s="41" t="str">
        <f xml:space="preserve"> _xlfn.TEXTJOIN( "", , data_scaledImpacts[[#This Row],[sector]:[impactType]] )</f>
        <v>CILExtremeTempGISS-E2-R3high CI</v>
      </c>
      <c r="C2935" s="33" t="s">
        <v>1154</v>
      </c>
      <c r="D2935" s="33" t="s">
        <v>2</v>
      </c>
      <c r="E2935" s="34">
        <v>3</v>
      </c>
      <c r="F2935" s="34"/>
      <c r="G2935" s="34" t="s">
        <v>1253</v>
      </c>
      <c r="H2935" s="35"/>
      <c r="I2935" s="43" t="s">
        <v>51</v>
      </c>
      <c r="J2935" s="110">
        <v>1.3100000000000001E-4</v>
      </c>
      <c r="K2935" s="110">
        <v>5.1100000000000002E-5</v>
      </c>
      <c r="L2935" s="110">
        <v>1.5299999999999999E-5</v>
      </c>
      <c r="M2935" s="110">
        <v>9.7200000000000004E-5</v>
      </c>
      <c r="N2935" s="110">
        <v>2.7799999999999998E-4</v>
      </c>
      <c r="O2935" s="110">
        <v>1.8900000000000001E-4</v>
      </c>
      <c r="P2935" s="110">
        <v>1.44E-4</v>
      </c>
    </row>
    <row r="2936" spans="1:16" hidden="1" x14ac:dyDescent="0.35">
      <c r="A2936" s="3">
        <f xml:space="preserve"> ROW( data_scaledImpacts[[#This Row],[row_id]] ) - ROW( data_scaledImpacts[[#Headers],[row_id]] )</f>
        <v>2935</v>
      </c>
      <c r="B2936" s="41" t="str">
        <f xml:space="preserve"> _xlfn.TEXTJOIN( "", , data_scaledImpacts[[#This Row],[sector]:[impactType]] )</f>
        <v>CILExtremeTempHadGEM2-ES3high CI</v>
      </c>
      <c r="C2936" s="33" t="s">
        <v>1154</v>
      </c>
      <c r="D2936" s="33" t="s">
        <v>3</v>
      </c>
      <c r="E2936" s="34">
        <v>3</v>
      </c>
      <c r="F2936" s="34"/>
      <c r="G2936" s="34" t="s">
        <v>1253</v>
      </c>
      <c r="H2936" s="35"/>
      <c r="I2936" s="43" t="s">
        <v>52</v>
      </c>
      <c r="J2936" s="110">
        <v>4.6400000000000003E-5</v>
      </c>
      <c r="K2936" s="110">
        <v>6.3E-5</v>
      </c>
      <c r="L2936" s="110">
        <v>-1.7799999999999999E-5</v>
      </c>
      <c r="M2936" s="110">
        <v>-3.68E-5</v>
      </c>
      <c r="N2936" s="110">
        <v>2.7700000000000001E-4</v>
      </c>
      <c r="O2936" s="110">
        <v>2.6800000000000001E-4</v>
      </c>
      <c r="P2936" s="110">
        <v>5.4400000000000001E-5</v>
      </c>
    </row>
    <row r="2937" spans="1:16" hidden="1" x14ac:dyDescent="0.35">
      <c r="A2937" s="3">
        <f xml:space="preserve"> ROW( data_scaledImpacts[[#This Row],[row_id]] ) - ROW( data_scaledImpacts[[#Headers],[row_id]] )</f>
        <v>2936</v>
      </c>
      <c r="B2937" s="41" t="str">
        <f xml:space="preserve"> _xlfn.TEXTJOIN( "", , data_scaledImpacts[[#This Row],[sector]:[impactType]] )</f>
        <v>CILExtremeTempMIROC53high CI</v>
      </c>
      <c r="C2937" s="33" t="s">
        <v>1154</v>
      </c>
      <c r="D2937" s="33" t="s">
        <v>4</v>
      </c>
      <c r="E2937" s="34">
        <v>3</v>
      </c>
      <c r="F2937" s="34"/>
      <c r="G2937" s="34" t="s">
        <v>1253</v>
      </c>
      <c r="H2937" s="35"/>
      <c r="I2937" s="43" t="s">
        <v>53</v>
      </c>
      <c r="J2937" s="110">
        <v>1.31E-5</v>
      </c>
      <c r="K2937" s="110">
        <v>-2.48E-5</v>
      </c>
      <c r="L2937" s="110">
        <v>5.7800000000000002E-5</v>
      </c>
      <c r="M2937" s="110">
        <v>6.5500000000000006E-5</v>
      </c>
      <c r="N2937" s="110">
        <v>1.6699999999999999E-4</v>
      </c>
      <c r="O2937" s="110">
        <v>2.5900000000000001E-4</v>
      </c>
      <c r="P2937" s="110">
        <v>1.12E-4</v>
      </c>
    </row>
    <row r="2938" spans="1:16" hidden="1" x14ac:dyDescent="0.35">
      <c r="A2938" s="3">
        <f xml:space="preserve"> ROW( data_scaledImpacts[[#This Row],[row_id]] ) - ROW( data_scaledImpacts[[#Headers],[row_id]] )</f>
        <v>2937</v>
      </c>
      <c r="B2938" s="41" t="str">
        <f xml:space="preserve"> _xlfn.TEXTJOIN( "", , data_scaledImpacts[[#This Row],[sector]:[impactType]] )</f>
        <v>CILExtremeTempCanESM24high CI</v>
      </c>
      <c r="C2938" s="33" t="s">
        <v>1154</v>
      </c>
      <c r="D2938" s="33" t="s">
        <v>0</v>
      </c>
      <c r="E2938" s="34">
        <v>4</v>
      </c>
      <c r="F2938" s="34"/>
      <c r="G2938" s="34" t="s">
        <v>1253</v>
      </c>
      <c r="H2938" s="35"/>
      <c r="I2938" s="43" t="s">
        <v>56</v>
      </c>
      <c r="J2938" s="110">
        <v>6.6799999999999997E-5</v>
      </c>
      <c r="K2938" s="110">
        <v>9.0799999999999998E-5</v>
      </c>
      <c r="L2938" s="110">
        <v>8.5499999999999995E-6</v>
      </c>
      <c r="M2938" s="110">
        <v>-4.3800000000000001E-5</v>
      </c>
      <c r="N2938" s="110">
        <v>2.0799999999999999E-4</v>
      </c>
      <c r="O2938" s="110">
        <v>1.9599999999999999E-4</v>
      </c>
      <c r="P2938" s="110">
        <v>1.01E-4</v>
      </c>
    </row>
    <row r="2939" spans="1:16" hidden="1" x14ac:dyDescent="0.35">
      <c r="A2939" s="3">
        <f xml:space="preserve"> ROW( data_scaledImpacts[[#This Row],[row_id]] ) - ROW( data_scaledImpacts[[#Headers],[row_id]] )</f>
        <v>2938</v>
      </c>
      <c r="B2939" s="41" t="str">
        <f xml:space="preserve"> _xlfn.TEXTJOIN( "", , data_scaledImpacts[[#This Row],[sector]:[impactType]] )</f>
        <v>CILExtremeTempCCSM44high CI</v>
      </c>
      <c r="C2939" s="33" t="s">
        <v>1154</v>
      </c>
      <c r="D2939" s="33" t="s">
        <v>1</v>
      </c>
      <c r="E2939" s="34">
        <v>4</v>
      </c>
      <c r="F2939" s="34"/>
      <c r="G2939" s="34" t="s">
        <v>1253</v>
      </c>
      <c r="H2939" s="35"/>
      <c r="I2939" s="43" t="s">
        <v>57</v>
      </c>
      <c r="J2939" s="110">
        <v>1.4100000000000001E-4</v>
      </c>
      <c r="K2939" s="110">
        <v>1.11E-4</v>
      </c>
      <c r="L2939" s="110">
        <v>1.0900000000000001E-4</v>
      </c>
      <c r="M2939" s="110">
        <v>7.3899999999999994E-5</v>
      </c>
      <c r="N2939" s="110">
        <v>2.8299999999999999E-4</v>
      </c>
      <c r="O2939" s="110">
        <v>1.8100000000000001E-4</v>
      </c>
      <c r="P2939" s="110">
        <v>1.2400000000000001E-4</v>
      </c>
    </row>
    <row r="2940" spans="1:16" hidden="1" x14ac:dyDescent="0.35">
      <c r="A2940" s="3">
        <f xml:space="preserve"> ROW( data_scaledImpacts[[#This Row],[row_id]] ) - ROW( data_scaledImpacts[[#Headers],[row_id]] )</f>
        <v>2939</v>
      </c>
      <c r="B2940" s="41" t="str">
        <f xml:space="preserve"> _xlfn.TEXTJOIN( "", , data_scaledImpacts[[#This Row],[sector]:[impactType]] )</f>
        <v>CILExtremeTempGFDL-CM34high CI</v>
      </c>
      <c r="C2940" s="33" t="s">
        <v>1154</v>
      </c>
      <c r="D2940" s="33" t="s">
        <v>5</v>
      </c>
      <c r="E2940" s="34">
        <v>4</v>
      </c>
      <c r="F2940" s="34"/>
      <c r="G2940" s="34" t="s">
        <v>1253</v>
      </c>
      <c r="H2940" s="35"/>
      <c r="I2940" s="43" t="s">
        <v>61</v>
      </c>
      <c r="J2940" s="110">
        <v>1.5200000000000001E-4</v>
      </c>
      <c r="K2940" s="110">
        <v>1.4300000000000001E-4</v>
      </c>
      <c r="L2940" s="110">
        <v>1.5E-5</v>
      </c>
      <c r="M2940" s="110">
        <v>-1.8499999999999999E-5</v>
      </c>
      <c r="N2940" s="110">
        <v>3.3100000000000002E-4</v>
      </c>
      <c r="O2940" s="110">
        <v>2.13E-4</v>
      </c>
      <c r="P2940" s="110">
        <v>1.9000000000000001E-4</v>
      </c>
    </row>
    <row r="2941" spans="1:16" hidden="1" x14ac:dyDescent="0.35">
      <c r="A2941" s="3">
        <f xml:space="preserve"> ROW( data_scaledImpacts[[#This Row],[row_id]] ) - ROW( data_scaledImpacts[[#Headers],[row_id]] )</f>
        <v>2940</v>
      </c>
      <c r="B2941" s="41" t="str">
        <f xml:space="preserve"> _xlfn.TEXTJOIN( "", , data_scaledImpacts[[#This Row],[sector]:[impactType]] )</f>
        <v>CILExtremeTempHadGEM2-ES4high CI</v>
      </c>
      <c r="C2941" s="33" t="s">
        <v>1154</v>
      </c>
      <c r="D2941" s="33" t="s">
        <v>3</v>
      </c>
      <c r="E2941" s="34">
        <v>4</v>
      </c>
      <c r="F2941" s="34"/>
      <c r="G2941" s="34" t="s">
        <v>1253</v>
      </c>
      <c r="H2941" s="35"/>
      <c r="I2941" s="43" t="s">
        <v>59</v>
      </c>
      <c r="J2941" s="110">
        <v>3.4199999999999998E-5</v>
      </c>
      <c r="K2941" s="110">
        <v>4.8900000000000003E-5</v>
      </c>
      <c r="L2941" s="110">
        <v>-4.88E-5</v>
      </c>
      <c r="M2941" s="110">
        <v>-5.2899999999999998E-5</v>
      </c>
      <c r="N2941" s="110">
        <v>3.6200000000000002E-4</v>
      </c>
      <c r="O2941" s="110">
        <v>3.3700000000000001E-4</v>
      </c>
      <c r="P2941" s="110">
        <v>1.0900000000000001E-4</v>
      </c>
    </row>
    <row r="2942" spans="1:16" hidden="1" x14ac:dyDescent="0.35">
      <c r="A2942" s="3">
        <f xml:space="preserve"> ROW( data_scaledImpacts[[#This Row],[row_id]] ) - ROW( data_scaledImpacts[[#Headers],[row_id]] )</f>
        <v>2941</v>
      </c>
      <c r="B2942" s="41" t="str">
        <f xml:space="preserve"> _xlfn.TEXTJOIN( "", , data_scaledImpacts[[#This Row],[sector]:[impactType]] )</f>
        <v>CILExtremeTempMIROC54high CI</v>
      </c>
      <c r="C2942" s="33" t="s">
        <v>1154</v>
      </c>
      <c r="D2942" s="33" t="s">
        <v>4</v>
      </c>
      <c r="E2942" s="34">
        <v>4</v>
      </c>
      <c r="F2942" s="34"/>
      <c r="G2942" s="34" t="s">
        <v>1253</v>
      </c>
      <c r="H2942" s="35"/>
      <c r="I2942" s="43" t="s">
        <v>60</v>
      </c>
      <c r="J2942" s="110">
        <v>1.52E-5</v>
      </c>
      <c r="K2942" s="110">
        <v>-4.49E-5</v>
      </c>
      <c r="L2942" s="110">
        <v>7.1199999999999996E-5</v>
      </c>
      <c r="M2942" s="110">
        <v>7.6000000000000004E-5</v>
      </c>
      <c r="N2942" s="110">
        <v>2.31E-4</v>
      </c>
      <c r="O2942" s="110">
        <v>3.5100000000000002E-4</v>
      </c>
      <c r="P2942" s="110">
        <v>1.5200000000000001E-4</v>
      </c>
    </row>
    <row r="2943" spans="1:16" hidden="1" x14ac:dyDescent="0.35">
      <c r="A2943" s="3">
        <f xml:space="preserve"> ROW( data_scaledImpacts[[#This Row],[row_id]] ) - ROW( data_scaledImpacts[[#Headers],[row_id]] )</f>
        <v>2942</v>
      </c>
      <c r="B2943" s="41" t="str">
        <f xml:space="preserve"> _xlfn.TEXTJOIN( "", , data_scaledImpacts[[#This Row],[sector]:[impactType]] )</f>
        <v>CILExtremeTempCanESM25high CI</v>
      </c>
      <c r="C2943" s="33" t="s">
        <v>1154</v>
      </c>
      <c r="D2943" s="33" t="s">
        <v>0</v>
      </c>
      <c r="E2943" s="34">
        <v>5</v>
      </c>
      <c r="F2943" s="34"/>
      <c r="G2943" s="34" t="s">
        <v>1253</v>
      </c>
      <c r="H2943" s="35"/>
      <c r="I2943" s="43" t="s">
        <v>63</v>
      </c>
      <c r="J2943" s="110">
        <v>3.8699999999999999E-5</v>
      </c>
      <c r="K2943" s="110">
        <v>7.1400000000000001E-5</v>
      </c>
      <c r="L2943" s="110">
        <v>-3.3000000000000003E-5</v>
      </c>
      <c r="M2943" s="110">
        <v>-2.3300000000000001E-5</v>
      </c>
      <c r="N2943" s="110">
        <v>2.7099999999999997E-4</v>
      </c>
      <c r="O2943" s="110">
        <v>2.32E-4</v>
      </c>
      <c r="P2943" s="110">
        <v>1.5300000000000001E-4</v>
      </c>
    </row>
    <row r="2944" spans="1:16" hidden="1" x14ac:dyDescent="0.35">
      <c r="A2944" s="3">
        <f xml:space="preserve"> ROW( data_scaledImpacts[[#This Row],[row_id]] ) - ROW( data_scaledImpacts[[#Headers],[row_id]] )</f>
        <v>2943</v>
      </c>
      <c r="B2944" s="41" t="str">
        <f xml:space="preserve"> _xlfn.TEXTJOIN( "", , data_scaledImpacts[[#This Row],[sector]:[impactType]] )</f>
        <v>CILExtremeTempCCSM45high CI</v>
      </c>
      <c r="C2944" s="33" t="s">
        <v>1154</v>
      </c>
      <c r="D2944" s="33" t="s">
        <v>1</v>
      </c>
      <c r="E2944" s="34">
        <v>5</v>
      </c>
      <c r="F2944" s="34"/>
      <c r="G2944" s="34" t="s">
        <v>1253</v>
      </c>
      <c r="H2944" s="35"/>
      <c r="I2944" s="43" t="s">
        <v>64</v>
      </c>
      <c r="J2944" s="110">
        <v>2.33E-4</v>
      </c>
      <c r="K2944" s="110">
        <v>1.9100000000000001E-4</v>
      </c>
      <c r="L2944" s="110">
        <v>2.03E-4</v>
      </c>
      <c r="M2944" s="110">
        <v>9.5400000000000001E-5</v>
      </c>
      <c r="N2944" s="110">
        <v>4.2499999999999998E-4</v>
      </c>
      <c r="O2944" s="110">
        <v>2.7500000000000002E-4</v>
      </c>
      <c r="P2944" s="110">
        <v>1.56E-4</v>
      </c>
    </row>
    <row r="2945" spans="1:16" hidden="1" x14ac:dyDescent="0.35">
      <c r="A2945" s="3">
        <f xml:space="preserve"> ROW( data_scaledImpacts[[#This Row],[row_id]] ) - ROW( data_scaledImpacts[[#Headers],[row_id]] )</f>
        <v>2944</v>
      </c>
      <c r="B2945" s="41" t="str">
        <f xml:space="preserve"> _xlfn.TEXTJOIN( "", , data_scaledImpacts[[#This Row],[sector]:[impactType]] )</f>
        <v>CILExtremeTempGFDL-CM35high CI</v>
      </c>
      <c r="C2945" s="33" t="s">
        <v>1154</v>
      </c>
      <c r="D2945" s="33" t="s">
        <v>5</v>
      </c>
      <c r="E2945" s="34">
        <v>5</v>
      </c>
      <c r="F2945" s="34"/>
      <c r="G2945" s="34" t="s">
        <v>1253</v>
      </c>
      <c r="H2945" s="35"/>
      <c r="I2945" s="43" t="s">
        <v>68</v>
      </c>
      <c r="J2945" s="110">
        <v>1.8699999999999999E-4</v>
      </c>
      <c r="K2945" s="110">
        <v>1.5300000000000001E-4</v>
      </c>
      <c r="L2945" s="110">
        <v>5.1100000000000002E-5</v>
      </c>
      <c r="M2945" s="110">
        <v>-2.0699999999999998E-5</v>
      </c>
      <c r="N2945" s="110">
        <v>4.2299999999999998E-4</v>
      </c>
      <c r="O2945" s="110">
        <v>3.5799999999999997E-4</v>
      </c>
      <c r="P2945" s="110">
        <v>2.5399999999999999E-4</v>
      </c>
    </row>
    <row r="2946" spans="1:16" hidden="1" x14ac:dyDescent="0.35">
      <c r="A2946" s="3">
        <f xml:space="preserve"> ROW( data_scaledImpacts[[#This Row],[row_id]] ) - ROW( data_scaledImpacts[[#Headers],[row_id]] )</f>
        <v>2945</v>
      </c>
      <c r="B2946" s="41" t="str">
        <f xml:space="preserve"> _xlfn.TEXTJOIN( "", , data_scaledImpacts[[#This Row],[sector]:[impactType]] )</f>
        <v>CILExtremeTempHadGEM2-ES5high CI</v>
      </c>
      <c r="C2946" s="33" t="s">
        <v>1154</v>
      </c>
      <c r="D2946" s="33" t="s">
        <v>3</v>
      </c>
      <c r="E2946" s="34">
        <v>5</v>
      </c>
      <c r="F2946" s="34"/>
      <c r="G2946" s="34" t="s">
        <v>1253</v>
      </c>
      <c r="H2946" s="35"/>
      <c r="I2946" s="43" t="s">
        <v>66</v>
      </c>
      <c r="J2946" s="110">
        <v>6.6600000000000006E-5</v>
      </c>
      <c r="K2946" s="110">
        <v>9.09E-5</v>
      </c>
      <c r="L2946" s="110">
        <v>-5.9700000000000001E-5</v>
      </c>
      <c r="M2946" s="110">
        <v>-8.0599999999999994E-5</v>
      </c>
      <c r="N2946" s="110">
        <v>4.3800000000000002E-4</v>
      </c>
      <c r="O2946" s="110">
        <v>3.6600000000000001E-4</v>
      </c>
      <c r="P2946" s="110">
        <v>1.63E-4</v>
      </c>
    </row>
    <row r="2947" spans="1:16" hidden="1" x14ac:dyDescent="0.35">
      <c r="A2947" s="3">
        <f xml:space="preserve"> ROW( data_scaledImpacts[[#This Row],[row_id]] ) - ROW( data_scaledImpacts[[#Headers],[row_id]] )</f>
        <v>2946</v>
      </c>
      <c r="B2947" s="41" t="str">
        <f xml:space="preserve"> _xlfn.TEXTJOIN( "", , data_scaledImpacts[[#This Row],[sector]:[impactType]] )</f>
        <v>CILExtremeTempMIROC55high CI</v>
      </c>
      <c r="C2947" s="33" t="s">
        <v>1154</v>
      </c>
      <c r="D2947" s="33" t="s">
        <v>4</v>
      </c>
      <c r="E2947" s="34">
        <v>5</v>
      </c>
      <c r="F2947" s="34"/>
      <c r="G2947" s="34" t="s">
        <v>1253</v>
      </c>
      <c r="H2947" s="35"/>
      <c r="I2947" s="43" t="s">
        <v>67</v>
      </c>
      <c r="J2947" s="110">
        <v>1.5E-5</v>
      </c>
      <c r="K2947" s="110">
        <v>-5.2500000000000002E-5</v>
      </c>
      <c r="L2947" s="110">
        <v>6.2899999999999997E-5</v>
      </c>
      <c r="M2947" s="110">
        <v>5.1900000000000001E-5</v>
      </c>
      <c r="N2947" s="110">
        <v>3.4000000000000002E-4</v>
      </c>
      <c r="O2947" s="110">
        <v>4.9600000000000002E-4</v>
      </c>
      <c r="P2947" s="110">
        <v>1.9599999999999999E-4</v>
      </c>
    </row>
    <row r="2948" spans="1:16" hidden="1" x14ac:dyDescent="0.35">
      <c r="A2948" s="3">
        <f xml:space="preserve"> ROW( data_scaledImpacts[[#This Row],[row_id]] ) - ROW( data_scaledImpacts[[#Headers],[row_id]] )</f>
        <v>2947</v>
      </c>
      <c r="B2948" s="41" t="str">
        <f xml:space="preserve"> _xlfn.TEXTJOIN( "", , data_scaledImpacts[[#This Row],[sector]:[impactType]] )</f>
        <v>CILExtremeTempCanESM26high CI</v>
      </c>
      <c r="C2948" s="33" t="s">
        <v>1154</v>
      </c>
      <c r="D2948" s="33" t="s">
        <v>0</v>
      </c>
      <c r="E2948" s="34">
        <v>6</v>
      </c>
      <c r="F2948" s="34"/>
      <c r="G2948" s="34" t="s">
        <v>1253</v>
      </c>
      <c r="H2948" s="35"/>
      <c r="I2948" s="43" t="s">
        <v>70</v>
      </c>
      <c r="J2948" s="110">
        <v>1.15E-4</v>
      </c>
      <c r="K2948" s="110">
        <v>1.3999999999999999E-4</v>
      </c>
      <c r="L2948" s="110">
        <v>3.1000000000000001E-5</v>
      </c>
      <c r="M2948" s="110">
        <v>9.2799999999999992E-6</v>
      </c>
      <c r="N2948" s="110">
        <v>4.0499999999999998E-4</v>
      </c>
      <c r="O2948" s="110">
        <v>3.6000000000000002E-4</v>
      </c>
      <c r="P2948" s="110">
        <v>2.2000000000000001E-4</v>
      </c>
    </row>
    <row r="2949" spans="1:16" hidden="1" x14ac:dyDescent="0.35">
      <c r="A2949" s="3">
        <f xml:space="preserve"> ROW( data_scaledImpacts[[#This Row],[row_id]] ) - ROW( data_scaledImpacts[[#Headers],[row_id]] )</f>
        <v>2948</v>
      </c>
      <c r="B2949" s="41" t="str">
        <f xml:space="preserve"> _xlfn.TEXTJOIN( "", , data_scaledImpacts[[#This Row],[sector]:[impactType]] )</f>
        <v>CILExtremeTempGFDL-CM36high CI</v>
      </c>
      <c r="C2949" s="33" t="s">
        <v>1154</v>
      </c>
      <c r="D2949" s="33" t="s">
        <v>5</v>
      </c>
      <c r="E2949" s="34">
        <v>6</v>
      </c>
      <c r="F2949" s="34"/>
      <c r="G2949" s="34" t="s">
        <v>1253</v>
      </c>
      <c r="H2949" s="35"/>
      <c r="I2949" s="43" t="s">
        <v>75</v>
      </c>
      <c r="J2949" s="110">
        <v>2.5999999999999998E-4</v>
      </c>
      <c r="K2949" s="110">
        <v>2.32E-4</v>
      </c>
      <c r="L2949" s="110">
        <v>7.4599999999999997E-5</v>
      </c>
      <c r="M2949" s="110">
        <v>4.18E-5</v>
      </c>
      <c r="N2949" s="110">
        <v>5.5699999999999999E-4</v>
      </c>
      <c r="O2949" s="110">
        <v>4.06E-4</v>
      </c>
      <c r="P2949" s="110">
        <v>3.4099999999999999E-4</v>
      </c>
    </row>
    <row r="2950" spans="1:16" hidden="1" x14ac:dyDescent="0.35">
      <c r="A2950" s="3">
        <f xml:space="preserve"> ROW( data_scaledImpacts[[#This Row],[row_id]] ) - ROW( data_scaledImpacts[[#Headers],[row_id]] )</f>
        <v>2949</v>
      </c>
      <c r="B2950" s="41" t="str">
        <f xml:space="preserve"> _xlfn.TEXTJOIN( "", , data_scaledImpacts[[#This Row],[sector]:[impactType]] )</f>
        <v>CILExtremeTempHadGEM2-ES6high CI</v>
      </c>
      <c r="C2950" s="33" t="s">
        <v>1154</v>
      </c>
      <c r="D2950" s="33" t="s">
        <v>3</v>
      </c>
      <c r="E2950" s="34">
        <v>6</v>
      </c>
      <c r="F2950" s="34"/>
      <c r="G2950" s="34" t="s">
        <v>1253</v>
      </c>
      <c r="H2950" s="35"/>
      <c r="I2950" s="43" t="s">
        <v>73</v>
      </c>
      <c r="J2950" s="110">
        <v>8.6299999999999997E-5</v>
      </c>
      <c r="K2950" s="110">
        <v>1.1900000000000001E-4</v>
      </c>
      <c r="L2950" s="110">
        <v>-5.2500000000000002E-5</v>
      </c>
      <c r="M2950" s="110">
        <v>-1.4800000000000001E-5</v>
      </c>
      <c r="N2950" s="110">
        <v>5.2400000000000005E-4</v>
      </c>
      <c r="O2950" s="110">
        <v>4.4200000000000001E-4</v>
      </c>
      <c r="P2950" s="110">
        <v>2.1599999999999999E-4</v>
      </c>
    </row>
    <row r="2951" spans="1:16" hidden="1" x14ac:dyDescent="0.35">
      <c r="A2951" s="3">
        <f xml:space="preserve"> ROW( data_scaledImpacts[[#This Row],[row_id]] ) - ROW( data_scaledImpacts[[#Headers],[row_id]] )</f>
        <v>2950</v>
      </c>
      <c r="B2951" s="41" t="str">
        <f xml:space="preserve"> _xlfn.TEXTJOIN( "", , data_scaledImpacts[[#This Row],[sector]:[impactType]] )</f>
        <v>VibrioCanESM21 N/ADirectMedCost</v>
      </c>
      <c r="C2951" s="33" t="s">
        <v>1301</v>
      </c>
      <c r="D2951" s="33" t="s">
        <v>0</v>
      </c>
      <c r="E2951" s="34">
        <v>1</v>
      </c>
      <c r="F2951" s="34" t="s">
        <v>1306</v>
      </c>
      <c r="G2951" s="34" t="s">
        <v>201</v>
      </c>
      <c r="H2951" s="35" t="s">
        <v>1304</v>
      </c>
      <c r="I2951" s="43"/>
      <c r="J2951" s="96"/>
      <c r="K2951" s="137">
        <v>3436263.3524039299</v>
      </c>
      <c r="L2951" s="37"/>
      <c r="M2951" s="137">
        <v>862748.97297541401</v>
      </c>
      <c r="N2951" s="137">
        <v>5916425.4710204601</v>
      </c>
      <c r="O2951" s="137">
        <v>1079872.9341452499</v>
      </c>
      <c r="P2951" s="137">
        <v>369749.83767418697</v>
      </c>
    </row>
    <row r="2952" spans="1:16" hidden="1" x14ac:dyDescent="0.35">
      <c r="A2952" s="3">
        <f xml:space="preserve"> ROW( data_scaledImpacts[[#This Row],[row_id]] ) - ROW( data_scaledImpacts[[#Headers],[row_id]] )</f>
        <v>2951</v>
      </c>
      <c r="B2952" s="41" t="str">
        <f xml:space="preserve"> _xlfn.TEXTJOIN( "", , data_scaledImpacts[[#This Row],[sector]:[impactType]] )</f>
        <v>VibrioCanESM22 N/ADirectMedCost</v>
      </c>
      <c r="C2952" s="33" t="s">
        <v>1301</v>
      </c>
      <c r="D2952" s="33" t="s">
        <v>0</v>
      </c>
      <c r="E2952" s="34">
        <v>2</v>
      </c>
      <c r="F2952" s="34" t="s">
        <v>1306</v>
      </c>
      <c r="G2952" s="34" t="s">
        <v>201</v>
      </c>
      <c r="H2952" s="35" t="s">
        <v>1304</v>
      </c>
      <c r="I2952" s="43"/>
      <c r="J2952" s="96"/>
      <c r="K2952" s="137">
        <v>6566041.8500841297</v>
      </c>
      <c r="L2952" s="37"/>
      <c r="M2952" s="137">
        <v>1944780.38562912</v>
      </c>
      <c r="N2952" s="137">
        <v>12744863.161929499</v>
      </c>
      <c r="O2952" s="137">
        <v>2304182.7862162502</v>
      </c>
      <c r="P2952" s="137">
        <v>1113705.9136431899</v>
      </c>
    </row>
    <row r="2953" spans="1:16" hidden="1" x14ac:dyDescent="0.35">
      <c r="A2953" s="3">
        <f xml:space="preserve"> ROW( data_scaledImpacts[[#This Row],[row_id]] ) - ROW( data_scaledImpacts[[#Headers],[row_id]] )</f>
        <v>2952</v>
      </c>
      <c r="B2953" s="41" t="str">
        <f xml:space="preserve"> _xlfn.TEXTJOIN( "", , data_scaledImpacts[[#This Row],[sector]:[impactType]] )</f>
        <v>VibrioCanESM23 N/ADirectMedCost</v>
      </c>
      <c r="C2953" s="33" t="s">
        <v>1301</v>
      </c>
      <c r="D2953" s="33" t="s">
        <v>0</v>
      </c>
      <c r="E2953" s="34">
        <v>3</v>
      </c>
      <c r="F2953" s="34" t="s">
        <v>1306</v>
      </c>
      <c r="G2953" s="34" t="s">
        <v>201</v>
      </c>
      <c r="H2953" s="35" t="s">
        <v>1304</v>
      </c>
      <c r="I2953" s="43"/>
      <c r="J2953" s="96"/>
      <c r="K2953" s="137">
        <v>9754348.8272724207</v>
      </c>
      <c r="L2953" s="37"/>
      <c r="M2953" s="137">
        <v>3600449.2212239699</v>
      </c>
      <c r="N2953" s="137">
        <v>18703649.247012801</v>
      </c>
      <c r="O2953" s="137">
        <v>3624965.2822644399</v>
      </c>
      <c r="P2953" s="137">
        <v>1721559.37380764</v>
      </c>
    </row>
    <row r="2954" spans="1:16" hidden="1" x14ac:dyDescent="0.35">
      <c r="A2954" s="3">
        <f xml:space="preserve"> ROW( data_scaledImpacts[[#This Row],[row_id]] ) - ROW( data_scaledImpacts[[#Headers],[row_id]] )</f>
        <v>2953</v>
      </c>
      <c r="B2954" s="41" t="str">
        <f xml:space="preserve"> _xlfn.TEXTJOIN( "", , data_scaledImpacts[[#This Row],[sector]:[impactType]] )</f>
        <v>VibrioCanESM24 N/ADirectMedCost</v>
      </c>
      <c r="C2954" s="33" t="s">
        <v>1301</v>
      </c>
      <c r="D2954" s="33" t="s">
        <v>0</v>
      </c>
      <c r="E2954" s="34">
        <v>4</v>
      </c>
      <c r="F2954" s="34" t="s">
        <v>1306</v>
      </c>
      <c r="G2954" s="34" t="s">
        <v>201</v>
      </c>
      <c r="H2954" s="35" t="s">
        <v>1304</v>
      </c>
      <c r="I2954" s="43"/>
      <c r="J2954" s="96"/>
      <c r="K2954" s="137">
        <v>14363197.183434</v>
      </c>
      <c r="L2954" s="37"/>
      <c r="M2954" s="137">
        <v>5610836.5822464004</v>
      </c>
      <c r="N2954" s="137">
        <v>26210029.5173981</v>
      </c>
      <c r="O2954" s="137">
        <v>5243811.1086067604</v>
      </c>
      <c r="P2954" s="137">
        <v>2737883.5621397099</v>
      </c>
    </row>
    <row r="2955" spans="1:16" hidden="1" x14ac:dyDescent="0.35">
      <c r="A2955" s="3">
        <f xml:space="preserve"> ROW( data_scaledImpacts[[#This Row],[row_id]] ) - ROW( data_scaledImpacts[[#Headers],[row_id]] )</f>
        <v>2954</v>
      </c>
      <c r="B2955" s="41" t="str">
        <f xml:space="preserve"> _xlfn.TEXTJOIN( "", , data_scaledImpacts[[#This Row],[sector]:[impactType]] )</f>
        <v>VibrioCanESM25 N/ADirectMedCost</v>
      </c>
      <c r="C2955" s="33" t="s">
        <v>1301</v>
      </c>
      <c r="D2955" s="33" t="s">
        <v>0</v>
      </c>
      <c r="E2955" s="34">
        <v>5</v>
      </c>
      <c r="F2955" s="34" t="s">
        <v>1306</v>
      </c>
      <c r="G2955" s="34" t="s">
        <v>201</v>
      </c>
      <c r="H2955" s="35" t="s">
        <v>1304</v>
      </c>
      <c r="I2955" s="43"/>
      <c r="J2955" s="96"/>
      <c r="K2955" s="137">
        <v>19020150.730946399</v>
      </c>
      <c r="L2955" s="37"/>
      <c r="M2955" s="137">
        <v>7702940.1901535699</v>
      </c>
      <c r="N2955" s="137">
        <v>32962510.9836195</v>
      </c>
      <c r="O2955" s="137">
        <v>6223158.1524196202</v>
      </c>
      <c r="P2955" s="137">
        <v>3706292.6299710702</v>
      </c>
    </row>
    <row r="2956" spans="1:16" hidden="1" x14ac:dyDescent="0.35">
      <c r="A2956" s="3">
        <f xml:space="preserve"> ROW( data_scaledImpacts[[#This Row],[row_id]] ) - ROW( data_scaledImpacts[[#Headers],[row_id]] )</f>
        <v>2955</v>
      </c>
      <c r="B2956" s="41" t="str">
        <f xml:space="preserve"> _xlfn.TEXTJOIN( "", , data_scaledImpacts[[#This Row],[sector]:[impactType]] )</f>
        <v>VibrioCanESM26 N/ADirectMedCost</v>
      </c>
      <c r="C2956" s="33" t="s">
        <v>1301</v>
      </c>
      <c r="D2956" s="33" t="s">
        <v>0</v>
      </c>
      <c r="E2956" s="34">
        <v>6</v>
      </c>
      <c r="F2956" s="34" t="s">
        <v>1306</v>
      </c>
      <c r="G2956" s="34" t="s">
        <v>201</v>
      </c>
      <c r="H2956" s="35" t="s">
        <v>1304</v>
      </c>
      <c r="I2956" s="43"/>
      <c r="J2956" s="96"/>
      <c r="K2956" s="137">
        <v>24902263.230805401</v>
      </c>
      <c r="L2956" s="37"/>
      <c r="M2956" s="137">
        <v>10282924.404931501</v>
      </c>
      <c r="N2956" s="137">
        <v>43627135.265875898</v>
      </c>
      <c r="O2956" s="137">
        <v>8403938.8352232296</v>
      </c>
      <c r="P2956" s="137">
        <v>5102669.55596611</v>
      </c>
    </row>
    <row r="2957" spans="1:16" hidden="1" x14ac:dyDescent="0.35">
      <c r="A2957" s="3">
        <f xml:space="preserve"> ROW( data_scaledImpacts[[#This Row],[row_id]] ) - ROW( data_scaledImpacts[[#Headers],[row_id]] )</f>
        <v>2956</v>
      </c>
      <c r="B2957" s="41" t="str">
        <f xml:space="preserve"> _xlfn.TEXTJOIN( "", , data_scaledImpacts[[#This Row],[sector]:[impactType]] )</f>
        <v>VibrioCCSM41 N/ADirectMedCost</v>
      </c>
      <c r="C2957" s="33" t="s">
        <v>1301</v>
      </c>
      <c r="D2957" s="33" t="s">
        <v>1</v>
      </c>
      <c r="E2957" s="34">
        <v>1</v>
      </c>
      <c r="F2957" s="34" t="s">
        <v>1306</v>
      </c>
      <c r="G2957" s="34" t="s">
        <v>201</v>
      </c>
      <c r="H2957" s="35" t="s">
        <v>1304</v>
      </c>
      <c r="I2957" s="43"/>
      <c r="J2957" s="96"/>
      <c r="K2957" s="137">
        <v>2066815.90602982</v>
      </c>
      <c r="L2957" s="37"/>
      <c r="M2957" s="137">
        <v>558335.96431618405</v>
      </c>
      <c r="N2957" s="137">
        <v>4616870.4106066301</v>
      </c>
      <c r="O2957" s="137">
        <v>1097247.76283822</v>
      </c>
      <c r="P2957" s="137">
        <v>364900.17367181397</v>
      </c>
    </row>
    <row r="2958" spans="1:16" hidden="1" x14ac:dyDescent="0.35">
      <c r="A2958" s="3">
        <f xml:space="preserve"> ROW( data_scaledImpacts[[#This Row],[row_id]] ) - ROW( data_scaledImpacts[[#Headers],[row_id]] )</f>
        <v>2957</v>
      </c>
      <c r="B2958" s="41" t="str">
        <f xml:space="preserve"> _xlfn.TEXTJOIN( "", , data_scaledImpacts[[#This Row],[sector]:[impactType]] )</f>
        <v>VibrioCCSM42 N/ADirectMedCost</v>
      </c>
      <c r="C2958" s="33" t="s">
        <v>1301</v>
      </c>
      <c r="D2958" s="33" t="s">
        <v>1</v>
      </c>
      <c r="E2958" s="34">
        <v>2</v>
      </c>
      <c r="F2958" s="34" t="s">
        <v>1306</v>
      </c>
      <c r="G2958" s="34" t="s">
        <v>201</v>
      </c>
      <c r="H2958" s="35" t="s">
        <v>1304</v>
      </c>
      <c r="I2958" s="43"/>
      <c r="J2958" s="96"/>
      <c r="K2958" s="137">
        <v>4458951.1352621997</v>
      </c>
      <c r="L2958" s="37"/>
      <c r="M2958" s="137">
        <v>1305027.0480182001</v>
      </c>
      <c r="N2958" s="137">
        <v>9789827.5255126506</v>
      </c>
      <c r="O2958" s="137">
        <v>1969237.17356932</v>
      </c>
      <c r="P2958" s="137">
        <v>831242.33475712396</v>
      </c>
    </row>
    <row r="2959" spans="1:16" hidden="1" x14ac:dyDescent="0.35">
      <c r="A2959" s="3">
        <f xml:space="preserve"> ROW( data_scaledImpacts[[#This Row],[row_id]] ) - ROW( data_scaledImpacts[[#Headers],[row_id]] )</f>
        <v>2958</v>
      </c>
      <c r="B2959" s="41" t="str">
        <f xml:space="preserve"> _xlfn.TEXTJOIN( "", , data_scaledImpacts[[#This Row],[sector]:[impactType]] )</f>
        <v>VibrioCCSM43 N/ADirectMedCost</v>
      </c>
      <c r="C2959" s="33" t="s">
        <v>1301</v>
      </c>
      <c r="D2959" s="33" t="s">
        <v>1</v>
      </c>
      <c r="E2959" s="34">
        <v>3</v>
      </c>
      <c r="F2959" s="34" t="s">
        <v>1306</v>
      </c>
      <c r="G2959" s="34" t="s">
        <v>201</v>
      </c>
      <c r="H2959" s="35" t="s">
        <v>1304</v>
      </c>
      <c r="I2959" s="43"/>
      <c r="J2959" s="96"/>
      <c r="K2959" s="137">
        <v>7972354.9104378195</v>
      </c>
      <c r="L2959" s="37"/>
      <c r="M2959" s="137">
        <v>2460408.3749654</v>
      </c>
      <c r="N2959" s="137">
        <v>17655478.6611026</v>
      </c>
      <c r="O2959" s="137">
        <v>3582712.6554999701</v>
      </c>
      <c r="P2959" s="137">
        <v>1234648.5841280001</v>
      </c>
    </row>
    <row r="2960" spans="1:16" hidden="1" x14ac:dyDescent="0.35">
      <c r="A2960" s="3">
        <f xml:space="preserve"> ROW( data_scaledImpacts[[#This Row],[row_id]] ) - ROW( data_scaledImpacts[[#Headers],[row_id]] )</f>
        <v>2959</v>
      </c>
      <c r="B2960" s="41" t="str">
        <f xml:space="preserve"> _xlfn.TEXTJOIN( "", , data_scaledImpacts[[#This Row],[sector]:[impactType]] )</f>
        <v>VibrioCCSM44 N/ADirectMedCost</v>
      </c>
      <c r="C2960" s="33" t="s">
        <v>1301</v>
      </c>
      <c r="D2960" s="33" t="s">
        <v>1</v>
      </c>
      <c r="E2960" s="34">
        <v>4</v>
      </c>
      <c r="F2960" s="34" t="s">
        <v>1306</v>
      </c>
      <c r="G2960" s="34" t="s">
        <v>201</v>
      </c>
      <c r="H2960" s="35" t="s">
        <v>1304</v>
      </c>
      <c r="I2960" s="43"/>
      <c r="J2960" s="96"/>
      <c r="K2960" s="137">
        <v>10824504.9031025</v>
      </c>
      <c r="L2960" s="37"/>
      <c r="M2960" s="137">
        <v>4038617.3477854598</v>
      </c>
      <c r="N2960" s="137">
        <v>23605924.012229901</v>
      </c>
      <c r="O2960" s="137">
        <v>4644622.2973663798</v>
      </c>
      <c r="P2960" s="137">
        <v>2118859.40486984</v>
      </c>
    </row>
    <row r="2961" spans="1:16" hidden="1" x14ac:dyDescent="0.35">
      <c r="A2961" s="3">
        <f xml:space="preserve"> ROW( data_scaledImpacts[[#This Row],[row_id]] ) - ROW( data_scaledImpacts[[#Headers],[row_id]] )</f>
        <v>2960</v>
      </c>
      <c r="B2961" s="41" t="str">
        <f xml:space="preserve"> _xlfn.TEXTJOIN( "", , data_scaledImpacts[[#This Row],[sector]:[impactType]] )</f>
        <v>VibrioCCSM45 N/ADirectMedCost</v>
      </c>
      <c r="C2961" s="33" t="s">
        <v>1301</v>
      </c>
      <c r="D2961" s="33" t="s">
        <v>1</v>
      </c>
      <c r="E2961" s="34">
        <v>5</v>
      </c>
      <c r="F2961" s="34" t="s">
        <v>1306</v>
      </c>
      <c r="G2961" s="34" t="s">
        <v>201</v>
      </c>
      <c r="H2961" s="35" t="s">
        <v>1304</v>
      </c>
      <c r="I2961" s="43"/>
      <c r="J2961" s="96"/>
      <c r="K2961" s="137">
        <v>14392021.592558</v>
      </c>
      <c r="L2961" s="37"/>
      <c r="M2961" s="137">
        <v>4850301.95867771</v>
      </c>
      <c r="N2961" s="137">
        <v>33261135.0457597</v>
      </c>
      <c r="O2961" s="137">
        <v>6929649.7534910403</v>
      </c>
      <c r="P2961" s="137">
        <v>2271375.43830592</v>
      </c>
    </row>
    <row r="2962" spans="1:16" hidden="1" x14ac:dyDescent="0.35">
      <c r="A2962" s="3">
        <f xml:space="preserve"> ROW( data_scaledImpacts[[#This Row],[row_id]] ) - ROW( data_scaledImpacts[[#Headers],[row_id]] )</f>
        <v>2961</v>
      </c>
      <c r="B2962" s="41" t="str">
        <f xml:space="preserve"> _xlfn.TEXTJOIN( "", , data_scaledImpacts[[#This Row],[sector]:[impactType]] )</f>
        <v>VibrioGFDL-CM31 N/ADirectMedCost</v>
      </c>
      <c r="C2962" s="33" t="s">
        <v>1301</v>
      </c>
      <c r="D2962" s="33" t="s">
        <v>5</v>
      </c>
      <c r="E2962" s="34">
        <v>1</v>
      </c>
      <c r="F2962" s="34" t="s">
        <v>1306</v>
      </c>
      <c r="G2962" s="34" t="s">
        <v>201</v>
      </c>
      <c r="H2962" s="35" t="s">
        <v>1304</v>
      </c>
      <c r="I2962" s="43"/>
      <c r="J2962" s="96"/>
      <c r="K2962" s="137">
        <v>3783161.5292663099</v>
      </c>
      <c r="L2962" s="37"/>
      <c r="M2962" s="137">
        <v>595473.58182424796</v>
      </c>
      <c r="N2962" s="137">
        <v>7422465.9902561298</v>
      </c>
      <c r="O2962" s="137">
        <v>1623316.55407964</v>
      </c>
      <c r="P2962" s="137">
        <v>381948.00566097302</v>
      </c>
    </row>
    <row r="2963" spans="1:16" hidden="1" x14ac:dyDescent="0.35">
      <c r="A2963" s="3">
        <f xml:space="preserve"> ROW( data_scaledImpacts[[#This Row],[row_id]] ) - ROW( data_scaledImpacts[[#Headers],[row_id]] )</f>
        <v>2962</v>
      </c>
      <c r="B2963" s="41" t="str">
        <f xml:space="preserve"> _xlfn.TEXTJOIN( "", , data_scaledImpacts[[#This Row],[sector]:[impactType]] )</f>
        <v>VibrioGFDL-CM32 N/ADirectMedCost</v>
      </c>
      <c r="C2963" s="33" t="s">
        <v>1301</v>
      </c>
      <c r="D2963" s="33" t="s">
        <v>5</v>
      </c>
      <c r="E2963" s="34">
        <v>2</v>
      </c>
      <c r="F2963" s="34" t="s">
        <v>1306</v>
      </c>
      <c r="G2963" s="34" t="s">
        <v>201</v>
      </c>
      <c r="H2963" s="35" t="s">
        <v>1304</v>
      </c>
      <c r="I2963" s="43"/>
      <c r="J2963" s="96"/>
      <c r="K2963" s="137">
        <v>6499402.5473907404</v>
      </c>
      <c r="L2963" s="37"/>
      <c r="M2963" s="137">
        <v>1429523.3586044</v>
      </c>
      <c r="N2963" s="137">
        <v>14422425.1557086</v>
      </c>
      <c r="O2963" s="137">
        <v>3086498.8548976802</v>
      </c>
      <c r="P2963" s="137">
        <v>829160.08463198296</v>
      </c>
    </row>
    <row r="2964" spans="1:16" hidden="1" x14ac:dyDescent="0.35">
      <c r="A2964" s="3">
        <f xml:space="preserve"> ROW( data_scaledImpacts[[#This Row],[row_id]] ) - ROW( data_scaledImpacts[[#Headers],[row_id]] )</f>
        <v>2963</v>
      </c>
      <c r="B2964" s="41" t="str">
        <f xml:space="preserve"> _xlfn.TEXTJOIN( "", , data_scaledImpacts[[#This Row],[sector]:[impactType]] )</f>
        <v>VibrioGFDL-CM33 N/ADirectMedCost</v>
      </c>
      <c r="C2964" s="33" t="s">
        <v>1301</v>
      </c>
      <c r="D2964" s="33" t="s">
        <v>5</v>
      </c>
      <c r="E2964" s="34">
        <v>3</v>
      </c>
      <c r="F2964" s="34" t="s">
        <v>1306</v>
      </c>
      <c r="G2964" s="34" t="s">
        <v>201</v>
      </c>
      <c r="H2964" s="35" t="s">
        <v>1304</v>
      </c>
      <c r="I2964" s="43"/>
      <c r="J2964" s="96"/>
      <c r="K2964" s="137">
        <v>11219938.837545101</v>
      </c>
      <c r="L2964" s="37"/>
      <c r="M2964" s="137">
        <v>2809214.44972341</v>
      </c>
      <c r="N2964" s="137">
        <v>21894058.040005501</v>
      </c>
      <c r="O2964" s="137">
        <v>4772118.5744826403</v>
      </c>
      <c r="P2964" s="137">
        <v>1587288.5728680999</v>
      </c>
    </row>
    <row r="2965" spans="1:16" hidden="1" x14ac:dyDescent="0.35">
      <c r="A2965" s="3">
        <f xml:space="preserve"> ROW( data_scaledImpacts[[#This Row],[row_id]] ) - ROW( data_scaledImpacts[[#Headers],[row_id]] )</f>
        <v>2964</v>
      </c>
      <c r="B2965" s="41" t="str">
        <f xml:space="preserve"> _xlfn.TEXTJOIN( "", , data_scaledImpacts[[#This Row],[sector]:[impactType]] )</f>
        <v>VibrioGFDL-CM34 N/ADirectMedCost</v>
      </c>
      <c r="C2965" s="33" t="s">
        <v>1301</v>
      </c>
      <c r="D2965" s="33" t="s">
        <v>5</v>
      </c>
      <c r="E2965" s="34">
        <v>4</v>
      </c>
      <c r="F2965" s="34" t="s">
        <v>1306</v>
      </c>
      <c r="G2965" s="34" t="s">
        <v>201</v>
      </c>
      <c r="H2965" s="35" t="s">
        <v>1304</v>
      </c>
      <c r="I2965" s="43"/>
      <c r="J2965" s="96"/>
      <c r="K2965" s="137">
        <v>15739635.7291342</v>
      </c>
      <c r="L2965" s="37"/>
      <c r="M2965" s="137">
        <v>3869350.42823717</v>
      </c>
      <c r="N2965" s="137">
        <v>31267474.696778499</v>
      </c>
      <c r="O2965" s="137">
        <v>6524226.8604180804</v>
      </c>
      <c r="P2965" s="137">
        <v>2290085.6918294202</v>
      </c>
    </row>
    <row r="2966" spans="1:16" hidden="1" x14ac:dyDescent="0.35">
      <c r="A2966" s="3">
        <f xml:space="preserve"> ROW( data_scaledImpacts[[#This Row],[row_id]] ) - ROW( data_scaledImpacts[[#Headers],[row_id]] )</f>
        <v>2965</v>
      </c>
      <c r="B2966" s="41" t="str">
        <f xml:space="preserve"> _xlfn.TEXTJOIN( "", , data_scaledImpacts[[#This Row],[sector]:[impactType]] )</f>
        <v>VibrioGFDL-CM35 N/ADirectMedCost</v>
      </c>
      <c r="C2966" s="33" t="s">
        <v>1301</v>
      </c>
      <c r="D2966" s="33" t="s">
        <v>5</v>
      </c>
      <c r="E2966" s="34">
        <v>5</v>
      </c>
      <c r="F2966" s="34" t="s">
        <v>1306</v>
      </c>
      <c r="G2966" s="34" t="s">
        <v>201</v>
      </c>
      <c r="H2966" s="35" t="s">
        <v>1304</v>
      </c>
      <c r="I2966" s="43"/>
      <c r="J2966" s="96"/>
      <c r="K2966" s="137">
        <v>18853487.6145663</v>
      </c>
      <c r="L2966" s="37"/>
      <c r="M2966" s="137">
        <v>4371678.8035905398</v>
      </c>
      <c r="N2966" s="137">
        <v>38169588.396118097</v>
      </c>
      <c r="O2966" s="137">
        <v>7785391.3459142502</v>
      </c>
      <c r="P2966" s="137">
        <v>2853859.24830114</v>
      </c>
    </row>
    <row r="2967" spans="1:16" hidden="1" x14ac:dyDescent="0.35">
      <c r="A2967" s="3">
        <f xml:space="preserve"> ROW( data_scaledImpacts[[#This Row],[row_id]] ) - ROW( data_scaledImpacts[[#Headers],[row_id]] )</f>
        <v>2966</v>
      </c>
      <c r="B2967" s="41" t="str">
        <f xml:space="preserve"> _xlfn.TEXTJOIN( "", , data_scaledImpacts[[#This Row],[sector]:[impactType]] )</f>
        <v>VibrioGFDL-CM36 N/ADirectMedCost</v>
      </c>
      <c r="C2967" s="33" t="s">
        <v>1301</v>
      </c>
      <c r="D2967" s="33" t="s">
        <v>5</v>
      </c>
      <c r="E2967" s="34">
        <v>6</v>
      </c>
      <c r="F2967" s="34" t="s">
        <v>1306</v>
      </c>
      <c r="G2967" s="34" t="s">
        <v>201</v>
      </c>
      <c r="H2967" s="35" t="s">
        <v>1304</v>
      </c>
      <c r="I2967" s="43"/>
      <c r="J2967" s="96"/>
      <c r="K2967" s="137">
        <v>25590306.0987183</v>
      </c>
      <c r="L2967" s="37"/>
      <c r="M2967" s="137">
        <v>6789920.5256195301</v>
      </c>
      <c r="N2967" s="137">
        <v>49808669.826200299</v>
      </c>
      <c r="O2967" s="137">
        <v>10385509.027238101</v>
      </c>
      <c r="P2967" s="137">
        <v>3848391.8436601199</v>
      </c>
    </row>
    <row r="2968" spans="1:16" hidden="1" x14ac:dyDescent="0.35">
      <c r="A2968" s="3">
        <f xml:space="preserve"> ROW( data_scaledImpacts[[#This Row],[row_id]] ) - ROW( data_scaledImpacts[[#Headers],[row_id]] )</f>
        <v>2967</v>
      </c>
      <c r="B2968" s="41" t="str">
        <f xml:space="preserve"> _xlfn.TEXTJOIN( "", , data_scaledImpacts[[#This Row],[sector]:[impactType]] )</f>
        <v>VibrioGISS-E2-R1 N/ADirectMedCost</v>
      </c>
      <c r="C2968" s="33" t="s">
        <v>1301</v>
      </c>
      <c r="D2968" s="33" t="s">
        <v>2</v>
      </c>
      <c r="E2968" s="34">
        <v>1</v>
      </c>
      <c r="F2968" s="34" t="s">
        <v>1306</v>
      </c>
      <c r="G2968" s="34" t="s">
        <v>201</v>
      </c>
      <c r="H2968" s="35" t="s">
        <v>1304</v>
      </c>
      <c r="I2968" s="43"/>
      <c r="J2968" s="96"/>
      <c r="K2968" s="137">
        <v>2733138.1094575399</v>
      </c>
      <c r="L2968" s="37"/>
      <c r="M2968" s="137">
        <v>745192.50268066803</v>
      </c>
      <c r="N2968" s="137">
        <v>6016047.1492907899</v>
      </c>
      <c r="O2968" s="137">
        <v>1133824.0178334999</v>
      </c>
      <c r="P2968" s="137">
        <v>411711.06102785002</v>
      </c>
    </row>
    <row r="2969" spans="1:16" hidden="1" x14ac:dyDescent="0.35">
      <c r="A2969" s="3">
        <f xml:space="preserve"> ROW( data_scaledImpacts[[#This Row],[row_id]] ) - ROW( data_scaledImpacts[[#Headers],[row_id]] )</f>
        <v>2968</v>
      </c>
      <c r="B2969" s="41" t="str">
        <f xml:space="preserve"> _xlfn.TEXTJOIN( "", , data_scaledImpacts[[#This Row],[sector]:[impactType]] )</f>
        <v>VibrioGISS-E2-R2 N/ADirectMedCost</v>
      </c>
      <c r="C2969" s="33" t="s">
        <v>1301</v>
      </c>
      <c r="D2969" s="33" t="s">
        <v>2</v>
      </c>
      <c r="E2969" s="34">
        <v>2</v>
      </c>
      <c r="F2969" s="34" t="s">
        <v>1306</v>
      </c>
      <c r="G2969" s="34" t="s">
        <v>201</v>
      </c>
      <c r="H2969" s="35" t="s">
        <v>1304</v>
      </c>
      <c r="I2969" s="43"/>
      <c r="J2969" s="96"/>
      <c r="K2969" s="137">
        <v>4435065.0306944204</v>
      </c>
      <c r="L2969" s="37"/>
      <c r="M2969" s="137">
        <v>1507043.2164984499</v>
      </c>
      <c r="N2969" s="137">
        <v>13140662.9696144</v>
      </c>
      <c r="O2969" s="137">
        <v>2352026.4743684502</v>
      </c>
      <c r="P2969" s="137">
        <v>977616.52139633102</v>
      </c>
    </row>
    <row r="2970" spans="1:16" hidden="1" x14ac:dyDescent="0.35">
      <c r="A2970" s="3">
        <f xml:space="preserve"> ROW( data_scaledImpacts[[#This Row],[row_id]] ) - ROW( data_scaledImpacts[[#Headers],[row_id]] )</f>
        <v>2969</v>
      </c>
      <c r="B2970" s="41" t="str">
        <f xml:space="preserve"> _xlfn.TEXTJOIN( "", , data_scaledImpacts[[#This Row],[sector]:[impactType]] )</f>
        <v>VibrioGISS-E2-R3 N/ADirectMedCost</v>
      </c>
      <c r="C2970" s="33" t="s">
        <v>1301</v>
      </c>
      <c r="D2970" s="33" t="s">
        <v>2</v>
      </c>
      <c r="E2970" s="34">
        <v>3</v>
      </c>
      <c r="F2970" s="34" t="s">
        <v>1306</v>
      </c>
      <c r="G2970" s="34" t="s">
        <v>201</v>
      </c>
      <c r="H2970" s="35" t="s">
        <v>1304</v>
      </c>
      <c r="I2970" s="43"/>
      <c r="J2970" s="96"/>
      <c r="K2970" s="137">
        <v>9044093.5099753495</v>
      </c>
      <c r="L2970" s="37"/>
      <c r="M2970" s="137">
        <v>2006110.01308701</v>
      </c>
      <c r="N2970" s="137">
        <v>21148448.162994701</v>
      </c>
      <c r="O2970" s="137">
        <v>3584027.8031563</v>
      </c>
      <c r="P2970" s="137">
        <v>1470218.7400895399</v>
      </c>
    </row>
    <row r="2971" spans="1:16" hidden="1" x14ac:dyDescent="0.35">
      <c r="A2971" s="3">
        <f xml:space="preserve"> ROW( data_scaledImpacts[[#This Row],[row_id]] ) - ROW( data_scaledImpacts[[#Headers],[row_id]] )</f>
        <v>2970</v>
      </c>
      <c r="B2971" s="41" t="str">
        <f xml:space="preserve"> _xlfn.TEXTJOIN( "", , data_scaledImpacts[[#This Row],[sector]:[impactType]] )</f>
        <v>VibrioHadGEM2-ES1 N/ADirectMedCost</v>
      </c>
      <c r="C2971" s="33" t="s">
        <v>1301</v>
      </c>
      <c r="D2971" s="33" t="s">
        <v>3</v>
      </c>
      <c r="E2971" s="34">
        <v>1</v>
      </c>
      <c r="F2971" s="34" t="s">
        <v>1306</v>
      </c>
      <c r="G2971" s="34" t="s">
        <v>201</v>
      </c>
      <c r="H2971" s="35" t="s">
        <v>1304</v>
      </c>
      <c r="I2971" s="43"/>
      <c r="J2971" s="96"/>
      <c r="K2971" s="137">
        <v>2478947.1614024001</v>
      </c>
      <c r="L2971" s="37"/>
      <c r="M2971" s="137">
        <v>983729.90796467406</v>
      </c>
      <c r="N2971" s="137">
        <v>8296568.3820345197</v>
      </c>
      <c r="O2971" s="137">
        <v>1293236.79470516</v>
      </c>
      <c r="P2971" s="137">
        <v>264449.32250485203</v>
      </c>
    </row>
    <row r="2972" spans="1:16" hidden="1" x14ac:dyDescent="0.35">
      <c r="A2972" s="3">
        <f xml:space="preserve"> ROW( data_scaledImpacts[[#This Row],[row_id]] ) - ROW( data_scaledImpacts[[#Headers],[row_id]] )</f>
        <v>2971</v>
      </c>
      <c r="B2972" s="41" t="str">
        <f xml:space="preserve"> _xlfn.TEXTJOIN( "", , data_scaledImpacts[[#This Row],[sector]:[impactType]] )</f>
        <v>VibrioHadGEM2-ES2 N/ADirectMedCost</v>
      </c>
      <c r="C2972" s="33" t="s">
        <v>1301</v>
      </c>
      <c r="D2972" s="33" t="s">
        <v>3</v>
      </c>
      <c r="E2972" s="34">
        <v>2</v>
      </c>
      <c r="F2972" s="34" t="s">
        <v>1306</v>
      </c>
      <c r="G2972" s="34" t="s">
        <v>201</v>
      </c>
      <c r="H2972" s="35" t="s">
        <v>1304</v>
      </c>
      <c r="I2972" s="43"/>
      <c r="J2972" s="96"/>
      <c r="K2972" s="137">
        <v>5226084.7190372804</v>
      </c>
      <c r="L2972" s="37"/>
      <c r="M2972" s="137">
        <v>1597502.86447903</v>
      </c>
      <c r="N2972" s="137">
        <v>13202171.4104647</v>
      </c>
      <c r="O2972" s="137">
        <v>2739849.55090502</v>
      </c>
      <c r="P2972" s="137">
        <v>749824.26325191697</v>
      </c>
    </row>
    <row r="2973" spans="1:16" hidden="1" x14ac:dyDescent="0.35">
      <c r="A2973" s="3">
        <f xml:space="preserve"> ROW( data_scaledImpacts[[#This Row],[row_id]] ) - ROW( data_scaledImpacts[[#Headers],[row_id]] )</f>
        <v>2972</v>
      </c>
      <c r="B2973" s="41" t="str">
        <f xml:space="preserve"> _xlfn.TEXTJOIN( "", , data_scaledImpacts[[#This Row],[sector]:[impactType]] )</f>
        <v>VibrioHadGEM2-ES3 N/ADirectMedCost</v>
      </c>
      <c r="C2973" s="33" t="s">
        <v>1301</v>
      </c>
      <c r="D2973" s="33" t="s">
        <v>3</v>
      </c>
      <c r="E2973" s="34">
        <v>3</v>
      </c>
      <c r="F2973" s="34" t="s">
        <v>1306</v>
      </c>
      <c r="G2973" s="34" t="s">
        <v>201</v>
      </c>
      <c r="H2973" s="35" t="s">
        <v>1304</v>
      </c>
      <c r="I2973" s="43"/>
      <c r="J2973" s="96"/>
      <c r="K2973" s="137">
        <v>8388426.5660332004</v>
      </c>
      <c r="L2973" s="37"/>
      <c r="M2973" s="137">
        <v>2377978.2186566899</v>
      </c>
      <c r="N2973" s="137">
        <v>20684149.4931584</v>
      </c>
      <c r="O2973" s="137">
        <v>3678073.22720765</v>
      </c>
      <c r="P2973" s="137">
        <v>1185585.33095212</v>
      </c>
    </row>
    <row r="2974" spans="1:16" hidden="1" x14ac:dyDescent="0.35">
      <c r="A2974" s="3">
        <f xml:space="preserve"> ROW( data_scaledImpacts[[#This Row],[row_id]] ) - ROW( data_scaledImpacts[[#Headers],[row_id]] )</f>
        <v>2973</v>
      </c>
      <c r="B2974" s="41" t="str">
        <f xml:space="preserve"> _xlfn.TEXTJOIN( "", , data_scaledImpacts[[#This Row],[sector]:[impactType]] )</f>
        <v>VibrioHadGEM2-ES4 N/ADirectMedCost</v>
      </c>
      <c r="C2974" s="33" t="s">
        <v>1301</v>
      </c>
      <c r="D2974" s="33" t="s">
        <v>3</v>
      </c>
      <c r="E2974" s="34">
        <v>4</v>
      </c>
      <c r="F2974" s="34" t="s">
        <v>1306</v>
      </c>
      <c r="G2974" s="34" t="s">
        <v>201</v>
      </c>
      <c r="H2974" s="35" t="s">
        <v>1304</v>
      </c>
      <c r="I2974" s="43"/>
      <c r="J2974" s="96"/>
      <c r="K2974" s="137">
        <v>12022708.7084415</v>
      </c>
      <c r="L2974" s="37"/>
      <c r="M2974" s="137">
        <v>4104108.1865548301</v>
      </c>
      <c r="N2974" s="137">
        <v>27121168.3414606</v>
      </c>
      <c r="O2974" s="137">
        <v>4807918.8600639096</v>
      </c>
      <c r="P2974" s="137">
        <v>2177506.1635091002</v>
      </c>
    </row>
    <row r="2975" spans="1:16" hidden="1" x14ac:dyDescent="0.35">
      <c r="A2975" s="3">
        <f xml:space="preserve"> ROW( data_scaledImpacts[[#This Row],[row_id]] ) - ROW( data_scaledImpacts[[#Headers],[row_id]] )</f>
        <v>2974</v>
      </c>
      <c r="B2975" s="41" t="str">
        <f xml:space="preserve"> _xlfn.TEXTJOIN( "", , data_scaledImpacts[[#This Row],[sector]:[impactType]] )</f>
        <v>VibrioHadGEM2-ES5 N/ADirectMedCost</v>
      </c>
      <c r="C2975" s="33" t="s">
        <v>1301</v>
      </c>
      <c r="D2975" s="33" t="s">
        <v>3</v>
      </c>
      <c r="E2975" s="34">
        <v>5</v>
      </c>
      <c r="F2975" s="34" t="s">
        <v>1306</v>
      </c>
      <c r="G2975" s="34" t="s">
        <v>201</v>
      </c>
      <c r="H2975" s="35" t="s">
        <v>1304</v>
      </c>
      <c r="I2975" s="43"/>
      <c r="J2975" s="96"/>
      <c r="K2975" s="137">
        <v>16316933.6972229</v>
      </c>
      <c r="L2975" s="37"/>
      <c r="M2975" s="137">
        <v>5813284.7234696997</v>
      </c>
      <c r="N2975" s="137">
        <v>33603332.573935002</v>
      </c>
      <c r="O2975" s="137">
        <v>5782189.7101710802</v>
      </c>
      <c r="P2975" s="137">
        <v>2826747.0300751501</v>
      </c>
    </row>
    <row r="2976" spans="1:16" hidden="1" x14ac:dyDescent="0.35">
      <c r="A2976" s="3">
        <f xml:space="preserve"> ROW( data_scaledImpacts[[#This Row],[row_id]] ) - ROW( data_scaledImpacts[[#Headers],[row_id]] )</f>
        <v>2975</v>
      </c>
      <c r="B2976" s="41" t="str">
        <f xml:space="preserve"> _xlfn.TEXTJOIN( "", , data_scaledImpacts[[#This Row],[sector]:[impactType]] )</f>
        <v>VibrioHadGEM2-ES6 N/ADirectMedCost</v>
      </c>
      <c r="C2976" s="33" t="s">
        <v>1301</v>
      </c>
      <c r="D2976" s="33" t="s">
        <v>3</v>
      </c>
      <c r="E2976" s="34">
        <v>6</v>
      </c>
      <c r="F2976" s="34" t="s">
        <v>1306</v>
      </c>
      <c r="G2976" s="34" t="s">
        <v>201</v>
      </c>
      <c r="H2976" s="35" t="s">
        <v>1304</v>
      </c>
      <c r="I2976" s="43"/>
      <c r="J2976" s="96"/>
      <c r="K2976" s="137">
        <v>22623403.341915801</v>
      </c>
      <c r="L2976" s="37"/>
      <c r="M2976" s="137">
        <v>7642070.5454621101</v>
      </c>
      <c r="N2976" s="137">
        <v>44088002.937737897</v>
      </c>
      <c r="O2976" s="137">
        <v>7570095.4177654302</v>
      </c>
      <c r="P2976" s="137">
        <v>3691256.8218839299</v>
      </c>
    </row>
    <row r="2977" spans="1:16" hidden="1" x14ac:dyDescent="0.35">
      <c r="A2977" s="3">
        <f xml:space="preserve"> ROW( data_scaledImpacts[[#This Row],[row_id]] ) - ROW( data_scaledImpacts[[#Headers],[row_id]] )</f>
        <v>2976</v>
      </c>
      <c r="B2977" s="41" t="str">
        <f xml:space="preserve"> _xlfn.TEXTJOIN( "", , data_scaledImpacts[[#This Row],[sector]:[impactType]] )</f>
        <v>VibrioMIROC51 N/ADirectMedCost</v>
      </c>
      <c r="C2977" s="33" t="s">
        <v>1301</v>
      </c>
      <c r="D2977" s="33" t="s">
        <v>4</v>
      </c>
      <c r="E2977" s="34">
        <v>1</v>
      </c>
      <c r="F2977" s="34" t="s">
        <v>1306</v>
      </c>
      <c r="G2977" s="34" t="s">
        <v>201</v>
      </c>
      <c r="H2977" s="35" t="s">
        <v>1304</v>
      </c>
      <c r="I2977" s="43"/>
      <c r="J2977" s="96"/>
      <c r="K2977" s="137">
        <v>1705129.2503648601</v>
      </c>
      <c r="L2977" s="37"/>
      <c r="M2977" s="137">
        <v>632293.72637804796</v>
      </c>
      <c r="N2977" s="137">
        <v>4813298.0348453699</v>
      </c>
      <c r="O2977" s="137">
        <v>996683.331184307</v>
      </c>
      <c r="P2977" s="137">
        <v>262918.59895816102</v>
      </c>
    </row>
    <row r="2978" spans="1:16" hidden="1" x14ac:dyDescent="0.35">
      <c r="A2978" s="3">
        <f xml:space="preserve"> ROW( data_scaledImpacts[[#This Row],[row_id]] ) - ROW( data_scaledImpacts[[#Headers],[row_id]] )</f>
        <v>2977</v>
      </c>
      <c r="B2978" s="41" t="str">
        <f xml:space="preserve"> _xlfn.TEXTJOIN( "", , data_scaledImpacts[[#This Row],[sector]:[impactType]] )</f>
        <v>VibrioMIROC52 N/ADirectMedCost</v>
      </c>
      <c r="C2978" s="33" t="s">
        <v>1301</v>
      </c>
      <c r="D2978" s="33" t="s">
        <v>4</v>
      </c>
      <c r="E2978" s="34">
        <v>2</v>
      </c>
      <c r="F2978" s="34" t="s">
        <v>1306</v>
      </c>
      <c r="G2978" s="34" t="s">
        <v>201</v>
      </c>
      <c r="H2978" s="35" t="s">
        <v>1304</v>
      </c>
      <c r="I2978" s="43"/>
      <c r="J2978" s="96"/>
      <c r="K2978" s="137">
        <v>4302851.89276144</v>
      </c>
      <c r="L2978" s="37"/>
      <c r="M2978" s="137">
        <v>1021766.44980247</v>
      </c>
      <c r="N2978" s="137">
        <v>10553027.991536399</v>
      </c>
      <c r="O2978" s="137">
        <v>2339284.5973623898</v>
      </c>
      <c r="P2978" s="137">
        <v>684154.28639723395</v>
      </c>
    </row>
    <row r="2979" spans="1:16" hidden="1" x14ac:dyDescent="0.35">
      <c r="A2979" s="3">
        <f xml:space="preserve"> ROW( data_scaledImpacts[[#This Row],[row_id]] ) - ROW( data_scaledImpacts[[#Headers],[row_id]] )</f>
        <v>2978</v>
      </c>
      <c r="B2979" s="41" t="str">
        <f xml:space="preserve"> _xlfn.TEXTJOIN( "", , data_scaledImpacts[[#This Row],[sector]:[impactType]] )</f>
        <v>VibrioMIROC53 N/ADirectMedCost</v>
      </c>
      <c r="C2979" s="33" t="s">
        <v>1301</v>
      </c>
      <c r="D2979" s="33" t="s">
        <v>4</v>
      </c>
      <c r="E2979" s="34">
        <v>3</v>
      </c>
      <c r="F2979" s="34" t="s">
        <v>1306</v>
      </c>
      <c r="G2979" s="34" t="s">
        <v>201</v>
      </c>
      <c r="H2979" s="35" t="s">
        <v>1304</v>
      </c>
      <c r="I2979" s="43"/>
      <c r="J2979" s="96"/>
      <c r="K2979" s="137">
        <v>7420457.9277108302</v>
      </c>
      <c r="L2979" s="37"/>
      <c r="M2979" s="137">
        <v>1700548.7449464099</v>
      </c>
      <c r="N2979" s="137">
        <v>15977315.3781961</v>
      </c>
      <c r="O2979" s="137">
        <v>3456572.7182150199</v>
      </c>
      <c r="P2979" s="137">
        <v>1092804.9021006899</v>
      </c>
    </row>
    <row r="2980" spans="1:16" hidden="1" x14ac:dyDescent="0.35">
      <c r="A2980" s="3">
        <f xml:space="preserve"> ROW( data_scaledImpacts[[#This Row],[row_id]] ) - ROW( data_scaledImpacts[[#Headers],[row_id]] )</f>
        <v>2979</v>
      </c>
      <c r="B2980" s="41" t="str">
        <f xml:space="preserve"> _xlfn.TEXTJOIN( "", , data_scaledImpacts[[#This Row],[sector]:[impactType]] )</f>
        <v>VibrioMIROC54 N/ADirectMedCost</v>
      </c>
      <c r="C2980" s="33" t="s">
        <v>1301</v>
      </c>
      <c r="D2980" s="33" t="s">
        <v>4</v>
      </c>
      <c r="E2980" s="34">
        <v>4</v>
      </c>
      <c r="F2980" s="34" t="s">
        <v>1306</v>
      </c>
      <c r="G2980" s="34" t="s">
        <v>201</v>
      </c>
      <c r="H2980" s="35" t="s">
        <v>1304</v>
      </c>
      <c r="I2980" s="43"/>
      <c r="J2980" s="96"/>
      <c r="K2980" s="137">
        <v>11567084.510265401</v>
      </c>
      <c r="L2980" s="37"/>
      <c r="M2980" s="137">
        <v>2812470.6397422398</v>
      </c>
      <c r="N2980" s="137">
        <v>23309910.787982799</v>
      </c>
      <c r="O2980" s="137">
        <v>4654157.4939802298</v>
      </c>
      <c r="P2980" s="137">
        <v>1514893.1053877301</v>
      </c>
    </row>
    <row r="2981" spans="1:16" hidden="1" x14ac:dyDescent="0.35">
      <c r="A2981" s="3">
        <f xml:space="preserve"> ROW( data_scaledImpacts[[#This Row],[row_id]] ) - ROW( data_scaledImpacts[[#Headers],[row_id]] )</f>
        <v>2980</v>
      </c>
      <c r="B2981" s="41" t="str">
        <f xml:space="preserve"> _xlfn.TEXTJOIN( "", , data_scaledImpacts[[#This Row],[sector]:[impactType]] )</f>
        <v>VibrioMIROC55 N/ADirectMedCost</v>
      </c>
      <c r="C2981" s="33" t="s">
        <v>1301</v>
      </c>
      <c r="D2981" s="33" t="s">
        <v>4</v>
      </c>
      <c r="E2981" s="34">
        <v>5</v>
      </c>
      <c r="F2981" s="34" t="s">
        <v>1306</v>
      </c>
      <c r="G2981" s="34" t="s">
        <v>201</v>
      </c>
      <c r="H2981" s="35" t="s">
        <v>1304</v>
      </c>
      <c r="I2981" s="43"/>
      <c r="J2981" s="96"/>
      <c r="K2981" s="137">
        <v>13994712.8490471</v>
      </c>
      <c r="L2981" s="37"/>
      <c r="M2981" s="137">
        <v>3744916.7184220101</v>
      </c>
      <c r="N2981" s="137">
        <v>31429671.451177701</v>
      </c>
      <c r="O2981" s="137">
        <v>6455293.77070235</v>
      </c>
      <c r="P2981" s="137">
        <v>2293471.6617842801</v>
      </c>
    </row>
    <row r="2982" spans="1:16" hidden="1" x14ac:dyDescent="0.35">
      <c r="A2982" s="3">
        <f xml:space="preserve"> ROW( data_scaledImpacts[[#This Row],[row_id]] ) - ROW( data_scaledImpacts[[#Headers],[row_id]] )</f>
        <v>2981</v>
      </c>
      <c r="B2982" s="41" t="str">
        <f xml:space="preserve"> _xlfn.TEXTJOIN( "", , data_scaledImpacts[[#This Row],[sector]:[impactType]] )</f>
        <v>VibrioCanESM21 N/ALostDays</v>
      </c>
      <c r="C2982" s="33" t="s">
        <v>1301</v>
      </c>
      <c r="D2982" s="33" t="s">
        <v>0</v>
      </c>
      <c r="E2982" s="34">
        <v>1</v>
      </c>
      <c r="F2982" s="34" t="s">
        <v>1306</v>
      </c>
      <c r="G2982" s="34" t="s">
        <v>201</v>
      </c>
      <c r="H2982" s="35" t="s">
        <v>1305</v>
      </c>
      <c r="I2982" s="43"/>
      <c r="J2982" s="96"/>
      <c r="K2982" s="137">
        <v>9184.1328054545393</v>
      </c>
      <c r="L2982" s="37"/>
      <c r="M2982" s="137">
        <v>4155.8770009090904</v>
      </c>
      <c r="N2982" s="137">
        <v>12323.898356363599</v>
      </c>
      <c r="O2982" s="137">
        <v>1729.39750272727</v>
      </c>
      <c r="P2982" s="137">
        <v>1443.01716545454</v>
      </c>
    </row>
    <row r="2983" spans="1:16" hidden="1" x14ac:dyDescent="0.35">
      <c r="A2983" s="3">
        <f xml:space="preserve"> ROW( data_scaledImpacts[[#This Row],[row_id]] ) - ROW( data_scaledImpacts[[#Headers],[row_id]] )</f>
        <v>2982</v>
      </c>
      <c r="B2983" s="41" t="str">
        <f xml:space="preserve"> _xlfn.TEXTJOIN( "", , data_scaledImpacts[[#This Row],[sector]:[impactType]] )</f>
        <v>VibrioCanESM22 N/ALostDays</v>
      </c>
      <c r="C2983" s="33" t="s">
        <v>1301</v>
      </c>
      <c r="D2983" s="33" t="s">
        <v>0</v>
      </c>
      <c r="E2983" s="34">
        <v>2</v>
      </c>
      <c r="F2983" s="34" t="s">
        <v>1306</v>
      </c>
      <c r="G2983" s="34" t="s">
        <v>201</v>
      </c>
      <c r="H2983" s="35" t="s">
        <v>1305</v>
      </c>
      <c r="I2983" s="43"/>
      <c r="J2983" s="96"/>
      <c r="K2983" s="137">
        <v>17247.679496363598</v>
      </c>
      <c r="L2983" s="37"/>
      <c r="M2983" s="137">
        <v>8985.1319545454498</v>
      </c>
      <c r="N2983" s="137">
        <v>26734.969534545398</v>
      </c>
      <c r="O2983" s="137">
        <v>3698.31763181818</v>
      </c>
      <c r="P2983" s="137">
        <v>4319.2849390909096</v>
      </c>
    </row>
    <row r="2984" spans="1:16" hidden="1" x14ac:dyDescent="0.35">
      <c r="A2984" s="3">
        <f xml:space="preserve"> ROW( data_scaledImpacts[[#This Row],[row_id]] ) - ROW( data_scaledImpacts[[#Headers],[row_id]] )</f>
        <v>2983</v>
      </c>
      <c r="B2984" s="41" t="str">
        <f xml:space="preserve"> _xlfn.TEXTJOIN( "", , data_scaledImpacts[[#This Row],[sector]:[impactType]] )</f>
        <v>VibrioCanESM23 N/ALostDays</v>
      </c>
      <c r="C2984" s="33" t="s">
        <v>1301</v>
      </c>
      <c r="D2984" s="33" t="s">
        <v>0</v>
      </c>
      <c r="E2984" s="34">
        <v>3</v>
      </c>
      <c r="F2984" s="34" t="s">
        <v>1306</v>
      </c>
      <c r="G2984" s="34" t="s">
        <v>201</v>
      </c>
      <c r="H2984" s="35" t="s">
        <v>1305</v>
      </c>
      <c r="I2984" s="43"/>
      <c r="J2984" s="96"/>
      <c r="K2984" s="137">
        <v>25901.495681818102</v>
      </c>
      <c r="L2984" s="37"/>
      <c r="M2984" s="137">
        <v>15605.051380000001</v>
      </c>
      <c r="N2984" s="137">
        <v>39398.054119090899</v>
      </c>
      <c r="O2984" s="137">
        <v>5810.7820490908998</v>
      </c>
      <c r="P2984" s="137">
        <v>6637.6545999999998</v>
      </c>
    </row>
    <row r="2985" spans="1:16" hidden="1" x14ac:dyDescent="0.35">
      <c r="A2985" s="3">
        <f xml:space="preserve"> ROW( data_scaledImpacts[[#This Row],[row_id]] ) - ROW( data_scaledImpacts[[#Headers],[row_id]] )</f>
        <v>2984</v>
      </c>
      <c r="B2985" s="41" t="str">
        <f xml:space="preserve"> _xlfn.TEXTJOIN( "", , data_scaledImpacts[[#This Row],[sector]:[impactType]] )</f>
        <v>VibrioCanESM24 N/ALostDays</v>
      </c>
      <c r="C2985" s="33" t="s">
        <v>1301</v>
      </c>
      <c r="D2985" s="33" t="s">
        <v>0</v>
      </c>
      <c r="E2985" s="34">
        <v>4</v>
      </c>
      <c r="F2985" s="34" t="s">
        <v>1306</v>
      </c>
      <c r="G2985" s="34" t="s">
        <v>201</v>
      </c>
      <c r="H2985" s="35" t="s">
        <v>1305</v>
      </c>
      <c r="I2985" s="43"/>
      <c r="J2985" s="96"/>
      <c r="K2985" s="137">
        <v>38633.105962727197</v>
      </c>
      <c r="L2985" s="37"/>
      <c r="M2985" s="137">
        <v>23011.284577272701</v>
      </c>
      <c r="N2985" s="137">
        <v>55104.545025454499</v>
      </c>
      <c r="O2985" s="137">
        <v>8450.4185309090899</v>
      </c>
      <c r="P2985" s="137">
        <v>10447.0211790909</v>
      </c>
    </row>
    <row r="2986" spans="1:16" hidden="1" x14ac:dyDescent="0.35">
      <c r="A2986" s="3">
        <f xml:space="preserve"> ROW( data_scaledImpacts[[#This Row],[row_id]] ) - ROW( data_scaledImpacts[[#Headers],[row_id]] )</f>
        <v>2985</v>
      </c>
      <c r="B2986" s="41" t="str">
        <f xml:space="preserve"> _xlfn.TEXTJOIN( "", , data_scaledImpacts[[#This Row],[sector]:[impactType]] )</f>
        <v>VibrioCanESM25 N/ALostDays</v>
      </c>
      <c r="C2986" s="33" t="s">
        <v>1301</v>
      </c>
      <c r="D2986" s="33" t="s">
        <v>0</v>
      </c>
      <c r="E2986" s="34">
        <v>5</v>
      </c>
      <c r="F2986" s="34" t="s">
        <v>1306</v>
      </c>
      <c r="G2986" s="34" t="s">
        <v>201</v>
      </c>
      <c r="H2986" s="35" t="s">
        <v>1305</v>
      </c>
      <c r="I2986" s="43"/>
      <c r="J2986" s="96"/>
      <c r="K2986" s="137">
        <v>50898.4804245454</v>
      </c>
      <c r="L2986" s="37"/>
      <c r="M2986" s="137">
        <v>30505.4281972727</v>
      </c>
      <c r="N2986" s="137">
        <v>69709.079511818098</v>
      </c>
      <c r="O2986" s="137">
        <v>10031.033658181799</v>
      </c>
      <c r="P2986" s="137">
        <v>13934.4816963636</v>
      </c>
    </row>
    <row r="2987" spans="1:16" hidden="1" x14ac:dyDescent="0.35">
      <c r="A2987" s="3">
        <f xml:space="preserve"> ROW( data_scaledImpacts[[#This Row],[row_id]] ) - ROW( data_scaledImpacts[[#Headers],[row_id]] )</f>
        <v>2986</v>
      </c>
      <c r="B2987" s="41" t="str">
        <f xml:space="preserve"> _xlfn.TEXTJOIN( "", , data_scaledImpacts[[#This Row],[sector]:[impactType]] )</f>
        <v>VibrioCanESM26 N/ALostDays</v>
      </c>
      <c r="C2987" s="33" t="s">
        <v>1301</v>
      </c>
      <c r="D2987" s="33" t="s">
        <v>0</v>
      </c>
      <c r="E2987" s="34">
        <v>6</v>
      </c>
      <c r="F2987" s="34" t="s">
        <v>1306</v>
      </c>
      <c r="G2987" s="34" t="s">
        <v>201</v>
      </c>
      <c r="H2987" s="35" t="s">
        <v>1305</v>
      </c>
      <c r="I2987" s="43"/>
      <c r="J2987" s="96"/>
      <c r="K2987" s="137">
        <v>67074.879950000002</v>
      </c>
      <c r="L2987" s="37"/>
      <c r="M2987" s="137">
        <v>39351.671488181797</v>
      </c>
      <c r="N2987" s="137">
        <v>92019.1041754545</v>
      </c>
      <c r="O2987" s="137">
        <v>13637.190549090899</v>
      </c>
      <c r="P2987" s="137">
        <v>19025.1163745454</v>
      </c>
    </row>
    <row r="2988" spans="1:16" hidden="1" x14ac:dyDescent="0.35">
      <c r="A2988" s="3">
        <f xml:space="preserve"> ROW( data_scaledImpacts[[#This Row],[row_id]] ) - ROW( data_scaledImpacts[[#Headers],[row_id]] )</f>
        <v>2987</v>
      </c>
      <c r="B2988" s="41" t="str">
        <f xml:space="preserve"> _xlfn.TEXTJOIN( "", , data_scaledImpacts[[#This Row],[sector]:[impactType]] )</f>
        <v>VibrioCCSM41 N/ALostDays</v>
      </c>
      <c r="C2988" s="33" t="s">
        <v>1301</v>
      </c>
      <c r="D2988" s="33" t="s">
        <v>1</v>
      </c>
      <c r="E2988" s="34">
        <v>1</v>
      </c>
      <c r="F2988" s="34" t="s">
        <v>1306</v>
      </c>
      <c r="G2988" s="34" t="s">
        <v>201</v>
      </c>
      <c r="H2988" s="35" t="s">
        <v>1305</v>
      </c>
      <c r="I2988" s="43"/>
      <c r="J2988" s="96"/>
      <c r="K2988" s="137">
        <v>5611.9065399999899</v>
      </c>
      <c r="L2988" s="37"/>
      <c r="M2988" s="137">
        <v>2776.6732827272699</v>
      </c>
      <c r="N2988" s="137">
        <v>9418.0587099999902</v>
      </c>
      <c r="O2988" s="137">
        <v>1739.13295727272</v>
      </c>
      <c r="P2988" s="137">
        <v>1390.7760409090899</v>
      </c>
    </row>
    <row r="2989" spans="1:16" hidden="1" x14ac:dyDescent="0.35">
      <c r="A2989" s="3">
        <f xml:space="preserve"> ROW( data_scaledImpacts[[#This Row],[row_id]] ) - ROW( data_scaledImpacts[[#Headers],[row_id]] )</f>
        <v>2988</v>
      </c>
      <c r="B2989" s="41" t="str">
        <f xml:space="preserve"> _xlfn.TEXTJOIN( "", , data_scaledImpacts[[#This Row],[sector]:[impactType]] )</f>
        <v>VibrioCCSM42 N/ALostDays</v>
      </c>
      <c r="C2989" s="33" t="s">
        <v>1301</v>
      </c>
      <c r="D2989" s="33" t="s">
        <v>1</v>
      </c>
      <c r="E2989" s="34">
        <v>2</v>
      </c>
      <c r="F2989" s="34" t="s">
        <v>1306</v>
      </c>
      <c r="G2989" s="34" t="s">
        <v>201</v>
      </c>
      <c r="H2989" s="35" t="s">
        <v>1305</v>
      </c>
      <c r="I2989" s="43"/>
      <c r="J2989" s="96"/>
      <c r="K2989" s="137">
        <v>12003.6478345454</v>
      </c>
      <c r="L2989" s="37"/>
      <c r="M2989" s="137">
        <v>6351.43350363636</v>
      </c>
      <c r="N2989" s="137">
        <v>20381.076505454501</v>
      </c>
      <c r="O2989" s="137">
        <v>3113.7963809090902</v>
      </c>
      <c r="P2989" s="137">
        <v>3221.14393727272</v>
      </c>
    </row>
    <row r="2990" spans="1:16" hidden="1" x14ac:dyDescent="0.35">
      <c r="A2990" s="3">
        <f xml:space="preserve"> ROW( data_scaledImpacts[[#This Row],[row_id]] ) - ROW( data_scaledImpacts[[#Headers],[row_id]] )</f>
        <v>2989</v>
      </c>
      <c r="B2990" s="41" t="str">
        <f xml:space="preserve"> _xlfn.TEXTJOIN( "", , data_scaledImpacts[[#This Row],[sector]:[impactType]] )</f>
        <v>VibrioCCSM43 N/ALostDays</v>
      </c>
      <c r="C2990" s="33" t="s">
        <v>1301</v>
      </c>
      <c r="D2990" s="33" t="s">
        <v>1</v>
      </c>
      <c r="E2990" s="34">
        <v>3</v>
      </c>
      <c r="F2990" s="34" t="s">
        <v>1306</v>
      </c>
      <c r="G2990" s="34" t="s">
        <v>201</v>
      </c>
      <c r="H2990" s="35" t="s">
        <v>1305</v>
      </c>
      <c r="I2990" s="43"/>
      <c r="J2990" s="96"/>
      <c r="K2990" s="137">
        <v>21607.119280908999</v>
      </c>
      <c r="L2990" s="37"/>
      <c r="M2990" s="137">
        <v>11590.504499999999</v>
      </c>
      <c r="N2990" s="137">
        <v>36924.839840909</v>
      </c>
      <c r="O2990" s="137">
        <v>5724.7890736363597</v>
      </c>
      <c r="P2990" s="137">
        <v>4793.7331963636298</v>
      </c>
    </row>
    <row r="2991" spans="1:16" hidden="1" x14ac:dyDescent="0.35">
      <c r="A2991" s="3">
        <f xml:space="preserve"> ROW( data_scaledImpacts[[#This Row],[row_id]] ) - ROW( data_scaledImpacts[[#Headers],[row_id]] )</f>
        <v>2990</v>
      </c>
      <c r="B2991" s="41" t="str">
        <f xml:space="preserve"> _xlfn.TEXTJOIN( "", , data_scaledImpacts[[#This Row],[sector]:[impactType]] )</f>
        <v>VibrioCCSM44 N/ALostDays</v>
      </c>
      <c r="C2991" s="33" t="s">
        <v>1301</v>
      </c>
      <c r="D2991" s="33" t="s">
        <v>1</v>
      </c>
      <c r="E2991" s="34">
        <v>4</v>
      </c>
      <c r="F2991" s="34" t="s">
        <v>1306</v>
      </c>
      <c r="G2991" s="34" t="s">
        <v>201</v>
      </c>
      <c r="H2991" s="35" t="s">
        <v>1305</v>
      </c>
      <c r="I2991" s="43"/>
      <c r="J2991" s="96"/>
      <c r="K2991" s="137">
        <v>29481.141068181802</v>
      </c>
      <c r="L2991" s="37"/>
      <c r="M2991" s="137">
        <v>17952.939868181798</v>
      </c>
      <c r="N2991" s="137">
        <v>49561.874102727197</v>
      </c>
      <c r="O2991" s="137">
        <v>7428.9913854545403</v>
      </c>
      <c r="P2991" s="137">
        <v>8110.5603136363598</v>
      </c>
    </row>
    <row r="2992" spans="1:16" hidden="1" x14ac:dyDescent="0.35">
      <c r="A2992" s="3">
        <f xml:space="preserve"> ROW( data_scaledImpacts[[#This Row],[row_id]] ) - ROW( data_scaledImpacts[[#Headers],[row_id]] )</f>
        <v>2991</v>
      </c>
      <c r="B2992" s="41" t="str">
        <f xml:space="preserve"> _xlfn.TEXTJOIN( "", , data_scaledImpacts[[#This Row],[sector]:[impactType]] )</f>
        <v>VibrioCCSM45 N/ALostDays</v>
      </c>
      <c r="C2992" s="33" t="s">
        <v>1301</v>
      </c>
      <c r="D2992" s="33" t="s">
        <v>1</v>
      </c>
      <c r="E2992" s="34">
        <v>5</v>
      </c>
      <c r="F2992" s="34" t="s">
        <v>1306</v>
      </c>
      <c r="G2992" s="34" t="s">
        <v>201</v>
      </c>
      <c r="H2992" s="35" t="s">
        <v>1305</v>
      </c>
      <c r="I2992" s="43"/>
      <c r="J2992" s="96"/>
      <c r="K2992" s="137">
        <v>39505.690970000003</v>
      </c>
      <c r="L2992" s="37"/>
      <c r="M2992" s="137">
        <v>21220.472785454502</v>
      </c>
      <c r="N2992" s="137">
        <v>69870.869557272701</v>
      </c>
      <c r="O2992" s="137">
        <v>11149.703967272701</v>
      </c>
      <c r="P2992" s="137">
        <v>8717.3224190909095</v>
      </c>
    </row>
    <row r="2993" spans="1:16" hidden="1" x14ac:dyDescent="0.35">
      <c r="A2993" s="3">
        <f xml:space="preserve"> ROW( data_scaledImpacts[[#This Row],[row_id]] ) - ROW( data_scaledImpacts[[#Headers],[row_id]] )</f>
        <v>2992</v>
      </c>
      <c r="B2993" s="41" t="str">
        <f xml:space="preserve"> _xlfn.TEXTJOIN( "", , data_scaledImpacts[[#This Row],[sector]:[impactType]] )</f>
        <v>VibrioGFDL-CM31 N/ALostDays</v>
      </c>
      <c r="C2993" s="33" t="s">
        <v>1301</v>
      </c>
      <c r="D2993" s="33" t="s">
        <v>5</v>
      </c>
      <c r="E2993" s="34">
        <v>1</v>
      </c>
      <c r="F2993" s="34" t="s">
        <v>1306</v>
      </c>
      <c r="G2993" s="34" t="s">
        <v>201</v>
      </c>
      <c r="H2993" s="35" t="s">
        <v>1305</v>
      </c>
      <c r="I2993" s="43"/>
      <c r="J2993" s="96"/>
      <c r="K2993" s="137">
        <v>10017.368257272699</v>
      </c>
      <c r="L2993" s="37"/>
      <c r="M2993" s="137">
        <v>2866.18377545454</v>
      </c>
      <c r="N2993" s="137">
        <v>15549.0218763636</v>
      </c>
      <c r="O2993" s="137">
        <v>2603.92099181818</v>
      </c>
      <c r="P2993" s="137">
        <v>1427.21537363636</v>
      </c>
    </row>
    <row r="2994" spans="1:16" hidden="1" x14ac:dyDescent="0.35">
      <c r="A2994" s="3">
        <f xml:space="preserve"> ROW( data_scaledImpacts[[#This Row],[row_id]] ) - ROW( data_scaledImpacts[[#Headers],[row_id]] )</f>
        <v>2993</v>
      </c>
      <c r="B2994" s="41" t="str">
        <f xml:space="preserve"> _xlfn.TEXTJOIN( "", , data_scaledImpacts[[#This Row],[sector]:[impactType]] )</f>
        <v>VibrioGFDL-CM32 N/ALostDays</v>
      </c>
      <c r="C2994" s="33" t="s">
        <v>1301</v>
      </c>
      <c r="D2994" s="33" t="s">
        <v>5</v>
      </c>
      <c r="E2994" s="34">
        <v>2</v>
      </c>
      <c r="F2994" s="34" t="s">
        <v>1306</v>
      </c>
      <c r="G2994" s="34" t="s">
        <v>201</v>
      </c>
      <c r="H2994" s="35" t="s">
        <v>1305</v>
      </c>
      <c r="I2994" s="43"/>
      <c r="J2994" s="96"/>
      <c r="K2994" s="137">
        <v>17436.565060909001</v>
      </c>
      <c r="L2994" s="37"/>
      <c r="M2994" s="137">
        <v>6558.6652599999998</v>
      </c>
      <c r="N2994" s="137">
        <v>30281.852855454501</v>
      </c>
      <c r="O2994" s="137">
        <v>4965.0417318181799</v>
      </c>
      <c r="P2994" s="137">
        <v>3141.4885063636302</v>
      </c>
    </row>
    <row r="2995" spans="1:16" hidden="1" x14ac:dyDescent="0.35">
      <c r="A2995" s="3">
        <f xml:space="preserve"> ROW( data_scaledImpacts[[#This Row],[row_id]] ) - ROW( data_scaledImpacts[[#Headers],[row_id]] )</f>
        <v>2994</v>
      </c>
      <c r="B2995" s="41" t="str">
        <f xml:space="preserve"> _xlfn.TEXTJOIN( "", , data_scaledImpacts[[#This Row],[sector]:[impactType]] )</f>
        <v>VibrioGFDL-CM33 N/ALostDays</v>
      </c>
      <c r="C2995" s="33" t="s">
        <v>1301</v>
      </c>
      <c r="D2995" s="33" t="s">
        <v>5</v>
      </c>
      <c r="E2995" s="34">
        <v>3</v>
      </c>
      <c r="F2995" s="34" t="s">
        <v>1306</v>
      </c>
      <c r="G2995" s="34" t="s">
        <v>201</v>
      </c>
      <c r="H2995" s="35" t="s">
        <v>1305</v>
      </c>
      <c r="I2995" s="43"/>
      <c r="J2995" s="96"/>
      <c r="K2995" s="137">
        <v>30538.318209090899</v>
      </c>
      <c r="L2995" s="37"/>
      <c r="M2995" s="137">
        <v>12724.376750908999</v>
      </c>
      <c r="N2995" s="137">
        <v>46092.412896363603</v>
      </c>
      <c r="O2995" s="137">
        <v>7706.0520045454496</v>
      </c>
      <c r="P2995" s="137">
        <v>6057.1573336363599</v>
      </c>
    </row>
    <row r="2996" spans="1:16" hidden="1" x14ac:dyDescent="0.35">
      <c r="A2996" s="3">
        <f xml:space="preserve"> ROW( data_scaledImpacts[[#This Row],[row_id]] ) - ROW( data_scaledImpacts[[#Headers],[row_id]] )</f>
        <v>2995</v>
      </c>
      <c r="B2996" s="41" t="str">
        <f xml:space="preserve"> _xlfn.TEXTJOIN( "", , data_scaledImpacts[[#This Row],[sector]:[impactType]] )</f>
        <v>VibrioGFDL-CM34 N/ALostDays</v>
      </c>
      <c r="C2996" s="33" t="s">
        <v>1301</v>
      </c>
      <c r="D2996" s="33" t="s">
        <v>5</v>
      </c>
      <c r="E2996" s="34">
        <v>4</v>
      </c>
      <c r="F2996" s="34" t="s">
        <v>1306</v>
      </c>
      <c r="G2996" s="34" t="s">
        <v>201</v>
      </c>
      <c r="H2996" s="35" t="s">
        <v>1305</v>
      </c>
      <c r="I2996" s="43"/>
      <c r="J2996" s="96"/>
      <c r="K2996" s="137">
        <v>42829.158153636301</v>
      </c>
      <c r="L2996" s="37"/>
      <c r="M2996" s="137">
        <v>16886.170726363602</v>
      </c>
      <c r="N2996" s="137">
        <v>65952.704399090901</v>
      </c>
      <c r="O2996" s="137">
        <v>10605.431421818101</v>
      </c>
      <c r="P2996" s="137">
        <v>8730.6175454545391</v>
      </c>
    </row>
    <row r="2997" spans="1:16" hidden="1" x14ac:dyDescent="0.35">
      <c r="A2997" s="3">
        <f xml:space="preserve"> ROW( data_scaledImpacts[[#This Row],[row_id]] ) - ROW( data_scaledImpacts[[#Headers],[row_id]] )</f>
        <v>2996</v>
      </c>
      <c r="B2997" s="41" t="str">
        <f xml:space="preserve"> _xlfn.TEXTJOIN( "", , data_scaledImpacts[[#This Row],[sector]:[impactType]] )</f>
        <v>VibrioGFDL-CM35 N/ALostDays</v>
      </c>
      <c r="C2997" s="33" t="s">
        <v>1301</v>
      </c>
      <c r="D2997" s="33" t="s">
        <v>5</v>
      </c>
      <c r="E2997" s="34">
        <v>5</v>
      </c>
      <c r="F2997" s="34" t="s">
        <v>1306</v>
      </c>
      <c r="G2997" s="34" t="s">
        <v>201</v>
      </c>
      <c r="H2997" s="35" t="s">
        <v>1305</v>
      </c>
      <c r="I2997" s="43"/>
      <c r="J2997" s="96"/>
      <c r="K2997" s="137">
        <v>51431.162024999998</v>
      </c>
      <c r="L2997" s="37"/>
      <c r="M2997" s="137">
        <v>19018.752734999998</v>
      </c>
      <c r="N2997" s="137">
        <v>80776.615464999995</v>
      </c>
      <c r="O2997" s="137">
        <v>12622.772489999999</v>
      </c>
      <c r="P2997" s="137">
        <v>10810.567195</v>
      </c>
    </row>
    <row r="2998" spans="1:16" hidden="1" x14ac:dyDescent="0.35">
      <c r="A2998" s="3">
        <f xml:space="preserve"> ROW( data_scaledImpacts[[#This Row],[row_id]] ) - ROW( data_scaledImpacts[[#Headers],[row_id]] )</f>
        <v>2997</v>
      </c>
      <c r="B2998" s="41" t="str">
        <f xml:space="preserve"> _xlfn.TEXTJOIN( "", , data_scaledImpacts[[#This Row],[sector]:[impactType]] )</f>
        <v>VibrioGFDL-CM36 N/ALostDays</v>
      </c>
      <c r="C2998" s="33" t="s">
        <v>1301</v>
      </c>
      <c r="D2998" s="33" t="s">
        <v>5</v>
      </c>
      <c r="E2998" s="34">
        <v>6</v>
      </c>
      <c r="F2998" s="34" t="s">
        <v>1306</v>
      </c>
      <c r="G2998" s="34" t="s">
        <v>201</v>
      </c>
      <c r="H2998" s="35" t="s">
        <v>1305</v>
      </c>
      <c r="I2998" s="43"/>
      <c r="J2998" s="96"/>
      <c r="K2998" s="137">
        <v>69511.320793636303</v>
      </c>
      <c r="L2998" s="37"/>
      <c r="M2998" s="137">
        <v>26960.451923636301</v>
      </c>
      <c r="N2998" s="137">
        <v>105070.28140818101</v>
      </c>
      <c r="O2998" s="137">
        <v>17021.480167272701</v>
      </c>
      <c r="P2998" s="137">
        <v>14440.525021818101</v>
      </c>
    </row>
    <row r="2999" spans="1:16" hidden="1" x14ac:dyDescent="0.35">
      <c r="A2999" s="3">
        <f xml:space="preserve"> ROW( data_scaledImpacts[[#This Row],[row_id]] ) - ROW( data_scaledImpacts[[#Headers],[row_id]] )</f>
        <v>2998</v>
      </c>
      <c r="B2999" s="41" t="str">
        <f xml:space="preserve"> _xlfn.TEXTJOIN( "", , data_scaledImpacts[[#This Row],[sector]:[impactType]] )</f>
        <v>VibrioGISS-E2-R1 N/ALostDays</v>
      </c>
      <c r="C2999" s="33" t="s">
        <v>1301</v>
      </c>
      <c r="D2999" s="33" t="s">
        <v>2</v>
      </c>
      <c r="E2999" s="34">
        <v>1</v>
      </c>
      <c r="F2999" s="34" t="s">
        <v>1306</v>
      </c>
      <c r="G2999" s="34" t="s">
        <v>201</v>
      </c>
      <c r="H2999" s="35" t="s">
        <v>1305</v>
      </c>
      <c r="I2999" s="43"/>
      <c r="J2999" s="96"/>
      <c r="K2999" s="137">
        <v>7497.1426172727197</v>
      </c>
      <c r="L2999" s="37"/>
      <c r="M2999" s="137">
        <v>3561.3157654545398</v>
      </c>
      <c r="N2999" s="137">
        <v>12510.0475818181</v>
      </c>
      <c r="O2999" s="137">
        <v>1801.85204999999</v>
      </c>
      <c r="P2999" s="137">
        <v>1570.6193609090899</v>
      </c>
    </row>
    <row r="3000" spans="1:16" hidden="1" x14ac:dyDescent="0.35">
      <c r="A3000" s="3">
        <f xml:space="preserve"> ROW( data_scaledImpacts[[#This Row],[row_id]] ) - ROW( data_scaledImpacts[[#Headers],[row_id]] )</f>
        <v>2999</v>
      </c>
      <c r="B3000" s="41" t="str">
        <f xml:space="preserve"> _xlfn.TEXTJOIN( "", , data_scaledImpacts[[#This Row],[sector]:[impactType]] )</f>
        <v>VibrioGISS-E2-R2 N/ALostDays</v>
      </c>
      <c r="C3000" s="33" t="s">
        <v>1301</v>
      </c>
      <c r="D3000" s="33" t="s">
        <v>2</v>
      </c>
      <c r="E3000" s="34">
        <v>2</v>
      </c>
      <c r="F3000" s="34" t="s">
        <v>1306</v>
      </c>
      <c r="G3000" s="34" t="s">
        <v>201</v>
      </c>
      <c r="H3000" s="35" t="s">
        <v>1305</v>
      </c>
      <c r="I3000" s="43"/>
      <c r="J3000" s="96"/>
      <c r="K3000" s="137">
        <v>12281.8510272727</v>
      </c>
      <c r="L3000" s="37"/>
      <c r="M3000" s="137">
        <v>6877.7818672727199</v>
      </c>
      <c r="N3000" s="137">
        <v>27458.915659090901</v>
      </c>
      <c r="O3000" s="137">
        <v>3753.7793463636299</v>
      </c>
      <c r="P3000" s="137">
        <v>3731.3245754545401</v>
      </c>
    </row>
    <row r="3001" spans="1:16" hidden="1" x14ac:dyDescent="0.35">
      <c r="A3001" s="3">
        <f xml:space="preserve"> ROW( data_scaledImpacts[[#This Row],[row_id]] ) - ROW( data_scaledImpacts[[#Headers],[row_id]] )</f>
        <v>3000</v>
      </c>
      <c r="B3001" s="41" t="str">
        <f xml:space="preserve"> _xlfn.TEXTJOIN( "", , data_scaledImpacts[[#This Row],[sector]:[impactType]] )</f>
        <v>VibrioGISS-E2-R3 N/ALostDays</v>
      </c>
      <c r="C3001" s="33" t="s">
        <v>1301</v>
      </c>
      <c r="D3001" s="33" t="s">
        <v>2</v>
      </c>
      <c r="E3001" s="34">
        <v>3</v>
      </c>
      <c r="F3001" s="34" t="s">
        <v>1306</v>
      </c>
      <c r="G3001" s="34" t="s">
        <v>201</v>
      </c>
      <c r="H3001" s="35" t="s">
        <v>1305</v>
      </c>
      <c r="I3001" s="43"/>
      <c r="J3001" s="96"/>
      <c r="K3001" s="137">
        <v>24243.994408181799</v>
      </c>
      <c r="L3001" s="37"/>
      <c r="M3001" s="137">
        <v>9223.1872800000001</v>
      </c>
      <c r="N3001" s="137">
        <v>44378.807059999999</v>
      </c>
      <c r="O3001" s="137">
        <v>5749.5071572727202</v>
      </c>
      <c r="P3001" s="137">
        <v>5653.01764181818</v>
      </c>
    </row>
    <row r="3002" spans="1:16" hidden="1" x14ac:dyDescent="0.35">
      <c r="A3002" s="3">
        <f xml:space="preserve"> ROW( data_scaledImpacts[[#This Row],[row_id]] ) - ROW( data_scaledImpacts[[#Headers],[row_id]] )</f>
        <v>3001</v>
      </c>
      <c r="B3002" s="41" t="str">
        <f xml:space="preserve"> _xlfn.TEXTJOIN( "", , data_scaledImpacts[[#This Row],[sector]:[impactType]] )</f>
        <v>VibrioHadGEM2-ES1 N/ALostDays</v>
      </c>
      <c r="C3002" s="33" t="s">
        <v>1301</v>
      </c>
      <c r="D3002" s="33" t="s">
        <v>3</v>
      </c>
      <c r="E3002" s="34">
        <v>1</v>
      </c>
      <c r="F3002" s="34" t="s">
        <v>1306</v>
      </c>
      <c r="G3002" s="34" t="s">
        <v>201</v>
      </c>
      <c r="H3002" s="35" t="s">
        <v>1305</v>
      </c>
      <c r="I3002" s="43"/>
      <c r="J3002" s="96"/>
      <c r="K3002" s="137">
        <v>6305.4631645454501</v>
      </c>
      <c r="L3002" s="37"/>
      <c r="M3002" s="137">
        <v>4789.3786263636302</v>
      </c>
      <c r="N3002" s="137">
        <v>17205.220603636299</v>
      </c>
      <c r="O3002" s="137">
        <v>2097.1534854545398</v>
      </c>
      <c r="P3002" s="137">
        <v>1010.69251181818</v>
      </c>
    </row>
    <row r="3003" spans="1:16" hidden="1" x14ac:dyDescent="0.35">
      <c r="A3003" s="3">
        <f xml:space="preserve"> ROW( data_scaledImpacts[[#This Row],[row_id]] ) - ROW( data_scaledImpacts[[#Headers],[row_id]] )</f>
        <v>3002</v>
      </c>
      <c r="B3003" s="41" t="str">
        <f xml:space="preserve"> _xlfn.TEXTJOIN( "", , data_scaledImpacts[[#This Row],[sector]:[impactType]] )</f>
        <v>VibrioHadGEM2-ES2 N/ALostDays</v>
      </c>
      <c r="C3003" s="33" t="s">
        <v>1301</v>
      </c>
      <c r="D3003" s="33" t="s">
        <v>3</v>
      </c>
      <c r="E3003" s="34">
        <v>2</v>
      </c>
      <c r="F3003" s="34" t="s">
        <v>1306</v>
      </c>
      <c r="G3003" s="34" t="s">
        <v>201</v>
      </c>
      <c r="H3003" s="35" t="s">
        <v>1305</v>
      </c>
      <c r="I3003" s="43"/>
      <c r="J3003" s="96"/>
      <c r="K3003" s="137">
        <v>13395.395771818099</v>
      </c>
      <c r="L3003" s="37"/>
      <c r="M3003" s="137">
        <v>7738.8067836363598</v>
      </c>
      <c r="N3003" s="137">
        <v>27413.239456363601</v>
      </c>
      <c r="O3003" s="137">
        <v>4354.4067154545401</v>
      </c>
      <c r="P3003" s="137">
        <v>2902.6130390909002</v>
      </c>
    </row>
    <row r="3004" spans="1:16" hidden="1" x14ac:dyDescent="0.35">
      <c r="A3004" s="3">
        <f xml:space="preserve"> ROW( data_scaledImpacts[[#This Row],[row_id]] ) - ROW( data_scaledImpacts[[#Headers],[row_id]] )</f>
        <v>3003</v>
      </c>
      <c r="B3004" s="41" t="str">
        <f xml:space="preserve"> _xlfn.TEXTJOIN( "", , data_scaledImpacts[[#This Row],[sector]:[impactType]] )</f>
        <v>VibrioHadGEM2-ES3 N/ALostDays</v>
      </c>
      <c r="C3004" s="33" t="s">
        <v>1301</v>
      </c>
      <c r="D3004" s="33" t="s">
        <v>3</v>
      </c>
      <c r="E3004" s="34">
        <v>3</v>
      </c>
      <c r="F3004" s="34" t="s">
        <v>1306</v>
      </c>
      <c r="G3004" s="34" t="s">
        <v>201</v>
      </c>
      <c r="H3004" s="35" t="s">
        <v>1305</v>
      </c>
      <c r="I3004" s="43"/>
      <c r="J3004" s="96"/>
      <c r="K3004" s="137">
        <v>22184.878699090899</v>
      </c>
      <c r="L3004" s="37"/>
      <c r="M3004" s="137">
        <v>11278.654712727201</v>
      </c>
      <c r="N3004" s="137">
        <v>43112.9295863636</v>
      </c>
      <c r="O3004" s="137">
        <v>5886.7122381818099</v>
      </c>
      <c r="P3004" s="137">
        <v>4553.9540454545404</v>
      </c>
    </row>
    <row r="3005" spans="1:16" hidden="1" x14ac:dyDescent="0.35">
      <c r="A3005" s="3">
        <f xml:space="preserve"> ROW( data_scaledImpacts[[#This Row],[row_id]] ) - ROW( data_scaledImpacts[[#Headers],[row_id]] )</f>
        <v>3004</v>
      </c>
      <c r="B3005" s="41" t="str">
        <f xml:space="preserve"> _xlfn.TEXTJOIN( "", , data_scaledImpacts[[#This Row],[sector]:[impactType]] )</f>
        <v>VibrioHadGEM2-ES4 N/ALostDays</v>
      </c>
      <c r="C3005" s="33" t="s">
        <v>1301</v>
      </c>
      <c r="D3005" s="33" t="s">
        <v>3</v>
      </c>
      <c r="E3005" s="34">
        <v>4</v>
      </c>
      <c r="F3005" s="34" t="s">
        <v>1306</v>
      </c>
      <c r="G3005" s="34" t="s">
        <v>201</v>
      </c>
      <c r="H3005" s="35" t="s">
        <v>1305</v>
      </c>
      <c r="I3005" s="43"/>
      <c r="J3005" s="96"/>
      <c r="K3005" s="137">
        <v>32459.098680908999</v>
      </c>
      <c r="L3005" s="37"/>
      <c r="M3005" s="137">
        <v>18356.819612727199</v>
      </c>
      <c r="N3005" s="137">
        <v>56653.900767272702</v>
      </c>
      <c r="O3005" s="137">
        <v>7725.0268672727198</v>
      </c>
      <c r="P3005" s="137">
        <v>8281.4612136363594</v>
      </c>
    </row>
    <row r="3006" spans="1:16" hidden="1" x14ac:dyDescent="0.35">
      <c r="A3006" s="3">
        <f xml:space="preserve"> ROW( data_scaledImpacts[[#This Row],[row_id]] ) - ROW( data_scaledImpacts[[#Headers],[row_id]] )</f>
        <v>3005</v>
      </c>
      <c r="B3006" s="41" t="str">
        <f xml:space="preserve"> _xlfn.TEXTJOIN( "", , data_scaledImpacts[[#This Row],[sector]:[impactType]] )</f>
        <v>VibrioHadGEM2-ES5 N/ALostDays</v>
      </c>
      <c r="C3006" s="33" t="s">
        <v>1301</v>
      </c>
      <c r="D3006" s="33" t="s">
        <v>3</v>
      </c>
      <c r="E3006" s="34">
        <v>5</v>
      </c>
      <c r="F3006" s="34" t="s">
        <v>1306</v>
      </c>
      <c r="G3006" s="34" t="s">
        <v>201</v>
      </c>
      <c r="H3006" s="35" t="s">
        <v>1305</v>
      </c>
      <c r="I3006" s="43"/>
      <c r="J3006" s="96"/>
      <c r="K3006" s="137">
        <v>44569.024108181802</v>
      </c>
      <c r="L3006" s="37"/>
      <c r="M3006" s="137">
        <v>25293.830513636301</v>
      </c>
      <c r="N3006" s="137">
        <v>70333.766263636295</v>
      </c>
      <c r="O3006" s="137">
        <v>9322.27426727272</v>
      </c>
      <c r="P3006" s="137">
        <v>10718.6293936363</v>
      </c>
    </row>
    <row r="3007" spans="1:16" hidden="1" x14ac:dyDescent="0.35">
      <c r="A3007" s="3">
        <f xml:space="preserve"> ROW( data_scaledImpacts[[#This Row],[row_id]] ) - ROW( data_scaledImpacts[[#Headers],[row_id]] )</f>
        <v>3006</v>
      </c>
      <c r="B3007" s="41" t="str">
        <f xml:space="preserve"> _xlfn.TEXTJOIN( "", , data_scaledImpacts[[#This Row],[sector]:[impactType]] )</f>
        <v>VibrioHadGEM2-ES6 N/ALostDays</v>
      </c>
      <c r="C3007" s="33" t="s">
        <v>1301</v>
      </c>
      <c r="D3007" s="33" t="s">
        <v>3</v>
      </c>
      <c r="E3007" s="34">
        <v>6</v>
      </c>
      <c r="F3007" s="34" t="s">
        <v>1306</v>
      </c>
      <c r="G3007" s="34" t="s">
        <v>201</v>
      </c>
      <c r="H3007" s="35" t="s">
        <v>1305</v>
      </c>
      <c r="I3007" s="43"/>
      <c r="J3007" s="96"/>
      <c r="K3007" s="137">
        <v>61752.397370908999</v>
      </c>
      <c r="L3007" s="37"/>
      <c r="M3007" s="137">
        <v>31241.843797272701</v>
      </c>
      <c r="N3007" s="137">
        <v>92441.602670909095</v>
      </c>
      <c r="O3007" s="137">
        <v>12227.034585454499</v>
      </c>
      <c r="P3007" s="137">
        <v>13890.1254254545</v>
      </c>
    </row>
    <row r="3008" spans="1:16" hidden="1" x14ac:dyDescent="0.35">
      <c r="A3008" s="3">
        <f xml:space="preserve"> ROW( data_scaledImpacts[[#This Row],[row_id]] ) - ROW( data_scaledImpacts[[#Headers],[row_id]] )</f>
        <v>3007</v>
      </c>
      <c r="B3008" s="41" t="str">
        <f xml:space="preserve"> _xlfn.TEXTJOIN( "", , data_scaledImpacts[[#This Row],[sector]:[impactType]] )</f>
        <v>VibrioMIROC51 N/ALostDays</v>
      </c>
      <c r="C3008" s="33" t="s">
        <v>1301</v>
      </c>
      <c r="D3008" s="33" t="s">
        <v>4</v>
      </c>
      <c r="E3008" s="34">
        <v>1</v>
      </c>
      <c r="F3008" s="34" t="s">
        <v>1306</v>
      </c>
      <c r="G3008" s="34" t="s">
        <v>201</v>
      </c>
      <c r="H3008" s="35" t="s">
        <v>1305</v>
      </c>
      <c r="I3008" s="43"/>
      <c r="J3008" s="96"/>
      <c r="K3008" s="137">
        <v>4797.6916918181796</v>
      </c>
      <c r="L3008" s="37"/>
      <c r="M3008" s="137">
        <v>3116.9590981818101</v>
      </c>
      <c r="N3008" s="137">
        <v>9930.6362454545397</v>
      </c>
      <c r="O3008" s="137">
        <v>1589.01934363636</v>
      </c>
      <c r="P3008" s="137">
        <v>1024.52691363636</v>
      </c>
    </row>
    <row r="3009" spans="1:16" hidden="1" x14ac:dyDescent="0.35">
      <c r="A3009" s="3">
        <f xml:space="preserve"> ROW( data_scaledImpacts[[#This Row],[row_id]] ) - ROW( data_scaledImpacts[[#Headers],[row_id]] )</f>
        <v>3008</v>
      </c>
      <c r="B3009" s="41" t="str">
        <f xml:space="preserve"> _xlfn.TEXTJOIN( "", , data_scaledImpacts[[#This Row],[sector]:[impactType]] )</f>
        <v>VibrioMIROC52 N/ALostDays</v>
      </c>
      <c r="C3009" s="33" t="s">
        <v>1301</v>
      </c>
      <c r="D3009" s="33" t="s">
        <v>4</v>
      </c>
      <c r="E3009" s="34">
        <v>2</v>
      </c>
      <c r="F3009" s="34" t="s">
        <v>1306</v>
      </c>
      <c r="G3009" s="34" t="s">
        <v>201</v>
      </c>
      <c r="H3009" s="35" t="s">
        <v>1305</v>
      </c>
      <c r="I3009" s="43"/>
      <c r="J3009" s="96"/>
      <c r="K3009" s="137">
        <v>12018.908809999901</v>
      </c>
      <c r="L3009" s="37"/>
      <c r="M3009" s="137">
        <v>4984.2765781818098</v>
      </c>
      <c r="N3009" s="137">
        <v>21846.329738181801</v>
      </c>
      <c r="O3009" s="137">
        <v>3710.7758390908998</v>
      </c>
      <c r="P3009" s="137">
        <v>2642.2601281818102</v>
      </c>
    </row>
    <row r="3010" spans="1:16" hidden="1" x14ac:dyDescent="0.35">
      <c r="A3010" s="3">
        <f xml:space="preserve"> ROW( data_scaledImpacts[[#This Row],[row_id]] ) - ROW( data_scaledImpacts[[#Headers],[row_id]] )</f>
        <v>3009</v>
      </c>
      <c r="B3010" s="41" t="str">
        <f xml:space="preserve"> _xlfn.TEXTJOIN( "", , data_scaledImpacts[[#This Row],[sector]:[impactType]] )</f>
        <v>VibrioMIROC53 N/ALostDays</v>
      </c>
      <c r="C3010" s="33" t="s">
        <v>1301</v>
      </c>
      <c r="D3010" s="33" t="s">
        <v>4</v>
      </c>
      <c r="E3010" s="34">
        <v>3</v>
      </c>
      <c r="F3010" s="34" t="s">
        <v>1306</v>
      </c>
      <c r="G3010" s="34" t="s">
        <v>201</v>
      </c>
      <c r="H3010" s="35" t="s">
        <v>1305</v>
      </c>
      <c r="I3010" s="43"/>
      <c r="J3010" s="96"/>
      <c r="K3010" s="137">
        <v>21017.700333636301</v>
      </c>
      <c r="L3010" s="37"/>
      <c r="M3010" s="137">
        <v>8017.1901790909096</v>
      </c>
      <c r="N3010" s="137">
        <v>33313.313405454501</v>
      </c>
      <c r="O3010" s="137">
        <v>5502.4673554545398</v>
      </c>
      <c r="P3010" s="137">
        <v>4225.7053618181799</v>
      </c>
    </row>
    <row r="3011" spans="1:16" hidden="1" x14ac:dyDescent="0.35">
      <c r="A3011" s="3">
        <f xml:space="preserve"> ROW( data_scaledImpacts[[#This Row],[row_id]] ) - ROW( data_scaledImpacts[[#Headers],[row_id]] )</f>
        <v>3010</v>
      </c>
      <c r="B3011" s="41" t="str">
        <f xml:space="preserve"> _xlfn.TEXTJOIN( "", , data_scaledImpacts[[#This Row],[sector]:[impactType]] )</f>
        <v>VibrioMIROC54 N/ALostDays</v>
      </c>
      <c r="C3011" s="33" t="s">
        <v>1301</v>
      </c>
      <c r="D3011" s="33" t="s">
        <v>4</v>
      </c>
      <c r="E3011" s="34">
        <v>4</v>
      </c>
      <c r="F3011" s="34" t="s">
        <v>1306</v>
      </c>
      <c r="G3011" s="34" t="s">
        <v>201</v>
      </c>
      <c r="H3011" s="35" t="s">
        <v>1305</v>
      </c>
      <c r="I3011" s="43"/>
      <c r="J3011" s="96"/>
      <c r="K3011" s="137">
        <v>32688.300444545399</v>
      </c>
      <c r="L3011" s="37"/>
      <c r="M3011" s="137">
        <v>12598.237068181799</v>
      </c>
      <c r="N3011" s="137">
        <v>48721.867941818098</v>
      </c>
      <c r="O3011" s="137">
        <v>7458.6000218181798</v>
      </c>
      <c r="P3011" s="137">
        <v>5828.9741609090897</v>
      </c>
    </row>
    <row r="3012" spans="1:16" hidden="1" x14ac:dyDescent="0.35">
      <c r="A3012" s="3">
        <f xml:space="preserve"> ROW( data_scaledImpacts[[#This Row],[row_id]] ) - ROW( data_scaledImpacts[[#Headers],[row_id]] )</f>
        <v>3011</v>
      </c>
      <c r="B3012" s="41" t="str">
        <f xml:space="preserve"> _xlfn.TEXTJOIN( "", , data_scaledImpacts[[#This Row],[sector]:[impactType]] )</f>
        <v>VibrioMIROC55 N/ALostDays</v>
      </c>
      <c r="C3012" s="33" t="s">
        <v>1301</v>
      </c>
      <c r="D3012" s="33" t="s">
        <v>4</v>
      </c>
      <c r="E3012" s="34">
        <v>5</v>
      </c>
      <c r="F3012" s="34" t="s">
        <v>1306</v>
      </c>
      <c r="G3012" s="34" t="s">
        <v>201</v>
      </c>
      <c r="H3012" s="35" t="s">
        <v>1305</v>
      </c>
      <c r="I3012" s="43"/>
      <c r="J3012" s="96"/>
      <c r="K3012" s="137">
        <v>39394.748902727202</v>
      </c>
      <c r="L3012" s="37"/>
      <c r="M3012" s="137">
        <v>16527.306290909</v>
      </c>
      <c r="N3012" s="137">
        <v>65658.773160908997</v>
      </c>
      <c r="O3012" s="137">
        <v>10430.508167272699</v>
      </c>
      <c r="P3012" s="137">
        <v>8722.7894145454502</v>
      </c>
    </row>
    <row r="3013" spans="1:16" hidden="1" x14ac:dyDescent="0.35">
      <c r="A3013" s="3">
        <f xml:space="preserve"> ROW( data_scaledImpacts[[#This Row],[row_id]] ) - ROW( data_scaledImpacts[[#Headers],[row_id]] )</f>
        <v>3012</v>
      </c>
      <c r="B3013" s="41" t="str">
        <f xml:space="preserve"> _xlfn.TEXTJOIN( "", , data_scaledImpacts[[#This Row],[sector]:[impactType]] )</f>
        <v>VibrioCanESM21 N/AMortality</v>
      </c>
      <c r="C3013" s="33" t="s">
        <v>1301</v>
      </c>
      <c r="D3013" s="33" t="s">
        <v>0</v>
      </c>
      <c r="E3013" s="34">
        <v>1</v>
      </c>
      <c r="F3013" s="34" t="s">
        <v>1306</v>
      </c>
      <c r="G3013" s="34" t="s">
        <v>201</v>
      </c>
      <c r="H3013" s="35" t="s">
        <v>768</v>
      </c>
      <c r="I3013" s="43"/>
      <c r="J3013" s="96"/>
      <c r="K3013" s="137">
        <v>9.7947617854545399</v>
      </c>
      <c r="L3013" s="37"/>
      <c r="M3013" s="137">
        <v>1.54975962636363</v>
      </c>
      <c r="N3013" s="137">
        <v>18.299361430908998</v>
      </c>
      <c r="O3013" s="137">
        <v>3.5194487727272699</v>
      </c>
      <c r="P3013" s="137">
        <v>0.91192688636363595</v>
      </c>
    </row>
    <row r="3014" spans="1:16" hidden="1" x14ac:dyDescent="0.35">
      <c r="A3014" s="3">
        <f xml:space="preserve"> ROW( data_scaledImpacts[[#This Row],[row_id]] ) - ROW( data_scaledImpacts[[#Headers],[row_id]] )</f>
        <v>3013</v>
      </c>
      <c r="B3014" s="41" t="str">
        <f xml:space="preserve"> _xlfn.TEXTJOIN( "", , data_scaledImpacts[[#This Row],[sector]:[impactType]] )</f>
        <v>VibrioCanESM22 N/AMortality</v>
      </c>
      <c r="C3014" s="33" t="s">
        <v>1301</v>
      </c>
      <c r="D3014" s="33" t="s">
        <v>0</v>
      </c>
      <c r="E3014" s="34">
        <v>2</v>
      </c>
      <c r="F3014" s="34" t="s">
        <v>1306</v>
      </c>
      <c r="G3014" s="34" t="s">
        <v>201</v>
      </c>
      <c r="H3014" s="35" t="s">
        <v>768</v>
      </c>
      <c r="I3014" s="43"/>
      <c r="J3014" s="96"/>
      <c r="K3014" s="137">
        <v>18.818104550908998</v>
      </c>
      <c r="L3014" s="37"/>
      <c r="M3014" s="137">
        <v>3.6638152518181801</v>
      </c>
      <c r="N3014" s="137">
        <v>39.333075795454498</v>
      </c>
      <c r="O3014" s="137">
        <v>7.4998157454545398</v>
      </c>
      <c r="P3014" s="137">
        <v>2.7522876863636299</v>
      </c>
    </row>
    <row r="3015" spans="1:16" hidden="1" x14ac:dyDescent="0.35">
      <c r="A3015" s="3">
        <f xml:space="preserve"> ROW( data_scaledImpacts[[#This Row],[row_id]] ) - ROW( data_scaledImpacts[[#Headers],[row_id]] )</f>
        <v>3014</v>
      </c>
      <c r="B3015" s="41" t="str">
        <f xml:space="preserve"> _xlfn.TEXTJOIN( "", , data_scaledImpacts[[#This Row],[sector]:[impactType]] )</f>
        <v>VibrioCanESM23 N/AMortality</v>
      </c>
      <c r="C3015" s="33" t="s">
        <v>1301</v>
      </c>
      <c r="D3015" s="33" t="s">
        <v>0</v>
      </c>
      <c r="E3015" s="34">
        <v>3</v>
      </c>
      <c r="F3015" s="34" t="s">
        <v>1306</v>
      </c>
      <c r="G3015" s="34" t="s">
        <v>201</v>
      </c>
      <c r="H3015" s="35" t="s">
        <v>768</v>
      </c>
      <c r="I3015" s="43"/>
      <c r="J3015" s="96"/>
      <c r="K3015" s="137">
        <v>27.8302691745454</v>
      </c>
      <c r="L3015" s="37"/>
      <c r="M3015" s="137">
        <v>7.2388689490909002</v>
      </c>
      <c r="N3015" s="137">
        <v>57.689594899999904</v>
      </c>
      <c r="O3015" s="137">
        <v>11.802892918181801</v>
      </c>
      <c r="P3015" s="137">
        <v>4.26822068727272</v>
      </c>
    </row>
    <row r="3016" spans="1:16" hidden="1" x14ac:dyDescent="0.35">
      <c r="A3016" s="3">
        <f xml:space="preserve"> ROW( data_scaledImpacts[[#This Row],[row_id]] ) - ROW( data_scaledImpacts[[#Headers],[row_id]] )</f>
        <v>3015</v>
      </c>
      <c r="B3016" s="41" t="str">
        <f xml:space="preserve"> _xlfn.TEXTJOIN( "", , data_scaledImpacts[[#This Row],[sector]:[impactType]] )</f>
        <v>VibrioCanESM24 N/AMortality</v>
      </c>
      <c r="C3016" s="33" t="s">
        <v>1301</v>
      </c>
      <c r="D3016" s="33" t="s">
        <v>0</v>
      </c>
      <c r="E3016" s="34">
        <v>4</v>
      </c>
      <c r="F3016" s="34" t="s">
        <v>1306</v>
      </c>
      <c r="G3016" s="34" t="s">
        <v>201</v>
      </c>
      <c r="H3016" s="35" t="s">
        <v>768</v>
      </c>
      <c r="I3016" s="43"/>
      <c r="J3016" s="96"/>
      <c r="K3016" s="137">
        <v>40.754583707272701</v>
      </c>
      <c r="L3016" s="37"/>
      <c r="M3016" s="137">
        <v>11.8719671199999</v>
      </c>
      <c r="N3016" s="137">
        <v>80.827759817272707</v>
      </c>
      <c r="O3016" s="137">
        <v>17.047060136363601</v>
      </c>
      <c r="P3016" s="137">
        <v>6.8312473990909099</v>
      </c>
    </row>
    <row r="3017" spans="1:16" hidden="1" x14ac:dyDescent="0.35">
      <c r="A3017" s="3">
        <f xml:space="preserve"> ROW( data_scaledImpacts[[#This Row],[row_id]] ) - ROW( data_scaledImpacts[[#Headers],[row_id]] )</f>
        <v>3016</v>
      </c>
      <c r="B3017" s="41" t="str">
        <f xml:space="preserve"> _xlfn.TEXTJOIN( "", , data_scaledImpacts[[#This Row],[sector]:[impactType]] )</f>
        <v>VibrioCanESM25 N/AMortality</v>
      </c>
      <c r="C3017" s="33" t="s">
        <v>1301</v>
      </c>
      <c r="D3017" s="33" t="s">
        <v>0</v>
      </c>
      <c r="E3017" s="34">
        <v>5</v>
      </c>
      <c r="F3017" s="34" t="s">
        <v>1306</v>
      </c>
      <c r="G3017" s="34" t="s">
        <v>201</v>
      </c>
      <c r="H3017" s="35" t="s">
        <v>768</v>
      </c>
      <c r="I3017" s="43"/>
      <c r="J3017" s="96"/>
      <c r="K3017" s="137">
        <v>53.989537088181798</v>
      </c>
      <c r="L3017" s="37"/>
      <c r="M3017" s="137">
        <v>16.799595767272699</v>
      </c>
      <c r="N3017" s="137">
        <v>101.321149337272</v>
      </c>
      <c r="O3017" s="137">
        <v>20.223383663636302</v>
      </c>
      <c r="P3017" s="137">
        <v>9.3280113354545406</v>
      </c>
    </row>
    <row r="3018" spans="1:16" hidden="1" x14ac:dyDescent="0.35">
      <c r="A3018" s="3">
        <f xml:space="preserve"> ROW( data_scaledImpacts[[#This Row],[row_id]] ) - ROW( data_scaledImpacts[[#Headers],[row_id]] )</f>
        <v>3017</v>
      </c>
      <c r="B3018" s="41" t="str">
        <f xml:space="preserve"> _xlfn.TEXTJOIN( "", , data_scaledImpacts[[#This Row],[sector]:[impactType]] )</f>
        <v>VibrioCanESM26 N/AMortality</v>
      </c>
      <c r="C3018" s="33" t="s">
        <v>1301</v>
      </c>
      <c r="D3018" s="33" t="s">
        <v>0</v>
      </c>
      <c r="E3018" s="34">
        <v>6</v>
      </c>
      <c r="F3018" s="34" t="s">
        <v>1306</v>
      </c>
      <c r="G3018" s="34" t="s">
        <v>201</v>
      </c>
      <c r="H3018" s="35" t="s">
        <v>768</v>
      </c>
      <c r="I3018" s="43"/>
      <c r="J3018" s="96"/>
      <c r="K3018" s="137">
        <v>70.441704229999999</v>
      </c>
      <c r="L3018" s="37"/>
      <c r="M3018" s="137">
        <v>23.072546988181799</v>
      </c>
      <c r="N3018" s="137">
        <v>134.15450353909</v>
      </c>
      <c r="O3018" s="137">
        <v>27.2595458454545</v>
      </c>
      <c r="P3018" s="137">
        <v>12.9184342345454</v>
      </c>
    </row>
    <row r="3019" spans="1:16" hidden="1" x14ac:dyDescent="0.35">
      <c r="A3019" s="3">
        <f xml:space="preserve"> ROW( data_scaledImpacts[[#This Row],[row_id]] ) - ROW( data_scaledImpacts[[#Headers],[row_id]] )</f>
        <v>3018</v>
      </c>
      <c r="B3019" s="41" t="str">
        <f xml:space="preserve"> _xlfn.TEXTJOIN( "", , data_scaledImpacts[[#This Row],[sector]:[impactType]] )</f>
        <v>VibrioCCSM41 N/AMortality</v>
      </c>
      <c r="C3019" s="33" t="s">
        <v>1301</v>
      </c>
      <c r="D3019" s="33" t="s">
        <v>1</v>
      </c>
      <c r="E3019" s="34">
        <v>1</v>
      </c>
      <c r="F3019" s="34" t="s">
        <v>1306</v>
      </c>
      <c r="G3019" s="34" t="s">
        <v>201</v>
      </c>
      <c r="H3019" s="35" t="s">
        <v>768</v>
      </c>
      <c r="I3019" s="43"/>
      <c r="J3019" s="96"/>
      <c r="K3019" s="137">
        <v>5.8479538045454502</v>
      </c>
      <c r="L3019" s="37"/>
      <c r="M3019" s="137">
        <v>0.95619391454545299</v>
      </c>
      <c r="N3019" s="137">
        <v>14.4286261827272</v>
      </c>
      <c r="O3019" s="137">
        <v>3.58628867272727</v>
      </c>
      <c r="P3019" s="137">
        <v>0.91279279272727198</v>
      </c>
    </row>
    <row r="3020" spans="1:16" hidden="1" x14ac:dyDescent="0.35">
      <c r="A3020" s="3">
        <f xml:space="preserve"> ROW( data_scaledImpacts[[#This Row],[row_id]] ) - ROW( data_scaledImpacts[[#Headers],[row_id]] )</f>
        <v>3019</v>
      </c>
      <c r="B3020" s="41" t="str">
        <f xml:space="preserve"> _xlfn.TEXTJOIN( "", , data_scaledImpacts[[#This Row],[sector]:[impactType]] )</f>
        <v>VibrioCCSM42 N/AMortality</v>
      </c>
      <c r="C3020" s="33" t="s">
        <v>1301</v>
      </c>
      <c r="D3020" s="33" t="s">
        <v>1</v>
      </c>
      <c r="E3020" s="34">
        <v>2</v>
      </c>
      <c r="F3020" s="34" t="s">
        <v>1306</v>
      </c>
      <c r="G3020" s="34" t="s">
        <v>201</v>
      </c>
      <c r="H3020" s="35" t="s">
        <v>768</v>
      </c>
      <c r="I3020" s="43"/>
      <c r="J3020" s="96"/>
      <c r="K3020" s="137">
        <v>12.6560284645454</v>
      </c>
      <c r="L3020" s="37"/>
      <c r="M3020" s="137">
        <v>2.3159936445454501</v>
      </c>
      <c r="N3020" s="137">
        <v>30.362988914545401</v>
      </c>
      <c r="O3020" s="137">
        <v>6.4354421818181802</v>
      </c>
      <c r="P3020" s="137">
        <v>2.0569842199999999</v>
      </c>
    </row>
    <row r="3021" spans="1:16" hidden="1" x14ac:dyDescent="0.35">
      <c r="A3021" s="3">
        <f xml:space="preserve"> ROW( data_scaledImpacts[[#This Row],[row_id]] ) - ROW( data_scaledImpacts[[#Headers],[row_id]] )</f>
        <v>3020</v>
      </c>
      <c r="B3021" s="41" t="str">
        <f xml:space="preserve"> _xlfn.TEXTJOIN( "", , data_scaledImpacts[[#This Row],[sector]:[impactType]] )</f>
        <v>VibrioCCSM43 N/AMortality</v>
      </c>
      <c r="C3021" s="33" t="s">
        <v>1301</v>
      </c>
      <c r="D3021" s="33" t="s">
        <v>1</v>
      </c>
      <c r="E3021" s="34">
        <v>3</v>
      </c>
      <c r="F3021" s="34" t="s">
        <v>1306</v>
      </c>
      <c r="G3021" s="34" t="s">
        <v>201</v>
      </c>
      <c r="H3021" s="35" t="s">
        <v>768</v>
      </c>
      <c r="I3021" s="43"/>
      <c r="J3021" s="96"/>
      <c r="K3021" s="137">
        <v>22.5567073090909</v>
      </c>
      <c r="L3021" s="37"/>
      <c r="M3021" s="137">
        <v>4.5319592536363604</v>
      </c>
      <c r="N3021" s="137">
        <v>54.658836952727199</v>
      </c>
      <c r="O3021" s="137">
        <v>11.674858827272701</v>
      </c>
      <c r="P3021" s="137">
        <v>3.0513758927272701</v>
      </c>
    </row>
    <row r="3022" spans="1:16" hidden="1" x14ac:dyDescent="0.35">
      <c r="A3022" s="3">
        <f xml:space="preserve"> ROW( data_scaledImpacts[[#This Row],[row_id]] ) - ROW( data_scaledImpacts[[#Headers],[row_id]] )</f>
        <v>3021</v>
      </c>
      <c r="B3022" s="41" t="str">
        <f xml:space="preserve"> _xlfn.TEXTJOIN( "", , data_scaledImpacts[[#This Row],[sector]:[impactType]] )</f>
        <v>VibrioCCSM44 N/AMortality</v>
      </c>
      <c r="C3022" s="33" t="s">
        <v>1301</v>
      </c>
      <c r="D3022" s="33" t="s">
        <v>1</v>
      </c>
      <c r="E3022" s="34">
        <v>4</v>
      </c>
      <c r="F3022" s="34" t="s">
        <v>1306</v>
      </c>
      <c r="G3022" s="34" t="s">
        <v>201</v>
      </c>
      <c r="H3022" s="35" t="s">
        <v>768</v>
      </c>
      <c r="I3022" s="43"/>
      <c r="J3022" s="96"/>
      <c r="K3022" s="137">
        <v>30.5673104881818</v>
      </c>
      <c r="L3022" s="37"/>
      <c r="M3022" s="137">
        <v>7.9145316136363597</v>
      </c>
      <c r="N3022" s="137">
        <v>72.933318216363602</v>
      </c>
      <c r="O3022" s="137">
        <v>15.1297206272727</v>
      </c>
      <c r="P3022" s="137">
        <v>5.2845016218181797</v>
      </c>
    </row>
    <row r="3023" spans="1:16" hidden="1" x14ac:dyDescent="0.35">
      <c r="A3023" s="3">
        <f xml:space="preserve"> ROW( data_scaledImpacts[[#This Row],[row_id]] ) - ROW( data_scaledImpacts[[#Headers],[row_id]] )</f>
        <v>3022</v>
      </c>
      <c r="B3023" s="41" t="str">
        <f xml:space="preserve"> _xlfn.TEXTJOIN( "", , data_scaledImpacts[[#This Row],[sector]:[impactType]] )</f>
        <v>VibrioCCSM45 N/AMortality</v>
      </c>
      <c r="C3023" s="33" t="s">
        <v>1301</v>
      </c>
      <c r="D3023" s="33" t="s">
        <v>1</v>
      </c>
      <c r="E3023" s="34">
        <v>5</v>
      </c>
      <c r="F3023" s="34" t="s">
        <v>1306</v>
      </c>
      <c r="G3023" s="34" t="s">
        <v>201</v>
      </c>
      <c r="H3023" s="35" t="s">
        <v>768</v>
      </c>
      <c r="I3023" s="43"/>
      <c r="J3023" s="96"/>
      <c r="K3023" s="137">
        <v>40.508944169090903</v>
      </c>
      <c r="L3023" s="37"/>
      <c r="M3023" s="137">
        <v>9.6566889372727207</v>
      </c>
      <c r="N3023" s="137">
        <v>102.745055784545</v>
      </c>
      <c r="O3023" s="137">
        <v>22.541477672727201</v>
      </c>
      <c r="P3023" s="137">
        <v>5.6552025109090902</v>
      </c>
    </row>
    <row r="3024" spans="1:16" hidden="1" x14ac:dyDescent="0.35">
      <c r="A3024" s="3">
        <f xml:space="preserve"> ROW( data_scaledImpacts[[#This Row],[row_id]] ) - ROW( data_scaledImpacts[[#Headers],[row_id]] )</f>
        <v>3023</v>
      </c>
      <c r="B3024" s="41" t="str">
        <f xml:space="preserve"> _xlfn.TEXTJOIN( "", , data_scaledImpacts[[#This Row],[sector]:[impactType]] )</f>
        <v>VibrioGFDL-CM31 N/AMortality</v>
      </c>
      <c r="C3024" s="33" t="s">
        <v>1301</v>
      </c>
      <c r="D3024" s="33" t="s">
        <v>5</v>
      </c>
      <c r="E3024" s="34">
        <v>1</v>
      </c>
      <c r="F3024" s="34" t="s">
        <v>1306</v>
      </c>
      <c r="G3024" s="34" t="s">
        <v>201</v>
      </c>
      <c r="H3024" s="35" t="s">
        <v>768</v>
      </c>
      <c r="I3024" s="43"/>
      <c r="J3024" s="96"/>
      <c r="K3024" s="137">
        <v>10.7974594981818</v>
      </c>
      <c r="L3024" s="37"/>
      <c r="M3024" s="137">
        <v>1.0672299109090899</v>
      </c>
      <c r="N3024" s="137">
        <v>22.963696842727199</v>
      </c>
      <c r="O3024" s="137">
        <v>5.2827954454545401</v>
      </c>
      <c r="P3024" s="137">
        <v>0.96962444999999997</v>
      </c>
    </row>
    <row r="3025" spans="1:16" hidden="1" x14ac:dyDescent="0.35">
      <c r="A3025" s="3">
        <f xml:space="preserve"> ROW( data_scaledImpacts[[#This Row],[row_id]] ) - ROW( data_scaledImpacts[[#Headers],[row_id]] )</f>
        <v>3024</v>
      </c>
      <c r="B3025" s="41" t="str">
        <f xml:space="preserve"> _xlfn.TEXTJOIN( "", , data_scaledImpacts[[#This Row],[sector]:[impactType]] )</f>
        <v>VibrioGFDL-CM32 N/AMortality</v>
      </c>
      <c r="C3025" s="33" t="s">
        <v>1301</v>
      </c>
      <c r="D3025" s="33" t="s">
        <v>5</v>
      </c>
      <c r="E3025" s="34">
        <v>2</v>
      </c>
      <c r="F3025" s="34" t="s">
        <v>1306</v>
      </c>
      <c r="G3025" s="34" t="s">
        <v>201</v>
      </c>
      <c r="H3025" s="35" t="s">
        <v>768</v>
      </c>
      <c r="I3025" s="43"/>
      <c r="J3025" s="96"/>
      <c r="K3025" s="137">
        <v>18.4544207227272</v>
      </c>
      <c r="L3025" s="37"/>
      <c r="M3025" s="137">
        <v>2.7095887481818099</v>
      </c>
      <c r="N3025" s="137">
        <v>44.606044374545398</v>
      </c>
      <c r="O3025" s="137">
        <v>10.0390036545454</v>
      </c>
      <c r="P3025" s="137">
        <v>2.08401330272727</v>
      </c>
    </row>
    <row r="3026" spans="1:16" hidden="1" x14ac:dyDescent="0.35">
      <c r="A3026" s="3">
        <f xml:space="preserve"> ROW( data_scaledImpacts[[#This Row],[row_id]] ) - ROW( data_scaledImpacts[[#Headers],[row_id]] )</f>
        <v>3025</v>
      </c>
      <c r="B3026" s="41" t="str">
        <f xml:space="preserve"> _xlfn.TEXTJOIN( "", , data_scaledImpacts[[#This Row],[sector]:[impactType]] )</f>
        <v>VibrioGFDL-CM33 N/AMortality</v>
      </c>
      <c r="C3026" s="33" t="s">
        <v>1301</v>
      </c>
      <c r="D3026" s="33" t="s">
        <v>5</v>
      </c>
      <c r="E3026" s="34">
        <v>3</v>
      </c>
      <c r="F3026" s="34" t="s">
        <v>1306</v>
      </c>
      <c r="G3026" s="34" t="s">
        <v>201</v>
      </c>
      <c r="H3026" s="35" t="s">
        <v>768</v>
      </c>
      <c r="I3026" s="43"/>
      <c r="J3026" s="96"/>
      <c r="K3026" s="137">
        <v>31.655211530909</v>
      </c>
      <c r="L3026" s="37"/>
      <c r="M3026" s="137">
        <v>5.3989503381818098</v>
      </c>
      <c r="N3026" s="137">
        <v>67.558204368181805</v>
      </c>
      <c r="O3026" s="137">
        <v>15.503228799999899</v>
      </c>
      <c r="P3026" s="137">
        <v>3.96069435454545</v>
      </c>
    </row>
    <row r="3027" spans="1:16" hidden="1" x14ac:dyDescent="0.35">
      <c r="A3027" s="3">
        <f xml:space="preserve"> ROW( data_scaledImpacts[[#This Row],[row_id]] ) - ROW( data_scaledImpacts[[#Headers],[row_id]] )</f>
        <v>3026</v>
      </c>
      <c r="B3027" s="41" t="str">
        <f xml:space="preserve"> _xlfn.TEXTJOIN( "", , data_scaledImpacts[[#This Row],[sector]:[impactType]] )</f>
        <v>VibrioGFDL-CM34 N/AMortality</v>
      </c>
      <c r="C3027" s="33" t="s">
        <v>1301</v>
      </c>
      <c r="D3027" s="33" t="s">
        <v>5</v>
      </c>
      <c r="E3027" s="34">
        <v>4</v>
      </c>
      <c r="F3027" s="34" t="s">
        <v>1306</v>
      </c>
      <c r="G3027" s="34" t="s">
        <v>201</v>
      </c>
      <c r="H3027" s="35" t="s">
        <v>768</v>
      </c>
      <c r="I3027" s="43"/>
      <c r="J3027" s="96"/>
      <c r="K3027" s="137">
        <v>44.381429854545402</v>
      </c>
      <c r="L3027" s="37"/>
      <c r="M3027" s="137">
        <v>7.7198512700000004</v>
      </c>
      <c r="N3027" s="137">
        <v>96.335030094545402</v>
      </c>
      <c r="O3027" s="137">
        <v>21.1491489727272</v>
      </c>
      <c r="P3027" s="137">
        <v>5.7130689254545404</v>
      </c>
    </row>
    <row r="3028" spans="1:16" hidden="1" x14ac:dyDescent="0.35">
      <c r="A3028" s="3">
        <f xml:space="preserve"> ROW( data_scaledImpacts[[#This Row],[row_id]] ) - ROW( data_scaledImpacts[[#Headers],[row_id]] )</f>
        <v>3027</v>
      </c>
      <c r="B3028" s="41" t="str">
        <f xml:space="preserve"> _xlfn.TEXTJOIN( "", , data_scaledImpacts[[#This Row],[sector]:[impactType]] )</f>
        <v>VibrioGFDL-CM35 N/AMortality</v>
      </c>
      <c r="C3028" s="33" t="s">
        <v>1301</v>
      </c>
      <c r="D3028" s="33" t="s">
        <v>5</v>
      </c>
      <c r="E3028" s="34">
        <v>5</v>
      </c>
      <c r="F3028" s="34" t="s">
        <v>1306</v>
      </c>
      <c r="G3028" s="34" t="s">
        <v>201</v>
      </c>
      <c r="H3028" s="35" t="s">
        <v>768</v>
      </c>
      <c r="I3028" s="43"/>
      <c r="J3028" s="96"/>
      <c r="K3028" s="137">
        <v>53.081244705000003</v>
      </c>
      <c r="L3028" s="37"/>
      <c r="M3028" s="137">
        <v>8.7410752699999996</v>
      </c>
      <c r="N3028" s="137">
        <v>117.5615456</v>
      </c>
      <c r="O3028" s="137">
        <v>25.2534033499999</v>
      </c>
      <c r="P3028" s="137">
        <v>7.1536169799999998</v>
      </c>
    </row>
    <row r="3029" spans="1:16" hidden="1" x14ac:dyDescent="0.35">
      <c r="A3029" s="3">
        <f xml:space="preserve"> ROW( data_scaledImpacts[[#This Row],[row_id]] ) - ROW( data_scaledImpacts[[#Headers],[row_id]] )</f>
        <v>3028</v>
      </c>
      <c r="B3029" s="41" t="str">
        <f xml:space="preserve"> _xlfn.TEXTJOIN( "", , data_scaledImpacts[[#This Row],[sector]:[impactType]] )</f>
        <v>VibrioGFDL-CM36 N/AMortality</v>
      </c>
      <c r="C3029" s="33" t="s">
        <v>1301</v>
      </c>
      <c r="D3029" s="33" t="s">
        <v>5</v>
      </c>
      <c r="E3029" s="34">
        <v>6</v>
      </c>
      <c r="F3029" s="34" t="s">
        <v>1306</v>
      </c>
      <c r="G3029" s="34" t="s">
        <v>201</v>
      </c>
      <c r="H3029" s="35" t="s">
        <v>768</v>
      </c>
      <c r="I3029" s="43"/>
      <c r="J3029" s="96"/>
      <c r="K3029" s="137">
        <v>72.037234706363606</v>
      </c>
      <c r="L3029" s="37"/>
      <c r="M3029" s="137">
        <v>14.758237599090901</v>
      </c>
      <c r="N3029" s="137">
        <v>153.17248859363599</v>
      </c>
      <c r="O3029" s="137">
        <v>33.581090181818098</v>
      </c>
      <c r="P3029" s="137">
        <v>9.6724377254545395</v>
      </c>
    </row>
    <row r="3030" spans="1:16" hidden="1" x14ac:dyDescent="0.35">
      <c r="A3030" s="3">
        <f xml:space="preserve"> ROW( data_scaledImpacts[[#This Row],[row_id]] ) - ROW( data_scaledImpacts[[#Headers],[row_id]] )</f>
        <v>3029</v>
      </c>
      <c r="B3030" s="41" t="str">
        <f xml:space="preserve"> _xlfn.TEXTJOIN( "", , data_scaledImpacts[[#This Row],[sector]:[impactType]] )</f>
        <v>VibrioGISS-E2-R1 N/AMortality</v>
      </c>
      <c r="C3030" s="33" t="s">
        <v>1301</v>
      </c>
      <c r="D3030" s="33" t="s">
        <v>2</v>
      </c>
      <c r="E3030" s="34">
        <v>1</v>
      </c>
      <c r="F3030" s="34" t="s">
        <v>1306</v>
      </c>
      <c r="G3030" s="34" t="s">
        <v>201</v>
      </c>
      <c r="H3030" s="35" t="s">
        <v>768</v>
      </c>
      <c r="I3030" s="43"/>
      <c r="J3030" s="96"/>
      <c r="K3030" s="137">
        <v>7.7177262863636296</v>
      </c>
      <c r="L3030" s="37"/>
      <c r="M3030" s="137">
        <v>1.35178471272727</v>
      </c>
      <c r="N3030" s="137">
        <v>18.697529047272699</v>
      </c>
      <c r="O3030" s="137">
        <v>3.70047832727272</v>
      </c>
      <c r="P3030" s="137">
        <v>1.03109110090909</v>
      </c>
    </row>
    <row r="3031" spans="1:16" hidden="1" x14ac:dyDescent="0.35">
      <c r="A3031" s="3">
        <f xml:space="preserve"> ROW( data_scaledImpacts[[#This Row],[row_id]] ) - ROW( data_scaledImpacts[[#Headers],[row_id]] )</f>
        <v>3030</v>
      </c>
      <c r="B3031" s="41" t="str">
        <f xml:space="preserve"> _xlfn.TEXTJOIN( "", , data_scaledImpacts[[#This Row],[sector]:[impactType]] )</f>
        <v>VibrioGISS-E2-R2 N/AMortality</v>
      </c>
      <c r="C3031" s="33" t="s">
        <v>1301</v>
      </c>
      <c r="D3031" s="33" t="s">
        <v>2</v>
      </c>
      <c r="E3031" s="34">
        <v>2</v>
      </c>
      <c r="F3031" s="34" t="s">
        <v>1306</v>
      </c>
      <c r="G3031" s="34" t="s">
        <v>201</v>
      </c>
      <c r="H3031" s="35" t="s">
        <v>768</v>
      </c>
      <c r="I3031" s="43"/>
      <c r="J3031" s="96"/>
      <c r="K3031" s="137">
        <v>12.505540471818099</v>
      </c>
      <c r="L3031" s="37"/>
      <c r="M3031" s="137">
        <v>2.8714616781818099</v>
      </c>
      <c r="N3031" s="137">
        <v>40.751822802727197</v>
      </c>
      <c r="O3031" s="137">
        <v>7.6698701363636301</v>
      </c>
      <c r="P3031" s="137">
        <v>2.4447074781818099</v>
      </c>
    </row>
    <row r="3032" spans="1:16" hidden="1" x14ac:dyDescent="0.35">
      <c r="A3032" s="3">
        <f xml:space="preserve"> ROW( data_scaledImpacts[[#This Row],[row_id]] ) - ROW( data_scaledImpacts[[#Headers],[row_id]] )</f>
        <v>3031</v>
      </c>
      <c r="B3032" s="41" t="str">
        <f xml:space="preserve"> _xlfn.TEXTJOIN( "", , data_scaledImpacts[[#This Row],[sector]:[impactType]] )</f>
        <v>VibrioGISS-E2-R3 N/AMortality</v>
      </c>
      <c r="C3032" s="33" t="s">
        <v>1301</v>
      </c>
      <c r="D3032" s="33" t="s">
        <v>2</v>
      </c>
      <c r="E3032" s="34">
        <v>3</v>
      </c>
      <c r="F3032" s="34" t="s">
        <v>1306</v>
      </c>
      <c r="G3032" s="34" t="s">
        <v>201</v>
      </c>
      <c r="H3032" s="35" t="s">
        <v>768</v>
      </c>
      <c r="I3032" s="43"/>
      <c r="J3032" s="96"/>
      <c r="K3032" s="137">
        <v>25.716040476363599</v>
      </c>
      <c r="L3032" s="37"/>
      <c r="M3032" s="137">
        <v>3.7982920599999899</v>
      </c>
      <c r="N3032" s="137">
        <v>65.369809613636306</v>
      </c>
      <c r="O3032" s="137">
        <v>11.6701816181818</v>
      </c>
      <c r="P3032" s="137">
        <v>3.6570609963636298</v>
      </c>
    </row>
    <row r="3033" spans="1:16" hidden="1" x14ac:dyDescent="0.35">
      <c r="A3033" s="3">
        <f xml:space="preserve"> ROW( data_scaledImpacts[[#This Row],[row_id]] ) - ROW( data_scaledImpacts[[#Headers],[row_id]] )</f>
        <v>3032</v>
      </c>
      <c r="B3033" s="41" t="str">
        <f xml:space="preserve"> _xlfn.TEXTJOIN( "", , data_scaledImpacts[[#This Row],[sector]:[impactType]] )</f>
        <v>VibrioHadGEM2-ES1 N/AMortality</v>
      </c>
      <c r="C3033" s="33" t="s">
        <v>1301</v>
      </c>
      <c r="D3033" s="33" t="s">
        <v>3</v>
      </c>
      <c r="E3033" s="34">
        <v>1</v>
      </c>
      <c r="F3033" s="34" t="s">
        <v>1306</v>
      </c>
      <c r="G3033" s="34" t="s">
        <v>201</v>
      </c>
      <c r="H3033" s="35" t="s">
        <v>768</v>
      </c>
      <c r="I3033" s="43"/>
      <c r="J3033" s="96"/>
      <c r="K3033" s="137">
        <v>7.1878791972727196</v>
      </c>
      <c r="L3033" s="37"/>
      <c r="M3033" s="137">
        <v>1.74050991090909</v>
      </c>
      <c r="N3033" s="137">
        <v>25.76141063</v>
      </c>
      <c r="O3033" s="137">
        <v>4.2021666363636303</v>
      </c>
      <c r="P3033" s="137">
        <v>0.66136857909090896</v>
      </c>
    </row>
    <row r="3034" spans="1:16" hidden="1" x14ac:dyDescent="0.35">
      <c r="A3034" s="3">
        <f xml:space="preserve"> ROW( data_scaledImpacts[[#This Row],[row_id]] ) - ROW( data_scaledImpacts[[#Headers],[row_id]] )</f>
        <v>3033</v>
      </c>
      <c r="B3034" s="41" t="str">
        <f xml:space="preserve"> _xlfn.TEXTJOIN( "", , data_scaledImpacts[[#This Row],[sector]:[impactType]] )</f>
        <v>VibrioHadGEM2-ES2 N/AMortality</v>
      </c>
      <c r="C3034" s="33" t="s">
        <v>1301</v>
      </c>
      <c r="D3034" s="33" t="s">
        <v>3</v>
      </c>
      <c r="E3034" s="34">
        <v>2</v>
      </c>
      <c r="F3034" s="34" t="s">
        <v>1306</v>
      </c>
      <c r="G3034" s="34" t="s">
        <v>201</v>
      </c>
      <c r="H3034" s="35" t="s">
        <v>768</v>
      </c>
      <c r="I3034" s="43"/>
      <c r="J3034" s="96"/>
      <c r="K3034" s="137">
        <v>15.0623512018181</v>
      </c>
      <c r="L3034" s="37"/>
      <c r="M3034" s="137">
        <v>2.8487612027272702</v>
      </c>
      <c r="N3034" s="137">
        <v>40.895580159090898</v>
      </c>
      <c r="O3034" s="137">
        <v>8.9457990363636295</v>
      </c>
      <c r="P3034" s="137">
        <v>1.8573756772727199</v>
      </c>
    </row>
    <row r="3035" spans="1:16" hidden="1" x14ac:dyDescent="0.35">
      <c r="A3035" s="3">
        <f xml:space="preserve"> ROW( data_scaledImpacts[[#This Row],[row_id]] ) - ROW( data_scaledImpacts[[#Headers],[row_id]] )</f>
        <v>3034</v>
      </c>
      <c r="B3035" s="41" t="str">
        <f xml:space="preserve"> _xlfn.TEXTJOIN( "", , data_scaledImpacts[[#This Row],[sector]:[impactType]] )</f>
        <v>VibrioHadGEM2-ES3 N/AMortality</v>
      </c>
      <c r="C3035" s="33" t="s">
        <v>1301</v>
      </c>
      <c r="D3035" s="33" t="s">
        <v>3</v>
      </c>
      <c r="E3035" s="34">
        <v>3</v>
      </c>
      <c r="F3035" s="34" t="s">
        <v>1306</v>
      </c>
      <c r="G3035" s="34" t="s">
        <v>201</v>
      </c>
      <c r="H3035" s="35" t="s">
        <v>768</v>
      </c>
      <c r="I3035" s="43"/>
      <c r="J3035" s="96"/>
      <c r="K3035" s="137">
        <v>23.9682217054545</v>
      </c>
      <c r="L3035" s="37"/>
      <c r="M3035" s="137">
        <v>4.3454723872727197</v>
      </c>
      <c r="N3035" s="137">
        <v>63.987313636363602</v>
      </c>
      <c r="O3035" s="137">
        <v>11.983481136363601</v>
      </c>
      <c r="P3035" s="137">
        <v>2.9505413309090902</v>
      </c>
    </row>
    <row r="3036" spans="1:16" hidden="1" x14ac:dyDescent="0.35">
      <c r="A3036" s="3">
        <f xml:space="preserve"> ROW( data_scaledImpacts[[#This Row],[row_id]] ) - ROW( data_scaledImpacts[[#Headers],[row_id]] )</f>
        <v>3035</v>
      </c>
      <c r="B3036" s="41" t="str">
        <f xml:space="preserve"> _xlfn.TEXTJOIN( "", , data_scaledImpacts[[#This Row],[sector]:[impactType]] )</f>
        <v>VibrioHadGEM2-ES4 N/AMortality</v>
      </c>
      <c r="C3036" s="33" t="s">
        <v>1301</v>
      </c>
      <c r="D3036" s="33" t="s">
        <v>3</v>
      </c>
      <c r="E3036" s="34">
        <v>4</v>
      </c>
      <c r="F3036" s="34" t="s">
        <v>1306</v>
      </c>
      <c r="G3036" s="34" t="s">
        <v>201</v>
      </c>
      <c r="H3036" s="35" t="s">
        <v>768</v>
      </c>
      <c r="I3036" s="43"/>
      <c r="J3036" s="96"/>
      <c r="K3036" s="137">
        <v>34.066886004545402</v>
      </c>
      <c r="L3036" s="37"/>
      <c r="M3036" s="137">
        <v>7.9931812645454503</v>
      </c>
      <c r="N3036" s="137">
        <v>83.807297030909098</v>
      </c>
      <c r="O3036" s="137">
        <v>15.642341009090901</v>
      </c>
      <c r="P3036" s="137">
        <v>5.4511311909090896</v>
      </c>
    </row>
    <row r="3037" spans="1:16" hidden="1" x14ac:dyDescent="0.35">
      <c r="A3037" s="3">
        <f xml:space="preserve"> ROW( data_scaledImpacts[[#This Row],[row_id]] ) - ROW( data_scaledImpacts[[#Headers],[row_id]] )</f>
        <v>3036</v>
      </c>
      <c r="B3037" s="41" t="str">
        <f xml:space="preserve"> _xlfn.TEXTJOIN( "", , data_scaledImpacts[[#This Row],[sector]:[impactType]] )</f>
        <v>VibrioHadGEM2-ES5 N/AMortality</v>
      </c>
      <c r="C3037" s="33" t="s">
        <v>1301</v>
      </c>
      <c r="D3037" s="33" t="s">
        <v>3</v>
      </c>
      <c r="E3037" s="34">
        <v>5</v>
      </c>
      <c r="F3037" s="34" t="s">
        <v>1306</v>
      </c>
      <c r="G3037" s="34" t="s">
        <v>201</v>
      </c>
      <c r="H3037" s="35" t="s">
        <v>768</v>
      </c>
      <c r="I3037" s="43"/>
      <c r="J3037" s="96"/>
      <c r="K3037" s="137">
        <v>46.0023281245454</v>
      </c>
      <c r="L3037" s="37"/>
      <c r="M3037" s="137">
        <v>11.6350734572727</v>
      </c>
      <c r="N3037" s="137">
        <v>103.651974238181</v>
      </c>
      <c r="O3037" s="137">
        <v>18.792105927272701</v>
      </c>
      <c r="P3037" s="137">
        <v>7.0874720681818104</v>
      </c>
    </row>
    <row r="3038" spans="1:16" hidden="1" x14ac:dyDescent="0.35">
      <c r="A3038" s="3">
        <f xml:space="preserve"> ROW( data_scaledImpacts[[#This Row],[row_id]] ) - ROW( data_scaledImpacts[[#Headers],[row_id]] )</f>
        <v>3037</v>
      </c>
      <c r="B3038" s="41" t="str">
        <f xml:space="preserve"> _xlfn.TEXTJOIN( "", , data_scaledImpacts[[#This Row],[sector]:[impactType]] )</f>
        <v>VibrioHadGEM2-ES6 N/AMortality</v>
      </c>
      <c r="C3038" s="33" t="s">
        <v>1301</v>
      </c>
      <c r="D3038" s="33" t="s">
        <v>3</v>
      </c>
      <c r="E3038" s="34">
        <v>6</v>
      </c>
      <c r="F3038" s="34" t="s">
        <v>1306</v>
      </c>
      <c r="G3038" s="34" t="s">
        <v>201</v>
      </c>
      <c r="H3038" s="35" t="s">
        <v>768</v>
      </c>
      <c r="I3038" s="43"/>
      <c r="J3038" s="96"/>
      <c r="K3038" s="137">
        <v>63.653768234545403</v>
      </c>
      <c r="L3038" s="37"/>
      <c r="M3038" s="137">
        <v>16.204560713636301</v>
      </c>
      <c r="N3038" s="137">
        <v>135.90339628454501</v>
      </c>
      <c r="O3038" s="137">
        <v>24.589269245454499</v>
      </c>
      <c r="P3038" s="137">
        <v>9.2942486745454502</v>
      </c>
    </row>
    <row r="3039" spans="1:16" hidden="1" x14ac:dyDescent="0.35">
      <c r="A3039" s="3">
        <f xml:space="preserve"> ROW( data_scaledImpacts[[#This Row],[row_id]] ) - ROW( data_scaledImpacts[[#Headers],[row_id]] )</f>
        <v>3038</v>
      </c>
      <c r="B3039" s="41" t="str">
        <f xml:space="preserve"> _xlfn.TEXTJOIN( "", , data_scaledImpacts[[#This Row],[sector]:[impactType]] )</f>
        <v>VibrioMIROC51 N/AMortality</v>
      </c>
      <c r="C3039" s="33" t="s">
        <v>1301</v>
      </c>
      <c r="D3039" s="33" t="s">
        <v>4</v>
      </c>
      <c r="E3039" s="34">
        <v>1</v>
      </c>
      <c r="F3039" s="34" t="s">
        <v>1306</v>
      </c>
      <c r="G3039" s="34" t="s">
        <v>201</v>
      </c>
      <c r="H3039" s="35" t="s">
        <v>768</v>
      </c>
      <c r="I3039" s="43"/>
      <c r="J3039" s="96"/>
      <c r="K3039" s="137">
        <v>4.7862238418181802</v>
      </c>
      <c r="L3039" s="37"/>
      <c r="M3039" s="137">
        <v>1.0986413190908999</v>
      </c>
      <c r="N3039" s="137">
        <v>14.990881435454501</v>
      </c>
      <c r="O3039" s="137">
        <v>3.2466868636363602</v>
      </c>
      <c r="P3039" s="137">
        <v>0.64862177909090901</v>
      </c>
    </row>
    <row r="3040" spans="1:16" hidden="1" x14ac:dyDescent="0.35">
      <c r="A3040" s="3">
        <f xml:space="preserve"> ROW( data_scaledImpacts[[#This Row],[row_id]] ) - ROW( data_scaledImpacts[[#Headers],[row_id]] )</f>
        <v>3039</v>
      </c>
      <c r="B3040" s="41" t="str">
        <f xml:space="preserve"> _xlfn.TEXTJOIN( "", , data_scaledImpacts[[#This Row],[sector]:[impactType]] )</f>
        <v>VibrioMIROC52 N/AMortality</v>
      </c>
      <c r="C3040" s="33" t="s">
        <v>1301</v>
      </c>
      <c r="D3040" s="33" t="s">
        <v>4</v>
      </c>
      <c r="E3040" s="34">
        <v>2</v>
      </c>
      <c r="F3040" s="34" t="s">
        <v>1306</v>
      </c>
      <c r="G3040" s="34" t="s">
        <v>201</v>
      </c>
      <c r="H3040" s="35" t="s">
        <v>768</v>
      </c>
      <c r="I3040" s="43"/>
      <c r="J3040" s="96"/>
      <c r="K3040" s="137">
        <v>12.095714554545401</v>
      </c>
      <c r="L3040" s="37"/>
      <c r="M3040" s="137">
        <v>1.8053961036363599</v>
      </c>
      <c r="N3040" s="137">
        <v>32.816930576363603</v>
      </c>
      <c r="O3040" s="137">
        <v>7.6394041272727202</v>
      </c>
      <c r="P3040" s="137">
        <v>1.6978055609090901</v>
      </c>
    </row>
    <row r="3041" spans="1:16" hidden="1" x14ac:dyDescent="0.35">
      <c r="A3041" s="3">
        <f xml:space="preserve"> ROW( data_scaledImpacts[[#This Row],[row_id]] ) - ROW( data_scaledImpacts[[#Headers],[row_id]] )</f>
        <v>3040</v>
      </c>
      <c r="B3041" s="41" t="str">
        <f xml:space="preserve"> _xlfn.TEXTJOIN( "", , data_scaledImpacts[[#This Row],[sector]:[impactType]] )</f>
        <v>VibrioMIROC53 N/AMortality</v>
      </c>
      <c r="C3041" s="33" t="s">
        <v>1301</v>
      </c>
      <c r="D3041" s="33" t="s">
        <v>4</v>
      </c>
      <c r="E3041" s="34">
        <v>3</v>
      </c>
      <c r="F3041" s="34" t="s">
        <v>1306</v>
      </c>
      <c r="G3041" s="34" t="s">
        <v>201</v>
      </c>
      <c r="H3041" s="35" t="s">
        <v>768</v>
      </c>
      <c r="I3041" s="43"/>
      <c r="J3041" s="96"/>
      <c r="K3041" s="137">
        <v>20.725390218181801</v>
      </c>
      <c r="L3041" s="37"/>
      <c r="M3041" s="137">
        <v>3.12650858363636</v>
      </c>
      <c r="N3041" s="137">
        <v>49.585915458181802</v>
      </c>
      <c r="O3041" s="137">
        <v>11.2782743999999</v>
      </c>
      <c r="P3041" s="137">
        <v>2.7092571836363599</v>
      </c>
    </row>
    <row r="3042" spans="1:16" hidden="1" x14ac:dyDescent="0.35">
      <c r="A3042" s="3">
        <f xml:space="preserve"> ROW( data_scaledImpacts[[#This Row],[row_id]] ) - ROW( data_scaledImpacts[[#Headers],[row_id]] )</f>
        <v>3041</v>
      </c>
      <c r="B3042" s="41" t="str">
        <f xml:space="preserve"> _xlfn.TEXTJOIN( "", , data_scaledImpacts[[#This Row],[sector]:[impactType]] )</f>
        <v>VibrioMIROC54 N/AMortality</v>
      </c>
      <c r="C3042" s="33" t="s">
        <v>1301</v>
      </c>
      <c r="D3042" s="33" t="s">
        <v>4</v>
      </c>
      <c r="E3042" s="34">
        <v>4</v>
      </c>
      <c r="F3042" s="34" t="s">
        <v>1306</v>
      </c>
      <c r="G3042" s="34" t="s">
        <v>201</v>
      </c>
      <c r="H3042" s="35" t="s">
        <v>768</v>
      </c>
      <c r="I3042" s="43"/>
      <c r="J3042" s="96"/>
      <c r="K3042" s="137">
        <v>32.283814938181798</v>
      </c>
      <c r="L3042" s="37"/>
      <c r="M3042" s="137">
        <v>5.4677074327272699</v>
      </c>
      <c r="N3042" s="137">
        <v>72.197141086363601</v>
      </c>
      <c r="O3042" s="137">
        <v>15.1533238545454</v>
      </c>
      <c r="P3042" s="137">
        <v>3.7665591909090899</v>
      </c>
    </row>
    <row r="3043" spans="1:16" hidden="1" x14ac:dyDescent="0.35">
      <c r="A3043" s="3">
        <f xml:space="preserve"> ROW( data_scaledImpacts[[#This Row],[row_id]] ) - ROW( data_scaledImpacts[[#Headers],[row_id]] )</f>
        <v>3042</v>
      </c>
      <c r="B3043" s="41" t="str">
        <f xml:space="preserve"> _xlfn.TEXTJOIN( "", , data_scaledImpacts[[#This Row],[sector]:[impactType]] )</f>
        <v>VibrioMIROC55 N/AMortality</v>
      </c>
      <c r="C3043" s="33" t="s">
        <v>1301</v>
      </c>
      <c r="D3043" s="33" t="s">
        <v>4</v>
      </c>
      <c r="E3043" s="34">
        <v>5</v>
      </c>
      <c r="F3043" s="34" t="s">
        <v>1306</v>
      </c>
      <c r="G3043" s="34" t="s">
        <v>201</v>
      </c>
      <c r="H3043" s="35" t="s">
        <v>768</v>
      </c>
      <c r="I3043" s="43"/>
      <c r="J3043" s="111"/>
      <c r="K3043" s="137">
        <v>39.093599829090898</v>
      </c>
      <c r="L3043" s="39"/>
      <c r="M3043" s="137">
        <v>7.3880697190909004</v>
      </c>
      <c r="N3043" s="137">
        <v>97.212348560909007</v>
      </c>
      <c r="O3043" s="137">
        <v>20.9652086636363</v>
      </c>
      <c r="P3043" s="137">
        <v>5.74244294818181</v>
      </c>
    </row>
    <row r="3044" spans="1:16" hidden="1" x14ac:dyDescent="0.35">
      <c r="A3044" s="3">
        <f xml:space="preserve"> ROW( data_scaledImpacts[[#This Row],[row_id]] ) - ROW( data_scaledImpacts[[#Headers],[row_id]] )</f>
        <v>3043</v>
      </c>
      <c r="B3044" s="41" t="str">
        <f xml:space="preserve"> _xlfn.TEXTJOIN( "", , data_scaledImpacts[[#This Row],[sector]:[impactType]] )</f>
        <v>MentalHealthCanESM21N/A</v>
      </c>
      <c r="C3044" s="33" t="s">
        <v>1307</v>
      </c>
      <c r="D3044" s="33" t="s">
        <v>0</v>
      </c>
      <c r="E3044" s="34">
        <v>1</v>
      </c>
      <c r="F3044" s="34"/>
      <c r="G3044" s="34" t="s">
        <v>201</v>
      </c>
      <c r="H3044" s="35"/>
      <c r="I3044" s="43" t="s">
        <v>35</v>
      </c>
      <c r="J3044" s="96">
        <v>1.0315599724368601E-6</v>
      </c>
      <c r="K3044" s="96">
        <v>9.00274666500048E-7</v>
      </c>
      <c r="L3044" s="96">
        <v>1.44220699560688E-6</v>
      </c>
      <c r="M3044" s="96">
        <v>1.0925868229822799E-6</v>
      </c>
      <c r="N3044" s="96">
        <v>1.1575291841931101E-6</v>
      </c>
      <c r="O3044" s="96">
        <v>9.2586501075180095E-7</v>
      </c>
      <c r="P3044" s="96">
        <v>6.3662710173823201E-7</v>
      </c>
    </row>
    <row r="3045" spans="1:16" hidden="1" x14ac:dyDescent="0.35">
      <c r="A3045" s="3">
        <f xml:space="preserve"> ROW( data_scaledImpacts[[#This Row],[row_id]] ) - ROW( data_scaledImpacts[[#Headers],[row_id]] )</f>
        <v>3044</v>
      </c>
      <c r="B3045" s="41" t="str">
        <f xml:space="preserve"> _xlfn.TEXTJOIN( "", , data_scaledImpacts[[#This Row],[sector]:[impactType]] )</f>
        <v>MentalHealthCCSM41N/A</v>
      </c>
      <c r="C3045" s="33" t="s">
        <v>1307</v>
      </c>
      <c r="D3045" s="33" t="s">
        <v>1</v>
      </c>
      <c r="E3045" s="34">
        <v>1</v>
      </c>
      <c r="F3045" s="34"/>
      <c r="G3045" s="34" t="s">
        <v>201</v>
      </c>
      <c r="H3045" s="35"/>
      <c r="I3045" s="43" t="s">
        <v>36</v>
      </c>
      <c r="J3045" s="96">
        <v>9.8706281130895096E-7</v>
      </c>
      <c r="K3045" s="96">
        <v>4.46883195024474E-7</v>
      </c>
      <c r="L3045" s="96">
        <v>1.5317070922423101E-6</v>
      </c>
      <c r="M3045" s="96">
        <v>7.78224776941392E-7</v>
      </c>
      <c r="N3045" s="96">
        <v>9.8655141919015304E-7</v>
      </c>
      <c r="O3045" s="96">
        <v>9.5116512971671102E-7</v>
      </c>
      <c r="P3045" s="96">
        <v>6.8473937758605595E-7</v>
      </c>
    </row>
    <row r="3046" spans="1:16" hidden="1" x14ac:dyDescent="0.35">
      <c r="A3046" s="3">
        <f xml:space="preserve"> ROW( data_scaledImpacts[[#This Row],[row_id]] ) - ROW( data_scaledImpacts[[#Headers],[row_id]] )</f>
        <v>3045</v>
      </c>
      <c r="B3046" s="41" t="str">
        <f xml:space="preserve"> _xlfn.TEXTJOIN( "", , data_scaledImpacts[[#This Row],[sector]:[impactType]] )</f>
        <v>MentalHealthGISS-E2-R1N/A</v>
      </c>
      <c r="C3046" s="33" t="s">
        <v>1307</v>
      </c>
      <c r="D3046" s="33" t="s">
        <v>2</v>
      </c>
      <c r="E3046" s="34">
        <v>1</v>
      </c>
      <c r="F3046" s="34"/>
      <c r="G3046" s="34" t="s">
        <v>201</v>
      </c>
      <c r="H3046" s="35"/>
      <c r="I3046" s="43" t="s">
        <v>37</v>
      </c>
      <c r="J3046" s="96">
        <v>1.03857396000779E-6</v>
      </c>
      <c r="K3046" s="96">
        <v>8.1174710187318495E-7</v>
      </c>
      <c r="L3046" s="96">
        <v>1.18234848214089E-6</v>
      </c>
      <c r="M3046" s="96">
        <v>8.1993462129115296E-7</v>
      </c>
      <c r="N3046" s="96">
        <v>9.4214417382120298E-7</v>
      </c>
      <c r="O3046" s="96">
        <v>7.4682429925833196E-7</v>
      </c>
      <c r="P3046" s="96">
        <v>5.6271666791335195E-7</v>
      </c>
    </row>
    <row r="3047" spans="1:16" hidden="1" x14ac:dyDescent="0.35">
      <c r="A3047" s="3">
        <f xml:space="preserve"> ROW( data_scaledImpacts[[#This Row],[row_id]] ) - ROW( data_scaledImpacts[[#Headers],[row_id]] )</f>
        <v>3046</v>
      </c>
      <c r="B3047" s="41" t="str">
        <f xml:space="preserve"> _xlfn.TEXTJOIN( "", , data_scaledImpacts[[#This Row],[sector]:[impactType]] )</f>
        <v>MentalHealthHadGEM2-ES1N/A</v>
      </c>
      <c r="C3047" s="33" t="s">
        <v>1307</v>
      </c>
      <c r="D3047" s="33" t="s">
        <v>3</v>
      </c>
      <c r="E3047" s="34">
        <v>1</v>
      </c>
      <c r="F3047" s="34"/>
      <c r="G3047" s="34" t="s">
        <v>201</v>
      </c>
      <c r="H3047" s="35"/>
      <c r="I3047" s="43" t="s">
        <v>38</v>
      </c>
      <c r="J3047" s="96">
        <v>1.38119576605944E-6</v>
      </c>
      <c r="K3047" s="96">
        <v>7.8213051941838902E-7</v>
      </c>
      <c r="L3047" s="96">
        <v>1.3297270499253301E-6</v>
      </c>
      <c r="M3047" s="96">
        <v>1.0000767306842301E-6</v>
      </c>
      <c r="N3047" s="96">
        <v>1.55990552056978E-6</v>
      </c>
      <c r="O3047" s="96">
        <v>1.00515296546719E-6</v>
      </c>
      <c r="P3047" s="96">
        <v>4.2497204570099201E-7</v>
      </c>
    </row>
    <row r="3048" spans="1:16" hidden="1" x14ac:dyDescent="0.35">
      <c r="A3048" s="3">
        <f xml:space="preserve"> ROW( data_scaledImpacts[[#This Row],[row_id]] ) - ROW( data_scaledImpacts[[#Headers],[row_id]] )</f>
        <v>3047</v>
      </c>
      <c r="B3048" s="41" t="str">
        <f xml:space="preserve"> _xlfn.TEXTJOIN( "", , data_scaledImpacts[[#This Row],[sector]:[impactType]] )</f>
        <v>MentalHealthMIROC51N/A</v>
      </c>
      <c r="C3048" s="33" t="s">
        <v>1307</v>
      </c>
      <c r="D3048" s="33" t="s">
        <v>4</v>
      </c>
      <c r="E3048" s="34">
        <v>1</v>
      </c>
      <c r="F3048" s="34"/>
      <c r="G3048" s="34" t="s">
        <v>201</v>
      </c>
      <c r="H3048" s="35"/>
      <c r="I3048" s="43" t="s">
        <v>39</v>
      </c>
      <c r="J3048" s="96">
        <v>1.26277402985774E-6</v>
      </c>
      <c r="K3048" s="96">
        <v>6.93124264389868E-7</v>
      </c>
      <c r="L3048" s="96">
        <v>1.4691375528733E-6</v>
      </c>
      <c r="M3048" s="96">
        <v>8.17589061866712E-7</v>
      </c>
      <c r="N3048" s="96">
        <v>1.04995881745812E-6</v>
      </c>
      <c r="O3048" s="96">
        <v>1.0677869624575201E-6</v>
      </c>
      <c r="P3048" s="96">
        <v>5.2220455412749101E-7</v>
      </c>
    </row>
    <row r="3049" spans="1:16" hidden="1" x14ac:dyDescent="0.35">
      <c r="A3049" s="3">
        <f xml:space="preserve"> ROW( data_scaledImpacts[[#This Row],[row_id]] ) - ROW( data_scaledImpacts[[#Headers],[row_id]] )</f>
        <v>3048</v>
      </c>
      <c r="B3049" s="41" t="str">
        <f xml:space="preserve"> _xlfn.TEXTJOIN( "", , data_scaledImpacts[[#This Row],[sector]:[impactType]] )</f>
        <v>MentalHealthGFDL-CM31N/A</v>
      </c>
      <c r="C3049" s="33" t="s">
        <v>1307</v>
      </c>
      <c r="D3049" s="33" t="s">
        <v>5</v>
      </c>
      <c r="E3049" s="34">
        <v>1</v>
      </c>
      <c r="F3049" s="34"/>
      <c r="G3049" s="34" t="s">
        <v>201</v>
      </c>
      <c r="H3049" s="35"/>
      <c r="I3049" s="43" t="s">
        <v>40</v>
      </c>
      <c r="J3049" s="96">
        <v>1.2341455296722101E-6</v>
      </c>
      <c r="K3049" s="96">
        <v>9.8467473195739308E-7</v>
      </c>
      <c r="L3049" s="96">
        <v>1.10988665751692E-6</v>
      </c>
      <c r="M3049" s="96">
        <v>7.8461084413817503E-7</v>
      </c>
      <c r="N3049" s="96">
        <v>1.44784364771026E-6</v>
      </c>
      <c r="O3049" s="96">
        <v>1.1682202347350601E-6</v>
      </c>
      <c r="P3049" s="96">
        <v>6.4826954093682505E-7</v>
      </c>
    </row>
    <row r="3050" spans="1:16" hidden="1" x14ac:dyDescent="0.35">
      <c r="A3050" s="3">
        <f xml:space="preserve"> ROW( data_scaledImpacts[[#This Row],[row_id]] ) - ROW( data_scaledImpacts[[#Headers],[row_id]] )</f>
        <v>3049</v>
      </c>
      <c r="B3050" s="41" t="str">
        <f xml:space="preserve"> _xlfn.TEXTJOIN( "", , data_scaledImpacts[[#This Row],[sector]:[impactType]] )</f>
        <v>MentalHealthCanESM22N/A</v>
      </c>
      <c r="C3050" s="33" t="s">
        <v>1307</v>
      </c>
      <c r="D3050" s="33" t="s">
        <v>0</v>
      </c>
      <c r="E3050" s="34">
        <v>2</v>
      </c>
      <c r="F3050" s="34"/>
      <c r="G3050" s="34" t="s">
        <v>201</v>
      </c>
      <c r="H3050" s="35"/>
      <c r="I3050" s="43" t="s">
        <v>42</v>
      </c>
      <c r="J3050" s="96">
        <v>2.13536397990104E-6</v>
      </c>
      <c r="K3050" s="96">
        <v>1.62549002650928E-6</v>
      </c>
      <c r="L3050" s="96">
        <v>2.88957156417848E-6</v>
      </c>
      <c r="M3050" s="96">
        <v>2.0212046900962599E-6</v>
      </c>
      <c r="N3050" s="96">
        <v>2.2271108478441199E-6</v>
      </c>
      <c r="O3050" s="96">
        <v>1.71198823450821E-6</v>
      </c>
      <c r="P3050" s="96">
        <v>1.75334102386797E-6</v>
      </c>
    </row>
    <row r="3051" spans="1:16" hidden="1" x14ac:dyDescent="0.35">
      <c r="A3051" s="3">
        <f xml:space="preserve"> ROW( data_scaledImpacts[[#This Row],[row_id]] ) - ROW( data_scaledImpacts[[#Headers],[row_id]] )</f>
        <v>3050</v>
      </c>
      <c r="B3051" s="41" t="str">
        <f xml:space="preserve"> _xlfn.TEXTJOIN( "", , data_scaledImpacts[[#This Row],[sector]:[impactType]] )</f>
        <v>MentalHealthCCSM42N/A</v>
      </c>
      <c r="C3051" s="33" t="s">
        <v>1307</v>
      </c>
      <c r="D3051" s="33" t="s">
        <v>1</v>
      </c>
      <c r="E3051" s="34">
        <v>2</v>
      </c>
      <c r="F3051" s="34"/>
      <c r="G3051" s="34" t="s">
        <v>201</v>
      </c>
      <c r="H3051" s="35"/>
      <c r="I3051" s="43" t="s">
        <v>43</v>
      </c>
      <c r="J3051" s="96">
        <v>2.0442209946754101E-6</v>
      </c>
      <c r="K3051" s="96">
        <v>1.22551059476826E-6</v>
      </c>
      <c r="L3051" s="96">
        <v>3.15421346331494E-6</v>
      </c>
      <c r="M3051" s="96">
        <v>1.7792889187798199E-6</v>
      </c>
      <c r="N3051" s="96">
        <v>1.9815401746286999E-6</v>
      </c>
      <c r="O3051" s="96">
        <v>2.0430296856070801E-6</v>
      </c>
      <c r="P3051" s="96">
        <v>1.71208968118994E-6</v>
      </c>
    </row>
    <row r="3052" spans="1:16" hidden="1" x14ac:dyDescent="0.35">
      <c r="A3052" s="3">
        <f xml:space="preserve"> ROW( data_scaledImpacts[[#This Row],[row_id]] ) - ROW( data_scaledImpacts[[#Headers],[row_id]] )</f>
        <v>3051</v>
      </c>
      <c r="B3052" s="41" t="str">
        <f xml:space="preserve"> _xlfn.TEXTJOIN( "", , data_scaledImpacts[[#This Row],[sector]:[impactType]] )</f>
        <v>MentalHealthGISS-E2-R2N/A</v>
      </c>
      <c r="C3052" s="33" t="s">
        <v>1307</v>
      </c>
      <c r="D3052" s="33" t="s">
        <v>2</v>
      </c>
      <c r="E3052" s="34">
        <v>2</v>
      </c>
      <c r="F3052" s="34"/>
      <c r="G3052" s="34" t="s">
        <v>201</v>
      </c>
      <c r="H3052" s="35"/>
      <c r="I3052" s="43" t="s">
        <v>44</v>
      </c>
      <c r="J3052" s="96">
        <v>2.3224787199915501E-6</v>
      </c>
      <c r="K3052" s="96">
        <v>1.66388930710916E-6</v>
      </c>
      <c r="L3052" s="96">
        <v>2.16713431364092E-6</v>
      </c>
      <c r="M3052" s="96">
        <v>1.47723611844647E-6</v>
      </c>
      <c r="N3052" s="96">
        <v>2.1599302296556299E-6</v>
      </c>
      <c r="O3052" s="96">
        <v>1.71725734226448E-6</v>
      </c>
      <c r="P3052" s="96">
        <v>1.5253181118988099E-6</v>
      </c>
    </row>
    <row r="3053" spans="1:16" hidden="1" x14ac:dyDescent="0.35">
      <c r="A3053" s="3">
        <f xml:space="preserve"> ROW( data_scaledImpacts[[#This Row],[row_id]] ) - ROW( data_scaledImpacts[[#Headers],[row_id]] )</f>
        <v>3052</v>
      </c>
      <c r="B3053" s="41" t="str">
        <f xml:space="preserve"> _xlfn.TEXTJOIN( "", , data_scaledImpacts[[#This Row],[sector]:[impactType]] )</f>
        <v>MentalHealthHadGEM2-ES2N/A</v>
      </c>
      <c r="C3053" s="33" t="s">
        <v>1307</v>
      </c>
      <c r="D3053" s="33" t="s">
        <v>3</v>
      </c>
      <c r="E3053" s="34">
        <v>2</v>
      </c>
      <c r="F3053" s="34"/>
      <c r="G3053" s="34" t="s">
        <v>201</v>
      </c>
      <c r="H3053" s="35"/>
      <c r="I3053" s="43" t="s">
        <v>45</v>
      </c>
      <c r="J3053" s="96">
        <v>2.32769561699138E-6</v>
      </c>
      <c r="K3053" s="96">
        <v>1.3037612767617601E-6</v>
      </c>
      <c r="L3053" s="96">
        <v>3.0451619993316299E-6</v>
      </c>
      <c r="M3053" s="96">
        <v>1.73677469213223E-6</v>
      </c>
      <c r="N3053" s="96">
        <v>2.27393134843756E-6</v>
      </c>
      <c r="O3053" s="96">
        <v>2.0253344198638499E-6</v>
      </c>
      <c r="P3053" s="96">
        <v>1.35436692750194E-6</v>
      </c>
    </row>
    <row r="3054" spans="1:16" hidden="1" x14ac:dyDescent="0.35">
      <c r="A3054" s="3">
        <f xml:space="preserve"> ROW( data_scaledImpacts[[#This Row],[row_id]] ) - ROW( data_scaledImpacts[[#Headers],[row_id]] )</f>
        <v>3053</v>
      </c>
      <c r="B3054" s="41" t="str">
        <f xml:space="preserve"> _xlfn.TEXTJOIN( "", , data_scaledImpacts[[#This Row],[sector]:[impactType]] )</f>
        <v>MentalHealthMIROC52N/A</v>
      </c>
      <c r="C3054" s="33" t="s">
        <v>1307</v>
      </c>
      <c r="D3054" s="33" t="s">
        <v>4</v>
      </c>
      <c r="E3054" s="34">
        <v>2</v>
      </c>
      <c r="F3054" s="34"/>
      <c r="G3054" s="34" t="s">
        <v>201</v>
      </c>
      <c r="H3054" s="35"/>
      <c r="I3054" s="43" t="s">
        <v>46</v>
      </c>
      <c r="J3054" s="96">
        <v>2.3282370632057302E-6</v>
      </c>
      <c r="K3054" s="96">
        <v>1.5251496162997601E-6</v>
      </c>
      <c r="L3054" s="96">
        <v>3.1586609072517599E-6</v>
      </c>
      <c r="M3054" s="96">
        <v>1.2625520204059399E-6</v>
      </c>
      <c r="N3054" s="96">
        <v>1.99537513140577E-6</v>
      </c>
      <c r="O3054" s="96">
        <v>2.0140387182769901E-6</v>
      </c>
      <c r="P3054" s="96">
        <v>1.37960630840358E-6</v>
      </c>
    </row>
    <row r="3055" spans="1:16" hidden="1" x14ac:dyDescent="0.35">
      <c r="A3055" s="3">
        <f xml:space="preserve"> ROW( data_scaledImpacts[[#This Row],[row_id]] ) - ROW( data_scaledImpacts[[#Headers],[row_id]] )</f>
        <v>3054</v>
      </c>
      <c r="B3055" s="41" t="str">
        <f xml:space="preserve"> _xlfn.TEXTJOIN( "", , data_scaledImpacts[[#This Row],[sector]:[impactType]] )</f>
        <v>MentalHealthGFDL-CM32N/A</v>
      </c>
      <c r="C3055" s="33" t="s">
        <v>1307</v>
      </c>
      <c r="D3055" s="33" t="s">
        <v>5</v>
      </c>
      <c r="E3055" s="34">
        <v>2</v>
      </c>
      <c r="F3055" s="34"/>
      <c r="G3055" s="34" t="s">
        <v>201</v>
      </c>
      <c r="H3055" s="35"/>
      <c r="I3055" s="43" t="s">
        <v>47</v>
      </c>
      <c r="J3055" s="96">
        <v>2.1742694275354398E-6</v>
      </c>
      <c r="K3055" s="96">
        <v>1.78497624782788E-6</v>
      </c>
      <c r="L3055" s="96">
        <v>2.4063584944713501E-6</v>
      </c>
      <c r="M3055" s="96">
        <v>1.49548807720624E-6</v>
      </c>
      <c r="N3055" s="96">
        <v>2.43050814134114E-6</v>
      </c>
      <c r="O3055" s="96">
        <v>1.8978081102564101E-6</v>
      </c>
      <c r="P3055" s="96">
        <v>1.47232092991934E-6</v>
      </c>
    </row>
    <row r="3056" spans="1:16" hidden="1" x14ac:dyDescent="0.35">
      <c r="A3056" s="3">
        <f xml:space="preserve"> ROW( data_scaledImpacts[[#This Row],[row_id]] ) - ROW( data_scaledImpacts[[#Headers],[row_id]] )</f>
        <v>3055</v>
      </c>
      <c r="B3056" s="41" t="str">
        <f xml:space="preserve"> _xlfn.TEXTJOIN( "", , data_scaledImpacts[[#This Row],[sector]:[impactType]] )</f>
        <v>MentalHealthCanESM23N/A</v>
      </c>
      <c r="C3056" s="33" t="s">
        <v>1307</v>
      </c>
      <c r="D3056" s="33" t="s">
        <v>0</v>
      </c>
      <c r="E3056" s="34">
        <v>3</v>
      </c>
      <c r="F3056" s="34"/>
      <c r="G3056" s="34" t="s">
        <v>201</v>
      </c>
      <c r="H3056" s="35"/>
      <c r="I3056" s="43" t="s">
        <v>49</v>
      </c>
      <c r="J3056" s="96">
        <v>2.9399972586326102E-6</v>
      </c>
      <c r="K3056" s="96">
        <v>2.3241207215422798E-6</v>
      </c>
      <c r="L3056" s="96">
        <v>4.2930927109804098E-6</v>
      </c>
      <c r="M3056" s="96">
        <v>3.0360403405162802E-6</v>
      </c>
      <c r="N3056" s="96">
        <v>3.05891990639274E-6</v>
      </c>
      <c r="O3056" s="96">
        <v>2.5214211660245301E-6</v>
      </c>
      <c r="P3056" s="96">
        <v>2.6158356874145599E-6</v>
      </c>
    </row>
    <row r="3057" spans="1:16" hidden="1" x14ac:dyDescent="0.35">
      <c r="A3057" s="3">
        <f xml:space="preserve"> ROW( data_scaledImpacts[[#This Row],[row_id]] ) - ROW( data_scaledImpacts[[#Headers],[row_id]] )</f>
        <v>3056</v>
      </c>
      <c r="B3057" s="41" t="str">
        <f xml:space="preserve"> _xlfn.TEXTJOIN( "", , data_scaledImpacts[[#This Row],[sector]:[impactType]] )</f>
        <v>MentalHealthCCSM43N/A</v>
      </c>
      <c r="C3057" s="33" t="s">
        <v>1307</v>
      </c>
      <c r="D3057" s="33" t="s">
        <v>1</v>
      </c>
      <c r="E3057" s="34">
        <v>3</v>
      </c>
      <c r="F3057" s="34"/>
      <c r="G3057" s="34" t="s">
        <v>201</v>
      </c>
      <c r="H3057" s="35"/>
      <c r="I3057" s="43" t="s">
        <v>50</v>
      </c>
      <c r="J3057" s="96">
        <v>3.4161784871002798E-6</v>
      </c>
      <c r="K3057" s="96">
        <v>2.1592452447156698E-6</v>
      </c>
      <c r="L3057" s="96">
        <v>4.5396143546783403E-6</v>
      </c>
      <c r="M3057" s="96">
        <v>2.6815914511733401E-6</v>
      </c>
      <c r="N3057" s="96">
        <v>3.0174540660837198E-6</v>
      </c>
      <c r="O3057" s="96">
        <v>2.7540065465777799E-6</v>
      </c>
      <c r="P3057" s="96">
        <v>2.2925055136322199E-6</v>
      </c>
    </row>
    <row r="3058" spans="1:16" hidden="1" x14ac:dyDescent="0.35">
      <c r="A3058" s="3">
        <f xml:space="preserve"> ROW( data_scaledImpacts[[#This Row],[row_id]] ) - ROW( data_scaledImpacts[[#Headers],[row_id]] )</f>
        <v>3057</v>
      </c>
      <c r="B3058" s="41" t="str">
        <f xml:space="preserve"> _xlfn.TEXTJOIN( "", , data_scaledImpacts[[#This Row],[sector]:[impactType]] )</f>
        <v>MentalHealthGISS-E2-R3N/A</v>
      </c>
      <c r="C3058" s="33" t="s">
        <v>1307</v>
      </c>
      <c r="D3058" s="33" t="s">
        <v>2</v>
      </c>
      <c r="E3058" s="34">
        <v>3</v>
      </c>
      <c r="F3058" s="34"/>
      <c r="G3058" s="34" t="s">
        <v>201</v>
      </c>
      <c r="H3058" s="35"/>
      <c r="I3058" s="43" t="s">
        <v>51</v>
      </c>
      <c r="J3058" s="96">
        <v>3.62448292911544E-6</v>
      </c>
      <c r="K3058" s="96">
        <v>2.50248781954517E-6</v>
      </c>
      <c r="L3058" s="96">
        <v>4.0323157695130498E-6</v>
      </c>
      <c r="M3058" s="96">
        <v>2.0058922611784299E-6</v>
      </c>
      <c r="N3058" s="96">
        <v>3.3852473124851401E-6</v>
      </c>
      <c r="O3058" s="96">
        <v>2.64597046724359E-6</v>
      </c>
      <c r="P3058" s="96">
        <v>2.49956247978862E-6</v>
      </c>
    </row>
    <row r="3059" spans="1:16" hidden="1" x14ac:dyDescent="0.35">
      <c r="A3059" s="3">
        <f xml:space="preserve"> ROW( data_scaledImpacts[[#This Row],[row_id]] ) - ROW( data_scaledImpacts[[#Headers],[row_id]] )</f>
        <v>3058</v>
      </c>
      <c r="B3059" s="41" t="str">
        <f xml:space="preserve"> _xlfn.TEXTJOIN( "", , data_scaledImpacts[[#This Row],[sector]:[impactType]] )</f>
        <v>MentalHealthHadGEM2-ES3N/A</v>
      </c>
      <c r="C3059" s="33" t="s">
        <v>1307</v>
      </c>
      <c r="D3059" s="33" t="s">
        <v>3</v>
      </c>
      <c r="E3059" s="34">
        <v>3</v>
      </c>
      <c r="F3059" s="34"/>
      <c r="G3059" s="34" t="s">
        <v>201</v>
      </c>
      <c r="H3059" s="35"/>
      <c r="I3059" s="43" t="s">
        <v>52</v>
      </c>
      <c r="J3059" s="96">
        <v>3.9476485923437804E-6</v>
      </c>
      <c r="K3059" s="96">
        <v>2.3785147848606101E-6</v>
      </c>
      <c r="L3059" s="96">
        <v>4.4325418215016996E-6</v>
      </c>
      <c r="M3059" s="96">
        <v>2.3190388681162101E-6</v>
      </c>
      <c r="N3059" s="96">
        <v>3.4617896456527499E-6</v>
      </c>
      <c r="O3059" s="96">
        <v>2.82256198660454E-6</v>
      </c>
      <c r="P3059" s="96">
        <v>2.04824454694188E-6</v>
      </c>
    </row>
    <row r="3060" spans="1:16" hidden="1" x14ac:dyDescent="0.35">
      <c r="A3060" s="3">
        <f xml:space="preserve"> ROW( data_scaledImpacts[[#This Row],[row_id]] ) - ROW( data_scaledImpacts[[#Headers],[row_id]] )</f>
        <v>3059</v>
      </c>
      <c r="B3060" s="41" t="str">
        <f xml:space="preserve"> _xlfn.TEXTJOIN( "", , data_scaledImpacts[[#This Row],[sector]:[impactType]] )</f>
        <v>MentalHealthMIROC53N/A</v>
      </c>
      <c r="C3060" s="33" t="s">
        <v>1307</v>
      </c>
      <c r="D3060" s="33" t="s">
        <v>4</v>
      </c>
      <c r="E3060" s="34">
        <v>3</v>
      </c>
      <c r="F3060" s="34"/>
      <c r="G3060" s="34" t="s">
        <v>201</v>
      </c>
      <c r="H3060" s="35"/>
      <c r="I3060" s="43" t="s">
        <v>53</v>
      </c>
      <c r="J3060" s="96">
        <v>3.3310021735115301E-6</v>
      </c>
      <c r="K3060" s="96">
        <v>2.4601580262096599E-6</v>
      </c>
      <c r="L3060" s="96">
        <v>4.2312345159663301E-6</v>
      </c>
      <c r="M3060" s="96">
        <v>1.92674530643165E-6</v>
      </c>
      <c r="N3060" s="96">
        <v>2.9472755380250499E-6</v>
      </c>
      <c r="O3060" s="96">
        <v>2.8340576651820102E-6</v>
      </c>
      <c r="P3060" s="96">
        <v>2.1934970299126199E-6</v>
      </c>
    </row>
    <row r="3061" spans="1:16" hidden="1" x14ac:dyDescent="0.35">
      <c r="A3061" s="3">
        <f xml:space="preserve"> ROW( data_scaledImpacts[[#This Row],[row_id]] ) - ROW( data_scaledImpacts[[#Headers],[row_id]] )</f>
        <v>3060</v>
      </c>
      <c r="B3061" s="41" t="str">
        <f xml:space="preserve"> _xlfn.TEXTJOIN( "", , data_scaledImpacts[[#This Row],[sector]:[impactType]] )</f>
        <v>MentalHealthGFDL-CM33N/A</v>
      </c>
      <c r="C3061" s="33" t="s">
        <v>1307</v>
      </c>
      <c r="D3061" s="33" t="s">
        <v>5</v>
      </c>
      <c r="E3061" s="34">
        <v>3</v>
      </c>
      <c r="F3061" s="34"/>
      <c r="G3061" s="34" t="s">
        <v>201</v>
      </c>
      <c r="H3061" s="35"/>
      <c r="I3061" s="43" t="s">
        <v>54</v>
      </c>
      <c r="J3061" s="96">
        <v>3.1274515707293102E-6</v>
      </c>
      <c r="K3061" s="96">
        <v>2.6149402086381901E-6</v>
      </c>
      <c r="L3061" s="96">
        <v>3.9230517507746001E-6</v>
      </c>
      <c r="M3061" s="96">
        <v>2.6606243535879299E-6</v>
      </c>
      <c r="N3061" s="96">
        <v>3.27521759705798E-6</v>
      </c>
      <c r="O3061" s="96">
        <v>2.6096301691045502E-6</v>
      </c>
      <c r="P3061" s="96">
        <v>2.6632938469340401E-6</v>
      </c>
    </row>
    <row r="3062" spans="1:16" hidden="1" x14ac:dyDescent="0.35">
      <c r="A3062" s="3">
        <f xml:space="preserve"> ROW( data_scaledImpacts[[#This Row],[row_id]] ) - ROW( data_scaledImpacts[[#Headers],[row_id]] )</f>
        <v>3061</v>
      </c>
      <c r="B3062" s="41" t="str">
        <f xml:space="preserve"> _xlfn.TEXTJOIN( "", , data_scaledImpacts[[#This Row],[sector]:[impactType]] )</f>
        <v>MentalHealthCanESM24N/A</v>
      </c>
      <c r="C3062" s="33" t="s">
        <v>1307</v>
      </c>
      <c r="D3062" s="33" t="s">
        <v>0</v>
      </c>
      <c r="E3062" s="34">
        <v>4</v>
      </c>
      <c r="F3062" s="34"/>
      <c r="G3062" s="34" t="s">
        <v>201</v>
      </c>
      <c r="H3062" s="35"/>
      <c r="I3062" s="43" t="s">
        <v>56</v>
      </c>
      <c r="J3062" s="96">
        <v>4.0015780009356603E-6</v>
      </c>
      <c r="K3062" s="96">
        <v>3.2187202879303998E-6</v>
      </c>
      <c r="L3062" s="96">
        <v>5.5960206215765597E-6</v>
      </c>
      <c r="M3062" s="96">
        <v>4.2149295314972403E-6</v>
      </c>
      <c r="N3062" s="96">
        <v>3.96551992944835E-6</v>
      </c>
      <c r="O3062" s="96">
        <v>3.2897895345650499E-6</v>
      </c>
      <c r="P3062" s="96">
        <v>3.5958490503238201E-6</v>
      </c>
    </row>
    <row r="3063" spans="1:16" hidden="1" x14ac:dyDescent="0.35">
      <c r="A3063" s="3">
        <f xml:space="preserve"> ROW( data_scaledImpacts[[#This Row],[row_id]] ) - ROW( data_scaledImpacts[[#Headers],[row_id]] )</f>
        <v>3062</v>
      </c>
      <c r="B3063" s="41" t="str">
        <f xml:space="preserve"> _xlfn.TEXTJOIN( "", , data_scaledImpacts[[#This Row],[sector]:[impactType]] )</f>
        <v>MentalHealthCCSM44N/A</v>
      </c>
      <c r="C3063" s="33" t="s">
        <v>1307</v>
      </c>
      <c r="D3063" s="33" t="s">
        <v>1</v>
      </c>
      <c r="E3063" s="34">
        <v>4</v>
      </c>
      <c r="F3063" s="34"/>
      <c r="G3063" s="34" t="s">
        <v>201</v>
      </c>
      <c r="H3063" s="35"/>
      <c r="I3063" s="43" t="s">
        <v>57</v>
      </c>
      <c r="J3063" s="96">
        <v>4.3715410584054002E-6</v>
      </c>
      <c r="K3063" s="96">
        <v>2.9578686840773701E-6</v>
      </c>
      <c r="L3063" s="96">
        <v>6.1871454519376598E-6</v>
      </c>
      <c r="M3063" s="96">
        <v>3.68680389733305E-6</v>
      </c>
      <c r="N3063" s="96">
        <v>3.9154289793190604E-6</v>
      </c>
      <c r="O3063" s="96">
        <v>3.2674294797566898E-6</v>
      </c>
      <c r="P3063" s="96">
        <v>3.1537534291977599E-6</v>
      </c>
    </row>
    <row r="3064" spans="1:16" hidden="1" x14ac:dyDescent="0.35">
      <c r="A3064" s="3">
        <f xml:space="preserve"> ROW( data_scaledImpacts[[#This Row],[row_id]] ) - ROW( data_scaledImpacts[[#Headers],[row_id]] )</f>
        <v>3063</v>
      </c>
      <c r="B3064" s="41" t="str">
        <f xml:space="preserve"> _xlfn.TEXTJOIN( "", , data_scaledImpacts[[#This Row],[sector]:[impactType]] )</f>
        <v>MentalHealthHadGEM2-ES4N/A</v>
      </c>
      <c r="C3064" s="33" t="s">
        <v>1307</v>
      </c>
      <c r="D3064" s="33" t="s">
        <v>3</v>
      </c>
      <c r="E3064" s="34">
        <v>4</v>
      </c>
      <c r="F3064" s="34"/>
      <c r="G3064" s="34" t="s">
        <v>201</v>
      </c>
      <c r="H3064" s="35"/>
      <c r="I3064" s="43" t="s">
        <v>59</v>
      </c>
      <c r="J3064" s="96">
        <v>4.8085094113066701E-6</v>
      </c>
      <c r="K3064" s="96">
        <v>3.1274430717028002E-6</v>
      </c>
      <c r="L3064" s="96">
        <v>5.8540438024697997E-6</v>
      </c>
      <c r="M3064" s="96">
        <v>3.5729039695235701E-6</v>
      </c>
      <c r="N3064" s="96">
        <v>4.1827600222603297E-6</v>
      </c>
      <c r="O3064" s="96">
        <v>3.4169724162123998E-6</v>
      </c>
      <c r="P3064" s="96">
        <v>3.1837382695439302E-6</v>
      </c>
    </row>
    <row r="3065" spans="1:16" hidden="1" x14ac:dyDescent="0.35">
      <c r="A3065" s="3">
        <f xml:space="preserve"> ROW( data_scaledImpacts[[#This Row],[row_id]] ) - ROW( data_scaledImpacts[[#Headers],[row_id]] )</f>
        <v>3064</v>
      </c>
      <c r="B3065" s="41" t="str">
        <f xml:space="preserve"> _xlfn.TEXTJOIN( "", , data_scaledImpacts[[#This Row],[sector]:[impactType]] )</f>
        <v>MentalHealthMIROC54N/A</v>
      </c>
      <c r="C3065" s="33" t="s">
        <v>1307</v>
      </c>
      <c r="D3065" s="33" t="s">
        <v>4</v>
      </c>
      <c r="E3065" s="34">
        <v>4</v>
      </c>
      <c r="F3065" s="34"/>
      <c r="G3065" s="34" t="s">
        <v>201</v>
      </c>
      <c r="H3065" s="35"/>
      <c r="I3065" s="43" t="s">
        <v>60</v>
      </c>
      <c r="J3065" s="96">
        <v>4.8626604300137599E-6</v>
      </c>
      <c r="K3065" s="96">
        <v>3.3856093850130501E-6</v>
      </c>
      <c r="L3065" s="96">
        <v>6.3967348199207497E-6</v>
      </c>
      <c r="M3065" s="96">
        <v>2.8332322523175098E-6</v>
      </c>
      <c r="N3065" s="96">
        <v>3.8287840926055803E-6</v>
      </c>
      <c r="O3065" s="96">
        <v>3.5644237047473801E-6</v>
      </c>
      <c r="P3065" s="96">
        <v>2.8376164973507502E-6</v>
      </c>
    </row>
    <row r="3066" spans="1:16" hidden="1" x14ac:dyDescent="0.35">
      <c r="A3066" s="3">
        <f xml:space="preserve"> ROW( data_scaledImpacts[[#This Row],[row_id]] ) - ROW( data_scaledImpacts[[#Headers],[row_id]] )</f>
        <v>3065</v>
      </c>
      <c r="B3066" s="41" t="str">
        <f xml:space="preserve"> _xlfn.TEXTJOIN( "", , data_scaledImpacts[[#This Row],[sector]:[impactType]] )</f>
        <v>MentalHealthGFDL-CM34N/A</v>
      </c>
      <c r="C3066" s="33" t="s">
        <v>1307</v>
      </c>
      <c r="D3066" s="33" t="s">
        <v>5</v>
      </c>
      <c r="E3066" s="34">
        <v>4</v>
      </c>
      <c r="F3066" s="34"/>
      <c r="G3066" s="34" t="s">
        <v>201</v>
      </c>
      <c r="H3066" s="35"/>
      <c r="I3066" s="43" t="s">
        <v>61</v>
      </c>
      <c r="J3066" s="96">
        <v>4.3634368084895699E-6</v>
      </c>
      <c r="K3066" s="96">
        <v>3.59269651971224E-6</v>
      </c>
      <c r="L3066" s="96">
        <v>4.9425279863860499E-6</v>
      </c>
      <c r="M3066" s="96">
        <v>3.4329333517636901E-6</v>
      </c>
      <c r="N3066" s="96">
        <v>4.2693952133541204E-6</v>
      </c>
      <c r="O3066" s="96">
        <v>3.3464592000830201E-6</v>
      </c>
      <c r="P3066" s="96">
        <v>3.5802133277985998E-6</v>
      </c>
    </row>
    <row r="3067" spans="1:16" hidden="1" x14ac:dyDescent="0.35">
      <c r="A3067" s="3">
        <f xml:space="preserve"> ROW( data_scaledImpacts[[#This Row],[row_id]] ) - ROW( data_scaledImpacts[[#Headers],[row_id]] )</f>
        <v>3066</v>
      </c>
      <c r="B3067" s="41" t="str">
        <f xml:space="preserve"> _xlfn.TEXTJOIN( "", , data_scaledImpacts[[#This Row],[sector]:[impactType]] )</f>
        <v>MentalHealthCanESM25N/A</v>
      </c>
      <c r="C3067" s="33" t="s">
        <v>1307</v>
      </c>
      <c r="D3067" s="33" t="s">
        <v>0</v>
      </c>
      <c r="E3067" s="34">
        <v>5</v>
      </c>
      <c r="F3067" s="34"/>
      <c r="G3067" s="34" t="s">
        <v>201</v>
      </c>
      <c r="H3067" s="35"/>
      <c r="I3067" s="43" t="s">
        <v>63</v>
      </c>
      <c r="J3067" s="96">
        <v>5.4485583141385204E-6</v>
      </c>
      <c r="K3067" s="96">
        <v>4.0471343460272504E-6</v>
      </c>
      <c r="L3067" s="96">
        <v>7.4868810917875903E-6</v>
      </c>
      <c r="M3067" s="96">
        <v>5.3524173310768497E-6</v>
      </c>
      <c r="N3067" s="96">
        <v>4.59898895802389E-6</v>
      </c>
      <c r="O3067" s="96">
        <v>3.9296072732975898E-6</v>
      </c>
      <c r="P3067" s="96">
        <v>4.3815555651072998E-6</v>
      </c>
    </row>
    <row r="3068" spans="1:16" hidden="1" x14ac:dyDescent="0.35">
      <c r="A3068" s="3">
        <f xml:space="preserve"> ROW( data_scaledImpacts[[#This Row],[row_id]] ) - ROW( data_scaledImpacts[[#Headers],[row_id]] )</f>
        <v>3067</v>
      </c>
      <c r="B3068" s="41" t="str">
        <f xml:space="preserve"> _xlfn.TEXTJOIN( "", , data_scaledImpacts[[#This Row],[sector]:[impactType]] )</f>
        <v>MentalHealthCCSM45N/A</v>
      </c>
      <c r="C3068" s="33" t="s">
        <v>1307</v>
      </c>
      <c r="D3068" s="33" t="s">
        <v>1</v>
      </c>
      <c r="E3068" s="34">
        <v>5</v>
      </c>
      <c r="F3068" s="34"/>
      <c r="G3068" s="34" t="s">
        <v>201</v>
      </c>
      <c r="H3068" s="35"/>
      <c r="I3068" s="43" t="s">
        <v>64</v>
      </c>
      <c r="J3068" s="96">
        <v>5.43157204694561E-6</v>
      </c>
      <c r="K3068" s="96">
        <v>3.7061309501993401E-6</v>
      </c>
      <c r="L3068" s="96">
        <v>7.6275321048298897E-6</v>
      </c>
      <c r="M3068" s="96">
        <v>4.2089920361429201E-6</v>
      </c>
      <c r="N3068" s="96">
        <v>4.9738802151400296E-6</v>
      </c>
      <c r="O3068" s="96">
        <v>4.3786151227470503E-6</v>
      </c>
      <c r="P3068" s="96">
        <v>3.8308130866882897E-6</v>
      </c>
    </row>
    <row r="3069" spans="1:16" hidden="1" x14ac:dyDescent="0.35">
      <c r="A3069" s="3">
        <f xml:space="preserve"> ROW( data_scaledImpacts[[#This Row],[row_id]] ) - ROW( data_scaledImpacts[[#Headers],[row_id]] )</f>
        <v>3068</v>
      </c>
      <c r="B3069" s="41" t="str">
        <f xml:space="preserve"> _xlfn.TEXTJOIN( "", , data_scaledImpacts[[#This Row],[sector]:[impactType]] )</f>
        <v>MentalHealthHadGEM2-ES5N/A</v>
      </c>
      <c r="C3069" s="33" t="s">
        <v>1307</v>
      </c>
      <c r="D3069" s="33" t="s">
        <v>3</v>
      </c>
      <c r="E3069" s="34">
        <v>5</v>
      </c>
      <c r="F3069" s="34"/>
      <c r="G3069" s="34" t="s">
        <v>201</v>
      </c>
      <c r="H3069" s="35"/>
      <c r="I3069" s="43" t="s">
        <v>66</v>
      </c>
      <c r="J3069" s="96">
        <v>5.8718734343702597E-6</v>
      </c>
      <c r="K3069" s="96">
        <v>3.9572179339752802E-6</v>
      </c>
      <c r="L3069" s="96">
        <v>7.8792349562201803E-6</v>
      </c>
      <c r="M3069" s="96">
        <v>4.5549311102282997E-6</v>
      </c>
      <c r="N3069" s="96">
        <v>4.7861060293725204E-6</v>
      </c>
      <c r="O3069" s="96">
        <v>3.9343409126263096E-6</v>
      </c>
      <c r="P3069" s="96">
        <v>3.9911043823070603E-6</v>
      </c>
    </row>
    <row r="3070" spans="1:16" hidden="1" x14ac:dyDescent="0.35">
      <c r="A3070" s="3">
        <f xml:space="preserve"> ROW( data_scaledImpacts[[#This Row],[row_id]] ) - ROW( data_scaledImpacts[[#Headers],[row_id]] )</f>
        <v>3069</v>
      </c>
      <c r="B3070" s="41" t="str">
        <f xml:space="preserve"> _xlfn.TEXTJOIN( "", , data_scaledImpacts[[#This Row],[sector]:[impactType]] )</f>
        <v>MentalHealthMIROC55N/A</v>
      </c>
      <c r="C3070" s="33" t="s">
        <v>1307</v>
      </c>
      <c r="D3070" s="33" t="s">
        <v>4</v>
      </c>
      <c r="E3070" s="34">
        <v>5</v>
      </c>
      <c r="F3070" s="34"/>
      <c r="G3070" s="34" t="s">
        <v>201</v>
      </c>
      <c r="H3070" s="35"/>
      <c r="I3070" s="43" t="s">
        <v>67</v>
      </c>
      <c r="J3070" s="96">
        <v>5.9475264897762804E-6</v>
      </c>
      <c r="K3070" s="96">
        <v>3.9124488248785799E-6</v>
      </c>
      <c r="L3070" s="96">
        <v>7.6510069161860501E-6</v>
      </c>
      <c r="M3070" s="96">
        <v>3.33843911154854E-6</v>
      </c>
      <c r="N3070" s="96">
        <v>4.6213250623909004E-6</v>
      </c>
      <c r="O3070" s="96">
        <v>4.53331982663885E-6</v>
      </c>
      <c r="P3070" s="96">
        <v>3.52749091629164E-6</v>
      </c>
    </row>
    <row r="3071" spans="1:16" hidden="1" x14ac:dyDescent="0.35">
      <c r="A3071" s="3">
        <f xml:space="preserve"> ROW( data_scaledImpacts[[#This Row],[row_id]] ) - ROW( data_scaledImpacts[[#Headers],[row_id]] )</f>
        <v>3070</v>
      </c>
      <c r="B3071" s="41" t="str">
        <f xml:space="preserve"> _xlfn.TEXTJOIN( "", , data_scaledImpacts[[#This Row],[sector]:[impactType]] )</f>
        <v>MentalHealthGFDL-CM35N/A</v>
      </c>
      <c r="C3071" s="33" t="s">
        <v>1307</v>
      </c>
      <c r="D3071" s="33" t="s">
        <v>5</v>
      </c>
      <c r="E3071" s="34">
        <v>5</v>
      </c>
      <c r="F3071" s="34"/>
      <c r="G3071" s="34" t="s">
        <v>201</v>
      </c>
      <c r="H3071" s="35"/>
      <c r="I3071" s="43" t="s">
        <v>68</v>
      </c>
      <c r="J3071" s="96">
        <v>5.6460558432339497E-6</v>
      </c>
      <c r="K3071" s="96">
        <v>4.2525935812482298E-6</v>
      </c>
      <c r="L3071" s="96">
        <v>6.8303502727897903E-6</v>
      </c>
      <c r="M3071" s="96">
        <v>4.0539420767553899E-6</v>
      </c>
      <c r="N3071" s="96">
        <v>4.9935015059364199E-6</v>
      </c>
      <c r="O3071" s="96">
        <v>4.3077722117605896E-6</v>
      </c>
      <c r="P3071" s="96">
        <v>4.3618724951136197E-6</v>
      </c>
    </row>
    <row r="3072" spans="1:16" hidden="1" x14ac:dyDescent="0.35">
      <c r="A3072" s="3">
        <f xml:space="preserve"> ROW( data_scaledImpacts[[#This Row],[row_id]] ) - ROW( data_scaledImpacts[[#Headers],[row_id]] )</f>
        <v>3071</v>
      </c>
      <c r="B3072" s="41" t="str">
        <f xml:space="preserve"> _xlfn.TEXTJOIN( "", , data_scaledImpacts[[#This Row],[sector]:[impactType]] )</f>
        <v>MentalHealthCanESM26N/A</v>
      </c>
      <c r="C3072" s="33" t="s">
        <v>1307</v>
      </c>
      <c r="D3072" s="33" t="s">
        <v>0</v>
      </c>
      <c r="E3072" s="34">
        <v>6</v>
      </c>
      <c r="F3072" s="34"/>
      <c r="G3072" s="34" t="s">
        <v>201</v>
      </c>
      <c r="H3072" s="35"/>
      <c r="I3072" s="43" t="s">
        <v>70</v>
      </c>
      <c r="J3072" s="96">
        <v>6.4241830728784797E-6</v>
      </c>
      <c r="K3072" s="96">
        <v>4.8833014011979404E-6</v>
      </c>
      <c r="L3072" s="96">
        <v>8.8639325031653406E-6</v>
      </c>
      <c r="M3072" s="96">
        <v>6.7821329079257196E-6</v>
      </c>
      <c r="N3072" s="96">
        <v>5.4742559591504003E-6</v>
      </c>
      <c r="O3072" s="96">
        <v>4.7389606318077297E-6</v>
      </c>
      <c r="P3072" s="96">
        <v>5.3309713254737501E-6</v>
      </c>
    </row>
    <row r="3073" spans="1:16" hidden="1" x14ac:dyDescent="0.35">
      <c r="A3073" s="3">
        <f xml:space="preserve"> ROW( data_scaledImpacts[[#This Row],[row_id]] ) - ROW( data_scaledImpacts[[#Headers],[row_id]] )</f>
        <v>3072</v>
      </c>
      <c r="B3073" s="41" t="str">
        <f xml:space="preserve"> _xlfn.TEXTJOIN( "", , data_scaledImpacts[[#This Row],[sector]:[impactType]] )</f>
        <v>MentalHealthHadGEM2-ES6N/A</v>
      </c>
      <c r="C3073" s="33" t="s">
        <v>1307</v>
      </c>
      <c r="D3073" s="33" t="s">
        <v>3</v>
      </c>
      <c r="E3073" s="34">
        <v>6</v>
      </c>
      <c r="F3073" s="34"/>
      <c r="G3073" s="34" t="s">
        <v>201</v>
      </c>
      <c r="H3073" s="35"/>
      <c r="I3073" s="43" t="s">
        <v>73</v>
      </c>
      <c r="J3073" s="96">
        <v>7.0381785287747199E-6</v>
      </c>
      <c r="K3073" s="96">
        <v>4.8837030721769499E-6</v>
      </c>
      <c r="L3073" s="96">
        <v>9.1161950377893896E-6</v>
      </c>
      <c r="M3073" s="96">
        <v>5.4942330606325997E-6</v>
      </c>
      <c r="N3073" s="96">
        <v>5.7751511627235303E-6</v>
      </c>
      <c r="O3073" s="96">
        <v>4.5914531536714902E-6</v>
      </c>
      <c r="P3073" s="96">
        <v>4.7381023059319097E-6</v>
      </c>
    </row>
    <row r="3074" spans="1:16" hidden="1" x14ac:dyDescent="0.35">
      <c r="A3074" s="3">
        <f xml:space="preserve"> ROW( data_scaledImpacts[[#This Row],[row_id]] ) - ROW( data_scaledImpacts[[#Headers],[row_id]] )</f>
        <v>3073</v>
      </c>
      <c r="B3074" s="41" t="str">
        <f xml:space="preserve"> _xlfn.TEXTJOIN( "", , data_scaledImpacts[[#This Row],[sector]:[impactType]] )</f>
        <v>MentalHealthGFDL-CM36N/A</v>
      </c>
      <c r="C3074" s="33" t="s">
        <v>1307</v>
      </c>
      <c r="D3074" s="33" t="s">
        <v>5</v>
      </c>
      <c r="E3074" s="34">
        <v>6</v>
      </c>
      <c r="F3074" s="34"/>
      <c r="G3074" s="34" t="s">
        <v>201</v>
      </c>
      <c r="H3074" s="35"/>
      <c r="I3074" s="43" t="s">
        <v>75</v>
      </c>
      <c r="J3074" s="96">
        <v>6.5302755498157496E-6</v>
      </c>
      <c r="K3074" s="96">
        <v>4.9845704387126497E-6</v>
      </c>
      <c r="L3074" s="96">
        <v>8.2440591558443493E-6</v>
      </c>
      <c r="M3074" s="96">
        <v>5.02841016756717E-6</v>
      </c>
      <c r="N3074" s="96">
        <v>5.8659415702083598E-6</v>
      </c>
      <c r="O3074" s="96">
        <v>4.9054852674068502E-6</v>
      </c>
      <c r="P3074" s="96">
        <v>5.2490171729916597E-6</v>
      </c>
    </row>
  </sheetData>
  <phoneticPr fontId="10" type="noConversion"/>
  <pageMargins left="0.7" right="0.7" top="0.75" bottom="0.75" header="0.3" footer="0.3"/>
  <pageSetup orientation="portrait" horizontalDpi="1200" verticalDpi="1200" r:id="rId1"/>
  <legacyDrawing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12187-E698-46FC-B716-2922DAD4183D}">
  <sheetPr>
    <tabColor theme="4" tint="-0.249977111117893"/>
  </sheetPr>
  <dimension ref="A1:I102"/>
  <sheetViews>
    <sheetView topLeftCell="A226" workbookViewId="0">
      <selection activeCell="J23" sqref="J23"/>
    </sheetView>
  </sheetViews>
  <sheetFormatPr defaultRowHeight="14.5" x14ac:dyDescent="0.35"/>
  <sheetData>
    <row r="1" spans="1:9" x14ac:dyDescent="0.35">
      <c r="A1" t="s">
        <v>780</v>
      </c>
      <c r="B1" t="s">
        <v>232</v>
      </c>
      <c r="C1" t="s">
        <v>1102</v>
      </c>
      <c r="D1" t="s">
        <v>1103</v>
      </c>
      <c r="E1" t="s">
        <v>1104</v>
      </c>
      <c r="F1" t="s">
        <v>1105</v>
      </c>
      <c r="G1" t="s">
        <v>1106</v>
      </c>
      <c r="H1" t="s">
        <v>1107</v>
      </c>
      <c r="I1" t="s">
        <v>1108</v>
      </c>
    </row>
    <row r="2" spans="1:9" x14ac:dyDescent="0.35">
      <c r="A2" s="3">
        <f xml:space="preserve"> ROW( slr_cm[[#This Row],[row_id]] ) - ROW( slr_cm[[#Headers],[row_id]] )</f>
        <v>1</v>
      </c>
      <c r="B2" s="102">
        <v>2000</v>
      </c>
      <c r="C2" s="103">
        <v>0</v>
      </c>
      <c r="D2" s="103">
        <v>0</v>
      </c>
      <c r="E2" s="103">
        <v>0</v>
      </c>
      <c r="F2" s="103">
        <v>0</v>
      </c>
      <c r="G2" s="103">
        <v>0</v>
      </c>
      <c r="H2" s="103">
        <v>0</v>
      </c>
      <c r="I2" s="103">
        <v>0</v>
      </c>
    </row>
    <row r="3" spans="1:9" x14ac:dyDescent="0.35">
      <c r="A3" s="3">
        <f xml:space="preserve"> ROW( slr_cm[[#This Row],[row_id]] ) - ROW( slr_cm[[#Headers],[row_id]] )</f>
        <v>2</v>
      </c>
      <c r="B3" s="102">
        <v>2001</v>
      </c>
      <c r="C3" s="103">
        <v>0</v>
      </c>
      <c r="D3" s="103">
        <v>0.3</v>
      </c>
      <c r="E3" s="103">
        <v>0.4</v>
      </c>
      <c r="F3" s="103">
        <v>0.4</v>
      </c>
      <c r="G3" s="103">
        <v>0.5</v>
      </c>
      <c r="H3" s="103">
        <v>0.5</v>
      </c>
      <c r="I3" s="103">
        <v>0.5</v>
      </c>
    </row>
    <row r="4" spans="1:9" x14ac:dyDescent="0.35">
      <c r="A4" s="3">
        <f xml:space="preserve"> ROW( slr_cm[[#This Row],[row_id]] ) - ROW( slr_cm[[#Headers],[row_id]] )</f>
        <v>3</v>
      </c>
      <c r="B4" s="102">
        <v>2002</v>
      </c>
      <c r="C4" s="103">
        <v>0</v>
      </c>
      <c r="D4" s="103">
        <v>0.6</v>
      </c>
      <c r="E4" s="103">
        <v>0.8</v>
      </c>
      <c r="F4" s="103">
        <v>0.8</v>
      </c>
      <c r="G4" s="103">
        <v>1</v>
      </c>
      <c r="H4" s="103">
        <v>1</v>
      </c>
      <c r="I4" s="103">
        <v>1</v>
      </c>
    </row>
    <row r="5" spans="1:9" x14ac:dyDescent="0.35">
      <c r="A5" s="3">
        <f xml:space="preserve"> ROW( slr_cm[[#This Row],[row_id]] ) - ROW( slr_cm[[#Headers],[row_id]] )</f>
        <v>4</v>
      </c>
      <c r="B5" s="102">
        <v>2003</v>
      </c>
      <c r="C5" s="103">
        <v>0</v>
      </c>
      <c r="D5" s="103">
        <v>0.9</v>
      </c>
      <c r="E5" s="103">
        <v>1.2</v>
      </c>
      <c r="F5" s="103">
        <v>1.2</v>
      </c>
      <c r="G5" s="103">
        <v>1.5</v>
      </c>
      <c r="H5" s="103">
        <v>1.5</v>
      </c>
      <c r="I5" s="103">
        <v>1.5</v>
      </c>
    </row>
    <row r="6" spans="1:9" x14ac:dyDescent="0.35">
      <c r="A6" s="3">
        <f xml:space="preserve"> ROW( slr_cm[[#This Row],[row_id]] ) - ROW( slr_cm[[#Headers],[row_id]] )</f>
        <v>5</v>
      </c>
      <c r="B6" s="102">
        <v>2004</v>
      </c>
      <c r="C6" s="103">
        <v>0</v>
      </c>
      <c r="D6" s="103">
        <v>1.2</v>
      </c>
      <c r="E6" s="103">
        <v>1.6</v>
      </c>
      <c r="F6" s="103">
        <v>1.6</v>
      </c>
      <c r="G6" s="103">
        <v>2</v>
      </c>
      <c r="H6" s="103">
        <v>2</v>
      </c>
      <c r="I6" s="103">
        <v>2</v>
      </c>
    </row>
    <row r="7" spans="1:9" x14ac:dyDescent="0.35">
      <c r="A7" s="3">
        <f xml:space="preserve"> ROW( slr_cm[[#This Row],[row_id]] ) - ROW( slr_cm[[#Headers],[row_id]] )</f>
        <v>6</v>
      </c>
      <c r="B7" s="102">
        <v>2005</v>
      </c>
      <c r="C7" s="103">
        <v>0</v>
      </c>
      <c r="D7" s="103">
        <v>1.5</v>
      </c>
      <c r="E7" s="103">
        <v>2</v>
      </c>
      <c r="F7" s="103">
        <v>2</v>
      </c>
      <c r="G7" s="103">
        <v>2.5</v>
      </c>
      <c r="H7" s="103">
        <v>2.5</v>
      </c>
      <c r="I7" s="103">
        <v>2.5</v>
      </c>
    </row>
    <row r="8" spans="1:9" x14ac:dyDescent="0.35">
      <c r="A8" s="3">
        <f xml:space="preserve"> ROW( slr_cm[[#This Row],[row_id]] ) - ROW( slr_cm[[#Headers],[row_id]] )</f>
        <v>7</v>
      </c>
      <c r="B8" s="102">
        <v>2006</v>
      </c>
      <c r="C8" s="103">
        <v>0</v>
      </c>
      <c r="D8" s="103">
        <v>1.8</v>
      </c>
      <c r="E8" s="103">
        <v>2.4</v>
      </c>
      <c r="F8" s="103">
        <v>2.4</v>
      </c>
      <c r="G8" s="103">
        <v>3</v>
      </c>
      <c r="H8" s="103">
        <v>3</v>
      </c>
      <c r="I8" s="103">
        <v>3</v>
      </c>
    </row>
    <row r="9" spans="1:9" x14ac:dyDescent="0.35">
      <c r="A9" s="3">
        <f xml:space="preserve"> ROW( slr_cm[[#This Row],[row_id]] ) - ROW( slr_cm[[#Headers],[row_id]] )</f>
        <v>8</v>
      </c>
      <c r="B9" s="102">
        <v>2007</v>
      </c>
      <c r="C9" s="103">
        <v>0</v>
      </c>
      <c r="D9" s="103">
        <v>2.1</v>
      </c>
      <c r="E9" s="103">
        <v>2.8</v>
      </c>
      <c r="F9" s="103">
        <v>2.8</v>
      </c>
      <c r="G9" s="103">
        <v>3.5</v>
      </c>
      <c r="H9" s="103">
        <v>3.5</v>
      </c>
      <c r="I9" s="103">
        <v>3.5</v>
      </c>
    </row>
    <row r="10" spans="1:9" x14ac:dyDescent="0.35">
      <c r="A10" s="3">
        <f xml:space="preserve"> ROW( slr_cm[[#This Row],[row_id]] ) - ROW( slr_cm[[#Headers],[row_id]] )</f>
        <v>9</v>
      </c>
      <c r="B10" s="102">
        <v>2008</v>
      </c>
      <c r="C10" s="103">
        <v>0</v>
      </c>
      <c r="D10" s="103">
        <v>2.4</v>
      </c>
      <c r="E10" s="103">
        <v>3.2</v>
      </c>
      <c r="F10" s="103">
        <v>3.2</v>
      </c>
      <c r="G10" s="103">
        <v>4</v>
      </c>
      <c r="H10" s="103">
        <v>4</v>
      </c>
      <c r="I10" s="103">
        <v>4</v>
      </c>
    </row>
    <row r="11" spans="1:9" x14ac:dyDescent="0.35">
      <c r="A11" s="3">
        <f xml:space="preserve"> ROW( slr_cm[[#This Row],[row_id]] ) - ROW( slr_cm[[#Headers],[row_id]] )</f>
        <v>10</v>
      </c>
      <c r="B11" s="102">
        <v>2009</v>
      </c>
      <c r="C11" s="103">
        <v>0</v>
      </c>
      <c r="D11" s="103">
        <v>2.7</v>
      </c>
      <c r="E11" s="103">
        <v>3.6</v>
      </c>
      <c r="F11" s="103">
        <v>3.6</v>
      </c>
      <c r="G11" s="103">
        <v>4.5</v>
      </c>
      <c r="H11" s="103">
        <v>4.5</v>
      </c>
      <c r="I11" s="103">
        <v>4.5</v>
      </c>
    </row>
    <row r="12" spans="1:9" x14ac:dyDescent="0.35">
      <c r="A12" s="3">
        <f xml:space="preserve"> ROW( slr_cm[[#This Row],[row_id]] ) - ROW( slr_cm[[#Headers],[row_id]] )</f>
        <v>11</v>
      </c>
      <c r="B12" s="102">
        <v>2010</v>
      </c>
      <c r="C12" s="103">
        <v>0</v>
      </c>
      <c r="D12" s="103">
        <v>3</v>
      </c>
      <c r="E12" s="103">
        <v>4</v>
      </c>
      <c r="F12" s="103">
        <v>4</v>
      </c>
      <c r="G12" s="103">
        <v>5</v>
      </c>
      <c r="H12" s="103">
        <v>5</v>
      </c>
      <c r="I12" s="103">
        <v>5</v>
      </c>
    </row>
    <row r="13" spans="1:9" x14ac:dyDescent="0.35">
      <c r="A13" s="3">
        <f xml:space="preserve"> ROW( slr_cm[[#This Row],[row_id]] ) - ROW( slr_cm[[#Headers],[row_id]] )</f>
        <v>12</v>
      </c>
      <c r="B13" s="102">
        <v>2011</v>
      </c>
      <c r="C13" s="103">
        <v>0</v>
      </c>
      <c r="D13" s="103">
        <v>3.3</v>
      </c>
      <c r="E13" s="103">
        <v>4.4000000000000004</v>
      </c>
      <c r="F13" s="103">
        <v>4.5999999999999996</v>
      </c>
      <c r="G13" s="103">
        <v>5.5</v>
      </c>
      <c r="H13" s="103">
        <v>5.6</v>
      </c>
      <c r="I13" s="103">
        <v>5.6</v>
      </c>
    </row>
    <row r="14" spans="1:9" x14ac:dyDescent="0.35">
      <c r="A14" s="3">
        <f xml:space="preserve"> ROW( slr_cm[[#This Row],[row_id]] ) - ROW( slr_cm[[#Headers],[row_id]] )</f>
        <v>13</v>
      </c>
      <c r="B14" s="102">
        <v>2012</v>
      </c>
      <c r="C14" s="103">
        <v>0</v>
      </c>
      <c r="D14" s="103">
        <v>3.6</v>
      </c>
      <c r="E14" s="103">
        <v>4.8</v>
      </c>
      <c r="F14" s="103">
        <v>5.2</v>
      </c>
      <c r="G14" s="103">
        <v>6</v>
      </c>
      <c r="H14" s="103">
        <v>6.2</v>
      </c>
      <c r="I14" s="103">
        <v>6.2</v>
      </c>
    </row>
    <row r="15" spans="1:9" x14ac:dyDescent="0.35">
      <c r="A15" s="3">
        <f xml:space="preserve"> ROW( slr_cm[[#This Row],[row_id]] ) - ROW( slr_cm[[#Headers],[row_id]] )</f>
        <v>14</v>
      </c>
      <c r="B15" s="102">
        <v>2013</v>
      </c>
      <c r="C15" s="103">
        <v>0</v>
      </c>
      <c r="D15" s="103">
        <v>3.9</v>
      </c>
      <c r="E15" s="103">
        <v>5.2</v>
      </c>
      <c r="F15" s="103">
        <v>5.8</v>
      </c>
      <c r="G15" s="103">
        <v>6.5</v>
      </c>
      <c r="H15" s="103">
        <v>6.8</v>
      </c>
      <c r="I15" s="103">
        <v>6.8</v>
      </c>
    </row>
    <row r="16" spans="1:9" x14ac:dyDescent="0.35">
      <c r="A16" s="3">
        <f xml:space="preserve"> ROW( slr_cm[[#This Row],[row_id]] ) - ROW( slr_cm[[#Headers],[row_id]] )</f>
        <v>15</v>
      </c>
      <c r="B16" s="102">
        <v>2014</v>
      </c>
      <c r="C16" s="103">
        <v>0</v>
      </c>
      <c r="D16" s="103">
        <v>4.2</v>
      </c>
      <c r="E16" s="103">
        <v>5.6</v>
      </c>
      <c r="F16" s="103">
        <v>6.4</v>
      </c>
      <c r="G16" s="103">
        <v>7</v>
      </c>
      <c r="H16" s="103">
        <v>7.4</v>
      </c>
      <c r="I16" s="103">
        <v>7.4</v>
      </c>
    </row>
    <row r="17" spans="1:9" x14ac:dyDescent="0.35">
      <c r="A17" s="3">
        <f xml:space="preserve"> ROW( slr_cm[[#This Row],[row_id]] ) - ROW( slr_cm[[#Headers],[row_id]] )</f>
        <v>16</v>
      </c>
      <c r="B17" s="102">
        <v>2015</v>
      </c>
      <c r="C17" s="103">
        <v>0</v>
      </c>
      <c r="D17" s="103">
        <v>4.5</v>
      </c>
      <c r="E17" s="103">
        <v>6</v>
      </c>
      <c r="F17" s="103">
        <v>7</v>
      </c>
      <c r="G17" s="103">
        <v>7.5</v>
      </c>
      <c r="H17" s="103">
        <v>8</v>
      </c>
      <c r="I17" s="103">
        <v>8</v>
      </c>
    </row>
    <row r="18" spans="1:9" x14ac:dyDescent="0.35">
      <c r="A18" s="3">
        <f xml:space="preserve"> ROW( slr_cm[[#This Row],[row_id]] ) - ROW( slr_cm[[#Headers],[row_id]] )</f>
        <v>17</v>
      </c>
      <c r="B18" s="102">
        <v>2016</v>
      </c>
      <c r="C18" s="103">
        <v>0</v>
      </c>
      <c r="D18" s="103">
        <v>4.8</v>
      </c>
      <c r="E18" s="103">
        <v>6.4</v>
      </c>
      <c r="F18" s="103">
        <v>7.6</v>
      </c>
      <c r="G18" s="103">
        <v>8</v>
      </c>
      <c r="H18" s="103">
        <v>8.6</v>
      </c>
      <c r="I18" s="103">
        <v>8.6</v>
      </c>
    </row>
    <row r="19" spans="1:9" x14ac:dyDescent="0.35">
      <c r="A19" s="3">
        <f xml:space="preserve"> ROW( slr_cm[[#This Row],[row_id]] ) - ROW( slr_cm[[#Headers],[row_id]] )</f>
        <v>18</v>
      </c>
      <c r="B19" s="102">
        <v>2017</v>
      </c>
      <c r="C19" s="103">
        <v>0</v>
      </c>
      <c r="D19" s="103">
        <v>5.0999999999999996</v>
      </c>
      <c r="E19" s="103">
        <v>6.8</v>
      </c>
      <c r="F19" s="103">
        <v>8.1999999999999993</v>
      </c>
      <c r="G19" s="103">
        <v>8.5</v>
      </c>
      <c r="H19" s="103">
        <v>9.1999999999999993</v>
      </c>
      <c r="I19" s="103">
        <v>9.1999999999999993</v>
      </c>
    </row>
    <row r="20" spans="1:9" x14ac:dyDescent="0.35">
      <c r="A20" s="3">
        <f xml:space="preserve"> ROW( slr_cm[[#This Row],[row_id]] ) - ROW( slr_cm[[#Headers],[row_id]] )</f>
        <v>19</v>
      </c>
      <c r="B20" s="102">
        <v>2018</v>
      </c>
      <c r="C20" s="103">
        <v>0</v>
      </c>
      <c r="D20" s="103">
        <v>5.4</v>
      </c>
      <c r="E20" s="103">
        <v>7.2</v>
      </c>
      <c r="F20" s="103">
        <v>8.8000000000000007</v>
      </c>
      <c r="G20" s="103">
        <v>9</v>
      </c>
      <c r="H20" s="103">
        <v>9.8000000000000007</v>
      </c>
      <c r="I20" s="103">
        <v>9.8000000000000007</v>
      </c>
    </row>
    <row r="21" spans="1:9" x14ac:dyDescent="0.35">
      <c r="A21" s="3">
        <f xml:space="preserve"> ROW( slr_cm[[#This Row],[row_id]] ) - ROW( slr_cm[[#Headers],[row_id]] )</f>
        <v>20</v>
      </c>
      <c r="B21" s="102">
        <v>2019</v>
      </c>
      <c r="C21" s="103">
        <v>0</v>
      </c>
      <c r="D21" s="103">
        <v>5.7</v>
      </c>
      <c r="E21" s="103">
        <v>7.6</v>
      </c>
      <c r="F21" s="103">
        <v>9.4</v>
      </c>
      <c r="G21" s="103">
        <v>9.5</v>
      </c>
      <c r="H21" s="103">
        <v>10.4</v>
      </c>
      <c r="I21" s="103">
        <v>10.4</v>
      </c>
    </row>
    <row r="22" spans="1:9" x14ac:dyDescent="0.35">
      <c r="A22" s="3">
        <f xml:space="preserve"> ROW( slr_cm[[#This Row],[row_id]] ) - ROW( slr_cm[[#Headers],[row_id]] )</f>
        <v>21</v>
      </c>
      <c r="B22" s="102">
        <v>2020</v>
      </c>
      <c r="C22" s="103">
        <v>0</v>
      </c>
      <c r="D22" s="103">
        <v>6</v>
      </c>
      <c r="E22" s="103">
        <v>8</v>
      </c>
      <c r="F22" s="103">
        <v>10</v>
      </c>
      <c r="G22" s="103">
        <v>10</v>
      </c>
      <c r="H22" s="103">
        <v>11</v>
      </c>
      <c r="I22" s="103">
        <v>11</v>
      </c>
    </row>
    <row r="23" spans="1:9" x14ac:dyDescent="0.35">
      <c r="A23" s="3">
        <f xml:space="preserve"> ROW( slr_cm[[#This Row],[row_id]] ) - ROW( slr_cm[[#Headers],[row_id]] )</f>
        <v>22</v>
      </c>
      <c r="B23" s="102">
        <v>2021</v>
      </c>
      <c r="C23" s="103">
        <v>0</v>
      </c>
      <c r="D23" s="103">
        <v>6.3</v>
      </c>
      <c r="E23" s="103">
        <v>8.5</v>
      </c>
      <c r="F23" s="103">
        <v>10.6</v>
      </c>
      <c r="G23" s="103">
        <v>10.9</v>
      </c>
      <c r="H23" s="103">
        <v>12</v>
      </c>
      <c r="I23" s="103">
        <v>12.3</v>
      </c>
    </row>
    <row r="24" spans="1:9" x14ac:dyDescent="0.35">
      <c r="A24" s="3">
        <f xml:space="preserve"> ROW( slr_cm[[#This Row],[row_id]] ) - ROW( slr_cm[[#Headers],[row_id]] )</f>
        <v>23</v>
      </c>
      <c r="B24" s="102">
        <v>2022</v>
      </c>
      <c r="C24" s="103">
        <v>0</v>
      </c>
      <c r="D24" s="103">
        <v>6.6</v>
      </c>
      <c r="E24" s="103">
        <v>9</v>
      </c>
      <c r="F24" s="103">
        <v>11.2</v>
      </c>
      <c r="G24" s="103">
        <v>11.8</v>
      </c>
      <c r="H24" s="103">
        <v>13</v>
      </c>
      <c r="I24" s="103">
        <v>13.6</v>
      </c>
    </row>
    <row r="25" spans="1:9" x14ac:dyDescent="0.35">
      <c r="A25" s="3">
        <f xml:space="preserve"> ROW( slr_cm[[#This Row],[row_id]] ) - ROW( slr_cm[[#Headers],[row_id]] )</f>
        <v>24</v>
      </c>
      <c r="B25" s="102">
        <v>2023</v>
      </c>
      <c r="C25" s="103">
        <v>0</v>
      </c>
      <c r="D25" s="103">
        <v>6.9</v>
      </c>
      <c r="E25" s="103">
        <v>9.5</v>
      </c>
      <c r="F25" s="103">
        <v>11.8</v>
      </c>
      <c r="G25" s="103">
        <v>12.7</v>
      </c>
      <c r="H25" s="103">
        <v>14</v>
      </c>
      <c r="I25" s="103">
        <v>14.9</v>
      </c>
    </row>
    <row r="26" spans="1:9" x14ac:dyDescent="0.35">
      <c r="A26" s="3">
        <f xml:space="preserve"> ROW( slr_cm[[#This Row],[row_id]] ) - ROW( slr_cm[[#Headers],[row_id]] )</f>
        <v>25</v>
      </c>
      <c r="B26" s="102">
        <v>2024</v>
      </c>
      <c r="C26" s="103">
        <v>0</v>
      </c>
      <c r="D26" s="103">
        <v>7.2</v>
      </c>
      <c r="E26" s="103">
        <v>10</v>
      </c>
      <c r="F26" s="103">
        <v>12.4</v>
      </c>
      <c r="G26" s="103">
        <v>13.6</v>
      </c>
      <c r="H26" s="103">
        <v>15</v>
      </c>
      <c r="I26" s="103">
        <v>16.2</v>
      </c>
    </row>
    <row r="27" spans="1:9" x14ac:dyDescent="0.35">
      <c r="A27" s="3">
        <f xml:space="preserve"> ROW( slr_cm[[#This Row],[row_id]] ) - ROW( slr_cm[[#Headers],[row_id]] )</f>
        <v>26</v>
      </c>
      <c r="B27" s="102">
        <v>2025</v>
      </c>
      <c r="C27" s="103">
        <v>0</v>
      </c>
      <c r="D27" s="103">
        <v>7.5</v>
      </c>
      <c r="E27" s="103">
        <v>10.5</v>
      </c>
      <c r="F27" s="103">
        <v>13</v>
      </c>
      <c r="G27" s="103">
        <v>14.5</v>
      </c>
      <c r="H27" s="103">
        <v>16</v>
      </c>
      <c r="I27" s="103">
        <v>17.5</v>
      </c>
    </row>
    <row r="28" spans="1:9" x14ac:dyDescent="0.35">
      <c r="A28" s="3">
        <f xml:space="preserve"> ROW( slr_cm[[#This Row],[row_id]] ) - ROW( slr_cm[[#Headers],[row_id]] )</f>
        <v>27</v>
      </c>
      <c r="B28" s="102">
        <v>2026</v>
      </c>
      <c r="C28" s="103">
        <v>0</v>
      </c>
      <c r="D28" s="103">
        <v>7.8</v>
      </c>
      <c r="E28" s="103">
        <v>11</v>
      </c>
      <c r="F28" s="103">
        <v>13.6</v>
      </c>
      <c r="G28" s="103">
        <v>15.4</v>
      </c>
      <c r="H28" s="103">
        <v>17</v>
      </c>
      <c r="I28" s="103">
        <v>18.8</v>
      </c>
    </row>
    <row r="29" spans="1:9" x14ac:dyDescent="0.35">
      <c r="A29" s="3">
        <f xml:space="preserve"> ROW( slr_cm[[#This Row],[row_id]] ) - ROW( slr_cm[[#Headers],[row_id]] )</f>
        <v>28</v>
      </c>
      <c r="B29" s="102">
        <v>2027</v>
      </c>
      <c r="C29" s="103">
        <v>0</v>
      </c>
      <c r="D29" s="103">
        <v>8.1</v>
      </c>
      <c r="E29" s="103">
        <v>11.5</v>
      </c>
      <c r="F29" s="103">
        <v>14.2</v>
      </c>
      <c r="G29" s="103">
        <v>16.3</v>
      </c>
      <c r="H29" s="103">
        <v>18</v>
      </c>
      <c r="I29" s="103">
        <v>20.100000000000001</v>
      </c>
    </row>
    <row r="30" spans="1:9" x14ac:dyDescent="0.35">
      <c r="A30" s="3">
        <f xml:space="preserve"> ROW( slr_cm[[#This Row],[row_id]] ) - ROW( slr_cm[[#Headers],[row_id]] )</f>
        <v>29</v>
      </c>
      <c r="B30" s="102">
        <v>2028</v>
      </c>
      <c r="C30" s="103">
        <v>0</v>
      </c>
      <c r="D30" s="103">
        <v>8.4</v>
      </c>
      <c r="E30" s="103">
        <v>12</v>
      </c>
      <c r="F30" s="103">
        <v>14.8</v>
      </c>
      <c r="G30" s="103">
        <v>17.2</v>
      </c>
      <c r="H30" s="103">
        <v>19</v>
      </c>
      <c r="I30" s="103">
        <v>21.4</v>
      </c>
    </row>
    <row r="31" spans="1:9" x14ac:dyDescent="0.35">
      <c r="A31" s="3">
        <f xml:space="preserve"> ROW( slr_cm[[#This Row],[row_id]] ) - ROW( slr_cm[[#Headers],[row_id]] )</f>
        <v>30</v>
      </c>
      <c r="B31" s="102">
        <v>2029</v>
      </c>
      <c r="C31" s="103">
        <v>0</v>
      </c>
      <c r="D31" s="103">
        <v>8.6999999999999993</v>
      </c>
      <c r="E31" s="103">
        <v>12.5</v>
      </c>
      <c r="F31" s="103">
        <v>15.4</v>
      </c>
      <c r="G31" s="103">
        <v>18.100000000000001</v>
      </c>
      <c r="H31" s="103">
        <v>20</v>
      </c>
      <c r="I31" s="103">
        <v>22.7</v>
      </c>
    </row>
    <row r="32" spans="1:9" x14ac:dyDescent="0.35">
      <c r="A32" s="3">
        <f xml:space="preserve"> ROW( slr_cm[[#This Row],[row_id]] ) - ROW( slr_cm[[#Headers],[row_id]] )</f>
        <v>31</v>
      </c>
      <c r="B32" s="102">
        <v>2030</v>
      </c>
      <c r="C32" s="103">
        <v>0</v>
      </c>
      <c r="D32" s="103">
        <v>9</v>
      </c>
      <c r="E32" s="103">
        <v>13</v>
      </c>
      <c r="F32" s="103">
        <v>16</v>
      </c>
      <c r="G32" s="103">
        <v>19</v>
      </c>
      <c r="H32" s="103">
        <v>21</v>
      </c>
      <c r="I32" s="103">
        <v>24</v>
      </c>
    </row>
    <row r="33" spans="1:9" x14ac:dyDescent="0.35">
      <c r="A33" s="3">
        <f xml:space="preserve"> ROW( slr_cm[[#This Row],[row_id]] ) - ROW( slr_cm[[#Headers],[row_id]] )</f>
        <v>32</v>
      </c>
      <c r="B33" s="102">
        <v>2031</v>
      </c>
      <c r="C33" s="103">
        <v>0</v>
      </c>
      <c r="D33" s="103">
        <v>9.4</v>
      </c>
      <c r="E33" s="103">
        <v>13.5</v>
      </c>
      <c r="F33" s="103">
        <v>16.899999999999999</v>
      </c>
      <c r="G33" s="103">
        <v>20.100000000000001</v>
      </c>
      <c r="H33" s="103">
        <v>22.5</v>
      </c>
      <c r="I33" s="103">
        <v>25.7</v>
      </c>
    </row>
    <row r="34" spans="1:9" x14ac:dyDescent="0.35">
      <c r="A34" s="3">
        <f xml:space="preserve"> ROW( slr_cm[[#This Row],[row_id]] ) - ROW( slr_cm[[#Headers],[row_id]] )</f>
        <v>33</v>
      </c>
      <c r="B34" s="102">
        <v>2032</v>
      </c>
      <c r="C34" s="103">
        <v>0</v>
      </c>
      <c r="D34" s="103">
        <v>9.8000000000000007</v>
      </c>
      <c r="E34" s="103">
        <v>14</v>
      </c>
      <c r="F34" s="103">
        <v>17.8</v>
      </c>
      <c r="G34" s="103">
        <v>21.2</v>
      </c>
      <c r="H34" s="103">
        <v>24</v>
      </c>
      <c r="I34" s="103">
        <v>27.4</v>
      </c>
    </row>
    <row r="35" spans="1:9" x14ac:dyDescent="0.35">
      <c r="A35" s="3">
        <f xml:space="preserve"> ROW( slr_cm[[#This Row],[row_id]] ) - ROW( slr_cm[[#Headers],[row_id]] )</f>
        <v>34</v>
      </c>
      <c r="B35" s="102">
        <v>2033</v>
      </c>
      <c r="C35" s="103">
        <v>0</v>
      </c>
      <c r="D35" s="103">
        <v>10.199999999999999</v>
      </c>
      <c r="E35" s="103">
        <v>14.5</v>
      </c>
      <c r="F35" s="103">
        <v>18.7</v>
      </c>
      <c r="G35" s="103">
        <v>22.3</v>
      </c>
      <c r="H35" s="103">
        <v>25.5</v>
      </c>
      <c r="I35" s="103">
        <v>29.1</v>
      </c>
    </row>
    <row r="36" spans="1:9" x14ac:dyDescent="0.35">
      <c r="A36" s="3">
        <f xml:space="preserve"> ROW( slr_cm[[#This Row],[row_id]] ) - ROW( slr_cm[[#Headers],[row_id]] )</f>
        <v>35</v>
      </c>
      <c r="B36" s="102">
        <v>2034</v>
      </c>
      <c r="C36" s="103">
        <v>0</v>
      </c>
      <c r="D36" s="103">
        <v>10.6</v>
      </c>
      <c r="E36" s="103">
        <v>15</v>
      </c>
      <c r="F36" s="103">
        <v>19.600000000000001</v>
      </c>
      <c r="G36" s="103">
        <v>23.4</v>
      </c>
      <c r="H36" s="103">
        <v>27</v>
      </c>
      <c r="I36" s="103">
        <v>30.8</v>
      </c>
    </row>
    <row r="37" spans="1:9" x14ac:dyDescent="0.35">
      <c r="A37" s="3">
        <f xml:space="preserve"> ROW( slr_cm[[#This Row],[row_id]] ) - ROW( slr_cm[[#Headers],[row_id]] )</f>
        <v>36</v>
      </c>
      <c r="B37" s="102">
        <v>2035</v>
      </c>
      <c r="C37" s="103">
        <v>0</v>
      </c>
      <c r="D37" s="103">
        <v>11</v>
      </c>
      <c r="E37" s="103">
        <v>15.5</v>
      </c>
      <c r="F37" s="103">
        <v>20.5</v>
      </c>
      <c r="G37" s="103">
        <v>24.5</v>
      </c>
      <c r="H37" s="103">
        <v>28.5</v>
      </c>
      <c r="I37" s="103">
        <v>32.5</v>
      </c>
    </row>
    <row r="38" spans="1:9" x14ac:dyDescent="0.35">
      <c r="A38" s="3">
        <f xml:space="preserve"> ROW( slr_cm[[#This Row],[row_id]] ) - ROW( slr_cm[[#Headers],[row_id]] )</f>
        <v>37</v>
      </c>
      <c r="B38" s="102">
        <v>2036</v>
      </c>
      <c r="C38" s="103">
        <v>0</v>
      </c>
      <c r="D38" s="103">
        <v>11.4</v>
      </c>
      <c r="E38" s="103">
        <v>16</v>
      </c>
      <c r="F38" s="103">
        <v>21.4</v>
      </c>
      <c r="G38" s="103">
        <v>25.6</v>
      </c>
      <c r="H38" s="103">
        <v>30</v>
      </c>
      <c r="I38" s="103">
        <v>34.200000000000003</v>
      </c>
    </row>
    <row r="39" spans="1:9" x14ac:dyDescent="0.35">
      <c r="A39" s="3">
        <f xml:space="preserve"> ROW( slr_cm[[#This Row],[row_id]] ) - ROW( slr_cm[[#Headers],[row_id]] )</f>
        <v>38</v>
      </c>
      <c r="B39" s="102">
        <v>2037</v>
      </c>
      <c r="C39" s="103">
        <v>0</v>
      </c>
      <c r="D39" s="103">
        <v>11.8</v>
      </c>
      <c r="E39" s="103">
        <v>16.5</v>
      </c>
      <c r="F39" s="103">
        <v>22.3</v>
      </c>
      <c r="G39" s="103">
        <v>26.7</v>
      </c>
      <c r="H39" s="103">
        <v>31.5</v>
      </c>
      <c r="I39" s="103">
        <v>35.9</v>
      </c>
    </row>
    <row r="40" spans="1:9" x14ac:dyDescent="0.35">
      <c r="A40" s="3">
        <f xml:space="preserve"> ROW( slr_cm[[#This Row],[row_id]] ) - ROW( slr_cm[[#Headers],[row_id]] )</f>
        <v>39</v>
      </c>
      <c r="B40" s="102">
        <v>2038</v>
      </c>
      <c r="C40" s="103">
        <v>0</v>
      </c>
      <c r="D40" s="103">
        <v>12.2</v>
      </c>
      <c r="E40" s="103">
        <v>17</v>
      </c>
      <c r="F40" s="103">
        <v>23.2</v>
      </c>
      <c r="G40" s="103">
        <v>27.8</v>
      </c>
      <c r="H40" s="103">
        <v>33</v>
      </c>
      <c r="I40" s="103">
        <v>37.6</v>
      </c>
    </row>
    <row r="41" spans="1:9" x14ac:dyDescent="0.35">
      <c r="A41" s="3">
        <f xml:space="preserve"> ROW( slr_cm[[#This Row],[row_id]] ) - ROW( slr_cm[[#Headers],[row_id]] )</f>
        <v>40</v>
      </c>
      <c r="B41" s="102">
        <v>2039</v>
      </c>
      <c r="C41" s="103">
        <v>0</v>
      </c>
      <c r="D41" s="103">
        <v>12.6</v>
      </c>
      <c r="E41" s="103">
        <v>17.5</v>
      </c>
      <c r="F41" s="103">
        <v>24.1</v>
      </c>
      <c r="G41" s="103">
        <v>28.9</v>
      </c>
      <c r="H41" s="103">
        <v>34.5</v>
      </c>
      <c r="I41" s="103">
        <v>39.299999999999997</v>
      </c>
    </row>
    <row r="42" spans="1:9" x14ac:dyDescent="0.35">
      <c r="A42" s="3">
        <f xml:space="preserve"> ROW( slr_cm[[#This Row],[row_id]] ) - ROW( slr_cm[[#Headers],[row_id]] )</f>
        <v>41</v>
      </c>
      <c r="B42" s="102">
        <v>2040</v>
      </c>
      <c r="C42" s="103">
        <v>0</v>
      </c>
      <c r="D42" s="103">
        <v>13</v>
      </c>
      <c r="E42" s="103">
        <v>18</v>
      </c>
      <c r="F42" s="103">
        <v>25</v>
      </c>
      <c r="G42" s="103">
        <v>30</v>
      </c>
      <c r="H42" s="103">
        <v>36</v>
      </c>
      <c r="I42" s="103">
        <v>41</v>
      </c>
    </row>
    <row r="43" spans="1:9" x14ac:dyDescent="0.35">
      <c r="A43" s="3">
        <f xml:space="preserve"> ROW( slr_cm[[#This Row],[row_id]] ) - ROW( slr_cm[[#Headers],[row_id]] )</f>
        <v>42</v>
      </c>
      <c r="B43" s="102">
        <v>2041</v>
      </c>
      <c r="C43" s="103">
        <v>0</v>
      </c>
      <c r="D43" s="103">
        <v>13.3</v>
      </c>
      <c r="E43" s="103">
        <v>18.600000000000001</v>
      </c>
      <c r="F43" s="103">
        <v>25.9</v>
      </c>
      <c r="G43" s="103">
        <v>31.4</v>
      </c>
      <c r="H43" s="103">
        <v>37.799999999999997</v>
      </c>
      <c r="I43" s="103">
        <v>43.2</v>
      </c>
    </row>
    <row r="44" spans="1:9" x14ac:dyDescent="0.35">
      <c r="A44" s="3">
        <f xml:space="preserve"> ROW( slr_cm[[#This Row],[row_id]] ) - ROW( slr_cm[[#Headers],[row_id]] )</f>
        <v>43</v>
      </c>
      <c r="B44" s="102">
        <v>2042</v>
      </c>
      <c r="C44" s="103">
        <v>0</v>
      </c>
      <c r="D44" s="103">
        <v>13.6</v>
      </c>
      <c r="E44" s="103">
        <v>19.2</v>
      </c>
      <c r="F44" s="103">
        <v>26.8</v>
      </c>
      <c r="G44" s="103">
        <v>32.799999999999997</v>
      </c>
      <c r="H44" s="103">
        <v>39.6</v>
      </c>
      <c r="I44" s="103">
        <v>45.4</v>
      </c>
    </row>
    <row r="45" spans="1:9" x14ac:dyDescent="0.35">
      <c r="A45" s="3">
        <f xml:space="preserve"> ROW( slr_cm[[#This Row],[row_id]] ) - ROW( slr_cm[[#Headers],[row_id]] )</f>
        <v>44</v>
      </c>
      <c r="B45" s="102">
        <v>2043</v>
      </c>
      <c r="C45" s="103">
        <v>0</v>
      </c>
      <c r="D45" s="103">
        <v>13.9</v>
      </c>
      <c r="E45" s="103">
        <v>19.8</v>
      </c>
      <c r="F45" s="103">
        <v>27.7</v>
      </c>
      <c r="G45" s="103">
        <v>34.200000000000003</v>
      </c>
      <c r="H45" s="103">
        <v>41.4</v>
      </c>
      <c r="I45" s="103">
        <v>47.6</v>
      </c>
    </row>
    <row r="46" spans="1:9" x14ac:dyDescent="0.35">
      <c r="A46" s="3">
        <f xml:space="preserve"> ROW( slr_cm[[#This Row],[row_id]] ) - ROW( slr_cm[[#Headers],[row_id]] )</f>
        <v>45</v>
      </c>
      <c r="B46" s="102">
        <v>2044</v>
      </c>
      <c r="C46" s="103">
        <v>0</v>
      </c>
      <c r="D46" s="103">
        <v>14.2</v>
      </c>
      <c r="E46" s="103">
        <v>20.399999999999999</v>
      </c>
      <c r="F46" s="103">
        <v>28.6</v>
      </c>
      <c r="G46" s="103">
        <v>35.6</v>
      </c>
      <c r="H46" s="103">
        <v>43.2</v>
      </c>
      <c r="I46" s="103">
        <v>49.8</v>
      </c>
    </row>
    <row r="47" spans="1:9" x14ac:dyDescent="0.35">
      <c r="A47" s="3">
        <f xml:space="preserve"> ROW( slr_cm[[#This Row],[row_id]] ) - ROW( slr_cm[[#Headers],[row_id]] )</f>
        <v>46</v>
      </c>
      <c r="B47" s="102">
        <v>2045</v>
      </c>
      <c r="C47" s="103">
        <v>0</v>
      </c>
      <c r="D47" s="103">
        <v>14.5</v>
      </c>
      <c r="E47" s="103">
        <v>21</v>
      </c>
      <c r="F47" s="103">
        <v>29.5</v>
      </c>
      <c r="G47" s="103">
        <v>37</v>
      </c>
      <c r="H47" s="103">
        <v>45</v>
      </c>
      <c r="I47" s="103">
        <v>52</v>
      </c>
    </row>
    <row r="48" spans="1:9" x14ac:dyDescent="0.35">
      <c r="A48" s="3">
        <f xml:space="preserve"> ROW( slr_cm[[#This Row],[row_id]] ) - ROW( slr_cm[[#Headers],[row_id]] )</f>
        <v>47</v>
      </c>
      <c r="B48" s="102">
        <v>2046</v>
      </c>
      <c r="C48" s="103">
        <v>0</v>
      </c>
      <c r="D48" s="103">
        <v>14.8</v>
      </c>
      <c r="E48" s="103">
        <v>21.6</v>
      </c>
      <c r="F48" s="103">
        <v>30.4</v>
      </c>
      <c r="G48" s="103">
        <v>38.4</v>
      </c>
      <c r="H48" s="103">
        <v>46.8</v>
      </c>
      <c r="I48" s="103">
        <v>54.2</v>
      </c>
    </row>
    <row r="49" spans="1:9" x14ac:dyDescent="0.35">
      <c r="A49" s="3">
        <f xml:space="preserve"> ROW( slr_cm[[#This Row],[row_id]] ) - ROW( slr_cm[[#Headers],[row_id]] )</f>
        <v>48</v>
      </c>
      <c r="B49" s="102">
        <v>2047</v>
      </c>
      <c r="C49" s="103">
        <v>0</v>
      </c>
      <c r="D49" s="103">
        <v>15.1</v>
      </c>
      <c r="E49" s="103">
        <v>22.2</v>
      </c>
      <c r="F49" s="103">
        <v>31.3</v>
      </c>
      <c r="G49" s="103">
        <v>39.799999999999997</v>
      </c>
      <c r="H49" s="103">
        <v>48.6</v>
      </c>
      <c r="I49" s="103">
        <v>56.4</v>
      </c>
    </row>
    <row r="50" spans="1:9" x14ac:dyDescent="0.35">
      <c r="A50" s="3">
        <f xml:space="preserve"> ROW( slr_cm[[#This Row],[row_id]] ) - ROW( slr_cm[[#Headers],[row_id]] )</f>
        <v>49</v>
      </c>
      <c r="B50" s="102">
        <v>2048</v>
      </c>
      <c r="C50" s="103">
        <v>0</v>
      </c>
      <c r="D50" s="103">
        <v>15.4</v>
      </c>
      <c r="E50" s="103">
        <v>22.8</v>
      </c>
      <c r="F50" s="103">
        <v>32.200000000000003</v>
      </c>
      <c r="G50" s="103">
        <v>41.2</v>
      </c>
      <c r="H50" s="103">
        <v>50.4</v>
      </c>
      <c r="I50" s="103">
        <v>58.6</v>
      </c>
    </row>
    <row r="51" spans="1:9" x14ac:dyDescent="0.35">
      <c r="A51" s="3">
        <f xml:space="preserve"> ROW( slr_cm[[#This Row],[row_id]] ) - ROW( slr_cm[[#Headers],[row_id]] )</f>
        <v>50</v>
      </c>
      <c r="B51" s="102">
        <v>2049</v>
      </c>
      <c r="C51" s="103">
        <v>0</v>
      </c>
      <c r="D51" s="103">
        <v>15.7</v>
      </c>
      <c r="E51" s="103">
        <v>23.4</v>
      </c>
      <c r="F51" s="103">
        <v>33.1</v>
      </c>
      <c r="G51" s="103">
        <v>42.6</v>
      </c>
      <c r="H51" s="103">
        <v>52.2</v>
      </c>
      <c r="I51" s="103">
        <v>60.8</v>
      </c>
    </row>
    <row r="52" spans="1:9" x14ac:dyDescent="0.35">
      <c r="A52" s="3">
        <f xml:space="preserve"> ROW( slr_cm[[#This Row],[row_id]] ) - ROW( slr_cm[[#Headers],[row_id]] )</f>
        <v>51</v>
      </c>
      <c r="B52" s="102">
        <v>2050</v>
      </c>
      <c r="C52" s="103">
        <v>0</v>
      </c>
      <c r="D52" s="103">
        <v>16</v>
      </c>
      <c r="E52" s="103">
        <v>24</v>
      </c>
      <c r="F52" s="103">
        <v>34</v>
      </c>
      <c r="G52" s="103">
        <v>44</v>
      </c>
      <c r="H52" s="103">
        <v>54</v>
      </c>
      <c r="I52" s="103">
        <v>63</v>
      </c>
    </row>
    <row r="53" spans="1:9" x14ac:dyDescent="0.35">
      <c r="A53" s="3">
        <f xml:space="preserve"> ROW( slr_cm[[#This Row],[row_id]] ) - ROW( slr_cm[[#Headers],[row_id]] )</f>
        <v>52</v>
      </c>
      <c r="B53" s="102">
        <v>2051</v>
      </c>
      <c r="C53" s="103">
        <v>0</v>
      </c>
      <c r="D53" s="103">
        <v>16.3</v>
      </c>
      <c r="E53" s="103">
        <v>24.5</v>
      </c>
      <c r="F53" s="103">
        <v>35.1</v>
      </c>
      <c r="G53" s="103">
        <v>45.6</v>
      </c>
      <c r="H53" s="103">
        <v>56.3</v>
      </c>
      <c r="I53" s="103">
        <v>65.7</v>
      </c>
    </row>
    <row r="54" spans="1:9" x14ac:dyDescent="0.35">
      <c r="A54" s="3">
        <f xml:space="preserve"> ROW( slr_cm[[#This Row],[row_id]] ) - ROW( slr_cm[[#Headers],[row_id]] )</f>
        <v>53</v>
      </c>
      <c r="B54" s="102">
        <v>2052</v>
      </c>
      <c r="C54" s="103">
        <v>0</v>
      </c>
      <c r="D54" s="103">
        <v>16.600000000000001</v>
      </c>
      <c r="E54" s="103">
        <v>25</v>
      </c>
      <c r="F54" s="103">
        <v>36.200000000000003</v>
      </c>
      <c r="G54" s="103">
        <v>47.2</v>
      </c>
      <c r="H54" s="103">
        <v>58.6</v>
      </c>
      <c r="I54" s="103">
        <v>68.400000000000006</v>
      </c>
    </row>
    <row r="55" spans="1:9" x14ac:dyDescent="0.35">
      <c r="A55" s="3">
        <f xml:space="preserve"> ROW( slr_cm[[#This Row],[row_id]] ) - ROW( slr_cm[[#Headers],[row_id]] )</f>
        <v>54</v>
      </c>
      <c r="B55" s="102">
        <v>2053</v>
      </c>
      <c r="C55" s="103">
        <v>0</v>
      </c>
      <c r="D55" s="103">
        <v>16.899999999999999</v>
      </c>
      <c r="E55" s="103">
        <v>25.5</v>
      </c>
      <c r="F55" s="103">
        <v>37.299999999999997</v>
      </c>
      <c r="G55" s="103">
        <v>48.8</v>
      </c>
      <c r="H55" s="103">
        <v>60.9</v>
      </c>
      <c r="I55" s="103">
        <v>71.099999999999994</v>
      </c>
    </row>
    <row r="56" spans="1:9" x14ac:dyDescent="0.35">
      <c r="A56" s="3">
        <f xml:space="preserve"> ROW( slr_cm[[#This Row],[row_id]] ) - ROW( slr_cm[[#Headers],[row_id]] )</f>
        <v>55</v>
      </c>
      <c r="B56" s="102">
        <v>2054</v>
      </c>
      <c r="C56" s="103">
        <v>0</v>
      </c>
      <c r="D56" s="103">
        <v>17.2</v>
      </c>
      <c r="E56" s="103">
        <v>26</v>
      </c>
      <c r="F56" s="103">
        <v>38.4</v>
      </c>
      <c r="G56" s="103">
        <v>50.4</v>
      </c>
      <c r="H56" s="103">
        <v>63.2</v>
      </c>
      <c r="I56" s="103">
        <v>73.8</v>
      </c>
    </row>
    <row r="57" spans="1:9" x14ac:dyDescent="0.35">
      <c r="A57" s="3">
        <f xml:space="preserve"> ROW( slr_cm[[#This Row],[row_id]] ) - ROW( slr_cm[[#Headers],[row_id]] )</f>
        <v>56</v>
      </c>
      <c r="B57" s="102">
        <v>2055</v>
      </c>
      <c r="C57" s="103">
        <v>0</v>
      </c>
      <c r="D57" s="103">
        <v>17.5</v>
      </c>
      <c r="E57" s="103">
        <v>26.5</v>
      </c>
      <c r="F57" s="103">
        <v>39.5</v>
      </c>
      <c r="G57" s="103">
        <v>52</v>
      </c>
      <c r="H57" s="103">
        <v>65.5</v>
      </c>
      <c r="I57" s="103">
        <v>76.5</v>
      </c>
    </row>
    <row r="58" spans="1:9" x14ac:dyDescent="0.35">
      <c r="A58" s="3">
        <f xml:space="preserve"> ROW( slr_cm[[#This Row],[row_id]] ) - ROW( slr_cm[[#Headers],[row_id]] )</f>
        <v>57</v>
      </c>
      <c r="B58" s="102">
        <v>2056</v>
      </c>
      <c r="C58" s="103">
        <v>0</v>
      </c>
      <c r="D58" s="103">
        <v>17.8</v>
      </c>
      <c r="E58" s="103">
        <v>27</v>
      </c>
      <c r="F58" s="103">
        <v>40.6</v>
      </c>
      <c r="G58" s="103">
        <v>53.6</v>
      </c>
      <c r="H58" s="103">
        <v>67.8</v>
      </c>
      <c r="I58" s="103">
        <v>79.2</v>
      </c>
    </row>
    <row r="59" spans="1:9" x14ac:dyDescent="0.35">
      <c r="A59" s="3">
        <f xml:space="preserve"> ROW( slr_cm[[#This Row],[row_id]] ) - ROW( slr_cm[[#Headers],[row_id]] )</f>
        <v>58</v>
      </c>
      <c r="B59" s="102">
        <v>2057</v>
      </c>
      <c r="C59" s="103">
        <v>0</v>
      </c>
      <c r="D59" s="103">
        <v>18.100000000000001</v>
      </c>
      <c r="E59" s="103">
        <v>27.5</v>
      </c>
      <c r="F59" s="103">
        <v>41.7</v>
      </c>
      <c r="G59" s="103">
        <v>55.2</v>
      </c>
      <c r="H59" s="103">
        <v>70.099999999999994</v>
      </c>
      <c r="I59" s="103">
        <v>81.900000000000006</v>
      </c>
    </row>
    <row r="60" spans="1:9" x14ac:dyDescent="0.35">
      <c r="A60" s="3">
        <f xml:space="preserve"> ROW( slr_cm[[#This Row],[row_id]] ) - ROW( slr_cm[[#Headers],[row_id]] )</f>
        <v>59</v>
      </c>
      <c r="B60" s="102">
        <v>2058</v>
      </c>
      <c r="C60" s="103">
        <v>0</v>
      </c>
      <c r="D60" s="103">
        <v>18.399999999999999</v>
      </c>
      <c r="E60" s="103">
        <v>28</v>
      </c>
      <c r="F60" s="103">
        <v>42.8</v>
      </c>
      <c r="G60" s="103">
        <v>56.8</v>
      </c>
      <c r="H60" s="103">
        <v>72.400000000000006</v>
      </c>
      <c r="I60" s="103">
        <v>84.6</v>
      </c>
    </row>
    <row r="61" spans="1:9" x14ac:dyDescent="0.35">
      <c r="A61" s="3">
        <f xml:space="preserve"> ROW( slr_cm[[#This Row],[row_id]] ) - ROW( slr_cm[[#Headers],[row_id]] )</f>
        <v>60</v>
      </c>
      <c r="B61" s="102">
        <v>2059</v>
      </c>
      <c r="C61" s="103">
        <v>0</v>
      </c>
      <c r="D61" s="103">
        <v>18.7</v>
      </c>
      <c r="E61" s="103">
        <v>28.5</v>
      </c>
      <c r="F61" s="103">
        <v>43.9</v>
      </c>
      <c r="G61" s="103">
        <v>58.4</v>
      </c>
      <c r="H61" s="103">
        <v>74.7</v>
      </c>
      <c r="I61" s="103">
        <v>87.3</v>
      </c>
    </row>
    <row r="62" spans="1:9" x14ac:dyDescent="0.35">
      <c r="A62" s="3">
        <f xml:space="preserve"> ROW( slr_cm[[#This Row],[row_id]] ) - ROW( slr_cm[[#Headers],[row_id]] )</f>
        <v>61</v>
      </c>
      <c r="B62" s="102">
        <v>2060</v>
      </c>
      <c r="C62" s="103">
        <v>0</v>
      </c>
      <c r="D62" s="103">
        <v>19</v>
      </c>
      <c r="E62" s="103">
        <v>29</v>
      </c>
      <c r="F62" s="103">
        <v>45</v>
      </c>
      <c r="G62" s="103">
        <v>60</v>
      </c>
      <c r="H62" s="103">
        <v>77</v>
      </c>
      <c r="I62" s="103">
        <v>90</v>
      </c>
    </row>
    <row r="63" spans="1:9" x14ac:dyDescent="0.35">
      <c r="A63" s="3">
        <f xml:space="preserve"> ROW( slr_cm[[#This Row],[row_id]] ) - ROW( slr_cm[[#Headers],[row_id]] )</f>
        <v>62</v>
      </c>
      <c r="B63" s="102">
        <v>2061</v>
      </c>
      <c r="C63" s="103">
        <v>0</v>
      </c>
      <c r="D63" s="103">
        <v>19.3</v>
      </c>
      <c r="E63" s="103">
        <v>29.6</v>
      </c>
      <c r="F63" s="103">
        <v>46.2</v>
      </c>
      <c r="G63" s="103">
        <v>61.9</v>
      </c>
      <c r="H63" s="103">
        <v>79.3</v>
      </c>
      <c r="I63" s="103">
        <v>93</v>
      </c>
    </row>
    <row r="64" spans="1:9" x14ac:dyDescent="0.35">
      <c r="A64" s="3">
        <f xml:space="preserve"> ROW( slr_cm[[#This Row],[row_id]] ) - ROW( slr_cm[[#Headers],[row_id]] )</f>
        <v>63</v>
      </c>
      <c r="B64" s="102">
        <v>2062</v>
      </c>
      <c r="C64" s="103">
        <v>0</v>
      </c>
      <c r="D64" s="103">
        <v>19.600000000000001</v>
      </c>
      <c r="E64" s="103">
        <v>30.2</v>
      </c>
      <c r="F64" s="103">
        <v>47.4</v>
      </c>
      <c r="G64" s="103">
        <v>63.8</v>
      </c>
      <c r="H64" s="103">
        <v>81.599999999999994</v>
      </c>
      <c r="I64" s="103">
        <v>96</v>
      </c>
    </row>
    <row r="65" spans="1:9" x14ac:dyDescent="0.35">
      <c r="A65" s="3">
        <f xml:space="preserve"> ROW( slr_cm[[#This Row],[row_id]] ) - ROW( slr_cm[[#Headers],[row_id]] )</f>
        <v>64</v>
      </c>
      <c r="B65" s="102">
        <v>2063</v>
      </c>
      <c r="C65" s="103">
        <v>0</v>
      </c>
      <c r="D65" s="103">
        <v>19.899999999999999</v>
      </c>
      <c r="E65" s="103">
        <v>30.8</v>
      </c>
      <c r="F65" s="103">
        <v>48.6</v>
      </c>
      <c r="G65" s="103">
        <v>65.7</v>
      </c>
      <c r="H65" s="103">
        <v>83.9</v>
      </c>
      <c r="I65" s="103">
        <v>99</v>
      </c>
    </row>
    <row r="66" spans="1:9" x14ac:dyDescent="0.35">
      <c r="A66" s="3">
        <f xml:space="preserve"> ROW( slr_cm[[#This Row],[row_id]] ) - ROW( slr_cm[[#Headers],[row_id]] )</f>
        <v>65</v>
      </c>
      <c r="B66" s="102">
        <v>2064</v>
      </c>
      <c r="C66" s="103">
        <v>0</v>
      </c>
      <c r="D66" s="103">
        <v>20.2</v>
      </c>
      <c r="E66" s="103">
        <v>31.4</v>
      </c>
      <c r="F66" s="103">
        <v>49.8</v>
      </c>
      <c r="G66" s="103">
        <v>67.599999999999994</v>
      </c>
      <c r="H66" s="103">
        <v>86.2</v>
      </c>
      <c r="I66" s="103">
        <v>102</v>
      </c>
    </row>
    <row r="67" spans="1:9" x14ac:dyDescent="0.35">
      <c r="A67" s="3">
        <f xml:space="preserve"> ROW( slr_cm[[#This Row],[row_id]] ) - ROW( slr_cm[[#Headers],[row_id]] )</f>
        <v>66</v>
      </c>
      <c r="B67" s="102">
        <v>2065</v>
      </c>
      <c r="C67" s="103">
        <v>0</v>
      </c>
      <c r="D67" s="103">
        <v>20.5</v>
      </c>
      <c r="E67" s="103">
        <v>32</v>
      </c>
      <c r="F67" s="103">
        <v>51</v>
      </c>
      <c r="G67" s="103">
        <v>69.5</v>
      </c>
      <c r="H67" s="103">
        <v>88.5</v>
      </c>
      <c r="I67" s="103">
        <v>105</v>
      </c>
    </row>
    <row r="68" spans="1:9" x14ac:dyDescent="0.35">
      <c r="A68" s="3">
        <f xml:space="preserve"> ROW( slr_cm[[#This Row],[row_id]] ) - ROW( slr_cm[[#Headers],[row_id]] )</f>
        <v>67</v>
      </c>
      <c r="B68" s="102">
        <v>2066</v>
      </c>
      <c r="C68" s="103">
        <v>0</v>
      </c>
      <c r="D68" s="103">
        <v>20.8</v>
      </c>
      <c r="E68" s="103">
        <v>32.6</v>
      </c>
      <c r="F68" s="103">
        <v>52.2</v>
      </c>
      <c r="G68" s="103">
        <v>71.400000000000006</v>
      </c>
      <c r="H68" s="103">
        <v>90.8</v>
      </c>
      <c r="I68" s="103">
        <v>108</v>
      </c>
    </row>
    <row r="69" spans="1:9" x14ac:dyDescent="0.35">
      <c r="A69" s="3">
        <f xml:space="preserve"> ROW( slr_cm[[#This Row],[row_id]] ) - ROW( slr_cm[[#Headers],[row_id]] )</f>
        <v>68</v>
      </c>
      <c r="B69" s="102">
        <v>2067</v>
      </c>
      <c r="C69" s="103">
        <v>0</v>
      </c>
      <c r="D69" s="103">
        <v>21.1</v>
      </c>
      <c r="E69" s="103">
        <v>33.200000000000003</v>
      </c>
      <c r="F69" s="103">
        <v>53.4</v>
      </c>
      <c r="G69" s="103">
        <v>73.3</v>
      </c>
      <c r="H69" s="103">
        <v>93.1</v>
      </c>
      <c r="I69" s="103">
        <v>111</v>
      </c>
    </row>
    <row r="70" spans="1:9" x14ac:dyDescent="0.35">
      <c r="A70" s="3">
        <f xml:space="preserve"> ROW( slr_cm[[#This Row],[row_id]] ) - ROW( slr_cm[[#Headers],[row_id]] )</f>
        <v>69</v>
      </c>
      <c r="B70" s="102">
        <v>2068</v>
      </c>
      <c r="C70" s="103">
        <v>0</v>
      </c>
      <c r="D70" s="103">
        <v>21.4</v>
      </c>
      <c r="E70" s="103">
        <v>33.799999999999997</v>
      </c>
      <c r="F70" s="103">
        <v>54.6</v>
      </c>
      <c r="G70" s="103">
        <v>75.2</v>
      </c>
      <c r="H70" s="103">
        <v>95.4</v>
      </c>
      <c r="I70" s="103">
        <v>114</v>
      </c>
    </row>
    <row r="71" spans="1:9" x14ac:dyDescent="0.35">
      <c r="A71" s="3">
        <f xml:space="preserve"> ROW( slr_cm[[#This Row],[row_id]] ) - ROW( slr_cm[[#Headers],[row_id]] )</f>
        <v>70</v>
      </c>
      <c r="B71" s="102">
        <v>2069</v>
      </c>
      <c r="C71" s="103">
        <v>0</v>
      </c>
      <c r="D71" s="103">
        <v>21.7</v>
      </c>
      <c r="E71" s="103">
        <v>34.4</v>
      </c>
      <c r="F71" s="103">
        <v>55.8</v>
      </c>
      <c r="G71" s="103">
        <v>77.099999999999994</v>
      </c>
      <c r="H71" s="103">
        <v>97.7</v>
      </c>
      <c r="I71" s="103">
        <v>117</v>
      </c>
    </row>
    <row r="72" spans="1:9" x14ac:dyDescent="0.35">
      <c r="A72" s="3">
        <f xml:space="preserve"> ROW( slr_cm[[#This Row],[row_id]] ) - ROW( slr_cm[[#Headers],[row_id]] )</f>
        <v>71</v>
      </c>
      <c r="B72" s="102">
        <v>2070</v>
      </c>
      <c r="C72" s="103">
        <v>0</v>
      </c>
      <c r="D72" s="103">
        <v>22</v>
      </c>
      <c r="E72" s="103">
        <v>35</v>
      </c>
      <c r="F72" s="103">
        <v>57</v>
      </c>
      <c r="G72" s="103">
        <v>79</v>
      </c>
      <c r="H72" s="103">
        <v>100</v>
      </c>
      <c r="I72" s="103">
        <v>120</v>
      </c>
    </row>
    <row r="73" spans="1:9" x14ac:dyDescent="0.35">
      <c r="A73" s="3">
        <f xml:space="preserve"> ROW( slr_cm[[#This Row],[row_id]] ) - ROW( slr_cm[[#Headers],[row_id]] )</f>
        <v>72</v>
      </c>
      <c r="B73" s="102">
        <v>2071</v>
      </c>
      <c r="C73" s="103">
        <v>0</v>
      </c>
      <c r="D73" s="103">
        <v>22.3</v>
      </c>
      <c r="E73" s="103">
        <v>35.5</v>
      </c>
      <c r="F73" s="103">
        <v>58.4</v>
      </c>
      <c r="G73" s="103">
        <v>81.099999999999994</v>
      </c>
      <c r="H73" s="103">
        <v>103</v>
      </c>
      <c r="I73" s="103">
        <v>124</v>
      </c>
    </row>
    <row r="74" spans="1:9" x14ac:dyDescent="0.35">
      <c r="A74" s="3">
        <f xml:space="preserve"> ROW( slr_cm[[#This Row],[row_id]] ) - ROW( slr_cm[[#Headers],[row_id]] )</f>
        <v>73</v>
      </c>
      <c r="B74" s="102">
        <v>2072</v>
      </c>
      <c r="C74" s="103">
        <v>0</v>
      </c>
      <c r="D74" s="103">
        <v>22.6</v>
      </c>
      <c r="E74" s="103">
        <v>36</v>
      </c>
      <c r="F74" s="103">
        <v>59.8</v>
      </c>
      <c r="G74" s="103">
        <v>83.2</v>
      </c>
      <c r="H74" s="103">
        <v>106</v>
      </c>
      <c r="I74" s="103">
        <v>128</v>
      </c>
    </row>
    <row r="75" spans="1:9" x14ac:dyDescent="0.35">
      <c r="A75" s="3">
        <f xml:space="preserve"> ROW( slr_cm[[#This Row],[row_id]] ) - ROW( slr_cm[[#Headers],[row_id]] )</f>
        <v>74</v>
      </c>
      <c r="B75" s="102">
        <v>2073</v>
      </c>
      <c r="C75" s="103">
        <v>0</v>
      </c>
      <c r="D75" s="103">
        <v>22.9</v>
      </c>
      <c r="E75" s="103">
        <v>36.5</v>
      </c>
      <c r="F75" s="103">
        <v>61.2</v>
      </c>
      <c r="G75" s="103">
        <v>85.3</v>
      </c>
      <c r="H75" s="103">
        <v>109</v>
      </c>
      <c r="I75" s="103">
        <v>132</v>
      </c>
    </row>
    <row r="76" spans="1:9" x14ac:dyDescent="0.35">
      <c r="A76" s="3">
        <f xml:space="preserve"> ROW( slr_cm[[#This Row],[row_id]] ) - ROW( slr_cm[[#Headers],[row_id]] )</f>
        <v>75</v>
      </c>
      <c r="B76" s="102">
        <v>2074</v>
      </c>
      <c r="C76" s="103">
        <v>0</v>
      </c>
      <c r="D76" s="103">
        <v>23.2</v>
      </c>
      <c r="E76" s="103">
        <v>37</v>
      </c>
      <c r="F76" s="103">
        <v>62.6</v>
      </c>
      <c r="G76" s="103">
        <v>87.4</v>
      </c>
      <c r="H76" s="103">
        <v>112</v>
      </c>
      <c r="I76" s="103">
        <v>136</v>
      </c>
    </row>
    <row r="77" spans="1:9" x14ac:dyDescent="0.35">
      <c r="A77" s="3">
        <f xml:space="preserve"> ROW( slr_cm[[#This Row],[row_id]] ) - ROW( slr_cm[[#Headers],[row_id]] )</f>
        <v>76</v>
      </c>
      <c r="B77" s="102">
        <v>2075</v>
      </c>
      <c r="C77" s="103">
        <v>0</v>
      </c>
      <c r="D77" s="103">
        <v>23.5</v>
      </c>
      <c r="E77" s="103">
        <v>37.5</v>
      </c>
      <c r="F77" s="103">
        <v>64</v>
      </c>
      <c r="G77" s="103">
        <v>89.5</v>
      </c>
      <c r="H77" s="103">
        <v>115</v>
      </c>
      <c r="I77" s="103">
        <v>140</v>
      </c>
    </row>
    <row r="78" spans="1:9" x14ac:dyDescent="0.35">
      <c r="A78" s="3">
        <f xml:space="preserve"> ROW( slr_cm[[#This Row],[row_id]] ) - ROW( slr_cm[[#Headers],[row_id]] )</f>
        <v>77</v>
      </c>
      <c r="B78" s="102">
        <v>2076</v>
      </c>
      <c r="C78" s="103">
        <v>0</v>
      </c>
      <c r="D78" s="103">
        <v>23.8</v>
      </c>
      <c r="E78" s="103">
        <v>38</v>
      </c>
      <c r="F78" s="103">
        <v>65.400000000000006</v>
      </c>
      <c r="G78" s="103">
        <v>91.6</v>
      </c>
      <c r="H78" s="103">
        <v>118</v>
      </c>
      <c r="I78" s="103">
        <v>144</v>
      </c>
    </row>
    <row r="79" spans="1:9" x14ac:dyDescent="0.35">
      <c r="A79" s="3">
        <f xml:space="preserve"> ROW( slr_cm[[#This Row],[row_id]] ) - ROW( slr_cm[[#Headers],[row_id]] )</f>
        <v>78</v>
      </c>
      <c r="B79" s="102">
        <v>2077</v>
      </c>
      <c r="C79" s="103">
        <v>0</v>
      </c>
      <c r="D79" s="103">
        <v>24.1</v>
      </c>
      <c r="E79" s="103">
        <v>38.5</v>
      </c>
      <c r="F79" s="103">
        <v>66.8</v>
      </c>
      <c r="G79" s="103">
        <v>93.7</v>
      </c>
      <c r="H79" s="103">
        <v>121</v>
      </c>
      <c r="I79" s="103">
        <v>148</v>
      </c>
    </row>
    <row r="80" spans="1:9" x14ac:dyDescent="0.35">
      <c r="A80" s="3">
        <f xml:space="preserve"> ROW( slr_cm[[#This Row],[row_id]] ) - ROW( slr_cm[[#Headers],[row_id]] )</f>
        <v>79</v>
      </c>
      <c r="B80" s="102">
        <v>2078</v>
      </c>
      <c r="C80" s="103">
        <v>0</v>
      </c>
      <c r="D80" s="103">
        <v>24.4</v>
      </c>
      <c r="E80" s="103">
        <v>39</v>
      </c>
      <c r="F80" s="103">
        <v>68.2</v>
      </c>
      <c r="G80" s="103">
        <v>95.8</v>
      </c>
      <c r="H80" s="103">
        <v>124</v>
      </c>
      <c r="I80" s="103">
        <v>152</v>
      </c>
    </row>
    <row r="81" spans="1:9" x14ac:dyDescent="0.35">
      <c r="A81" s="3">
        <f xml:space="preserve"> ROW( slr_cm[[#This Row],[row_id]] ) - ROW( slr_cm[[#Headers],[row_id]] )</f>
        <v>80</v>
      </c>
      <c r="B81" s="102">
        <v>2079</v>
      </c>
      <c r="C81" s="103">
        <v>0</v>
      </c>
      <c r="D81" s="103">
        <v>24.7</v>
      </c>
      <c r="E81" s="103">
        <v>39.5</v>
      </c>
      <c r="F81" s="103">
        <v>69.599999999999994</v>
      </c>
      <c r="G81" s="103">
        <v>97.9</v>
      </c>
      <c r="H81" s="103">
        <v>127</v>
      </c>
      <c r="I81" s="103">
        <v>156</v>
      </c>
    </row>
    <row r="82" spans="1:9" x14ac:dyDescent="0.35">
      <c r="A82" s="3">
        <f xml:space="preserve"> ROW( slr_cm[[#This Row],[row_id]] ) - ROW( slr_cm[[#Headers],[row_id]] )</f>
        <v>81</v>
      </c>
      <c r="B82" s="102">
        <v>2080</v>
      </c>
      <c r="C82" s="103">
        <v>0</v>
      </c>
      <c r="D82" s="103">
        <v>25</v>
      </c>
      <c r="E82" s="103">
        <v>40</v>
      </c>
      <c r="F82" s="103">
        <v>71</v>
      </c>
      <c r="G82" s="103">
        <v>100</v>
      </c>
      <c r="H82" s="103">
        <v>130</v>
      </c>
      <c r="I82" s="103">
        <v>160</v>
      </c>
    </row>
    <row r="83" spans="1:9" x14ac:dyDescent="0.35">
      <c r="A83" s="3">
        <f xml:space="preserve"> ROW( slr_cm[[#This Row],[row_id]] ) - ROW( slr_cm[[#Headers],[row_id]] )</f>
        <v>82</v>
      </c>
      <c r="B83" s="102">
        <v>2081</v>
      </c>
      <c r="C83" s="103">
        <v>0</v>
      </c>
      <c r="D83" s="103">
        <v>25.3</v>
      </c>
      <c r="E83" s="103">
        <v>40.5</v>
      </c>
      <c r="F83" s="103">
        <v>72.400000000000006</v>
      </c>
      <c r="G83" s="103">
        <v>102</v>
      </c>
      <c r="H83" s="103">
        <v>134</v>
      </c>
      <c r="I83" s="103">
        <v>164</v>
      </c>
    </row>
    <row r="84" spans="1:9" x14ac:dyDescent="0.35">
      <c r="A84" s="3">
        <f xml:space="preserve"> ROW( slr_cm[[#This Row],[row_id]] ) - ROW( slr_cm[[#Headers],[row_id]] )</f>
        <v>83</v>
      </c>
      <c r="B84" s="102">
        <v>2082</v>
      </c>
      <c r="C84" s="103">
        <v>0</v>
      </c>
      <c r="D84" s="103">
        <v>25.6</v>
      </c>
      <c r="E84" s="103">
        <v>41</v>
      </c>
      <c r="F84" s="103">
        <v>73.8</v>
      </c>
      <c r="G84" s="103">
        <v>104</v>
      </c>
      <c r="H84" s="103">
        <v>138</v>
      </c>
      <c r="I84" s="103">
        <v>168</v>
      </c>
    </row>
    <row r="85" spans="1:9" x14ac:dyDescent="0.35">
      <c r="A85" s="3">
        <f xml:space="preserve"> ROW( slr_cm[[#This Row],[row_id]] ) - ROW( slr_cm[[#Headers],[row_id]] )</f>
        <v>84</v>
      </c>
      <c r="B85" s="102">
        <v>2083</v>
      </c>
      <c r="C85" s="103">
        <v>0</v>
      </c>
      <c r="D85" s="103">
        <v>25.9</v>
      </c>
      <c r="E85" s="103">
        <v>41.5</v>
      </c>
      <c r="F85" s="103">
        <v>75.2</v>
      </c>
      <c r="G85" s="103">
        <v>106</v>
      </c>
      <c r="H85" s="103">
        <v>142</v>
      </c>
      <c r="I85" s="103">
        <v>172</v>
      </c>
    </row>
    <row r="86" spans="1:9" x14ac:dyDescent="0.35">
      <c r="A86" s="3">
        <f xml:space="preserve"> ROW( slr_cm[[#This Row],[row_id]] ) - ROW( slr_cm[[#Headers],[row_id]] )</f>
        <v>85</v>
      </c>
      <c r="B86" s="102">
        <v>2084</v>
      </c>
      <c r="C86" s="103">
        <v>0</v>
      </c>
      <c r="D86" s="103">
        <v>26.2</v>
      </c>
      <c r="E86" s="103">
        <v>42</v>
      </c>
      <c r="F86" s="103">
        <v>76.599999999999994</v>
      </c>
      <c r="G86" s="103">
        <v>108</v>
      </c>
      <c r="H86" s="103">
        <v>146</v>
      </c>
      <c r="I86" s="103">
        <v>176</v>
      </c>
    </row>
    <row r="87" spans="1:9" x14ac:dyDescent="0.35">
      <c r="A87" s="3">
        <f xml:space="preserve"> ROW( slr_cm[[#This Row],[row_id]] ) - ROW( slr_cm[[#Headers],[row_id]] )</f>
        <v>86</v>
      </c>
      <c r="B87" s="102">
        <v>2085</v>
      </c>
      <c r="C87" s="103">
        <v>0</v>
      </c>
      <c r="D87" s="103">
        <v>26.5</v>
      </c>
      <c r="E87" s="103">
        <v>42.5</v>
      </c>
      <c r="F87" s="103">
        <v>78</v>
      </c>
      <c r="G87" s="103">
        <v>110</v>
      </c>
      <c r="H87" s="103">
        <v>150</v>
      </c>
      <c r="I87" s="103">
        <v>180</v>
      </c>
    </row>
    <row r="88" spans="1:9" x14ac:dyDescent="0.35">
      <c r="A88" s="3">
        <f xml:space="preserve"> ROW( slr_cm[[#This Row],[row_id]] ) - ROW( slr_cm[[#Headers],[row_id]] )</f>
        <v>87</v>
      </c>
      <c r="B88" s="102">
        <v>2086</v>
      </c>
      <c r="C88" s="103">
        <v>0</v>
      </c>
      <c r="D88" s="103">
        <v>26.8</v>
      </c>
      <c r="E88" s="103">
        <v>43</v>
      </c>
      <c r="F88" s="103">
        <v>79.400000000000006</v>
      </c>
      <c r="G88" s="103">
        <v>112</v>
      </c>
      <c r="H88" s="103">
        <v>154</v>
      </c>
      <c r="I88" s="103">
        <v>184</v>
      </c>
    </row>
    <row r="89" spans="1:9" x14ac:dyDescent="0.35">
      <c r="A89" s="3">
        <f xml:space="preserve"> ROW( slr_cm[[#This Row],[row_id]] ) - ROW( slr_cm[[#Headers],[row_id]] )</f>
        <v>88</v>
      </c>
      <c r="B89" s="102">
        <v>2087</v>
      </c>
      <c r="C89" s="103">
        <v>0</v>
      </c>
      <c r="D89" s="103">
        <v>27.1</v>
      </c>
      <c r="E89" s="103">
        <v>43.5</v>
      </c>
      <c r="F89" s="103">
        <v>80.8</v>
      </c>
      <c r="G89" s="103">
        <v>114</v>
      </c>
      <c r="H89" s="103">
        <v>158</v>
      </c>
      <c r="I89" s="103">
        <v>188</v>
      </c>
    </row>
    <row r="90" spans="1:9" x14ac:dyDescent="0.35">
      <c r="A90" s="3">
        <f xml:space="preserve"> ROW( slr_cm[[#This Row],[row_id]] ) - ROW( slr_cm[[#Headers],[row_id]] )</f>
        <v>89</v>
      </c>
      <c r="B90" s="102">
        <v>2088</v>
      </c>
      <c r="C90" s="103">
        <v>0</v>
      </c>
      <c r="D90" s="103">
        <v>27.4</v>
      </c>
      <c r="E90" s="103">
        <v>44</v>
      </c>
      <c r="F90" s="103">
        <v>82.2</v>
      </c>
      <c r="G90" s="103">
        <v>116</v>
      </c>
      <c r="H90" s="103">
        <v>162</v>
      </c>
      <c r="I90" s="103">
        <v>192</v>
      </c>
    </row>
    <row r="91" spans="1:9" x14ac:dyDescent="0.35">
      <c r="A91" s="3">
        <f xml:space="preserve"> ROW( slr_cm[[#This Row],[row_id]] ) - ROW( slr_cm[[#Headers],[row_id]] )</f>
        <v>90</v>
      </c>
      <c r="B91" s="102">
        <v>2089</v>
      </c>
      <c r="C91" s="103">
        <v>0</v>
      </c>
      <c r="D91" s="103">
        <v>27.7</v>
      </c>
      <c r="E91" s="103">
        <v>44.5</v>
      </c>
      <c r="F91" s="103">
        <v>83.6</v>
      </c>
      <c r="G91" s="103">
        <v>118</v>
      </c>
      <c r="H91" s="103">
        <v>166</v>
      </c>
      <c r="I91" s="103">
        <v>196</v>
      </c>
    </row>
    <row r="92" spans="1:9" x14ac:dyDescent="0.35">
      <c r="A92" s="3">
        <f xml:space="preserve"> ROW( slr_cm[[#This Row],[row_id]] ) - ROW( slr_cm[[#Headers],[row_id]] )</f>
        <v>91</v>
      </c>
      <c r="B92" s="102">
        <v>2090</v>
      </c>
      <c r="C92" s="103">
        <v>0</v>
      </c>
      <c r="D92" s="103">
        <v>28</v>
      </c>
      <c r="E92" s="103">
        <v>45</v>
      </c>
      <c r="F92" s="103">
        <v>85</v>
      </c>
      <c r="G92" s="103">
        <v>120</v>
      </c>
      <c r="H92" s="103">
        <v>170</v>
      </c>
      <c r="I92" s="103">
        <v>200</v>
      </c>
    </row>
    <row r="93" spans="1:9" x14ac:dyDescent="0.35">
      <c r="A93" s="3">
        <f xml:space="preserve"> ROW( slr_cm[[#This Row],[row_id]] ) - ROW( slr_cm[[#Headers],[row_id]] )</f>
        <v>92</v>
      </c>
      <c r="B93" s="102">
        <v>2091</v>
      </c>
      <c r="C93" s="103">
        <v>0</v>
      </c>
      <c r="D93" s="103">
        <v>28.2</v>
      </c>
      <c r="E93" s="103">
        <v>45.5</v>
      </c>
      <c r="F93" s="103">
        <v>86.5</v>
      </c>
      <c r="G93" s="103">
        <v>123</v>
      </c>
      <c r="H93" s="103">
        <v>173</v>
      </c>
      <c r="I93" s="103">
        <v>205</v>
      </c>
    </row>
    <row r="94" spans="1:9" x14ac:dyDescent="0.35">
      <c r="A94" s="3">
        <f xml:space="preserve"> ROW( slr_cm[[#This Row],[row_id]] ) - ROW( slr_cm[[#Headers],[row_id]] )</f>
        <v>93</v>
      </c>
      <c r="B94" s="102">
        <v>2092</v>
      </c>
      <c r="C94" s="103">
        <v>0</v>
      </c>
      <c r="D94" s="103">
        <v>28.4</v>
      </c>
      <c r="E94" s="103">
        <v>46</v>
      </c>
      <c r="F94" s="103">
        <v>88</v>
      </c>
      <c r="G94" s="103">
        <v>126</v>
      </c>
      <c r="H94" s="103">
        <v>176</v>
      </c>
      <c r="I94" s="103">
        <v>210</v>
      </c>
    </row>
    <row r="95" spans="1:9" x14ac:dyDescent="0.35">
      <c r="A95" s="3">
        <f xml:space="preserve"> ROW( slr_cm[[#This Row],[row_id]] ) - ROW( slr_cm[[#Headers],[row_id]] )</f>
        <v>94</v>
      </c>
      <c r="B95" s="102">
        <v>2093</v>
      </c>
      <c r="C95" s="103">
        <v>0</v>
      </c>
      <c r="D95" s="103">
        <v>28.6</v>
      </c>
      <c r="E95" s="103">
        <v>46.5</v>
      </c>
      <c r="F95" s="103">
        <v>89.5</v>
      </c>
      <c r="G95" s="103">
        <v>129</v>
      </c>
      <c r="H95" s="103">
        <v>179</v>
      </c>
      <c r="I95" s="103">
        <v>215</v>
      </c>
    </row>
    <row r="96" spans="1:9" x14ac:dyDescent="0.35">
      <c r="A96" s="3">
        <f xml:space="preserve"> ROW( slr_cm[[#This Row],[row_id]] ) - ROW( slr_cm[[#Headers],[row_id]] )</f>
        <v>95</v>
      </c>
      <c r="B96" s="102">
        <v>2094</v>
      </c>
      <c r="C96" s="103">
        <v>0</v>
      </c>
      <c r="D96" s="103">
        <v>28.8</v>
      </c>
      <c r="E96" s="103">
        <v>47</v>
      </c>
      <c r="F96" s="103">
        <v>91</v>
      </c>
      <c r="G96" s="103">
        <v>132</v>
      </c>
      <c r="H96" s="103">
        <v>182</v>
      </c>
      <c r="I96" s="103">
        <v>220</v>
      </c>
    </row>
    <row r="97" spans="1:9" x14ac:dyDescent="0.35">
      <c r="A97" s="3">
        <f xml:space="preserve"> ROW( slr_cm[[#This Row],[row_id]] ) - ROW( slr_cm[[#Headers],[row_id]] )</f>
        <v>96</v>
      </c>
      <c r="B97" s="102">
        <v>2095</v>
      </c>
      <c r="C97" s="103">
        <v>0</v>
      </c>
      <c r="D97" s="103">
        <v>29</v>
      </c>
      <c r="E97" s="103">
        <v>47.5</v>
      </c>
      <c r="F97" s="103">
        <v>92.5</v>
      </c>
      <c r="G97" s="103">
        <v>135</v>
      </c>
      <c r="H97" s="103">
        <v>185</v>
      </c>
      <c r="I97" s="103">
        <v>225</v>
      </c>
    </row>
    <row r="98" spans="1:9" x14ac:dyDescent="0.35">
      <c r="A98" s="3">
        <f xml:space="preserve"> ROW( slr_cm[[#This Row],[row_id]] ) - ROW( slr_cm[[#Headers],[row_id]] )</f>
        <v>97</v>
      </c>
      <c r="B98" s="102">
        <v>2096</v>
      </c>
      <c r="C98" s="103">
        <v>0</v>
      </c>
      <c r="D98" s="103">
        <v>29.2</v>
      </c>
      <c r="E98" s="103">
        <v>48</v>
      </c>
      <c r="F98" s="103">
        <v>94</v>
      </c>
      <c r="G98" s="103">
        <v>138</v>
      </c>
      <c r="H98" s="103">
        <v>188</v>
      </c>
      <c r="I98" s="103">
        <v>230</v>
      </c>
    </row>
    <row r="99" spans="1:9" x14ac:dyDescent="0.35">
      <c r="A99" s="3">
        <f xml:space="preserve"> ROW( slr_cm[[#This Row],[row_id]] ) - ROW( slr_cm[[#Headers],[row_id]] )</f>
        <v>98</v>
      </c>
      <c r="B99" s="102">
        <v>2097</v>
      </c>
      <c r="C99" s="103">
        <v>0</v>
      </c>
      <c r="D99" s="103">
        <v>29.4</v>
      </c>
      <c r="E99" s="103">
        <v>48.5</v>
      </c>
      <c r="F99" s="103">
        <v>95.5</v>
      </c>
      <c r="G99" s="103">
        <v>141</v>
      </c>
      <c r="H99" s="103">
        <v>191</v>
      </c>
      <c r="I99" s="103">
        <v>235</v>
      </c>
    </row>
    <row r="100" spans="1:9" x14ac:dyDescent="0.35">
      <c r="A100" s="3">
        <f xml:space="preserve"> ROW( slr_cm[[#This Row],[row_id]] ) - ROW( slr_cm[[#Headers],[row_id]] )</f>
        <v>99</v>
      </c>
      <c r="B100" s="102">
        <v>2098</v>
      </c>
      <c r="C100" s="103">
        <v>0</v>
      </c>
      <c r="D100" s="103">
        <v>29.6</v>
      </c>
      <c r="E100" s="103">
        <v>49</v>
      </c>
      <c r="F100" s="103">
        <v>97</v>
      </c>
      <c r="G100" s="103">
        <v>144</v>
      </c>
      <c r="H100" s="103">
        <v>194</v>
      </c>
      <c r="I100" s="103">
        <v>240</v>
      </c>
    </row>
    <row r="101" spans="1:9" x14ac:dyDescent="0.35">
      <c r="A101" s="3">
        <f xml:space="preserve"> ROW( slr_cm[[#This Row],[row_id]] ) - ROW( slr_cm[[#Headers],[row_id]] )</f>
        <v>100</v>
      </c>
      <c r="B101" s="102">
        <v>2099</v>
      </c>
      <c r="C101" s="103">
        <v>0</v>
      </c>
      <c r="D101" s="103">
        <v>29.8</v>
      </c>
      <c r="E101" s="103">
        <v>49.5</v>
      </c>
      <c r="F101" s="103">
        <v>98.5</v>
      </c>
      <c r="G101" s="103">
        <v>147</v>
      </c>
      <c r="H101" s="103">
        <v>197</v>
      </c>
      <c r="I101" s="103">
        <v>245</v>
      </c>
    </row>
    <row r="102" spans="1:9" x14ac:dyDescent="0.35">
      <c r="A102" s="3">
        <f xml:space="preserve"> ROW( slr_cm[[#This Row],[row_id]] ) - ROW( slr_cm[[#Headers],[row_id]] )</f>
        <v>101</v>
      </c>
      <c r="B102" s="102">
        <v>2100</v>
      </c>
      <c r="C102" s="103">
        <v>0</v>
      </c>
      <c r="D102" s="103">
        <v>30</v>
      </c>
      <c r="E102" s="103">
        <v>50</v>
      </c>
      <c r="F102" s="103">
        <v>100</v>
      </c>
      <c r="G102" s="103">
        <v>150</v>
      </c>
      <c r="H102" s="103">
        <v>200</v>
      </c>
      <c r="I102" s="103">
        <v>250</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55567C-B946-40F2-A535-727F13692C27}">
  <sheetPr>
    <tabColor theme="4" tint="-0.249977111117893"/>
  </sheetPr>
  <dimension ref="A1:AV607"/>
  <sheetViews>
    <sheetView topLeftCell="A37" workbookViewId="0">
      <selection activeCell="G18" sqref="G18"/>
    </sheetView>
  </sheetViews>
  <sheetFormatPr defaultRowHeight="14.5" x14ac:dyDescent="0.35"/>
  <cols>
    <col min="3" max="48" width="16.7265625" customWidth="1"/>
  </cols>
  <sheetData>
    <row r="1" spans="1:48" x14ac:dyDescent="0.35">
      <c r="A1" s="101" t="s">
        <v>780</v>
      </c>
      <c r="B1" s="101" t="s">
        <v>232</v>
      </c>
      <c r="C1" s="101" t="s">
        <v>915</v>
      </c>
      <c r="D1" s="101" t="s">
        <v>1242</v>
      </c>
      <c r="E1" s="101" t="s">
        <v>924</v>
      </c>
      <c r="F1" s="101" t="s">
        <v>916</v>
      </c>
      <c r="G1" s="101" t="s">
        <v>1109</v>
      </c>
      <c r="H1" s="101" t="s">
        <v>1110</v>
      </c>
      <c r="I1" s="101" t="s">
        <v>1111</v>
      </c>
      <c r="J1" s="101" t="s">
        <v>1112</v>
      </c>
      <c r="K1" s="101" t="s">
        <v>1113</v>
      </c>
      <c r="L1" s="101" t="s">
        <v>1114</v>
      </c>
      <c r="M1" s="101" t="s">
        <v>1115</v>
      </c>
      <c r="N1" s="101" t="s">
        <v>1116</v>
      </c>
      <c r="O1" s="101" t="s">
        <v>1117</v>
      </c>
      <c r="P1" s="101" t="s">
        <v>1118</v>
      </c>
      <c r="Q1" s="101" t="s">
        <v>1119</v>
      </c>
      <c r="R1" s="101" t="s">
        <v>1120</v>
      </c>
      <c r="S1" s="101" t="s">
        <v>1121</v>
      </c>
      <c r="T1" s="101" t="s">
        <v>1122</v>
      </c>
      <c r="U1" s="101" t="s">
        <v>1123</v>
      </c>
      <c r="V1" s="101" t="s">
        <v>1124</v>
      </c>
      <c r="W1" s="101" t="s">
        <v>1125</v>
      </c>
      <c r="X1" s="101" t="s">
        <v>1126</v>
      </c>
      <c r="Y1" s="101" t="s">
        <v>1127</v>
      </c>
      <c r="Z1" s="101" t="s">
        <v>1128</v>
      </c>
      <c r="AA1" s="101" t="s">
        <v>1129</v>
      </c>
      <c r="AB1" s="101" t="s">
        <v>1130</v>
      </c>
      <c r="AC1" s="101" t="s">
        <v>1131</v>
      </c>
      <c r="AD1" s="101" t="s">
        <v>1132</v>
      </c>
      <c r="AE1" s="101" t="s">
        <v>1133</v>
      </c>
      <c r="AF1" s="101" t="s">
        <v>1134</v>
      </c>
      <c r="AG1" s="101" t="s">
        <v>1135</v>
      </c>
      <c r="AH1" s="101" t="s">
        <v>1136</v>
      </c>
      <c r="AI1" s="101" t="s">
        <v>1137</v>
      </c>
      <c r="AJ1" s="101" t="s">
        <v>1138</v>
      </c>
      <c r="AK1" s="101" t="s">
        <v>1139</v>
      </c>
      <c r="AL1" s="101" t="s">
        <v>1140</v>
      </c>
      <c r="AM1" s="101" t="s">
        <v>1141</v>
      </c>
      <c r="AN1" s="101" t="s">
        <v>1142</v>
      </c>
      <c r="AO1" s="101" t="s">
        <v>1143</v>
      </c>
      <c r="AP1" s="101" t="s">
        <v>1144</v>
      </c>
      <c r="AQ1" s="101" t="s">
        <v>1145</v>
      </c>
      <c r="AR1" s="101" t="s">
        <v>1146</v>
      </c>
      <c r="AS1" s="101" t="s">
        <v>1147</v>
      </c>
      <c r="AT1" s="101" t="s">
        <v>1148</v>
      </c>
      <c r="AU1" s="101" t="s">
        <v>1149</v>
      </c>
      <c r="AV1" s="101" t="s">
        <v>1150</v>
      </c>
    </row>
    <row r="2" spans="1:48" x14ac:dyDescent="0.35">
      <c r="A2" s="107">
        <f xml:space="preserve"> ROW( slrImpacts[[#This Row],[row_id]] ) - ROW( slrImpacts[[#Headers],[row_id]] )</f>
        <v>1</v>
      </c>
      <c r="B2" s="104">
        <v>2000</v>
      </c>
      <c r="C2" s="104" t="s">
        <v>86</v>
      </c>
      <c r="D2" s="104" t="s">
        <v>87</v>
      </c>
      <c r="E2" s="104" t="s">
        <v>922</v>
      </c>
      <c r="F2" s="104"/>
      <c r="G2" s="105">
        <v>0</v>
      </c>
      <c r="H2" s="105">
        <v>0</v>
      </c>
      <c r="I2" s="105">
        <v>0</v>
      </c>
      <c r="J2" s="105">
        <v>0</v>
      </c>
      <c r="K2" s="105">
        <v>0</v>
      </c>
      <c r="L2" s="105">
        <v>0</v>
      </c>
      <c r="M2" s="106">
        <v>0</v>
      </c>
      <c r="N2" s="106">
        <v>0</v>
      </c>
      <c r="O2" s="106">
        <v>0</v>
      </c>
      <c r="P2" s="106">
        <v>0</v>
      </c>
      <c r="Q2" s="106">
        <v>0</v>
      </c>
      <c r="R2" s="106">
        <v>0</v>
      </c>
      <c r="S2" s="105">
        <v>0</v>
      </c>
      <c r="T2" s="105">
        <v>0</v>
      </c>
      <c r="U2" s="105">
        <v>0</v>
      </c>
      <c r="V2" s="105">
        <v>0</v>
      </c>
      <c r="W2" s="105">
        <v>0</v>
      </c>
      <c r="X2" s="105">
        <v>0</v>
      </c>
      <c r="Y2" s="106">
        <v>0</v>
      </c>
      <c r="Z2" s="106">
        <v>0</v>
      </c>
      <c r="AA2" s="106">
        <v>0</v>
      </c>
      <c r="AB2" s="108">
        <v>0</v>
      </c>
      <c r="AC2" s="108">
        <v>0</v>
      </c>
      <c r="AD2" s="108">
        <v>0</v>
      </c>
      <c r="AE2" s="108">
        <v>0</v>
      </c>
      <c r="AF2" s="108">
        <v>0</v>
      </c>
      <c r="AG2" s="108">
        <v>0</v>
      </c>
      <c r="AH2" s="108">
        <v>0</v>
      </c>
      <c r="AI2" s="108">
        <v>0</v>
      </c>
      <c r="AJ2" s="108">
        <v>0</v>
      </c>
      <c r="AK2" s="108">
        <v>0</v>
      </c>
      <c r="AL2" s="108">
        <v>0</v>
      </c>
      <c r="AM2" s="108">
        <v>0</v>
      </c>
      <c r="AN2" s="108">
        <v>0</v>
      </c>
      <c r="AO2" s="108">
        <v>0</v>
      </c>
      <c r="AP2" s="108">
        <v>0</v>
      </c>
      <c r="AQ2" s="108">
        <v>0</v>
      </c>
      <c r="AR2" s="108">
        <v>0</v>
      </c>
      <c r="AS2" s="108">
        <v>0</v>
      </c>
      <c r="AT2" s="108">
        <v>0</v>
      </c>
      <c r="AU2" s="108">
        <v>0</v>
      </c>
      <c r="AV2" s="108">
        <v>0</v>
      </c>
    </row>
    <row r="3" spans="1:48" x14ac:dyDescent="0.35">
      <c r="A3" s="107">
        <f xml:space="preserve"> ROW( slrImpacts[[#This Row],[row_id]] ) - ROW( slrImpacts[[#Headers],[row_id]] )</f>
        <v>2</v>
      </c>
      <c r="B3" s="104">
        <v>2001</v>
      </c>
      <c r="C3" s="104" t="s">
        <v>86</v>
      </c>
      <c r="D3" s="104" t="s">
        <v>87</v>
      </c>
      <c r="E3" s="104" t="s">
        <v>922</v>
      </c>
      <c r="F3" s="104"/>
      <c r="G3" s="105">
        <v>0</v>
      </c>
      <c r="H3" s="105">
        <v>0</v>
      </c>
      <c r="I3" s="105">
        <v>0</v>
      </c>
      <c r="J3" s="105">
        <v>0</v>
      </c>
      <c r="K3" s="105">
        <v>0</v>
      </c>
      <c r="L3" s="105">
        <v>0</v>
      </c>
      <c r="M3" s="106">
        <v>807575387.8751756</v>
      </c>
      <c r="N3" s="106">
        <v>816748146.10877335</v>
      </c>
      <c r="O3" s="106">
        <v>839214562.65774453</v>
      </c>
      <c r="P3" s="106">
        <v>860940657.7931726</v>
      </c>
      <c r="Q3" s="106">
        <v>883385268.5930506</v>
      </c>
      <c r="R3" s="106">
        <v>888061506.28027356</v>
      </c>
      <c r="S3" s="105">
        <v>0</v>
      </c>
      <c r="T3" s="105">
        <v>0</v>
      </c>
      <c r="U3" s="105">
        <v>0</v>
      </c>
      <c r="V3" s="105">
        <v>0</v>
      </c>
      <c r="W3" s="105">
        <v>0</v>
      </c>
      <c r="X3" s="105">
        <v>0</v>
      </c>
      <c r="Y3" s="106">
        <v>95624079.209464982</v>
      </c>
      <c r="Z3" s="106">
        <v>96731285.970450252</v>
      </c>
      <c r="AA3" s="106">
        <v>98146042.944733724</v>
      </c>
      <c r="AB3" s="108">
        <v>101383610.34631082</v>
      </c>
      <c r="AC3" s="108">
        <v>103140208.83505094</v>
      </c>
      <c r="AD3" s="108">
        <v>104139110.03538918</v>
      </c>
      <c r="AE3" s="108">
        <v>2256170599.790823</v>
      </c>
      <c r="AF3" s="108">
        <v>2297733084.9369903</v>
      </c>
      <c r="AG3" s="108">
        <v>2429126606.99298</v>
      </c>
      <c r="AH3" s="108">
        <v>2526088200.5865736</v>
      </c>
      <c r="AI3" s="108">
        <v>2620798438.8591604</v>
      </c>
      <c r="AJ3" s="108">
        <v>2623513755.7713957</v>
      </c>
      <c r="AK3" s="108">
        <v>162903662.65214235</v>
      </c>
      <c r="AL3" s="108">
        <v>168469585.60974994</v>
      </c>
      <c r="AM3" s="108">
        <v>175827937.35012886</v>
      </c>
      <c r="AN3" s="108">
        <v>184948235.9738242</v>
      </c>
      <c r="AO3" s="108">
        <v>193193019.86514917</v>
      </c>
      <c r="AP3" s="108">
        <v>193439774.32822165</v>
      </c>
      <c r="AQ3" s="108">
        <v>119354125.42853318</v>
      </c>
      <c r="AR3" s="108">
        <v>119408375.96356195</v>
      </c>
      <c r="AS3" s="108">
        <v>128687977.78624272</v>
      </c>
      <c r="AT3" s="108">
        <v>137566175.66295612</v>
      </c>
      <c r="AU3" s="108">
        <v>142931397.54245055</v>
      </c>
      <c r="AV3" s="108">
        <v>143016560.08517921</v>
      </c>
    </row>
    <row r="4" spans="1:48" x14ac:dyDescent="0.35">
      <c r="A4" s="107">
        <f xml:space="preserve"> ROW( slrImpacts[[#This Row],[row_id]] ) - ROW( slrImpacts[[#Headers],[row_id]] )</f>
        <v>3</v>
      </c>
      <c r="B4" s="104">
        <v>2002</v>
      </c>
      <c r="C4" s="104" t="s">
        <v>86</v>
      </c>
      <c r="D4" s="104" t="s">
        <v>87</v>
      </c>
      <c r="E4" s="104" t="s">
        <v>922</v>
      </c>
      <c r="F4" s="104"/>
      <c r="G4" s="105">
        <v>0</v>
      </c>
      <c r="H4" s="105">
        <v>0</v>
      </c>
      <c r="I4" s="105">
        <v>0</v>
      </c>
      <c r="J4" s="105">
        <v>0</v>
      </c>
      <c r="K4" s="105">
        <v>0</v>
      </c>
      <c r="L4" s="105">
        <v>0</v>
      </c>
      <c r="M4" s="106">
        <v>807575387.8751756</v>
      </c>
      <c r="N4" s="106">
        <v>816748146.10877335</v>
      </c>
      <c r="O4" s="106">
        <v>839214562.65774453</v>
      </c>
      <c r="P4" s="106">
        <v>860940657.7931726</v>
      </c>
      <c r="Q4" s="106">
        <v>883385268.5930506</v>
      </c>
      <c r="R4" s="106">
        <v>888061506.28027356</v>
      </c>
      <c r="S4" s="105">
        <v>0</v>
      </c>
      <c r="T4" s="105">
        <v>0</v>
      </c>
      <c r="U4" s="105">
        <v>0</v>
      </c>
      <c r="V4" s="105">
        <v>0</v>
      </c>
      <c r="W4" s="105">
        <v>0</v>
      </c>
      <c r="X4" s="105">
        <v>0</v>
      </c>
      <c r="Y4" s="106">
        <v>95624079.209464982</v>
      </c>
      <c r="Z4" s="106">
        <v>96731285.970450252</v>
      </c>
      <c r="AA4" s="106">
        <v>98146042.944733724</v>
      </c>
      <c r="AB4" s="108">
        <v>101383610.34631082</v>
      </c>
      <c r="AC4" s="108">
        <v>103140208.83505094</v>
      </c>
      <c r="AD4" s="108">
        <v>104139110.03538918</v>
      </c>
      <c r="AE4" s="108">
        <v>2256170599.790823</v>
      </c>
      <c r="AF4" s="108">
        <v>2297733084.9369903</v>
      </c>
      <c r="AG4" s="108">
        <v>2429126606.99298</v>
      </c>
      <c r="AH4" s="108">
        <v>2526088200.5865736</v>
      </c>
      <c r="AI4" s="108">
        <v>2620798438.8591604</v>
      </c>
      <c r="AJ4" s="108">
        <v>2623513755.7713957</v>
      </c>
      <c r="AK4" s="108">
        <v>162903662.65214235</v>
      </c>
      <c r="AL4" s="108">
        <v>168469585.60974994</v>
      </c>
      <c r="AM4" s="108">
        <v>175827937.35012886</v>
      </c>
      <c r="AN4" s="108">
        <v>184948235.9738242</v>
      </c>
      <c r="AO4" s="108">
        <v>193193019.86514917</v>
      </c>
      <c r="AP4" s="108">
        <v>193439774.32822165</v>
      </c>
      <c r="AQ4" s="108">
        <v>119354125.42853318</v>
      </c>
      <c r="AR4" s="108">
        <v>119408375.96356195</v>
      </c>
      <c r="AS4" s="108">
        <v>128687977.78624272</v>
      </c>
      <c r="AT4" s="108">
        <v>137566175.66295612</v>
      </c>
      <c r="AU4" s="108">
        <v>142931397.54245055</v>
      </c>
      <c r="AV4" s="108">
        <v>143016560.08517921</v>
      </c>
    </row>
    <row r="5" spans="1:48" x14ac:dyDescent="0.35">
      <c r="A5" s="107">
        <f xml:space="preserve"> ROW( slrImpacts[[#This Row],[row_id]] ) - ROW( slrImpacts[[#Headers],[row_id]] )</f>
        <v>4</v>
      </c>
      <c r="B5" s="104">
        <v>2003</v>
      </c>
      <c r="C5" s="104" t="s">
        <v>86</v>
      </c>
      <c r="D5" s="104" t="s">
        <v>87</v>
      </c>
      <c r="E5" s="104" t="s">
        <v>922</v>
      </c>
      <c r="F5" s="104"/>
      <c r="G5" s="105">
        <v>0</v>
      </c>
      <c r="H5" s="105">
        <v>0</v>
      </c>
      <c r="I5" s="105">
        <v>0</v>
      </c>
      <c r="J5" s="105">
        <v>0</v>
      </c>
      <c r="K5" s="105">
        <v>0</v>
      </c>
      <c r="L5" s="105">
        <v>0</v>
      </c>
      <c r="M5" s="106">
        <v>807575387.8751756</v>
      </c>
      <c r="N5" s="106">
        <v>816748146.10877335</v>
      </c>
      <c r="O5" s="106">
        <v>839214562.65774453</v>
      </c>
      <c r="P5" s="106">
        <v>860940657.7931726</v>
      </c>
      <c r="Q5" s="106">
        <v>883385268.5930506</v>
      </c>
      <c r="R5" s="106">
        <v>888061506.28027356</v>
      </c>
      <c r="S5" s="105">
        <v>0</v>
      </c>
      <c r="T5" s="105">
        <v>0</v>
      </c>
      <c r="U5" s="105">
        <v>0</v>
      </c>
      <c r="V5" s="105">
        <v>0</v>
      </c>
      <c r="W5" s="105">
        <v>0</v>
      </c>
      <c r="X5" s="105">
        <v>0</v>
      </c>
      <c r="Y5" s="106">
        <v>95624079.209464982</v>
      </c>
      <c r="Z5" s="106">
        <v>96731285.970450252</v>
      </c>
      <c r="AA5" s="106">
        <v>98146042.944733724</v>
      </c>
      <c r="AB5" s="108">
        <v>101383610.34631082</v>
      </c>
      <c r="AC5" s="108">
        <v>103140208.83505094</v>
      </c>
      <c r="AD5" s="108">
        <v>104139110.03538918</v>
      </c>
      <c r="AE5" s="108">
        <v>2256170599.790823</v>
      </c>
      <c r="AF5" s="108">
        <v>2297733084.9369903</v>
      </c>
      <c r="AG5" s="108">
        <v>2429126606.99298</v>
      </c>
      <c r="AH5" s="108">
        <v>2526088200.5865736</v>
      </c>
      <c r="AI5" s="108">
        <v>2620798438.8591604</v>
      </c>
      <c r="AJ5" s="108">
        <v>2623513755.7713957</v>
      </c>
      <c r="AK5" s="108">
        <v>162903662.65214235</v>
      </c>
      <c r="AL5" s="108">
        <v>168469585.60974994</v>
      </c>
      <c r="AM5" s="108">
        <v>175827937.35012886</v>
      </c>
      <c r="AN5" s="108">
        <v>184948235.9738242</v>
      </c>
      <c r="AO5" s="108">
        <v>193193019.86514917</v>
      </c>
      <c r="AP5" s="108">
        <v>193439774.32822165</v>
      </c>
      <c r="AQ5" s="108">
        <v>119354125.42853318</v>
      </c>
      <c r="AR5" s="108">
        <v>119408375.96356195</v>
      </c>
      <c r="AS5" s="108">
        <v>128687977.78624272</v>
      </c>
      <c r="AT5" s="108">
        <v>137566175.66295612</v>
      </c>
      <c r="AU5" s="108">
        <v>142931397.54245055</v>
      </c>
      <c r="AV5" s="108">
        <v>143016560.08517921</v>
      </c>
    </row>
    <row r="6" spans="1:48" x14ac:dyDescent="0.35">
      <c r="A6" s="107">
        <f xml:space="preserve"> ROW( slrImpacts[[#This Row],[row_id]] ) - ROW( slrImpacts[[#Headers],[row_id]] )</f>
        <v>5</v>
      </c>
      <c r="B6" s="104">
        <v>2004</v>
      </c>
      <c r="C6" s="104" t="s">
        <v>86</v>
      </c>
      <c r="D6" s="104" t="s">
        <v>87</v>
      </c>
      <c r="E6" s="104" t="s">
        <v>922</v>
      </c>
      <c r="F6" s="104"/>
      <c r="G6" s="105">
        <v>0</v>
      </c>
      <c r="H6" s="105">
        <v>0</v>
      </c>
      <c r="I6" s="105">
        <v>0</v>
      </c>
      <c r="J6" s="105">
        <v>0</v>
      </c>
      <c r="K6" s="105">
        <v>0</v>
      </c>
      <c r="L6" s="105">
        <v>0</v>
      </c>
      <c r="M6" s="106">
        <v>807575387.8751756</v>
      </c>
      <c r="N6" s="106">
        <v>816748146.10877335</v>
      </c>
      <c r="O6" s="106">
        <v>839214562.65774453</v>
      </c>
      <c r="P6" s="106">
        <v>860940657.7931726</v>
      </c>
      <c r="Q6" s="106">
        <v>883385268.5930506</v>
      </c>
      <c r="R6" s="106">
        <v>888061506.28027356</v>
      </c>
      <c r="S6" s="105">
        <v>0</v>
      </c>
      <c r="T6" s="105">
        <v>0</v>
      </c>
      <c r="U6" s="105">
        <v>0</v>
      </c>
      <c r="V6" s="105">
        <v>0</v>
      </c>
      <c r="W6" s="105">
        <v>0</v>
      </c>
      <c r="X6" s="105">
        <v>0</v>
      </c>
      <c r="Y6" s="106">
        <v>95624079.209464982</v>
      </c>
      <c r="Z6" s="106">
        <v>96731285.970450252</v>
      </c>
      <c r="AA6" s="106">
        <v>98146042.944733724</v>
      </c>
      <c r="AB6" s="108">
        <v>101383610.34631082</v>
      </c>
      <c r="AC6" s="108">
        <v>103140208.83505094</v>
      </c>
      <c r="AD6" s="108">
        <v>104139110.03538918</v>
      </c>
      <c r="AE6" s="108">
        <v>2256170599.790823</v>
      </c>
      <c r="AF6" s="108">
        <v>2297733084.9369903</v>
      </c>
      <c r="AG6" s="108">
        <v>2429126606.99298</v>
      </c>
      <c r="AH6" s="108">
        <v>2526088200.5865736</v>
      </c>
      <c r="AI6" s="108">
        <v>2620798438.8591604</v>
      </c>
      <c r="AJ6" s="108">
        <v>2623513755.7713957</v>
      </c>
      <c r="AK6" s="108">
        <v>162903662.65214235</v>
      </c>
      <c r="AL6" s="108">
        <v>168469585.60974994</v>
      </c>
      <c r="AM6" s="108">
        <v>175827937.35012886</v>
      </c>
      <c r="AN6" s="108">
        <v>184948235.9738242</v>
      </c>
      <c r="AO6" s="108">
        <v>193193019.86514917</v>
      </c>
      <c r="AP6" s="108">
        <v>193439774.32822165</v>
      </c>
      <c r="AQ6" s="108">
        <v>119354125.42853318</v>
      </c>
      <c r="AR6" s="108">
        <v>119408375.96356195</v>
      </c>
      <c r="AS6" s="108">
        <v>128687977.78624272</v>
      </c>
      <c r="AT6" s="108">
        <v>137566175.66295612</v>
      </c>
      <c r="AU6" s="108">
        <v>142931397.54245055</v>
      </c>
      <c r="AV6" s="108">
        <v>143016560.08517921</v>
      </c>
    </row>
    <row r="7" spans="1:48" x14ac:dyDescent="0.35">
      <c r="A7" s="107">
        <f xml:space="preserve"> ROW( slrImpacts[[#This Row],[row_id]] ) - ROW( slrImpacts[[#Headers],[row_id]] )</f>
        <v>6</v>
      </c>
      <c r="B7" s="104">
        <v>2005</v>
      </c>
      <c r="C7" s="104" t="s">
        <v>86</v>
      </c>
      <c r="D7" s="104" t="s">
        <v>87</v>
      </c>
      <c r="E7" s="104" t="s">
        <v>922</v>
      </c>
      <c r="F7" s="104"/>
      <c r="G7" s="105">
        <v>0</v>
      </c>
      <c r="H7" s="105">
        <v>0</v>
      </c>
      <c r="I7" s="105">
        <v>0</v>
      </c>
      <c r="J7" s="105">
        <v>0</v>
      </c>
      <c r="K7" s="105">
        <v>0</v>
      </c>
      <c r="L7" s="105">
        <v>0</v>
      </c>
      <c r="M7" s="106">
        <v>806584495.1385138</v>
      </c>
      <c r="N7" s="106">
        <v>816858505.82849109</v>
      </c>
      <c r="O7" s="106">
        <v>842234649.70673513</v>
      </c>
      <c r="P7" s="106">
        <v>866917390.68562949</v>
      </c>
      <c r="Q7" s="106">
        <v>891459698.09892476</v>
      </c>
      <c r="R7" s="106">
        <v>897207589.24513698</v>
      </c>
      <c r="S7" s="105">
        <v>0</v>
      </c>
      <c r="T7" s="105">
        <v>0</v>
      </c>
      <c r="U7" s="105">
        <v>0</v>
      </c>
      <c r="V7" s="105">
        <v>0</v>
      </c>
      <c r="W7" s="105">
        <v>0</v>
      </c>
      <c r="X7" s="105">
        <v>0</v>
      </c>
      <c r="Y7" s="106">
        <v>95148104.004700437</v>
      </c>
      <c r="Z7" s="106">
        <v>96313579.294001102</v>
      </c>
      <c r="AA7" s="106">
        <v>97845526.275696471</v>
      </c>
      <c r="AB7" s="108">
        <v>101084059.51230288</v>
      </c>
      <c r="AC7" s="108">
        <v>102955538.07728915</v>
      </c>
      <c r="AD7" s="108">
        <v>104001386.16237159</v>
      </c>
      <c r="AE7" s="108">
        <v>2271628245.5746527</v>
      </c>
      <c r="AF7" s="108">
        <v>2320734691.9288211</v>
      </c>
      <c r="AG7" s="108">
        <v>2468412422.0081406</v>
      </c>
      <c r="AH7" s="108">
        <v>2578377903.698895</v>
      </c>
      <c r="AI7" s="108">
        <v>2683424601.3403215</v>
      </c>
      <c r="AJ7" s="108">
        <v>2694069929.9131923</v>
      </c>
      <c r="AK7" s="108">
        <v>165828365.2237353</v>
      </c>
      <c r="AL7" s="108">
        <v>171812617.12006494</v>
      </c>
      <c r="AM7" s="108">
        <v>181583512.85684118</v>
      </c>
      <c r="AN7" s="108">
        <v>192007659.34534395</v>
      </c>
      <c r="AO7" s="108">
        <v>201426980.73852035</v>
      </c>
      <c r="AP7" s="108">
        <v>202199212.14330015</v>
      </c>
      <c r="AQ7" s="108">
        <v>119726467.0201395</v>
      </c>
      <c r="AR7" s="108">
        <v>120647655.69498956</v>
      </c>
      <c r="AS7" s="108">
        <v>130390440.32004479</v>
      </c>
      <c r="AT7" s="108">
        <v>139570437.66953889</v>
      </c>
      <c r="AU7" s="108">
        <v>145829220.20792434</v>
      </c>
      <c r="AV7" s="108">
        <v>146771190.24146271</v>
      </c>
    </row>
    <row r="8" spans="1:48" x14ac:dyDescent="0.35">
      <c r="A8" s="107">
        <f xml:space="preserve"> ROW( slrImpacts[[#This Row],[row_id]] ) - ROW( slrImpacts[[#Headers],[row_id]] )</f>
        <v>7</v>
      </c>
      <c r="B8" s="104">
        <v>2006</v>
      </c>
      <c r="C8" s="104" t="s">
        <v>86</v>
      </c>
      <c r="D8" s="104" t="s">
        <v>87</v>
      </c>
      <c r="E8" s="104" t="s">
        <v>922</v>
      </c>
      <c r="F8" s="104"/>
      <c r="G8" s="105">
        <v>0</v>
      </c>
      <c r="H8" s="105">
        <v>0</v>
      </c>
      <c r="I8" s="105">
        <v>0</v>
      </c>
      <c r="J8" s="105">
        <v>0</v>
      </c>
      <c r="K8" s="105">
        <v>0</v>
      </c>
      <c r="L8" s="105">
        <v>0</v>
      </c>
      <c r="M8" s="106">
        <v>805773764.71760881</v>
      </c>
      <c r="N8" s="106">
        <v>816948800.14462292</v>
      </c>
      <c r="O8" s="106">
        <v>844705630.01954556</v>
      </c>
      <c r="P8" s="106">
        <v>871807444.87036741</v>
      </c>
      <c r="Q8" s="106">
        <v>898066049.51282227</v>
      </c>
      <c r="R8" s="106">
        <v>904690748.03456986</v>
      </c>
      <c r="S8" s="105">
        <v>0</v>
      </c>
      <c r="T8" s="105">
        <v>0</v>
      </c>
      <c r="U8" s="105">
        <v>0</v>
      </c>
      <c r="V8" s="105">
        <v>0</v>
      </c>
      <c r="W8" s="105">
        <v>0</v>
      </c>
      <c r="X8" s="105">
        <v>0</v>
      </c>
      <c r="Y8" s="106">
        <v>94758669.746256709</v>
      </c>
      <c r="Z8" s="106">
        <v>95971819.285997212</v>
      </c>
      <c r="AA8" s="106">
        <v>97599649.001029611</v>
      </c>
      <c r="AB8" s="108">
        <v>100838972.46629633</v>
      </c>
      <c r="AC8" s="108">
        <v>102804443.82093854</v>
      </c>
      <c r="AD8" s="108">
        <v>103888702.99353902</v>
      </c>
      <c r="AE8" s="108">
        <v>2284275410.3068767</v>
      </c>
      <c r="AF8" s="108">
        <v>2339554188.5585012</v>
      </c>
      <c r="AG8" s="108">
        <v>2500555361.566</v>
      </c>
      <c r="AH8" s="108">
        <v>2621160388.06352</v>
      </c>
      <c r="AI8" s="108">
        <v>2734664188.8249106</v>
      </c>
      <c r="AJ8" s="108">
        <v>2751797708.7564788</v>
      </c>
      <c r="AK8" s="108">
        <v>168221303.69140217</v>
      </c>
      <c r="AL8" s="108">
        <v>174547824.7194137</v>
      </c>
      <c r="AM8" s="108">
        <v>186292620.08960581</v>
      </c>
      <c r="AN8" s="108">
        <v>197783551.19476914</v>
      </c>
      <c r="AO8" s="108">
        <v>208163857.81673315</v>
      </c>
      <c r="AP8" s="108">
        <v>209366024.90109167</v>
      </c>
      <c r="AQ8" s="108">
        <v>120031110.14054464</v>
      </c>
      <c r="AR8" s="108">
        <v>121661611.8388848</v>
      </c>
      <c r="AS8" s="108">
        <v>131783364.21133737</v>
      </c>
      <c r="AT8" s="108">
        <v>141210288.40219742</v>
      </c>
      <c r="AU8" s="108">
        <v>148200166.02513027</v>
      </c>
      <c r="AV8" s="108">
        <v>149843160.36933109</v>
      </c>
    </row>
    <row r="9" spans="1:48" x14ac:dyDescent="0.35">
      <c r="A9" s="107">
        <f xml:space="preserve"> ROW( slrImpacts[[#This Row],[row_id]] ) - ROW( slrImpacts[[#Headers],[row_id]] )</f>
        <v>8</v>
      </c>
      <c r="B9" s="104">
        <v>2007</v>
      </c>
      <c r="C9" s="104" t="s">
        <v>86</v>
      </c>
      <c r="D9" s="104" t="s">
        <v>87</v>
      </c>
      <c r="E9" s="104" t="s">
        <v>922</v>
      </c>
      <c r="F9" s="104"/>
      <c r="G9" s="105">
        <v>0</v>
      </c>
      <c r="H9" s="105">
        <v>0</v>
      </c>
      <c r="I9" s="105">
        <v>0</v>
      </c>
      <c r="J9" s="105">
        <v>0</v>
      </c>
      <c r="K9" s="105">
        <v>0</v>
      </c>
      <c r="L9" s="105">
        <v>0</v>
      </c>
      <c r="M9" s="106">
        <v>804872953.13882565</v>
      </c>
      <c r="N9" s="106">
        <v>817049127.16254783</v>
      </c>
      <c r="O9" s="106">
        <v>847451163.70044696</v>
      </c>
      <c r="P9" s="106">
        <v>877240838.40896499</v>
      </c>
      <c r="Q9" s="106">
        <v>905406439.97270882</v>
      </c>
      <c r="R9" s="106">
        <v>913005368.91171813</v>
      </c>
      <c r="S9" s="105">
        <v>0</v>
      </c>
      <c r="T9" s="105">
        <v>0</v>
      </c>
      <c r="U9" s="105">
        <v>0</v>
      </c>
      <c r="V9" s="105">
        <v>0</v>
      </c>
      <c r="W9" s="105">
        <v>0</v>
      </c>
      <c r="X9" s="105">
        <v>0</v>
      </c>
      <c r="Y9" s="106">
        <v>94325965.01465255</v>
      </c>
      <c r="Z9" s="106">
        <v>95592085.943770751</v>
      </c>
      <c r="AA9" s="106">
        <v>97326452.029177547</v>
      </c>
      <c r="AB9" s="108">
        <v>100566653.52628914</v>
      </c>
      <c r="AC9" s="108">
        <v>102636561.31388238</v>
      </c>
      <c r="AD9" s="108">
        <v>103763499.47261393</v>
      </c>
      <c r="AE9" s="108">
        <v>2298327815.5649028</v>
      </c>
      <c r="AF9" s="108">
        <v>2360464740.369256</v>
      </c>
      <c r="AG9" s="108">
        <v>2536269738.8525085</v>
      </c>
      <c r="AH9" s="108">
        <v>2668696481.8019915</v>
      </c>
      <c r="AI9" s="108">
        <v>2791597063.8077812</v>
      </c>
      <c r="AJ9" s="108">
        <v>2815939685.2490187</v>
      </c>
      <c r="AK9" s="108">
        <v>170880124.21103215</v>
      </c>
      <c r="AL9" s="108">
        <v>177586944.27424553</v>
      </c>
      <c r="AM9" s="108">
        <v>191524961.45934424</v>
      </c>
      <c r="AN9" s="108">
        <v>204201208.8052417</v>
      </c>
      <c r="AO9" s="108">
        <v>215649276.7925252</v>
      </c>
      <c r="AP9" s="108">
        <v>217329150.1875267</v>
      </c>
      <c r="AQ9" s="108">
        <v>120369602.49655043</v>
      </c>
      <c r="AR9" s="108">
        <v>122788229.7765462</v>
      </c>
      <c r="AS9" s="108">
        <v>133331057.42388472</v>
      </c>
      <c r="AT9" s="108">
        <v>143032344.7718181</v>
      </c>
      <c r="AU9" s="108">
        <v>150834550.26647004</v>
      </c>
      <c r="AV9" s="108">
        <v>153256460.51140702</v>
      </c>
    </row>
    <row r="10" spans="1:48" x14ac:dyDescent="0.35">
      <c r="A10" s="107">
        <f xml:space="preserve"> ROW( slrImpacts[[#This Row],[row_id]] ) - ROW( slrImpacts[[#Headers],[row_id]] )</f>
        <v>9</v>
      </c>
      <c r="B10" s="104">
        <v>2008</v>
      </c>
      <c r="C10" s="104" t="s">
        <v>86</v>
      </c>
      <c r="D10" s="104" t="s">
        <v>87</v>
      </c>
      <c r="E10" s="104" t="s">
        <v>922</v>
      </c>
      <c r="F10" s="104"/>
      <c r="G10" s="105">
        <v>0</v>
      </c>
      <c r="H10" s="105">
        <v>0</v>
      </c>
      <c r="I10" s="105">
        <v>0</v>
      </c>
      <c r="J10" s="105">
        <v>0</v>
      </c>
      <c r="K10" s="105">
        <v>0</v>
      </c>
      <c r="L10" s="105">
        <v>0</v>
      </c>
      <c r="M10" s="106">
        <v>803972141.56004214</v>
      </c>
      <c r="N10" s="106">
        <v>817149454.18047214</v>
      </c>
      <c r="O10" s="106">
        <v>850196697.38134789</v>
      </c>
      <c r="P10" s="106">
        <v>882674231.94756222</v>
      </c>
      <c r="Q10" s="106">
        <v>912746830.43259406</v>
      </c>
      <c r="R10" s="106">
        <v>921319989.78886664</v>
      </c>
      <c r="S10" s="105">
        <v>0</v>
      </c>
      <c r="T10" s="105">
        <v>0</v>
      </c>
      <c r="U10" s="105">
        <v>0</v>
      </c>
      <c r="V10" s="105">
        <v>0</v>
      </c>
      <c r="W10" s="105">
        <v>0</v>
      </c>
      <c r="X10" s="105">
        <v>0</v>
      </c>
      <c r="Y10" s="106">
        <v>93893260.283048376</v>
      </c>
      <c r="Z10" s="106">
        <v>95212352.601544231</v>
      </c>
      <c r="AA10" s="106">
        <v>97053255.057325453</v>
      </c>
      <c r="AB10" s="108">
        <v>100294334.58628193</v>
      </c>
      <c r="AC10" s="108">
        <v>102468678.80682616</v>
      </c>
      <c r="AD10" s="108">
        <v>103638295.95168886</v>
      </c>
      <c r="AE10" s="108">
        <v>2312380220.8229299</v>
      </c>
      <c r="AF10" s="108">
        <v>2381375292.1800117</v>
      </c>
      <c r="AG10" s="108">
        <v>2571984116.1390176</v>
      </c>
      <c r="AH10" s="108">
        <v>2716232575.5404649</v>
      </c>
      <c r="AI10" s="108">
        <v>2848529938.7906594</v>
      </c>
      <c r="AJ10" s="108">
        <v>2880081661.7415595</v>
      </c>
      <c r="AK10" s="108">
        <v>173538944.73066202</v>
      </c>
      <c r="AL10" s="108">
        <v>180626063.82907739</v>
      </c>
      <c r="AM10" s="108">
        <v>196757302.8290827</v>
      </c>
      <c r="AN10" s="108">
        <v>210618866.41571414</v>
      </c>
      <c r="AO10" s="108">
        <v>223134695.76831713</v>
      </c>
      <c r="AP10" s="108">
        <v>225292275.4739618</v>
      </c>
      <c r="AQ10" s="108">
        <v>120708094.85255611</v>
      </c>
      <c r="AR10" s="108">
        <v>123914847.71420759</v>
      </c>
      <c r="AS10" s="108">
        <v>134878750.63643205</v>
      </c>
      <c r="AT10" s="108">
        <v>144854401.14143875</v>
      </c>
      <c r="AU10" s="108">
        <v>153468934.50780991</v>
      </c>
      <c r="AV10" s="108">
        <v>156669760.65348306</v>
      </c>
    </row>
    <row r="11" spans="1:48" x14ac:dyDescent="0.35">
      <c r="A11" s="107">
        <f xml:space="preserve"> ROW( slrImpacts[[#This Row],[row_id]] ) - ROW( slrImpacts[[#Headers],[row_id]] )</f>
        <v>10</v>
      </c>
      <c r="B11" s="104">
        <v>2009</v>
      </c>
      <c r="C11" s="104" t="s">
        <v>86</v>
      </c>
      <c r="D11" s="104" t="s">
        <v>87</v>
      </c>
      <c r="E11" s="104" t="s">
        <v>922</v>
      </c>
      <c r="F11" s="104"/>
      <c r="G11" s="105">
        <v>0</v>
      </c>
      <c r="H11" s="105">
        <v>0</v>
      </c>
      <c r="I11" s="105">
        <v>0</v>
      </c>
      <c r="J11" s="105">
        <v>0</v>
      </c>
      <c r="K11" s="105">
        <v>0</v>
      </c>
      <c r="L11" s="105">
        <v>0</v>
      </c>
      <c r="M11" s="106">
        <v>803071329.98125839</v>
      </c>
      <c r="N11" s="106">
        <v>817249781.1983974</v>
      </c>
      <c r="O11" s="106">
        <v>852942231.06224871</v>
      </c>
      <c r="P11" s="106">
        <v>888107625.48615932</v>
      </c>
      <c r="Q11" s="106">
        <v>920087220.89248025</v>
      </c>
      <c r="R11" s="106">
        <v>929634610.66601479</v>
      </c>
      <c r="S11" s="105">
        <v>0</v>
      </c>
      <c r="T11" s="105">
        <v>0</v>
      </c>
      <c r="U11" s="105">
        <v>0</v>
      </c>
      <c r="V11" s="105">
        <v>0</v>
      </c>
      <c r="W11" s="105">
        <v>0</v>
      </c>
      <c r="X11" s="105">
        <v>0</v>
      </c>
      <c r="Y11" s="106">
        <v>93460555.551444247</v>
      </c>
      <c r="Z11" s="106">
        <v>94832619.259317741</v>
      </c>
      <c r="AA11" s="106">
        <v>96780058.085473433</v>
      </c>
      <c r="AB11" s="108">
        <v>100022015.6462747</v>
      </c>
      <c r="AC11" s="108">
        <v>102300796.29976992</v>
      </c>
      <c r="AD11" s="108">
        <v>103513092.43076378</v>
      </c>
      <c r="AE11" s="108">
        <v>2326432626.0809584</v>
      </c>
      <c r="AF11" s="108">
        <v>2402285843.9907684</v>
      </c>
      <c r="AG11" s="108">
        <v>2607698493.4255276</v>
      </c>
      <c r="AH11" s="108">
        <v>2763768669.2789397</v>
      </c>
      <c r="AI11" s="108">
        <v>2905462813.7735324</v>
      </c>
      <c r="AJ11" s="108">
        <v>2944223638.2341032</v>
      </c>
      <c r="AK11" s="108">
        <v>176197765.25029197</v>
      </c>
      <c r="AL11" s="108">
        <v>183665183.38390929</v>
      </c>
      <c r="AM11" s="108">
        <v>201989644.19882116</v>
      </c>
      <c r="AN11" s="108">
        <v>217036524.02618659</v>
      </c>
      <c r="AO11" s="108">
        <v>230620114.74410909</v>
      </c>
      <c r="AP11" s="108">
        <v>233255400.76039672</v>
      </c>
      <c r="AQ11" s="108">
        <v>121046587.20856185</v>
      </c>
      <c r="AR11" s="108">
        <v>125041465.65186898</v>
      </c>
      <c r="AS11" s="108">
        <v>136426443.84897938</v>
      </c>
      <c r="AT11" s="108">
        <v>146676457.51105946</v>
      </c>
      <c r="AU11" s="108">
        <v>156103318.74914971</v>
      </c>
      <c r="AV11" s="108">
        <v>160083060.79555893</v>
      </c>
    </row>
    <row r="12" spans="1:48" x14ac:dyDescent="0.35">
      <c r="A12" s="107">
        <f xml:space="preserve"> ROW( slrImpacts[[#This Row],[row_id]] ) - ROW( slrImpacts[[#Headers],[row_id]] )</f>
        <v>11</v>
      </c>
      <c r="B12" s="104">
        <v>2010</v>
      </c>
      <c r="C12" s="104" t="s">
        <v>86</v>
      </c>
      <c r="D12" s="104" t="s">
        <v>87</v>
      </c>
      <c r="E12" s="104" t="s">
        <v>922</v>
      </c>
      <c r="F12" s="104"/>
      <c r="G12" s="105">
        <v>0</v>
      </c>
      <c r="H12" s="105">
        <v>0</v>
      </c>
      <c r="I12" s="105">
        <v>0</v>
      </c>
      <c r="J12" s="105">
        <v>0</v>
      </c>
      <c r="K12" s="105">
        <v>0</v>
      </c>
      <c r="L12" s="105">
        <v>0</v>
      </c>
      <c r="M12" s="106">
        <v>802170518.40247512</v>
      </c>
      <c r="N12" s="106">
        <v>817350108.21632195</v>
      </c>
      <c r="O12" s="106">
        <v>855687764.74315012</v>
      </c>
      <c r="P12" s="106">
        <v>893541019.02475715</v>
      </c>
      <c r="Q12" s="106">
        <v>927427611.35236585</v>
      </c>
      <c r="R12" s="106">
        <v>937949231.54316258</v>
      </c>
      <c r="S12" s="105">
        <v>0</v>
      </c>
      <c r="T12" s="105">
        <v>0</v>
      </c>
      <c r="U12" s="105">
        <v>0</v>
      </c>
      <c r="V12" s="105">
        <v>0</v>
      </c>
      <c r="W12" s="105">
        <v>0</v>
      </c>
      <c r="X12" s="105">
        <v>0</v>
      </c>
      <c r="Y12" s="106">
        <v>93027850.819840088</v>
      </c>
      <c r="Z12" s="106">
        <v>94452885.917091236</v>
      </c>
      <c r="AA12" s="106">
        <v>96506861.113621354</v>
      </c>
      <c r="AB12" s="108">
        <v>99749696.706267461</v>
      </c>
      <c r="AC12" s="108">
        <v>102132913.79271372</v>
      </c>
      <c r="AD12" s="108">
        <v>103387888.90983865</v>
      </c>
      <c r="AE12" s="108">
        <v>2340485031.338985</v>
      </c>
      <c r="AF12" s="108">
        <v>2423196395.8015242</v>
      </c>
      <c r="AG12" s="108">
        <v>2643412870.7120385</v>
      </c>
      <c r="AH12" s="108">
        <v>2811304763.0174127</v>
      </c>
      <c r="AI12" s="108">
        <v>2962395688.7564058</v>
      </c>
      <c r="AJ12" s="108">
        <v>3008365614.7266412</v>
      </c>
      <c r="AK12" s="108">
        <v>178856585.76992187</v>
      </c>
      <c r="AL12" s="108">
        <v>186704302.93874118</v>
      </c>
      <c r="AM12" s="108">
        <v>207221985.56855968</v>
      </c>
      <c r="AN12" s="108">
        <v>223454181.63665897</v>
      </c>
      <c r="AO12" s="108">
        <v>238105533.71990117</v>
      </c>
      <c r="AP12" s="108">
        <v>241218526.04683179</v>
      </c>
      <c r="AQ12" s="108">
        <v>121385079.56456757</v>
      </c>
      <c r="AR12" s="108">
        <v>126168083.58953042</v>
      </c>
      <c r="AS12" s="108">
        <v>137974137.06152675</v>
      </c>
      <c r="AT12" s="108">
        <v>148498513.88068011</v>
      </c>
      <c r="AU12" s="108">
        <v>158737702.9904896</v>
      </c>
      <c r="AV12" s="108">
        <v>163496360.93763492</v>
      </c>
    </row>
    <row r="13" spans="1:48" x14ac:dyDescent="0.35">
      <c r="A13" s="107">
        <f xml:space="preserve"> ROW( slrImpacts[[#This Row],[row_id]] ) - ROW( slrImpacts[[#Headers],[row_id]] )</f>
        <v>12</v>
      </c>
      <c r="B13" s="104">
        <v>2011</v>
      </c>
      <c r="C13" s="104" t="s">
        <v>86</v>
      </c>
      <c r="D13" s="104" t="s">
        <v>87</v>
      </c>
      <c r="E13" s="104" t="s">
        <v>922</v>
      </c>
      <c r="F13" s="104"/>
      <c r="G13" s="105">
        <v>0</v>
      </c>
      <c r="H13" s="105">
        <v>0</v>
      </c>
      <c r="I13" s="105">
        <v>0</v>
      </c>
      <c r="J13" s="105">
        <v>0</v>
      </c>
      <c r="K13" s="105">
        <v>0</v>
      </c>
      <c r="L13" s="105">
        <v>0</v>
      </c>
      <c r="M13" s="106">
        <v>801269706.82369196</v>
      </c>
      <c r="N13" s="106">
        <v>817450435.23424637</v>
      </c>
      <c r="O13" s="106">
        <v>858433298.42405021</v>
      </c>
      <c r="P13" s="106">
        <v>898974412.56335437</v>
      </c>
      <c r="Q13" s="106">
        <v>934768001.81225157</v>
      </c>
      <c r="R13" s="106">
        <v>946263852.42031014</v>
      </c>
      <c r="S13" s="105">
        <v>0</v>
      </c>
      <c r="T13" s="105">
        <v>0</v>
      </c>
      <c r="U13" s="105">
        <v>0</v>
      </c>
      <c r="V13" s="105">
        <v>0</v>
      </c>
      <c r="W13" s="105">
        <v>0</v>
      </c>
      <c r="X13" s="105">
        <v>0</v>
      </c>
      <c r="Y13" s="106">
        <v>92595146.088235945</v>
      </c>
      <c r="Z13" s="106">
        <v>94073152.574864745</v>
      </c>
      <c r="AA13" s="106">
        <v>96233664.141769305</v>
      </c>
      <c r="AB13" s="108">
        <v>99477377.766260251</v>
      </c>
      <c r="AC13" s="108">
        <v>101965031.28565751</v>
      </c>
      <c r="AD13" s="108">
        <v>103262685.38891356</v>
      </c>
      <c r="AE13" s="108">
        <v>2354537436.5970106</v>
      </c>
      <c r="AF13" s="108">
        <v>2444106947.6122794</v>
      </c>
      <c r="AG13" s="108">
        <v>2679127247.9985476</v>
      </c>
      <c r="AH13" s="108">
        <v>2858840856.7558866</v>
      </c>
      <c r="AI13" s="108">
        <v>3019328563.7392802</v>
      </c>
      <c r="AJ13" s="108">
        <v>3072507591.2191834</v>
      </c>
      <c r="AK13" s="108">
        <v>181515406.28955176</v>
      </c>
      <c r="AL13" s="108">
        <v>189743422.49357304</v>
      </c>
      <c r="AM13" s="108">
        <v>212454326.93829817</v>
      </c>
      <c r="AN13" s="108">
        <v>229871839.24713156</v>
      </c>
      <c r="AO13" s="108">
        <v>245590952.69569314</v>
      </c>
      <c r="AP13" s="108">
        <v>249181651.33326676</v>
      </c>
      <c r="AQ13" s="108">
        <v>121723571.92057331</v>
      </c>
      <c r="AR13" s="108">
        <v>127294701.5271918</v>
      </c>
      <c r="AS13" s="108">
        <v>139521830.27407411</v>
      </c>
      <c r="AT13" s="108">
        <v>150320570.25030074</v>
      </c>
      <c r="AU13" s="108">
        <v>161372087.2318294</v>
      </c>
      <c r="AV13" s="108">
        <v>166909661.07971078</v>
      </c>
    </row>
    <row r="14" spans="1:48" x14ac:dyDescent="0.35">
      <c r="A14" s="107">
        <f xml:space="preserve"> ROW( slrImpacts[[#This Row],[row_id]] ) - ROW( slrImpacts[[#Headers],[row_id]] )</f>
        <v>13</v>
      </c>
      <c r="B14" s="104">
        <v>2012</v>
      </c>
      <c r="C14" s="104" t="s">
        <v>86</v>
      </c>
      <c r="D14" s="104" t="s">
        <v>87</v>
      </c>
      <c r="E14" s="104" t="s">
        <v>922</v>
      </c>
      <c r="F14" s="104"/>
      <c r="G14" s="105">
        <v>0</v>
      </c>
      <c r="H14" s="105">
        <v>0</v>
      </c>
      <c r="I14" s="105">
        <v>0</v>
      </c>
      <c r="J14" s="105">
        <v>0</v>
      </c>
      <c r="K14" s="105">
        <v>0</v>
      </c>
      <c r="L14" s="105">
        <v>0</v>
      </c>
      <c r="M14" s="106">
        <v>800368895.24490869</v>
      </c>
      <c r="N14" s="106">
        <v>817550762.25217175</v>
      </c>
      <c r="O14" s="106">
        <v>861178832.10495162</v>
      </c>
      <c r="P14" s="106">
        <v>904407806.10195231</v>
      </c>
      <c r="Q14" s="106">
        <v>942108392.27213752</v>
      </c>
      <c r="R14" s="106">
        <v>954578473.29745829</v>
      </c>
      <c r="S14" s="105">
        <v>0</v>
      </c>
      <c r="T14" s="105">
        <v>0</v>
      </c>
      <c r="U14" s="105">
        <v>0</v>
      </c>
      <c r="V14" s="105">
        <v>0</v>
      </c>
      <c r="W14" s="105">
        <v>0</v>
      </c>
      <c r="X14" s="105">
        <v>0</v>
      </c>
      <c r="Y14" s="106">
        <v>92162441.356631786</v>
      </c>
      <c r="Z14" s="106">
        <v>93693419.23263824</v>
      </c>
      <c r="AA14" s="106">
        <v>95960467.169917241</v>
      </c>
      <c r="AB14" s="108">
        <v>99205058.826253071</v>
      </c>
      <c r="AC14" s="108">
        <v>101797148.77860132</v>
      </c>
      <c r="AD14" s="108">
        <v>103137481.86798847</v>
      </c>
      <c r="AE14" s="108">
        <v>2368589841.8550382</v>
      </c>
      <c r="AF14" s="108">
        <v>2465017499.4230342</v>
      </c>
      <c r="AG14" s="108">
        <v>2714841625.2850542</v>
      </c>
      <c r="AH14" s="108">
        <v>2906376950.4943595</v>
      </c>
      <c r="AI14" s="108">
        <v>3076261438.7221556</v>
      </c>
      <c r="AJ14" s="108">
        <v>3136649567.7117229</v>
      </c>
      <c r="AK14" s="108">
        <v>184174226.80918169</v>
      </c>
      <c r="AL14" s="108">
        <v>192782542.04840484</v>
      </c>
      <c r="AM14" s="108">
        <v>217686668.30803657</v>
      </c>
      <c r="AN14" s="108">
        <v>236289496.85760403</v>
      </c>
      <c r="AO14" s="108">
        <v>253076371.67148504</v>
      </c>
      <c r="AP14" s="108">
        <v>257144776.61970183</v>
      </c>
      <c r="AQ14" s="108">
        <v>122062064.27657904</v>
      </c>
      <c r="AR14" s="108">
        <v>128421319.46485324</v>
      </c>
      <c r="AS14" s="108">
        <v>141069523.48662141</v>
      </c>
      <c r="AT14" s="108">
        <v>152142626.61992142</v>
      </c>
      <c r="AU14" s="108">
        <v>164006471.47316924</v>
      </c>
      <c r="AV14" s="108">
        <v>170322961.22178677</v>
      </c>
    </row>
    <row r="15" spans="1:48" x14ac:dyDescent="0.35">
      <c r="A15" s="107">
        <f xml:space="preserve"> ROW( slrImpacts[[#This Row],[row_id]] ) - ROW( slrImpacts[[#Headers],[row_id]] )</f>
        <v>14</v>
      </c>
      <c r="B15" s="104">
        <v>2013</v>
      </c>
      <c r="C15" s="104" t="s">
        <v>86</v>
      </c>
      <c r="D15" s="104" t="s">
        <v>87</v>
      </c>
      <c r="E15" s="104" t="s">
        <v>922</v>
      </c>
      <c r="F15" s="104"/>
      <c r="G15" s="105">
        <v>0</v>
      </c>
      <c r="H15" s="105">
        <v>0</v>
      </c>
      <c r="I15" s="105">
        <v>0</v>
      </c>
      <c r="J15" s="105">
        <v>0</v>
      </c>
      <c r="K15" s="105">
        <v>0</v>
      </c>
      <c r="L15" s="105">
        <v>0</v>
      </c>
      <c r="M15" s="106">
        <v>799468083.6661247</v>
      </c>
      <c r="N15" s="106">
        <v>817651089.2700963</v>
      </c>
      <c r="O15" s="106">
        <v>863924365.78585267</v>
      </c>
      <c r="P15" s="106">
        <v>909841199.64054954</v>
      </c>
      <c r="Q15" s="106">
        <v>949448782.73202348</v>
      </c>
      <c r="R15" s="106">
        <v>962893094.17460668</v>
      </c>
      <c r="S15" s="105">
        <v>0</v>
      </c>
      <c r="T15" s="105">
        <v>0</v>
      </c>
      <c r="U15" s="105">
        <v>0</v>
      </c>
      <c r="V15" s="105">
        <v>0</v>
      </c>
      <c r="W15" s="105">
        <v>0</v>
      </c>
      <c r="X15" s="105">
        <v>0</v>
      </c>
      <c r="Y15" s="106">
        <v>91729736.625027657</v>
      </c>
      <c r="Z15" s="106">
        <v>93313685.890411749</v>
      </c>
      <c r="AA15" s="106">
        <v>95687270.198065206</v>
      </c>
      <c r="AB15" s="108">
        <v>98932739.886245772</v>
      </c>
      <c r="AC15" s="108">
        <v>101629266.27154513</v>
      </c>
      <c r="AD15" s="108">
        <v>103012278.34706338</v>
      </c>
      <c r="AE15" s="108">
        <v>2382642247.1130648</v>
      </c>
      <c r="AF15" s="108">
        <v>2485928051.233789</v>
      </c>
      <c r="AG15" s="108">
        <v>2750556002.5715656</v>
      </c>
      <c r="AH15" s="108">
        <v>2953913044.2328329</v>
      </c>
      <c r="AI15" s="108">
        <v>3133194313.7050295</v>
      </c>
      <c r="AJ15" s="108">
        <v>3200791544.2042646</v>
      </c>
      <c r="AK15" s="108">
        <v>186833047.32881162</v>
      </c>
      <c r="AL15" s="108">
        <v>195821661.60323668</v>
      </c>
      <c r="AM15" s="108">
        <v>222919009.67777506</v>
      </c>
      <c r="AN15" s="108">
        <v>242707154.46807641</v>
      </c>
      <c r="AO15" s="108">
        <v>260561790.64727709</v>
      </c>
      <c r="AP15" s="108">
        <v>265107901.90613687</v>
      </c>
      <c r="AQ15" s="108">
        <v>122400556.63258478</v>
      </c>
      <c r="AR15" s="108">
        <v>129547937.40251464</v>
      </c>
      <c r="AS15" s="108">
        <v>142617216.69916877</v>
      </c>
      <c r="AT15" s="108">
        <v>153964682.98954204</v>
      </c>
      <c r="AU15" s="108">
        <v>166640855.7145091</v>
      </c>
      <c r="AV15" s="108">
        <v>173736261.36386266</v>
      </c>
    </row>
    <row r="16" spans="1:48" x14ac:dyDescent="0.35">
      <c r="A16" s="107">
        <f xml:space="preserve"> ROW( slrImpacts[[#This Row],[row_id]] ) - ROW( slrImpacts[[#Headers],[row_id]] )</f>
        <v>15</v>
      </c>
      <c r="B16" s="104">
        <v>2014</v>
      </c>
      <c r="C16" s="104" t="s">
        <v>86</v>
      </c>
      <c r="D16" s="104" t="s">
        <v>87</v>
      </c>
      <c r="E16" s="104" t="s">
        <v>922</v>
      </c>
      <c r="F16" s="104"/>
      <c r="G16" s="105">
        <v>0</v>
      </c>
      <c r="H16" s="105">
        <v>0</v>
      </c>
      <c r="I16" s="105">
        <v>0</v>
      </c>
      <c r="J16" s="105">
        <v>0</v>
      </c>
      <c r="K16" s="105">
        <v>0</v>
      </c>
      <c r="L16" s="105">
        <v>0</v>
      </c>
      <c r="M16" s="106">
        <v>798567272.08734167</v>
      </c>
      <c r="N16" s="106">
        <v>817751416.28802061</v>
      </c>
      <c r="O16" s="106">
        <v>866669899.46675348</v>
      </c>
      <c r="P16" s="106">
        <v>915274593.17914677</v>
      </c>
      <c r="Q16" s="106">
        <v>956789173.19190967</v>
      </c>
      <c r="R16" s="106">
        <v>971207715.05175471</v>
      </c>
      <c r="S16" s="105">
        <v>0</v>
      </c>
      <c r="T16" s="105">
        <v>0</v>
      </c>
      <c r="U16" s="105">
        <v>0</v>
      </c>
      <c r="V16" s="105">
        <v>0</v>
      </c>
      <c r="W16" s="105">
        <v>0</v>
      </c>
      <c r="X16" s="105">
        <v>0</v>
      </c>
      <c r="Y16" s="106">
        <v>91297031.893423498</v>
      </c>
      <c r="Z16" s="106">
        <v>92933952.548185229</v>
      </c>
      <c r="AA16" s="106">
        <v>95414073.226213112</v>
      </c>
      <c r="AB16" s="108">
        <v>98660420.946238592</v>
      </c>
      <c r="AC16" s="108">
        <v>101461383.76448891</v>
      </c>
      <c r="AD16" s="108">
        <v>102887074.82613829</v>
      </c>
      <c r="AE16" s="108">
        <v>2396694652.3710914</v>
      </c>
      <c r="AF16" s="108">
        <v>2506838603.0445466</v>
      </c>
      <c r="AG16" s="108">
        <v>2786270379.8580756</v>
      </c>
      <c r="AH16" s="108">
        <v>3001449137.9713073</v>
      </c>
      <c r="AI16" s="108">
        <v>3190127188.687902</v>
      </c>
      <c r="AJ16" s="108">
        <v>3264933520.6968064</v>
      </c>
      <c r="AK16" s="108">
        <v>189491867.84844157</v>
      </c>
      <c r="AL16" s="108">
        <v>198860781.15806866</v>
      </c>
      <c r="AM16" s="108">
        <v>228151351.04751357</v>
      </c>
      <c r="AN16" s="108">
        <v>249124812.07854894</v>
      </c>
      <c r="AO16" s="108">
        <v>268047209.62306911</v>
      </c>
      <c r="AP16" s="108">
        <v>273071027.19257188</v>
      </c>
      <c r="AQ16" s="108">
        <v>122739048.98859048</v>
      </c>
      <c r="AR16" s="108">
        <v>130674555.34017603</v>
      </c>
      <c r="AS16" s="108">
        <v>144164909.91171607</v>
      </c>
      <c r="AT16" s="108">
        <v>155786739.35916272</v>
      </c>
      <c r="AU16" s="108">
        <v>169275239.95584896</v>
      </c>
      <c r="AV16" s="108">
        <v>177149561.50593859</v>
      </c>
    </row>
    <row r="17" spans="1:48" x14ac:dyDescent="0.35">
      <c r="A17" s="107">
        <f xml:space="preserve"> ROW( slrImpacts[[#This Row],[row_id]] ) - ROW( slrImpacts[[#Headers],[row_id]] )</f>
        <v>16</v>
      </c>
      <c r="B17" s="104">
        <v>2015</v>
      </c>
      <c r="C17" s="104" t="s">
        <v>86</v>
      </c>
      <c r="D17" s="104" t="s">
        <v>87</v>
      </c>
      <c r="E17" s="104" t="s">
        <v>922</v>
      </c>
      <c r="F17" s="104"/>
      <c r="G17" s="105">
        <v>0</v>
      </c>
      <c r="H17" s="105">
        <v>0</v>
      </c>
      <c r="I17" s="105">
        <v>0</v>
      </c>
      <c r="J17" s="105">
        <v>0</v>
      </c>
      <c r="K17" s="105">
        <v>0</v>
      </c>
      <c r="L17" s="105">
        <v>0</v>
      </c>
      <c r="M17" s="106">
        <v>803342960.64687383</v>
      </c>
      <c r="N17" s="106">
        <v>824829920.9860394</v>
      </c>
      <c r="O17" s="106">
        <v>879771620.58557189</v>
      </c>
      <c r="P17" s="106">
        <v>935976931.92445946</v>
      </c>
      <c r="Q17" s="106">
        <v>984690062.2487973</v>
      </c>
      <c r="R17" s="106">
        <v>1002814808.6286385</v>
      </c>
      <c r="S17" s="105">
        <v>0</v>
      </c>
      <c r="T17" s="105">
        <v>0</v>
      </c>
      <c r="U17" s="105">
        <v>0</v>
      </c>
      <c r="V17" s="105">
        <v>0</v>
      </c>
      <c r="W17" s="105">
        <v>0</v>
      </c>
      <c r="X17" s="105">
        <v>0</v>
      </c>
      <c r="Y17" s="106">
        <v>91148048.264980674</v>
      </c>
      <c r="Z17" s="106">
        <v>92942885.384475619</v>
      </c>
      <c r="AA17" s="106">
        <v>95679543.28491956</v>
      </c>
      <c r="AB17" s="108">
        <v>99216341.701454163</v>
      </c>
      <c r="AC17" s="108">
        <v>102470980.78739348</v>
      </c>
      <c r="AD17" s="108">
        <v>104463755.09204794</v>
      </c>
      <c r="AE17" s="108">
        <v>2447116763.9275637</v>
      </c>
      <c r="AF17" s="108">
        <v>2571561035.1887393</v>
      </c>
      <c r="AG17" s="108">
        <v>2881631634.9854174</v>
      </c>
      <c r="AH17" s="108">
        <v>3155425463.7815385</v>
      </c>
      <c r="AI17" s="108">
        <v>3383809770.8902087</v>
      </c>
      <c r="AJ17" s="108">
        <v>3501788670.2873096</v>
      </c>
      <c r="AK17" s="108">
        <v>197452351.05589646</v>
      </c>
      <c r="AL17" s="108">
        <v>208357650.02439016</v>
      </c>
      <c r="AM17" s="108">
        <v>242362290.33936155</v>
      </c>
      <c r="AN17" s="108">
        <v>269052062.67945141</v>
      </c>
      <c r="AO17" s="108">
        <v>293542320.88611823</v>
      </c>
      <c r="AP17" s="108">
        <v>301201732.95370787</v>
      </c>
      <c r="AQ17" s="108">
        <v>124651390.14324179</v>
      </c>
      <c r="AR17" s="108">
        <v>133580967.87803994</v>
      </c>
      <c r="AS17" s="108">
        <v>148347847.0484243</v>
      </c>
      <c r="AT17" s="108">
        <v>161498070.3869881</v>
      </c>
      <c r="AU17" s="108">
        <v>177298813.01168123</v>
      </c>
      <c r="AV17" s="108">
        <v>187314877.28838587</v>
      </c>
    </row>
    <row r="18" spans="1:48" x14ac:dyDescent="0.35">
      <c r="A18" s="107">
        <f xml:space="preserve"> ROW( slrImpacts[[#This Row],[row_id]] ) - ROW( slrImpacts[[#Headers],[row_id]] )</f>
        <v>17</v>
      </c>
      <c r="B18" s="104">
        <v>2016</v>
      </c>
      <c r="C18" s="104" t="s">
        <v>86</v>
      </c>
      <c r="D18" s="104" t="s">
        <v>87</v>
      </c>
      <c r="E18" s="104" t="s">
        <v>922</v>
      </c>
      <c r="F18" s="104"/>
      <c r="G18" s="105">
        <v>0</v>
      </c>
      <c r="H18" s="105">
        <v>0</v>
      </c>
      <c r="I18" s="105">
        <v>0</v>
      </c>
      <c r="J18" s="105">
        <v>0</v>
      </c>
      <c r="K18" s="105">
        <v>0</v>
      </c>
      <c r="L18" s="105">
        <v>0</v>
      </c>
      <c r="M18" s="106">
        <v>809019460.78518903</v>
      </c>
      <c r="N18" s="106">
        <v>831808098.66613412</v>
      </c>
      <c r="O18" s="106">
        <v>890127808.023489</v>
      </c>
      <c r="P18" s="106">
        <v>951245877.13117516</v>
      </c>
      <c r="Q18" s="106">
        <v>1005250560.8457992</v>
      </c>
      <c r="R18" s="106">
        <v>1026107281.3283752</v>
      </c>
      <c r="S18" s="105">
        <v>0</v>
      </c>
      <c r="T18" s="105">
        <v>0</v>
      </c>
      <c r="U18" s="105">
        <v>0</v>
      </c>
      <c r="V18" s="105">
        <v>0</v>
      </c>
      <c r="W18" s="105">
        <v>0</v>
      </c>
      <c r="X18" s="105">
        <v>0</v>
      </c>
      <c r="Y18" s="106">
        <v>91431769.368142039</v>
      </c>
      <c r="Z18" s="106">
        <v>93331551.562992454</v>
      </c>
      <c r="AA18" s="106">
        <v>96218210.315477982</v>
      </c>
      <c r="AB18" s="108">
        <v>100044581.39667694</v>
      </c>
      <c r="AC18" s="108">
        <v>103648460.31735426</v>
      </c>
      <c r="AD18" s="108">
        <v>106165638.87888265</v>
      </c>
      <c r="AE18" s="108">
        <v>2483486470.2260075</v>
      </c>
      <c r="AF18" s="108">
        <v>2615372915.5221753</v>
      </c>
      <c r="AG18" s="108">
        <v>2941278512.8262501</v>
      </c>
      <c r="AH18" s="108">
        <v>3261865695.8532977</v>
      </c>
      <c r="AI18" s="108">
        <v>3520559478.1096392</v>
      </c>
      <c r="AJ18" s="108">
        <v>3674501843.3852706</v>
      </c>
      <c r="AK18" s="108">
        <v>202754013.74372146</v>
      </c>
      <c r="AL18" s="108">
        <v>214815399.3358798</v>
      </c>
      <c r="AM18" s="108">
        <v>251340888.26147118</v>
      </c>
      <c r="AN18" s="108">
        <v>282561655.66988128</v>
      </c>
      <c r="AO18" s="108">
        <v>311552013.17337525</v>
      </c>
      <c r="AP18" s="108">
        <v>321369313.4284088</v>
      </c>
      <c r="AQ18" s="108">
        <v>126225238.94188739</v>
      </c>
      <c r="AR18" s="108">
        <v>135360762.47824246</v>
      </c>
      <c r="AS18" s="108">
        <v>150983090.97258514</v>
      </c>
      <c r="AT18" s="108">
        <v>165387345.04519281</v>
      </c>
      <c r="AU18" s="108">
        <v>182688001.82617372</v>
      </c>
      <c r="AV18" s="108">
        <v>194066892.92875722</v>
      </c>
    </row>
    <row r="19" spans="1:48" x14ac:dyDescent="0.35">
      <c r="A19" s="107">
        <f xml:space="preserve"> ROW( slrImpacts[[#This Row],[row_id]] ) - ROW( slrImpacts[[#Headers],[row_id]] )</f>
        <v>18</v>
      </c>
      <c r="B19" s="104">
        <v>2017</v>
      </c>
      <c r="C19" s="104" t="s">
        <v>86</v>
      </c>
      <c r="D19" s="104" t="s">
        <v>87</v>
      </c>
      <c r="E19" s="104" t="s">
        <v>922</v>
      </c>
      <c r="F19" s="104"/>
      <c r="G19" s="105">
        <v>0</v>
      </c>
      <c r="H19" s="105">
        <v>0</v>
      </c>
      <c r="I19" s="105">
        <v>0</v>
      </c>
      <c r="J19" s="105">
        <v>0</v>
      </c>
      <c r="K19" s="105">
        <v>0</v>
      </c>
      <c r="L19" s="105">
        <v>0</v>
      </c>
      <c r="M19" s="106">
        <v>814695960.92350388</v>
      </c>
      <c r="N19" s="106">
        <v>838786276.34622824</v>
      </c>
      <c r="O19" s="106">
        <v>900483995.46140611</v>
      </c>
      <c r="P19" s="106">
        <v>966514822.33789015</v>
      </c>
      <c r="Q19" s="106">
        <v>1025811059.442801</v>
      </c>
      <c r="R19" s="106">
        <v>1049399754.028111</v>
      </c>
      <c r="S19" s="105">
        <v>0</v>
      </c>
      <c r="T19" s="105">
        <v>0</v>
      </c>
      <c r="U19" s="105">
        <v>0</v>
      </c>
      <c r="V19" s="105">
        <v>0</v>
      </c>
      <c r="W19" s="105">
        <v>0</v>
      </c>
      <c r="X19" s="105">
        <v>0</v>
      </c>
      <c r="Y19" s="106">
        <v>91715490.471303314</v>
      </c>
      <c r="Z19" s="106">
        <v>93720217.741509274</v>
      </c>
      <c r="AA19" s="106">
        <v>96756877.346036464</v>
      </c>
      <c r="AB19" s="108">
        <v>100872821.09189972</v>
      </c>
      <c r="AC19" s="108">
        <v>104825939.84731498</v>
      </c>
      <c r="AD19" s="108">
        <v>107867522.66571739</v>
      </c>
      <c r="AE19" s="108">
        <v>2519856176.5244508</v>
      </c>
      <c r="AF19" s="108">
        <v>2659184795.8556147</v>
      </c>
      <c r="AG19" s="108">
        <v>3000925390.6670814</v>
      </c>
      <c r="AH19" s="108">
        <v>3368305927.9250536</v>
      </c>
      <c r="AI19" s="108">
        <v>3657309185.329071</v>
      </c>
      <c r="AJ19" s="108">
        <v>3847215016.4832344</v>
      </c>
      <c r="AK19" s="108">
        <v>208055676.43154645</v>
      </c>
      <c r="AL19" s="108">
        <v>221273148.64736947</v>
      </c>
      <c r="AM19" s="108">
        <v>260319486.18358088</v>
      </c>
      <c r="AN19" s="108">
        <v>296071248.66031116</v>
      </c>
      <c r="AO19" s="108">
        <v>329561705.46063226</v>
      </c>
      <c r="AP19" s="108">
        <v>341536893.90310979</v>
      </c>
      <c r="AQ19" s="108">
        <v>127799087.74053298</v>
      </c>
      <c r="AR19" s="108">
        <v>137140557.0784449</v>
      </c>
      <c r="AS19" s="108">
        <v>153618334.89674604</v>
      </c>
      <c r="AT19" s="108">
        <v>169276619.70339748</v>
      </c>
      <c r="AU19" s="108">
        <v>188077190.64066622</v>
      </c>
      <c r="AV19" s="108">
        <v>200818908.56912866</v>
      </c>
    </row>
    <row r="20" spans="1:48" x14ac:dyDescent="0.35">
      <c r="A20" s="107">
        <f xml:space="preserve"> ROW( slrImpacts[[#This Row],[row_id]] ) - ROW( slrImpacts[[#Headers],[row_id]] )</f>
        <v>19</v>
      </c>
      <c r="B20" s="104">
        <v>2018</v>
      </c>
      <c r="C20" s="104" t="s">
        <v>86</v>
      </c>
      <c r="D20" s="104" t="s">
        <v>87</v>
      </c>
      <c r="E20" s="104" t="s">
        <v>922</v>
      </c>
      <c r="F20" s="104"/>
      <c r="G20" s="105">
        <v>0</v>
      </c>
      <c r="H20" s="105">
        <v>0</v>
      </c>
      <c r="I20" s="105">
        <v>0</v>
      </c>
      <c r="J20" s="105">
        <v>0</v>
      </c>
      <c r="K20" s="105">
        <v>0</v>
      </c>
      <c r="L20" s="105">
        <v>0</v>
      </c>
      <c r="M20" s="106">
        <v>820372461.06181967</v>
      </c>
      <c r="N20" s="106">
        <v>845764454.0263226</v>
      </c>
      <c r="O20" s="106">
        <v>910840182.89932311</v>
      </c>
      <c r="P20" s="106">
        <v>981783767.54460573</v>
      </c>
      <c r="Q20" s="106">
        <v>1046371558.0398034</v>
      </c>
      <c r="R20" s="106">
        <v>1072692226.7278469</v>
      </c>
      <c r="S20" s="105">
        <v>0</v>
      </c>
      <c r="T20" s="105">
        <v>0</v>
      </c>
      <c r="U20" s="105">
        <v>0</v>
      </c>
      <c r="V20" s="105">
        <v>0</v>
      </c>
      <c r="W20" s="105">
        <v>0</v>
      </c>
      <c r="X20" s="105">
        <v>0</v>
      </c>
      <c r="Y20" s="106">
        <v>91999211.574464679</v>
      </c>
      <c r="Z20" s="106">
        <v>94108883.920026153</v>
      </c>
      <c r="AA20" s="106">
        <v>97295544.376594961</v>
      </c>
      <c r="AB20" s="108">
        <v>101701060.7871225</v>
      </c>
      <c r="AC20" s="108">
        <v>106003419.37727572</v>
      </c>
      <c r="AD20" s="108">
        <v>109569406.45255214</v>
      </c>
      <c r="AE20" s="108">
        <v>2556225882.8228941</v>
      </c>
      <c r="AF20" s="108">
        <v>2702996676.1890507</v>
      </c>
      <c r="AG20" s="108">
        <v>3060572268.5079155</v>
      </c>
      <c r="AH20" s="108">
        <v>3474746159.9968109</v>
      </c>
      <c r="AI20" s="108">
        <v>3794058892.5485039</v>
      </c>
      <c r="AJ20" s="108">
        <v>4019928189.5811934</v>
      </c>
      <c r="AK20" s="108">
        <v>213357339.11937147</v>
      </c>
      <c r="AL20" s="108">
        <v>227730897.95885921</v>
      </c>
      <c r="AM20" s="108">
        <v>269298084.10569048</v>
      </c>
      <c r="AN20" s="108">
        <v>309580841.6507411</v>
      </c>
      <c r="AO20" s="108">
        <v>347571397.74788916</v>
      </c>
      <c r="AP20" s="108">
        <v>361704474.37781048</v>
      </c>
      <c r="AQ20" s="108">
        <v>129372936.53917857</v>
      </c>
      <c r="AR20" s="108">
        <v>138920351.67864737</v>
      </c>
      <c r="AS20" s="108">
        <v>156253578.82090685</v>
      </c>
      <c r="AT20" s="108">
        <v>173165894.36160222</v>
      </c>
      <c r="AU20" s="108">
        <v>193466379.45515877</v>
      </c>
      <c r="AV20" s="108">
        <v>207570924.20950001</v>
      </c>
    </row>
    <row r="21" spans="1:48" x14ac:dyDescent="0.35">
      <c r="A21" s="107">
        <f xml:space="preserve"> ROW( slrImpacts[[#This Row],[row_id]] ) - ROW( slrImpacts[[#Headers],[row_id]] )</f>
        <v>20</v>
      </c>
      <c r="B21" s="104">
        <v>2019</v>
      </c>
      <c r="C21" s="104" t="s">
        <v>86</v>
      </c>
      <c r="D21" s="104" t="s">
        <v>87</v>
      </c>
      <c r="E21" s="104" t="s">
        <v>922</v>
      </c>
      <c r="F21" s="104"/>
      <c r="G21" s="105">
        <v>0</v>
      </c>
      <c r="H21" s="105">
        <v>0</v>
      </c>
      <c r="I21" s="105">
        <v>0</v>
      </c>
      <c r="J21" s="105">
        <v>0</v>
      </c>
      <c r="K21" s="105">
        <v>0</v>
      </c>
      <c r="L21" s="105">
        <v>0</v>
      </c>
      <c r="M21" s="106">
        <v>826048961.20013475</v>
      </c>
      <c r="N21" s="106">
        <v>852742631.70641685</v>
      </c>
      <c r="O21" s="106">
        <v>921196370.33724046</v>
      </c>
      <c r="P21" s="106">
        <v>997052712.7513206</v>
      </c>
      <c r="Q21" s="106">
        <v>1066932056.6368049</v>
      </c>
      <c r="R21" s="106">
        <v>1095984699.4275832</v>
      </c>
      <c r="S21" s="105">
        <v>0</v>
      </c>
      <c r="T21" s="105">
        <v>0</v>
      </c>
      <c r="U21" s="105">
        <v>0</v>
      </c>
      <c r="V21" s="105">
        <v>0</v>
      </c>
      <c r="W21" s="105">
        <v>0</v>
      </c>
      <c r="X21" s="105">
        <v>0</v>
      </c>
      <c r="Y21" s="106">
        <v>92282932.677626029</v>
      </c>
      <c r="Z21" s="106">
        <v>94497550.098542973</v>
      </c>
      <c r="AA21" s="106">
        <v>97834211.407153413</v>
      </c>
      <c r="AB21" s="108">
        <v>102529300.48234533</v>
      </c>
      <c r="AC21" s="108">
        <v>107180898.90723649</v>
      </c>
      <c r="AD21" s="108">
        <v>111271290.23938687</v>
      </c>
      <c r="AE21" s="108">
        <v>2592595589.1213393</v>
      </c>
      <c r="AF21" s="108">
        <v>2746808556.5224886</v>
      </c>
      <c r="AG21" s="108">
        <v>3120219146.3487473</v>
      </c>
      <c r="AH21" s="108">
        <v>3581186392.0685706</v>
      </c>
      <c r="AI21" s="108">
        <v>3930808599.7679362</v>
      </c>
      <c r="AJ21" s="108">
        <v>4192641362.6791563</v>
      </c>
      <c r="AK21" s="108">
        <v>218659001.80719644</v>
      </c>
      <c r="AL21" s="108">
        <v>234188647.27034894</v>
      </c>
      <c r="AM21" s="108">
        <v>278276682.02780002</v>
      </c>
      <c r="AN21" s="108">
        <v>323090434.64117092</v>
      </c>
      <c r="AO21" s="108">
        <v>365581090.0351463</v>
      </c>
      <c r="AP21" s="108">
        <v>381872054.85251147</v>
      </c>
      <c r="AQ21" s="108">
        <v>130946785.33782411</v>
      </c>
      <c r="AR21" s="108">
        <v>140700146.2788499</v>
      </c>
      <c r="AS21" s="108">
        <v>158888822.74506778</v>
      </c>
      <c r="AT21" s="108">
        <v>177055169.01980695</v>
      </c>
      <c r="AU21" s="108">
        <v>198855568.26965117</v>
      </c>
      <c r="AV21" s="108">
        <v>214322939.8498714</v>
      </c>
    </row>
    <row r="22" spans="1:48" x14ac:dyDescent="0.35">
      <c r="A22" s="107">
        <f xml:space="preserve"> ROW( slrImpacts[[#This Row],[row_id]] ) - ROW( slrImpacts[[#Headers],[row_id]] )</f>
        <v>21</v>
      </c>
      <c r="B22" s="104">
        <v>2020</v>
      </c>
      <c r="C22" s="104" t="s">
        <v>86</v>
      </c>
      <c r="D22" s="104" t="s">
        <v>87</v>
      </c>
      <c r="E22" s="104" t="s">
        <v>922</v>
      </c>
      <c r="F22" s="104"/>
      <c r="G22" s="105">
        <v>0</v>
      </c>
      <c r="H22" s="105">
        <v>0</v>
      </c>
      <c r="I22" s="105">
        <v>0</v>
      </c>
      <c r="J22" s="105">
        <v>0</v>
      </c>
      <c r="K22" s="105">
        <v>0</v>
      </c>
      <c r="L22" s="105">
        <v>0</v>
      </c>
      <c r="M22" s="106">
        <v>831725461.33845007</v>
      </c>
      <c r="N22" s="106">
        <v>859720809.38651133</v>
      </c>
      <c r="O22" s="106">
        <v>931552557.77515829</v>
      </c>
      <c r="P22" s="106">
        <v>1012321657.9580365</v>
      </c>
      <c r="Q22" s="106">
        <v>1087492555.2338068</v>
      </c>
      <c r="R22" s="106">
        <v>1119277172.1273193</v>
      </c>
      <c r="S22" s="105">
        <v>0</v>
      </c>
      <c r="T22" s="105">
        <v>0</v>
      </c>
      <c r="U22" s="105">
        <v>0</v>
      </c>
      <c r="V22" s="105">
        <v>0</v>
      </c>
      <c r="W22" s="105">
        <v>0</v>
      </c>
      <c r="X22" s="105">
        <v>0</v>
      </c>
      <c r="Y22" s="106">
        <v>92566653.780787334</v>
      </c>
      <c r="Z22" s="106">
        <v>94886216.277059853</v>
      </c>
      <c r="AA22" s="106">
        <v>98372878.437711895</v>
      </c>
      <c r="AB22" s="108">
        <v>103357540.17756811</v>
      </c>
      <c r="AC22" s="108">
        <v>108358378.43719721</v>
      </c>
      <c r="AD22" s="108">
        <v>112973174.02622162</v>
      </c>
      <c r="AE22" s="108">
        <v>2628965295.4197841</v>
      </c>
      <c r="AF22" s="108">
        <v>2790620436.855927</v>
      </c>
      <c r="AG22" s="108">
        <v>3179866024.1895795</v>
      </c>
      <c r="AH22" s="108">
        <v>3687626624.1403275</v>
      </c>
      <c r="AI22" s="108">
        <v>4067558306.9873643</v>
      </c>
      <c r="AJ22" s="108">
        <v>4365354535.7771187</v>
      </c>
      <c r="AK22" s="108">
        <v>223960664.4950214</v>
      </c>
      <c r="AL22" s="108">
        <v>240646396.58183855</v>
      </c>
      <c r="AM22" s="108">
        <v>287255279.94990963</v>
      </c>
      <c r="AN22" s="108">
        <v>336600027.6316011</v>
      </c>
      <c r="AO22" s="108">
        <v>383590782.32240331</v>
      </c>
      <c r="AP22" s="108">
        <v>402039635.32721251</v>
      </c>
      <c r="AQ22" s="108">
        <v>132520634.13646972</v>
      </c>
      <c r="AR22" s="108">
        <v>142479940.87905237</v>
      </c>
      <c r="AS22" s="108">
        <v>161524066.66922867</v>
      </c>
      <c r="AT22" s="108">
        <v>180944443.67801163</v>
      </c>
      <c r="AU22" s="108">
        <v>204244757.0841437</v>
      </c>
      <c r="AV22" s="108">
        <v>221074955.49024281</v>
      </c>
    </row>
    <row r="23" spans="1:48" x14ac:dyDescent="0.35">
      <c r="A23" s="107">
        <f xml:space="preserve"> ROW( slrImpacts[[#This Row],[row_id]] ) - ROW( slrImpacts[[#Headers],[row_id]] )</f>
        <v>22</v>
      </c>
      <c r="B23" s="104">
        <v>2021</v>
      </c>
      <c r="C23" s="104" t="s">
        <v>86</v>
      </c>
      <c r="D23" s="104" t="s">
        <v>87</v>
      </c>
      <c r="E23" s="104" t="s">
        <v>922</v>
      </c>
      <c r="F23" s="104"/>
      <c r="G23" s="105">
        <v>0</v>
      </c>
      <c r="H23" s="105">
        <v>0</v>
      </c>
      <c r="I23" s="105">
        <v>0</v>
      </c>
      <c r="J23" s="105">
        <v>0</v>
      </c>
      <c r="K23" s="105">
        <v>0</v>
      </c>
      <c r="L23" s="105">
        <v>0</v>
      </c>
      <c r="M23" s="106">
        <v>837401961.47676516</v>
      </c>
      <c r="N23" s="106">
        <v>866698987.06660593</v>
      </c>
      <c r="O23" s="106">
        <v>941908745.21307492</v>
      </c>
      <c r="P23" s="106">
        <v>1027590603.1647515</v>
      </c>
      <c r="Q23" s="106">
        <v>1108053053.8308089</v>
      </c>
      <c r="R23" s="106">
        <v>1142569644.8270552</v>
      </c>
      <c r="S23" s="105">
        <v>0</v>
      </c>
      <c r="T23" s="105">
        <v>0</v>
      </c>
      <c r="U23" s="105">
        <v>0</v>
      </c>
      <c r="V23" s="105">
        <v>0</v>
      </c>
      <c r="W23" s="105">
        <v>0</v>
      </c>
      <c r="X23" s="105">
        <v>0</v>
      </c>
      <c r="Y23" s="106">
        <v>92850374.883948714</v>
      </c>
      <c r="Z23" s="106">
        <v>95274882.455576688</v>
      </c>
      <c r="AA23" s="106">
        <v>98911545.468270376</v>
      </c>
      <c r="AB23" s="108">
        <v>104185779.8727909</v>
      </c>
      <c r="AC23" s="108">
        <v>109535857.967158</v>
      </c>
      <c r="AD23" s="108">
        <v>114675057.81305632</v>
      </c>
      <c r="AE23" s="108">
        <v>2665335001.7182279</v>
      </c>
      <c r="AF23" s="108">
        <v>2834432317.1893635</v>
      </c>
      <c r="AG23" s="108">
        <v>3239512902.0304122</v>
      </c>
      <c r="AH23" s="108">
        <v>3794066856.2120843</v>
      </c>
      <c r="AI23" s="108">
        <v>4204308014.2067947</v>
      </c>
      <c r="AJ23" s="108">
        <v>4538067708.8750782</v>
      </c>
      <c r="AK23" s="108">
        <v>229262327.18284643</v>
      </c>
      <c r="AL23" s="108">
        <v>247104145.89332828</v>
      </c>
      <c r="AM23" s="108">
        <v>296233877.87201947</v>
      </c>
      <c r="AN23" s="108">
        <v>350109620.62203085</v>
      </c>
      <c r="AO23" s="108">
        <v>401600474.60966033</v>
      </c>
      <c r="AP23" s="108">
        <v>422207215.80191326</v>
      </c>
      <c r="AQ23" s="108">
        <v>134094482.93511526</v>
      </c>
      <c r="AR23" s="108">
        <v>144259735.47925484</v>
      </c>
      <c r="AS23" s="108">
        <v>164159310.59338951</v>
      </c>
      <c r="AT23" s="108">
        <v>184833718.33621636</v>
      </c>
      <c r="AU23" s="108">
        <v>209633945.89863613</v>
      </c>
      <c r="AV23" s="108">
        <v>227826971.13061428</v>
      </c>
    </row>
    <row r="24" spans="1:48" x14ac:dyDescent="0.35">
      <c r="A24" s="107">
        <f xml:space="preserve"> ROW( slrImpacts[[#This Row],[row_id]] ) - ROW( slrImpacts[[#Headers],[row_id]] )</f>
        <v>23</v>
      </c>
      <c r="B24" s="104">
        <v>2022</v>
      </c>
      <c r="C24" s="104" t="s">
        <v>86</v>
      </c>
      <c r="D24" s="104" t="s">
        <v>87</v>
      </c>
      <c r="E24" s="104" t="s">
        <v>922</v>
      </c>
      <c r="F24" s="104"/>
      <c r="G24" s="105">
        <v>0</v>
      </c>
      <c r="H24" s="105">
        <v>0</v>
      </c>
      <c r="I24" s="105">
        <v>0</v>
      </c>
      <c r="J24" s="105">
        <v>0</v>
      </c>
      <c r="K24" s="105">
        <v>0</v>
      </c>
      <c r="L24" s="105">
        <v>0</v>
      </c>
      <c r="M24" s="106">
        <v>843078461.61508083</v>
      </c>
      <c r="N24" s="106">
        <v>873677164.74670029</v>
      </c>
      <c r="O24" s="106">
        <v>952264932.65099192</v>
      </c>
      <c r="P24" s="106">
        <v>1042859548.3714668</v>
      </c>
      <c r="Q24" s="106">
        <v>1128613552.4278109</v>
      </c>
      <c r="R24" s="106">
        <v>1165862117.5267916</v>
      </c>
      <c r="S24" s="105">
        <v>0</v>
      </c>
      <c r="T24" s="105">
        <v>0</v>
      </c>
      <c r="U24" s="105">
        <v>0</v>
      </c>
      <c r="V24" s="105">
        <v>0</v>
      </c>
      <c r="W24" s="105">
        <v>0</v>
      </c>
      <c r="X24" s="105">
        <v>0</v>
      </c>
      <c r="Y24" s="106">
        <v>93134095.987110019</v>
      </c>
      <c r="Z24" s="106">
        <v>95663548.634093508</v>
      </c>
      <c r="AA24" s="106">
        <v>99450212.498828799</v>
      </c>
      <c r="AB24" s="108">
        <v>105014019.56801368</v>
      </c>
      <c r="AC24" s="108">
        <v>110713337.49711871</v>
      </c>
      <c r="AD24" s="108">
        <v>116376941.59989107</v>
      </c>
      <c r="AE24" s="108">
        <v>2701704708.0166726</v>
      </c>
      <c r="AF24" s="108">
        <v>2878244197.5228024</v>
      </c>
      <c r="AG24" s="108">
        <v>3299159779.8712463</v>
      </c>
      <c r="AH24" s="108">
        <v>3900507088.2838402</v>
      </c>
      <c r="AI24" s="108">
        <v>4341057721.4262276</v>
      </c>
      <c r="AJ24" s="108">
        <v>4710780881.9730406</v>
      </c>
      <c r="AK24" s="108">
        <v>234563989.87067136</v>
      </c>
      <c r="AL24" s="108">
        <v>253561895.20481792</v>
      </c>
      <c r="AM24" s="108">
        <v>305212475.79412889</v>
      </c>
      <c r="AN24" s="108">
        <v>363619213.61246079</v>
      </c>
      <c r="AO24" s="108">
        <v>419610166.89691734</v>
      </c>
      <c r="AP24" s="108">
        <v>442374796.27661425</v>
      </c>
      <c r="AQ24" s="108">
        <v>135668331.73376083</v>
      </c>
      <c r="AR24" s="108">
        <v>146039530.07945734</v>
      </c>
      <c r="AS24" s="108">
        <v>166794554.51755038</v>
      </c>
      <c r="AT24" s="108">
        <v>188722992.99442101</v>
      </c>
      <c r="AU24" s="108">
        <v>215023134.71312866</v>
      </c>
      <c r="AV24" s="108">
        <v>234578986.77098554</v>
      </c>
    </row>
    <row r="25" spans="1:48" x14ac:dyDescent="0.35">
      <c r="A25" s="107">
        <f xml:space="preserve"> ROW( slrImpacts[[#This Row],[row_id]] ) - ROW( slrImpacts[[#Headers],[row_id]] )</f>
        <v>24</v>
      </c>
      <c r="B25" s="104">
        <v>2023</v>
      </c>
      <c r="C25" s="104" t="s">
        <v>86</v>
      </c>
      <c r="D25" s="104" t="s">
        <v>87</v>
      </c>
      <c r="E25" s="104" t="s">
        <v>922</v>
      </c>
      <c r="F25" s="104"/>
      <c r="G25" s="105">
        <v>0</v>
      </c>
      <c r="H25" s="105">
        <v>0</v>
      </c>
      <c r="I25" s="105">
        <v>0</v>
      </c>
      <c r="J25" s="105">
        <v>0</v>
      </c>
      <c r="K25" s="105">
        <v>0</v>
      </c>
      <c r="L25" s="105">
        <v>0</v>
      </c>
      <c r="M25" s="106">
        <v>848754961.75339568</v>
      </c>
      <c r="N25" s="106">
        <v>880655342.42679477</v>
      </c>
      <c r="O25" s="106">
        <v>962621120.0889101</v>
      </c>
      <c r="P25" s="106">
        <v>1058128493.5781817</v>
      </c>
      <c r="Q25" s="106">
        <v>1149174051.0248132</v>
      </c>
      <c r="R25" s="106">
        <v>1189154590.2265272</v>
      </c>
      <c r="S25" s="105">
        <v>0</v>
      </c>
      <c r="T25" s="105">
        <v>0</v>
      </c>
      <c r="U25" s="105">
        <v>0</v>
      </c>
      <c r="V25" s="105">
        <v>0</v>
      </c>
      <c r="W25" s="105">
        <v>0</v>
      </c>
      <c r="X25" s="105">
        <v>0</v>
      </c>
      <c r="Y25" s="106">
        <v>93417817.090271384</v>
      </c>
      <c r="Z25" s="106">
        <v>96052214.812610373</v>
      </c>
      <c r="AA25" s="106">
        <v>99988879.529387295</v>
      </c>
      <c r="AB25" s="108">
        <v>105842259.26323648</v>
      </c>
      <c r="AC25" s="108">
        <v>111890817.02707949</v>
      </c>
      <c r="AD25" s="108">
        <v>118078825.38672578</v>
      </c>
      <c r="AE25" s="108">
        <v>2738074414.3151174</v>
      </c>
      <c r="AF25" s="108">
        <v>2922056077.8562369</v>
      </c>
      <c r="AG25" s="108">
        <v>3358806657.7120786</v>
      </c>
      <c r="AH25" s="108">
        <v>4006947320.3556004</v>
      </c>
      <c r="AI25" s="108">
        <v>4477807428.6456604</v>
      </c>
      <c r="AJ25" s="108">
        <v>4883494055.0710011</v>
      </c>
      <c r="AK25" s="108">
        <v>239865652.55849636</v>
      </c>
      <c r="AL25" s="108">
        <v>260019644.51630765</v>
      </c>
      <c r="AM25" s="108">
        <v>314191073.7162385</v>
      </c>
      <c r="AN25" s="108">
        <v>377128806.60289079</v>
      </c>
      <c r="AO25" s="108">
        <v>437619859.18417454</v>
      </c>
      <c r="AP25" s="108">
        <v>462542376.75131524</v>
      </c>
      <c r="AQ25" s="108">
        <v>137242180.53240642</v>
      </c>
      <c r="AR25" s="108">
        <v>147819324.67965984</v>
      </c>
      <c r="AS25" s="108">
        <v>169429798.44171128</v>
      </c>
      <c r="AT25" s="108">
        <v>192612267.6526258</v>
      </c>
      <c r="AU25" s="108">
        <v>220412323.52762109</v>
      </c>
      <c r="AV25" s="108">
        <v>241331002.41135693</v>
      </c>
    </row>
    <row r="26" spans="1:48" x14ac:dyDescent="0.35">
      <c r="A26" s="107">
        <f xml:space="preserve"> ROW( slrImpacts[[#This Row],[row_id]] ) - ROW( slrImpacts[[#Headers],[row_id]] )</f>
        <v>25</v>
      </c>
      <c r="B26" s="104">
        <v>2024</v>
      </c>
      <c r="C26" s="104" t="s">
        <v>86</v>
      </c>
      <c r="D26" s="104" t="s">
        <v>87</v>
      </c>
      <c r="E26" s="104" t="s">
        <v>922</v>
      </c>
      <c r="F26" s="104"/>
      <c r="G26" s="105">
        <v>0</v>
      </c>
      <c r="H26" s="105">
        <v>0</v>
      </c>
      <c r="I26" s="105">
        <v>0</v>
      </c>
      <c r="J26" s="105">
        <v>0</v>
      </c>
      <c r="K26" s="105">
        <v>0</v>
      </c>
      <c r="L26" s="105">
        <v>0</v>
      </c>
      <c r="M26" s="106">
        <v>854431461.89171135</v>
      </c>
      <c r="N26" s="106">
        <v>887633520.10688889</v>
      </c>
      <c r="O26" s="106">
        <v>972977307.52682674</v>
      </c>
      <c r="P26" s="106">
        <v>1073397438.7848973</v>
      </c>
      <c r="Q26" s="106">
        <v>1169734549.6218152</v>
      </c>
      <c r="R26" s="106">
        <v>1212447062.9262631</v>
      </c>
      <c r="S26" s="105">
        <v>0</v>
      </c>
      <c r="T26" s="105">
        <v>0</v>
      </c>
      <c r="U26" s="105">
        <v>0</v>
      </c>
      <c r="V26" s="105">
        <v>0</v>
      </c>
      <c r="W26" s="105">
        <v>0</v>
      </c>
      <c r="X26" s="105">
        <v>0</v>
      </c>
      <c r="Y26" s="106">
        <v>93701538.193432689</v>
      </c>
      <c r="Z26" s="106">
        <v>96440880.991127223</v>
      </c>
      <c r="AA26" s="106">
        <v>100527546.55994578</v>
      </c>
      <c r="AB26" s="108">
        <v>106670498.95845926</v>
      </c>
      <c r="AC26" s="108">
        <v>113068296.55704024</v>
      </c>
      <c r="AD26" s="108">
        <v>119780709.17356053</v>
      </c>
      <c r="AE26" s="108">
        <v>2774444120.6135616</v>
      </c>
      <c r="AF26" s="108">
        <v>2965867958.1896758</v>
      </c>
      <c r="AG26" s="108">
        <v>3418453535.5529103</v>
      </c>
      <c r="AH26" s="108">
        <v>4113387552.4273605</v>
      </c>
      <c r="AI26" s="108">
        <v>4614557135.8650885</v>
      </c>
      <c r="AJ26" s="108">
        <v>5056207228.1689615</v>
      </c>
      <c r="AK26" s="108">
        <v>245167315.24632141</v>
      </c>
      <c r="AL26" s="108">
        <v>266477393.82779732</v>
      </c>
      <c r="AM26" s="108">
        <v>323169671.6383481</v>
      </c>
      <c r="AN26" s="108">
        <v>390638399.59332073</v>
      </c>
      <c r="AO26" s="108">
        <v>455629551.47143143</v>
      </c>
      <c r="AP26" s="108">
        <v>482709957.22601616</v>
      </c>
      <c r="AQ26" s="108">
        <v>138816029.33105198</v>
      </c>
      <c r="AR26" s="108">
        <v>149599119.27986234</v>
      </c>
      <c r="AS26" s="108">
        <v>172065042.36587211</v>
      </c>
      <c r="AT26" s="108">
        <v>196501542.31083041</v>
      </c>
      <c r="AU26" s="108">
        <v>225801512.34211361</v>
      </c>
      <c r="AV26" s="108">
        <v>248083018.0517284</v>
      </c>
    </row>
    <row r="27" spans="1:48" x14ac:dyDescent="0.35">
      <c r="A27" s="107">
        <f xml:space="preserve"> ROW( slrImpacts[[#This Row],[row_id]] ) - ROW( slrImpacts[[#Headers],[row_id]] )</f>
        <v>26</v>
      </c>
      <c r="B27" s="104">
        <v>2025</v>
      </c>
      <c r="C27" s="104" t="s">
        <v>86</v>
      </c>
      <c r="D27" s="104" t="s">
        <v>87</v>
      </c>
      <c r="E27" s="104" t="s">
        <v>922</v>
      </c>
      <c r="F27" s="104"/>
      <c r="G27" s="105">
        <v>0</v>
      </c>
      <c r="H27" s="105">
        <v>0</v>
      </c>
      <c r="I27" s="105">
        <v>0</v>
      </c>
      <c r="J27" s="105">
        <v>0</v>
      </c>
      <c r="K27" s="105">
        <v>0</v>
      </c>
      <c r="L27" s="105">
        <v>0</v>
      </c>
      <c r="M27" s="106">
        <v>865722981.73921216</v>
      </c>
      <c r="N27" s="106">
        <v>901649290.68145108</v>
      </c>
      <c r="O27" s="106">
        <v>996232505.73424149</v>
      </c>
      <c r="P27" s="106">
        <v>1106353614.0967252</v>
      </c>
      <c r="Q27" s="106">
        <v>1213196821.245749</v>
      </c>
      <c r="R27" s="106">
        <v>1263648455.3806427</v>
      </c>
      <c r="S27" s="105">
        <v>0</v>
      </c>
      <c r="T27" s="105">
        <v>0</v>
      </c>
      <c r="U27" s="105">
        <v>0</v>
      </c>
      <c r="V27" s="105">
        <v>0</v>
      </c>
      <c r="W27" s="105">
        <v>0</v>
      </c>
      <c r="X27" s="105">
        <v>0</v>
      </c>
      <c r="Y27" s="106">
        <v>94243928.148094222</v>
      </c>
      <c r="Z27" s="106">
        <v>97102031.227477282</v>
      </c>
      <c r="AA27" s="106">
        <v>101812438.59203453</v>
      </c>
      <c r="AB27" s="108">
        <v>108751609.27692051</v>
      </c>
      <c r="AC27" s="108">
        <v>116358901.12541634</v>
      </c>
      <c r="AD27" s="108">
        <v>123909838.52397282</v>
      </c>
      <c r="AE27" s="108">
        <v>2846705229.3515272</v>
      </c>
      <c r="AF27" s="108">
        <v>3055025906.946188</v>
      </c>
      <c r="AG27" s="108">
        <v>3575216547.7921233</v>
      </c>
      <c r="AH27" s="108">
        <v>4357288260.3669462</v>
      </c>
      <c r="AI27" s="108">
        <v>4949596180.276</v>
      </c>
      <c r="AJ27" s="108">
        <v>5464697477.2095604</v>
      </c>
      <c r="AK27" s="108">
        <v>257013383.75558937</v>
      </c>
      <c r="AL27" s="108">
        <v>282546908.48946035</v>
      </c>
      <c r="AM27" s="108">
        <v>346186003.91281021</v>
      </c>
      <c r="AN27" s="108">
        <v>423674618.27906477</v>
      </c>
      <c r="AO27" s="108">
        <v>502089346.03801978</v>
      </c>
      <c r="AP27" s="108">
        <v>538762542.86178696</v>
      </c>
      <c r="AQ27" s="108">
        <v>141908895.9772532</v>
      </c>
      <c r="AR27" s="108">
        <v>153492322.76744547</v>
      </c>
      <c r="AS27" s="108">
        <v>178536507.00447428</v>
      </c>
      <c r="AT27" s="108">
        <v>206610946.83878115</v>
      </c>
      <c r="AU27" s="108">
        <v>240887104.14380559</v>
      </c>
      <c r="AV27" s="108">
        <v>266955059.36361936</v>
      </c>
    </row>
    <row r="28" spans="1:48" x14ac:dyDescent="0.35">
      <c r="A28" s="107">
        <f xml:space="preserve"> ROW( slrImpacts[[#This Row],[row_id]] ) - ROW( slrImpacts[[#Headers],[row_id]] )</f>
        <v>27</v>
      </c>
      <c r="B28" s="104">
        <v>2026</v>
      </c>
      <c r="C28" s="104" t="s">
        <v>86</v>
      </c>
      <c r="D28" s="104" t="s">
        <v>87</v>
      </c>
      <c r="E28" s="104" t="s">
        <v>922</v>
      </c>
      <c r="F28" s="104"/>
      <c r="G28" s="105">
        <v>0</v>
      </c>
      <c r="H28" s="105">
        <v>0</v>
      </c>
      <c r="I28" s="105">
        <v>0</v>
      </c>
      <c r="J28" s="105">
        <v>0</v>
      </c>
      <c r="K28" s="105">
        <v>0</v>
      </c>
      <c r="L28" s="105">
        <v>0</v>
      </c>
      <c r="M28" s="106">
        <v>871338001.44839776</v>
      </c>
      <c r="N28" s="106">
        <v>908686883.57591891</v>
      </c>
      <c r="O28" s="106">
        <v>1009131516.5037383</v>
      </c>
      <c r="P28" s="106">
        <v>1124040844.201838</v>
      </c>
      <c r="Q28" s="106">
        <v>1236098594.2726803</v>
      </c>
      <c r="R28" s="106">
        <v>1291557375.1352856</v>
      </c>
      <c r="S28" s="105">
        <v>0</v>
      </c>
      <c r="T28" s="105">
        <v>0</v>
      </c>
      <c r="U28" s="105">
        <v>0</v>
      </c>
      <c r="V28" s="105">
        <v>0</v>
      </c>
      <c r="W28" s="105">
        <v>0</v>
      </c>
      <c r="X28" s="105">
        <v>0</v>
      </c>
      <c r="Y28" s="106">
        <v>94502596.999594465</v>
      </c>
      <c r="Z28" s="106">
        <v>97374515.285310537</v>
      </c>
      <c r="AA28" s="106">
        <v>102558663.59356481</v>
      </c>
      <c r="AB28" s="108">
        <v>110004479.90015905</v>
      </c>
      <c r="AC28" s="108">
        <v>118472026.1638317</v>
      </c>
      <c r="AD28" s="108">
        <v>126337084.08755036</v>
      </c>
      <c r="AE28" s="108">
        <v>2882596631.7910433</v>
      </c>
      <c r="AF28" s="108">
        <v>3100371975.3692608</v>
      </c>
      <c r="AG28" s="108">
        <v>3672332682.1905069</v>
      </c>
      <c r="AH28" s="108">
        <v>4494748736.2347765</v>
      </c>
      <c r="AI28" s="108">
        <v>5147885517.4674845</v>
      </c>
      <c r="AJ28" s="108">
        <v>5700474553.1521978</v>
      </c>
      <c r="AK28" s="108">
        <v>263557789.57703248</v>
      </c>
      <c r="AL28" s="108">
        <v>292158673.8396337</v>
      </c>
      <c r="AM28" s="108">
        <v>360223738.26516271</v>
      </c>
      <c r="AN28" s="108">
        <v>443201243.97437882</v>
      </c>
      <c r="AO28" s="108">
        <v>530539448.31735098</v>
      </c>
      <c r="AP28" s="108">
        <v>574647548.02285719</v>
      </c>
      <c r="AQ28" s="108">
        <v>143427913.82480878</v>
      </c>
      <c r="AR28" s="108">
        <v>155605731.6548261</v>
      </c>
      <c r="AS28" s="108">
        <v>182372727.71891558</v>
      </c>
      <c r="AT28" s="108">
        <v>212831076.70852715</v>
      </c>
      <c r="AU28" s="108">
        <v>250583507.13100511</v>
      </c>
      <c r="AV28" s="108">
        <v>279075085.03513908</v>
      </c>
    </row>
    <row r="29" spans="1:48" x14ac:dyDescent="0.35">
      <c r="A29" s="107">
        <f xml:space="preserve"> ROW( slrImpacts[[#This Row],[row_id]] ) - ROW( slrImpacts[[#Headers],[row_id]] )</f>
        <v>28</v>
      </c>
      <c r="B29" s="104">
        <v>2027</v>
      </c>
      <c r="C29" s="104" t="s">
        <v>86</v>
      </c>
      <c r="D29" s="104" t="s">
        <v>87</v>
      </c>
      <c r="E29" s="104" t="s">
        <v>922</v>
      </c>
      <c r="F29" s="104"/>
      <c r="G29" s="105">
        <v>0</v>
      </c>
      <c r="H29" s="105">
        <v>0</v>
      </c>
      <c r="I29" s="105">
        <v>0</v>
      </c>
      <c r="J29" s="105">
        <v>0</v>
      </c>
      <c r="K29" s="105">
        <v>0</v>
      </c>
      <c r="L29" s="105">
        <v>0</v>
      </c>
      <c r="M29" s="106">
        <v>876953021.15758419</v>
      </c>
      <c r="N29" s="106">
        <v>915724476.4703871</v>
      </c>
      <c r="O29" s="106">
        <v>1022030527.2732358</v>
      </c>
      <c r="P29" s="106">
        <v>1141728074.3069499</v>
      </c>
      <c r="Q29" s="106">
        <v>1259000367.2996128</v>
      </c>
      <c r="R29" s="106">
        <v>1319466294.8899291</v>
      </c>
      <c r="S29" s="105">
        <v>0</v>
      </c>
      <c r="T29" s="105">
        <v>0</v>
      </c>
      <c r="U29" s="105">
        <v>0</v>
      </c>
      <c r="V29" s="105">
        <v>0</v>
      </c>
      <c r="W29" s="105">
        <v>0</v>
      </c>
      <c r="X29" s="105">
        <v>0</v>
      </c>
      <c r="Y29" s="106">
        <v>94761265.851094648</v>
      </c>
      <c r="Z29" s="106">
        <v>97646999.343143791</v>
      </c>
      <c r="AA29" s="106">
        <v>103304888.5950951</v>
      </c>
      <c r="AB29" s="108">
        <v>111257350.52339754</v>
      </c>
      <c r="AC29" s="108">
        <v>120585151.20224702</v>
      </c>
      <c r="AD29" s="108">
        <v>128764329.65112792</v>
      </c>
      <c r="AE29" s="108">
        <v>2918488034.2305651</v>
      </c>
      <c r="AF29" s="108">
        <v>3145718043.7923326</v>
      </c>
      <c r="AG29" s="108">
        <v>3769448816.5888891</v>
      </c>
      <c r="AH29" s="108">
        <v>4632209212.1026115</v>
      </c>
      <c r="AI29" s="108">
        <v>5346174854.6589603</v>
      </c>
      <c r="AJ29" s="108">
        <v>5936251629.0948305</v>
      </c>
      <c r="AK29" s="108">
        <v>270102195.39847553</v>
      </c>
      <c r="AL29" s="108">
        <v>301770439.18980694</v>
      </c>
      <c r="AM29" s="108">
        <v>374261472.61751521</v>
      </c>
      <c r="AN29" s="108">
        <v>462727869.66969281</v>
      </c>
      <c r="AO29" s="108">
        <v>558989550.59668195</v>
      </c>
      <c r="AP29" s="108">
        <v>610532553.18392718</v>
      </c>
      <c r="AQ29" s="108">
        <v>144946931.67236438</v>
      </c>
      <c r="AR29" s="108">
        <v>157719140.54220676</v>
      </c>
      <c r="AS29" s="108">
        <v>186208948.43335691</v>
      </c>
      <c r="AT29" s="108">
        <v>219051206.57827321</v>
      </c>
      <c r="AU29" s="108">
        <v>260279910.11820453</v>
      </c>
      <c r="AV29" s="108">
        <v>291195110.70665872</v>
      </c>
    </row>
    <row r="30" spans="1:48" x14ac:dyDescent="0.35">
      <c r="A30" s="107">
        <f xml:space="preserve"> ROW( slrImpacts[[#This Row],[row_id]] ) - ROW( slrImpacts[[#Headers],[row_id]] )</f>
        <v>29</v>
      </c>
      <c r="B30" s="104">
        <v>2028</v>
      </c>
      <c r="C30" s="104" t="s">
        <v>86</v>
      </c>
      <c r="D30" s="104" t="s">
        <v>87</v>
      </c>
      <c r="E30" s="104" t="s">
        <v>922</v>
      </c>
      <c r="F30" s="104"/>
      <c r="G30" s="105">
        <v>0</v>
      </c>
      <c r="H30" s="105">
        <v>0</v>
      </c>
      <c r="I30" s="105">
        <v>0</v>
      </c>
      <c r="J30" s="105">
        <v>0</v>
      </c>
      <c r="K30" s="105">
        <v>0</v>
      </c>
      <c r="L30" s="105">
        <v>0</v>
      </c>
      <c r="M30" s="106">
        <v>882568040.86676955</v>
      </c>
      <c r="N30" s="106">
        <v>922762069.36485469</v>
      </c>
      <c r="O30" s="106">
        <v>1034929538.0427325</v>
      </c>
      <c r="P30" s="106">
        <v>1159415304.4120626</v>
      </c>
      <c r="Q30" s="106">
        <v>1281902140.3265443</v>
      </c>
      <c r="R30" s="106">
        <v>1347375214.6445718</v>
      </c>
      <c r="S30" s="105">
        <v>0</v>
      </c>
      <c r="T30" s="105">
        <v>0</v>
      </c>
      <c r="U30" s="105">
        <v>0</v>
      </c>
      <c r="V30" s="105">
        <v>0</v>
      </c>
      <c r="W30" s="105">
        <v>0</v>
      </c>
      <c r="X30" s="105">
        <v>0</v>
      </c>
      <c r="Y30" s="106">
        <v>95019934.702594861</v>
      </c>
      <c r="Z30" s="106">
        <v>97919483.400977075</v>
      </c>
      <c r="AA30" s="106">
        <v>104051113.59662536</v>
      </c>
      <c r="AB30" s="108">
        <v>112510221.14663598</v>
      </c>
      <c r="AC30" s="108">
        <v>122698276.24066246</v>
      </c>
      <c r="AD30" s="108">
        <v>131191575.21470545</v>
      </c>
      <c r="AE30" s="108">
        <v>2954379436.6700859</v>
      </c>
      <c r="AF30" s="108">
        <v>3191064112.2154078</v>
      </c>
      <c r="AG30" s="108">
        <v>3866564950.9872737</v>
      </c>
      <c r="AH30" s="108">
        <v>4769669687.9704447</v>
      </c>
      <c r="AI30" s="108">
        <v>5544464191.8504467</v>
      </c>
      <c r="AJ30" s="108">
        <v>6172028705.0374613</v>
      </c>
      <c r="AK30" s="108">
        <v>276646601.21991849</v>
      </c>
      <c r="AL30" s="108">
        <v>311382204.53998023</v>
      </c>
      <c r="AM30" s="108">
        <v>388299206.96986765</v>
      </c>
      <c r="AN30" s="108">
        <v>482254495.3650068</v>
      </c>
      <c r="AO30" s="108">
        <v>587439652.87601328</v>
      </c>
      <c r="AP30" s="108">
        <v>646417558.34499753</v>
      </c>
      <c r="AQ30" s="108">
        <v>146465949.51991999</v>
      </c>
      <c r="AR30" s="108">
        <v>159832549.42958745</v>
      </c>
      <c r="AS30" s="108">
        <v>190045169.14779824</v>
      </c>
      <c r="AT30" s="108">
        <v>225271336.44801921</v>
      </c>
      <c r="AU30" s="108">
        <v>269976313.10540408</v>
      </c>
      <c r="AV30" s="108">
        <v>303315136.37817842</v>
      </c>
    </row>
    <row r="31" spans="1:48" x14ac:dyDescent="0.35">
      <c r="A31" s="107">
        <f xml:space="preserve"> ROW( slrImpacts[[#This Row],[row_id]] ) - ROW( slrImpacts[[#Headers],[row_id]] )</f>
        <v>30</v>
      </c>
      <c r="B31" s="104">
        <v>2029</v>
      </c>
      <c r="C31" s="104" t="s">
        <v>86</v>
      </c>
      <c r="D31" s="104" t="s">
        <v>87</v>
      </c>
      <c r="E31" s="104" t="s">
        <v>922</v>
      </c>
      <c r="F31" s="104"/>
      <c r="G31" s="105">
        <v>0</v>
      </c>
      <c r="H31" s="105">
        <v>0</v>
      </c>
      <c r="I31" s="105">
        <v>0</v>
      </c>
      <c r="J31" s="105">
        <v>0</v>
      </c>
      <c r="K31" s="105">
        <v>0</v>
      </c>
      <c r="L31" s="105">
        <v>0</v>
      </c>
      <c r="M31" s="106">
        <v>888183060.57595515</v>
      </c>
      <c r="N31" s="106">
        <v>929799662.2593236</v>
      </c>
      <c r="O31" s="106">
        <v>1047828548.8122298</v>
      </c>
      <c r="P31" s="106">
        <v>1177102534.517175</v>
      </c>
      <c r="Q31" s="106">
        <v>1304803913.3534753</v>
      </c>
      <c r="R31" s="106">
        <v>1375284134.3992145</v>
      </c>
      <c r="S31" s="105">
        <v>0</v>
      </c>
      <c r="T31" s="105">
        <v>0</v>
      </c>
      <c r="U31" s="105">
        <v>0</v>
      </c>
      <c r="V31" s="105">
        <v>0</v>
      </c>
      <c r="W31" s="105">
        <v>0</v>
      </c>
      <c r="X31" s="105">
        <v>0</v>
      </c>
      <c r="Y31" s="106">
        <v>95278603.554095075</v>
      </c>
      <c r="Z31" s="106">
        <v>98191967.458810315</v>
      </c>
      <c r="AA31" s="106">
        <v>104797338.59815563</v>
      </c>
      <c r="AB31" s="108">
        <v>113763091.76987453</v>
      </c>
      <c r="AC31" s="108">
        <v>124811401.27907774</v>
      </c>
      <c r="AD31" s="108">
        <v>133618820.77828299</v>
      </c>
      <c r="AE31" s="108">
        <v>2990270839.1096039</v>
      </c>
      <c r="AF31" s="108">
        <v>3236410180.6384797</v>
      </c>
      <c r="AG31" s="108">
        <v>3963681085.3856592</v>
      </c>
      <c r="AH31" s="108">
        <v>4907130163.838274</v>
      </c>
      <c r="AI31" s="108">
        <v>5742753529.0419235</v>
      </c>
      <c r="AJ31" s="108">
        <v>6407805780.9800997</v>
      </c>
      <c r="AK31" s="108">
        <v>283191007.04136169</v>
      </c>
      <c r="AL31" s="108">
        <v>320993969.89015353</v>
      </c>
      <c r="AM31" s="108">
        <v>402336941.32222027</v>
      </c>
      <c r="AN31" s="108">
        <v>501781121.06032085</v>
      </c>
      <c r="AO31" s="108">
        <v>615889755.15534461</v>
      </c>
      <c r="AP31" s="108">
        <v>682302563.50606751</v>
      </c>
      <c r="AQ31" s="108">
        <v>147984967.3674756</v>
      </c>
      <c r="AR31" s="108">
        <v>161945958.31696808</v>
      </c>
      <c r="AS31" s="108">
        <v>193881389.86223951</v>
      </c>
      <c r="AT31" s="108">
        <v>231491466.3177653</v>
      </c>
      <c r="AU31" s="108">
        <v>279672716.09260356</v>
      </c>
      <c r="AV31" s="108">
        <v>315435162.04969811</v>
      </c>
    </row>
    <row r="32" spans="1:48" x14ac:dyDescent="0.35">
      <c r="A32" s="107">
        <f xml:space="preserve"> ROW( slrImpacts[[#This Row],[row_id]] ) - ROW( slrImpacts[[#Headers],[row_id]] )</f>
        <v>31</v>
      </c>
      <c r="B32" s="104">
        <v>2030</v>
      </c>
      <c r="C32" s="104" t="s">
        <v>86</v>
      </c>
      <c r="D32" s="104" t="s">
        <v>87</v>
      </c>
      <c r="E32" s="104" t="s">
        <v>922</v>
      </c>
      <c r="F32" s="104"/>
      <c r="G32" s="105">
        <v>0</v>
      </c>
      <c r="H32" s="105">
        <v>0</v>
      </c>
      <c r="I32" s="105">
        <v>0</v>
      </c>
      <c r="J32" s="105">
        <v>0</v>
      </c>
      <c r="K32" s="105">
        <v>0</v>
      </c>
      <c r="L32" s="105">
        <v>0</v>
      </c>
      <c r="M32" s="106">
        <v>893798080.28514147</v>
      </c>
      <c r="N32" s="106">
        <v>936837255.15379131</v>
      </c>
      <c r="O32" s="106">
        <v>1060727559.581727</v>
      </c>
      <c r="P32" s="106">
        <v>1194789764.6222873</v>
      </c>
      <c r="Q32" s="106">
        <v>1327705686.380408</v>
      </c>
      <c r="R32" s="106">
        <v>1403193054.1538572</v>
      </c>
      <c r="S32" s="105">
        <v>0</v>
      </c>
      <c r="T32" s="105">
        <v>0</v>
      </c>
      <c r="U32" s="105">
        <v>0</v>
      </c>
      <c r="V32" s="105">
        <v>0</v>
      </c>
      <c r="W32" s="105">
        <v>0</v>
      </c>
      <c r="X32" s="105">
        <v>0</v>
      </c>
      <c r="Y32" s="106">
        <v>95537272.405595258</v>
      </c>
      <c r="Z32" s="106">
        <v>98464451.516643554</v>
      </c>
      <c r="AA32" s="106">
        <v>105543563.59968591</v>
      </c>
      <c r="AB32" s="108">
        <v>115015962.39311299</v>
      </c>
      <c r="AC32" s="108">
        <v>126924526.31749307</v>
      </c>
      <c r="AD32" s="108">
        <v>136046066.34186053</v>
      </c>
      <c r="AE32" s="108">
        <v>3026162241.5491261</v>
      </c>
      <c r="AF32" s="108">
        <v>3281756249.061553</v>
      </c>
      <c r="AG32" s="108">
        <v>4060797219.7840385</v>
      </c>
      <c r="AH32" s="108">
        <v>5044590639.706109</v>
      </c>
      <c r="AI32" s="108">
        <v>5941042866.2334003</v>
      </c>
      <c r="AJ32" s="108">
        <v>6643582856.9227285</v>
      </c>
      <c r="AK32" s="108">
        <v>289735412.86280465</v>
      </c>
      <c r="AL32" s="108">
        <v>330605735.24032682</v>
      </c>
      <c r="AM32" s="108">
        <v>416374675.67457265</v>
      </c>
      <c r="AN32" s="108">
        <v>521307746.75563502</v>
      </c>
      <c r="AO32" s="108">
        <v>644339857.43467581</v>
      </c>
      <c r="AP32" s="108">
        <v>718187568.6671375</v>
      </c>
      <c r="AQ32" s="108">
        <v>149503985.21503115</v>
      </c>
      <c r="AR32" s="108">
        <v>164059367.20434871</v>
      </c>
      <c r="AS32" s="108">
        <v>197717610.57668081</v>
      </c>
      <c r="AT32" s="108">
        <v>237711596.18751127</v>
      </c>
      <c r="AU32" s="108">
        <v>289369119.07980299</v>
      </c>
      <c r="AV32" s="108">
        <v>327555187.72121775</v>
      </c>
    </row>
    <row r="33" spans="1:48" x14ac:dyDescent="0.35">
      <c r="A33" s="107">
        <f xml:space="preserve"> ROW( slrImpacts[[#This Row],[row_id]] ) - ROW( slrImpacts[[#Headers],[row_id]] )</f>
        <v>32</v>
      </c>
      <c r="B33" s="104">
        <v>2031</v>
      </c>
      <c r="C33" s="104" t="s">
        <v>86</v>
      </c>
      <c r="D33" s="104" t="s">
        <v>87</v>
      </c>
      <c r="E33" s="104" t="s">
        <v>922</v>
      </c>
      <c r="F33" s="104"/>
      <c r="G33" s="105">
        <v>0</v>
      </c>
      <c r="H33" s="105">
        <v>0</v>
      </c>
      <c r="I33" s="105">
        <v>0</v>
      </c>
      <c r="J33" s="105">
        <v>0</v>
      </c>
      <c r="K33" s="105">
        <v>0</v>
      </c>
      <c r="L33" s="105">
        <v>0</v>
      </c>
      <c r="M33" s="106">
        <v>899413099.99432731</v>
      </c>
      <c r="N33" s="106">
        <v>943874848.0482595</v>
      </c>
      <c r="O33" s="106">
        <v>1073626570.3512247</v>
      </c>
      <c r="P33" s="106">
        <v>1212476994.7274001</v>
      </c>
      <c r="Q33" s="106">
        <v>1350607459.4073393</v>
      </c>
      <c r="R33" s="106">
        <v>1431101973.9085021</v>
      </c>
      <c r="S33" s="105">
        <v>0</v>
      </c>
      <c r="T33" s="105">
        <v>0</v>
      </c>
      <c r="U33" s="105">
        <v>0</v>
      </c>
      <c r="V33" s="105">
        <v>0</v>
      </c>
      <c r="W33" s="105">
        <v>0</v>
      </c>
      <c r="X33" s="105">
        <v>0</v>
      </c>
      <c r="Y33" s="106">
        <v>95795941.257095501</v>
      </c>
      <c r="Z33" s="106">
        <v>98736935.574476793</v>
      </c>
      <c r="AA33" s="106">
        <v>106289788.6012162</v>
      </c>
      <c r="AB33" s="108">
        <v>116268833.01635146</v>
      </c>
      <c r="AC33" s="108">
        <v>129037651.35590845</v>
      </c>
      <c r="AD33" s="108">
        <v>138473311.90543807</v>
      </c>
      <c r="AE33" s="108">
        <v>3062053643.9886456</v>
      </c>
      <c r="AF33" s="108">
        <v>3327102317.4846268</v>
      </c>
      <c r="AG33" s="108">
        <v>4157913354.1824226</v>
      </c>
      <c r="AH33" s="108">
        <v>5182051115.5739441</v>
      </c>
      <c r="AI33" s="108">
        <v>6139332203.4248867</v>
      </c>
      <c r="AJ33" s="108">
        <v>6879359932.8653641</v>
      </c>
      <c r="AK33" s="108">
        <v>296279818.68424773</v>
      </c>
      <c r="AL33" s="108">
        <v>340217500.59050018</v>
      </c>
      <c r="AM33" s="108">
        <v>430412410.02692515</v>
      </c>
      <c r="AN33" s="108">
        <v>540834372.45094895</v>
      </c>
      <c r="AO33" s="108">
        <v>672789959.71400702</v>
      </c>
      <c r="AP33" s="108">
        <v>754072573.82820761</v>
      </c>
      <c r="AQ33" s="108">
        <v>151023003.06258675</v>
      </c>
      <c r="AR33" s="108">
        <v>166172776.09172943</v>
      </c>
      <c r="AS33" s="108">
        <v>201553831.29112214</v>
      </c>
      <c r="AT33" s="108">
        <v>243931726.05725729</v>
      </c>
      <c r="AU33" s="108">
        <v>299065522.06700248</v>
      </c>
      <c r="AV33" s="108">
        <v>339675213.39273733</v>
      </c>
    </row>
    <row r="34" spans="1:48" x14ac:dyDescent="0.35">
      <c r="A34" s="107">
        <f xml:space="preserve"> ROW( slrImpacts[[#This Row],[row_id]] ) - ROW( slrImpacts[[#Headers],[row_id]] )</f>
        <v>33</v>
      </c>
      <c r="B34" s="104">
        <v>2032</v>
      </c>
      <c r="C34" s="104" t="s">
        <v>86</v>
      </c>
      <c r="D34" s="104" t="s">
        <v>87</v>
      </c>
      <c r="E34" s="104" t="s">
        <v>922</v>
      </c>
      <c r="F34" s="104"/>
      <c r="G34" s="105">
        <v>0</v>
      </c>
      <c r="H34" s="105">
        <v>0</v>
      </c>
      <c r="I34" s="105">
        <v>0</v>
      </c>
      <c r="J34" s="105">
        <v>0</v>
      </c>
      <c r="K34" s="105">
        <v>0</v>
      </c>
      <c r="L34" s="105">
        <v>0</v>
      </c>
      <c r="M34" s="106">
        <v>905028119.70351326</v>
      </c>
      <c r="N34" s="106">
        <v>950912440.94272745</v>
      </c>
      <c r="O34" s="106">
        <v>1086525581.1207216</v>
      </c>
      <c r="P34" s="106">
        <v>1230164224.8325124</v>
      </c>
      <c r="Q34" s="106">
        <v>1373509232.4342709</v>
      </c>
      <c r="R34" s="106">
        <v>1459010893.6631441</v>
      </c>
      <c r="S34" s="105">
        <v>0</v>
      </c>
      <c r="T34" s="105">
        <v>0</v>
      </c>
      <c r="U34" s="105">
        <v>0</v>
      </c>
      <c r="V34" s="105">
        <v>0</v>
      </c>
      <c r="W34" s="105">
        <v>0</v>
      </c>
      <c r="X34" s="105">
        <v>0</v>
      </c>
      <c r="Y34" s="106">
        <v>96054610.108595729</v>
      </c>
      <c r="Z34" s="106">
        <v>99009419.632310018</v>
      </c>
      <c r="AA34" s="106">
        <v>107036013.60274646</v>
      </c>
      <c r="AB34" s="108">
        <v>117521703.63958992</v>
      </c>
      <c r="AC34" s="108">
        <v>131150776.39432378</v>
      </c>
      <c r="AD34" s="108">
        <v>140900557.46901566</v>
      </c>
      <c r="AE34" s="108">
        <v>3097945046.4281645</v>
      </c>
      <c r="AF34" s="108">
        <v>3372448385.907701</v>
      </c>
      <c r="AG34" s="108">
        <v>4255029488.5808091</v>
      </c>
      <c r="AH34" s="108">
        <v>5319511591.4417772</v>
      </c>
      <c r="AI34" s="108">
        <v>6337621540.6163683</v>
      </c>
      <c r="AJ34" s="108">
        <v>7115137008.8079996</v>
      </c>
      <c r="AK34" s="108">
        <v>302824224.50569087</v>
      </c>
      <c r="AL34" s="108">
        <v>349829265.94067347</v>
      </c>
      <c r="AM34" s="108">
        <v>444450144.37927759</v>
      </c>
      <c r="AN34" s="108">
        <v>560360998.14626324</v>
      </c>
      <c r="AO34" s="108">
        <v>701240061.99333823</v>
      </c>
      <c r="AP34" s="108">
        <v>789957578.9892776</v>
      </c>
      <c r="AQ34" s="108">
        <v>152542020.91014236</v>
      </c>
      <c r="AR34" s="108">
        <v>168286184.97911009</v>
      </c>
      <c r="AS34" s="108">
        <v>205390052.00556338</v>
      </c>
      <c r="AT34" s="108">
        <v>250151855.92700326</v>
      </c>
      <c r="AU34" s="108">
        <v>308761925.05420196</v>
      </c>
      <c r="AV34" s="108">
        <v>351795239.06425703</v>
      </c>
    </row>
    <row r="35" spans="1:48" x14ac:dyDescent="0.35">
      <c r="A35" s="107">
        <f xml:space="preserve"> ROW( slrImpacts[[#This Row],[row_id]] ) - ROW( slrImpacts[[#Headers],[row_id]] )</f>
        <v>34</v>
      </c>
      <c r="B35" s="104">
        <v>2033</v>
      </c>
      <c r="C35" s="104" t="s">
        <v>86</v>
      </c>
      <c r="D35" s="104" t="s">
        <v>87</v>
      </c>
      <c r="E35" s="104" t="s">
        <v>922</v>
      </c>
      <c r="F35" s="104"/>
      <c r="G35" s="105">
        <v>0</v>
      </c>
      <c r="H35" s="105">
        <v>0</v>
      </c>
      <c r="I35" s="105">
        <v>0</v>
      </c>
      <c r="J35" s="105">
        <v>0</v>
      </c>
      <c r="K35" s="105">
        <v>0</v>
      </c>
      <c r="L35" s="105">
        <v>0</v>
      </c>
      <c r="M35" s="106">
        <v>910643139.41269851</v>
      </c>
      <c r="N35" s="106">
        <v>957950033.83719516</v>
      </c>
      <c r="O35" s="106">
        <v>1099424591.8902185</v>
      </c>
      <c r="P35" s="106">
        <v>1247851454.9376252</v>
      </c>
      <c r="Q35" s="106">
        <v>1396411005.4612026</v>
      </c>
      <c r="R35" s="106">
        <v>1486919813.4177876</v>
      </c>
      <c r="S35" s="105">
        <v>0</v>
      </c>
      <c r="T35" s="105">
        <v>0</v>
      </c>
      <c r="U35" s="105">
        <v>0</v>
      </c>
      <c r="V35" s="105">
        <v>0</v>
      </c>
      <c r="W35" s="105">
        <v>0</v>
      </c>
      <c r="X35" s="105">
        <v>0</v>
      </c>
      <c r="Y35" s="106">
        <v>96313278.960095942</v>
      </c>
      <c r="Z35" s="106">
        <v>99281903.690143287</v>
      </c>
      <c r="AA35" s="106">
        <v>107782238.60427673</v>
      </c>
      <c r="AB35" s="108">
        <v>118774574.26282844</v>
      </c>
      <c r="AC35" s="108">
        <v>133263901.43273914</v>
      </c>
      <c r="AD35" s="108">
        <v>143327803.03259316</v>
      </c>
      <c r="AE35" s="108">
        <v>3133836448.8676877</v>
      </c>
      <c r="AF35" s="108">
        <v>3417794454.3307743</v>
      </c>
      <c r="AG35" s="108">
        <v>4352145622.9791889</v>
      </c>
      <c r="AH35" s="108">
        <v>5456972067.3096075</v>
      </c>
      <c r="AI35" s="108">
        <v>6535910877.8078432</v>
      </c>
      <c r="AJ35" s="108">
        <v>7350914084.7506361</v>
      </c>
      <c r="AK35" s="108">
        <v>309368630.32713389</v>
      </c>
      <c r="AL35" s="108">
        <v>359441031.29084677</v>
      </c>
      <c r="AM35" s="108">
        <v>458487878.73163015</v>
      </c>
      <c r="AN35" s="108">
        <v>579887623.84157717</v>
      </c>
      <c r="AO35" s="108">
        <v>729690164.27266932</v>
      </c>
      <c r="AP35" s="108">
        <v>825842584.15034747</v>
      </c>
      <c r="AQ35" s="108">
        <v>154061038.75769794</v>
      </c>
      <c r="AR35" s="108">
        <v>170399593.86649078</v>
      </c>
      <c r="AS35" s="108">
        <v>209226272.72000477</v>
      </c>
      <c r="AT35" s="108">
        <v>256371985.79674923</v>
      </c>
      <c r="AU35" s="108">
        <v>318458328.04140151</v>
      </c>
      <c r="AV35" s="108">
        <v>363915264.7357766</v>
      </c>
    </row>
    <row r="36" spans="1:48" x14ac:dyDescent="0.35">
      <c r="A36" s="107">
        <f xml:space="preserve"> ROW( slrImpacts[[#This Row],[row_id]] ) - ROW( slrImpacts[[#Headers],[row_id]] )</f>
        <v>35</v>
      </c>
      <c r="B36" s="104">
        <v>2034</v>
      </c>
      <c r="C36" s="104" t="s">
        <v>86</v>
      </c>
      <c r="D36" s="104" t="s">
        <v>87</v>
      </c>
      <c r="E36" s="104" t="s">
        <v>922</v>
      </c>
      <c r="F36" s="104"/>
      <c r="G36" s="105">
        <v>0</v>
      </c>
      <c r="H36" s="105">
        <v>0</v>
      </c>
      <c r="I36" s="105">
        <v>0</v>
      </c>
      <c r="J36" s="105">
        <v>0</v>
      </c>
      <c r="K36" s="105">
        <v>0</v>
      </c>
      <c r="L36" s="105">
        <v>0</v>
      </c>
      <c r="M36" s="106">
        <v>916258159.1218847</v>
      </c>
      <c r="N36" s="106">
        <v>964987626.73166347</v>
      </c>
      <c r="O36" s="106">
        <v>1112323602.6597157</v>
      </c>
      <c r="P36" s="106">
        <v>1265538685.0427368</v>
      </c>
      <c r="Q36" s="106">
        <v>1419312778.4881349</v>
      </c>
      <c r="R36" s="106">
        <v>1514828733.1724298</v>
      </c>
      <c r="S36" s="105">
        <v>0</v>
      </c>
      <c r="T36" s="105">
        <v>0</v>
      </c>
      <c r="U36" s="105">
        <v>0</v>
      </c>
      <c r="V36" s="105">
        <v>0</v>
      </c>
      <c r="W36" s="105">
        <v>0</v>
      </c>
      <c r="X36" s="105">
        <v>0</v>
      </c>
      <c r="Y36" s="106">
        <v>96571947.811596125</v>
      </c>
      <c r="Z36" s="106">
        <v>99554387.747976556</v>
      </c>
      <c r="AA36" s="106">
        <v>108528463.60580705</v>
      </c>
      <c r="AB36" s="108">
        <v>120027444.88606696</v>
      </c>
      <c r="AC36" s="108">
        <v>135377026.47115448</v>
      </c>
      <c r="AD36" s="108">
        <v>145755048.59617072</v>
      </c>
      <c r="AE36" s="108">
        <v>3169727851.3072057</v>
      </c>
      <c r="AF36" s="108">
        <v>3463140522.7538471</v>
      </c>
      <c r="AG36" s="108">
        <v>4449261757.3775711</v>
      </c>
      <c r="AH36" s="108">
        <v>5594432543.1774359</v>
      </c>
      <c r="AI36" s="108">
        <v>6734200214.9993267</v>
      </c>
      <c r="AJ36" s="108">
        <v>7586691160.693264</v>
      </c>
      <c r="AK36" s="108">
        <v>315913036.14857697</v>
      </c>
      <c r="AL36" s="108">
        <v>369052796.64102</v>
      </c>
      <c r="AM36" s="108">
        <v>472525613.08398253</v>
      </c>
      <c r="AN36" s="108">
        <v>599414249.53689146</v>
      </c>
      <c r="AO36" s="108">
        <v>758140266.55200064</v>
      </c>
      <c r="AP36" s="108">
        <v>861727589.31141758</v>
      </c>
      <c r="AQ36" s="108">
        <v>155580056.60525355</v>
      </c>
      <c r="AR36" s="108">
        <v>172513002.75387141</v>
      </c>
      <c r="AS36" s="108">
        <v>213062493.4344461</v>
      </c>
      <c r="AT36" s="108">
        <v>262592115.66649535</v>
      </c>
      <c r="AU36" s="108">
        <v>328154731.02860093</v>
      </c>
      <c r="AV36" s="108">
        <v>376035290.40729618</v>
      </c>
    </row>
    <row r="37" spans="1:48" x14ac:dyDescent="0.35">
      <c r="A37" s="107">
        <f xml:space="preserve"> ROW( slrImpacts[[#This Row],[row_id]] ) - ROW( slrImpacts[[#Headers],[row_id]] )</f>
        <v>36</v>
      </c>
      <c r="B37" s="104">
        <v>2035</v>
      </c>
      <c r="C37" s="104" t="s">
        <v>86</v>
      </c>
      <c r="D37" s="104" t="s">
        <v>87</v>
      </c>
      <c r="E37" s="104" t="s">
        <v>922</v>
      </c>
      <c r="F37" s="104"/>
      <c r="G37" s="105">
        <v>0</v>
      </c>
      <c r="H37" s="105">
        <v>0</v>
      </c>
      <c r="I37" s="105">
        <v>0</v>
      </c>
      <c r="J37" s="105">
        <v>0</v>
      </c>
      <c r="K37" s="105">
        <v>0</v>
      </c>
      <c r="L37" s="105">
        <v>0</v>
      </c>
      <c r="M37" s="106">
        <v>927615746.99226213</v>
      </c>
      <c r="N37" s="106">
        <v>979928137.66866505</v>
      </c>
      <c r="O37" s="106">
        <v>1138920726.3102124</v>
      </c>
      <c r="P37" s="106">
        <v>1303228749.4535546</v>
      </c>
      <c r="Q37" s="106">
        <v>1474334940.3984368</v>
      </c>
      <c r="R37" s="106">
        <v>1584632957.0365863</v>
      </c>
      <c r="S37" s="105">
        <v>0</v>
      </c>
      <c r="T37" s="105">
        <v>0</v>
      </c>
      <c r="U37" s="105">
        <v>0</v>
      </c>
      <c r="V37" s="105">
        <v>0</v>
      </c>
      <c r="W37" s="105">
        <v>0</v>
      </c>
      <c r="X37" s="105">
        <v>0</v>
      </c>
      <c r="Y37" s="106">
        <v>97051586.563994959</v>
      </c>
      <c r="Z37" s="106">
        <v>100270134.15536314</v>
      </c>
      <c r="AA37" s="106">
        <v>110276988.69974442</v>
      </c>
      <c r="AB37" s="108">
        <v>122971078.71721143</v>
      </c>
      <c r="AC37" s="108">
        <v>139960101.54355368</v>
      </c>
      <c r="AD37" s="108">
        <v>151455964.90530607</v>
      </c>
      <c r="AE37" s="108">
        <v>3248805668.3819795</v>
      </c>
      <c r="AF37" s="108">
        <v>3576834190.9633374</v>
      </c>
      <c r="AG37" s="108">
        <v>4665359026.9995995</v>
      </c>
      <c r="AH37" s="108">
        <v>5911137304.8215885</v>
      </c>
      <c r="AI37" s="108">
        <v>8013091515.2036009</v>
      </c>
      <c r="AJ37" s="108">
        <v>9217752421.8240089</v>
      </c>
      <c r="AK37" s="108">
        <v>333010884.77675468</v>
      </c>
      <c r="AL37" s="108">
        <v>388357581.16278952</v>
      </c>
      <c r="AM37" s="108">
        <v>505265267.55325001</v>
      </c>
      <c r="AN37" s="108">
        <v>654004953.58383811</v>
      </c>
      <c r="AO37" s="108">
        <v>833677982.37680602</v>
      </c>
      <c r="AP37" s="108">
        <v>958351918.75780511</v>
      </c>
      <c r="AQ37" s="108">
        <v>158906012.22709242</v>
      </c>
      <c r="AR37" s="108">
        <v>177209399.95214045</v>
      </c>
      <c r="AS37" s="108">
        <v>222194132.30788076</v>
      </c>
      <c r="AT37" s="108">
        <v>278184250.21851158</v>
      </c>
      <c r="AU37" s="108">
        <v>351464977.11016756</v>
      </c>
      <c r="AV37" s="108">
        <v>413140300.2486124</v>
      </c>
    </row>
    <row r="38" spans="1:48" x14ac:dyDescent="0.35">
      <c r="A38" s="107">
        <f xml:space="preserve"> ROW( slrImpacts[[#This Row],[row_id]] ) - ROW( slrImpacts[[#Headers],[row_id]] )</f>
        <v>37</v>
      </c>
      <c r="B38" s="104">
        <v>2036</v>
      </c>
      <c r="C38" s="104" t="s">
        <v>86</v>
      </c>
      <c r="D38" s="104" t="s">
        <v>87</v>
      </c>
      <c r="E38" s="104" t="s">
        <v>922</v>
      </c>
      <c r="F38" s="104"/>
      <c r="G38" s="105">
        <v>0</v>
      </c>
      <c r="H38" s="105">
        <v>0</v>
      </c>
      <c r="I38" s="105">
        <v>0</v>
      </c>
      <c r="J38" s="105">
        <v>0</v>
      </c>
      <c r="K38" s="105">
        <v>0</v>
      </c>
      <c r="L38" s="105">
        <v>0</v>
      </c>
      <c r="M38" s="106">
        <v>933358315.15345407</v>
      </c>
      <c r="N38" s="106">
        <v>987831055.71119797</v>
      </c>
      <c r="O38" s="106">
        <v>1152618839.1912112</v>
      </c>
      <c r="P38" s="106">
        <v>1323231583.7592604</v>
      </c>
      <c r="Q38" s="106">
        <v>1506455329.2818096</v>
      </c>
      <c r="R38" s="106">
        <v>1626528261.1460986</v>
      </c>
      <c r="S38" s="105">
        <v>0</v>
      </c>
      <c r="T38" s="105">
        <v>0</v>
      </c>
      <c r="U38" s="105">
        <v>0</v>
      </c>
      <c r="V38" s="105">
        <v>0</v>
      </c>
      <c r="W38" s="105">
        <v>0</v>
      </c>
      <c r="X38" s="105">
        <v>0</v>
      </c>
      <c r="Y38" s="106">
        <v>97272556.46489355</v>
      </c>
      <c r="Z38" s="106">
        <v>100713396.50491649</v>
      </c>
      <c r="AA38" s="106">
        <v>111279288.79215151</v>
      </c>
      <c r="AB38" s="108">
        <v>124661841.92511736</v>
      </c>
      <c r="AC38" s="108">
        <v>142430051.57753757</v>
      </c>
      <c r="AD38" s="108">
        <v>154729635.65086386</v>
      </c>
      <c r="AE38" s="108">
        <v>3291992083.0172338</v>
      </c>
      <c r="AF38" s="108">
        <v>3645181790.7497487</v>
      </c>
      <c r="AG38" s="108">
        <v>4784340162.2232351</v>
      </c>
      <c r="AH38" s="108">
        <v>6090381590.5979099</v>
      </c>
      <c r="AI38" s="108">
        <v>9093693478.2163925</v>
      </c>
      <c r="AJ38" s="108">
        <v>10613036607.012129</v>
      </c>
      <c r="AK38" s="108">
        <v>343564327.58348948</v>
      </c>
      <c r="AL38" s="108">
        <v>398050600.33438557</v>
      </c>
      <c r="AM38" s="108">
        <v>523967187.67016512</v>
      </c>
      <c r="AN38" s="108">
        <v>689069031.93547082</v>
      </c>
      <c r="AO38" s="108">
        <v>880765595.92227983</v>
      </c>
      <c r="AP38" s="108">
        <v>1019091243.0431219</v>
      </c>
      <c r="AQ38" s="108">
        <v>160712950.00137565</v>
      </c>
      <c r="AR38" s="108">
        <v>179792388.26302871</v>
      </c>
      <c r="AS38" s="108">
        <v>227489550.46687406</v>
      </c>
      <c r="AT38" s="108">
        <v>287556254.90078169</v>
      </c>
      <c r="AU38" s="108">
        <v>365078820.20453471</v>
      </c>
      <c r="AV38" s="108">
        <v>438125284.41840893</v>
      </c>
    </row>
    <row r="39" spans="1:48" x14ac:dyDescent="0.35">
      <c r="A39" s="107">
        <f xml:space="preserve"> ROW( slrImpacts[[#This Row],[row_id]] ) - ROW( slrImpacts[[#Headers],[row_id]] )</f>
        <v>38</v>
      </c>
      <c r="B39" s="104">
        <v>2037</v>
      </c>
      <c r="C39" s="104" t="s">
        <v>86</v>
      </c>
      <c r="D39" s="104" t="s">
        <v>87</v>
      </c>
      <c r="E39" s="104" t="s">
        <v>922</v>
      </c>
      <c r="F39" s="104"/>
      <c r="G39" s="105">
        <v>0</v>
      </c>
      <c r="H39" s="105">
        <v>0</v>
      </c>
      <c r="I39" s="105">
        <v>0</v>
      </c>
      <c r="J39" s="105">
        <v>0</v>
      </c>
      <c r="K39" s="105">
        <v>0</v>
      </c>
      <c r="L39" s="105">
        <v>0</v>
      </c>
      <c r="M39" s="106">
        <v>939100883.31464648</v>
      </c>
      <c r="N39" s="106">
        <v>995733973.75373125</v>
      </c>
      <c r="O39" s="106">
        <v>1166316952.0722108</v>
      </c>
      <c r="P39" s="106">
        <v>1343234418.064966</v>
      </c>
      <c r="Q39" s="106">
        <v>1538575718.1651793</v>
      </c>
      <c r="R39" s="106">
        <v>1668423565.2556117</v>
      </c>
      <c r="S39" s="105">
        <v>0</v>
      </c>
      <c r="T39" s="105">
        <v>0</v>
      </c>
      <c r="U39" s="105">
        <v>0</v>
      </c>
      <c r="V39" s="105">
        <v>0</v>
      </c>
      <c r="W39" s="105">
        <v>0</v>
      </c>
      <c r="X39" s="105">
        <v>0</v>
      </c>
      <c r="Y39" s="106">
        <v>97493526.365792185</v>
      </c>
      <c r="Z39" s="106">
        <v>101156658.85446982</v>
      </c>
      <c r="AA39" s="106">
        <v>112281588.88455862</v>
      </c>
      <c r="AB39" s="108">
        <v>126352605.13302329</v>
      </c>
      <c r="AC39" s="108">
        <v>144900001.61152142</v>
      </c>
      <c r="AD39" s="108">
        <v>158003306.39642167</v>
      </c>
      <c r="AE39" s="108">
        <v>3335178497.6524887</v>
      </c>
      <c r="AF39" s="108">
        <v>3713529390.5361662</v>
      </c>
      <c r="AG39" s="108">
        <v>4903321297.4468727</v>
      </c>
      <c r="AH39" s="108">
        <v>6269625876.3742313</v>
      </c>
      <c r="AI39" s="108">
        <v>10174295441.229195</v>
      </c>
      <c r="AJ39" s="108">
        <v>12008320792.200237</v>
      </c>
      <c r="AK39" s="108">
        <v>354117770.39022416</v>
      </c>
      <c r="AL39" s="108">
        <v>407743619.5059818</v>
      </c>
      <c r="AM39" s="108">
        <v>542669107.78708017</v>
      </c>
      <c r="AN39" s="108">
        <v>724133110.28710377</v>
      </c>
      <c r="AO39" s="108">
        <v>927853209.4677546</v>
      </c>
      <c r="AP39" s="108">
        <v>1079830567.328439</v>
      </c>
      <c r="AQ39" s="108">
        <v>162519887.77565897</v>
      </c>
      <c r="AR39" s="108">
        <v>182375376.57391709</v>
      </c>
      <c r="AS39" s="108">
        <v>232784968.62586743</v>
      </c>
      <c r="AT39" s="108">
        <v>296928259.5830518</v>
      </c>
      <c r="AU39" s="108">
        <v>378692663.29890174</v>
      </c>
      <c r="AV39" s="108">
        <v>463110268.58820546</v>
      </c>
    </row>
    <row r="40" spans="1:48" x14ac:dyDescent="0.35">
      <c r="A40" s="107">
        <f xml:space="preserve"> ROW( slrImpacts[[#This Row],[row_id]] ) - ROW( slrImpacts[[#Headers],[row_id]] )</f>
        <v>39</v>
      </c>
      <c r="B40" s="104">
        <v>2038</v>
      </c>
      <c r="C40" s="104" t="s">
        <v>86</v>
      </c>
      <c r="D40" s="104" t="s">
        <v>87</v>
      </c>
      <c r="E40" s="104" t="s">
        <v>922</v>
      </c>
      <c r="F40" s="104"/>
      <c r="G40" s="105">
        <v>0</v>
      </c>
      <c r="H40" s="105">
        <v>0</v>
      </c>
      <c r="I40" s="105">
        <v>0</v>
      </c>
      <c r="J40" s="105">
        <v>0</v>
      </c>
      <c r="K40" s="105">
        <v>0</v>
      </c>
      <c r="L40" s="105">
        <v>0</v>
      </c>
      <c r="M40" s="106">
        <v>944843451.47583842</v>
      </c>
      <c r="N40" s="106">
        <v>1003636891.7962645</v>
      </c>
      <c r="O40" s="106">
        <v>1180015064.9532104</v>
      </c>
      <c r="P40" s="106">
        <v>1363237252.3706717</v>
      </c>
      <c r="Q40" s="106">
        <v>1570696107.0485513</v>
      </c>
      <c r="R40" s="106">
        <v>1710318869.365124</v>
      </c>
      <c r="S40" s="105">
        <v>0</v>
      </c>
      <c r="T40" s="105">
        <v>0</v>
      </c>
      <c r="U40" s="105">
        <v>0</v>
      </c>
      <c r="V40" s="105">
        <v>0</v>
      </c>
      <c r="W40" s="105">
        <v>0</v>
      </c>
      <c r="X40" s="105">
        <v>0</v>
      </c>
      <c r="Y40" s="106">
        <v>97714496.266690761</v>
      </c>
      <c r="Z40" s="106">
        <v>101599921.2040232</v>
      </c>
      <c r="AA40" s="106">
        <v>113283888.97696568</v>
      </c>
      <c r="AB40" s="108">
        <v>128043368.34092925</v>
      </c>
      <c r="AC40" s="108">
        <v>147369951.64550525</v>
      </c>
      <c r="AD40" s="108">
        <v>161276977.14197949</v>
      </c>
      <c r="AE40" s="108">
        <v>3378364912.2877436</v>
      </c>
      <c r="AF40" s="108">
        <v>3781876990.322578</v>
      </c>
      <c r="AG40" s="108">
        <v>5022302432.6705141</v>
      </c>
      <c r="AH40" s="108">
        <v>6448870162.1505461</v>
      </c>
      <c r="AI40" s="108">
        <v>11254897404.241991</v>
      </c>
      <c r="AJ40" s="108">
        <v>13403604977.388359</v>
      </c>
      <c r="AK40" s="108">
        <v>364671213.19695884</v>
      </c>
      <c r="AL40" s="108">
        <v>417436638.67757791</v>
      </c>
      <c r="AM40" s="108">
        <v>561371027.90399516</v>
      </c>
      <c r="AN40" s="108">
        <v>759197188.63873637</v>
      </c>
      <c r="AO40" s="108">
        <v>974940823.01322889</v>
      </c>
      <c r="AP40" s="108">
        <v>1140569891.6137559</v>
      </c>
      <c r="AQ40" s="108">
        <v>164326825.5499422</v>
      </c>
      <c r="AR40" s="108">
        <v>184958364.88480541</v>
      </c>
      <c r="AS40" s="108">
        <v>238080386.78486076</v>
      </c>
      <c r="AT40" s="108">
        <v>306300264.26532203</v>
      </c>
      <c r="AU40" s="108">
        <v>392306506.39326882</v>
      </c>
      <c r="AV40" s="108">
        <v>488095252.75800192</v>
      </c>
    </row>
    <row r="41" spans="1:48" x14ac:dyDescent="0.35">
      <c r="A41" s="107">
        <f xml:space="preserve"> ROW( slrImpacts[[#This Row],[row_id]] ) - ROW( slrImpacts[[#Headers],[row_id]] )</f>
        <v>40</v>
      </c>
      <c r="B41" s="104">
        <v>2039</v>
      </c>
      <c r="C41" s="104" t="s">
        <v>86</v>
      </c>
      <c r="D41" s="104" t="s">
        <v>87</v>
      </c>
      <c r="E41" s="104" t="s">
        <v>922</v>
      </c>
      <c r="F41" s="104"/>
      <c r="G41" s="105">
        <v>0</v>
      </c>
      <c r="H41" s="105">
        <v>0</v>
      </c>
      <c r="I41" s="105">
        <v>0</v>
      </c>
      <c r="J41" s="105">
        <v>0</v>
      </c>
      <c r="K41" s="105">
        <v>0</v>
      </c>
      <c r="L41" s="105">
        <v>0</v>
      </c>
      <c r="M41" s="106">
        <v>950586019.63702953</v>
      </c>
      <c r="N41" s="106">
        <v>1011539809.8387976</v>
      </c>
      <c r="O41" s="106">
        <v>1193713177.8342102</v>
      </c>
      <c r="P41" s="106">
        <v>1383240086.6763775</v>
      </c>
      <c r="Q41" s="106">
        <v>1602816495.9319222</v>
      </c>
      <c r="R41" s="106">
        <v>1752214173.4746377</v>
      </c>
      <c r="S41" s="105">
        <v>0</v>
      </c>
      <c r="T41" s="105">
        <v>0</v>
      </c>
      <c r="U41" s="105">
        <v>0</v>
      </c>
      <c r="V41" s="105">
        <v>0</v>
      </c>
      <c r="W41" s="105">
        <v>0</v>
      </c>
      <c r="X41" s="105">
        <v>0</v>
      </c>
      <c r="Y41" s="106">
        <v>97935466.167589426</v>
      </c>
      <c r="Z41" s="106">
        <v>102043183.55357654</v>
      </c>
      <c r="AA41" s="106">
        <v>114286189.06937279</v>
      </c>
      <c r="AB41" s="108">
        <v>129734131.5488352</v>
      </c>
      <c r="AC41" s="108">
        <v>149839901.67948908</v>
      </c>
      <c r="AD41" s="108">
        <v>164550647.88753727</v>
      </c>
      <c r="AE41" s="108">
        <v>3421551326.9229994</v>
      </c>
      <c r="AF41" s="108">
        <v>3850224590.1089916</v>
      </c>
      <c r="AG41" s="108">
        <v>5141283567.8941526</v>
      </c>
      <c r="AH41" s="108">
        <v>6628114447.9268675</v>
      </c>
      <c r="AI41" s="108">
        <v>12335499367.254789</v>
      </c>
      <c r="AJ41" s="108">
        <v>14798889162.576464</v>
      </c>
      <c r="AK41" s="108">
        <v>375224656.00369352</v>
      </c>
      <c r="AL41" s="108">
        <v>427129657.84917402</v>
      </c>
      <c r="AM41" s="108">
        <v>580072948.02091026</v>
      </c>
      <c r="AN41" s="108">
        <v>794261266.9903692</v>
      </c>
      <c r="AO41" s="108">
        <v>1022028436.5587028</v>
      </c>
      <c r="AP41" s="108">
        <v>1201309215.8990726</v>
      </c>
      <c r="AQ41" s="108">
        <v>166133763.32422546</v>
      </c>
      <c r="AR41" s="108">
        <v>187541353.19569376</v>
      </c>
      <c r="AS41" s="108">
        <v>243375804.94385403</v>
      </c>
      <c r="AT41" s="108">
        <v>315672268.94759214</v>
      </c>
      <c r="AU41" s="108">
        <v>405920349.48763591</v>
      </c>
      <c r="AV41" s="108">
        <v>513080236.92779839</v>
      </c>
    </row>
    <row r="42" spans="1:48" x14ac:dyDescent="0.35">
      <c r="A42" s="107">
        <f xml:space="preserve"> ROW( slrImpacts[[#This Row],[row_id]] ) - ROW( slrImpacts[[#Headers],[row_id]] )</f>
        <v>41</v>
      </c>
      <c r="B42" s="104">
        <v>2040</v>
      </c>
      <c r="C42" s="104" t="s">
        <v>86</v>
      </c>
      <c r="D42" s="104" t="s">
        <v>87</v>
      </c>
      <c r="E42" s="104" t="s">
        <v>922</v>
      </c>
      <c r="F42" s="104"/>
      <c r="G42" s="105">
        <v>0</v>
      </c>
      <c r="H42" s="105">
        <v>0</v>
      </c>
      <c r="I42" s="105">
        <v>0</v>
      </c>
      <c r="J42" s="105">
        <v>0</v>
      </c>
      <c r="K42" s="105">
        <v>0</v>
      </c>
      <c r="L42" s="105">
        <v>0</v>
      </c>
      <c r="M42" s="106">
        <v>956328587.79822147</v>
      </c>
      <c r="N42" s="106">
        <v>1019442727.8813308</v>
      </c>
      <c r="O42" s="106">
        <v>1207411290.7152097</v>
      </c>
      <c r="P42" s="106">
        <v>1403242920.9820833</v>
      </c>
      <c r="Q42" s="106">
        <v>1634936884.8152933</v>
      </c>
      <c r="R42" s="106">
        <v>1794109477.5841494</v>
      </c>
      <c r="S42" s="105">
        <v>0</v>
      </c>
      <c r="T42" s="105">
        <v>0</v>
      </c>
      <c r="U42" s="105">
        <v>0</v>
      </c>
      <c r="V42" s="105">
        <v>0</v>
      </c>
      <c r="W42" s="105">
        <v>0</v>
      </c>
      <c r="X42" s="105">
        <v>0</v>
      </c>
      <c r="Y42" s="106">
        <v>98156436.068488002</v>
      </c>
      <c r="Z42" s="106">
        <v>102486445.90312986</v>
      </c>
      <c r="AA42" s="106">
        <v>115288489.16177991</v>
      </c>
      <c r="AB42" s="108">
        <v>131424894.75674117</v>
      </c>
      <c r="AC42" s="108">
        <v>152309851.71347296</v>
      </c>
      <c r="AD42" s="108">
        <v>167824318.63309509</v>
      </c>
      <c r="AE42" s="108">
        <v>3464737741.5582509</v>
      </c>
      <c r="AF42" s="108">
        <v>3918572189.8954072</v>
      </c>
      <c r="AG42" s="108">
        <v>5260264703.1177883</v>
      </c>
      <c r="AH42" s="108">
        <v>6807358733.7031937</v>
      </c>
      <c r="AI42" s="108">
        <v>13416101330.267588</v>
      </c>
      <c r="AJ42" s="108">
        <v>16194173347.764578</v>
      </c>
      <c r="AK42" s="108">
        <v>385778098.81042832</v>
      </c>
      <c r="AL42" s="108">
        <v>436822677.02077025</v>
      </c>
      <c r="AM42" s="108">
        <v>598774868.13782513</v>
      </c>
      <c r="AN42" s="108">
        <v>829325345.34200156</v>
      </c>
      <c r="AO42" s="108">
        <v>1069116050.104177</v>
      </c>
      <c r="AP42" s="108">
        <v>1262048540.1843903</v>
      </c>
      <c r="AQ42" s="108">
        <v>167940701.09850872</v>
      </c>
      <c r="AR42" s="108">
        <v>190124341.50658202</v>
      </c>
      <c r="AS42" s="108">
        <v>248671223.1028474</v>
      </c>
      <c r="AT42" s="108">
        <v>325044273.62986231</v>
      </c>
      <c r="AU42" s="108">
        <v>419534192.58200312</v>
      </c>
      <c r="AV42" s="108">
        <v>538065221.09759474</v>
      </c>
    </row>
    <row r="43" spans="1:48" x14ac:dyDescent="0.35">
      <c r="A43" s="107">
        <f xml:space="preserve"> ROW( slrImpacts[[#This Row],[row_id]] ) - ROW( slrImpacts[[#Headers],[row_id]] )</f>
        <v>42</v>
      </c>
      <c r="B43" s="104">
        <v>2041</v>
      </c>
      <c r="C43" s="104" t="s">
        <v>86</v>
      </c>
      <c r="D43" s="104" t="s">
        <v>87</v>
      </c>
      <c r="E43" s="104" t="s">
        <v>922</v>
      </c>
      <c r="F43" s="104"/>
      <c r="G43" s="105">
        <v>0</v>
      </c>
      <c r="H43" s="105">
        <v>0</v>
      </c>
      <c r="I43" s="105">
        <v>0</v>
      </c>
      <c r="J43" s="105">
        <v>0</v>
      </c>
      <c r="K43" s="105">
        <v>0</v>
      </c>
      <c r="L43" s="105">
        <v>0</v>
      </c>
      <c r="M43" s="106">
        <v>962071155.95941365</v>
      </c>
      <c r="N43" s="106">
        <v>1027345645.9238644</v>
      </c>
      <c r="O43" s="106">
        <v>1221109403.59621</v>
      </c>
      <c r="P43" s="106">
        <v>1423245755.2877879</v>
      </c>
      <c r="Q43" s="106">
        <v>1667057273.6986649</v>
      </c>
      <c r="R43" s="106">
        <v>1836004781.6936622</v>
      </c>
      <c r="S43" s="105">
        <v>0</v>
      </c>
      <c r="T43" s="105">
        <v>0</v>
      </c>
      <c r="U43" s="105">
        <v>0</v>
      </c>
      <c r="V43" s="105">
        <v>0</v>
      </c>
      <c r="W43" s="105">
        <v>0</v>
      </c>
      <c r="X43" s="105">
        <v>0</v>
      </c>
      <c r="Y43" s="106">
        <v>98377405.969386607</v>
      </c>
      <c r="Z43" s="106">
        <v>102929708.25268324</v>
      </c>
      <c r="AA43" s="106">
        <v>116290789.25418702</v>
      </c>
      <c r="AB43" s="108">
        <v>133115657.96464708</v>
      </c>
      <c r="AC43" s="108">
        <v>154779801.74745688</v>
      </c>
      <c r="AD43" s="108">
        <v>171097989.37865293</v>
      </c>
      <c r="AE43" s="108">
        <v>3507924156.1935048</v>
      </c>
      <c r="AF43" s="108">
        <v>3986919789.6818228</v>
      </c>
      <c r="AG43" s="108">
        <v>5379245838.3414307</v>
      </c>
      <c r="AH43" s="108">
        <v>6986603019.4795122</v>
      </c>
      <c r="AI43" s="108">
        <v>14496703293.280388</v>
      </c>
      <c r="AJ43" s="108">
        <v>17589457532.952698</v>
      </c>
      <c r="AK43" s="108">
        <v>396331541.61716306</v>
      </c>
      <c r="AL43" s="108">
        <v>446515696.19236612</v>
      </c>
      <c r="AM43" s="108">
        <v>617476788.25474024</v>
      </c>
      <c r="AN43" s="108">
        <v>864389423.69363451</v>
      </c>
      <c r="AO43" s="108">
        <v>1116203663.6496513</v>
      </c>
      <c r="AP43" s="108">
        <v>1322787864.469707</v>
      </c>
      <c r="AQ43" s="108">
        <v>169747638.87279195</v>
      </c>
      <c r="AR43" s="108">
        <v>192707329.81747037</v>
      </c>
      <c r="AS43" s="108">
        <v>253966641.2618407</v>
      </c>
      <c r="AT43" s="108">
        <v>334416278.31213236</v>
      </c>
      <c r="AU43" s="108">
        <v>433148035.67637008</v>
      </c>
      <c r="AV43" s="108">
        <v>563050205.26739144</v>
      </c>
    </row>
    <row r="44" spans="1:48" x14ac:dyDescent="0.35">
      <c r="A44" s="107">
        <f xml:space="preserve"> ROW( slrImpacts[[#This Row],[row_id]] ) - ROW( slrImpacts[[#Headers],[row_id]] )</f>
        <v>43</v>
      </c>
      <c r="B44" s="104">
        <v>2042</v>
      </c>
      <c r="C44" s="104" t="s">
        <v>86</v>
      </c>
      <c r="D44" s="104" t="s">
        <v>87</v>
      </c>
      <c r="E44" s="104" t="s">
        <v>922</v>
      </c>
      <c r="F44" s="104"/>
      <c r="G44" s="105">
        <v>0</v>
      </c>
      <c r="H44" s="105">
        <v>0</v>
      </c>
      <c r="I44" s="105">
        <v>0</v>
      </c>
      <c r="J44" s="105">
        <v>0</v>
      </c>
      <c r="K44" s="105">
        <v>0</v>
      </c>
      <c r="L44" s="105">
        <v>0</v>
      </c>
      <c r="M44" s="106">
        <v>967813724.12060547</v>
      </c>
      <c r="N44" s="106">
        <v>1035248563.9663976</v>
      </c>
      <c r="O44" s="106">
        <v>1234807516.4772086</v>
      </c>
      <c r="P44" s="106">
        <v>1443248589.5934939</v>
      </c>
      <c r="Q44" s="106">
        <v>1699177662.5820358</v>
      </c>
      <c r="R44" s="106">
        <v>1877900085.8031757</v>
      </c>
      <c r="S44" s="105">
        <v>0</v>
      </c>
      <c r="T44" s="105">
        <v>0</v>
      </c>
      <c r="U44" s="105">
        <v>0</v>
      </c>
      <c r="V44" s="105">
        <v>0</v>
      </c>
      <c r="W44" s="105">
        <v>0</v>
      </c>
      <c r="X44" s="105">
        <v>0</v>
      </c>
      <c r="Y44" s="106">
        <v>98598375.870285243</v>
      </c>
      <c r="Z44" s="106">
        <v>103372970.60223654</v>
      </c>
      <c r="AA44" s="106">
        <v>117293089.3465941</v>
      </c>
      <c r="AB44" s="108">
        <v>134806421.17255303</v>
      </c>
      <c r="AC44" s="108">
        <v>157249751.78144071</v>
      </c>
      <c r="AD44" s="108">
        <v>174371660.12421069</v>
      </c>
      <c r="AE44" s="108">
        <v>3551110570.8287597</v>
      </c>
      <c r="AF44" s="108">
        <v>4055267389.4682322</v>
      </c>
      <c r="AG44" s="108">
        <v>5498226973.5650711</v>
      </c>
      <c r="AH44" s="108">
        <v>7165847305.2558365</v>
      </c>
      <c r="AI44" s="108">
        <v>15577305256.293186</v>
      </c>
      <c r="AJ44" s="108">
        <v>18984741718.140804</v>
      </c>
      <c r="AK44" s="108">
        <v>406884984.42389768</v>
      </c>
      <c r="AL44" s="108">
        <v>456208715.36396235</v>
      </c>
      <c r="AM44" s="108">
        <v>636178708.37165523</v>
      </c>
      <c r="AN44" s="108">
        <v>899453502.04526734</v>
      </c>
      <c r="AO44" s="108">
        <v>1163291277.1951258</v>
      </c>
      <c r="AP44" s="108">
        <v>1383527188.7550237</v>
      </c>
      <c r="AQ44" s="108">
        <v>171554576.6470753</v>
      </c>
      <c r="AR44" s="108">
        <v>195290318.12835872</v>
      </c>
      <c r="AS44" s="108">
        <v>259262059.42083403</v>
      </c>
      <c r="AT44" s="108">
        <v>343788282.99440259</v>
      </c>
      <c r="AU44" s="108">
        <v>446761878.77073729</v>
      </c>
      <c r="AV44" s="108">
        <v>588035189.43718791</v>
      </c>
    </row>
    <row r="45" spans="1:48" x14ac:dyDescent="0.35">
      <c r="A45" s="107">
        <f xml:space="preserve"> ROW( slrImpacts[[#This Row],[row_id]] ) - ROW( slrImpacts[[#Headers],[row_id]] )</f>
        <v>44</v>
      </c>
      <c r="B45" s="104">
        <v>2043</v>
      </c>
      <c r="C45" s="104" t="s">
        <v>86</v>
      </c>
      <c r="D45" s="104" t="s">
        <v>87</v>
      </c>
      <c r="E45" s="104" t="s">
        <v>922</v>
      </c>
      <c r="F45" s="104"/>
      <c r="G45" s="105">
        <v>0</v>
      </c>
      <c r="H45" s="105">
        <v>0</v>
      </c>
      <c r="I45" s="105">
        <v>0</v>
      </c>
      <c r="J45" s="105">
        <v>0</v>
      </c>
      <c r="K45" s="105">
        <v>0</v>
      </c>
      <c r="L45" s="105">
        <v>0</v>
      </c>
      <c r="M45" s="106">
        <v>973556292.28179789</v>
      </c>
      <c r="N45" s="106">
        <v>1043151482.0089307</v>
      </c>
      <c r="O45" s="106">
        <v>1248505629.3582077</v>
      </c>
      <c r="P45" s="106">
        <v>1463251423.8992002</v>
      </c>
      <c r="Q45" s="106">
        <v>1731298051.4654069</v>
      </c>
      <c r="R45" s="106">
        <v>1919795389.9126878</v>
      </c>
      <c r="S45" s="105">
        <v>0</v>
      </c>
      <c r="T45" s="105">
        <v>0</v>
      </c>
      <c r="U45" s="105">
        <v>0</v>
      </c>
      <c r="V45" s="105">
        <v>0</v>
      </c>
      <c r="W45" s="105">
        <v>0</v>
      </c>
      <c r="X45" s="105">
        <v>0</v>
      </c>
      <c r="Y45" s="106">
        <v>98819345.771183863</v>
      </c>
      <c r="Z45" s="106">
        <v>103816232.9517899</v>
      </c>
      <c r="AA45" s="106">
        <v>118295389.43900119</v>
      </c>
      <c r="AB45" s="108">
        <v>136497184.38045901</v>
      </c>
      <c r="AC45" s="108">
        <v>159719701.81542459</v>
      </c>
      <c r="AD45" s="108">
        <v>177645330.86976853</v>
      </c>
      <c r="AE45" s="108">
        <v>3594296985.4640145</v>
      </c>
      <c r="AF45" s="108">
        <v>4123614989.2546482</v>
      </c>
      <c r="AG45" s="108">
        <v>5617208108.7887125</v>
      </c>
      <c r="AH45" s="108">
        <v>7345091591.0321598</v>
      </c>
      <c r="AI45" s="108">
        <v>16657907219.305975</v>
      </c>
      <c r="AJ45" s="108">
        <v>20380025903.328915</v>
      </c>
      <c r="AK45" s="108">
        <v>417438427.23063236</v>
      </c>
      <c r="AL45" s="108">
        <v>465901734.53555846</v>
      </c>
      <c r="AM45" s="108">
        <v>654880628.48857021</v>
      </c>
      <c r="AN45" s="108">
        <v>934517580.39690018</v>
      </c>
      <c r="AO45" s="108">
        <v>1210378890.7405999</v>
      </c>
      <c r="AP45" s="108">
        <v>1444266513.0403409</v>
      </c>
      <c r="AQ45" s="108">
        <v>173361514.4213585</v>
      </c>
      <c r="AR45" s="108">
        <v>197873306.4392471</v>
      </c>
      <c r="AS45" s="108">
        <v>264557477.57982737</v>
      </c>
      <c r="AT45" s="108">
        <v>353160287.67667288</v>
      </c>
      <c r="AU45" s="108">
        <v>460375721.86510438</v>
      </c>
      <c r="AV45" s="108">
        <v>613020173.60698438</v>
      </c>
    </row>
    <row r="46" spans="1:48" x14ac:dyDescent="0.35">
      <c r="A46" s="107">
        <f xml:space="preserve"> ROW( slrImpacts[[#This Row],[row_id]] ) - ROW( slrImpacts[[#Headers],[row_id]] )</f>
        <v>45</v>
      </c>
      <c r="B46" s="104">
        <v>2044</v>
      </c>
      <c r="C46" s="104" t="s">
        <v>86</v>
      </c>
      <c r="D46" s="104" t="s">
        <v>87</v>
      </c>
      <c r="E46" s="104" t="s">
        <v>922</v>
      </c>
      <c r="F46" s="104"/>
      <c r="G46" s="105">
        <v>0</v>
      </c>
      <c r="H46" s="105">
        <v>0</v>
      </c>
      <c r="I46" s="105">
        <v>0</v>
      </c>
      <c r="J46" s="105">
        <v>0</v>
      </c>
      <c r="K46" s="105">
        <v>0</v>
      </c>
      <c r="L46" s="105">
        <v>0</v>
      </c>
      <c r="M46" s="106">
        <v>979298860.44298911</v>
      </c>
      <c r="N46" s="106">
        <v>1051054400.0514637</v>
      </c>
      <c r="O46" s="106">
        <v>1262203742.239207</v>
      </c>
      <c r="P46" s="106">
        <v>1483254258.2049046</v>
      </c>
      <c r="Q46" s="106">
        <v>1763418440.3487775</v>
      </c>
      <c r="R46" s="106">
        <v>1961690694.0222015</v>
      </c>
      <c r="S46" s="105">
        <v>0</v>
      </c>
      <c r="T46" s="105">
        <v>0</v>
      </c>
      <c r="U46" s="105">
        <v>0</v>
      </c>
      <c r="V46" s="105">
        <v>0</v>
      </c>
      <c r="W46" s="105">
        <v>0</v>
      </c>
      <c r="X46" s="105">
        <v>0</v>
      </c>
      <c r="Y46" s="106">
        <v>99040315.672082424</v>
      </c>
      <c r="Z46" s="106">
        <v>104259495.30134322</v>
      </c>
      <c r="AA46" s="106">
        <v>119297689.53140828</v>
      </c>
      <c r="AB46" s="108">
        <v>138187947.58836496</v>
      </c>
      <c r="AC46" s="108">
        <v>162189651.84940842</v>
      </c>
      <c r="AD46" s="108">
        <v>180919001.61532632</v>
      </c>
      <c r="AE46" s="108">
        <v>3637483400.099267</v>
      </c>
      <c r="AF46" s="108">
        <v>4191962589.0410619</v>
      </c>
      <c r="AG46" s="108">
        <v>5736189244.0123491</v>
      </c>
      <c r="AH46" s="108">
        <v>7524335876.8084764</v>
      </c>
      <c r="AI46" s="108">
        <v>17738509182.318771</v>
      </c>
      <c r="AJ46" s="108">
        <v>21775310088.517029</v>
      </c>
      <c r="AK46" s="108">
        <v>427991870.03736722</v>
      </c>
      <c r="AL46" s="108">
        <v>475594753.70715469</v>
      </c>
      <c r="AM46" s="108">
        <v>673582548.60548508</v>
      </c>
      <c r="AN46" s="108">
        <v>969581658.74853313</v>
      </c>
      <c r="AO46" s="108">
        <v>1257466504.2860744</v>
      </c>
      <c r="AP46" s="108">
        <v>1505005837.3256581</v>
      </c>
      <c r="AQ46" s="108">
        <v>175168452.19564176</v>
      </c>
      <c r="AR46" s="108">
        <v>200456294.75013536</v>
      </c>
      <c r="AS46" s="108">
        <v>269852895.73882061</v>
      </c>
      <c r="AT46" s="108">
        <v>362532292.35894287</v>
      </c>
      <c r="AU46" s="108">
        <v>473989564.95947146</v>
      </c>
      <c r="AV46" s="108">
        <v>638005157.77678096</v>
      </c>
    </row>
    <row r="47" spans="1:48" x14ac:dyDescent="0.35">
      <c r="A47" s="107">
        <f xml:space="preserve"> ROW( slrImpacts[[#This Row],[row_id]] ) - ROW( slrImpacts[[#Headers],[row_id]] )</f>
        <v>46</v>
      </c>
      <c r="B47" s="104">
        <v>2045</v>
      </c>
      <c r="C47" s="104" t="s">
        <v>86</v>
      </c>
      <c r="D47" s="104" t="s">
        <v>87</v>
      </c>
      <c r="E47" s="104" t="s">
        <v>922</v>
      </c>
      <c r="F47" s="104"/>
      <c r="G47" s="105">
        <v>0</v>
      </c>
      <c r="H47" s="105">
        <v>0</v>
      </c>
      <c r="I47" s="105">
        <v>0</v>
      </c>
      <c r="J47" s="105">
        <v>0</v>
      </c>
      <c r="K47" s="105">
        <v>0</v>
      </c>
      <c r="L47" s="105">
        <v>0</v>
      </c>
      <c r="M47" s="106">
        <v>991560272.2288748</v>
      </c>
      <c r="N47" s="106">
        <v>1066750790.7895623</v>
      </c>
      <c r="O47" s="106">
        <v>1289718413.8508036</v>
      </c>
      <c r="P47" s="106">
        <v>1525494773.8289487</v>
      </c>
      <c r="Q47" s="106">
        <v>1854024841.6047201</v>
      </c>
      <c r="R47" s="106">
        <v>2181293850.4222631</v>
      </c>
      <c r="S47" s="105">
        <v>0</v>
      </c>
      <c r="T47" s="105">
        <v>0</v>
      </c>
      <c r="U47" s="105">
        <v>0</v>
      </c>
      <c r="V47" s="105">
        <v>0</v>
      </c>
      <c r="W47" s="105">
        <v>0</v>
      </c>
      <c r="X47" s="105">
        <v>0</v>
      </c>
      <c r="Y47" s="106">
        <v>99590658.228009805</v>
      </c>
      <c r="Z47" s="106">
        <v>105107152.93616317</v>
      </c>
      <c r="AA47" s="106">
        <v>121297949.12403931</v>
      </c>
      <c r="AB47" s="108">
        <v>141534507.14031926</v>
      </c>
      <c r="AC47" s="108">
        <v>167729607.3657769</v>
      </c>
      <c r="AD47" s="108">
        <v>200327743.55081227</v>
      </c>
      <c r="AE47" s="108">
        <v>3740280281.3285336</v>
      </c>
      <c r="AF47" s="108">
        <v>4323341313.4247351</v>
      </c>
      <c r="AG47" s="108">
        <v>5993962362.3517256</v>
      </c>
      <c r="AH47" s="108">
        <v>8831036737.7919884</v>
      </c>
      <c r="AI47" s="108">
        <v>20262886032.705364</v>
      </c>
      <c r="AJ47" s="108">
        <v>27618351565.87624</v>
      </c>
      <c r="AK47" s="108">
        <v>446871975.49623102</v>
      </c>
      <c r="AL47" s="108">
        <v>498442494.42531484</v>
      </c>
      <c r="AM47" s="108">
        <v>722875792.22933233</v>
      </c>
      <c r="AN47" s="108">
        <v>1046611161.4325086</v>
      </c>
      <c r="AO47" s="108">
        <v>1393210271.1338103</v>
      </c>
      <c r="AP47" s="108">
        <v>1620373193.7030911</v>
      </c>
      <c r="AQ47" s="108">
        <v>178562675.66900703</v>
      </c>
      <c r="AR47" s="108">
        <v>205366753.51436672</v>
      </c>
      <c r="AS47" s="108">
        <v>281439561.6852473</v>
      </c>
      <c r="AT47" s="108">
        <v>381785335.21088189</v>
      </c>
      <c r="AU47" s="108">
        <v>613310165.36649203</v>
      </c>
      <c r="AV47" s="108">
        <v>1071825581.4682696</v>
      </c>
    </row>
    <row r="48" spans="1:48" x14ac:dyDescent="0.35">
      <c r="A48" s="107">
        <f xml:space="preserve"> ROW( slrImpacts[[#This Row],[row_id]] ) - ROW( slrImpacts[[#Headers],[row_id]] )</f>
        <v>47</v>
      </c>
      <c r="B48" s="104">
        <v>2046</v>
      </c>
      <c r="C48" s="104" t="s">
        <v>86</v>
      </c>
      <c r="D48" s="104" t="s">
        <v>87</v>
      </c>
      <c r="E48" s="104" t="s">
        <v>922</v>
      </c>
      <c r="F48" s="104"/>
      <c r="G48" s="105">
        <v>0</v>
      </c>
      <c r="H48" s="105">
        <v>0</v>
      </c>
      <c r="I48" s="105">
        <v>0</v>
      </c>
      <c r="J48" s="105">
        <v>0</v>
      </c>
      <c r="K48" s="105">
        <v>0</v>
      </c>
      <c r="L48" s="105">
        <v>0</v>
      </c>
      <c r="M48" s="106">
        <v>998079115.85356796</v>
      </c>
      <c r="N48" s="106">
        <v>1074544263.4851277</v>
      </c>
      <c r="O48" s="106">
        <v>1303534972.5814004</v>
      </c>
      <c r="P48" s="106">
        <v>1547732455.1472881</v>
      </c>
      <c r="Q48" s="106">
        <v>1912510853.9772892</v>
      </c>
      <c r="R48" s="106">
        <v>2359001702.7128115</v>
      </c>
      <c r="S48" s="105">
        <v>0</v>
      </c>
      <c r="T48" s="105">
        <v>0</v>
      </c>
      <c r="U48" s="105">
        <v>0</v>
      </c>
      <c r="V48" s="105">
        <v>0</v>
      </c>
      <c r="W48" s="105">
        <v>0</v>
      </c>
      <c r="X48" s="105">
        <v>0</v>
      </c>
      <c r="Y48" s="106">
        <v>99920030.883038566</v>
      </c>
      <c r="Z48" s="106">
        <v>105511548.22142984</v>
      </c>
      <c r="AA48" s="106">
        <v>122295908.62426326</v>
      </c>
      <c r="AB48" s="108">
        <v>143190303.48436761</v>
      </c>
      <c r="AC48" s="108">
        <v>170799612.84816149</v>
      </c>
      <c r="AD48" s="108">
        <v>216462814.74074057</v>
      </c>
      <c r="AE48" s="108">
        <v>3799890747.922544</v>
      </c>
      <c r="AF48" s="108">
        <v>4386372438.0219879</v>
      </c>
      <c r="AG48" s="108">
        <v>6132754345.4674625</v>
      </c>
      <c r="AH48" s="108">
        <v>9958493312.9991837</v>
      </c>
      <c r="AI48" s="108">
        <v>21706660920.07917</v>
      </c>
      <c r="AJ48" s="108">
        <v>32066108858.047348</v>
      </c>
      <c r="AK48" s="108">
        <v>455198638.14836007</v>
      </c>
      <c r="AL48" s="108">
        <v>511597215.97187889</v>
      </c>
      <c r="AM48" s="108">
        <v>753467115.73626447</v>
      </c>
      <c r="AN48" s="108">
        <v>1088576585.7648516</v>
      </c>
      <c r="AO48" s="108">
        <v>1481866424.4360723</v>
      </c>
      <c r="AP48" s="108">
        <v>1675001225.7952075</v>
      </c>
      <c r="AQ48" s="108">
        <v>180149961.36808911</v>
      </c>
      <c r="AR48" s="108">
        <v>207694223.96770975</v>
      </c>
      <c r="AS48" s="108">
        <v>287730809.47268075</v>
      </c>
      <c r="AT48" s="108">
        <v>391666373.38055086</v>
      </c>
      <c r="AU48" s="108">
        <v>739016922.67914522</v>
      </c>
      <c r="AV48" s="108">
        <v>1480661020.9899609</v>
      </c>
    </row>
    <row r="49" spans="1:48" x14ac:dyDescent="0.35">
      <c r="A49" s="107">
        <f xml:space="preserve"> ROW( slrImpacts[[#This Row],[row_id]] ) - ROW( slrImpacts[[#Headers],[row_id]] )</f>
        <v>48</v>
      </c>
      <c r="B49" s="104">
        <v>2047</v>
      </c>
      <c r="C49" s="104" t="s">
        <v>86</v>
      </c>
      <c r="D49" s="104" t="s">
        <v>87</v>
      </c>
      <c r="E49" s="104" t="s">
        <v>922</v>
      </c>
      <c r="F49" s="104"/>
      <c r="G49" s="105">
        <v>0</v>
      </c>
      <c r="H49" s="105">
        <v>0</v>
      </c>
      <c r="I49" s="105">
        <v>0</v>
      </c>
      <c r="J49" s="105">
        <v>0</v>
      </c>
      <c r="K49" s="105">
        <v>0</v>
      </c>
      <c r="L49" s="105">
        <v>0</v>
      </c>
      <c r="M49" s="106">
        <v>1004597959.4782612</v>
      </c>
      <c r="N49" s="106">
        <v>1082337736.1806924</v>
      </c>
      <c r="O49" s="106">
        <v>1317351531.3119972</v>
      </c>
      <c r="P49" s="106">
        <v>1569970136.4656267</v>
      </c>
      <c r="Q49" s="106">
        <v>1970996866.3498607</v>
      </c>
      <c r="R49" s="106">
        <v>2536709555.0033584</v>
      </c>
      <c r="S49" s="105">
        <v>0</v>
      </c>
      <c r="T49" s="105">
        <v>0</v>
      </c>
      <c r="U49" s="105">
        <v>0</v>
      </c>
      <c r="V49" s="105">
        <v>0</v>
      </c>
      <c r="W49" s="105">
        <v>0</v>
      </c>
      <c r="X49" s="105">
        <v>0</v>
      </c>
      <c r="Y49" s="106">
        <v>100249403.53806728</v>
      </c>
      <c r="Z49" s="106">
        <v>105915943.50669649</v>
      </c>
      <c r="AA49" s="106">
        <v>123293868.12448716</v>
      </c>
      <c r="AB49" s="108">
        <v>144846099.82841599</v>
      </c>
      <c r="AC49" s="108">
        <v>173869618.33054617</v>
      </c>
      <c r="AD49" s="108">
        <v>232597885.93066871</v>
      </c>
      <c r="AE49" s="108">
        <v>3859501214.5165558</v>
      </c>
      <c r="AF49" s="108">
        <v>4449403562.6192455</v>
      </c>
      <c r="AG49" s="108">
        <v>6271546328.5831976</v>
      </c>
      <c r="AH49" s="108">
        <v>11085949888.206379</v>
      </c>
      <c r="AI49" s="108">
        <v>23150435807.452976</v>
      </c>
      <c r="AJ49" s="108">
        <v>36513866150.218445</v>
      </c>
      <c r="AK49" s="108">
        <v>463525300.80048925</v>
      </c>
      <c r="AL49" s="108">
        <v>524751937.51844275</v>
      </c>
      <c r="AM49" s="108">
        <v>784058439.24319696</v>
      </c>
      <c r="AN49" s="108">
        <v>1130542010.0971947</v>
      </c>
      <c r="AO49" s="108">
        <v>1570522577.7383349</v>
      </c>
      <c r="AP49" s="108">
        <v>1729629257.8873239</v>
      </c>
      <c r="AQ49" s="108">
        <v>181737247.06717113</v>
      </c>
      <c r="AR49" s="108">
        <v>210021694.42105272</v>
      </c>
      <c r="AS49" s="108">
        <v>294022057.26011413</v>
      </c>
      <c r="AT49" s="108">
        <v>401547411.55021966</v>
      </c>
      <c r="AU49" s="108">
        <v>864723679.99179888</v>
      </c>
      <c r="AV49" s="108">
        <v>1889496460.5116534</v>
      </c>
    </row>
    <row r="50" spans="1:48" x14ac:dyDescent="0.35">
      <c r="A50" s="107">
        <f xml:space="preserve"> ROW( slrImpacts[[#This Row],[row_id]] ) - ROW( slrImpacts[[#Headers],[row_id]] )</f>
        <v>49</v>
      </c>
      <c r="B50" s="104">
        <v>2048</v>
      </c>
      <c r="C50" s="104" t="s">
        <v>86</v>
      </c>
      <c r="D50" s="104" t="s">
        <v>87</v>
      </c>
      <c r="E50" s="104" t="s">
        <v>922</v>
      </c>
      <c r="F50" s="104"/>
      <c r="G50" s="105">
        <v>0</v>
      </c>
      <c r="H50" s="105">
        <v>0</v>
      </c>
      <c r="I50" s="105">
        <v>0</v>
      </c>
      <c r="J50" s="105">
        <v>0</v>
      </c>
      <c r="K50" s="105">
        <v>0</v>
      </c>
      <c r="L50" s="105">
        <v>0</v>
      </c>
      <c r="M50" s="106">
        <v>1011116803.1029551</v>
      </c>
      <c r="N50" s="106">
        <v>1090131208.8762574</v>
      </c>
      <c r="O50" s="106">
        <v>1331168090.042594</v>
      </c>
      <c r="P50" s="106">
        <v>1592207817.7839653</v>
      </c>
      <c r="Q50" s="106">
        <v>2029482878.7224314</v>
      </c>
      <c r="R50" s="106">
        <v>2714417407.2939072</v>
      </c>
      <c r="S50" s="105">
        <v>0</v>
      </c>
      <c r="T50" s="105">
        <v>0</v>
      </c>
      <c r="U50" s="105">
        <v>0</v>
      </c>
      <c r="V50" s="105">
        <v>0</v>
      </c>
      <c r="W50" s="105">
        <v>0</v>
      </c>
      <c r="X50" s="105">
        <v>0</v>
      </c>
      <c r="Y50" s="106">
        <v>100578776.19309604</v>
      </c>
      <c r="Z50" s="106">
        <v>106320338.79196313</v>
      </c>
      <c r="AA50" s="106">
        <v>124291827.62471116</v>
      </c>
      <c r="AB50" s="108">
        <v>146501896.17246437</v>
      </c>
      <c r="AC50" s="108">
        <v>176939623.81293079</v>
      </c>
      <c r="AD50" s="108">
        <v>248732957.120597</v>
      </c>
      <c r="AE50" s="108">
        <v>3919111681.1105652</v>
      </c>
      <c r="AF50" s="108">
        <v>4512434687.2164993</v>
      </c>
      <c r="AG50" s="108">
        <v>6410338311.6989317</v>
      </c>
      <c r="AH50" s="108">
        <v>12213406463.413572</v>
      </c>
      <c r="AI50" s="108">
        <v>24594210694.826782</v>
      </c>
      <c r="AJ50" s="108">
        <v>40961623442.389549</v>
      </c>
      <c r="AK50" s="108">
        <v>471851963.45261836</v>
      </c>
      <c r="AL50" s="108">
        <v>537906659.06500697</v>
      </c>
      <c r="AM50" s="108">
        <v>814649762.75012887</v>
      </c>
      <c r="AN50" s="108">
        <v>1172507434.4295375</v>
      </c>
      <c r="AO50" s="108">
        <v>1659178731.040596</v>
      </c>
      <c r="AP50" s="108">
        <v>1784257289.9794393</v>
      </c>
      <c r="AQ50" s="108">
        <v>183324532.76625326</v>
      </c>
      <c r="AR50" s="108">
        <v>212349164.87439576</v>
      </c>
      <c r="AS50" s="108">
        <v>300313305.0475474</v>
      </c>
      <c r="AT50" s="108">
        <v>411428449.71988875</v>
      </c>
      <c r="AU50" s="108">
        <v>990430437.30445194</v>
      </c>
      <c r="AV50" s="108">
        <v>2298331900.0333452</v>
      </c>
    </row>
    <row r="51" spans="1:48" x14ac:dyDescent="0.35">
      <c r="A51" s="107">
        <f xml:space="preserve"> ROW( slrImpacts[[#This Row],[row_id]] ) - ROW( slrImpacts[[#Headers],[row_id]] )</f>
        <v>50</v>
      </c>
      <c r="B51" s="104">
        <v>2049</v>
      </c>
      <c r="C51" s="104" t="s">
        <v>86</v>
      </c>
      <c r="D51" s="104" t="s">
        <v>87</v>
      </c>
      <c r="E51" s="104" t="s">
        <v>922</v>
      </c>
      <c r="F51" s="104"/>
      <c r="G51" s="105">
        <v>0</v>
      </c>
      <c r="H51" s="105">
        <v>0</v>
      </c>
      <c r="I51" s="105">
        <v>0</v>
      </c>
      <c r="J51" s="105">
        <v>0</v>
      </c>
      <c r="K51" s="105">
        <v>0</v>
      </c>
      <c r="L51" s="105">
        <v>0</v>
      </c>
      <c r="M51" s="106">
        <v>1017635646.7276485</v>
      </c>
      <c r="N51" s="106">
        <v>1097924681.5718229</v>
      </c>
      <c r="O51" s="106">
        <v>1344984648.7731912</v>
      </c>
      <c r="P51" s="106">
        <v>1614445499.102304</v>
      </c>
      <c r="Q51" s="106">
        <v>2087968891.0950015</v>
      </c>
      <c r="R51" s="106">
        <v>2892125259.5844541</v>
      </c>
      <c r="S51" s="105">
        <v>0</v>
      </c>
      <c r="T51" s="105">
        <v>0</v>
      </c>
      <c r="U51" s="105">
        <v>0</v>
      </c>
      <c r="V51" s="105">
        <v>0</v>
      </c>
      <c r="W51" s="105">
        <v>0</v>
      </c>
      <c r="X51" s="105">
        <v>0</v>
      </c>
      <c r="Y51" s="106">
        <v>100908148.84812479</v>
      </c>
      <c r="Z51" s="106">
        <v>106724734.07722972</v>
      </c>
      <c r="AA51" s="106">
        <v>125289787.12493503</v>
      </c>
      <c r="AB51" s="108">
        <v>148157692.51651278</v>
      </c>
      <c r="AC51" s="108">
        <v>180009629.29531538</v>
      </c>
      <c r="AD51" s="108">
        <v>264868028.31052518</v>
      </c>
      <c r="AE51" s="108">
        <v>3978722147.7045765</v>
      </c>
      <c r="AF51" s="108">
        <v>4575465811.8137569</v>
      </c>
      <c r="AG51" s="108">
        <v>6549130294.8146667</v>
      </c>
      <c r="AH51" s="108">
        <v>13340863038.620764</v>
      </c>
      <c r="AI51" s="108">
        <v>26037985582.200584</v>
      </c>
      <c r="AJ51" s="108">
        <v>45409380734.560669</v>
      </c>
      <c r="AK51" s="108">
        <v>480178626.10474747</v>
      </c>
      <c r="AL51" s="108">
        <v>551061380.61157095</v>
      </c>
      <c r="AM51" s="108">
        <v>845241086.25706124</v>
      </c>
      <c r="AN51" s="108">
        <v>1214472858.7618806</v>
      </c>
      <c r="AO51" s="108">
        <v>1747834884.3428581</v>
      </c>
      <c r="AP51" s="108">
        <v>1838885322.0715561</v>
      </c>
      <c r="AQ51" s="108">
        <v>184911818.46533525</v>
      </c>
      <c r="AR51" s="108">
        <v>214676635.32773876</v>
      </c>
      <c r="AS51" s="108">
        <v>306604552.83498067</v>
      </c>
      <c r="AT51" s="108">
        <v>421309487.8895576</v>
      </c>
      <c r="AU51" s="108">
        <v>1116137194.6171057</v>
      </c>
      <c r="AV51" s="108">
        <v>2707167339.5550361</v>
      </c>
    </row>
    <row r="52" spans="1:48" x14ac:dyDescent="0.35">
      <c r="A52" s="107">
        <f xml:space="preserve"> ROW( slrImpacts[[#This Row],[row_id]] ) - ROW( slrImpacts[[#Headers],[row_id]] )</f>
        <v>51</v>
      </c>
      <c r="B52" s="104">
        <v>2050</v>
      </c>
      <c r="C52" s="104" t="s">
        <v>86</v>
      </c>
      <c r="D52" s="104" t="s">
        <v>87</v>
      </c>
      <c r="E52" s="104" t="s">
        <v>922</v>
      </c>
      <c r="F52" s="104"/>
      <c r="G52" s="105">
        <v>0</v>
      </c>
      <c r="H52" s="105">
        <v>0</v>
      </c>
      <c r="I52" s="105">
        <v>0</v>
      </c>
      <c r="J52" s="105">
        <v>0</v>
      </c>
      <c r="K52" s="105">
        <v>0</v>
      </c>
      <c r="L52" s="105">
        <v>0</v>
      </c>
      <c r="M52" s="106">
        <v>1024154490.3523422</v>
      </c>
      <c r="N52" s="106">
        <v>1105718154.2673883</v>
      </c>
      <c r="O52" s="106">
        <v>1358801207.503788</v>
      </c>
      <c r="P52" s="106">
        <v>1636683180.4206438</v>
      </c>
      <c r="Q52" s="106">
        <v>2146454903.4675722</v>
      </c>
      <c r="R52" s="106">
        <v>3069833111.8750014</v>
      </c>
      <c r="S52" s="105">
        <v>0</v>
      </c>
      <c r="T52" s="105">
        <v>0</v>
      </c>
      <c r="U52" s="105">
        <v>0</v>
      </c>
      <c r="V52" s="105">
        <v>0</v>
      </c>
      <c r="W52" s="105">
        <v>0</v>
      </c>
      <c r="X52" s="105">
        <v>0</v>
      </c>
      <c r="Y52" s="106">
        <v>101237521.5031535</v>
      </c>
      <c r="Z52" s="106">
        <v>107129129.36249636</v>
      </c>
      <c r="AA52" s="106">
        <v>126287746.62515897</v>
      </c>
      <c r="AB52" s="108">
        <v>149813488.8605611</v>
      </c>
      <c r="AC52" s="108">
        <v>183079634.77770004</v>
      </c>
      <c r="AD52" s="108">
        <v>281003099.50045335</v>
      </c>
      <c r="AE52" s="108">
        <v>4038332614.2985888</v>
      </c>
      <c r="AF52" s="108">
        <v>4638496936.4110126</v>
      </c>
      <c r="AG52" s="108">
        <v>6687922277.9304037</v>
      </c>
      <c r="AH52" s="108">
        <v>14468319613.827963</v>
      </c>
      <c r="AI52" s="108">
        <v>27481760469.574379</v>
      </c>
      <c r="AJ52" s="108">
        <v>49857138026.73175</v>
      </c>
      <c r="AK52" s="108">
        <v>488505288.75687665</v>
      </c>
      <c r="AL52" s="108">
        <v>564216102.15813506</v>
      </c>
      <c r="AM52" s="108">
        <v>875832409.7639935</v>
      </c>
      <c r="AN52" s="108">
        <v>1256438283.094224</v>
      </c>
      <c r="AO52" s="108">
        <v>1836491037.6451201</v>
      </c>
      <c r="AP52" s="108">
        <v>1893513354.1636722</v>
      </c>
      <c r="AQ52" s="108">
        <v>186499104.16441742</v>
      </c>
      <c r="AR52" s="108">
        <v>217004105.78108177</v>
      </c>
      <c r="AS52" s="108">
        <v>312895800.62241405</v>
      </c>
      <c r="AT52" s="108">
        <v>431190526.05922639</v>
      </c>
      <c r="AU52" s="108">
        <v>1241843951.929759</v>
      </c>
      <c r="AV52" s="108">
        <v>3116002779.0767279</v>
      </c>
    </row>
    <row r="53" spans="1:48" x14ac:dyDescent="0.35">
      <c r="A53" s="107">
        <f xml:space="preserve"> ROW( slrImpacts[[#This Row],[row_id]] ) - ROW( slrImpacts[[#Headers],[row_id]] )</f>
        <v>52</v>
      </c>
      <c r="B53" s="104">
        <v>2051</v>
      </c>
      <c r="C53" s="104" t="s">
        <v>86</v>
      </c>
      <c r="D53" s="104" t="s">
        <v>87</v>
      </c>
      <c r="E53" s="104" t="s">
        <v>922</v>
      </c>
      <c r="F53" s="104"/>
      <c r="G53" s="105">
        <v>0</v>
      </c>
      <c r="H53" s="105">
        <v>0</v>
      </c>
      <c r="I53" s="105">
        <v>0</v>
      </c>
      <c r="J53" s="105">
        <v>0</v>
      </c>
      <c r="K53" s="105">
        <v>0</v>
      </c>
      <c r="L53" s="105">
        <v>0</v>
      </c>
      <c r="M53" s="106">
        <v>1030673333.9770352</v>
      </c>
      <c r="N53" s="106">
        <v>1113511626.9629538</v>
      </c>
      <c r="O53" s="106">
        <v>1372617766.234385</v>
      </c>
      <c r="P53" s="106">
        <v>1658920861.7389808</v>
      </c>
      <c r="Q53" s="106">
        <v>2204940915.8401427</v>
      </c>
      <c r="R53" s="106">
        <v>3247540964.1655493</v>
      </c>
      <c r="S53" s="105">
        <v>0</v>
      </c>
      <c r="T53" s="105">
        <v>0</v>
      </c>
      <c r="U53" s="105">
        <v>0</v>
      </c>
      <c r="V53" s="105">
        <v>0</v>
      </c>
      <c r="W53" s="105">
        <v>0</v>
      </c>
      <c r="X53" s="105">
        <v>0</v>
      </c>
      <c r="Y53" s="106">
        <v>101566894.15818225</v>
      </c>
      <c r="Z53" s="106">
        <v>107533524.64776301</v>
      </c>
      <c r="AA53" s="106">
        <v>127285706.12538292</v>
      </c>
      <c r="AB53" s="108">
        <v>151469285.20460945</v>
      </c>
      <c r="AC53" s="108">
        <v>186149640.26008466</v>
      </c>
      <c r="AD53" s="108">
        <v>297138170.69038171</v>
      </c>
      <c r="AE53" s="108">
        <v>4097943080.8926001</v>
      </c>
      <c r="AF53" s="108">
        <v>4701528061.0082664</v>
      </c>
      <c r="AG53" s="108">
        <v>6826714261.0461445</v>
      </c>
      <c r="AH53" s="108">
        <v>15595776189.035154</v>
      </c>
      <c r="AI53" s="108">
        <v>28925535356.948196</v>
      </c>
      <c r="AJ53" s="108">
        <v>54304895318.902878</v>
      </c>
      <c r="AK53" s="108">
        <v>496831951.40900582</v>
      </c>
      <c r="AL53" s="108">
        <v>577370823.70469892</v>
      </c>
      <c r="AM53" s="108">
        <v>906423733.27092552</v>
      </c>
      <c r="AN53" s="108">
        <v>1298403707.4265668</v>
      </c>
      <c r="AO53" s="108">
        <v>1925147190.947382</v>
      </c>
      <c r="AP53" s="108">
        <v>1948141386.2557886</v>
      </c>
      <c r="AQ53" s="108">
        <v>188086389.86349946</v>
      </c>
      <c r="AR53" s="108">
        <v>219331576.2344248</v>
      </c>
      <c r="AS53" s="108">
        <v>319187048.40984756</v>
      </c>
      <c r="AT53" s="108">
        <v>441071564.22889537</v>
      </c>
      <c r="AU53" s="108">
        <v>1367550709.2424126</v>
      </c>
      <c r="AV53" s="108">
        <v>3524838218.5984197</v>
      </c>
    </row>
    <row r="54" spans="1:48" x14ac:dyDescent="0.35">
      <c r="A54" s="107">
        <f xml:space="preserve"> ROW( slrImpacts[[#This Row],[row_id]] ) - ROW( slrImpacts[[#Headers],[row_id]] )</f>
        <v>53</v>
      </c>
      <c r="B54" s="104">
        <v>2052</v>
      </c>
      <c r="C54" s="104" t="s">
        <v>86</v>
      </c>
      <c r="D54" s="104" t="s">
        <v>87</v>
      </c>
      <c r="E54" s="104" t="s">
        <v>922</v>
      </c>
      <c r="F54" s="104"/>
      <c r="G54" s="105">
        <v>0</v>
      </c>
      <c r="H54" s="105">
        <v>0</v>
      </c>
      <c r="I54" s="105">
        <v>0</v>
      </c>
      <c r="J54" s="105">
        <v>0</v>
      </c>
      <c r="K54" s="105">
        <v>0</v>
      </c>
      <c r="L54" s="105">
        <v>0</v>
      </c>
      <c r="M54" s="106">
        <v>1037192177.6017287</v>
      </c>
      <c r="N54" s="106">
        <v>1121305099.658519</v>
      </c>
      <c r="O54" s="106">
        <v>1386434324.9649813</v>
      </c>
      <c r="P54" s="106">
        <v>1681158543.0573208</v>
      </c>
      <c r="Q54" s="106">
        <v>2263426928.2127132</v>
      </c>
      <c r="R54" s="106">
        <v>3425248816.456099</v>
      </c>
      <c r="S54" s="105">
        <v>0</v>
      </c>
      <c r="T54" s="105">
        <v>0</v>
      </c>
      <c r="U54" s="105">
        <v>0</v>
      </c>
      <c r="V54" s="105">
        <v>0</v>
      </c>
      <c r="W54" s="105">
        <v>0</v>
      </c>
      <c r="X54" s="105">
        <v>0</v>
      </c>
      <c r="Y54" s="106">
        <v>101896266.81321096</v>
      </c>
      <c r="Z54" s="106">
        <v>107937919.93302965</v>
      </c>
      <c r="AA54" s="106">
        <v>128283665.62560681</v>
      </c>
      <c r="AB54" s="108">
        <v>153125081.54865783</v>
      </c>
      <c r="AC54" s="108">
        <v>189219645.74246934</v>
      </c>
      <c r="AD54" s="108">
        <v>313273241.88030982</v>
      </c>
      <c r="AE54" s="108">
        <v>4157553547.486609</v>
      </c>
      <c r="AF54" s="108">
        <v>4764559185.6055241</v>
      </c>
      <c r="AG54" s="108">
        <v>6965506244.1618786</v>
      </c>
      <c r="AH54" s="108">
        <v>16723232764.242346</v>
      </c>
      <c r="AI54" s="108">
        <v>30369310244.32201</v>
      </c>
      <c r="AJ54" s="108">
        <v>58752652611.073921</v>
      </c>
      <c r="AK54" s="108">
        <v>505158614.06113476</v>
      </c>
      <c r="AL54" s="108">
        <v>590525545.25126302</v>
      </c>
      <c r="AM54" s="108">
        <v>937015056.77785766</v>
      </c>
      <c r="AN54" s="108">
        <v>1340369131.7589097</v>
      </c>
      <c r="AO54" s="108">
        <v>2013803344.249644</v>
      </c>
      <c r="AP54" s="108">
        <v>2002769418.3479042</v>
      </c>
      <c r="AQ54" s="108">
        <v>189673675.56258148</v>
      </c>
      <c r="AR54" s="108">
        <v>221659046.68776783</v>
      </c>
      <c r="AS54" s="108">
        <v>325478296.19728076</v>
      </c>
      <c r="AT54" s="108">
        <v>450952602.39856428</v>
      </c>
      <c r="AU54" s="108">
        <v>1493257466.5550659</v>
      </c>
      <c r="AV54" s="108">
        <v>3933673658.120111</v>
      </c>
    </row>
    <row r="55" spans="1:48" x14ac:dyDescent="0.35">
      <c r="A55" s="107">
        <f xml:space="preserve"> ROW( slrImpacts[[#This Row],[row_id]] ) - ROW( slrImpacts[[#Headers],[row_id]] )</f>
        <v>54</v>
      </c>
      <c r="B55" s="104">
        <v>2053</v>
      </c>
      <c r="C55" s="104" t="s">
        <v>86</v>
      </c>
      <c r="D55" s="104" t="s">
        <v>87</v>
      </c>
      <c r="E55" s="104" t="s">
        <v>922</v>
      </c>
      <c r="F55" s="104"/>
      <c r="G55" s="105">
        <v>0</v>
      </c>
      <c r="H55" s="105">
        <v>0</v>
      </c>
      <c r="I55" s="105">
        <v>0</v>
      </c>
      <c r="J55" s="105">
        <v>0</v>
      </c>
      <c r="K55" s="105">
        <v>0</v>
      </c>
      <c r="L55" s="105">
        <v>0</v>
      </c>
      <c r="M55" s="106">
        <v>1043711021.2264222</v>
      </c>
      <c r="N55" s="106">
        <v>1129098572.3540845</v>
      </c>
      <c r="O55" s="106">
        <v>1400250883.6955791</v>
      </c>
      <c r="P55" s="106">
        <v>1703396224.3756602</v>
      </c>
      <c r="Q55" s="106">
        <v>2321912940.5852852</v>
      </c>
      <c r="R55" s="106">
        <v>3602956668.746645</v>
      </c>
      <c r="S55" s="105">
        <v>0</v>
      </c>
      <c r="T55" s="105">
        <v>0</v>
      </c>
      <c r="U55" s="105">
        <v>0</v>
      </c>
      <c r="V55" s="105">
        <v>0</v>
      </c>
      <c r="W55" s="105">
        <v>0</v>
      </c>
      <c r="X55" s="105">
        <v>0</v>
      </c>
      <c r="Y55" s="106">
        <v>102225639.46823971</v>
      </c>
      <c r="Z55" s="106">
        <v>108342315.21829629</v>
      </c>
      <c r="AA55" s="106">
        <v>129281625.12583075</v>
      </c>
      <c r="AB55" s="108">
        <v>154780877.89270625</v>
      </c>
      <c r="AC55" s="108">
        <v>192289651.22485393</v>
      </c>
      <c r="AD55" s="108">
        <v>329408313.07023811</v>
      </c>
      <c r="AE55" s="108">
        <v>4217164014.0806246</v>
      </c>
      <c r="AF55" s="108">
        <v>4827590310.2027769</v>
      </c>
      <c r="AG55" s="108">
        <v>7104298227.2776155</v>
      </c>
      <c r="AH55" s="108">
        <v>17850689339.449551</v>
      </c>
      <c r="AI55" s="108">
        <v>31813085131.695805</v>
      </c>
      <c r="AJ55" s="108">
        <v>63200409903.245041</v>
      </c>
      <c r="AK55" s="108">
        <v>513485276.71326387</v>
      </c>
      <c r="AL55" s="108">
        <v>603680266.79782701</v>
      </c>
      <c r="AM55" s="108">
        <v>967606380.28478992</v>
      </c>
      <c r="AN55" s="108">
        <v>1382334556.0912526</v>
      </c>
      <c r="AO55" s="108">
        <v>2102459497.5519063</v>
      </c>
      <c r="AP55" s="108">
        <v>2057397450.4400206</v>
      </c>
      <c r="AQ55" s="108">
        <v>191260961.26166353</v>
      </c>
      <c r="AR55" s="108">
        <v>223986517.14111084</v>
      </c>
      <c r="AS55" s="108">
        <v>331769543.98471409</v>
      </c>
      <c r="AT55" s="108">
        <v>460833640.56823325</v>
      </c>
      <c r="AU55" s="108">
        <v>1618964223.8677189</v>
      </c>
      <c r="AV55" s="108">
        <v>4342509097.6418028</v>
      </c>
    </row>
    <row r="56" spans="1:48" x14ac:dyDescent="0.35">
      <c r="A56" s="107">
        <f xml:space="preserve"> ROW( slrImpacts[[#This Row],[row_id]] ) - ROW( slrImpacts[[#Headers],[row_id]] )</f>
        <v>55</v>
      </c>
      <c r="B56" s="104">
        <v>2054</v>
      </c>
      <c r="C56" s="104" t="s">
        <v>86</v>
      </c>
      <c r="D56" s="104" t="s">
        <v>87</v>
      </c>
      <c r="E56" s="104" t="s">
        <v>922</v>
      </c>
      <c r="F56" s="104"/>
      <c r="G56" s="105">
        <v>0</v>
      </c>
      <c r="H56" s="105">
        <v>0</v>
      </c>
      <c r="I56" s="105">
        <v>0</v>
      </c>
      <c r="J56" s="105">
        <v>0</v>
      </c>
      <c r="K56" s="105">
        <v>0</v>
      </c>
      <c r="L56" s="105">
        <v>0</v>
      </c>
      <c r="M56" s="106">
        <v>1050229864.8511159</v>
      </c>
      <c r="N56" s="106">
        <v>1136892045.0496492</v>
      </c>
      <c r="O56" s="106">
        <v>1414067442.426177</v>
      </c>
      <c r="P56" s="106">
        <v>1725633905.6939983</v>
      </c>
      <c r="Q56" s="106">
        <v>2380398952.9578547</v>
      </c>
      <c r="R56" s="106">
        <v>3780664521.0371923</v>
      </c>
      <c r="S56" s="105">
        <v>0</v>
      </c>
      <c r="T56" s="105">
        <v>0</v>
      </c>
      <c r="U56" s="105">
        <v>0</v>
      </c>
      <c r="V56" s="105">
        <v>0</v>
      </c>
      <c r="W56" s="105">
        <v>0</v>
      </c>
      <c r="X56" s="105">
        <v>0</v>
      </c>
      <c r="Y56" s="106">
        <v>102555012.12326844</v>
      </c>
      <c r="Z56" s="106">
        <v>108746710.5035629</v>
      </c>
      <c r="AA56" s="106">
        <v>130279584.62605469</v>
      </c>
      <c r="AB56" s="108">
        <v>156436674.2367546</v>
      </c>
      <c r="AC56" s="108">
        <v>195359656.70723855</v>
      </c>
      <c r="AD56" s="108">
        <v>345543384.26016629</v>
      </c>
      <c r="AE56" s="108">
        <v>4276774480.6746359</v>
      </c>
      <c r="AF56" s="108">
        <v>4890621434.8000326</v>
      </c>
      <c r="AG56" s="108">
        <v>7243090210.3933535</v>
      </c>
      <c r="AH56" s="108">
        <v>18978145914.656757</v>
      </c>
      <c r="AI56" s="108">
        <v>33256860019.069607</v>
      </c>
      <c r="AJ56" s="108">
        <v>67648167195.416153</v>
      </c>
      <c r="AK56" s="108">
        <v>521811939.36539304</v>
      </c>
      <c r="AL56" s="108">
        <v>616834988.34439111</v>
      </c>
      <c r="AM56" s="108">
        <v>998197703.79172218</v>
      </c>
      <c r="AN56" s="108">
        <v>1424299980.4235957</v>
      </c>
      <c r="AO56" s="108">
        <v>2191115650.8541679</v>
      </c>
      <c r="AP56" s="108">
        <v>2112025482.5321367</v>
      </c>
      <c r="AQ56" s="108">
        <v>192848246.9607456</v>
      </c>
      <c r="AR56" s="108">
        <v>226313987.59445381</v>
      </c>
      <c r="AS56" s="108">
        <v>338060791.77214754</v>
      </c>
      <c r="AT56" s="108">
        <v>470714678.73790199</v>
      </c>
      <c r="AU56" s="108">
        <v>1744670981.1803725</v>
      </c>
      <c r="AV56" s="108">
        <v>4751344537.1634922</v>
      </c>
    </row>
    <row r="57" spans="1:48" x14ac:dyDescent="0.35">
      <c r="A57" s="107">
        <f xml:space="preserve"> ROW( slrImpacts[[#This Row],[row_id]] ) - ROW( slrImpacts[[#Headers],[row_id]] )</f>
        <v>56</v>
      </c>
      <c r="B57" s="104">
        <v>2055</v>
      </c>
      <c r="C57" s="104" t="s">
        <v>86</v>
      </c>
      <c r="D57" s="104" t="s">
        <v>87</v>
      </c>
      <c r="E57" s="104" t="s">
        <v>922</v>
      </c>
      <c r="F57" s="104"/>
      <c r="G57" s="105">
        <v>0</v>
      </c>
      <c r="H57" s="105">
        <v>0</v>
      </c>
      <c r="I57" s="105">
        <v>0</v>
      </c>
      <c r="J57" s="105">
        <v>0</v>
      </c>
      <c r="K57" s="105">
        <v>0</v>
      </c>
      <c r="L57" s="105">
        <v>0</v>
      </c>
      <c r="M57" s="106">
        <v>1062811820.519232</v>
      </c>
      <c r="N57" s="106">
        <v>1151441611.8778341</v>
      </c>
      <c r="O57" s="106">
        <v>1448392582.3229687</v>
      </c>
      <c r="P57" s="106">
        <v>1785954138.7184255</v>
      </c>
      <c r="Q57" s="106">
        <v>2863492567.7606592</v>
      </c>
      <c r="R57" s="106">
        <v>4708592929.959259</v>
      </c>
      <c r="S57" s="105">
        <v>0</v>
      </c>
      <c r="T57" s="105">
        <v>0</v>
      </c>
      <c r="U57" s="105">
        <v>0</v>
      </c>
      <c r="V57" s="105">
        <v>0</v>
      </c>
      <c r="W57" s="105">
        <v>0</v>
      </c>
      <c r="X57" s="105">
        <v>0</v>
      </c>
      <c r="Y57" s="106">
        <v>103171311.19730215</v>
      </c>
      <c r="Z57" s="106">
        <v>109678743.55901051</v>
      </c>
      <c r="AA57" s="106">
        <v>132548970.83052884</v>
      </c>
      <c r="AB57" s="108">
        <v>160364172.05304265</v>
      </c>
      <c r="AC57" s="108">
        <v>234432543.07554856</v>
      </c>
      <c r="AD57" s="108">
        <v>456704905.80579334</v>
      </c>
      <c r="AE57" s="108">
        <v>4376759337.7879553</v>
      </c>
      <c r="AF57" s="108">
        <v>5024933723.7976952</v>
      </c>
      <c r="AG57" s="108">
        <v>7720930478.4996767</v>
      </c>
      <c r="AH57" s="108">
        <v>21154137811.86525</v>
      </c>
      <c r="AI57" s="108">
        <v>40619920770.622551</v>
      </c>
      <c r="AJ57" s="108">
        <v>74315869718.539719</v>
      </c>
      <c r="AK57" s="108">
        <v>542201998.73989475</v>
      </c>
      <c r="AL57" s="108">
        <v>644140573.99397767</v>
      </c>
      <c r="AM57" s="108">
        <v>1061243033.3159477</v>
      </c>
      <c r="AN57" s="108">
        <v>1539330234.2518289</v>
      </c>
      <c r="AO57" s="108">
        <v>2235690899.986455</v>
      </c>
      <c r="AP57" s="108">
        <v>2140629705.7743785</v>
      </c>
      <c r="AQ57" s="108">
        <v>196198257.6037043</v>
      </c>
      <c r="AR57" s="108">
        <v>231339114.25166672</v>
      </c>
      <c r="AS57" s="108">
        <v>350995037.93510532</v>
      </c>
      <c r="AT57" s="108">
        <v>581905126.3578105</v>
      </c>
      <c r="AU57" s="108">
        <v>2173821531.1825929</v>
      </c>
      <c r="AV57" s="108">
        <v>5440379954.8542576</v>
      </c>
    </row>
    <row r="58" spans="1:48" x14ac:dyDescent="0.35">
      <c r="A58" s="107">
        <f xml:space="preserve"> ROW( slrImpacts[[#This Row],[row_id]] ) - ROW( slrImpacts[[#Headers],[row_id]] )</f>
        <v>57</v>
      </c>
      <c r="B58" s="104">
        <v>2056</v>
      </c>
      <c r="C58" s="104" t="s">
        <v>86</v>
      </c>
      <c r="D58" s="104" t="s">
        <v>87</v>
      </c>
      <c r="E58" s="104" t="s">
        <v>922</v>
      </c>
      <c r="F58" s="104"/>
      <c r="G58" s="105">
        <v>0</v>
      </c>
      <c r="H58" s="105">
        <v>0</v>
      </c>
      <c r="I58" s="105">
        <v>0</v>
      </c>
      <c r="J58" s="105">
        <v>0</v>
      </c>
      <c r="K58" s="105">
        <v>0</v>
      </c>
      <c r="L58" s="105">
        <v>0</v>
      </c>
      <c r="M58" s="106">
        <v>1068874932.5626553</v>
      </c>
      <c r="N58" s="106">
        <v>1158197706.0104549</v>
      </c>
      <c r="O58" s="106">
        <v>1468901163.4891632</v>
      </c>
      <c r="P58" s="106">
        <v>1824036690.4245152</v>
      </c>
      <c r="Q58" s="106">
        <v>3288100170.1908927</v>
      </c>
      <c r="R58" s="106">
        <v>5458813486.5907764</v>
      </c>
      <c r="S58" s="105">
        <v>0</v>
      </c>
      <c r="T58" s="105">
        <v>0</v>
      </c>
      <c r="U58" s="105">
        <v>0</v>
      </c>
      <c r="V58" s="105">
        <v>0</v>
      </c>
      <c r="W58" s="105">
        <v>0</v>
      </c>
      <c r="X58" s="105">
        <v>0</v>
      </c>
      <c r="Y58" s="106">
        <v>103458237.61630714</v>
      </c>
      <c r="Z58" s="106">
        <v>110206381.32919143</v>
      </c>
      <c r="AA58" s="106">
        <v>133820397.534779</v>
      </c>
      <c r="AB58" s="108">
        <v>162635873.52528232</v>
      </c>
      <c r="AC58" s="108">
        <v>270435423.96147388</v>
      </c>
      <c r="AD58" s="108">
        <v>551731356.16149223</v>
      </c>
      <c r="AE58" s="108">
        <v>4417133728.3072643</v>
      </c>
      <c r="AF58" s="108">
        <v>5096214888.1980991</v>
      </c>
      <c r="AG58" s="108">
        <v>8059978763.4902611</v>
      </c>
      <c r="AH58" s="108">
        <v>22202673133.866558</v>
      </c>
      <c r="AI58" s="108">
        <v>46539206634.801682</v>
      </c>
      <c r="AJ58" s="108">
        <v>76535814949.492004</v>
      </c>
      <c r="AK58" s="108">
        <v>554265395.46226716</v>
      </c>
      <c r="AL58" s="108">
        <v>658291438.09700024</v>
      </c>
      <c r="AM58" s="108">
        <v>1093697039.3332422</v>
      </c>
      <c r="AN58" s="108">
        <v>1612395063.7477195</v>
      </c>
      <c r="AO58" s="108">
        <v>2191609995.8164797</v>
      </c>
      <c r="AP58" s="108">
        <v>2114605896.9245014</v>
      </c>
      <c r="AQ58" s="108">
        <v>197960982.54758096</v>
      </c>
      <c r="AR58" s="108">
        <v>234036770.45553648</v>
      </c>
      <c r="AS58" s="108">
        <v>357638036.31062984</v>
      </c>
      <c r="AT58" s="108">
        <v>683214535.80805004</v>
      </c>
      <c r="AU58" s="108">
        <v>2477265323.8721595</v>
      </c>
      <c r="AV58" s="108">
        <v>5720579933.0233288</v>
      </c>
    </row>
    <row r="59" spans="1:48" x14ac:dyDescent="0.35">
      <c r="A59" s="107">
        <f xml:space="preserve"> ROW( slrImpacts[[#This Row],[row_id]] ) - ROW( slrImpacts[[#Headers],[row_id]] )</f>
        <v>58</v>
      </c>
      <c r="B59" s="104">
        <v>2057</v>
      </c>
      <c r="C59" s="104" t="s">
        <v>86</v>
      </c>
      <c r="D59" s="104" t="s">
        <v>87</v>
      </c>
      <c r="E59" s="104" t="s">
        <v>922</v>
      </c>
      <c r="F59" s="104"/>
      <c r="G59" s="105">
        <v>0</v>
      </c>
      <c r="H59" s="105">
        <v>0</v>
      </c>
      <c r="I59" s="105">
        <v>0</v>
      </c>
      <c r="J59" s="105">
        <v>0</v>
      </c>
      <c r="K59" s="105">
        <v>0</v>
      </c>
      <c r="L59" s="105">
        <v>0</v>
      </c>
      <c r="M59" s="106">
        <v>1074938044.6060789</v>
      </c>
      <c r="N59" s="106">
        <v>1164953800.1430757</v>
      </c>
      <c r="O59" s="106">
        <v>1489409744.655359</v>
      </c>
      <c r="P59" s="106">
        <v>1862119242.130604</v>
      </c>
      <c r="Q59" s="106">
        <v>3712707772.6211276</v>
      </c>
      <c r="R59" s="106">
        <v>6209034043.2222872</v>
      </c>
      <c r="S59" s="105">
        <v>0</v>
      </c>
      <c r="T59" s="105">
        <v>0</v>
      </c>
      <c r="U59" s="105">
        <v>0</v>
      </c>
      <c r="V59" s="105">
        <v>0</v>
      </c>
      <c r="W59" s="105">
        <v>0</v>
      </c>
      <c r="X59" s="105">
        <v>0</v>
      </c>
      <c r="Y59" s="106">
        <v>103745164.03531212</v>
      </c>
      <c r="Z59" s="106">
        <v>110734019.09937234</v>
      </c>
      <c r="AA59" s="106">
        <v>135091824.23902926</v>
      </c>
      <c r="AB59" s="108">
        <v>164907574.99752203</v>
      </c>
      <c r="AC59" s="108">
        <v>306438304.84739923</v>
      </c>
      <c r="AD59" s="108">
        <v>646757806.51719117</v>
      </c>
      <c r="AE59" s="108">
        <v>4457508118.8265781</v>
      </c>
      <c r="AF59" s="108">
        <v>5167496052.598506</v>
      </c>
      <c r="AG59" s="108">
        <v>8399027048.4808502</v>
      </c>
      <c r="AH59" s="108">
        <v>23251208455.867859</v>
      </c>
      <c r="AI59" s="108">
        <v>52458492498.980812</v>
      </c>
      <c r="AJ59" s="108">
        <v>78755760180.444473</v>
      </c>
      <c r="AK59" s="108">
        <v>566328792.18463969</v>
      </c>
      <c r="AL59" s="108">
        <v>672442302.20002246</v>
      </c>
      <c r="AM59" s="108">
        <v>1126151045.3505361</v>
      </c>
      <c r="AN59" s="108">
        <v>1685459893.2436092</v>
      </c>
      <c r="AO59" s="108">
        <v>2147529091.6465054</v>
      </c>
      <c r="AP59" s="108">
        <v>2088582088.074625</v>
      </c>
      <c r="AQ59" s="108">
        <v>199723707.49145767</v>
      </c>
      <c r="AR59" s="108">
        <v>236734426.65940636</v>
      </c>
      <c r="AS59" s="108">
        <v>364281034.68615437</v>
      </c>
      <c r="AT59" s="108">
        <v>784523945.25828958</v>
      </c>
      <c r="AU59" s="108">
        <v>2780709116.5617261</v>
      </c>
      <c r="AV59" s="108">
        <v>6000779911.1924009</v>
      </c>
    </row>
    <row r="60" spans="1:48" x14ac:dyDescent="0.35">
      <c r="A60" s="107">
        <f xml:space="preserve"> ROW( slrImpacts[[#This Row],[row_id]] ) - ROW( slrImpacts[[#Headers],[row_id]] )</f>
        <v>59</v>
      </c>
      <c r="B60" s="104">
        <v>2058</v>
      </c>
      <c r="C60" s="104" t="s">
        <v>86</v>
      </c>
      <c r="D60" s="104" t="s">
        <v>87</v>
      </c>
      <c r="E60" s="104" t="s">
        <v>922</v>
      </c>
      <c r="F60" s="104"/>
      <c r="G60" s="105">
        <v>0</v>
      </c>
      <c r="H60" s="105">
        <v>0</v>
      </c>
      <c r="I60" s="105">
        <v>0</v>
      </c>
      <c r="J60" s="105">
        <v>0</v>
      </c>
      <c r="K60" s="105">
        <v>0</v>
      </c>
      <c r="L60" s="105">
        <v>0</v>
      </c>
      <c r="M60" s="106">
        <v>1081001156.649502</v>
      </c>
      <c r="N60" s="106">
        <v>1171709894.2756956</v>
      </c>
      <c r="O60" s="106">
        <v>1509918325.8215542</v>
      </c>
      <c r="P60" s="106">
        <v>1900201793.8366923</v>
      </c>
      <c r="Q60" s="106">
        <v>4137315375.0513616</v>
      </c>
      <c r="R60" s="106">
        <v>6959254599.8538094</v>
      </c>
      <c r="S60" s="105">
        <v>0</v>
      </c>
      <c r="T60" s="105">
        <v>0</v>
      </c>
      <c r="U60" s="105">
        <v>0</v>
      </c>
      <c r="V60" s="105">
        <v>0</v>
      </c>
      <c r="W60" s="105">
        <v>0</v>
      </c>
      <c r="X60" s="105">
        <v>0</v>
      </c>
      <c r="Y60" s="106">
        <v>104032090.45431708</v>
      </c>
      <c r="Z60" s="106">
        <v>111261656.86955327</v>
      </c>
      <c r="AA60" s="106">
        <v>136363250.94327939</v>
      </c>
      <c r="AB60" s="108">
        <v>167179276.46976173</v>
      </c>
      <c r="AC60" s="108">
        <v>342441185.73332465</v>
      </c>
      <c r="AD60" s="108">
        <v>741784256.87289011</v>
      </c>
      <c r="AE60" s="108">
        <v>4497882509.345891</v>
      </c>
      <c r="AF60" s="108">
        <v>5238777216.9989185</v>
      </c>
      <c r="AG60" s="108">
        <v>8738075333.4714355</v>
      </c>
      <c r="AH60" s="108">
        <v>24299743777.86916</v>
      </c>
      <c r="AI60" s="108">
        <v>58377778363.159935</v>
      </c>
      <c r="AJ60" s="108">
        <v>80975705411.396896</v>
      </c>
      <c r="AK60" s="108">
        <v>578392188.90701222</v>
      </c>
      <c r="AL60" s="108">
        <v>686593166.30304515</v>
      </c>
      <c r="AM60" s="108">
        <v>1158605051.36783</v>
      </c>
      <c r="AN60" s="108">
        <v>1758524722.7395</v>
      </c>
      <c r="AO60" s="108">
        <v>2103448187.4765301</v>
      </c>
      <c r="AP60" s="108">
        <v>2062558279.2247491</v>
      </c>
      <c r="AQ60" s="108">
        <v>201486432.4353343</v>
      </c>
      <c r="AR60" s="108">
        <v>239432082.86327615</v>
      </c>
      <c r="AS60" s="108">
        <v>370924033.06167871</v>
      </c>
      <c r="AT60" s="108">
        <v>885833354.70852911</v>
      </c>
      <c r="AU60" s="108">
        <v>3084152909.2512927</v>
      </c>
      <c r="AV60" s="108">
        <v>6280979889.3614731</v>
      </c>
    </row>
    <row r="61" spans="1:48" x14ac:dyDescent="0.35">
      <c r="A61" s="107">
        <f xml:space="preserve"> ROW( slrImpacts[[#This Row],[row_id]] ) - ROW( slrImpacts[[#Headers],[row_id]] )</f>
        <v>60</v>
      </c>
      <c r="B61" s="104">
        <v>2059</v>
      </c>
      <c r="C61" s="104" t="s">
        <v>86</v>
      </c>
      <c r="D61" s="104" t="s">
        <v>87</v>
      </c>
      <c r="E61" s="104" t="s">
        <v>922</v>
      </c>
      <c r="F61" s="104"/>
      <c r="G61" s="105">
        <v>0</v>
      </c>
      <c r="H61" s="105">
        <v>0</v>
      </c>
      <c r="I61" s="105">
        <v>0</v>
      </c>
      <c r="J61" s="105">
        <v>0</v>
      </c>
      <c r="K61" s="105">
        <v>0</v>
      </c>
      <c r="L61" s="105">
        <v>0</v>
      </c>
      <c r="M61" s="106">
        <v>1087064268.6929259</v>
      </c>
      <c r="N61" s="106">
        <v>1178465988.4083157</v>
      </c>
      <c r="O61" s="106">
        <v>1530426906.9877501</v>
      </c>
      <c r="P61" s="106">
        <v>1938284345.5427825</v>
      </c>
      <c r="Q61" s="106">
        <v>4561922977.481596</v>
      </c>
      <c r="R61" s="106">
        <v>7709475156.4853268</v>
      </c>
      <c r="S61" s="105">
        <v>0</v>
      </c>
      <c r="T61" s="105">
        <v>0</v>
      </c>
      <c r="U61" s="105">
        <v>0</v>
      </c>
      <c r="V61" s="105">
        <v>0</v>
      </c>
      <c r="W61" s="105">
        <v>0</v>
      </c>
      <c r="X61" s="105">
        <v>0</v>
      </c>
      <c r="Y61" s="106">
        <v>104319016.87332207</v>
      </c>
      <c r="Z61" s="106">
        <v>111789294.63973427</v>
      </c>
      <c r="AA61" s="106">
        <v>137634677.6475296</v>
      </c>
      <c r="AB61" s="108">
        <v>169450977.9420014</v>
      </c>
      <c r="AC61" s="108">
        <v>378444066.61925</v>
      </c>
      <c r="AD61" s="108">
        <v>836810707.22858918</v>
      </c>
      <c r="AE61" s="108">
        <v>4538256899.8651991</v>
      </c>
      <c r="AF61" s="108">
        <v>5310058381.3993235</v>
      </c>
      <c r="AG61" s="108">
        <v>9077123618.4620209</v>
      </c>
      <c r="AH61" s="108">
        <v>25348279099.870495</v>
      </c>
      <c r="AI61" s="108">
        <v>64297064227.33905</v>
      </c>
      <c r="AJ61" s="108">
        <v>83195650642.34935</v>
      </c>
      <c r="AK61" s="108">
        <v>590455585.62938476</v>
      </c>
      <c r="AL61" s="108">
        <v>700744030.40606797</v>
      </c>
      <c r="AM61" s="108">
        <v>1191059057.385124</v>
      </c>
      <c r="AN61" s="108">
        <v>1831589552.2353897</v>
      </c>
      <c r="AO61" s="108">
        <v>2059367283.3065557</v>
      </c>
      <c r="AP61" s="108">
        <v>2036534470.3748732</v>
      </c>
      <c r="AQ61" s="108">
        <v>203249157.37921098</v>
      </c>
      <c r="AR61" s="108">
        <v>242129739.06714609</v>
      </c>
      <c r="AS61" s="108">
        <v>377567031.43720329</v>
      </c>
      <c r="AT61" s="108">
        <v>987142764.15876877</v>
      </c>
      <c r="AU61" s="108">
        <v>3387596701.9408593</v>
      </c>
      <c r="AV61" s="108">
        <v>6561179867.5305433</v>
      </c>
    </row>
    <row r="62" spans="1:48" x14ac:dyDescent="0.35">
      <c r="A62" s="107">
        <f xml:space="preserve"> ROW( slrImpacts[[#This Row],[row_id]] ) - ROW( slrImpacts[[#Headers],[row_id]] )</f>
        <v>61</v>
      </c>
      <c r="B62" s="104">
        <v>2060</v>
      </c>
      <c r="C62" s="104" t="s">
        <v>86</v>
      </c>
      <c r="D62" s="104" t="s">
        <v>87</v>
      </c>
      <c r="E62" s="104" t="s">
        <v>922</v>
      </c>
      <c r="F62" s="104"/>
      <c r="G62" s="105">
        <v>0</v>
      </c>
      <c r="H62" s="105">
        <v>0</v>
      </c>
      <c r="I62" s="105">
        <v>0</v>
      </c>
      <c r="J62" s="105">
        <v>0</v>
      </c>
      <c r="K62" s="105">
        <v>0</v>
      </c>
      <c r="L62" s="105">
        <v>0</v>
      </c>
      <c r="M62" s="106">
        <v>1093127380.7363486</v>
      </c>
      <c r="N62" s="106">
        <v>1185222082.540936</v>
      </c>
      <c r="O62" s="106">
        <v>1550935488.1539452</v>
      </c>
      <c r="P62" s="106">
        <v>1976366897.2488716</v>
      </c>
      <c r="Q62" s="106">
        <v>4986530579.911829</v>
      </c>
      <c r="R62" s="106">
        <v>8459695713.1168442</v>
      </c>
      <c r="S62" s="105">
        <v>0</v>
      </c>
      <c r="T62" s="105">
        <v>0</v>
      </c>
      <c r="U62" s="105">
        <v>0</v>
      </c>
      <c r="V62" s="105">
        <v>0</v>
      </c>
      <c r="W62" s="105">
        <v>0</v>
      </c>
      <c r="X62" s="105">
        <v>0</v>
      </c>
      <c r="Y62" s="106">
        <v>104605943.29232703</v>
      </c>
      <c r="Z62" s="106">
        <v>112316932.40991513</v>
      </c>
      <c r="AA62" s="106">
        <v>138906104.35177982</v>
      </c>
      <c r="AB62" s="108">
        <v>171722679.41424099</v>
      </c>
      <c r="AC62" s="108">
        <v>414446947.50517535</v>
      </c>
      <c r="AD62" s="108">
        <v>931837157.58428812</v>
      </c>
      <c r="AE62" s="108">
        <v>4578631290.3845139</v>
      </c>
      <c r="AF62" s="108">
        <v>5381339545.7997303</v>
      </c>
      <c r="AG62" s="108">
        <v>9416171903.4526043</v>
      </c>
      <c r="AH62" s="108">
        <v>26396814421.871807</v>
      </c>
      <c r="AI62" s="108">
        <v>70216350091.51825</v>
      </c>
      <c r="AJ62" s="108">
        <v>85415595873.301712</v>
      </c>
      <c r="AK62" s="108">
        <v>602518982.35175753</v>
      </c>
      <c r="AL62" s="108">
        <v>714894894.50909042</v>
      </c>
      <c r="AM62" s="108">
        <v>1223513063.4024179</v>
      </c>
      <c r="AN62" s="108">
        <v>1904654381.7312803</v>
      </c>
      <c r="AO62" s="108">
        <v>2015286379.1365807</v>
      </c>
      <c r="AP62" s="108">
        <v>2010510661.5249968</v>
      </c>
      <c r="AQ62" s="108">
        <v>205011882.32308763</v>
      </c>
      <c r="AR62" s="108">
        <v>244827395.27101585</v>
      </c>
      <c r="AS62" s="108">
        <v>384210029.81272775</v>
      </c>
      <c r="AT62" s="108">
        <v>1088452173.6090081</v>
      </c>
      <c r="AU62" s="108">
        <v>3691040494.6304274</v>
      </c>
      <c r="AV62" s="108">
        <v>6841379845.6996145</v>
      </c>
    </row>
    <row r="63" spans="1:48" x14ac:dyDescent="0.35">
      <c r="A63" s="107">
        <f xml:space="preserve"> ROW( slrImpacts[[#This Row],[row_id]] ) - ROW( slrImpacts[[#Headers],[row_id]] )</f>
        <v>62</v>
      </c>
      <c r="B63" s="104">
        <v>2061</v>
      </c>
      <c r="C63" s="104" t="s">
        <v>86</v>
      </c>
      <c r="D63" s="104" t="s">
        <v>87</v>
      </c>
      <c r="E63" s="104" t="s">
        <v>922</v>
      </c>
      <c r="F63" s="104"/>
      <c r="G63" s="105">
        <v>0</v>
      </c>
      <c r="H63" s="105">
        <v>0</v>
      </c>
      <c r="I63" s="105">
        <v>0</v>
      </c>
      <c r="J63" s="105">
        <v>0</v>
      </c>
      <c r="K63" s="105">
        <v>0</v>
      </c>
      <c r="L63" s="105">
        <v>0</v>
      </c>
      <c r="M63" s="106">
        <v>1099190492.779772</v>
      </c>
      <c r="N63" s="106">
        <v>1191978176.673557</v>
      </c>
      <c r="O63" s="106">
        <v>1571444069.3201404</v>
      </c>
      <c r="P63" s="106">
        <v>2014449448.9549603</v>
      </c>
      <c r="Q63" s="106">
        <v>5411138182.3420639</v>
      </c>
      <c r="R63" s="106">
        <v>9209916269.7483635</v>
      </c>
      <c r="S63" s="105">
        <v>0</v>
      </c>
      <c r="T63" s="105">
        <v>0</v>
      </c>
      <c r="U63" s="105">
        <v>0</v>
      </c>
      <c r="V63" s="105">
        <v>0</v>
      </c>
      <c r="W63" s="105">
        <v>0</v>
      </c>
      <c r="X63" s="105">
        <v>0</v>
      </c>
      <c r="Y63" s="106">
        <v>104892869.71133199</v>
      </c>
      <c r="Z63" s="106">
        <v>112844570.18009609</v>
      </c>
      <c r="AA63" s="106">
        <v>140177531.05603006</v>
      </c>
      <c r="AB63" s="108">
        <v>173994380.88648075</v>
      </c>
      <c r="AC63" s="108">
        <v>450449828.39110076</v>
      </c>
      <c r="AD63" s="108">
        <v>1026863607.9399869</v>
      </c>
      <c r="AE63" s="108">
        <v>4619005680.9038267</v>
      </c>
      <c r="AF63" s="108">
        <v>5452620710.2001352</v>
      </c>
      <c r="AG63" s="108">
        <v>9755220188.4431858</v>
      </c>
      <c r="AH63" s="108">
        <v>27445349743.873119</v>
      </c>
      <c r="AI63" s="108">
        <v>76135635955.697281</v>
      </c>
      <c r="AJ63" s="108">
        <v>87635541104.254196</v>
      </c>
      <c r="AK63" s="108">
        <v>614582379.07412982</v>
      </c>
      <c r="AL63" s="108">
        <v>729045758.612113</v>
      </c>
      <c r="AM63" s="108">
        <v>1255967069.4197121</v>
      </c>
      <c r="AN63" s="108">
        <v>1977719211.2271707</v>
      </c>
      <c r="AO63" s="108">
        <v>1971205474.9666057</v>
      </c>
      <c r="AP63" s="108">
        <v>1984486852.6751208</v>
      </c>
      <c r="AQ63" s="108">
        <v>206774607.26696435</v>
      </c>
      <c r="AR63" s="108">
        <v>247525051.47488582</v>
      </c>
      <c r="AS63" s="108">
        <v>390853028.18825221</v>
      </c>
      <c r="AT63" s="108">
        <v>1189761583.0592477</v>
      </c>
      <c r="AU63" s="108">
        <v>3994484287.3199944</v>
      </c>
      <c r="AV63" s="108">
        <v>7121579823.8686857</v>
      </c>
    </row>
    <row r="64" spans="1:48" x14ac:dyDescent="0.35">
      <c r="A64" s="107">
        <f xml:space="preserve"> ROW( slrImpacts[[#This Row],[row_id]] ) - ROW( slrImpacts[[#Headers],[row_id]] )</f>
        <v>63</v>
      </c>
      <c r="B64" s="104">
        <v>2062</v>
      </c>
      <c r="C64" s="104" t="s">
        <v>86</v>
      </c>
      <c r="D64" s="104" t="s">
        <v>87</v>
      </c>
      <c r="E64" s="104" t="s">
        <v>922</v>
      </c>
      <c r="F64" s="104"/>
      <c r="G64" s="105">
        <v>0</v>
      </c>
      <c r="H64" s="105">
        <v>0</v>
      </c>
      <c r="I64" s="105">
        <v>0</v>
      </c>
      <c r="J64" s="105">
        <v>0</v>
      </c>
      <c r="K64" s="105">
        <v>0</v>
      </c>
      <c r="L64" s="105">
        <v>0</v>
      </c>
      <c r="M64" s="106">
        <v>1105253604.8231957</v>
      </c>
      <c r="N64" s="106">
        <v>1198734270.8061771</v>
      </c>
      <c r="O64" s="106">
        <v>1591952650.4863365</v>
      </c>
      <c r="P64" s="106">
        <v>2052532000.6610508</v>
      </c>
      <c r="Q64" s="106">
        <v>5835745784.7722988</v>
      </c>
      <c r="R64" s="106">
        <v>9960136826.3798771</v>
      </c>
      <c r="S64" s="105">
        <v>0</v>
      </c>
      <c r="T64" s="105">
        <v>0</v>
      </c>
      <c r="U64" s="105">
        <v>0</v>
      </c>
      <c r="V64" s="105">
        <v>0</v>
      </c>
      <c r="W64" s="105">
        <v>0</v>
      </c>
      <c r="X64" s="105">
        <v>0</v>
      </c>
      <c r="Y64" s="106">
        <v>105179796.13033698</v>
      </c>
      <c r="Z64" s="106">
        <v>113372207.95027699</v>
      </c>
      <c r="AA64" s="106">
        <v>141448957.76028025</v>
      </c>
      <c r="AB64" s="108">
        <v>176266082.35872045</v>
      </c>
      <c r="AC64" s="108">
        <v>486452709.27702612</v>
      </c>
      <c r="AD64" s="108">
        <v>1121890058.2956858</v>
      </c>
      <c r="AE64" s="108">
        <v>4659380071.4231396</v>
      </c>
      <c r="AF64" s="108">
        <v>5523901874.6005411</v>
      </c>
      <c r="AG64" s="108">
        <v>10094268473.433781</v>
      </c>
      <c r="AH64" s="108">
        <v>28493885065.874416</v>
      </c>
      <c r="AI64" s="108">
        <v>82054921819.876495</v>
      </c>
      <c r="AJ64" s="108">
        <v>89855486335.206558</v>
      </c>
      <c r="AK64" s="108">
        <v>626645775.79650247</v>
      </c>
      <c r="AL64" s="108">
        <v>743196622.71513557</v>
      </c>
      <c r="AM64" s="108">
        <v>1288421075.4370055</v>
      </c>
      <c r="AN64" s="108">
        <v>2050784040.7230608</v>
      </c>
      <c r="AO64" s="108">
        <v>1927124570.7966306</v>
      </c>
      <c r="AP64" s="108">
        <v>1958463043.8252451</v>
      </c>
      <c r="AQ64" s="108">
        <v>208537332.21084097</v>
      </c>
      <c r="AR64" s="108">
        <v>250222707.67875555</v>
      </c>
      <c r="AS64" s="108">
        <v>397496026.56377667</v>
      </c>
      <c r="AT64" s="108">
        <v>1291070992.5094874</v>
      </c>
      <c r="AU64" s="108">
        <v>4297928080.0095606</v>
      </c>
      <c r="AV64" s="108">
        <v>7401779802.037756</v>
      </c>
    </row>
    <row r="65" spans="1:48" x14ac:dyDescent="0.35">
      <c r="A65" s="107">
        <f xml:space="preserve"> ROW( slrImpacts[[#This Row],[row_id]] ) - ROW( slrImpacts[[#Headers],[row_id]] )</f>
        <v>64</v>
      </c>
      <c r="B65" s="104">
        <v>2063</v>
      </c>
      <c r="C65" s="104" t="s">
        <v>86</v>
      </c>
      <c r="D65" s="104" t="s">
        <v>87</v>
      </c>
      <c r="E65" s="104" t="s">
        <v>922</v>
      </c>
      <c r="F65" s="104"/>
      <c r="G65" s="105">
        <v>0</v>
      </c>
      <c r="H65" s="105">
        <v>0</v>
      </c>
      <c r="I65" s="105">
        <v>0</v>
      </c>
      <c r="J65" s="105">
        <v>0</v>
      </c>
      <c r="K65" s="105">
        <v>0</v>
      </c>
      <c r="L65" s="105">
        <v>0</v>
      </c>
      <c r="M65" s="106">
        <v>1111316716.8666191</v>
      </c>
      <c r="N65" s="106">
        <v>1205490364.9387972</v>
      </c>
      <c r="O65" s="106">
        <v>1612461231.6525316</v>
      </c>
      <c r="P65" s="106">
        <v>2090614552.3671391</v>
      </c>
      <c r="Q65" s="106">
        <v>6260353387.2025356</v>
      </c>
      <c r="R65" s="106">
        <v>10710357383.011393</v>
      </c>
      <c r="S65" s="105">
        <v>0</v>
      </c>
      <c r="T65" s="105">
        <v>0</v>
      </c>
      <c r="U65" s="105">
        <v>0</v>
      </c>
      <c r="V65" s="105">
        <v>0</v>
      </c>
      <c r="W65" s="105">
        <v>0</v>
      </c>
      <c r="X65" s="105">
        <v>0</v>
      </c>
      <c r="Y65" s="106">
        <v>105466722.54934198</v>
      </c>
      <c r="Z65" s="106">
        <v>113899845.72045794</v>
      </c>
      <c r="AA65" s="106">
        <v>142720384.4645305</v>
      </c>
      <c r="AB65" s="108">
        <v>178537783.83096012</v>
      </c>
      <c r="AC65" s="108">
        <v>522455590.16295159</v>
      </c>
      <c r="AD65" s="108">
        <v>1216916508.6513844</v>
      </c>
      <c r="AE65" s="108">
        <v>4699754461.9424505</v>
      </c>
      <c r="AF65" s="108">
        <v>5595183039.0009518</v>
      </c>
      <c r="AG65" s="108">
        <v>10433316758.42436</v>
      </c>
      <c r="AH65" s="108">
        <v>29542420387.875725</v>
      </c>
      <c r="AI65" s="108">
        <v>87974207684.055618</v>
      </c>
      <c r="AJ65" s="108">
        <v>92075431566.159027</v>
      </c>
      <c r="AK65" s="108">
        <v>638709172.51887488</v>
      </c>
      <c r="AL65" s="108">
        <v>757347486.81815767</v>
      </c>
      <c r="AM65" s="108">
        <v>1320875081.4542994</v>
      </c>
      <c r="AN65" s="108">
        <v>2123848870.218951</v>
      </c>
      <c r="AO65" s="108">
        <v>1883043666.6266551</v>
      </c>
      <c r="AP65" s="108">
        <v>1932439234.975369</v>
      </c>
      <c r="AQ65" s="108">
        <v>210300057.15471765</v>
      </c>
      <c r="AR65" s="108">
        <v>252920363.88262552</v>
      </c>
      <c r="AS65" s="108">
        <v>404139024.93930125</v>
      </c>
      <c r="AT65" s="108">
        <v>1392380401.9597266</v>
      </c>
      <c r="AU65" s="108">
        <v>4601371872.6991272</v>
      </c>
      <c r="AV65" s="108">
        <v>7681979780.2068281</v>
      </c>
    </row>
    <row r="66" spans="1:48" x14ac:dyDescent="0.35">
      <c r="A66" s="107">
        <f xml:space="preserve"> ROW( slrImpacts[[#This Row],[row_id]] ) - ROW( slrImpacts[[#Headers],[row_id]] )</f>
        <v>65</v>
      </c>
      <c r="B66" s="104">
        <v>2064</v>
      </c>
      <c r="C66" s="104" t="s">
        <v>86</v>
      </c>
      <c r="D66" s="104" t="s">
        <v>87</v>
      </c>
      <c r="E66" s="104" t="s">
        <v>922</v>
      </c>
      <c r="F66" s="104"/>
      <c r="G66" s="105">
        <v>0</v>
      </c>
      <c r="H66" s="105">
        <v>0</v>
      </c>
      <c r="I66" s="105">
        <v>0</v>
      </c>
      <c r="J66" s="105">
        <v>0</v>
      </c>
      <c r="K66" s="105">
        <v>0</v>
      </c>
      <c r="L66" s="105">
        <v>0</v>
      </c>
      <c r="M66" s="106">
        <v>1117379828.9100425</v>
      </c>
      <c r="N66" s="106">
        <v>1212246459.0714173</v>
      </c>
      <c r="O66" s="106">
        <v>1632969812.818727</v>
      </c>
      <c r="P66" s="106">
        <v>2128697104.0732284</v>
      </c>
      <c r="Q66" s="106">
        <v>6684960989.6327705</v>
      </c>
      <c r="R66" s="106">
        <v>11460577939.642904</v>
      </c>
      <c r="S66" s="105">
        <v>0</v>
      </c>
      <c r="T66" s="105">
        <v>0</v>
      </c>
      <c r="U66" s="105">
        <v>0</v>
      </c>
      <c r="V66" s="105">
        <v>0</v>
      </c>
      <c r="W66" s="105">
        <v>0</v>
      </c>
      <c r="X66" s="105">
        <v>0</v>
      </c>
      <c r="Y66" s="106">
        <v>105753648.96834692</v>
      </c>
      <c r="Z66" s="106">
        <v>114427483.49063885</v>
      </c>
      <c r="AA66" s="106">
        <v>143991811.16878065</v>
      </c>
      <c r="AB66" s="108">
        <v>180809485.30319983</v>
      </c>
      <c r="AC66" s="108">
        <v>558458471.04887676</v>
      </c>
      <c r="AD66" s="108">
        <v>1311942959.0070834</v>
      </c>
      <c r="AE66" s="108">
        <v>4740128852.4617624</v>
      </c>
      <c r="AF66" s="108">
        <v>5666464203.4013529</v>
      </c>
      <c r="AG66" s="108">
        <v>10772365043.414949</v>
      </c>
      <c r="AH66" s="108">
        <v>30590955709.877026</v>
      </c>
      <c r="AI66" s="108">
        <v>93893493548.234772</v>
      </c>
      <c r="AJ66" s="108">
        <v>94295376797.111465</v>
      </c>
      <c r="AK66" s="108">
        <v>650772569.24124765</v>
      </c>
      <c r="AL66" s="108">
        <v>771498350.92118049</v>
      </c>
      <c r="AM66" s="108">
        <v>1353329087.4715939</v>
      </c>
      <c r="AN66" s="108">
        <v>2196913699.7148414</v>
      </c>
      <c r="AO66" s="108">
        <v>1838962762.4566808</v>
      </c>
      <c r="AP66" s="108">
        <v>1906415426.1254933</v>
      </c>
      <c r="AQ66" s="108">
        <v>212062782.09859431</v>
      </c>
      <c r="AR66" s="108">
        <v>255618020.08649531</v>
      </c>
      <c r="AS66" s="108">
        <v>410782023.31482565</v>
      </c>
      <c r="AT66" s="108">
        <v>1493689811.4099658</v>
      </c>
      <c r="AU66" s="108">
        <v>4904815665.3886929</v>
      </c>
      <c r="AV66" s="108">
        <v>7962179758.3758974</v>
      </c>
    </row>
    <row r="67" spans="1:48" x14ac:dyDescent="0.35">
      <c r="A67" s="107">
        <f xml:space="preserve"> ROW( slrImpacts[[#This Row],[row_id]] ) - ROW( slrImpacts[[#Headers],[row_id]] )</f>
        <v>66</v>
      </c>
      <c r="B67" s="104">
        <v>2065</v>
      </c>
      <c r="C67" s="104" t="s">
        <v>86</v>
      </c>
      <c r="D67" s="104" t="s">
        <v>87</v>
      </c>
      <c r="E67" s="104" t="s">
        <v>922</v>
      </c>
      <c r="F67" s="104"/>
      <c r="G67" s="105">
        <v>0</v>
      </c>
      <c r="H67" s="105">
        <v>0</v>
      </c>
      <c r="I67" s="105">
        <v>0</v>
      </c>
      <c r="J67" s="105">
        <v>0</v>
      </c>
      <c r="K67" s="105">
        <v>0</v>
      </c>
      <c r="L67" s="105">
        <v>0</v>
      </c>
      <c r="M67" s="106">
        <v>1127634000.6065512</v>
      </c>
      <c r="N67" s="106">
        <v>1225002601.8004608</v>
      </c>
      <c r="O67" s="106">
        <v>1665680717.0613554</v>
      </c>
      <c r="P67" s="106">
        <v>2369130203.5391488</v>
      </c>
      <c r="Q67" s="106">
        <v>7589621771.2264576</v>
      </c>
      <c r="R67" s="106">
        <v>13327216964.458002</v>
      </c>
      <c r="S67" s="105">
        <v>0</v>
      </c>
      <c r="T67" s="105">
        <v>0</v>
      </c>
      <c r="U67" s="105">
        <v>0</v>
      </c>
      <c r="V67" s="105">
        <v>0</v>
      </c>
      <c r="W67" s="105">
        <v>0</v>
      </c>
      <c r="X67" s="105">
        <v>0</v>
      </c>
      <c r="Y67" s="106">
        <v>106308821.72075017</v>
      </c>
      <c r="Z67" s="106">
        <v>115332552.89531103</v>
      </c>
      <c r="AA67" s="106">
        <v>146543575.02772772</v>
      </c>
      <c r="AB67" s="108">
        <v>190240349.48284483</v>
      </c>
      <c r="AC67" s="108">
        <v>674647763.74031079</v>
      </c>
      <c r="AD67" s="108">
        <v>1400922724.2913902</v>
      </c>
      <c r="AE67" s="108">
        <v>4828969280.0928097</v>
      </c>
      <c r="AF67" s="108">
        <v>5796209824.458581</v>
      </c>
      <c r="AG67" s="108">
        <v>12101370789.052288</v>
      </c>
      <c r="AH67" s="108">
        <v>36014371369.262871</v>
      </c>
      <c r="AI67" s="108">
        <v>99485792465.456131</v>
      </c>
      <c r="AJ67" s="108">
        <v>99465308643.978287</v>
      </c>
      <c r="AK67" s="108">
        <v>673051352.29296505</v>
      </c>
      <c r="AL67" s="108">
        <v>804288590.4228586</v>
      </c>
      <c r="AM67" s="108">
        <v>1423051536.996603</v>
      </c>
      <c r="AN67" s="108">
        <v>2221118248.6994791</v>
      </c>
      <c r="AO67" s="108">
        <v>1770243817.0348208</v>
      </c>
      <c r="AP67" s="108">
        <v>1847147420.8161654</v>
      </c>
      <c r="AQ67" s="108">
        <v>215604001.46243176</v>
      </c>
      <c r="AR67" s="108">
        <v>261053616.38396928</v>
      </c>
      <c r="AS67" s="108">
        <v>425817521.45053703</v>
      </c>
      <c r="AT67" s="108">
        <v>1856485697.1677251</v>
      </c>
      <c r="AU67" s="108">
        <v>5551014393.8132811</v>
      </c>
      <c r="AV67" s="108">
        <v>8817805111.6186771</v>
      </c>
    </row>
    <row r="68" spans="1:48" x14ac:dyDescent="0.35">
      <c r="A68" s="107">
        <f xml:space="preserve"> ROW( slrImpacts[[#This Row],[row_id]] ) - ROW( slrImpacts[[#Headers],[row_id]] )</f>
        <v>67</v>
      </c>
      <c r="B68" s="104">
        <v>2066</v>
      </c>
      <c r="C68" s="104" t="s">
        <v>86</v>
      </c>
      <c r="D68" s="104" t="s">
        <v>87</v>
      </c>
      <c r="E68" s="104" t="s">
        <v>922</v>
      </c>
      <c r="F68" s="104"/>
      <c r="G68" s="105">
        <v>0</v>
      </c>
      <c r="H68" s="105">
        <v>0</v>
      </c>
      <c r="I68" s="105">
        <v>0</v>
      </c>
      <c r="J68" s="105">
        <v>0</v>
      </c>
      <c r="K68" s="105">
        <v>0</v>
      </c>
      <c r="L68" s="105">
        <v>0</v>
      </c>
      <c r="M68" s="106">
        <v>1131825060.2596369</v>
      </c>
      <c r="N68" s="106">
        <v>1231002650.3968832</v>
      </c>
      <c r="O68" s="106">
        <v>1677883040.1377873</v>
      </c>
      <c r="P68" s="106">
        <v>2571480751.2989807</v>
      </c>
      <c r="Q68" s="106">
        <v>8069674950.3899107</v>
      </c>
      <c r="R68" s="106">
        <v>14443635432.641588</v>
      </c>
      <c r="S68" s="105">
        <v>0</v>
      </c>
      <c r="T68" s="105">
        <v>0</v>
      </c>
      <c r="U68" s="105">
        <v>0</v>
      </c>
      <c r="V68" s="105">
        <v>0</v>
      </c>
      <c r="W68" s="105">
        <v>0</v>
      </c>
      <c r="X68" s="105">
        <v>0</v>
      </c>
      <c r="Y68" s="106">
        <v>106577068.05414841</v>
      </c>
      <c r="Z68" s="106">
        <v>115709984.52980231</v>
      </c>
      <c r="AA68" s="106">
        <v>147823912.18242458</v>
      </c>
      <c r="AB68" s="108">
        <v>197399512.19025025</v>
      </c>
      <c r="AC68" s="108">
        <v>754834175.54581916</v>
      </c>
      <c r="AD68" s="108">
        <v>1394876039.2199972</v>
      </c>
      <c r="AE68" s="108">
        <v>4877435317.2045469</v>
      </c>
      <c r="AF68" s="108">
        <v>5854674281.1154003</v>
      </c>
      <c r="AG68" s="108">
        <v>13091328249.699032</v>
      </c>
      <c r="AH68" s="108">
        <v>40389251706.647453</v>
      </c>
      <c r="AI68" s="108">
        <v>99158805518.498398</v>
      </c>
      <c r="AJ68" s="108">
        <v>102415295259.89279</v>
      </c>
      <c r="AK68" s="108">
        <v>683266738.62230992</v>
      </c>
      <c r="AL68" s="108">
        <v>822927965.82151425</v>
      </c>
      <c r="AM68" s="108">
        <v>1460319980.5043175</v>
      </c>
      <c r="AN68" s="108">
        <v>2172257968.1882253</v>
      </c>
      <c r="AO68" s="108">
        <v>1745605775.7829359</v>
      </c>
      <c r="AP68" s="108">
        <v>1813903224.3567138</v>
      </c>
      <c r="AQ68" s="108">
        <v>217382495.88239247</v>
      </c>
      <c r="AR68" s="108">
        <v>263791556.47757334</v>
      </c>
      <c r="AS68" s="108">
        <v>434210021.21072388</v>
      </c>
      <c r="AT68" s="108">
        <v>2117972173.475244</v>
      </c>
      <c r="AU68" s="108">
        <v>5893769329.5482998</v>
      </c>
      <c r="AV68" s="108">
        <v>9393230486.6923866</v>
      </c>
    </row>
    <row r="69" spans="1:48" x14ac:dyDescent="0.35">
      <c r="A69" s="107">
        <f xml:space="preserve"> ROW( slrImpacts[[#This Row],[row_id]] ) - ROW( slrImpacts[[#Headers],[row_id]] )</f>
        <v>68</v>
      </c>
      <c r="B69" s="104">
        <v>2067</v>
      </c>
      <c r="C69" s="104" t="s">
        <v>86</v>
      </c>
      <c r="D69" s="104" t="s">
        <v>87</v>
      </c>
      <c r="E69" s="104" t="s">
        <v>922</v>
      </c>
      <c r="F69" s="104"/>
      <c r="G69" s="105">
        <v>0</v>
      </c>
      <c r="H69" s="105">
        <v>0</v>
      </c>
      <c r="I69" s="105">
        <v>0</v>
      </c>
      <c r="J69" s="105">
        <v>0</v>
      </c>
      <c r="K69" s="105">
        <v>0</v>
      </c>
      <c r="L69" s="105">
        <v>0</v>
      </c>
      <c r="M69" s="106">
        <v>1136016119.9127226</v>
      </c>
      <c r="N69" s="106">
        <v>1237002698.9933052</v>
      </c>
      <c r="O69" s="106">
        <v>1690085363.2142196</v>
      </c>
      <c r="P69" s="106">
        <v>2773831299.0588102</v>
      </c>
      <c r="Q69" s="106">
        <v>8549728129.5533705</v>
      </c>
      <c r="R69" s="106">
        <v>15560053900.825159</v>
      </c>
      <c r="S69" s="105">
        <v>0</v>
      </c>
      <c r="T69" s="105">
        <v>0</v>
      </c>
      <c r="U69" s="105">
        <v>0</v>
      </c>
      <c r="V69" s="105">
        <v>0</v>
      </c>
      <c r="W69" s="105">
        <v>0</v>
      </c>
      <c r="X69" s="105">
        <v>0</v>
      </c>
      <c r="Y69" s="106">
        <v>106845314.38754667</v>
      </c>
      <c r="Z69" s="106">
        <v>116087416.16429351</v>
      </c>
      <c r="AA69" s="106">
        <v>149104249.33712146</v>
      </c>
      <c r="AB69" s="108">
        <v>204558674.89765558</v>
      </c>
      <c r="AC69" s="108">
        <v>835020587.35132766</v>
      </c>
      <c r="AD69" s="108">
        <v>1388829354.1486049</v>
      </c>
      <c r="AE69" s="108">
        <v>4925901354.3162851</v>
      </c>
      <c r="AF69" s="108">
        <v>5913138737.7722082</v>
      </c>
      <c r="AG69" s="108">
        <v>14081285710.345787</v>
      </c>
      <c r="AH69" s="108">
        <v>44764132044.031982</v>
      </c>
      <c r="AI69" s="108">
        <v>98831818571.540588</v>
      </c>
      <c r="AJ69" s="108">
        <v>105365281875.80727</v>
      </c>
      <c r="AK69" s="108">
        <v>693482124.95165515</v>
      </c>
      <c r="AL69" s="108">
        <v>841567341.22016966</v>
      </c>
      <c r="AM69" s="108">
        <v>1497588424.0120327</v>
      </c>
      <c r="AN69" s="108">
        <v>2123397687.6769731</v>
      </c>
      <c r="AO69" s="108">
        <v>1720967734.5310512</v>
      </c>
      <c r="AP69" s="108">
        <v>1780659027.8972623</v>
      </c>
      <c r="AQ69" s="108">
        <v>219160990.30235332</v>
      </c>
      <c r="AR69" s="108">
        <v>266529496.57117748</v>
      </c>
      <c r="AS69" s="108">
        <v>442602520.97091055</v>
      </c>
      <c r="AT69" s="108">
        <v>2379458649.782763</v>
      </c>
      <c r="AU69" s="108">
        <v>6236524265.2833204</v>
      </c>
      <c r="AV69" s="108">
        <v>9968655861.7660885</v>
      </c>
    </row>
    <row r="70" spans="1:48" x14ac:dyDescent="0.35">
      <c r="A70" s="107">
        <f xml:space="preserve"> ROW( slrImpacts[[#This Row],[row_id]] ) - ROW( slrImpacts[[#Headers],[row_id]] )</f>
        <v>69</v>
      </c>
      <c r="B70" s="104">
        <v>2068</v>
      </c>
      <c r="C70" s="104" t="s">
        <v>86</v>
      </c>
      <c r="D70" s="104" t="s">
        <v>87</v>
      </c>
      <c r="E70" s="104" t="s">
        <v>922</v>
      </c>
      <c r="F70" s="104"/>
      <c r="G70" s="105">
        <v>0</v>
      </c>
      <c r="H70" s="105">
        <v>0</v>
      </c>
      <c r="I70" s="105">
        <v>0</v>
      </c>
      <c r="J70" s="105">
        <v>0</v>
      </c>
      <c r="K70" s="105">
        <v>0</v>
      </c>
      <c r="L70" s="105">
        <v>0</v>
      </c>
      <c r="M70" s="106">
        <v>1140207179.5658085</v>
      </c>
      <c r="N70" s="106">
        <v>1243002747.5897269</v>
      </c>
      <c r="O70" s="106">
        <v>1702287686.2906532</v>
      </c>
      <c r="P70" s="106">
        <v>2976181846.8186407</v>
      </c>
      <c r="Q70" s="106">
        <v>9029781308.7168236</v>
      </c>
      <c r="R70" s="106">
        <v>16676472369.008745</v>
      </c>
      <c r="S70" s="105">
        <v>0</v>
      </c>
      <c r="T70" s="105">
        <v>0</v>
      </c>
      <c r="U70" s="105">
        <v>0</v>
      </c>
      <c r="V70" s="105">
        <v>0</v>
      </c>
      <c r="W70" s="105">
        <v>0</v>
      </c>
      <c r="X70" s="105">
        <v>0</v>
      </c>
      <c r="Y70" s="106">
        <v>107113560.72094485</v>
      </c>
      <c r="Z70" s="106">
        <v>116464847.79878475</v>
      </c>
      <c r="AA70" s="106">
        <v>150384586.49181834</v>
      </c>
      <c r="AB70" s="108">
        <v>211717837.60506099</v>
      </c>
      <c r="AC70" s="108">
        <v>915206999.15683591</v>
      </c>
      <c r="AD70" s="108">
        <v>1382782669.0772126</v>
      </c>
      <c r="AE70" s="108">
        <v>4974367391.4280176</v>
      </c>
      <c r="AF70" s="108">
        <v>5971603194.4290285</v>
      </c>
      <c r="AG70" s="108">
        <v>15071243170.99254</v>
      </c>
      <c r="AH70" s="108">
        <v>49139012381.416481</v>
      </c>
      <c r="AI70" s="108">
        <v>98504831624.58287</v>
      </c>
      <c r="AJ70" s="108">
        <v>108315268491.72171</v>
      </c>
      <c r="AK70" s="108">
        <v>703697511.28100014</v>
      </c>
      <c r="AL70" s="108">
        <v>860206716.61882496</v>
      </c>
      <c r="AM70" s="108">
        <v>1534856867.519748</v>
      </c>
      <c r="AN70" s="108">
        <v>2074537407.16572</v>
      </c>
      <c r="AO70" s="108">
        <v>1696329693.279166</v>
      </c>
      <c r="AP70" s="108">
        <v>1747414831.4378109</v>
      </c>
      <c r="AQ70" s="108">
        <v>220939484.72231412</v>
      </c>
      <c r="AR70" s="108">
        <v>269267436.66478157</v>
      </c>
      <c r="AS70" s="108">
        <v>450995020.73109758</v>
      </c>
      <c r="AT70" s="108">
        <v>2640945126.0902824</v>
      </c>
      <c r="AU70" s="108">
        <v>6579279201.0183392</v>
      </c>
      <c r="AV70" s="108">
        <v>10544081236.839798</v>
      </c>
    </row>
    <row r="71" spans="1:48" x14ac:dyDescent="0.35">
      <c r="A71" s="107">
        <f xml:space="preserve"> ROW( slrImpacts[[#This Row],[row_id]] ) - ROW( slrImpacts[[#Headers],[row_id]] )</f>
        <v>70</v>
      </c>
      <c r="B71" s="104">
        <v>2069</v>
      </c>
      <c r="C71" s="104" t="s">
        <v>86</v>
      </c>
      <c r="D71" s="104" t="s">
        <v>87</v>
      </c>
      <c r="E71" s="104" t="s">
        <v>922</v>
      </c>
      <c r="F71" s="104"/>
      <c r="G71" s="105">
        <v>0</v>
      </c>
      <c r="H71" s="105">
        <v>0</v>
      </c>
      <c r="I71" s="105">
        <v>0</v>
      </c>
      <c r="J71" s="105">
        <v>0</v>
      </c>
      <c r="K71" s="105">
        <v>0</v>
      </c>
      <c r="L71" s="105">
        <v>0</v>
      </c>
      <c r="M71" s="106">
        <v>1144398239.2188928</v>
      </c>
      <c r="N71" s="106">
        <v>1249002796.1861503</v>
      </c>
      <c r="O71" s="106">
        <v>1714490009.3670857</v>
      </c>
      <c r="P71" s="106">
        <v>3178532394.5784726</v>
      </c>
      <c r="Q71" s="106">
        <v>9509834487.8802814</v>
      </c>
      <c r="R71" s="106">
        <v>17792890837.192318</v>
      </c>
      <c r="S71" s="105">
        <v>0</v>
      </c>
      <c r="T71" s="105">
        <v>0</v>
      </c>
      <c r="U71" s="105">
        <v>0</v>
      </c>
      <c r="V71" s="105">
        <v>0</v>
      </c>
      <c r="W71" s="105">
        <v>0</v>
      </c>
      <c r="X71" s="105">
        <v>0</v>
      </c>
      <c r="Y71" s="106">
        <v>107381807.05434307</v>
      </c>
      <c r="Z71" s="106">
        <v>116842279.43327598</v>
      </c>
      <c r="AA71" s="106">
        <v>151664923.64651519</v>
      </c>
      <c r="AB71" s="108">
        <v>218877000.31246632</v>
      </c>
      <c r="AC71" s="108">
        <v>995393410.96234453</v>
      </c>
      <c r="AD71" s="108">
        <v>1376735984.0058193</v>
      </c>
      <c r="AE71" s="108">
        <v>5022833428.539753</v>
      </c>
      <c r="AF71" s="108">
        <v>6030067651.085844</v>
      </c>
      <c r="AG71" s="108">
        <v>16061200631.639292</v>
      </c>
      <c r="AH71" s="108">
        <v>53513892718.801025</v>
      </c>
      <c r="AI71" s="108">
        <v>98177844677.625198</v>
      </c>
      <c r="AJ71" s="108">
        <v>111265255107.63614</v>
      </c>
      <c r="AK71" s="108">
        <v>713912897.61034501</v>
      </c>
      <c r="AL71" s="108">
        <v>878846092.01748085</v>
      </c>
      <c r="AM71" s="108">
        <v>1572125311.0274632</v>
      </c>
      <c r="AN71" s="108">
        <v>2025677126.6544669</v>
      </c>
      <c r="AO71" s="108">
        <v>1671691652.0272813</v>
      </c>
      <c r="AP71" s="108">
        <v>1714170634.978359</v>
      </c>
      <c r="AQ71" s="108">
        <v>222717979.14227483</v>
      </c>
      <c r="AR71" s="108">
        <v>272005376.75838578</v>
      </c>
      <c r="AS71" s="108">
        <v>459387520.49128431</v>
      </c>
      <c r="AT71" s="108">
        <v>2902431602.3978019</v>
      </c>
      <c r="AU71" s="108">
        <v>6922034136.7533627</v>
      </c>
      <c r="AV71" s="108">
        <v>11119506611.913507</v>
      </c>
    </row>
    <row r="72" spans="1:48" x14ac:dyDescent="0.35">
      <c r="A72" s="107">
        <f xml:space="preserve"> ROW( slrImpacts[[#This Row],[row_id]] ) - ROW( slrImpacts[[#Headers],[row_id]] )</f>
        <v>71</v>
      </c>
      <c r="B72" s="104">
        <v>2070</v>
      </c>
      <c r="C72" s="104" t="s">
        <v>86</v>
      </c>
      <c r="D72" s="104" t="s">
        <v>87</v>
      </c>
      <c r="E72" s="104" t="s">
        <v>922</v>
      </c>
      <c r="F72" s="104"/>
      <c r="G72" s="105">
        <v>0</v>
      </c>
      <c r="H72" s="105">
        <v>0</v>
      </c>
      <c r="I72" s="105">
        <v>0</v>
      </c>
      <c r="J72" s="105">
        <v>0</v>
      </c>
      <c r="K72" s="105">
        <v>0</v>
      </c>
      <c r="L72" s="105">
        <v>0</v>
      </c>
      <c r="M72" s="106">
        <v>1148589298.8719788</v>
      </c>
      <c r="N72" s="106">
        <v>1255002844.7825718</v>
      </c>
      <c r="O72" s="106">
        <v>1726692332.4435179</v>
      </c>
      <c r="P72" s="106">
        <v>3380882942.3383045</v>
      </c>
      <c r="Q72" s="106">
        <v>9989887667.0437355</v>
      </c>
      <c r="R72" s="106">
        <v>18909309305.375896</v>
      </c>
      <c r="S72" s="105">
        <v>0</v>
      </c>
      <c r="T72" s="105">
        <v>0</v>
      </c>
      <c r="U72" s="105">
        <v>0</v>
      </c>
      <c r="V72" s="105">
        <v>0</v>
      </c>
      <c r="W72" s="105">
        <v>0</v>
      </c>
      <c r="X72" s="105">
        <v>0</v>
      </c>
      <c r="Y72" s="106">
        <v>107650053.38774136</v>
      </c>
      <c r="Z72" s="106">
        <v>117219711.06776725</v>
      </c>
      <c r="AA72" s="106">
        <v>152945260.80121204</v>
      </c>
      <c r="AB72" s="108">
        <v>226036163.01987177</v>
      </c>
      <c r="AC72" s="108">
        <v>1075579822.7678533</v>
      </c>
      <c r="AD72" s="108">
        <v>1370689298.9344273</v>
      </c>
      <c r="AE72" s="108">
        <v>5071299465.6514931</v>
      </c>
      <c r="AF72" s="108">
        <v>6088532107.7426605</v>
      </c>
      <c r="AG72" s="108">
        <v>17051158092.286037</v>
      </c>
      <c r="AH72" s="108">
        <v>57888773056.1856</v>
      </c>
      <c r="AI72" s="108">
        <v>97850857730.667419</v>
      </c>
      <c r="AJ72" s="108">
        <v>114215241723.55057</v>
      </c>
      <c r="AK72" s="108">
        <v>724128283.93968987</v>
      </c>
      <c r="AL72" s="108">
        <v>897485467.4161365</v>
      </c>
      <c r="AM72" s="108">
        <v>1609393754.5351782</v>
      </c>
      <c r="AN72" s="108">
        <v>1976816846.1432142</v>
      </c>
      <c r="AO72" s="108">
        <v>1647053610.7753963</v>
      </c>
      <c r="AP72" s="108">
        <v>1680926438.5189075</v>
      </c>
      <c r="AQ72" s="108">
        <v>224496473.56223559</v>
      </c>
      <c r="AR72" s="108">
        <v>274743316.85198992</v>
      </c>
      <c r="AS72" s="108">
        <v>467780020.25147146</v>
      </c>
      <c r="AT72" s="108">
        <v>3163918078.7053208</v>
      </c>
      <c r="AU72" s="108">
        <v>7264789072.4883804</v>
      </c>
      <c r="AV72" s="108">
        <v>11694931986.987213</v>
      </c>
    </row>
    <row r="73" spans="1:48" x14ac:dyDescent="0.35">
      <c r="A73" s="107">
        <f xml:space="preserve"> ROW( slrImpacts[[#This Row],[row_id]] ) - ROW( slrImpacts[[#Headers],[row_id]] )</f>
        <v>72</v>
      </c>
      <c r="B73" s="104">
        <v>2071</v>
      </c>
      <c r="C73" s="104" t="s">
        <v>86</v>
      </c>
      <c r="D73" s="104" t="s">
        <v>87</v>
      </c>
      <c r="E73" s="104" t="s">
        <v>922</v>
      </c>
      <c r="F73" s="104"/>
      <c r="G73" s="105">
        <v>0</v>
      </c>
      <c r="H73" s="105">
        <v>0</v>
      </c>
      <c r="I73" s="105">
        <v>0</v>
      </c>
      <c r="J73" s="105">
        <v>0</v>
      </c>
      <c r="K73" s="105">
        <v>0</v>
      </c>
      <c r="L73" s="105">
        <v>0</v>
      </c>
      <c r="M73" s="106">
        <v>1152780358.5250654</v>
      </c>
      <c r="N73" s="106">
        <v>1261002893.3789942</v>
      </c>
      <c r="O73" s="106">
        <v>1738894655.5199504</v>
      </c>
      <c r="P73" s="106">
        <v>3583233490.0981326</v>
      </c>
      <c r="Q73" s="106">
        <v>10469940846.207186</v>
      </c>
      <c r="R73" s="106">
        <v>20025727773.559464</v>
      </c>
      <c r="S73" s="105">
        <v>0</v>
      </c>
      <c r="T73" s="105">
        <v>0</v>
      </c>
      <c r="U73" s="105">
        <v>0</v>
      </c>
      <c r="V73" s="105">
        <v>0</v>
      </c>
      <c r="W73" s="105">
        <v>0</v>
      </c>
      <c r="X73" s="105">
        <v>0</v>
      </c>
      <c r="Y73" s="106">
        <v>107918299.72113961</v>
      </c>
      <c r="Z73" s="106">
        <v>117597142.70225847</v>
      </c>
      <c r="AA73" s="106">
        <v>154225597.95590892</v>
      </c>
      <c r="AB73" s="108">
        <v>233195325.72727713</v>
      </c>
      <c r="AC73" s="108">
        <v>1155766234.5733614</v>
      </c>
      <c r="AD73" s="108">
        <v>1364642613.8630347</v>
      </c>
      <c r="AE73" s="108">
        <v>5119765502.7632294</v>
      </c>
      <c r="AF73" s="108">
        <v>6146996564.3994761</v>
      </c>
      <c r="AG73" s="108">
        <v>18041115552.932793</v>
      </c>
      <c r="AH73" s="108">
        <v>62263653393.570099</v>
      </c>
      <c r="AI73" s="108">
        <v>97523870783.709625</v>
      </c>
      <c r="AJ73" s="108">
        <v>117165228339.46509</v>
      </c>
      <c r="AK73" s="108">
        <v>734343670.2690351</v>
      </c>
      <c r="AL73" s="108">
        <v>916124842.8147918</v>
      </c>
      <c r="AM73" s="108">
        <v>1646662198.0428934</v>
      </c>
      <c r="AN73" s="108">
        <v>1927956565.6319611</v>
      </c>
      <c r="AO73" s="108">
        <v>1622415569.5235121</v>
      </c>
      <c r="AP73" s="108">
        <v>1647682242.0594561</v>
      </c>
      <c r="AQ73" s="108">
        <v>226274967.98219639</v>
      </c>
      <c r="AR73" s="108">
        <v>277481256.94559413</v>
      </c>
      <c r="AS73" s="108">
        <v>476172520.01165819</v>
      </c>
      <c r="AT73" s="108">
        <v>3425404555.0128403</v>
      </c>
      <c r="AU73" s="108">
        <v>7607544008.2234011</v>
      </c>
      <c r="AV73" s="108">
        <v>12270357362.060919</v>
      </c>
    </row>
    <row r="74" spans="1:48" x14ac:dyDescent="0.35">
      <c r="A74" s="107">
        <f xml:space="preserve"> ROW( slrImpacts[[#This Row],[row_id]] ) - ROW( slrImpacts[[#Headers],[row_id]] )</f>
        <v>73</v>
      </c>
      <c r="B74" s="104">
        <v>2072</v>
      </c>
      <c r="C74" s="104" t="s">
        <v>86</v>
      </c>
      <c r="D74" s="104" t="s">
        <v>87</v>
      </c>
      <c r="E74" s="104" t="s">
        <v>922</v>
      </c>
      <c r="F74" s="104"/>
      <c r="G74" s="105">
        <v>0</v>
      </c>
      <c r="H74" s="105">
        <v>0</v>
      </c>
      <c r="I74" s="105">
        <v>0</v>
      </c>
      <c r="J74" s="105">
        <v>0</v>
      </c>
      <c r="K74" s="105">
        <v>0</v>
      </c>
      <c r="L74" s="105">
        <v>0</v>
      </c>
      <c r="M74" s="106">
        <v>1156971418.1781499</v>
      </c>
      <c r="N74" s="106">
        <v>1267002941.9754164</v>
      </c>
      <c r="O74" s="106">
        <v>1751096978.5963824</v>
      </c>
      <c r="P74" s="106">
        <v>3785584037.8579664</v>
      </c>
      <c r="Q74" s="106">
        <v>10949994025.370644</v>
      </c>
      <c r="R74" s="106">
        <v>21142146241.743053</v>
      </c>
      <c r="S74" s="105">
        <v>0</v>
      </c>
      <c r="T74" s="105">
        <v>0</v>
      </c>
      <c r="U74" s="105">
        <v>0</v>
      </c>
      <c r="V74" s="105">
        <v>0</v>
      </c>
      <c r="W74" s="105">
        <v>0</v>
      </c>
      <c r="X74" s="105">
        <v>0</v>
      </c>
      <c r="Y74" s="106">
        <v>108186546.05453783</v>
      </c>
      <c r="Z74" s="106">
        <v>117974574.33674973</v>
      </c>
      <c r="AA74" s="106">
        <v>155505935.11060578</v>
      </c>
      <c r="AB74" s="108">
        <v>240354488.43468246</v>
      </c>
      <c r="AC74" s="108">
        <v>1235952646.3788698</v>
      </c>
      <c r="AD74" s="108">
        <v>1358595928.791642</v>
      </c>
      <c r="AE74" s="108">
        <v>5168231539.8749676</v>
      </c>
      <c r="AF74" s="108">
        <v>6205461021.0562963</v>
      </c>
      <c r="AG74" s="108">
        <v>19031073013.579548</v>
      </c>
      <c r="AH74" s="108">
        <v>66638533730.954605</v>
      </c>
      <c r="AI74" s="108">
        <v>97196883836.751846</v>
      </c>
      <c r="AJ74" s="108">
        <v>120115214955.37947</v>
      </c>
      <c r="AK74" s="108">
        <v>744559056.59838009</v>
      </c>
      <c r="AL74" s="108">
        <v>934764218.21344721</v>
      </c>
      <c r="AM74" s="108">
        <v>1683930641.5506082</v>
      </c>
      <c r="AN74" s="108">
        <v>1879096285.1207087</v>
      </c>
      <c r="AO74" s="108">
        <v>1597777528.2716272</v>
      </c>
      <c r="AP74" s="108">
        <v>1614438045.600004</v>
      </c>
      <c r="AQ74" s="108">
        <v>228053462.40215719</v>
      </c>
      <c r="AR74" s="108">
        <v>280219197.03919828</v>
      </c>
      <c r="AS74" s="108">
        <v>484565019.7718451</v>
      </c>
      <c r="AT74" s="108">
        <v>3686891031.3203592</v>
      </c>
      <c r="AU74" s="108">
        <v>7950298943.9584236</v>
      </c>
      <c r="AV74" s="108">
        <v>12845782737.134626</v>
      </c>
    </row>
    <row r="75" spans="1:48" x14ac:dyDescent="0.35">
      <c r="A75" s="107">
        <f xml:space="preserve"> ROW( slrImpacts[[#This Row],[row_id]] ) - ROW( slrImpacts[[#Headers],[row_id]] )</f>
        <v>74</v>
      </c>
      <c r="B75" s="104">
        <v>2073</v>
      </c>
      <c r="C75" s="104" t="s">
        <v>86</v>
      </c>
      <c r="D75" s="104" t="s">
        <v>87</v>
      </c>
      <c r="E75" s="104" t="s">
        <v>922</v>
      </c>
      <c r="F75" s="104"/>
      <c r="G75" s="105">
        <v>0</v>
      </c>
      <c r="H75" s="105">
        <v>0</v>
      </c>
      <c r="I75" s="105">
        <v>0</v>
      </c>
      <c r="J75" s="105">
        <v>0</v>
      </c>
      <c r="K75" s="105">
        <v>0</v>
      </c>
      <c r="L75" s="105">
        <v>0</v>
      </c>
      <c r="M75" s="106">
        <v>1161162477.8312359</v>
      </c>
      <c r="N75" s="106">
        <v>1273002990.5718398</v>
      </c>
      <c r="O75" s="106">
        <v>1763299301.6728158</v>
      </c>
      <c r="P75" s="106">
        <v>3987934585.6177974</v>
      </c>
      <c r="Q75" s="106">
        <v>11430047204.534101</v>
      </c>
      <c r="R75" s="106">
        <v>22258564709.92662</v>
      </c>
      <c r="S75" s="105">
        <v>0</v>
      </c>
      <c r="T75" s="105">
        <v>0</v>
      </c>
      <c r="U75" s="105">
        <v>0</v>
      </c>
      <c r="V75" s="105">
        <v>0</v>
      </c>
      <c r="W75" s="105">
        <v>0</v>
      </c>
      <c r="X75" s="105">
        <v>0</v>
      </c>
      <c r="Y75" s="106">
        <v>108454792.38793607</v>
      </c>
      <c r="Z75" s="106">
        <v>118352005.97124094</v>
      </c>
      <c r="AA75" s="106">
        <v>156786272.26530263</v>
      </c>
      <c r="AB75" s="108">
        <v>247513651.14208785</v>
      </c>
      <c r="AC75" s="108">
        <v>1316139058.1843779</v>
      </c>
      <c r="AD75" s="108">
        <v>1352549243.7202497</v>
      </c>
      <c r="AE75" s="108">
        <v>5216697576.986702</v>
      </c>
      <c r="AF75" s="108">
        <v>6263925477.71311</v>
      </c>
      <c r="AG75" s="108">
        <v>20021030474.226288</v>
      </c>
      <c r="AH75" s="108">
        <v>71013414068.339096</v>
      </c>
      <c r="AI75" s="108">
        <v>96869896889.794052</v>
      </c>
      <c r="AJ75" s="108">
        <v>123065201571.29391</v>
      </c>
      <c r="AK75" s="108">
        <v>754774442.92772508</v>
      </c>
      <c r="AL75" s="108">
        <v>953403593.61210299</v>
      </c>
      <c r="AM75" s="108">
        <v>1721199085.0583239</v>
      </c>
      <c r="AN75" s="108">
        <v>1830236004.6094556</v>
      </c>
      <c r="AO75" s="108">
        <v>1573139487.019742</v>
      </c>
      <c r="AP75" s="108">
        <v>1581193849.1405525</v>
      </c>
      <c r="AQ75" s="108">
        <v>229831956.82211798</v>
      </c>
      <c r="AR75" s="108">
        <v>282957137.13280231</v>
      </c>
      <c r="AS75" s="108">
        <v>492957519.53203189</v>
      </c>
      <c r="AT75" s="108">
        <v>3948377507.6278782</v>
      </c>
      <c r="AU75" s="108">
        <v>8293053879.6934423</v>
      </c>
      <c r="AV75" s="108">
        <v>13421208112.20833</v>
      </c>
    </row>
    <row r="76" spans="1:48" x14ac:dyDescent="0.35">
      <c r="A76" s="107">
        <f xml:space="preserve"> ROW( slrImpacts[[#This Row],[row_id]] ) - ROW( slrImpacts[[#Headers],[row_id]] )</f>
        <v>75</v>
      </c>
      <c r="B76" s="104">
        <v>2074</v>
      </c>
      <c r="C76" s="104" t="s">
        <v>86</v>
      </c>
      <c r="D76" s="104" t="s">
        <v>87</v>
      </c>
      <c r="E76" s="104" t="s">
        <v>922</v>
      </c>
      <c r="F76" s="104"/>
      <c r="G76" s="105">
        <v>0</v>
      </c>
      <c r="H76" s="105">
        <v>0</v>
      </c>
      <c r="I76" s="105">
        <v>0</v>
      </c>
      <c r="J76" s="105">
        <v>0</v>
      </c>
      <c r="K76" s="105">
        <v>0</v>
      </c>
      <c r="L76" s="105">
        <v>0</v>
      </c>
      <c r="M76" s="106">
        <v>1165353537.4843209</v>
      </c>
      <c r="N76" s="106">
        <v>1279003039.1682618</v>
      </c>
      <c r="O76" s="106">
        <v>1775501624.7492471</v>
      </c>
      <c r="P76" s="106">
        <v>4190285133.3776269</v>
      </c>
      <c r="Q76" s="106">
        <v>11910100383.697557</v>
      </c>
      <c r="R76" s="106">
        <v>23374983178.11021</v>
      </c>
      <c r="S76" s="105">
        <v>0</v>
      </c>
      <c r="T76" s="105">
        <v>0</v>
      </c>
      <c r="U76" s="105">
        <v>0</v>
      </c>
      <c r="V76" s="105">
        <v>0</v>
      </c>
      <c r="W76" s="105">
        <v>0</v>
      </c>
      <c r="X76" s="105">
        <v>0</v>
      </c>
      <c r="Y76" s="106">
        <v>108723038.72133434</v>
      </c>
      <c r="Z76" s="106">
        <v>118729437.60573222</v>
      </c>
      <c r="AA76" s="106">
        <v>158066609.41999948</v>
      </c>
      <c r="AB76" s="108">
        <v>254672813.84949321</v>
      </c>
      <c r="AC76" s="108">
        <v>1396325469.989887</v>
      </c>
      <c r="AD76" s="108">
        <v>1346502558.6488574</v>
      </c>
      <c r="AE76" s="108">
        <v>5265163614.0984383</v>
      </c>
      <c r="AF76" s="108">
        <v>6322389934.3699274</v>
      </c>
      <c r="AG76" s="108">
        <v>21010987934.873047</v>
      </c>
      <c r="AH76" s="108">
        <v>75388294405.723663</v>
      </c>
      <c r="AI76" s="108">
        <v>96542909942.836365</v>
      </c>
      <c r="AJ76" s="108">
        <v>126015188187.20837</v>
      </c>
      <c r="AK76" s="108">
        <v>764989829.25707006</v>
      </c>
      <c r="AL76" s="108">
        <v>972042969.01075876</v>
      </c>
      <c r="AM76" s="108">
        <v>1758467528.5660386</v>
      </c>
      <c r="AN76" s="108">
        <v>1781375724.0982025</v>
      </c>
      <c r="AO76" s="108">
        <v>1548501445.7678573</v>
      </c>
      <c r="AP76" s="108">
        <v>1547949652.6811013</v>
      </c>
      <c r="AQ76" s="108">
        <v>231610451.24207875</v>
      </c>
      <c r="AR76" s="108">
        <v>285695077.22640646</v>
      </c>
      <c r="AS76" s="108">
        <v>501350019.29221874</v>
      </c>
      <c r="AT76" s="108">
        <v>4209863983.9353981</v>
      </c>
      <c r="AU76" s="108">
        <v>8635808815.4284592</v>
      </c>
      <c r="AV76" s="108">
        <v>13996633487.282043</v>
      </c>
    </row>
    <row r="77" spans="1:48" x14ac:dyDescent="0.35">
      <c r="A77" s="107">
        <f xml:space="preserve"> ROW( slrImpacts[[#This Row],[row_id]] ) - ROW( slrImpacts[[#Headers],[row_id]] )</f>
        <v>76</v>
      </c>
      <c r="B77" s="104">
        <v>2075</v>
      </c>
      <c r="C77" s="104" t="s">
        <v>86</v>
      </c>
      <c r="D77" s="104" t="s">
        <v>87</v>
      </c>
      <c r="E77" s="104" t="s">
        <v>922</v>
      </c>
      <c r="F77" s="104"/>
      <c r="G77" s="105">
        <v>0</v>
      </c>
      <c r="H77" s="105">
        <v>0</v>
      </c>
      <c r="I77" s="105">
        <v>0</v>
      </c>
      <c r="J77" s="105">
        <v>0</v>
      </c>
      <c r="K77" s="105">
        <v>0</v>
      </c>
      <c r="L77" s="105">
        <v>0</v>
      </c>
      <c r="M77" s="106">
        <v>1173177440.9965038</v>
      </c>
      <c r="N77" s="106">
        <v>1288367282.6906714</v>
      </c>
      <c r="O77" s="106">
        <v>1822779263.5763924</v>
      </c>
      <c r="P77" s="106">
        <v>4845798311.2945499</v>
      </c>
      <c r="Q77" s="106">
        <v>13458670690.304575</v>
      </c>
      <c r="R77" s="106">
        <v>25541314919.33139</v>
      </c>
      <c r="S77" s="105">
        <v>0</v>
      </c>
      <c r="T77" s="105">
        <v>0</v>
      </c>
      <c r="U77" s="105">
        <v>0</v>
      </c>
      <c r="V77" s="105">
        <v>0</v>
      </c>
      <c r="W77" s="105">
        <v>0</v>
      </c>
      <c r="X77" s="105">
        <v>0</v>
      </c>
      <c r="Y77" s="106">
        <v>109256794.12470879</v>
      </c>
      <c r="Z77" s="106">
        <v>119497527.36236657</v>
      </c>
      <c r="AA77" s="106">
        <v>160963312.39379019</v>
      </c>
      <c r="AB77" s="108">
        <v>334685051.34333372</v>
      </c>
      <c r="AC77" s="108">
        <v>1464214791.7691529</v>
      </c>
      <c r="AD77" s="108">
        <v>1344270057.0377972</v>
      </c>
      <c r="AE77" s="108">
        <v>5355320439.4612722</v>
      </c>
      <c r="AF77" s="108">
        <v>6445375210.0867577</v>
      </c>
      <c r="AG77" s="108">
        <v>22913097745.756271</v>
      </c>
      <c r="AH77" s="108">
        <v>80610769726.482849</v>
      </c>
      <c r="AI77" s="108">
        <v>99279597816.446106</v>
      </c>
      <c r="AJ77" s="108">
        <v>132141382663.32037</v>
      </c>
      <c r="AK77" s="108">
        <v>790530801.07214952</v>
      </c>
      <c r="AL77" s="108">
        <v>1007105561.8035828</v>
      </c>
      <c r="AM77" s="108">
        <v>1817186376.218019</v>
      </c>
      <c r="AN77" s="108">
        <v>1713953688.1959374</v>
      </c>
      <c r="AO77" s="108">
        <v>1521895053.3982139</v>
      </c>
      <c r="AP77" s="108">
        <v>1564832642.5823903</v>
      </c>
      <c r="AQ77" s="108">
        <v>234964763.28317982</v>
      </c>
      <c r="AR77" s="108">
        <v>291373220.89641625</v>
      </c>
      <c r="AS77" s="108">
        <v>610158691.0721736</v>
      </c>
      <c r="AT77" s="108">
        <v>4676477150.6964912</v>
      </c>
      <c r="AU77" s="108">
        <v>9539477261.4353905</v>
      </c>
      <c r="AV77" s="108">
        <v>14728203012.078382</v>
      </c>
    </row>
    <row r="78" spans="1:48" x14ac:dyDescent="0.35">
      <c r="A78" s="107">
        <f xml:space="preserve"> ROW( slrImpacts[[#This Row],[row_id]] ) - ROW( slrImpacts[[#Headers],[row_id]] )</f>
        <v>77</v>
      </c>
      <c r="B78" s="104">
        <v>2076</v>
      </c>
      <c r="C78" s="104" t="s">
        <v>86</v>
      </c>
      <c r="D78" s="104" t="s">
        <v>87</v>
      </c>
      <c r="E78" s="104" t="s">
        <v>922</v>
      </c>
      <c r="F78" s="104"/>
      <c r="G78" s="105">
        <v>0</v>
      </c>
      <c r="H78" s="105">
        <v>0</v>
      </c>
      <c r="I78" s="105">
        <v>0</v>
      </c>
      <c r="J78" s="105">
        <v>0</v>
      </c>
      <c r="K78" s="105">
        <v>0</v>
      </c>
      <c r="L78" s="105">
        <v>0</v>
      </c>
      <c r="M78" s="106">
        <v>1176810284.8556011</v>
      </c>
      <c r="N78" s="106">
        <v>1291731477.6166589</v>
      </c>
      <c r="O78" s="106">
        <v>1857854579.3271039</v>
      </c>
      <c r="P78" s="106">
        <v>5298960941.4516382</v>
      </c>
      <c r="Q78" s="106">
        <v>14527187817.74814</v>
      </c>
      <c r="R78" s="106">
        <v>26591228192.36903</v>
      </c>
      <c r="S78" s="105">
        <v>0</v>
      </c>
      <c r="T78" s="105">
        <v>0</v>
      </c>
      <c r="U78" s="105">
        <v>0</v>
      </c>
      <c r="V78" s="105">
        <v>0</v>
      </c>
      <c r="W78" s="105">
        <v>0</v>
      </c>
      <c r="X78" s="105">
        <v>0</v>
      </c>
      <c r="Y78" s="106">
        <v>109522303.19468503</v>
      </c>
      <c r="Z78" s="106">
        <v>119888185.48450974</v>
      </c>
      <c r="AA78" s="106">
        <v>162579678.21288401</v>
      </c>
      <c r="AB78" s="108">
        <v>407538126.12976879</v>
      </c>
      <c r="AC78" s="108">
        <v>1451917701.7429101</v>
      </c>
      <c r="AD78" s="108">
        <v>1348084240.4981306</v>
      </c>
      <c r="AE78" s="108">
        <v>5397011227.7123737</v>
      </c>
      <c r="AF78" s="108">
        <v>6509896029.146781</v>
      </c>
      <c r="AG78" s="108">
        <v>23825250095.992741</v>
      </c>
      <c r="AH78" s="108">
        <v>81458364709.857513</v>
      </c>
      <c r="AI78" s="108">
        <v>102343272637.01363</v>
      </c>
      <c r="AJ78" s="108">
        <v>135317590523.51805</v>
      </c>
      <c r="AK78" s="108">
        <v>805856386.55788434</v>
      </c>
      <c r="AL78" s="108">
        <v>1023528779.1977515</v>
      </c>
      <c r="AM78" s="108">
        <v>1838636780.3622828</v>
      </c>
      <c r="AN78" s="108">
        <v>1695391932.8049247</v>
      </c>
      <c r="AO78" s="108">
        <v>1519926702.2804554</v>
      </c>
      <c r="AP78" s="108">
        <v>1614959828.943131</v>
      </c>
      <c r="AQ78" s="108">
        <v>236540580.90432009</v>
      </c>
      <c r="AR78" s="108">
        <v>294313424.47282183</v>
      </c>
      <c r="AS78" s="108">
        <v>710574863.09194136</v>
      </c>
      <c r="AT78" s="108">
        <v>4881603841.1500664</v>
      </c>
      <c r="AU78" s="108">
        <v>10100390771.707294</v>
      </c>
      <c r="AV78" s="108">
        <v>14884347161.801016</v>
      </c>
    </row>
    <row r="79" spans="1:48" x14ac:dyDescent="0.35">
      <c r="A79" s="107">
        <f xml:space="preserve"> ROW( slrImpacts[[#This Row],[row_id]] ) - ROW( slrImpacts[[#Headers],[row_id]] )</f>
        <v>78</v>
      </c>
      <c r="B79" s="104">
        <v>2077</v>
      </c>
      <c r="C79" s="104" t="s">
        <v>86</v>
      </c>
      <c r="D79" s="104" t="s">
        <v>87</v>
      </c>
      <c r="E79" s="104" t="s">
        <v>922</v>
      </c>
      <c r="F79" s="104"/>
      <c r="G79" s="105">
        <v>0</v>
      </c>
      <c r="H79" s="105">
        <v>0</v>
      </c>
      <c r="I79" s="105">
        <v>0</v>
      </c>
      <c r="J79" s="105">
        <v>0</v>
      </c>
      <c r="K79" s="105">
        <v>0</v>
      </c>
      <c r="L79" s="105">
        <v>0</v>
      </c>
      <c r="M79" s="106">
        <v>1180443128.7146978</v>
      </c>
      <c r="N79" s="106">
        <v>1295095672.5426469</v>
      </c>
      <c r="O79" s="106">
        <v>1892929895.0778146</v>
      </c>
      <c r="P79" s="106">
        <v>5752123571.6087284</v>
      </c>
      <c r="Q79" s="106">
        <v>15595704945.191704</v>
      </c>
      <c r="R79" s="106">
        <v>27641141465.406651</v>
      </c>
      <c r="S79" s="105">
        <v>0</v>
      </c>
      <c r="T79" s="105">
        <v>0</v>
      </c>
      <c r="U79" s="105">
        <v>0</v>
      </c>
      <c r="V79" s="105">
        <v>0</v>
      </c>
      <c r="W79" s="105">
        <v>0</v>
      </c>
      <c r="X79" s="105">
        <v>0</v>
      </c>
      <c r="Y79" s="106">
        <v>109787812.26466127</v>
      </c>
      <c r="Z79" s="106">
        <v>120278843.60665289</v>
      </c>
      <c r="AA79" s="106">
        <v>164196044.03197786</v>
      </c>
      <c r="AB79" s="108">
        <v>480391200.9162038</v>
      </c>
      <c r="AC79" s="108">
        <v>1439620611.7166677</v>
      </c>
      <c r="AD79" s="108">
        <v>1351898423.9584632</v>
      </c>
      <c r="AE79" s="108">
        <v>5438702015.9634705</v>
      </c>
      <c r="AF79" s="108">
        <v>6574416848.2067919</v>
      </c>
      <c r="AG79" s="108">
        <v>24737402446.229221</v>
      </c>
      <c r="AH79" s="108">
        <v>82305959693.232162</v>
      </c>
      <c r="AI79" s="108">
        <v>105406947457.58115</v>
      </c>
      <c r="AJ79" s="108">
        <v>138493798383.71561</v>
      </c>
      <c r="AK79" s="108">
        <v>821181972.04361892</v>
      </c>
      <c r="AL79" s="108">
        <v>1039951996.5919201</v>
      </c>
      <c r="AM79" s="108">
        <v>1860087184.5065475</v>
      </c>
      <c r="AN79" s="108">
        <v>1676830177.4139118</v>
      </c>
      <c r="AO79" s="108">
        <v>1517958351.1626968</v>
      </c>
      <c r="AP79" s="108">
        <v>1665087015.3038721</v>
      </c>
      <c r="AQ79" s="108">
        <v>238116398.52546033</v>
      </c>
      <c r="AR79" s="108">
        <v>297253628.04922748</v>
      </c>
      <c r="AS79" s="108">
        <v>810991035.11170924</v>
      </c>
      <c r="AT79" s="108">
        <v>5086730531.6036406</v>
      </c>
      <c r="AU79" s="108">
        <v>10661304281.979202</v>
      </c>
      <c r="AV79" s="108">
        <v>15040491311.523649</v>
      </c>
    </row>
    <row r="80" spans="1:48" x14ac:dyDescent="0.35">
      <c r="A80" s="107">
        <f xml:space="preserve"> ROW( slrImpacts[[#This Row],[row_id]] ) - ROW( slrImpacts[[#Headers],[row_id]] )</f>
        <v>79</v>
      </c>
      <c r="B80" s="104">
        <v>2078</v>
      </c>
      <c r="C80" s="104" t="s">
        <v>86</v>
      </c>
      <c r="D80" s="104" t="s">
        <v>87</v>
      </c>
      <c r="E80" s="104" t="s">
        <v>922</v>
      </c>
      <c r="F80" s="104"/>
      <c r="G80" s="105">
        <v>0</v>
      </c>
      <c r="H80" s="105">
        <v>0</v>
      </c>
      <c r="I80" s="105">
        <v>0</v>
      </c>
      <c r="J80" s="105">
        <v>0</v>
      </c>
      <c r="K80" s="105">
        <v>0</v>
      </c>
      <c r="L80" s="105">
        <v>0</v>
      </c>
      <c r="M80" s="106">
        <v>1184075972.5737953</v>
      </c>
      <c r="N80" s="106">
        <v>1298459867.4686344</v>
      </c>
      <c r="O80" s="106">
        <v>1928005210.8285248</v>
      </c>
      <c r="P80" s="106">
        <v>6205286201.7658215</v>
      </c>
      <c r="Q80" s="106">
        <v>16664222072.635258</v>
      </c>
      <c r="R80" s="106">
        <v>28691054738.444286</v>
      </c>
      <c r="S80" s="105">
        <v>0</v>
      </c>
      <c r="T80" s="105">
        <v>0</v>
      </c>
      <c r="U80" s="105">
        <v>0</v>
      </c>
      <c r="V80" s="105">
        <v>0</v>
      </c>
      <c r="W80" s="105">
        <v>0</v>
      </c>
      <c r="X80" s="105">
        <v>0</v>
      </c>
      <c r="Y80" s="106">
        <v>110053321.33463749</v>
      </c>
      <c r="Z80" s="106">
        <v>120669501.72879601</v>
      </c>
      <c r="AA80" s="106">
        <v>165812409.85107172</v>
      </c>
      <c r="AB80" s="108">
        <v>553244275.70263898</v>
      </c>
      <c r="AC80" s="108">
        <v>1427323521.6904249</v>
      </c>
      <c r="AD80" s="108">
        <v>1355712607.4187965</v>
      </c>
      <c r="AE80" s="108">
        <v>5480392804.2145672</v>
      </c>
      <c r="AF80" s="108">
        <v>6638937667.2668123</v>
      </c>
      <c r="AG80" s="108">
        <v>25649554796.465706</v>
      </c>
      <c r="AH80" s="108">
        <v>83153554676.60675</v>
      </c>
      <c r="AI80" s="108">
        <v>108470622278.14871</v>
      </c>
      <c r="AJ80" s="108">
        <v>141670006243.91327</v>
      </c>
      <c r="AK80" s="108">
        <v>836507557.52935398</v>
      </c>
      <c r="AL80" s="108">
        <v>1056375213.9860889</v>
      </c>
      <c r="AM80" s="108">
        <v>1881537588.6508126</v>
      </c>
      <c r="AN80" s="108">
        <v>1658268422.0228999</v>
      </c>
      <c r="AO80" s="108">
        <v>1515990000.0449378</v>
      </c>
      <c r="AP80" s="108">
        <v>1715214201.6646128</v>
      </c>
      <c r="AQ80" s="108">
        <v>239692216.14660069</v>
      </c>
      <c r="AR80" s="108">
        <v>300193831.62563306</v>
      </c>
      <c r="AS80" s="108">
        <v>911407207.13147736</v>
      </c>
      <c r="AT80" s="108">
        <v>5291857222.0572166</v>
      </c>
      <c r="AU80" s="108">
        <v>11222217792.25111</v>
      </c>
      <c r="AV80" s="108">
        <v>15196635461.246281</v>
      </c>
    </row>
    <row r="81" spans="1:48" x14ac:dyDescent="0.35">
      <c r="A81" s="107">
        <f xml:space="preserve"> ROW( slrImpacts[[#This Row],[row_id]] ) - ROW( slrImpacts[[#Headers],[row_id]] )</f>
        <v>80</v>
      </c>
      <c r="B81" s="104">
        <v>2079</v>
      </c>
      <c r="C81" s="104" t="s">
        <v>86</v>
      </c>
      <c r="D81" s="104" t="s">
        <v>87</v>
      </c>
      <c r="E81" s="104" t="s">
        <v>922</v>
      </c>
      <c r="F81" s="104"/>
      <c r="G81" s="105">
        <v>0</v>
      </c>
      <c r="H81" s="105">
        <v>0</v>
      </c>
      <c r="I81" s="105">
        <v>0</v>
      </c>
      <c r="J81" s="105">
        <v>0</v>
      </c>
      <c r="K81" s="105">
        <v>0</v>
      </c>
      <c r="L81" s="105">
        <v>0</v>
      </c>
      <c r="M81" s="106">
        <v>1187708816.4328921</v>
      </c>
      <c r="N81" s="106">
        <v>1301824062.3946211</v>
      </c>
      <c r="O81" s="106">
        <v>1963080526.5792372</v>
      </c>
      <c r="P81" s="106">
        <v>6658448831.9229059</v>
      </c>
      <c r="Q81" s="106">
        <v>17732739200.078823</v>
      </c>
      <c r="R81" s="106">
        <v>29740968011.481903</v>
      </c>
      <c r="S81" s="105">
        <v>0</v>
      </c>
      <c r="T81" s="105">
        <v>0</v>
      </c>
      <c r="U81" s="105">
        <v>0</v>
      </c>
      <c r="V81" s="105">
        <v>0</v>
      </c>
      <c r="W81" s="105">
        <v>0</v>
      </c>
      <c r="X81" s="105">
        <v>0</v>
      </c>
      <c r="Y81" s="106">
        <v>110318830.40461373</v>
      </c>
      <c r="Z81" s="106">
        <v>121060159.85093917</v>
      </c>
      <c r="AA81" s="106">
        <v>167428775.67016551</v>
      </c>
      <c r="AB81" s="108">
        <v>626097350.48907423</v>
      </c>
      <c r="AC81" s="108">
        <v>1415026431.6641824</v>
      </c>
      <c r="AD81" s="108">
        <v>1359526790.8791294</v>
      </c>
      <c r="AE81" s="108">
        <v>5522083592.4656639</v>
      </c>
      <c r="AF81" s="108">
        <v>6703458486.326829</v>
      </c>
      <c r="AG81" s="108">
        <v>26561707146.702156</v>
      </c>
      <c r="AH81" s="108">
        <v>84001149659.981384</v>
      </c>
      <c r="AI81" s="108">
        <v>111534297098.71623</v>
      </c>
      <c r="AJ81" s="108">
        <v>144846214104.11081</v>
      </c>
      <c r="AK81" s="108">
        <v>851833143.01508844</v>
      </c>
      <c r="AL81" s="108">
        <v>1072798431.3802578</v>
      </c>
      <c r="AM81" s="108">
        <v>1902987992.7950771</v>
      </c>
      <c r="AN81" s="108">
        <v>1639706666.6318867</v>
      </c>
      <c r="AO81" s="108">
        <v>1514021648.9271793</v>
      </c>
      <c r="AP81" s="108">
        <v>1765341388.0253539</v>
      </c>
      <c r="AQ81" s="108">
        <v>241268033.76774096</v>
      </c>
      <c r="AR81" s="108">
        <v>303134035.20203865</v>
      </c>
      <c r="AS81" s="108">
        <v>1011823379.151245</v>
      </c>
      <c r="AT81" s="108">
        <v>5496983912.5107889</v>
      </c>
      <c r="AU81" s="108">
        <v>11783131302.523018</v>
      </c>
      <c r="AV81" s="108">
        <v>15352779610.968916</v>
      </c>
    </row>
    <row r="82" spans="1:48" x14ac:dyDescent="0.35">
      <c r="A82" s="107">
        <f xml:space="preserve"> ROW( slrImpacts[[#This Row],[row_id]] ) - ROW( slrImpacts[[#Headers],[row_id]] )</f>
        <v>81</v>
      </c>
      <c r="B82" s="104">
        <v>2080</v>
      </c>
      <c r="C82" s="104" t="s">
        <v>86</v>
      </c>
      <c r="D82" s="104" t="s">
        <v>87</v>
      </c>
      <c r="E82" s="104" t="s">
        <v>922</v>
      </c>
      <c r="F82" s="104"/>
      <c r="G82" s="105">
        <v>0</v>
      </c>
      <c r="H82" s="105">
        <v>0</v>
      </c>
      <c r="I82" s="105">
        <v>0</v>
      </c>
      <c r="J82" s="105">
        <v>0</v>
      </c>
      <c r="K82" s="105">
        <v>0</v>
      </c>
      <c r="L82" s="105">
        <v>0</v>
      </c>
      <c r="M82" s="106">
        <v>1191341660.2919891</v>
      </c>
      <c r="N82" s="106">
        <v>1305188257.3206089</v>
      </c>
      <c r="O82" s="106">
        <v>1998155842.3299496</v>
      </c>
      <c r="P82" s="106">
        <v>7111611462.0799952</v>
      </c>
      <c r="Q82" s="106">
        <v>18801256327.522369</v>
      </c>
      <c r="R82" s="106">
        <v>30790881284.519512</v>
      </c>
      <c r="S82" s="105">
        <v>0</v>
      </c>
      <c r="T82" s="105">
        <v>0</v>
      </c>
      <c r="U82" s="105">
        <v>0</v>
      </c>
      <c r="V82" s="105">
        <v>0</v>
      </c>
      <c r="W82" s="105">
        <v>0</v>
      </c>
      <c r="X82" s="105">
        <v>0</v>
      </c>
      <c r="Y82" s="106">
        <v>110584339.47458997</v>
      </c>
      <c r="Z82" s="106">
        <v>121450817.97308227</v>
      </c>
      <c r="AA82" s="106">
        <v>169045141.48925933</v>
      </c>
      <c r="AB82" s="108">
        <v>698950425.27550924</v>
      </c>
      <c r="AC82" s="108">
        <v>1402729341.6379397</v>
      </c>
      <c r="AD82" s="108">
        <v>1363340974.3394625</v>
      </c>
      <c r="AE82" s="108">
        <v>5563774380.7167673</v>
      </c>
      <c r="AF82" s="108">
        <v>6767979305.3868551</v>
      </c>
      <c r="AG82" s="108">
        <v>27473859496.938652</v>
      </c>
      <c r="AH82" s="108">
        <v>84848744643.356003</v>
      </c>
      <c r="AI82" s="108">
        <v>114597971919.28372</v>
      </c>
      <c r="AJ82" s="108">
        <v>148022421964.30841</v>
      </c>
      <c r="AK82" s="108">
        <v>867158728.50082302</v>
      </c>
      <c r="AL82" s="108">
        <v>1089221648.7744265</v>
      </c>
      <c r="AM82" s="108">
        <v>1924438396.9393415</v>
      </c>
      <c r="AN82" s="108">
        <v>1621144911.2408743</v>
      </c>
      <c r="AO82" s="108">
        <v>1512053297.8094203</v>
      </c>
      <c r="AP82" s="108">
        <v>1815468574.386095</v>
      </c>
      <c r="AQ82" s="108">
        <v>242843851.38888127</v>
      </c>
      <c r="AR82" s="108">
        <v>306074238.77844417</v>
      </c>
      <c r="AS82" s="108">
        <v>1112239551.1710134</v>
      </c>
      <c r="AT82" s="108">
        <v>5702110602.964365</v>
      </c>
      <c r="AU82" s="108">
        <v>12344044812.794926</v>
      </c>
      <c r="AV82" s="108">
        <v>15508923760.691547</v>
      </c>
    </row>
    <row r="83" spans="1:48" x14ac:dyDescent="0.35">
      <c r="A83" s="107">
        <f xml:space="preserve"> ROW( slrImpacts[[#This Row],[row_id]] ) - ROW( slrImpacts[[#Headers],[row_id]] )</f>
        <v>82</v>
      </c>
      <c r="B83" s="104">
        <v>2081</v>
      </c>
      <c r="C83" s="104" t="s">
        <v>86</v>
      </c>
      <c r="D83" s="104" t="s">
        <v>87</v>
      </c>
      <c r="E83" s="104" t="s">
        <v>922</v>
      </c>
      <c r="F83" s="104"/>
      <c r="G83" s="105">
        <v>0</v>
      </c>
      <c r="H83" s="105">
        <v>0</v>
      </c>
      <c r="I83" s="105">
        <v>0</v>
      </c>
      <c r="J83" s="105">
        <v>0</v>
      </c>
      <c r="K83" s="105">
        <v>0</v>
      </c>
      <c r="L83" s="105">
        <v>0</v>
      </c>
      <c r="M83" s="106">
        <v>1194974504.151087</v>
      </c>
      <c r="N83" s="106">
        <v>1308552452.2465963</v>
      </c>
      <c r="O83" s="106">
        <v>2033231158.0806603</v>
      </c>
      <c r="P83" s="106">
        <v>7564774092.2370901</v>
      </c>
      <c r="Q83" s="106">
        <v>19869773454.965954</v>
      </c>
      <c r="R83" s="106">
        <v>31840794557.55714</v>
      </c>
      <c r="S83" s="105">
        <v>0</v>
      </c>
      <c r="T83" s="105">
        <v>0</v>
      </c>
      <c r="U83" s="105">
        <v>0</v>
      </c>
      <c r="V83" s="105">
        <v>0</v>
      </c>
      <c r="W83" s="105">
        <v>0</v>
      </c>
      <c r="X83" s="105">
        <v>0</v>
      </c>
      <c r="Y83" s="106">
        <v>110849848.54456617</v>
      </c>
      <c r="Z83" s="106">
        <v>121841476.09522544</v>
      </c>
      <c r="AA83" s="106">
        <v>170661507.30835322</v>
      </c>
      <c r="AB83" s="108">
        <v>771803500.06194389</v>
      </c>
      <c r="AC83" s="108">
        <v>1390432251.6116974</v>
      </c>
      <c r="AD83" s="108">
        <v>1367155157.7997954</v>
      </c>
      <c r="AE83" s="108">
        <v>5605465168.9678593</v>
      </c>
      <c r="AF83" s="108">
        <v>6832500124.4468718</v>
      </c>
      <c r="AG83" s="108">
        <v>28386011847.175117</v>
      </c>
      <c r="AH83" s="108">
        <v>85696339626.730621</v>
      </c>
      <c r="AI83" s="108">
        <v>117661646739.85129</v>
      </c>
      <c r="AJ83" s="108">
        <v>151198629824.50604</v>
      </c>
      <c r="AK83" s="108">
        <v>882484313.9865576</v>
      </c>
      <c r="AL83" s="108">
        <v>1105644866.1685953</v>
      </c>
      <c r="AM83" s="108">
        <v>1945888801.0836058</v>
      </c>
      <c r="AN83" s="108">
        <v>1602583155.8498621</v>
      </c>
      <c r="AO83" s="108">
        <v>1510084946.6916621</v>
      </c>
      <c r="AP83" s="108">
        <v>1865595760.7468359</v>
      </c>
      <c r="AQ83" s="108">
        <v>244419669.01002148</v>
      </c>
      <c r="AR83" s="108">
        <v>309014442.35484993</v>
      </c>
      <c r="AS83" s="108">
        <v>1212655723.1907809</v>
      </c>
      <c r="AT83" s="108">
        <v>5907237293.4179411</v>
      </c>
      <c r="AU83" s="108">
        <v>12904958323.066832</v>
      </c>
      <c r="AV83" s="108">
        <v>15665067910.414181</v>
      </c>
    </row>
    <row r="84" spans="1:48" x14ac:dyDescent="0.35">
      <c r="A84" s="107">
        <f xml:space="preserve"> ROW( slrImpacts[[#This Row],[row_id]] ) - ROW( slrImpacts[[#Headers],[row_id]] )</f>
        <v>83</v>
      </c>
      <c r="B84" s="104">
        <v>2082</v>
      </c>
      <c r="C84" s="104" t="s">
        <v>86</v>
      </c>
      <c r="D84" s="104" t="s">
        <v>87</v>
      </c>
      <c r="E84" s="104" t="s">
        <v>922</v>
      </c>
      <c r="F84" s="104"/>
      <c r="G84" s="105">
        <v>0</v>
      </c>
      <c r="H84" s="105">
        <v>0</v>
      </c>
      <c r="I84" s="105">
        <v>0</v>
      </c>
      <c r="J84" s="105">
        <v>0</v>
      </c>
      <c r="K84" s="105">
        <v>0</v>
      </c>
      <c r="L84" s="105">
        <v>0</v>
      </c>
      <c r="M84" s="106">
        <v>1198607348.0101836</v>
      </c>
      <c r="N84" s="106">
        <v>1311916647.1725838</v>
      </c>
      <c r="O84" s="106">
        <v>2068306473.8313713</v>
      </c>
      <c r="P84" s="106">
        <v>8017936722.3941803</v>
      </c>
      <c r="Q84" s="106">
        <v>20938290582.409508</v>
      </c>
      <c r="R84" s="106">
        <v>32890707830.594769</v>
      </c>
      <c r="S84" s="105">
        <v>0</v>
      </c>
      <c r="T84" s="105">
        <v>0</v>
      </c>
      <c r="U84" s="105">
        <v>0</v>
      </c>
      <c r="V84" s="105">
        <v>0</v>
      </c>
      <c r="W84" s="105">
        <v>0</v>
      </c>
      <c r="X84" s="105">
        <v>0</v>
      </c>
      <c r="Y84" s="106">
        <v>111115357.61454242</v>
      </c>
      <c r="Z84" s="106">
        <v>122232134.21736854</v>
      </c>
      <c r="AA84" s="106">
        <v>172277873.12744704</v>
      </c>
      <c r="AB84" s="108">
        <v>844656574.84837902</v>
      </c>
      <c r="AC84" s="108">
        <v>1378135161.5854547</v>
      </c>
      <c r="AD84" s="108">
        <v>1370969341.2601285</v>
      </c>
      <c r="AE84" s="108">
        <v>5647155957.2189608</v>
      </c>
      <c r="AF84" s="108">
        <v>6897020943.5068874</v>
      </c>
      <c r="AG84" s="108">
        <v>29298164197.411583</v>
      </c>
      <c r="AH84" s="108">
        <v>86543934610.105331</v>
      </c>
      <c r="AI84" s="108">
        <v>120725321560.41875</v>
      </c>
      <c r="AJ84" s="108">
        <v>154374837684.70364</v>
      </c>
      <c r="AK84" s="108">
        <v>897809899.47229278</v>
      </c>
      <c r="AL84" s="108">
        <v>1122068083.5627639</v>
      </c>
      <c r="AM84" s="108">
        <v>1967339205.2278709</v>
      </c>
      <c r="AN84" s="108">
        <v>1584021400.4588492</v>
      </c>
      <c r="AO84" s="108">
        <v>1508116595.5739031</v>
      </c>
      <c r="AP84" s="108">
        <v>1915722947.1075768</v>
      </c>
      <c r="AQ84" s="108">
        <v>245995486.63116178</v>
      </c>
      <c r="AR84" s="108">
        <v>311954645.93125546</v>
      </c>
      <c r="AS84" s="108">
        <v>1313071895.2105491</v>
      </c>
      <c r="AT84" s="108">
        <v>6112363983.8715162</v>
      </c>
      <c r="AU84" s="108">
        <v>13465871833.338737</v>
      </c>
      <c r="AV84" s="108">
        <v>15821212060.136814</v>
      </c>
    </row>
    <row r="85" spans="1:48" x14ac:dyDescent="0.35">
      <c r="A85" s="107">
        <f xml:space="preserve"> ROW( slrImpacts[[#This Row],[row_id]] ) - ROW( slrImpacts[[#Headers],[row_id]] )</f>
        <v>84</v>
      </c>
      <c r="B85" s="104">
        <v>2083</v>
      </c>
      <c r="C85" s="104" t="s">
        <v>86</v>
      </c>
      <c r="D85" s="104" t="s">
        <v>87</v>
      </c>
      <c r="E85" s="104" t="s">
        <v>922</v>
      </c>
      <c r="F85" s="104"/>
      <c r="G85" s="105">
        <v>0</v>
      </c>
      <c r="H85" s="105">
        <v>0</v>
      </c>
      <c r="I85" s="105">
        <v>0</v>
      </c>
      <c r="J85" s="105">
        <v>0</v>
      </c>
      <c r="K85" s="105">
        <v>0</v>
      </c>
      <c r="L85" s="105">
        <v>0</v>
      </c>
      <c r="M85" s="106">
        <v>1202240191.8692803</v>
      </c>
      <c r="N85" s="106">
        <v>1315280842.0985715</v>
      </c>
      <c r="O85" s="106">
        <v>2103381789.5820839</v>
      </c>
      <c r="P85" s="106">
        <v>8471099352.5512638</v>
      </c>
      <c r="Q85" s="106">
        <v>22006807709.853062</v>
      </c>
      <c r="R85" s="106">
        <v>33940621103.632393</v>
      </c>
      <c r="S85" s="105">
        <v>0</v>
      </c>
      <c r="T85" s="105">
        <v>0</v>
      </c>
      <c r="U85" s="105">
        <v>0</v>
      </c>
      <c r="V85" s="105">
        <v>0</v>
      </c>
      <c r="W85" s="105">
        <v>0</v>
      </c>
      <c r="X85" s="105">
        <v>0</v>
      </c>
      <c r="Y85" s="106">
        <v>111380866.68451865</v>
      </c>
      <c r="Z85" s="106">
        <v>122622792.33951172</v>
      </c>
      <c r="AA85" s="106">
        <v>173894238.94654086</v>
      </c>
      <c r="AB85" s="108">
        <v>917509649.6348145</v>
      </c>
      <c r="AC85" s="108">
        <v>1365838071.5592115</v>
      </c>
      <c r="AD85" s="108">
        <v>1374783524.7204618</v>
      </c>
      <c r="AE85" s="108">
        <v>5688846745.4700584</v>
      </c>
      <c r="AF85" s="108">
        <v>6961541762.5669041</v>
      </c>
      <c r="AG85" s="108">
        <v>30210316547.648056</v>
      </c>
      <c r="AH85" s="108">
        <v>87391529593.479965</v>
      </c>
      <c r="AI85" s="108">
        <v>123788996380.98631</v>
      </c>
      <c r="AJ85" s="108">
        <v>157551045544.90121</v>
      </c>
      <c r="AK85" s="108">
        <v>913135484.95802712</v>
      </c>
      <c r="AL85" s="108">
        <v>1138491300.9569328</v>
      </c>
      <c r="AM85" s="108">
        <v>1988789609.3721356</v>
      </c>
      <c r="AN85" s="108">
        <v>1565459645.0678365</v>
      </c>
      <c r="AO85" s="108">
        <v>1506148244.4561443</v>
      </c>
      <c r="AP85" s="108">
        <v>1965850133.4683177</v>
      </c>
      <c r="AQ85" s="108">
        <v>247571304.25230211</v>
      </c>
      <c r="AR85" s="108">
        <v>314894849.5076611</v>
      </c>
      <c r="AS85" s="108">
        <v>1413488067.2303171</v>
      </c>
      <c r="AT85" s="108">
        <v>6317490674.3250914</v>
      </c>
      <c r="AU85" s="108">
        <v>14026785343.610645</v>
      </c>
      <c r="AV85" s="108">
        <v>15977356209.859446</v>
      </c>
    </row>
    <row r="86" spans="1:48" x14ac:dyDescent="0.35">
      <c r="A86" s="107">
        <f xml:space="preserve"> ROW( slrImpacts[[#This Row],[row_id]] ) - ROW( slrImpacts[[#Headers],[row_id]] )</f>
        <v>85</v>
      </c>
      <c r="B86" s="104">
        <v>2084</v>
      </c>
      <c r="C86" s="104" t="s">
        <v>86</v>
      </c>
      <c r="D86" s="104" t="s">
        <v>87</v>
      </c>
      <c r="E86" s="104" t="s">
        <v>922</v>
      </c>
      <c r="F86" s="104"/>
      <c r="G86" s="105">
        <v>0</v>
      </c>
      <c r="H86" s="105">
        <v>0</v>
      </c>
      <c r="I86" s="105">
        <v>0</v>
      </c>
      <c r="J86" s="105">
        <v>0</v>
      </c>
      <c r="K86" s="105">
        <v>0</v>
      </c>
      <c r="L86" s="105">
        <v>0</v>
      </c>
      <c r="M86" s="106">
        <v>1205873035.7283778</v>
      </c>
      <c r="N86" s="106">
        <v>1318645037.0245595</v>
      </c>
      <c r="O86" s="106">
        <v>2138457105.3327949</v>
      </c>
      <c r="P86" s="106">
        <v>8924261982.7083549</v>
      </c>
      <c r="Q86" s="106">
        <v>23075324837.29665</v>
      </c>
      <c r="R86" s="106">
        <v>34990534376.670006</v>
      </c>
      <c r="S86" s="105">
        <v>0</v>
      </c>
      <c r="T86" s="105">
        <v>0</v>
      </c>
      <c r="U86" s="105">
        <v>0</v>
      </c>
      <c r="V86" s="105">
        <v>0</v>
      </c>
      <c r="W86" s="105">
        <v>0</v>
      </c>
      <c r="X86" s="105">
        <v>0</v>
      </c>
      <c r="Y86" s="106">
        <v>111646375.75449491</v>
      </c>
      <c r="Z86" s="106">
        <v>123013450.46165483</v>
      </c>
      <c r="AA86" s="106">
        <v>175510604.76563478</v>
      </c>
      <c r="AB86" s="108">
        <v>990362724.42124939</v>
      </c>
      <c r="AC86" s="108">
        <v>1353540981.5329697</v>
      </c>
      <c r="AD86" s="108">
        <v>1378597708.1807947</v>
      </c>
      <c r="AE86" s="108">
        <v>5730537533.721158</v>
      </c>
      <c r="AF86" s="108">
        <v>7026062581.6269217</v>
      </c>
      <c r="AG86" s="108">
        <v>31122468897.884533</v>
      </c>
      <c r="AH86" s="108">
        <v>88239124576.854538</v>
      </c>
      <c r="AI86" s="108">
        <v>126852671201.55389</v>
      </c>
      <c r="AJ86" s="108">
        <v>160727253405.09875</v>
      </c>
      <c r="AK86" s="108">
        <v>928461070.44376183</v>
      </c>
      <c r="AL86" s="108">
        <v>1154914518.3511012</v>
      </c>
      <c r="AM86" s="108">
        <v>2010240013.5164001</v>
      </c>
      <c r="AN86" s="108">
        <v>1546897889.6768243</v>
      </c>
      <c r="AO86" s="108">
        <v>1504179893.3383853</v>
      </c>
      <c r="AP86" s="108">
        <v>2015977319.8290591</v>
      </c>
      <c r="AQ86" s="108">
        <v>249147121.87344235</v>
      </c>
      <c r="AR86" s="108">
        <v>317835053.08406669</v>
      </c>
      <c r="AS86" s="108">
        <v>1513904239.2500844</v>
      </c>
      <c r="AT86" s="108">
        <v>6522617364.7786636</v>
      </c>
      <c r="AU86" s="108">
        <v>14587698853.882553</v>
      </c>
      <c r="AV86" s="108">
        <v>16133500359.582081</v>
      </c>
    </row>
    <row r="87" spans="1:48" x14ac:dyDescent="0.35">
      <c r="A87" s="107">
        <f xml:space="preserve"> ROW( slrImpacts[[#This Row],[row_id]] ) - ROW( slrImpacts[[#Headers],[row_id]] )</f>
        <v>86</v>
      </c>
      <c r="B87" s="104">
        <v>2085</v>
      </c>
      <c r="C87" s="104" t="s">
        <v>86</v>
      </c>
      <c r="D87" s="104" t="s">
        <v>87</v>
      </c>
      <c r="E87" s="104" t="s">
        <v>922</v>
      </c>
      <c r="F87" s="104"/>
      <c r="G87" s="105">
        <v>0</v>
      </c>
      <c r="H87" s="105">
        <v>0</v>
      </c>
      <c r="I87" s="105">
        <v>0</v>
      </c>
      <c r="J87" s="105">
        <v>0</v>
      </c>
      <c r="K87" s="105">
        <v>0</v>
      </c>
      <c r="L87" s="105">
        <v>0</v>
      </c>
      <c r="M87" s="106">
        <v>1210771530.2282078</v>
      </c>
      <c r="N87" s="106">
        <v>1326643519.4368453</v>
      </c>
      <c r="O87" s="106">
        <v>2277979036.3277879</v>
      </c>
      <c r="P87" s="106">
        <v>10107047911.502831</v>
      </c>
      <c r="Q87" s="106">
        <v>25094887823.093906</v>
      </c>
      <c r="R87" s="106">
        <v>37535574184.70974</v>
      </c>
      <c r="S87" s="105">
        <v>0</v>
      </c>
      <c r="T87" s="105">
        <v>0</v>
      </c>
      <c r="U87" s="105">
        <v>0</v>
      </c>
      <c r="V87" s="105">
        <v>0</v>
      </c>
      <c r="W87" s="105">
        <v>0</v>
      </c>
      <c r="X87" s="105">
        <v>0</v>
      </c>
      <c r="Y87" s="106">
        <v>112065240.87050253</v>
      </c>
      <c r="Z87" s="106">
        <v>123950159.08137897</v>
      </c>
      <c r="AA87" s="106">
        <v>179211089.89272404</v>
      </c>
      <c r="AB87" s="108">
        <v>1086636987.8816562</v>
      </c>
      <c r="AC87" s="108">
        <v>1346662058.8890176</v>
      </c>
      <c r="AD87" s="108">
        <v>2127399070.0132077</v>
      </c>
      <c r="AE87" s="108">
        <v>5808552919.1268911</v>
      </c>
      <c r="AF87" s="108">
        <v>7156262227.965229</v>
      </c>
      <c r="AG87" s="108">
        <v>35669078353.40696</v>
      </c>
      <c r="AH87" s="108">
        <v>91451069136.48616</v>
      </c>
      <c r="AI87" s="108">
        <v>132348780778.06009</v>
      </c>
      <c r="AJ87" s="108">
        <v>165247097796.15482</v>
      </c>
      <c r="AK87" s="108">
        <v>952925984.08905184</v>
      </c>
      <c r="AL87" s="108">
        <v>1187401274.0784166</v>
      </c>
      <c r="AM87" s="108">
        <v>1993219577.882328</v>
      </c>
      <c r="AN87" s="108">
        <v>1507344019.8274088</v>
      </c>
      <c r="AO87" s="108">
        <v>1543570669.2061868</v>
      </c>
      <c r="AP87" s="108">
        <v>2103699937.4952557</v>
      </c>
      <c r="AQ87" s="108">
        <v>251647072.71481234</v>
      </c>
      <c r="AR87" s="108">
        <v>322355108.3567282</v>
      </c>
      <c r="AS87" s="108">
        <v>1787943776.7090204</v>
      </c>
      <c r="AT87" s="108">
        <v>7032519108.88694</v>
      </c>
      <c r="AU87" s="108">
        <v>15277841165.349932</v>
      </c>
      <c r="AV87" s="108">
        <v>16265745682.976414</v>
      </c>
    </row>
    <row r="88" spans="1:48" x14ac:dyDescent="0.35">
      <c r="A88" s="107">
        <f xml:space="preserve"> ROW( slrImpacts[[#This Row],[row_id]] ) - ROW( slrImpacts[[#Headers],[row_id]] )</f>
        <v>87</v>
      </c>
      <c r="B88" s="104">
        <v>2086</v>
      </c>
      <c r="C88" s="104" t="s">
        <v>86</v>
      </c>
      <c r="D88" s="104" t="s">
        <v>87</v>
      </c>
      <c r="E88" s="104" t="s">
        <v>922</v>
      </c>
      <c r="F88" s="104"/>
      <c r="G88" s="105">
        <v>0</v>
      </c>
      <c r="H88" s="105">
        <v>0</v>
      </c>
      <c r="I88" s="105">
        <v>0</v>
      </c>
      <c r="J88" s="105">
        <v>0</v>
      </c>
      <c r="K88" s="105">
        <v>0</v>
      </c>
      <c r="L88" s="105">
        <v>0</v>
      </c>
      <c r="M88" s="106">
        <v>1212037180.8689408</v>
      </c>
      <c r="N88" s="106">
        <v>1331277806.9231439</v>
      </c>
      <c r="O88" s="106">
        <v>2382425651.5720706</v>
      </c>
      <c r="P88" s="106">
        <v>10836671210.140205</v>
      </c>
      <c r="Q88" s="106">
        <v>26045933681.447613</v>
      </c>
      <c r="R88" s="106">
        <v>39030700719.711807</v>
      </c>
      <c r="S88" s="105">
        <v>0</v>
      </c>
      <c r="T88" s="105">
        <v>0</v>
      </c>
      <c r="U88" s="105">
        <v>0</v>
      </c>
      <c r="V88" s="105">
        <v>0</v>
      </c>
      <c r="W88" s="105">
        <v>0</v>
      </c>
      <c r="X88" s="105">
        <v>0</v>
      </c>
      <c r="Y88" s="106">
        <v>112218596.91653396</v>
      </c>
      <c r="Z88" s="106">
        <v>124496209.57895991</v>
      </c>
      <c r="AA88" s="106">
        <v>181295209.20071948</v>
      </c>
      <c r="AB88" s="108">
        <v>1110058176.5556278</v>
      </c>
      <c r="AC88" s="108">
        <v>1352080226.2713079</v>
      </c>
      <c r="AD88" s="108">
        <v>2872386248.3852868</v>
      </c>
      <c r="AE88" s="108">
        <v>5844877516.2815237</v>
      </c>
      <c r="AF88" s="108">
        <v>7221941055.2435293</v>
      </c>
      <c r="AG88" s="108">
        <v>39303535458.692917</v>
      </c>
      <c r="AH88" s="108">
        <v>93815418712.743195</v>
      </c>
      <c r="AI88" s="108">
        <v>134781215533.99879</v>
      </c>
      <c r="AJ88" s="108">
        <v>166590734327.01288</v>
      </c>
      <c r="AK88" s="108">
        <v>962065312.24860656</v>
      </c>
      <c r="AL88" s="108">
        <v>1203464812.4115639</v>
      </c>
      <c r="AM88" s="108">
        <v>1954748738.1039913</v>
      </c>
      <c r="AN88" s="108">
        <v>1486351905.3690057</v>
      </c>
      <c r="AO88" s="108">
        <v>1584929796.1917472</v>
      </c>
      <c r="AP88" s="108">
        <v>2141295368.8007102</v>
      </c>
      <c r="AQ88" s="108">
        <v>252571205.93504196</v>
      </c>
      <c r="AR88" s="108">
        <v>323934960.05298388</v>
      </c>
      <c r="AS88" s="108">
        <v>1961567142.1481881</v>
      </c>
      <c r="AT88" s="108">
        <v>7337294162.5416412</v>
      </c>
      <c r="AU88" s="108">
        <v>15407069966.545406</v>
      </c>
      <c r="AV88" s="108">
        <v>16241846856.648115</v>
      </c>
    </row>
    <row r="89" spans="1:48" x14ac:dyDescent="0.35">
      <c r="A89" s="107">
        <f xml:space="preserve"> ROW( slrImpacts[[#This Row],[row_id]] ) - ROW( slrImpacts[[#Headers],[row_id]] )</f>
        <v>88</v>
      </c>
      <c r="B89" s="104">
        <v>2087</v>
      </c>
      <c r="C89" s="104" t="s">
        <v>86</v>
      </c>
      <c r="D89" s="104" t="s">
        <v>87</v>
      </c>
      <c r="E89" s="104" t="s">
        <v>922</v>
      </c>
      <c r="F89" s="104"/>
      <c r="G89" s="105">
        <v>0</v>
      </c>
      <c r="H89" s="105">
        <v>0</v>
      </c>
      <c r="I89" s="105">
        <v>0</v>
      </c>
      <c r="J89" s="105">
        <v>0</v>
      </c>
      <c r="K89" s="105">
        <v>0</v>
      </c>
      <c r="L89" s="105">
        <v>0</v>
      </c>
      <c r="M89" s="106">
        <v>1213302831.5096738</v>
      </c>
      <c r="N89" s="106">
        <v>1335912094.4094431</v>
      </c>
      <c r="O89" s="106">
        <v>2486872266.8163552</v>
      </c>
      <c r="P89" s="106">
        <v>11566294508.77758</v>
      </c>
      <c r="Q89" s="106">
        <v>26996979539.80135</v>
      </c>
      <c r="R89" s="106">
        <v>40525827254.713905</v>
      </c>
      <c r="S89" s="105">
        <v>0</v>
      </c>
      <c r="T89" s="105">
        <v>0</v>
      </c>
      <c r="U89" s="105">
        <v>0</v>
      </c>
      <c r="V89" s="105">
        <v>0</v>
      </c>
      <c r="W89" s="105">
        <v>0</v>
      </c>
      <c r="X89" s="105">
        <v>0</v>
      </c>
      <c r="Y89" s="106">
        <v>112371952.96256541</v>
      </c>
      <c r="Z89" s="106">
        <v>125042260.07654086</v>
      </c>
      <c r="AA89" s="106">
        <v>183379328.50871503</v>
      </c>
      <c r="AB89" s="108">
        <v>1133479365.2295997</v>
      </c>
      <c r="AC89" s="108">
        <v>1357498393.6535985</v>
      </c>
      <c r="AD89" s="108">
        <v>3617373426.7573671</v>
      </c>
      <c r="AE89" s="108">
        <v>5881202113.436162</v>
      </c>
      <c r="AF89" s="108">
        <v>7287619882.5218239</v>
      </c>
      <c r="AG89" s="108">
        <v>42937992563.978889</v>
      </c>
      <c r="AH89" s="108">
        <v>96179768289.000137</v>
      </c>
      <c r="AI89" s="108">
        <v>137213650289.93756</v>
      </c>
      <c r="AJ89" s="108">
        <v>167934370857.87112</v>
      </c>
      <c r="AK89" s="108">
        <v>971204640.40816212</v>
      </c>
      <c r="AL89" s="108">
        <v>1219528350.7447107</v>
      </c>
      <c r="AM89" s="108">
        <v>1916277898.3256543</v>
      </c>
      <c r="AN89" s="108">
        <v>1465359790.9106033</v>
      </c>
      <c r="AO89" s="108">
        <v>1626288923.1773067</v>
      </c>
      <c r="AP89" s="108">
        <v>2178890800.1061654</v>
      </c>
      <c r="AQ89" s="108">
        <v>253495339.15527168</v>
      </c>
      <c r="AR89" s="108">
        <v>325514811.74923968</v>
      </c>
      <c r="AS89" s="108">
        <v>2135190507.5873556</v>
      </c>
      <c r="AT89" s="108">
        <v>7642069216.1963434</v>
      </c>
      <c r="AU89" s="108">
        <v>15536298767.740879</v>
      </c>
      <c r="AV89" s="108">
        <v>16217948030.319822</v>
      </c>
    </row>
    <row r="90" spans="1:48" x14ac:dyDescent="0.35">
      <c r="A90" s="107">
        <f xml:space="preserve"> ROW( slrImpacts[[#This Row],[row_id]] ) - ROW( slrImpacts[[#Headers],[row_id]] )</f>
        <v>89</v>
      </c>
      <c r="B90" s="104">
        <v>2088</v>
      </c>
      <c r="C90" s="104" t="s">
        <v>86</v>
      </c>
      <c r="D90" s="104" t="s">
        <v>87</v>
      </c>
      <c r="E90" s="104" t="s">
        <v>922</v>
      </c>
      <c r="F90" s="104"/>
      <c r="G90" s="105">
        <v>0</v>
      </c>
      <c r="H90" s="105">
        <v>0</v>
      </c>
      <c r="I90" s="105">
        <v>0</v>
      </c>
      <c r="J90" s="105">
        <v>0</v>
      </c>
      <c r="K90" s="105">
        <v>0</v>
      </c>
      <c r="L90" s="105">
        <v>0</v>
      </c>
      <c r="M90" s="106">
        <v>1214568482.1504073</v>
      </c>
      <c r="N90" s="106">
        <v>1340546381.8957415</v>
      </c>
      <c r="O90" s="106">
        <v>2591318882.060637</v>
      </c>
      <c r="P90" s="106">
        <v>12295917807.414961</v>
      </c>
      <c r="Q90" s="106">
        <v>27948025398.155071</v>
      </c>
      <c r="R90" s="106">
        <v>42020953789.716034</v>
      </c>
      <c r="S90" s="105">
        <v>0</v>
      </c>
      <c r="T90" s="105">
        <v>0</v>
      </c>
      <c r="U90" s="105">
        <v>0</v>
      </c>
      <c r="V90" s="105">
        <v>0</v>
      </c>
      <c r="W90" s="105">
        <v>0</v>
      </c>
      <c r="X90" s="105">
        <v>0</v>
      </c>
      <c r="Y90" s="106">
        <v>112525309.00859682</v>
      </c>
      <c r="Z90" s="106">
        <v>125588310.57412177</v>
      </c>
      <c r="AA90" s="106">
        <v>185463447.81671044</v>
      </c>
      <c r="AB90" s="108">
        <v>1156900553.9035714</v>
      </c>
      <c r="AC90" s="108">
        <v>1362916561.0358882</v>
      </c>
      <c r="AD90" s="108">
        <v>4362360605.1294479</v>
      </c>
      <c r="AE90" s="108">
        <v>5917526710.5908022</v>
      </c>
      <c r="AF90" s="108">
        <v>7353298709.8001146</v>
      </c>
      <c r="AG90" s="108">
        <v>46572449669.26487</v>
      </c>
      <c r="AH90" s="108">
        <v>98544117865.257126</v>
      </c>
      <c r="AI90" s="108">
        <v>139646085045.87619</v>
      </c>
      <c r="AJ90" s="108">
        <v>169278007388.72931</v>
      </c>
      <c r="AK90" s="108">
        <v>980343968.56771719</v>
      </c>
      <c r="AL90" s="108">
        <v>1235591889.0778573</v>
      </c>
      <c r="AM90" s="108">
        <v>1877807058.5473177</v>
      </c>
      <c r="AN90" s="108">
        <v>1444367676.4522002</v>
      </c>
      <c r="AO90" s="108">
        <v>1667648050.1628673</v>
      </c>
      <c r="AP90" s="108">
        <v>2216486231.4116211</v>
      </c>
      <c r="AQ90" s="108">
        <v>254419472.3755013</v>
      </c>
      <c r="AR90" s="108">
        <v>327094663.44549543</v>
      </c>
      <c r="AS90" s="108">
        <v>2308813873.0265241</v>
      </c>
      <c r="AT90" s="108">
        <v>7946844269.8510475</v>
      </c>
      <c r="AU90" s="108">
        <v>15665527568.936357</v>
      </c>
      <c r="AV90" s="108">
        <v>16194049203.991528</v>
      </c>
    </row>
    <row r="91" spans="1:48" x14ac:dyDescent="0.35">
      <c r="A91" s="107">
        <f xml:space="preserve"> ROW( slrImpacts[[#This Row],[row_id]] ) - ROW( slrImpacts[[#Headers],[row_id]] )</f>
        <v>90</v>
      </c>
      <c r="B91" s="104">
        <v>2089</v>
      </c>
      <c r="C91" s="104" t="s">
        <v>86</v>
      </c>
      <c r="D91" s="104" t="s">
        <v>87</v>
      </c>
      <c r="E91" s="104" t="s">
        <v>922</v>
      </c>
      <c r="F91" s="104"/>
      <c r="G91" s="105">
        <v>0</v>
      </c>
      <c r="H91" s="105">
        <v>0</v>
      </c>
      <c r="I91" s="105">
        <v>0</v>
      </c>
      <c r="J91" s="105">
        <v>0</v>
      </c>
      <c r="K91" s="105">
        <v>0</v>
      </c>
      <c r="L91" s="105">
        <v>0</v>
      </c>
      <c r="M91" s="106">
        <v>1215834132.7911408</v>
      </c>
      <c r="N91" s="106">
        <v>1345180669.3820405</v>
      </c>
      <c r="O91" s="106">
        <v>2695765497.3049207</v>
      </c>
      <c r="P91" s="106">
        <v>13025541106.052345</v>
      </c>
      <c r="Q91" s="106">
        <v>28899071256.508789</v>
      </c>
      <c r="R91" s="106">
        <v>43516080324.718109</v>
      </c>
      <c r="S91" s="105">
        <v>0</v>
      </c>
      <c r="T91" s="105">
        <v>0</v>
      </c>
      <c r="U91" s="105">
        <v>0</v>
      </c>
      <c r="V91" s="105">
        <v>0</v>
      </c>
      <c r="W91" s="105">
        <v>0</v>
      </c>
      <c r="X91" s="105">
        <v>0</v>
      </c>
      <c r="Y91" s="106">
        <v>112678665.05462827</v>
      </c>
      <c r="Z91" s="106">
        <v>126134361.07170279</v>
      </c>
      <c r="AA91" s="106">
        <v>187547567.12470597</v>
      </c>
      <c r="AB91" s="108">
        <v>1180321742.5775433</v>
      </c>
      <c r="AC91" s="108">
        <v>1368334728.4181795</v>
      </c>
      <c r="AD91" s="108">
        <v>5107347783.5015268</v>
      </c>
      <c r="AE91" s="108">
        <v>5953851307.7454453</v>
      </c>
      <c r="AF91" s="108">
        <v>7418977537.0784121</v>
      </c>
      <c r="AG91" s="108">
        <v>50206906774.550812</v>
      </c>
      <c r="AH91" s="108">
        <v>100908467441.51418</v>
      </c>
      <c r="AI91" s="108">
        <v>142078519801.81494</v>
      </c>
      <c r="AJ91" s="108">
        <v>170621643919.58762</v>
      </c>
      <c r="AK91" s="108">
        <v>989483296.72727227</v>
      </c>
      <c r="AL91" s="108">
        <v>1251655427.4110041</v>
      </c>
      <c r="AM91" s="108">
        <v>1839336218.768981</v>
      </c>
      <c r="AN91" s="108">
        <v>1423375561.9937978</v>
      </c>
      <c r="AO91" s="108">
        <v>1709007177.148427</v>
      </c>
      <c r="AP91" s="108">
        <v>2254081662.7170758</v>
      </c>
      <c r="AQ91" s="108">
        <v>255343605.59573102</v>
      </c>
      <c r="AR91" s="108">
        <v>328674515.14175129</v>
      </c>
      <c r="AS91" s="108">
        <v>2482437238.4656911</v>
      </c>
      <c r="AT91" s="108">
        <v>8251619323.5057478</v>
      </c>
      <c r="AU91" s="108">
        <v>15794756370.131824</v>
      </c>
      <c r="AV91" s="108">
        <v>16170150377.663229</v>
      </c>
    </row>
    <row r="92" spans="1:48" x14ac:dyDescent="0.35">
      <c r="A92" s="107">
        <f xml:space="preserve"> ROW( slrImpacts[[#This Row],[row_id]] ) - ROW( slrImpacts[[#Headers],[row_id]] )</f>
        <v>91</v>
      </c>
      <c r="B92" s="104">
        <v>2090</v>
      </c>
      <c r="C92" s="104" t="s">
        <v>86</v>
      </c>
      <c r="D92" s="104" t="s">
        <v>87</v>
      </c>
      <c r="E92" s="104" t="s">
        <v>922</v>
      </c>
      <c r="F92" s="104"/>
      <c r="G92" s="105">
        <v>0</v>
      </c>
      <c r="H92" s="105">
        <v>0</v>
      </c>
      <c r="I92" s="105">
        <v>0</v>
      </c>
      <c r="J92" s="105">
        <v>0</v>
      </c>
      <c r="K92" s="105">
        <v>0</v>
      </c>
      <c r="L92" s="105">
        <v>0</v>
      </c>
      <c r="M92" s="106">
        <v>1217099783.4318731</v>
      </c>
      <c r="N92" s="106">
        <v>1349814956.8683395</v>
      </c>
      <c r="O92" s="106">
        <v>2800212112.5492034</v>
      </c>
      <c r="P92" s="106">
        <v>13755164404.689724</v>
      </c>
      <c r="Q92" s="106">
        <v>29850117114.862511</v>
      </c>
      <c r="R92" s="106">
        <v>45011206859.720215</v>
      </c>
      <c r="S92" s="105">
        <v>0</v>
      </c>
      <c r="T92" s="105">
        <v>0</v>
      </c>
      <c r="U92" s="105">
        <v>0</v>
      </c>
      <c r="V92" s="105">
        <v>0</v>
      </c>
      <c r="W92" s="105">
        <v>0</v>
      </c>
      <c r="X92" s="105">
        <v>0</v>
      </c>
      <c r="Y92" s="106">
        <v>112832021.1006597</v>
      </c>
      <c r="Z92" s="106">
        <v>126680411.56928375</v>
      </c>
      <c r="AA92" s="106">
        <v>189631686.43270144</v>
      </c>
      <c r="AB92" s="108">
        <v>1203742931.2515152</v>
      </c>
      <c r="AC92" s="108">
        <v>1373752895.8004701</v>
      </c>
      <c r="AD92" s="108">
        <v>5852334961.8736057</v>
      </c>
      <c r="AE92" s="108">
        <v>5990175904.9000788</v>
      </c>
      <c r="AF92" s="108">
        <v>7484656364.3567095</v>
      </c>
      <c r="AG92" s="108">
        <v>53841363879.836746</v>
      </c>
      <c r="AH92" s="108">
        <v>103272817017.77113</v>
      </c>
      <c r="AI92" s="108">
        <v>144510954557.7536</v>
      </c>
      <c r="AJ92" s="108">
        <v>171965280450.44586</v>
      </c>
      <c r="AK92" s="108">
        <v>998622624.88682771</v>
      </c>
      <c r="AL92" s="108">
        <v>1267718965.7441514</v>
      </c>
      <c r="AM92" s="108">
        <v>1800865378.990644</v>
      </c>
      <c r="AN92" s="108">
        <v>1402383447.5353947</v>
      </c>
      <c r="AO92" s="108">
        <v>1750366304.1339872</v>
      </c>
      <c r="AP92" s="108">
        <v>2291677094.0225315</v>
      </c>
      <c r="AQ92" s="108">
        <v>256267738.81596068</v>
      </c>
      <c r="AR92" s="108">
        <v>330254366.83800703</v>
      </c>
      <c r="AS92" s="108">
        <v>2656060603.9048591</v>
      </c>
      <c r="AT92" s="108">
        <v>8556394377.16045</v>
      </c>
      <c r="AU92" s="108">
        <v>15923985171.327297</v>
      </c>
      <c r="AV92" s="108">
        <v>16146251551.33493</v>
      </c>
    </row>
    <row r="93" spans="1:48" x14ac:dyDescent="0.35">
      <c r="A93" s="107">
        <f xml:space="preserve"> ROW( slrImpacts[[#This Row],[row_id]] ) - ROW( slrImpacts[[#Headers],[row_id]] )</f>
        <v>92</v>
      </c>
      <c r="B93" s="104">
        <v>2091</v>
      </c>
      <c r="C93" s="104" t="s">
        <v>86</v>
      </c>
      <c r="D93" s="104" t="s">
        <v>87</v>
      </c>
      <c r="E93" s="104" t="s">
        <v>922</v>
      </c>
      <c r="F93" s="104"/>
      <c r="G93" s="105">
        <v>0</v>
      </c>
      <c r="H93" s="105">
        <v>0</v>
      </c>
      <c r="I93" s="105">
        <v>0</v>
      </c>
      <c r="J93" s="105">
        <v>0</v>
      </c>
      <c r="K93" s="105">
        <v>0</v>
      </c>
      <c r="L93" s="105">
        <v>0</v>
      </c>
      <c r="M93" s="106">
        <v>1218365434.0726061</v>
      </c>
      <c r="N93" s="106">
        <v>1354449244.3546383</v>
      </c>
      <c r="O93" s="106">
        <v>2904658727.7934866</v>
      </c>
      <c r="P93" s="106">
        <v>14484787703.327108</v>
      </c>
      <c r="Q93" s="106">
        <v>30801162973.216206</v>
      </c>
      <c r="R93" s="106">
        <v>46506333394.722305</v>
      </c>
      <c r="S93" s="105">
        <v>0</v>
      </c>
      <c r="T93" s="105">
        <v>0</v>
      </c>
      <c r="U93" s="105">
        <v>0</v>
      </c>
      <c r="V93" s="105">
        <v>0</v>
      </c>
      <c r="W93" s="105">
        <v>0</v>
      </c>
      <c r="X93" s="105">
        <v>0</v>
      </c>
      <c r="Y93" s="106">
        <v>112985377.14669114</v>
      </c>
      <c r="Z93" s="106">
        <v>127226462.06686467</v>
      </c>
      <c r="AA93" s="106">
        <v>191715805.74069691</v>
      </c>
      <c r="AB93" s="108">
        <v>1227164119.9254866</v>
      </c>
      <c r="AC93" s="108">
        <v>1379171063.1827607</v>
      </c>
      <c r="AD93" s="108">
        <v>6597322140.2456856</v>
      </c>
      <c r="AE93" s="108">
        <v>6026500502.054718</v>
      </c>
      <c r="AF93" s="108">
        <v>7550335191.6350069</v>
      </c>
      <c r="AG93" s="108">
        <v>57475820985.122726</v>
      </c>
      <c r="AH93" s="108">
        <v>105637166594.02812</v>
      </c>
      <c r="AI93" s="108">
        <v>146943389313.69217</v>
      </c>
      <c r="AJ93" s="108">
        <v>173308916981.30402</v>
      </c>
      <c r="AK93" s="108">
        <v>1007761953.0463828</v>
      </c>
      <c r="AL93" s="108">
        <v>1283782504.0772984</v>
      </c>
      <c r="AM93" s="108">
        <v>1762394539.212307</v>
      </c>
      <c r="AN93" s="108">
        <v>1381391333.0769916</v>
      </c>
      <c r="AO93" s="108">
        <v>1791725431.1195469</v>
      </c>
      <c r="AP93" s="108">
        <v>2329272525.3279862</v>
      </c>
      <c r="AQ93" s="108">
        <v>257191872.03619045</v>
      </c>
      <c r="AR93" s="108">
        <v>331834218.5342629</v>
      </c>
      <c r="AS93" s="108">
        <v>2829683969.3440266</v>
      </c>
      <c r="AT93" s="108">
        <v>8861169430.8151493</v>
      </c>
      <c r="AU93" s="108">
        <v>16053213972.522772</v>
      </c>
      <c r="AV93" s="108">
        <v>16122352725.006639</v>
      </c>
    </row>
    <row r="94" spans="1:48" x14ac:dyDescent="0.35">
      <c r="A94" s="107">
        <f xml:space="preserve"> ROW( slrImpacts[[#This Row],[row_id]] ) - ROW( slrImpacts[[#Headers],[row_id]] )</f>
        <v>93</v>
      </c>
      <c r="B94" s="104">
        <v>2092</v>
      </c>
      <c r="C94" s="104" t="s">
        <v>86</v>
      </c>
      <c r="D94" s="104" t="s">
        <v>87</v>
      </c>
      <c r="E94" s="104" t="s">
        <v>922</v>
      </c>
      <c r="F94" s="104"/>
      <c r="G94" s="105">
        <v>0</v>
      </c>
      <c r="H94" s="105">
        <v>0</v>
      </c>
      <c r="I94" s="105">
        <v>0</v>
      </c>
      <c r="J94" s="105">
        <v>0</v>
      </c>
      <c r="K94" s="105">
        <v>0</v>
      </c>
      <c r="L94" s="105">
        <v>0</v>
      </c>
      <c r="M94" s="106">
        <v>1219631084.71334</v>
      </c>
      <c r="N94" s="106">
        <v>1359083531.8409364</v>
      </c>
      <c r="O94" s="106">
        <v>3009105343.0377679</v>
      </c>
      <c r="P94" s="106">
        <v>15214411001.964483</v>
      </c>
      <c r="Q94" s="106">
        <v>31752208831.56995</v>
      </c>
      <c r="R94" s="106">
        <v>48001459929.724411</v>
      </c>
      <c r="S94" s="105">
        <v>0</v>
      </c>
      <c r="T94" s="105">
        <v>0</v>
      </c>
      <c r="U94" s="105">
        <v>0</v>
      </c>
      <c r="V94" s="105">
        <v>0</v>
      </c>
      <c r="W94" s="105">
        <v>0</v>
      </c>
      <c r="X94" s="105">
        <v>0</v>
      </c>
      <c r="Y94" s="106">
        <v>113138733.19272256</v>
      </c>
      <c r="Z94" s="106">
        <v>127772512.5644456</v>
      </c>
      <c r="AA94" s="106">
        <v>193799925.04869238</v>
      </c>
      <c r="AB94" s="108">
        <v>1250585308.5994582</v>
      </c>
      <c r="AC94" s="108">
        <v>1384589230.5650511</v>
      </c>
      <c r="AD94" s="108">
        <v>7342309318.6177654</v>
      </c>
      <c r="AE94" s="108">
        <v>6062825099.2093515</v>
      </c>
      <c r="AF94" s="108">
        <v>7616014018.9133043</v>
      </c>
      <c r="AG94" s="108">
        <v>61110278090.408684</v>
      </c>
      <c r="AH94" s="108">
        <v>108001516170.2852</v>
      </c>
      <c r="AI94" s="108">
        <v>149375824069.63095</v>
      </c>
      <c r="AJ94" s="108">
        <v>174652553512.16214</v>
      </c>
      <c r="AK94" s="108">
        <v>1016901281.2059379</v>
      </c>
      <c r="AL94" s="108">
        <v>1299846042.4104455</v>
      </c>
      <c r="AM94" s="108">
        <v>1723923699.4339705</v>
      </c>
      <c r="AN94" s="108">
        <v>1360399218.6185887</v>
      </c>
      <c r="AO94" s="108">
        <v>1833084558.1051068</v>
      </c>
      <c r="AP94" s="108">
        <v>2366867956.6334429</v>
      </c>
      <c r="AQ94" s="108">
        <v>258116005.25642005</v>
      </c>
      <c r="AR94" s="108">
        <v>333414070.2305187</v>
      </c>
      <c r="AS94" s="108">
        <v>3003307334.7831945</v>
      </c>
      <c r="AT94" s="108">
        <v>9165944484.4698505</v>
      </c>
      <c r="AU94" s="108">
        <v>16182442773.718245</v>
      </c>
      <c r="AV94" s="108">
        <v>16098453898.678339</v>
      </c>
    </row>
    <row r="95" spans="1:48" x14ac:dyDescent="0.35">
      <c r="A95" s="107">
        <f xml:space="preserve"> ROW( slrImpacts[[#This Row],[row_id]] ) - ROW( slrImpacts[[#Headers],[row_id]] )</f>
        <v>94</v>
      </c>
      <c r="B95" s="104">
        <v>2093</v>
      </c>
      <c r="C95" s="104" t="s">
        <v>86</v>
      </c>
      <c r="D95" s="104" t="s">
        <v>87</v>
      </c>
      <c r="E95" s="104" t="s">
        <v>922</v>
      </c>
      <c r="F95" s="104"/>
      <c r="G95" s="105">
        <v>0</v>
      </c>
      <c r="H95" s="105">
        <v>0</v>
      </c>
      <c r="I95" s="105">
        <v>0</v>
      </c>
      <c r="J95" s="105">
        <v>0</v>
      </c>
      <c r="K95" s="105">
        <v>0</v>
      </c>
      <c r="L95" s="105">
        <v>0</v>
      </c>
      <c r="M95" s="106">
        <v>1220896735.3540728</v>
      </c>
      <c r="N95" s="106">
        <v>1363717819.3272364</v>
      </c>
      <c r="O95" s="106">
        <v>3113551958.2820501</v>
      </c>
      <c r="P95" s="106">
        <v>15944034300.60186</v>
      </c>
      <c r="Q95" s="106">
        <v>32703254689.923668</v>
      </c>
      <c r="R95" s="106">
        <v>49496586464.726471</v>
      </c>
      <c r="S95" s="105">
        <v>0</v>
      </c>
      <c r="T95" s="105">
        <v>0</v>
      </c>
      <c r="U95" s="105">
        <v>0</v>
      </c>
      <c r="V95" s="105">
        <v>0</v>
      </c>
      <c r="W95" s="105">
        <v>0</v>
      </c>
      <c r="X95" s="105">
        <v>0</v>
      </c>
      <c r="Y95" s="106">
        <v>113292089.23875397</v>
      </c>
      <c r="Z95" s="106">
        <v>128318563.06202659</v>
      </c>
      <c r="AA95" s="106">
        <v>195884044.35668793</v>
      </c>
      <c r="AB95" s="108">
        <v>1274006497.2734303</v>
      </c>
      <c r="AC95" s="108">
        <v>1390007397.9473414</v>
      </c>
      <c r="AD95" s="108">
        <v>8087296496.9898462</v>
      </c>
      <c r="AE95" s="108">
        <v>6099149696.3639927</v>
      </c>
      <c r="AF95" s="108">
        <v>7681692846.191597</v>
      </c>
      <c r="AG95" s="108">
        <v>64744735195.694626</v>
      </c>
      <c r="AH95" s="108">
        <v>110365865746.5421</v>
      </c>
      <c r="AI95" s="108">
        <v>151808258825.5697</v>
      </c>
      <c r="AJ95" s="108">
        <v>175996190043.02039</v>
      </c>
      <c r="AK95" s="108">
        <v>1026040609.3654932</v>
      </c>
      <c r="AL95" s="108">
        <v>1315909580.743592</v>
      </c>
      <c r="AM95" s="108">
        <v>1685452859.6556337</v>
      </c>
      <c r="AN95" s="108">
        <v>1339407104.1601861</v>
      </c>
      <c r="AO95" s="108">
        <v>1874443685.0906677</v>
      </c>
      <c r="AP95" s="108">
        <v>2404463387.9388967</v>
      </c>
      <c r="AQ95" s="108">
        <v>259040138.47664976</v>
      </c>
      <c r="AR95" s="108">
        <v>334993921.9267745</v>
      </c>
      <c r="AS95" s="108">
        <v>3176930700.222363</v>
      </c>
      <c r="AT95" s="108">
        <v>9470719538.1245556</v>
      </c>
      <c r="AU95" s="108">
        <v>16311671574.913719</v>
      </c>
      <c r="AV95" s="108">
        <v>16074555072.350042</v>
      </c>
    </row>
    <row r="96" spans="1:48" x14ac:dyDescent="0.35">
      <c r="A96" s="107">
        <f xml:space="preserve"> ROW( slrImpacts[[#This Row],[row_id]] ) - ROW( slrImpacts[[#Headers],[row_id]] )</f>
        <v>95</v>
      </c>
      <c r="B96" s="104">
        <v>2094</v>
      </c>
      <c r="C96" s="104" t="s">
        <v>86</v>
      </c>
      <c r="D96" s="104" t="s">
        <v>87</v>
      </c>
      <c r="E96" s="104" t="s">
        <v>922</v>
      </c>
      <c r="F96" s="104"/>
      <c r="G96" s="105">
        <v>0</v>
      </c>
      <c r="H96" s="105">
        <v>0</v>
      </c>
      <c r="I96" s="105">
        <v>0</v>
      </c>
      <c r="J96" s="105">
        <v>0</v>
      </c>
      <c r="K96" s="105">
        <v>0</v>
      </c>
      <c r="L96" s="105">
        <v>0</v>
      </c>
      <c r="M96" s="106">
        <v>1222162385.9948058</v>
      </c>
      <c r="N96" s="106">
        <v>1368352106.8135347</v>
      </c>
      <c r="O96" s="106">
        <v>3217998573.5263348</v>
      </c>
      <c r="P96" s="106">
        <v>16673657599.239243</v>
      </c>
      <c r="Q96" s="106">
        <v>33654300548.277382</v>
      </c>
      <c r="R96" s="106">
        <v>50991712999.728622</v>
      </c>
      <c r="S96" s="105">
        <v>0</v>
      </c>
      <c r="T96" s="105">
        <v>0</v>
      </c>
      <c r="U96" s="105">
        <v>0</v>
      </c>
      <c r="V96" s="105">
        <v>0</v>
      </c>
      <c r="W96" s="105">
        <v>0</v>
      </c>
      <c r="X96" s="105">
        <v>0</v>
      </c>
      <c r="Y96" s="106">
        <v>113445445.28478539</v>
      </c>
      <c r="Z96" s="106">
        <v>128864613.55960752</v>
      </c>
      <c r="AA96" s="106">
        <v>197968163.66468334</v>
      </c>
      <c r="AB96" s="108">
        <v>1297427685.9474018</v>
      </c>
      <c r="AC96" s="108">
        <v>1395425565.329632</v>
      </c>
      <c r="AD96" s="108">
        <v>8832283675.3619251</v>
      </c>
      <c r="AE96" s="108">
        <v>6135474293.5186291</v>
      </c>
      <c r="AF96" s="108">
        <v>7747371673.4698906</v>
      </c>
      <c r="AG96" s="108">
        <v>68379192300.980591</v>
      </c>
      <c r="AH96" s="108">
        <v>112730215322.79912</v>
      </c>
      <c r="AI96" s="108">
        <v>154240693581.50845</v>
      </c>
      <c r="AJ96" s="108">
        <v>177339826573.87863</v>
      </c>
      <c r="AK96" s="108">
        <v>1035179937.5250485</v>
      </c>
      <c r="AL96" s="108">
        <v>1331973119.0767386</v>
      </c>
      <c r="AM96" s="108">
        <v>1646982019.8772972</v>
      </c>
      <c r="AN96" s="108">
        <v>1318414989.7017827</v>
      </c>
      <c r="AO96" s="108">
        <v>1915802812.0762272</v>
      </c>
      <c r="AP96" s="108">
        <v>2442058819.2443523</v>
      </c>
      <c r="AQ96" s="108">
        <v>259964271.69687948</v>
      </c>
      <c r="AR96" s="108">
        <v>336573773.62303025</v>
      </c>
      <c r="AS96" s="108">
        <v>3350554065.66153</v>
      </c>
      <c r="AT96" s="108">
        <v>9775494591.7792511</v>
      </c>
      <c r="AU96" s="108">
        <v>16440900376.10919</v>
      </c>
      <c r="AV96" s="108">
        <v>16050656246.021744</v>
      </c>
    </row>
    <row r="97" spans="1:48" x14ac:dyDescent="0.35">
      <c r="A97" s="107">
        <f xml:space="preserve"> ROW( slrImpacts[[#This Row],[row_id]] ) - ROW( slrImpacts[[#Headers],[row_id]] )</f>
        <v>96</v>
      </c>
      <c r="B97" s="104">
        <v>2095</v>
      </c>
      <c r="C97" s="104" t="s">
        <v>86</v>
      </c>
      <c r="D97" s="104" t="s">
        <v>87</v>
      </c>
      <c r="E97" s="104" t="s">
        <v>922</v>
      </c>
      <c r="F97" s="104"/>
      <c r="G97" s="105">
        <v>0</v>
      </c>
      <c r="H97" s="105">
        <v>0</v>
      </c>
      <c r="I97" s="105">
        <v>0</v>
      </c>
      <c r="J97" s="105">
        <v>0</v>
      </c>
      <c r="K97" s="105">
        <v>0</v>
      </c>
      <c r="L97" s="105">
        <v>0</v>
      </c>
      <c r="M97" s="106">
        <v>1223428036.6355388</v>
      </c>
      <c r="N97" s="106">
        <v>1372986394.2998343</v>
      </c>
      <c r="O97" s="106">
        <v>3322445188.7706175</v>
      </c>
      <c r="P97" s="106">
        <v>17403280897.876633</v>
      </c>
      <c r="Q97" s="106">
        <v>34605346406.631096</v>
      </c>
      <c r="R97" s="106">
        <v>52486839534.730705</v>
      </c>
      <c r="S97" s="105">
        <v>0</v>
      </c>
      <c r="T97" s="105">
        <v>0</v>
      </c>
      <c r="U97" s="105">
        <v>0</v>
      </c>
      <c r="V97" s="105">
        <v>0</v>
      </c>
      <c r="W97" s="105">
        <v>0</v>
      </c>
      <c r="X97" s="105">
        <v>0</v>
      </c>
      <c r="Y97" s="106">
        <v>113598801.33081682</v>
      </c>
      <c r="Z97" s="106">
        <v>129410664.05718845</v>
      </c>
      <c r="AA97" s="106">
        <v>200052282.97267884</v>
      </c>
      <c r="AB97" s="108">
        <v>1320848874.6213737</v>
      </c>
      <c r="AC97" s="108">
        <v>1400843732.7119224</v>
      </c>
      <c r="AD97" s="108">
        <v>9577270853.7340069</v>
      </c>
      <c r="AE97" s="108">
        <v>6171798890.6732702</v>
      </c>
      <c r="AF97" s="108">
        <v>7813050500.7481842</v>
      </c>
      <c r="AG97" s="108">
        <v>72013649406.266479</v>
      </c>
      <c r="AH97" s="108">
        <v>115094564899.05609</v>
      </c>
      <c r="AI97" s="108">
        <v>156673128337.44708</v>
      </c>
      <c r="AJ97" s="108">
        <v>178683463104.73694</v>
      </c>
      <c r="AK97" s="108">
        <v>1044319265.6846036</v>
      </c>
      <c r="AL97" s="108">
        <v>1348036657.4098856</v>
      </c>
      <c r="AM97" s="108">
        <v>1608511180.0989602</v>
      </c>
      <c r="AN97" s="108">
        <v>1297422875.2433805</v>
      </c>
      <c r="AO97" s="108">
        <v>1957161939.0617871</v>
      </c>
      <c r="AP97" s="108">
        <v>2479654250.5498071</v>
      </c>
      <c r="AQ97" s="108">
        <v>260888404.91710913</v>
      </c>
      <c r="AR97" s="108">
        <v>338153625.31928593</v>
      </c>
      <c r="AS97" s="108">
        <v>3524177431.100698</v>
      </c>
      <c r="AT97" s="108">
        <v>10080269645.433956</v>
      </c>
      <c r="AU97" s="108">
        <v>16570129177.304665</v>
      </c>
      <c r="AV97" s="108">
        <v>16026757419.693451</v>
      </c>
    </row>
    <row r="98" spans="1:48" x14ac:dyDescent="0.35">
      <c r="A98" s="107">
        <f xml:space="preserve"> ROW( slrImpacts[[#This Row],[row_id]] ) - ROW( slrImpacts[[#Headers],[row_id]] )</f>
        <v>97</v>
      </c>
      <c r="B98" s="104">
        <v>2096</v>
      </c>
      <c r="C98" s="104" t="s">
        <v>86</v>
      </c>
      <c r="D98" s="104" t="s">
        <v>87</v>
      </c>
      <c r="E98" s="104" t="s">
        <v>922</v>
      </c>
      <c r="F98" s="104"/>
      <c r="G98" s="105">
        <v>0</v>
      </c>
      <c r="H98" s="105">
        <v>0</v>
      </c>
      <c r="I98" s="105">
        <v>0</v>
      </c>
      <c r="J98" s="105">
        <v>0</v>
      </c>
      <c r="K98" s="105">
        <v>0</v>
      </c>
      <c r="L98" s="105">
        <v>0</v>
      </c>
      <c r="M98" s="106">
        <v>1223428036.6355388</v>
      </c>
      <c r="N98" s="106">
        <v>1372986394.2998343</v>
      </c>
      <c r="O98" s="106">
        <v>3322445188.7706175</v>
      </c>
      <c r="P98" s="106">
        <v>17403280897.876633</v>
      </c>
      <c r="Q98" s="106">
        <v>34605346406.631096</v>
      </c>
      <c r="R98" s="106">
        <v>52486839534.730705</v>
      </c>
      <c r="S98" s="105">
        <v>0</v>
      </c>
      <c r="T98" s="105">
        <v>0</v>
      </c>
      <c r="U98" s="105">
        <v>0</v>
      </c>
      <c r="V98" s="105">
        <v>0</v>
      </c>
      <c r="W98" s="105">
        <v>0</v>
      </c>
      <c r="X98" s="105">
        <v>0</v>
      </c>
      <c r="Y98" s="106">
        <v>113598801.33081682</v>
      </c>
      <c r="Z98" s="106">
        <v>129410664.05718845</v>
      </c>
      <c r="AA98" s="106">
        <v>200052282.97267884</v>
      </c>
      <c r="AB98" s="108">
        <v>1320848874.6213737</v>
      </c>
      <c r="AC98" s="108">
        <v>1400843732.7119224</v>
      </c>
      <c r="AD98" s="108">
        <v>9577270853.7340069</v>
      </c>
      <c r="AE98" s="108">
        <v>6171798890.6732702</v>
      </c>
      <c r="AF98" s="108">
        <v>7813050500.7481842</v>
      </c>
      <c r="AG98" s="108">
        <v>72013649406.266479</v>
      </c>
      <c r="AH98" s="108">
        <v>115094564899.05609</v>
      </c>
      <c r="AI98" s="108">
        <v>156673128337.44708</v>
      </c>
      <c r="AJ98" s="108">
        <v>178683463104.73694</v>
      </c>
      <c r="AK98" s="108">
        <v>1044319265.6846036</v>
      </c>
      <c r="AL98" s="108">
        <v>1348036657.4098856</v>
      </c>
      <c r="AM98" s="108">
        <v>1608511180.0989604</v>
      </c>
      <c r="AN98" s="108">
        <v>1297422875.2433805</v>
      </c>
      <c r="AO98" s="108">
        <v>1957161939.0617871</v>
      </c>
      <c r="AP98" s="108">
        <v>2479654250.5498071</v>
      </c>
      <c r="AQ98" s="108">
        <v>260888404.91710913</v>
      </c>
      <c r="AR98" s="108">
        <v>338153625.31928587</v>
      </c>
      <c r="AS98" s="108">
        <v>3524177431.1006975</v>
      </c>
      <c r="AT98" s="108">
        <v>10080269645.433956</v>
      </c>
      <c r="AU98" s="108">
        <v>16570129177.304665</v>
      </c>
      <c r="AV98" s="108">
        <v>16026757419.693449</v>
      </c>
    </row>
    <row r="99" spans="1:48" x14ac:dyDescent="0.35">
      <c r="A99" s="107">
        <f xml:space="preserve"> ROW( slrImpacts[[#This Row],[row_id]] ) - ROW( slrImpacts[[#Headers],[row_id]] )</f>
        <v>98</v>
      </c>
      <c r="B99" s="104">
        <v>2097</v>
      </c>
      <c r="C99" s="104" t="s">
        <v>86</v>
      </c>
      <c r="D99" s="104" t="s">
        <v>87</v>
      </c>
      <c r="E99" s="104" t="s">
        <v>922</v>
      </c>
      <c r="F99" s="104"/>
      <c r="G99" s="105">
        <v>0</v>
      </c>
      <c r="H99" s="105">
        <v>0</v>
      </c>
      <c r="I99" s="105">
        <v>0</v>
      </c>
      <c r="J99" s="105">
        <v>0</v>
      </c>
      <c r="K99" s="105">
        <v>0</v>
      </c>
      <c r="L99" s="105">
        <v>0</v>
      </c>
      <c r="M99" s="106">
        <v>1223428036.6355388</v>
      </c>
      <c r="N99" s="106">
        <v>1372986394.2998343</v>
      </c>
      <c r="O99" s="106">
        <v>3322445188.7706175</v>
      </c>
      <c r="P99" s="106">
        <v>17403280897.876633</v>
      </c>
      <c r="Q99" s="106">
        <v>34605346406.631096</v>
      </c>
      <c r="R99" s="106">
        <v>52486839534.730705</v>
      </c>
      <c r="S99" s="105">
        <v>0</v>
      </c>
      <c r="T99" s="105">
        <v>0</v>
      </c>
      <c r="U99" s="105">
        <v>0</v>
      </c>
      <c r="V99" s="105">
        <v>0</v>
      </c>
      <c r="W99" s="105">
        <v>0</v>
      </c>
      <c r="X99" s="105">
        <v>0</v>
      </c>
      <c r="Y99" s="106">
        <v>113598801.33081682</v>
      </c>
      <c r="Z99" s="106">
        <v>129410664.05718845</v>
      </c>
      <c r="AA99" s="106">
        <v>200052282.97267884</v>
      </c>
      <c r="AB99" s="108">
        <v>1320848874.6213737</v>
      </c>
      <c r="AC99" s="108">
        <v>1400843732.7119224</v>
      </c>
      <c r="AD99" s="108">
        <v>9577270853.734005</v>
      </c>
      <c r="AE99" s="108">
        <v>6171798890.6732702</v>
      </c>
      <c r="AF99" s="108">
        <v>7813050500.7481842</v>
      </c>
      <c r="AG99" s="108">
        <v>72013649406.266495</v>
      </c>
      <c r="AH99" s="108">
        <v>115094564899.05609</v>
      </c>
      <c r="AI99" s="108">
        <v>156673128337.44708</v>
      </c>
      <c r="AJ99" s="108">
        <v>178683463104.73694</v>
      </c>
      <c r="AK99" s="108">
        <v>1044319265.6846036</v>
      </c>
      <c r="AL99" s="108">
        <v>1348036657.4098856</v>
      </c>
      <c r="AM99" s="108">
        <v>1608511180.0989602</v>
      </c>
      <c r="AN99" s="108">
        <v>1297422875.2433801</v>
      </c>
      <c r="AO99" s="108">
        <v>1957161939.0617869</v>
      </c>
      <c r="AP99" s="108">
        <v>2479654250.5498071</v>
      </c>
      <c r="AQ99" s="108">
        <v>260888404.91710913</v>
      </c>
      <c r="AR99" s="108">
        <v>338153625.31928587</v>
      </c>
      <c r="AS99" s="108">
        <v>3524177431.1006975</v>
      </c>
      <c r="AT99" s="108">
        <v>10080269645.433956</v>
      </c>
      <c r="AU99" s="108">
        <v>16570129177.304665</v>
      </c>
      <c r="AV99" s="108">
        <v>16026757419.693449</v>
      </c>
    </row>
    <row r="100" spans="1:48" x14ac:dyDescent="0.35">
      <c r="A100" s="107">
        <f xml:space="preserve"> ROW( slrImpacts[[#This Row],[row_id]] ) - ROW( slrImpacts[[#Headers],[row_id]] )</f>
        <v>99</v>
      </c>
      <c r="B100" s="104">
        <v>2098</v>
      </c>
      <c r="C100" s="104" t="s">
        <v>86</v>
      </c>
      <c r="D100" s="104" t="s">
        <v>87</v>
      </c>
      <c r="E100" s="104" t="s">
        <v>922</v>
      </c>
      <c r="F100" s="104"/>
      <c r="G100" s="105">
        <v>0</v>
      </c>
      <c r="H100" s="105">
        <v>0</v>
      </c>
      <c r="I100" s="105">
        <v>0</v>
      </c>
      <c r="J100" s="105">
        <v>0</v>
      </c>
      <c r="K100" s="105">
        <v>0</v>
      </c>
      <c r="L100" s="105">
        <v>0</v>
      </c>
      <c r="M100" s="106">
        <v>1223428036.6355388</v>
      </c>
      <c r="N100" s="106">
        <v>1372986394.2998343</v>
      </c>
      <c r="O100" s="106">
        <v>3322445188.7706175</v>
      </c>
      <c r="P100" s="106">
        <v>17403280897.876633</v>
      </c>
      <c r="Q100" s="106">
        <v>34605346406.631096</v>
      </c>
      <c r="R100" s="106">
        <v>52486839534.730705</v>
      </c>
      <c r="S100" s="105">
        <v>0</v>
      </c>
      <c r="T100" s="105">
        <v>0</v>
      </c>
      <c r="U100" s="105">
        <v>0</v>
      </c>
      <c r="V100" s="105">
        <v>0</v>
      </c>
      <c r="W100" s="105">
        <v>0</v>
      </c>
      <c r="X100" s="105">
        <v>0</v>
      </c>
      <c r="Y100" s="106">
        <v>113598801.33081682</v>
      </c>
      <c r="Z100" s="106">
        <v>129410664.05718845</v>
      </c>
      <c r="AA100" s="106">
        <v>200052282.97267884</v>
      </c>
      <c r="AB100" s="108">
        <v>1320848874.6213737</v>
      </c>
      <c r="AC100" s="108">
        <v>1400843732.7119224</v>
      </c>
      <c r="AD100" s="108">
        <v>9577270853.734005</v>
      </c>
      <c r="AE100" s="108">
        <v>6171798890.6732702</v>
      </c>
      <c r="AF100" s="108">
        <v>7813050500.7481842</v>
      </c>
      <c r="AG100" s="108">
        <v>72013649406.266495</v>
      </c>
      <c r="AH100" s="108">
        <v>115094564899.05609</v>
      </c>
      <c r="AI100" s="108">
        <v>156673128337.44708</v>
      </c>
      <c r="AJ100" s="108">
        <v>178683463104.73694</v>
      </c>
      <c r="AK100" s="108">
        <v>1044319265.6846036</v>
      </c>
      <c r="AL100" s="108">
        <v>1348036657.4098856</v>
      </c>
      <c r="AM100" s="108">
        <v>1608511180.0989602</v>
      </c>
      <c r="AN100" s="108">
        <v>1297422875.2433801</v>
      </c>
      <c r="AO100" s="108">
        <v>1957161939.0617869</v>
      </c>
      <c r="AP100" s="108">
        <v>2479654250.5498071</v>
      </c>
      <c r="AQ100" s="108">
        <v>260888404.91710919</v>
      </c>
      <c r="AR100" s="108">
        <v>338153625.31928587</v>
      </c>
      <c r="AS100" s="108">
        <v>3524177431.1006975</v>
      </c>
      <c r="AT100" s="108">
        <v>10080269645.433956</v>
      </c>
      <c r="AU100" s="108">
        <v>16570129177.304665</v>
      </c>
      <c r="AV100" s="108">
        <v>16026757419.693449</v>
      </c>
    </row>
    <row r="101" spans="1:48" x14ac:dyDescent="0.35">
      <c r="A101" s="107">
        <f xml:space="preserve"> ROW( slrImpacts[[#This Row],[row_id]] ) - ROW( slrImpacts[[#Headers],[row_id]] )</f>
        <v>100</v>
      </c>
      <c r="B101" s="104">
        <v>2099</v>
      </c>
      <c r="C101" s="104" t="s">
        <v>86</v>
      </c>
      <c r="D101" s="104" t="s">
        <v>87</v>
      </c>
      <c r="E101" s="104" t="s">
        <v>922</v>
      </c>
      <c r="F101" s="104"/>
      <c r="G101" s="105">
        <v>0</v>
      </c>
      <c r="H101" s="105">
        <v>0</v>
      </c>
      <c r="I101" s="105">
        <v>0</v>
      </c>
      <c r="J101" s="105">
        <v>0</v>
      </c>
      <c r="K101" s="105">
        <v>0</v>
      </c>
      <c r="L101" s="105">
        <v>0</v>
      </c>
      <c r="M101" s="106">
        <v>1223428036.6355388</v>
      </c>
      <c r="N101" s="106">
        <v>1372986394.2998343</v>
      </c>
      <c r="O101" s="106">
        <v>3322445188.7706175</v>
      </c>
      <c r="P101" s="106">
        <v>17403280897.876633</v>
      </c>
      <c r="Q101" s="106">
        <v>34605346406.631096</v>
      </c>
      <c r="R101" s="106">
        <v>52486839534.730705</v>
      </c>
      <c r="S101" s="105">
        <v>0</v>
      </c>
      <c r="T101" s="105">
        <v>0</v>
      </c>
      <c r="U101" s="105">
        <v>0</v>
      </c>
      <c r="V101" s="105">
        <v>0</v>
      </c>
      <c r="W101" s="105">
        <v>0</v>
      </c>
      <c r="X101" s="105">
        <v>0</v>
      </c>
      <c r="Y101" s="106">
        <v>113598801.33081682</v>
      </c>
      <c r="Z101" s="106">
        <v>129410664.05718845</v>
      </c>
      <c r="AA101" s="106">
        <v>200052282.97267884</v>
      </c>
      <c r="AB101" s="108">
        <v>1320848874.6213737</v>
      </c>
      <c r="AC101" s="108">
        <v>1400843732.7119224</v>
      </c>
      <c r="AD101" s="108">
        <v>9577270853.734005</v>
      </c>
      <c r="AE101" s="108">
        <v>6171798890.6732721</v>
      </c>
      <c r="AF101" s="108">
        <v>7813050500.7481842</v>
      </c>
      <c r="AG101" s="108">
        <v>72013649406.266495</v>
      </c>
      <c r="AH101" s="108">
        <v>115094564899.05609</v>
      </c>
      <c r="AI101" s="108">
        <v>156673128337.44708</v>
      </c>
      <c r="AJ101" s="108">
        <v>178683463104.73694</v>
      </c>
      <c r="AK101" s="108">
        <v>1044319265.6846036</v>
      </c>
      <c r="AL101" s="108">
        <v>1348036657.4098856</v>
      </c>
      <c r="AM101" s="108">
        <v>1608511180.0989602</v>
      </c>
      <c r="AN101" s="108">
        <v>1297422875.2433801</v>
      </c>
      <c r="AO101" s="108">
        <v>1957161939.0617869</v>
      </c>
      <c r="AP101" s="108">
        <v>2479654250.5498071</v>
      </c>
      <c r="AQ101" s="108">
        <v>260888404.91710913</v>
      </c>
      <c r="AR101" s="108">
        <v>338153625.31928587</v>
      </c>
      <c r="AS101" s="108">
        <v>3524177431.1006975</v>
      </c>
      <c r="AT101" s="108">
        <v>10080269645.433956</v>
      </c>
      <c r="AU101" s="108">
        <v>16570129177.304665</v>
      </c>
      <c r="AV101" s="108">
        <v>16026757419.693449</v>
      </c>
    </row>
    <row r="102" spans="1:48" x14ac:dyDescent="0.35">
      <c r="A102" s="107">
        <f xml:space="preserve"> ROW( slrImpacts[[#This Row],[row_id]] ) - ROW( slrImpacts[[#Headers],[row_id]] )</f>
        <v>101</v>
      </c>
      <c r="B102" s="104">
        <v>2100</v>
      </c>
      <c r="C102" s="104" t="s">
        <v>86</v>
      </c>
      <c r="D102" s="104" t="s">
        <v>87</v>
      </c>
      <c r="E102" s="104" t="s">
        <v>922</v>
      </c>
      <c r="F102" s="104"/>
      <c r="G102" s="105">
        <v>0</v>
      </c>
      <c r="H102" s="105">
        <v>0</v>
      </c>
      <c r="I102" s="105">
        <v>0</v>
      </c>
      <c r="J102" s="105">
        <v>0</v>
      </c>
      <c r="K102" s="105">
        <v>0</v>
      </c>
      <c r="L102" s="105">
        <v>0</v>
      </c>
      <c r="M102" s="106">
        <v>1223428036.6355388</v>
      </c>
      <c r="N102" s="106">
        <v>1372986394.2998343</v>
      </c>
      <c r="O102" s="106">
        <v>3322445188.7706175</v>
      </c>
      <c r="P102" s="106">
        <v>17403280897.876633</v>
      </c>
      <c r="Q102" s="106">
        <v>34605346406.631104</v>
      </c>
      <c r="R102" s="106">
        <v>52486839534.730705</v>
      </c>
      <c r="S102" s="105">
        <v>0</v>
      </c>
      <c r="T102" s="105">
        <v>0</v>
      </c>
      <c r="U102" s="105">
        <v>0</v>
      </c>
      <c r="V102" s="105">
        <v>0</v>
      </c>
      <c r="W102" s="105">
        <v>0</v>
      </c>
      <c r="X102" s="105">
        <v>0</v>
      </c>
      <c r="Y102" s="106">
        <v>113598801.33081682</v>
      </c>
      <c r="Z102" s="106">
        <v>129410664.05718844</v>
      </c>
      <c r="AA102" s="106">
        <v>200052282.97267884</v>
      </c>
      <c r="AB102" s="108">
        <v>1320848874.6213737</v>
      </c>
      <c r="AC102" s="108">
        <v>1400843732.7119224</v>
      </c>
      <c r="AD102" s="108">
        <v>9577270853.734005</v>
      </c>
      <c r="AE102" s="108">
        <v>6171798890.6732702</v>
      </c>
      <c r="AF102" s="108">
        <v>7813050500.7481842</v>
      </c>
      <c r="AG102" s="108">
        <v>72013649406.266495</v>
      </c>
      <c r="AH102" s="108">
        <v>115094564899.05609</v>
      </c>
      <c r="AI102" s="108">
        <v>156673128337.44708</v>
      </c>
      <c r="AJ102" s="108">
        <v>178683463104.73697</v>
      </c>
      <c r="AK102" s="108">
        <v>1044319265.6846036</v>
      </c>
      <c r="AL102" s="108">
        <v>1348036657.4098856</v>
      </c>
      <c r="AM102" s="108">
        <v>1608511180.0989602</v>
      </c>
      <c r="AN102" s="108">
        <v>1297422875.2433801</v>
      </c>
      <c r="AO102" s="108">
        <v>1957161939.0617869</v>
      </c>
      <c r="AP102" s="108">
        <v>2479654250.5498071</v>
      </c>
      <c r="AQ102" s="108">
        <v>260888404.91710919</v>
      </c>
      <c r="AR102" s="108">
        <v>338153625.31928587</v>
      </c>
      <c r="AS102" s="108">
        <v>3524177431.1006975</v>
      </c>
      <c r="AT102" s="108">
        <v>10080269645.433956</v>
      </c>
      <c r="AU102" s="108">
        <v>16570129177.304665</v>
      </c>
      <c r="AV102" s="108">
        <v>16026757419.693449</v>
      </c>
    </row>
    <row r="103" spans="1:48" x14ac:dyDescent="0.35">
      <c r="A103" s="107">
        <f xml:space="preserve"> ROW( slrImpacts[[#This Row],[row_id]] ) - ROW( slrImpacts[[#Headers],[row_id]] )</f>
        <v>102</v>
      </c>
      <c r="B103" s="104">
        <v>2000</v>
      </c>
      <c r="C103" s="104" t="s">
        <v>86</v>
      </c>
      <c r="D103" s="104" t="s">
        <v>88</v>
      </c>
      <c r="E103" s="104" t="s">
        <v>922</v>
      </c>
      <c r="F103" s="104"/>
      <c r="G103" s="105">
        <v>0</v>
      </c>
      <c r="H103" s="105">
        <v>0</v>
      </c>
      <c r="I103" s="105">
        <v>0</v>
      </c>
      <c r="J103" s="105">
        <v>0</v>
      </c>
      <c r="K103" s="105">
        <v>0</v>
      </c>
      <c r="L103" s="105">
        <v>0</v>
      </c>
      <c r="M103" s="106">
        <v>0</v>
      </c>
      <c r="N103" s="106">
        <v>0</v>
      </c>
      <c r="O103" s="106">
        <v>0</v>
      </c>
      <c r="P103" s="106">
        <v>0</v>
      </c>
      <c r="Q103" s="106">
        <v>0</v>
      </c>
      <c r="R103" s="106">
        <v>0</v>
      </c>
      <c r="S103" s="105">
        <v>0</v>
      </c>
      <c r="T103" s="105">
        <v>0</v>
      </c>
      <c r="U103" s="105">
        <v>0</v>
      </c>
      <c r="V103" s="105">
        <v>0</v>
      </c>
      <c r="W103" s="105">
        <v>0</v>
      </c>
      <c r="X103" s="105">
        <v>0</v>
      </c>
      <c r="Y103" s="106">
        <v>0</v>
      </c>
      <c r="Z103" s="106">
        <v>0</v>
      </c>
      <c r="AA103" s="106">
        <v>0</v>
      </c>
      <c r="AB103" s="108">
        <v>0</v>
      </c>
      <c r="AC103" s="108">
        <v>0</v>
      </c>
      <c r="AD103" s="108">
        <v>0</v>
      </c>
      <c r="AE103" s="108">
        <v>0</v>
      </c>
      <c r="AF103" s="108">
        <v>0</v>
      </c>
      <c r="AG103" s="108">
        <v>0</v>
      </c>
      <c r="AH103" s="108">
        <v>0</v>
      </c>
      <c r="AI103" s="108">
        <v>0</v>
      </c>
      <c r="AJ103" s="108">
        <v>0</v>
      </c>
      <c r="AK103" s="108">
        <v>0</v>
      </c>
      <c r="AL103" s="108">
        <v>0</v>
      </c>
      <c r="AM103" s="108">
        <v>0</v>
      </c>
      <c r="AN103" s="108">
        <v>0</v>
      </c>
      <c r="AO103" s="108">
        <v>0</v>
      </c>
      <c r="AP103" s="108">
        <v>0</v>
      </c>
      <c r="AQ103" s="108">
        <v>0</v>
      </c>
      <c r="AR103" s="108">
        <v>0</v>
      </c>
      <c r="AS103" s="108">
        <v>0</v>
      </c>
      <c r="AT103" s="108">
        <v>0</v>
      </c>
      <c r="AU103" s="108">
        <v>0</v>
      </c>
      <c r="AV103" s="108">
        <v>0</v>
      </c>
    </row>
    <row r="104" spans="1:48" x14ac:dyDescent="0.35">
      <c r="A104" s="107">
        <f xml:space="preserve"> ROW( slrImpacts[[#This Row],[row_id]] ) - ROW( slrImpacts[[#Headers],[row_id]] )</f>
        <v>103</v>
      </c>
      <c r="B104" s="104">
        <v>2001</v>
      </c>
      <c r="C104" s="104" t="s">
        <v>86</v>
      </c>
      <c r="D104" s="104" t="s">
        <v>88</v>
      </c>
      <c r="E104" s="104" t="s">
        <v>922</v>
      </c>
      <c r="F104" s="104"/>
      <c r="G104" s="105">
        <v>0</v>
      </c>
      <c r="H104" s="105">
        <v>0</v>
      </c>
      <c r="I104" s="105">
        <v>0</v>
      </c>
      <c r="J104" s="105">
        <v>0</v>
      </c>
      <c r="K104" s="105">
        <v>0</v>
      </c>
      <c r="L104" s="105">
        <v>0</v>
      </c>
      <c r="M104" s="106">
        <v>805828580.65871668</v>
      </c>
      <c r="N104" s="106">
        <v>814763455.33066726</v>
      </c>
      <c r="O104" s="106">
        <v>836502903.3372128</v>
      </c>
      <c r="P104" s="106">
        <v>857635850.10735381</v>
      </c>
      <c r="Q104" s="106">
        <v>879519899.349226</v>
      </c>
      <c r="R104" s="106">
        <v>883886931.35125363</v>
      </c>
      <c r="S104" s="105">
        <v>0</v>
      </c>
      <c r="T104" s="105">
        <v>0</v>
      </c>
      <c r="U104" s="105">
        <v>0</v>
      </c>
      <c r="V104" s="105">
        <v>0</v>
      </c>
      <c r="W104" s="105">
        <v>0</v>
      </c>
      <c r="X104" s="105">
        <v>0</v>
      </c>
      <c r="Y104" s="106">
        <v>95623135.008475035</v>
      </c>
      <c r="Z104" s="106">
        <v>96729349.05698666</v>
      </c>
      <c r="AA104" s="106">
        <v>98143312.669778302</v>
      </c>
      <c r="AB104" s="108">
        <v>101354921.2606343</v>
      </c>
      <c r="AC104" s="108">
        <v>103083124.33803028</v>
      </c>
      <c r="AD104" s="108">
        <v>104081628.85762261</v>
      </c>
      <c r="AE104" s="108">
        <v>1816243007.1530175</v>
      </c>
      <c r="AF104" s="108">
        <v>1851111675.4334686</v>
      </c>
      <c r="AG104" s="108">
        <v>1962419882.2397766</v>
      </c>
      <c r="AH104" s="108">
        <v>2040509625.3963847</v>
      </c>
      <c r="AI104" s="108">
        <v>2102258780.2415245</v>
      </c>
      <c r="AJ104" s="108">
        <v>2104758491.0561986</v>
      </c>
      <c r="AK104" s="108">
        <v>119272553.00462063</v>
      </c>
      <c r="AL104" s="108">
        <v>119326803.5396494</v>
      </c>
      <c r="AM104" s="108">
        <v>128546658.33161527</v>
      </c>
      <c r="AN104" s="108">
        <v>137320340.89075804</v>
      </c>
      <c r="AO104" s="108">
        <v>142624795.80564803</v>
      </c>
      <c r="AP104" s="108">
        <v>142709958.34837669</v>
      </c>
      <c r="AQ104" s="108">
        <v>160548851.33581793</v>
      </c>
      <c r="AR104" s="108">
        <v>165794795.97585088</v>
      </c>
      <c r="AS104" s="108">
        <v>171954422.11833411</v>
      </c>
      <c r="AT104" s="108">
        <v>179899497.50542536</v>
      </c>
      <c r="AU104" s="108">
        <v>187264267.36980817</v>
      </c>
      <c r="AV104" s="108">
        <v>187474087.97376674</v>
      </c>
    </row>
    <row r="105" spans="1:48" x14ac:dyDescent="0.35">
      <c r="A105" s="107">
        <f xml:space="preserve"> ROW( slrImpacts[[#This Row],[row_id]] ) - ROW( slrImpacts[[#Headers],[row_id]] )</f>
        <v>104</v>
      </c>
      <c r="B105" s="104">
        <v>2002</v>
      </c>
      <c r="C105" s="104" t="s">
        <v>86</v>
      </c>
      <c r="D105" s="104" t="s">
        <v>88</v>
      </c>
      <c r="E105" s="104" t="s">
        <v>922</v>
      </c>
      <c r="F105" s="104"/>
      <c r="G105" s="105">
        <v>0</v>
      </c>
      <c r="H105" s="105">
        <v>0</v>
      </c>
      <c r="I105" s="105">
        <v>0</v>
      </c>
      <c r="J105" s="105">
        <v>0</v>
      </c>
      <c r="K105" s="105">
        <v>0</v>
      </c>
      <c r="L105" s="105">
        <v>0</v>
      </c>
      <c r="M105" s="106">
        <v>805849148.74202323</v>
      </c>
      <c r="N105" s="106">
        <v>814786308.75656343</v>
      </c>
      <c r="O105" s="106">
        <v>836537183.47605693</v>
      </c>
      <c r="P105" s="106">
        <v>857676986.27396691</v>
      </c>
      <c r="Q105" s="106">
        <v>879572462.22878706</v>
      </c>
      <c r="R105" s="106">
        <v>883948635.60117304</v>
      </c>
      <c r="S105" s="105">
        <v>0</v>
      </c>
      <c r="T105" s="105">
        <v>0</v>
      </c>
      <c r="U105" s="105">
        <v>0</v>
      </c>
      <c r="V105" s="105">
        <v>0</v>
      </c>
      <c r="W105" s="105">
        <v>0</v>
      </c>
      <c r="X105" s="105">
        <v>0</v>
      </c>
      <c r="Y105" s="106">
        <v>95623135.008475035</v>
      </c>
      <c r="Z105" s="106">
        <v>96729349.05698666</v>
      </c>
      <c r="AA105" s="106">
        <v>98143312.669778317</v>
      </c>
      <c r="AB105" s="108">
        <v>101357206.60322392</v>
      </c>
      <c r="AC105" s="108">
        <v>103087695.02320951</v>
      </c>
      <c r="AD105" s="108">
        <v>104086199.54280183</v>
      </c>
      <c r="AE105" s="108">
        <v>1818455218.7797601</v>
      </c>
      <c r="AF105" s="108">
        <v>1853454151.5878191</v>
      </c>
      <c r="AG105" s="108">
        <v>1965203429.5139217</v>
      </c>
      <c r="AH105" s="108">
        <v>2043667968.8552251</v>
      </c>
      <c r="AI105" s="108">
        <v>2106831750.7633338</v>
      </c>
      <c r="AJ105" s="108">
        <v>2109329176.2354181</v>
      </c>
      <c r="AK105" s="108">
        <v>119277123.68979985</v>
      </c>
      <c r="AL105" s="108">
        <v>119331374.22482862</v>
      </c>
      <c r="AM105" s="108">
        <v>128555799.70197371</v>
      </c>
      <c r="AN105" s="108">
        <v>137336338.2888853</v>
      </c>
      <c r="AO105" s="108">
        <v>142645363.88895455</v>
      </c>
      <c r="AP105" s="108">
        <v>142730526.43168318</v>
      </c>
      <c r="AQ105" s="108">
        <v>160617411.6135062</v>
      </c>
      <c r="AR105" s="108">
        <v>165874782.96648726</v>
      </c>
      <c r="AS105" s="108">
        <v>172084686.64594188</v>
      </c>
      <c r="AT105" s="108">
        <v>180077754.22741494</v>
      </c>
      <c r="AU105" s="108">
        <v>187474518.88805223</v>
      </c>
      <c r="AV105" s="108">
        <v>187684339.49201086</v>
      </c>
    </row>
    <row r="106" spans="1:48" x14ac:dyDescent="0.35">
      <c r="A106" s="107">
        <f xml:space="preserve"> ROW( slrImpacts[[#This Row],[row_id]] ) - ROW( slrImpacts[[#Headers],[row_id]] )</f>
        <v>105</v>
      </c>
      <c r="B106" s="104">
        <v>2003</v>
      </c>
      <c r="C106" s="104" t="s">
        <v>86</v>
      </c>
      <c r="D106" s="104" t="s">
        <v>88</v>
      </c>
      <c r="E106" s="104" t="s">
        <v>922</v>
      </c>
      <c r="F106" s="104"/>
      <c r="G106" s="105">
        <v>0</v>
      </c>
      <c r="H106" s="105">
        <v>0</v>
      </c>
      <c r="I106" s="105">
        <v>0</v>
      </c>
      <c r="J106" s="105">
        <v>0</v>
      </c>
      <c r="K106" s="105">
        <v>0</v>
      </c>
      <c r="L106" s="105">
        <v>0</v>
      </c>
      <c r="M106" s="106">
        <v>805864574.80450296</v>
      </c>
      <c r="N106" s="106">
        <v>814803448.82598543</v>
      </c>
      <c r="O106" s="106">
        <v>836562893.58018994</v>
      </c>
      <c r="P106" s="106">
        <v>857707838.39892662</v>
      </c>
      <c r="Q106" s="106">
        <v>879611884.38845778</v>
      </c>
      <c r="R106" s="106">
        <v>883994913.7886126</v>
      </c>
      <c r="S106" s="105">
        <v>0</v>
      </c>
      <c r="T106" s="105">
        <v>0</v>
      </c>
      <c r="U106" s="105">
        <v>0</v>
      </c>
      <c r="V106" s="105">
        <v>0</v>
      </c>
      <c r="W106" s="105">
        <v>0</v>
      </c>
      <c r="X106" s="105">
        <v>0</v>
      </c>
      <c r="Y106" s="106">
        <v>95623135.008475035</v>
      </c>
      <c r="Z106" s="106">
        <v>96729349.05698666</v>
      </c>
      <c r="AA106" s="106">
        <v>98143312.669778317</v>
      </c>
      <c r="AB106" s="108">
        <v>101358920.61016612</v>
      </c>
      <c r="AC106" s="108">
        <v>103091123.03709391</v>
      </c>
      <c r="AD106" s="108">
        <v>104089627.55668625</v>
      </c>
      <c r="AE106" s="108">
        <v>1820114377.4998167</v>
      </c>
      <c r="AF106" s="108">
        <v>1855211008.7035813</v>
      </c>
      <c r="AG106" s="108">
        <v>1967291089.9695311</v>
      </c>
      <c r="AH106" s="108">
        <v>2046036726.4493563</v>
      </c>
      <c r="AI106" s="108">
        <v>2110261478.6546905</v>
      </c>
      <c r="AJ106" s="108">
        <v>2112757190.1198325</v>
      </c>
      <c r="AK106" s="108">
        <v>119280551.70368426</v>
      </c>
      <c r="AL106" s="108">
        <v>119334802.23871304</v>
      </c>
      <c r="AM106" s="108">
        <v>128562655.72974253</v>
      </c>
      <c r="AN106" s="108">
        <v>137348336.33748072</v>
      </c>
      <c r="AO106" s="108">
        <v>142660789.9514344</v>
      </c>
      <c r="AP106" s="108">
        <v>142745952.4941631</v>
      </c>
      <c r="AQ106" s="108">
        <v>160668831.82177243</v>
      </c>
      <c r="AR106" s="108">
        <v>165934773.20946449</v>
      </c>
      <c r="AS106" s="108">
        <v>172182385.0416477</v>
      </c>
      <c r="AT106" s="108">
        <v>180211446.7689071</v>
      </c>
      <c r="AU106" s="108">
        <v>187632207.52673531</v>
      </c>
      <c r="AV106" s="108">
        <v>187842028.13069394</v>
      </c>
    </row>
    <row r="107" spans="1:48" x14ac:dyDescent="0.35">
      <c r="A107" s="107">
        <f xml:space="preserve"> ROW( slrImpacts[[#This Row],[row_id]] ) - ROW( slrImpacts[[#Headers],[row_id]] )</f>
        <v>106</v>
      </c>
      <c r="B107" s="104">
        <v>2004</v>
      </c>
      <c r="C107" s="104" t="s">
        <v>86</v>
      </c>
      <c r="D107" s="104" t="s">
        <v>88</v>
      </c>
      <c r="E107" s="104" t="s">
        <v>922</v>
      </c>
      <c r="F107" s="104"/>
      <c r="G107" s="105">
        <v>0</v>
      </c>
      <c r="H107" s="105">
        <v>0</v>
      </c>
      <c r="I107" s="105">
        <v>0</v>
      </c>
      <c r="J107" s="105">
        <v>0</v>
      </c>
      <c r="K107" s="105">
        <v>0</v>
      </c>
      <c r="L107" s="105">
        <v>0</v>
      </c>
      <c r="M107" s="106">
        <v>805876572.85309839</v>
      </c>
      <c r="N107" s="106">
        <v>814816779.99109161</v>
      </c>
      <c r="O107" s="106">
        <v>836582890.32784915</v>
      </c>
      <c r="P107" s="106">
        <v>857731834.49611759</v>
      </c>
      <c r="Q107" s="106">
        <v>879642546.06820178</v>
      </c>
      <c r="R107" s="106">
        <v>884030907.93439901</v>
      </c>
      <c r="S107" s="105">
        <v>0</v>
      </c>
      <c r="T107" s="105">
        <v>0</v>
      </c>
      <c r="U107" s="105">
        <v>0</v>
      </c>
      <c r="V107" s="105">
        <v>0</v>
      </c>
      <c r="W107" s="105">
        <v>0</v>
      </c>
      <c r="X107" s="105">
        <v>0</v>
      </c>
      <c r="Y107" s="106">
        <v>95623135.008475035</v>
      </c>
      <c r="Z107" s="106">
        <v>96729349.05698666</v>
      </c>
      <c r="AA107" s="106">
        <v>98143312.669778317</v>
      </c>
      <c r="AB107" s="108">
        <v>101360253.72667673</v>
      </c>
      <c r="AC107" s="108">
        <v>103093789.27011512</v>
      </c>
      <c r="AD107" s="108">
        <v>104092293.78970745</v>
      </c>
      <c r="AE107" s="108">
        <v>1821404834.2820835</v>
      </c>
      <c r="AF107" s="108">
        <v>1856577453.1269522</v>
      </c>
      <c r="AG107" s="108">
        <v>1968914825.8794484</v>
      </c>
      <c r="AH107" s="108">
        <v>2047879093.4670141</v>
      </c>
      <c r="AI107" s="108">
        <v>2112929044.7924137</v>
      </c>
      <c r="AJ107" s="108">
        <v>2115423423.1410449</v>
      </c>
      <c r="AK107" s="108">
        <v>119283217.93670547</v>
      </c>
      <c r="AL107" s="108">
        <v>119337468.47173426</v>
      </c>
      <c r="AM107" s="108">
        <v>128567988.19578496</v>
      </c>
      <c r="AN107" s="108">
        <v>137357668.15305501</v>
      </c>
      <c r="AO107" s="108">
        <v>142672788.00002983</v>
      </c>
      <c r="AP107" s="108">
        <v>142757950.54275849</v>
      </c>
      <c r="AQ107" s="108">
        <v>160708825.3170906</v>
      </c>
      <c r="AR107" s="108">
        <v>165981432.28733566</v>
      </c>
      <c r="AS107" s="108">
        <v>172258372.68275222</v>
      </c>
      <c r="AT107" s="108">
        <v>180315429.85673437</v>
      </c>
      <c r="AU107" s="108">
        <v>187754854.24571103</v>
      </c>
      <c r="AV107" s="108">
        <v>187964674.84966969</v>
      </c>
    </row>
    <row r="108" spans="1:48" x14ac:dyDescent="0.35">
      <c r="A108" s="107">
        <f xml:space="preserve"> ROW( slrImpacts[[#This Row],[row_id]] ) - ROW( slrImpacts[[#Headers],[row_id]] )</f>
        <v>107</v>
      </c>
      <c r="B108" s="104">
        <v>2005</v>
      </c>
      <c r="C108" s="104" t="s">
        <v>86</v>
      </c>
      <c r="D108" s="104" t="s">
        <v>88</v>
      </c>
      <c r="E108" s="104" t="s">
        <v>922</v>
      </c>
      <c r="F108" s="104"/>
      <c r="G108" s="105">
        <v>0</v>
      </c>
      <c r="H108" s="105">
        <v>0</v>
      </c>
      <c r="I108" s="105">
        <v>0</v>
      </c>
      <c r="J108" s="105">
        <v>0</v>
      </c>
      <c r="K108" s="105">
        <v>0</v>
      </c>
      <c r="L108" s="105">
        <v>0</v>
      </c>
      <c r="M108" s="106">
        <v>801772899.85685098</v>
      </c>
      <c r="N108" s="106">
        <v>811599267.47376788</v>
      </c>
      <c r="O108" s="106">
        <v>835800864.55842495</v>
      </c>
      <c r="P108" s="106">
        <v>859392189.19539702</v>
      </c>
      <c r="Q108" s="106">
        <v>882820101.62007248</v>
      </c>
      <c r="R108" s="106">
        <v>888022596.89797175</v>
      </c>
      <c r="S108" s="105">
        <v>0</v>
      </c>
      <c r="T108" s="105">
        <v>0</v>
      </c>
      <c r="U108" s="105">
        <v>0</v>
      </c>
      <c r="V108" s="105">
        <v>0</v>
      </c>
      <c r="W108" s="105">
        <v>0</v>
      </c>
      <c r="X108" s="105">
        <v>0</v>
      </c>
      <c r="Y108" s="106">
        <v>95139665.302763551</v>
      </c>
      <c r="Z108" s="106">
        <v>96302213.231675819</v>
      </c>
      <c r="AA108" s="106">
        <v>97832426.294216335</v>
      </c>
      <c r="AB108" s="108">
        <v>101040296.4183872</v>
      </c>
      <c r="AC108" s="108">
        <v>102891036.72078411</v>
      </c>
      <c r="AD108" s="108">
        <v>103931970.88462675</v>
      </c>
      <c r="AE108" s="108">
        <v>1827239915.3464332</v>
      </c>
      <c r="AF108" s="108">
        <v>1866973606.2934229</v>
      </c>
      <c r="AG108" s="108">
        <v>1987873990.2775686</v>
      </c>
      <c r="AH108" s="108">
        <v>2073650147.3437419</v>
      </c>
      <c r="AI108" s="108">
        <v>2144741625.2340839</v>
      </c>
      <c r="AJ108" s="108">
        <v>2150687002.3508172</v>
      </c>
      <c r="AK108" s="108">
        <v>119629823.01961386</v>
      </c>
      <c r="AL108" s="108">
        <v>120546292.79062116</v>
      </c>
      <c r="AM108" s="108">
        <v>130174116.83224502</v>
      </c>
      <c r="AN108" s="108">
        <v>139218344.56597841</v>
      </c>
      <c r="AO108" s="108">
        <v>145318557.15636861</v>
      </c>
      <c r="AP108" s="108">
        <v>146212386.93259713</v>
      </c>
      <c r="AQ108" s="108">
        <v>162701091.01760817</v>
      </c>
      <c r="AR108" s="108">
        <v>168266505.64104882</v>
      </c>
      <c r="AS108" s="108">
        <v>175949187.14462903</v>
      </c>
      <c r="AT108" s="108">
        <v>184779312.29793468</v>
      </c>
      <c r="AU108" s="108">
        <v>192600448.64976132</v>
      </c>
      <c r="AV108" s="108">
        <v>193110482.51347262</v>
      </c>
    </row>
    <row r="109" spans="1:48" x14ac:dyDescent="0.35">
      <c r="A109" s="107">
        <f xml:space="preserve"> ROW( slrImpacts[[#This Row],[row_id]] ) - ROW( slrImpacts[[#Headers],[row_id]] )</f>
        <v>108</v>
      </c>
      <c r="B109" s="104">
        <v>2006</v>
      </c>
      <c r="C109" s="104" t="s">
        <v>86</v>
      </c>
      <c r="D109" s="104" t="s">
        <v>88</v>
      </c>
      <c r="E109" s="104" t="s">
        <v>922</v>
      </c>
      <c r="F109" s="104"/>
      <c r="G109" s="105">
        <v>0</v>
      </c>
      <c r="H109" s="105">
        <v>0</v>
      </c>
      <c r="I109" s="105">
        <v>0</v>
      </c>
      <c r="J109" s="105">
        <v>0</v>
      </c>
      <c r="K109" s="105">
        <v>0</v>
      </c>
      <c r="L109" s="105">
        <v>0</v>
      </c>
      <c r="M109" s="106">
        <v>798415349.22355807</v>
      </c>
      <c r="N109" s="106">
        <v>808966757.23232126</v>
      </c>
      <c r="O109" s="106">
        <v>835161025.29253304</v>
      </c>
      <c r="P109" s="106">
        <v>860750661.22208083</v>
      </c>
      <c r="Q109" s="106">
        <v>885419919.79887676</v>
      </c>
      <c r="R109" s="106">
        <v>891288524.23180437</v>
      </c>
      <c r="S109" s="105">
        <v>0</v>
      </c>
      <c r="T109" s="105">
        <v>0</v>
      </c>
      <c r="U109" s="105">
        <v>0</v>
      </c>
      <c r="V109" s="105">
        <v>0</v>
      </c>
      <c r="W109" s="105">
        <v>0</v>
      </c>
      <c r="X109" s="105">
        <v>0</v>
      </c>
      <c r="Y109" s="106">
        <v>94744099.179908648</v>
      </c>
      <c r="Z109" s="106">
        <v>95952738.46551241</v>
      </c>
      <c r="AA109" s="106">
        <v>97578064.714211091</v>
      </c>
      <c r="AB109" s="108">
        <v>100778513.16615029</v>
      </c>
      <c r="AC109" s="108">
        <v>102725148.2713314</v>
      </c>
      <c r="AD109" s="108">
        <v>103800797.5986516</v>
      </c>
      <c r="AE109" s="108">
        <v>1832014072.5809004</v>
      </c>
      <c r="AF109" s="108">
        <v>1875479549.7932644</v>
      </c>
      <c r="AG109" s="108">
        <v>2003386033.8760293</v>
      </c>
      <c r="AH109" s="108">
        <v>2094735555.0610673</v>
      </c>
      <c r="AI109" s="108">
        <v>2170770100.1409059</v>
      </c>
      <c r="AJ109" s="108">
        <v>2179539021.7042661</v>
      </c>
      <c r="AK109" s="108">
        <v>119913408.99653889</v>
      </c>
      <c r="AL109" s="108">
        <v>121535330.86971042</v>
      </c>
      <c r="AM109" s="108">
        <v>131488222.08025782</v>
      </c>
      <c r="AN109" s="108">
        <v>140740716.17655209</v>
      </c>
      <c r="AO109" s="108">
        <v>147483277.37519136</v>
      </c>
      <c r="AP109" s="108">
        <v>149038743.97882879</v>
      </c>
      <c r="AQ109" s="108">
        <v>164331126.59075886</v>
      </c>
      <c r="AR109" s="108">
        <v>170136111.11226854</v>
      </c>
      <c r="AS109" s="108">
        <v>178968944.43161917</v>
      </c>
      <c r="AT109" s="108">
        <v>188431579.74982587</v>
      </c>
      <c r="AU109" s="108">
        <v>196565025.88943887</v>
      </c>
      <c r="AV109" s="108">
        <v>197320688.78385684</v>
      </c>
    </row>
    <row r="110" spans="1:48" x14ac:dyDescent="0.35">
      <c r="A110" s="107">
        <f xml:space="preserve"> ROW( slrImpacts[[#This Row],[row_id]] ) - ROW( slrImpacts[[#Headers],[row_id]] )</f>
        <v>109</v>
      </c>
      <c r="B110" s="104">
        <v>2007</v>
      </c>
      <c r="C110" s="104" t="s">
        <v>86</v>
      </c>
      <c r="D110" s="104" t="s">
        <v>88</v>
      </c>
      <c r="E110" s="104" t="s">
        <v>922</v>
      </c>
      <c r="F110" s="104"/>
      <c r="G110" s="105">
        <v>0</v>
      </c>
      <c r="H110" s="105">
        <v>0</v>
      </c>
      <c r="I110" s="105">
        <v>0</v>
      </c>
      <c r="J110" s="105">
        <v>0</v>
      </c>
      <c r="K110" s="105">
        <v>0</v>
      </c>
      <c r="L110" s="105">
        <v>0</v>
      </c>
      <c r="M110" s="106">
        <v>794695644.72569287</v>
      </c>
      <c r="N110" s="106">
        <v>806053865.09394121</v>
      </c>
      <c r="O110" s="106">
        <v>834468271.63638341</v>
      </c>
      <c r="P110" s="106">
        <v>862281889.21887231</v>
      </c>
      <c r="Q110" s="106">
        <v>888336480.91852677</v>
      </c>
      <c r="R110" s="106">
        <v>894950054.33122194</v>
      </c>
      <c r="S110" s="105">
        <v>0</v>
      </c>
      <c r="T110" s="105">
        <v>0</v>
      </c>
      <c r="U110" s="105">
        <v>0</v>
      </c>
      <c r="V110" s="105">
        <v>0</v>
      </c>
      <c r="W110" s="105">
        <v>0</v>
      </c>
      <c r="X110" s="105">
        <v>0</v>
      </c>
      <c r="Y110" s="106">
        <v>94304581.265625477</v>
      </c>
      <c r="Z110" s="106">
        <v>95564433.169775307</v>
      </c>
      <c r="AA110" s="106">
        <v>97295440.736427456</v>
      </c>
      <c r="AB110" s="108">
        <v>100488854.80998766</v>
      </c>
      <c r="AC110" s="108">
        <v>102543251.62014069</v>
      </c>
      <c r="AD110" s="108">
        <v>103657473.35132472</v>
      </c>
      <c r="AE110" s="108">
        <v>1838491834.2596426</v>
      </c>
      <c r="AF110" s="108">
        <v>1886172820.3294835</v>
      </c>
      <c r="AG110" s="108">
        <v>2022097761.428791</v>
      </c>
      <c r="AH110" s="108">
        <v>2119838664.9650567</v>
      </c>
      <c r="AI110" s="108">
        <v>2202115687.9403529</v>
      </c>
      <c r="AJ110" s="108">
        <v>2214020669.1869774</v>
      </c>
      <c r="AK110" s="108">
        <v>120230928.37465675</v>
      </c>
      <c r="AL110" s="108">
        <v>122636685.91689959</v>
      </c>
      <c r="AM110" s="108">
        <v>132953186.71889643</v>
      </c>
      <c r="AN110" s="108">
        <v>142440723.65700454</v>
      </c>
      <c r="AO110" s="108">
        <v>149899429.37967709</v>
      </c>
      <c r="AP110" s="108">
        <v>152190048.01376891</v>
      </c>
      <c r="AQ110" s="108">
        <v>166178634.95060948</v>
      </c>
      <c r="AR110" s="108">
        <v>172255867.86825421</v>
      </c>
      <c r="AS110" s="108">
        <v>182393309.97978395</v>
      </c>
      <c r="AT110" s="108">
        <v>192584184.77621457</v>
      </c>
      <c r="AU110" s="108">
        <v>201081608.72855344</v>
      </c>
      <c r="AV110" s="108">
        <v>202110192.76820108</v>
      </c>
    </row>
    <row r="111" spans="1:48" x14ac:dyDescent="0.35">
      <c r="A111" s="107">
        <f xml:space="preserve"> ROW( slrImpacts[[#This Row],[row_id]] ) - ROW( slrImpacts[[#Headers],[row_id]] )</f>
        <v>110</v>
      </c>
      <c r="B111" s="104">
        <v>2008</v>
      </c>
      <c r="C111" s="104" t="s">
        <v>86</v>
      </c>
      <c r="D111" s="104" t="s">
        <v>88</v>
      </c>
      <c r="E111" s="104" t="s">
        <v>922</v>
      </c>
      <c r="F111" s="104"/>
      <c r="G111" s="105">
        <v>0</v>
      </c>
      <c r="H111" s="105">
        <v>0</v>
      </c>
      <c r="I111" s="105">
        <v>0</v>
      </c>
      <c r="J111" s="105">
        <v>0</v>
      </c>
      <c r="K111" s="105">
        <v>0</v>
      </c>
      <c r="L111" s="105">
        <v>0</v>
      </c>
      <c r="M111" s="106">
        <v>790975940.22782743</v>
      </c>
      <c r="N111" s="106">
        <v>803140972.95556152</v>
      </c>
      <c r="O111" s="106">
        <v>833775517.98023415</v>
      </c>
      <c r="P111" s="106">
        <v>863813117.21566427</v>
      </c>
      <c r="Q111" s="106">
        <v>891253042.03817618</v>
      </c>
      <c r="R111" s="106">
        <v>898611584.43063915</v>
      </c>
      <c r="S111" s="105">
        <v>0</v>
      </c>
      <c r="T111" s="105">
        <v>0</v>
      </c>
      <c r="U111" s="105">
        <v>0</v>
      </c>
      <c r="V111" s="105">
        <v>0</v>
      </c>
      <c r="W111" s="105">
        <v>0</v>
      </c>
      <c r="X111" s="105">
        <v>0</v>
      </c>
      <c r="Y111" s="106">
        <v>93865063.351342276</v>
      </c>
      <c r="Z111" s="106">
        <v>95176127.874038175</v>
      </c>
      <c r="AA111" s="106">
        <v>97012816.758643821</v>
      </c>
      <c r="AB111" s="108">
        <v>100199196.45382503</v>
      </c>
      <c r="AC111" s="108">
        <v>102361354.9689499</v>
      </c>
      <c r="AD111" s="108">
        <v>103514149.10399793</v>
      </c>
      <c r="AE111" s="108">
        <v>1844969595.9383852</v>
      </c>
      <c r="AF111" s="108">
        <v>1896866090.8657033</v>
      </c>
      <c r="AG111" s="108">
        <v>2040809488.9815519</v>
      </c>
      <c r="AH111" s="108">
        <v>2144941774.8690426</v>
      </c>
      <c r="AI111" s="108">
        <v>2233461275.7398009</v>
      </c>
      <c r="AJ111" s="108">
        <v>2248502316.6696906</v>
      </c>
      <c r="AK111" s="108">
        <v>120548447.75277457</v>
      </c>
      <c r="AL111" s="108">
        <v>123738040.96408881</v>
      </c>
      <c r="AM111" s="108">
        <v>134418151.35753512</v>
      </c>
      <c r="AN111" s="108">
        <v>144140731.13745689</v>
      </c>
      <c r="AO111" s="108">
        <v>152315581.38416284</v>
      </c>
      <c r="AP111" s="108">
        <v>155341352.04870909</v>
      </c>
      <c r="AQ111" s="108">
        <v>168026143.31046009</v>
      </c>
      <c r="AR111" s="108">
        <v>174375624.62423995</v>
      </c>
      <c r="AS111" s="108">
        <v>185817675.52794886</v>
      </c>
      <c r="AT111" s="108">
        <v>196736789.80260327</v>
      </c>
      <c r="AU111" s="108">
        <v>205598191.56766796</v>
      </c>
      <c r="AV111" s="108">
        <v>206899696.7525453</v>
      </c>
    </row>
    <row r="112" spans="1:48" x14ac:dyDescent="0.35">
      <c r="A112" s="107">
        <f xml:space="preserve"> ROW( slrImpacts[[#This Row],[row_id]] ) - ROW( slrImpacts[[#Headers],[row_id]] )</f>
        <v>111</v>
      </c>
      <c r="B112" s="104">
        <v>2009</v>
      </c>
      <c r="C112" s="104" t="s">
        <v>86</v>
      </c>
      <c r="D112" s="104" t="s">
        <v>88</v>
      </c>
      <c r="E112" s="104" t="s">
        <v>922</v>
      </c>
      <c r="F112" s="104"/>
      <c r="G112" s="105">
        <v>0</v>
      </c>
      <c r="H112" s="105">
        <v>0</v>
      </c>
      <c r="I112" s="105">
        <v>0</v>
      </c>
      <c r="J112" s="105">
        <v>0</v>
      </c>
      <c r="K112" s="105">
        <v>0</v>
      </c>
      <c r="L112" s="105">
        <v>0</v>
      </c>
      <c r="M112" s="106">
        <v>787256235.72996211</v>
      </c>
      <c r="N112" s="106">
        <v>800228080.81718147</v>
      </c>
      <c r="O112" s="106">
        <v>833082764.32408452</v>
      </c>
      <c r="P112" s="106">
        <v>865344345.21245551</v>
      </c>
      <c r="Q112" s="106">
        <v>894169603.15782642</v>
      </c>
      <c r="R112" s="106">
        <v>902273114.53005612</v>
      </c>
      <c r="S112" s="105">
        <v>0</v>
      </c>
      <c r="T112" s="105">
        <v>0</v>
      </c>
      <c r="U112" s="105">
        <v>0</v>
      </c>
      <c r="V112" s="105">
        <v>0</v>
      </c>
      <c r="W112" s="105">
        <v>0</v>
      </c>
      <c r="X112" s="105">
        <v>0</v>
      </c>
      <c r="Y112" s="106">
        <v>93425545.43705909</v>
      </c>
      <c r="Z112" s="106">
        <v>94787822.578301072</v>
      </c>
      <c r="AA112" s="106">
        <v>96730192.78086023</v>
      </c>
      <c r="AB112" s="108">
        <v>99909538.097662345</v>
      </c>
      <c r="AC112" s="108">
        <v>102179458.31775914</v>
      </c>
      <c r="AD112" s="108">
        <v>103370824.85667109</v>
      </c>
      <c r="AE112" s="108">
        <v>1851447357.6171265</v>
      </c>
      <c r="AF112" s="108">
        <v>1907559361.4019239</v>
      </c>
      <c r="AG112" s="108">
        <v>2059521216.5343139</v>
      </c>
      <c r="AH112" s="108">
        <v>2170044884.7730312</v>
      </c>
      <c r="AI112" s="108">
        <v>2264806863.5392489</v>
      </c>
      <c r="AJ112" s="108">
        <v>2282983964.1524043</v>
      </c>
      <c r="AK112" s="108">
        <v>120865967.13089238</v>
      </c>
      <c r="AL112" s="108">
        <v>124839396.01127799</v>
      </c>
      <c r="AM112" s="108">
        <v>135883115.99617371</v>
      </c>
      <c r="AN112" s="108">
        <v>145840738.61790931</v>
      </c>
      <c r="AO112" s="108">
        <v>154731733.3886486</v>
      </c>
      <c r="AP112" s="108">
        <v>158492656.08364922</v>
      </c>
      <c r="AQ112" s="108">
        <v>169873651.67031071</v>
      </c>
      <c r="AR112" s="108">
        <v>176495381.3802256</v>
      </c>
      <c r="AS112" s="108">
        <v>189242041.0761137</v>
      </c>
      <c r="AT112" s="108">
        <v>200889394.82899198</v>
      </c>
      <c r="AU112" s="108">
        <v>210114774.40678254</v>
      </c>
      <c r="AV112" s="108">
        <v>211689200.73688951</v>
      </c>
    </row>
    <row r="113" spans="1:48" x14ac:dyDescent="0.35">
      <c r="A113" s="107">
        <f xml:space="preserve"> ROW( slrImpacts[[#This Row],[row_id]] ) - ROW( slrImpacts[[#Headers],[row_id]] )</f>
        <v>112</v>
      </c>
      <c r="B113" s="104">
        <v>2010</v>
      </c>
      <c r="C113" s="104" t="s">
        <v>86</v>
      </c>
      <c r="D113" s="104" t="s">
        <v>88</v>
      </c>
      <c r="E113" s="104" t="s">
        <v>922</v>
      </c>
      <c r="F113" s="104"/>
      <c r="G113" s="105">
        <v>0</v>
      </c>
      <c r="H113" s="105">
        <v>0</v>
      </c>
      <c r="I113" s="105">
        <v>0</v>
      </c>
      <c r="J113" s="105">
        <v>0</v>
      </c>
      <c r="K113" s="105">
        <v>0</v>
      </c>
      <c r="L113" s="105">
        <v>0</v>
      </c>
      <c r="M113" s="106">
        <v>783571434.64619291</v>
      </c>
      <c r="N113" s="106">
        <v>797363180.87318313</v>
      </c>
      <c r="O113" s="106">
        <v>832468543.34965003</v>
      </c>
      <c r="P113" s="106">
        <v>866986827.84167814</v>
      </c>
      <c r="Q113" s="106">
        <v>897275951.59162271</v>
      </c>
      <c r="R113" s="106">
        <v>906170242.67462027</v>
      </c>
      <c r="S113" s="105">
        <v>0</v>
      </c>
      <c r="T113" s="105">
        <v>0</v>
      </c>
      <c r="U113" s="105">
        <v>0</v>
      </c>
      <c r="V113" s="105">
        <v>0</v>
      </c>
      <c r="W113" s="105">
        <v>0</v>
      </c>
      <c r="X113" s="105">
        <v>0</v>
      </c>
      <c r="Y113" s="106">
        <v>92990390.449537903</v>
      </c>
      <c r="Z113" s="106">
        <v>94403880.209325954</v>
      </c>
      <c r="AA113" s="106">
        <v>96451931.72983858</v>
      </c>
      <c r="AB113" s="108">
        <v>99626424.13164264</v>
      </c>
      <c r="AC113" s="108">
        <v>102001924.59333035</v>
      </c>
      <c r="AD113" s="108">
        <v>103231863.53610618</v>
      </c>
      <c r="AE113" s="108">
        <v>1860444709.5009136</v>
      </c>
      <c r="AF113" s="108">
        <v>1921363398.7194369</v>
      </c>
      <c r="AG113" s="108">
        <v>2083579710.8338854</v>
      </c>
      <c r="AH113" s="108">
        <v>2202034874.5708094</v>
      </c>
      <c r="AI113" s="108">
        <v>2303671955.6129727</v>
      </c>
      <c r="AJ113" s="108">
        <v>2326368163.6929417</v>
      </c>
      <c r="AK113" s="108">
        <v>121198756.75267716</v>
      </c>
      <c r="AL113" s="108">
        <v>125958202.7655151</v>
      </c>
      <c r="AM113" s="108">
        <v>137396072.82919419</v>
      </c>
      <c r="AN113" s="108">
        <v>147614915.85331547</v>
      </c>
      <c r="AO113" s="108">
        <v>157276591.73261282</v>
      </c>
      <c r="AP113" s="108">
        <v>161792299.62849674</v>
      </c>
      <c r="AQ113" s="108">
        <v>171937124.90487957</v>
      </c>
      <c r="AR113" s="108">
        <v>178863824.96164429</v>
      </c>
      <c r="AS113" s="108">
        <v>193220498.32305029</v>
      </c>
      <c r="AT113" s="108">
        <v>205753156.91758379</v>
      </c>
      <c r="AU113" s="108">
        <v>215569386.49972335</v>
      </c>
      <c r="AV113" s="108">
        <v>217469089.09620374</v>
      </c>
    </row>
    <row r="114" spans="1:48" x14ac:dyDescent="0.35">
      <c r="A114" s="107">
        <f xml:space="preserve"> ROW( slrImpacts[[#This Row],[row_id]] ) - ROW( slrImpacts[[#Headers],[row_id]] )</f>
        <v>113</v>
      </c>
      <c r="B114" s="104">
        <v>2011</v>
      </c>
      <c r="C114" s="104" t="s">
        <v>86</v>
      </c>
      <c r="D114" s="104" t="s">
        <v>88</v>
      </c>
      <c r="E114" s="104" t="s">
        <v>922</v>
      </c>
      <c r="F114" s="104"/>
      <c r="G114" s="105">
        <v>0</v>
      </c>
      <c r="H114" s="105">
        <v>0</v>
      </c>
      <c r="I114" s="105">
        <v>0</v>
      </c>
      <c r="J114" s="105">
        <v>0</v>
      </c>
      <c r="K114" s="105">
        <v>0</v>
      </c>
      <c r="L114" s="105">
        <v>0</v>
      </c>
      <c r="M114" s="106">
        <v>779867000.39199483</v>
      </c>
      <c r="N114" s="106">
        <v>794476466.29537535</v>
      </c>
      <c r="O114" s="106">
        <v>831821600.42450178</v>
      </c>
      <c r="P114" s="106">
        <v>868590044.13004243</v>
      </c>
      <c r="Q114" s="106">
        <v>900332126.36765552</v>
      </c>
      <c r="R114" s="106">
        <v>910008471.30789816</v>
      </c>
      <c r="S114" s="105">
        <v>0</v>
      </c>
      <c r="T114" s="105">
        <v>0</v>
      </c>
      <c r="U114" s="105">
        <v>0</v>
      </c>
      <c r="V114" s="105">
        <v>0</v>
      </c>
      <c r="W114" s="105">
        <v>0</v>
      </c>
      <c r="X114" s="105">
        <v>0</v>
      </c>
      <c r="Y114" s="106">
        <v>92555235.462016672</v>
      </c>
      <c r="Z114" s="106">
        <v>94019937.840350822</v>
      </c>
      <c r="AA114" s="106">
        <v>96173670.678816959</v>
      </c>
      <c r="AB114" s="108">
        <v>99341128.702241987</v>
      </c>
      <c r="AC114" s="108">
        <v>101820027.94213963</v>
      </c>
      <c r="AD114" s="108">
        <v>103088539.28877935</v>
      </c>
      <c r="AE114" s="108">
        <v>1867330404.8319004</v>
      </c>
      <c r="AF114" s="108">
        <v>1932931436.0714355</v>
      </c>
      <c r="AG114" s="108">
        <v>2104981182.7354088</v>
      </c>
      <c r="AH114" s="108">
        <v>2231010081.9760561</v>
      </c>
      <c r="AI114" s="108">
        <v>2338171939.4613371</v>
      </c>
      <c r="AJ114" s="108">
        <v>2365389436.4714947</v>
      </c>
      <c r="AK114" s="108">
        <v>121527183.44769992</v>
      </c>
      <c r="AL114" s="108">
        <v>127072646.59299023</v>
      </c>
      <c r="AM114" s="108">
        <v>138900303.80869067</v>
      </c>
      <c r="AN114" s="108">
        <v>149373822.8450546</v>
      </c>
      <c r="AO114" s="108">
        <v>159801816.90614805</v>
      </c>
      <c r="AP114" s="108">
        <v>165072310.00291535</v>
      </c>
      <c r="AQ114" s="108">
        <v>173935154.23801857</v>
      </c>
      <c r="AR114" s="108">
        <v>181155917.32472828</v>
      </c>
      <c r="AS114" s="108">
        <v>197074612.1572704</v>
      </c>
      <c r="AT114" s="108">
        <v>210446764.86245835</v>
      </c>
      <c r="AU114" s="108">
        <v>220823303.96161297</v>
      </c>
      <c r="AV114" s="108">
        <v>223048282.82446682</v>
      </c>
    </row>
    <row r="115" spans="1:48" x14ac:dyDescent="0.35">
      <c r="A115" s="107">
        <f xml:space="preserve"> ROW( slrImpacts[[#This Row],[row_id]] ) - ROW( slrImpacts[[#Headers],[row_id]] )</f>
        <v>114</v>
      </c>
      <c r="B115" s="104">
        <v>2012</v>
      </c>
      <c r="C115" s="104" t="s">
        <v>86</v>
      </c>
      <c r="D115" s="104" t="s">
        <v>88</v>
      </c>
      <c r="E115" s="104" t="s">
        <v>922</v>
      </c>
      <c r="F115" s="104"/>
      <c r="G115" s="105">
        <v>0</v>
      </c>
      <c r="H115" s="105">
        <v>0</v>
      </c>
      <c r="I115" s="105">
        <v>0</v>
      </c>
      <c r="J115" s="105">
        <v>0</v>
      </c>
      <c r="K115" s="105">
        <v>0</v>
      </c>
      <c r="L115" s="105">
        <v>0</v>
      </c>
      <c r="M115" s="106">
        <v>776162566.13779676</v>
      </c>
      <c r="N115" s="106">
        <v>791589751.71756732</v>
      </c>
      <c r="O115" s="106">
        <v>831174657.49935269</v>
      </c>
      <c r="P115" s="106">
        <v>870193260.41840756</v>
      </c>
      <c r="Q115" s="106">
        <v>903388301.14368927</v>
      </c>
      <c r="R115" s="106">
        <v>913846699.9411757</v>
      </c>
      <c r="S115" s="105">
        <v>0</v>
      </c>
      <c r="T115" s="105">
        <v>0</v>
      </c>
      <c r="U115" s="105">
        <v>0</v>
      </c>
      <c r="V115" s="105">
        <v>0</v>
      </c>
      <c r="W115" s="105">
        <v>0</v>
      </c>
      <c r="X115" s="105">
        <v>0</v>
      </c>
      <c r="Y115" s="106">
        <v>92120080.474495485</v>
      </c>
      <c r="Z115" s="106">
        <v>93635995.471375674</v>
      </c>
      <c r="AA115" s="106">
        <v>95895409.627795324</v>
      </c>
      <c r="AB115" s="108">
        <v>99055833.272841319</v>
      </c>
      <c r="AC115" s="108">
        <v>101638131.29094887</v>
      </c>
      <c r="AD115" s="108">
        <v>102945215.04145251</v>
      </c>
      <c r="AE115" s="108">
        <v>1874216100.1628871</v>
      </c>
      <c r="AF115" s="108">
        <v>1944499473.4234326</v>
      </c>
      <c r="AG115" s="108">
        <v>2126382654.6369336</v>
      </c>
      <c r="AH115" s="108">
        <v>2259985289.3813047</v>
      </c>
      <c r="AI115" s="108">
        <v>2372671923.3096957</v>
      </c>
      <c r="AJ115" s="108">
        <v>2404410709.2500505</v>
      </c>
      <c r="AK115" s="108">
        <v>121855610.1427227</v>
      </c>
      <c r="AL115" s="108">
        <v>128187090.42046539</v>
      </c>
      <c r="AM115" s="108">
        <v>140404534.78818712</v>
      </c>
      <c r="AN115" s="108">
        <v>151132729.83679378</v>
      </c>
      <c r="AO115" s="108">
        <v>162327042.07968336</v>
      </c>
      <c r="AP115" s="108">
        <v>168352320.37733403</v>
      </c>
      <c r="AQ115" s="108">
        <v>175933183.5711576</v>
      </c>
      <c r="AR115" s="108">
        <v>183448009.6878123</v>
      </c>
      <c r="AS115" s="108">
        <v>200928725.99149048</v>
      </c>
      <c r="AT115" s="108">
        <v>215140372.80733281</v>
      </c>
      <c r="AU115" s="108">
        <v>226077221.42350259</v>
      </c>
      <c r="AV115" s="108">
        <v>228627476.5527299</v>
      </c>
    </row>
    <row r="116" spans="1:48" x14ac:dyDescent="0.35">
      <c r="A116" s="107">
        <f xml:space="preserve"> ROW( slrImpacts[[#This Row],[row_id]] ) - ROW( slrImpacts[[#Headers],[row_id]] )</f>
        <v>115</v>
      </c>
      <c r="B116" s="104">
        <v>2013</v>
      </c>
      <c r="C116" s="104" t="s">
        <v>86</v>
      </c>
      <c r="D116" s="104" t="s">
        <v>88</v>
      </c>
      <c r="E116" s="104" t="s">
        <v>922</v>
      </c>
      <c r="F116" s="104"/>
      <c r="G116" s="105">
        <v>0</v>
      </c>
      <c r="H116" s="105">
        <v>0</v>
      </c>
      <c r="I116" s="105">
        <v>0</v>
      </c>
      <c r="J116" s="105">
        <v>0</v>
      </c>
      <c r="K116" s="105">
        <v>0</v>
      </c>
      <c r="L116" s="105">
        <v>0</v>
      </c>
      <c r="M116" s="106">
        <v>772458131.88359821</v>
      </c>
      <c r="N116" s="106">
        <v>788703037.1397599</v>
      </c>
      <c r="O116" s="106">
        <v>830527714.57420349</v>
      </c>
      <c r="P116" s="106">
        <v>871796476.70677114</v>
      </c>
      <c r="Q116" s="106">
        <v>906444475.91972268</v>
      </c>
      <c r="R116" s="106">
        <v>917684928.57445371</v>
      </c>
      <c r="S116" s="105">
        <v>0</v>
      </c>
      <c r="T116" s="105">
        <v>0</v>
      </c>
      <c r="U116" s="105">
        <v>0</v>
      </c>
      <c r="V116" s="105">
        <v>0</v>
      </c>
      <c r="W116" s="105">
        <v>0</v>
      </c>
      <c r="X116" s="105">
        <v>0</v>
      </c>
      <c r="Y116" s="106">
        <v>91684925.486974269</v>
      </c>
      <c r="Z116" s="106">
        <v>93252053.102400541</v>
      </c>
      <c r="AA116" s="106">
        <v>95617148.576773703</v>
      </c>
      <c r="AB116" s="108">
        <v>98770537.843440607</v>
      </c>
      <c r="AC116" s="108">
        <v>101456234.63975812</v>
      </c>
      <c r="AD116" s="108">
        <v>102801890.79412565</v>
      </c>
      <c r="AE116" s="108">
        <v>1881101795.4938741</v>
      </c>
      <c r="AF116" s="108">
        <v>1956067510.7754312</v>
      </c>
      <c r="AG116" s="108">
        <v>2147784126.5384569</v>
      </c>
      <c r="AH116" s="108">
        <v>2288960496.7865534</v>
      </c>
      <c r="AI116" s="108">
        <v>2407171907.1580582</v>
      </c>
      <c r="AJ116" s="108">
        <v>2443431982.028605</v>
      </c>
      <c r="AK116" s="108">
        <v>122184036.83774549</v>
      </c>
      <c r="AL116" s="108">
        <v>129301534.24794051</v>
      </c>
      <c r="AM116" s="108">
        <v>141908765.7676836</v>
      </c>
      <c r="AN116" s="108">
        <v>152891636.82853293</v>
      </c>
      <c r="AO116" s="108">
        <v>164852267.25321868</v>
      </c>
      <c r="AP116" s="108">
        <v>171632330.75175256</v>
      </c>
      <c r="AQ116" s="108">
        <v>177931212.90429664</v>
      </c>
      <c r="AR116" s="108">
        <v>185740102.05089632</v>
      </c>
      <c r="AS116" s="108">
        <v>204782839.82571059</v>
      </c>
      <c r="AT116" s="108">
        <v>219833980.75220743</v>
      </c>
      <c r="AU116" s="108">
        <v>231331138.88539222</v>
      </c>
      <c r="AV116" s="108">
        <v>234206670.28099295</v>
      </c>
    </row>
    <row r="117" spans="1:48" x14ac:dyDescent="0.35">
      <c r="A117" s="107">
        <f xml:space="preserve"> ROW( slrImpacts[[#This Row],[row_id]] ) - ROW( slrImpacts[[#Headers],[row_id]] )</f>
        <v>116</v>
      </c>
      <c r="B117" s="104">
        <v>2014</v>
      </c>
      <c r="C117" s="104" t="s">
        <v>86</v>
      </c>
      <c r="D117" s="104" t="s">
        <v>88</v>
      </c>
      <c r="E117" s="104" t="s">
        <v>922</v>
      </c>
      <c r="F117" s="104"/>
      <c r="G117" s="105">
        <v>0</v>
      </c>
      <c r="H117" s="105">
        <v>0</v>
      </c>
      <c r="I117" s="105">
        <v>0</v>
      </c>
      <c r="J117" s="105">
        <v>0</v>
      </c>
      <c r="K117" s="105">
        <v>0</v>
      </c>
      <c r="L117" s="105">
        <v>0</v>
      </c>
      <c r="M117" s="106">
        <v>768753697.62939966</v>
      </c>
      <c r="N117" s="106">
        <v>785816322.56195152</v>
      </c>
      <c r="O117" s="106">
        <v>829880771.64905536</v>
      </c>
      <c r="P117" s="106">
        <v>873399692.99513555</v>
      </c>
      <c r="Q117" s="106">
        <v>909500650.69575655</v>
      </c>
      <c r="R117" s="106">
        <v>921523157.20773089</v>
      </c>
      <c r="S117" s="105">
        <v>0</v>
      </c>
      <c r="T117" s="105">
        <v>0</v>
      </c>
      <c r="U117" s="105">
        <v>0</v>
      </c>
      <c r="V117" s="105">
        <v>0</v>
      </c>
      <c r="W117" s="105">
        <v>0</v>
      </c>
      <c r="X117" s="105">
        <v>0</v>
      </c>
      <c r="Y117" s="106">
        <v>91249770.499453068</v>
      </c>
      <c r="Z117" s="106">
        <v>92868110.733425394</v>
      </c>
      <c r="AA117" s="106">
        <v>95338887.525752053</v>
      </c>
      <c r="AB117" s="108">
        <v>98485242.414039969</v>
      </c>
      <c r="AC117" s="108">
        <v>101274337.98856737</v>
      </c>
      <c r="AD117" s="108">
        <v>102658566.54679883</v>
      </c>
      <c r="AE117" s="108">
        <v>1887987490.824862</v>
      </c>
      <c r="AF117" s="108">
        <v>1967635548.1274276</v>
      </c>
      <c r="AG117" s="108">
        <v>2169185598.4399815</v>
      </c>
      <c r="AH117" s="108">
        <v>2317935704.1917996</v>
      </c>
      <c r="AI117" s="108">
        <v>2441671891.0064187</v>
      </c>
      <c r="AJ117" s="108">
        <v>2482453254.8071613</v>
      </c>
      <c r="AK117" s="108">
        <v>122512463.53276825</v>
      </c>
      <c r="AL117" s="108">
        <v>130415978.07541564</v>
      </c>
      <c r="AM117" s="108">
        <v>143412996.74718007</v>
      </c>
      <c r="AN117" s="108">
        <v>154650543.82027215</v>
      </c>
      <c r="AO117" s="108">
        <v>167377492.42675397</v>
      </c>
      <c r="AP117" s="108">
        <v>174912341.12617114</v>
      </c>
      <c r="AQ117" s="108">
        <v>179929242.23743567</v>
      </c>
      <c r="AR117" s="108">
        <v>188032194.41398039</v>
      </c>
      <c r="AS117" s="108">
        <v>208636953.65993071</v>
      </c>
      <c r="AT117" s="108">
        <v>224527588.69708192</v>
      </c>
      <c r="AU117" s="108">
        <v>236585056.34728184</v>
      </c>
      <c r="AV117" s="108">
        <v>239785864.00925604</v>
      </c>
    </row>
    <row r="118" spans="1:48" x14ac:dyDescent="0.35">
      <c r="A118" s="107">
        <f xml:space="preserve"> ROW( slrImpacts[[#This Row],[row_id]] ) - ROW( slrImpacts[[#Headers],[row_id]] )</f>
        <v>117</v>
      </c>
      <c r="B118" s="104">
        <v>2015</v>
      </c>
      <c r="C118" s="104" t="s">
        <v>86</v>
      </c>
      <c r="D118" s="104" t="s">
        <v>88</v>
      </c>
      <c r="E118" s="104" t="s">
        <v>922</v>
      </c>
      <c r="F118" s="104"/>
      <c r="G118" s="105">
        <v>0</v>
      </c>
      <c r="H118" s="105">
        <v>0</v>
      </c>
      <c r="I118" s="105">
        <v>0</v>
      </c>
      <c r="J118" s="105">
        <v>0</v>
      </c>
      <c r="K118" s="105">
        <v>0</v>
      </c>
      <c r="L118" s="105">
        <v>0</v>
      </c>
      <c r="M118" s="106">
        <v>769761706.54575479</v>
      </c>
      <c r="N118" s="106">
        <v>788696121.6607976</v>
      </c>
      <c r="O118" s="106">
        <v>837695394.817927</v>
      </c>
      <c r="P118" s="106">
        <v>886460108.9798243</v>
      </c>
      <c r="Q118" s="106">
        <v>927223251.33749032</v>
      </c>
      <c r="R118" s="106">
        <v>941620276.33227396</v>
      </c>
      <c r="S118" s="105">
        <v>0</v>
      </c>
      <c r="T118" s="105">
        <v>0</v>
      </c>
      <c r="U118" s="105">
        <v>0</v>
      </c>
      <c r="V118" s="105">
        <v>0</v>
      </c>
      <c r="W118" s="105">
        <v>0</v>
      </c>
      <c r="X118" s="105">
        <v>0</v>
      </c>
      <c r="Y118" s="106">
        <v>91098315.916344598</v>
      </c>
      <c r="Z118" s="106">
        <v>92872655.671033576</v>
      </c>
      <c r="AA118" s="106">
        <v>95588986.108902797</v>
      </c>
      <c r="AB118" s="108">
        <v>99012104.292148113</v>
      </c>
      <c r="AC118" s="108">
        <v>102226992.87594649</v>
      </c>
      <c r="AD118" s="108">
        <v>104137401.57907788</v>
      </c>
      <c r="AE118" s="108">
        <v>1916301200.113348</v>
      </c>
      <c r="AF118" s="108">
        <v>2004171809.4157686</v>
      </c>
      <c r="AG118" s="108">
        <v>2218436962.2309117</v>
      </c>
      <c r="AH118" s="108">
        <v>2373785855.5356498</v>
      </c>
      <c r="AI118" s="108">
        <v>2507899463.3154569</v>
      </c>
      <c r="AJ118" s="108">
        <v>2556795309.1088181</v>
      </c>
      <c r="AK118" s="108">
        <v>124334977.53295852</v>
      </c>
      <c r="AL118" s="108">
        <v>133195687.43109694</v>
      </c>
      <c r="AM118" s="108">
        <v>147317230.18624619</v>
      </c>
      <c r="AN118" s="108">
        <v>159861129.90767968</v>
      </c>
      <c r="AO118" s="108">
        <v>174647121.70650846</v>
      </c>
      <c r="AP118" s="108">
        <v>184040521.65446958</v>
      </c>
      <c r="AQ118" s="108">
        <v>185342874.34768721</v>
      </c>
      <c r="AR118" s="108">
        <v>194155452.87043032</v>
      </c>
      <c r="AS118" s="108">
        <v>217310808.78119197</v>
      </c>
      <c r="AT118" s="108">
        <v>234922069.08923584</v>
      </c>
      <c r="AU118" s="108">
        <v>248013261.58651286</v>
      </c>
      <c r="AV118" s="108">
        <v>252032502.89636526</v>
      </c>
    </row>
    <row r="119" spans="1:48" x14ac:dyDescent="0.35">
      <c r="A119" s="107">
        <f xml:space="preserve"> ROW( slrImpacts[[#This Row],[row_id]] ) - ROW( slrImpacts[[#Headers],[row_id]] )</f>
        <v>118</v>
      </c>
      <c r="B119" s="104">
        <v>2016</v>
      </c>
      <c r="C119" s="104" t="s">
        <v>86</v>
      </c>
      <c r="D119" s="104" t="s">
        <v>88</v>
      </c>
      <c r="E119" s="104" t="s">
        <v>922</v>
      </c>
      <c r="F119" s="104"/>
      <c r="G119" s="105">
        <v>0</v>
      </c>
      <c r="H119" s="105">
        <v>0</v>
      </c>
      <c r="I119" s="105">
        <v>0</v>
      </c>
      <c r="J119" s="105">
        <v>0</v>
      </c>
      <c r="K119" s="105">
        <v>0</v>
      </c>
      <c r="L119" s="105">
        <v>0</v>
      </c>
      <c r="M119" s="106">
        <v>774509053.130404</v>
      </c>
      <c r="N119" s="106">
        <v>794510627.53183389</v>
      </c>
      <c r="O119" s="106">
        <v>846235493.59366322</v>
      </c>
      <c r="P119" s="106">
        <v>898028563.30857897</v>
      </c>
      <c r="Q119" s="106">
        <v>942079464.51733673</v>
      </c>
      <c r="R119" s="106">
        <v>958114764.86868644</v>
      </c>
      <c r="S119" s="105">
        <v>0</v>
      </c>
      <c r="T119" s="105">
        <v>0</v>
      </c>
      <c r="U119" s="105">
        <v>0</v>
      </c>
      <c r="V119" s="105">
        <v>0</v>
      </c>
      <c r="W119" s="105">
        <v>0</v>
      </c>
      <c r="X119" s="105">
        <v>0</v>
      </c>
      <c r="Y119" s="106">
        <v>91386379.247519344</v>
      </c>
      <c r="Z119" s="106">
        <v>93265505.904378846</v>
      </c>
      <c r="AA119" s="106">
        <v>96121708.669837117</v>
      </c>
      <c r="AB119" s="108">
        <v>99830805.989799932</v>
      </c>
      <c r="AC119" s="108">
        <v>103365907.34127839</v>
      </c>
      <c r="AD119" s="108">
        <v>105763923.78544571</v>
      </c>
      <c r="AE119" s="108">
        <v>1940248804.2758901</v>
      </c>
      <c r="AF119" s="108">
        <v>2032250800.1334057</v>
      </c>
      <c r="AG119" s="108">
        <v>2251633620.8671284</v>
      </c>
      <c r="AH119" s="108">
        <v>2407547679.3680425</v>
      </c>
      <c r="AI119" s="108">
        <v>2547146556.0504103</v>
      </c>
      <c r="AJ119" s="108">
        <v>2601018642.6897459</v>
      </c>
      <c r="AK119" s="108">
        <v>125844335.08179295</v>
      </c>
      <c r="AL119" s="108">
        <v>134878404.66635111</v>
      </c>
      <c r="AM119" s="108">
        <v>149765224.84019765</v>
      </c>
      <c r="AN119" s="108">
        <v>163386978.75830173</v>
      </c>
      <c r="AO119" s="108">
        <v>179520232.15220618</v>
      </c>
      <c r="AP119" s="108">
        <v>190037031.31825686</v>
      </c>
      <c r="AQ119" s="108">
        <v>188974441.99951789</v>
      </c>
      <c r="AR119" s="108">
        <v>198235305.7892293</v>
      </c>
      <c r="AS119" s="108">
        <v>222684641.76700494</v>
      </c>
      <c r="AT119" s="108">
        <v>241334098.59871846</v>
      </c>
      <c r="AU119" s="108">
        <v>255125578.61768058</v>
      </c>
      <c r="AV119" s="108">
        <v>259690332.43018144</v>
      </c>
    </row>
    <row r="120" spans="1:48" x14ac:dyDescent="0.35">
      <c r="A120" s="107">
        <f xml:space="preserve"> ROW( slrImpacts[[#This Row],[row_id]] ) - ROW( slrImpacts[[#Headers],[row_id]] )</f>
        <v>119</v>
      </c>
      <c r="B120" s="104">
        <v>2017</v>
      </c>
      <c r="C120" s="104" t="s">
        <v>86</v>
      </c>
      <c r="D120" s="104" t="s">
        <v>88</v>
      </c>
      <c r="E120" s="104" t="s">
        <v>922</v>
      </c>
      <c r="F120" s="104"/>
      <c r="G120" s="105">
        <v>0</v>
      </c>
      <c r="H120" s="105">
        <v>0</v>
      </c>
      <c r="I120" s="105">
        <v>0</v>
      </c>
      <c r="J120" s="105">
        <v>0</v>
      </c>
      <c r="K120" s="105">
        <v>0</v>
      </c>
      <c r="L120" s="105">
        <v>0</v>
      </c>
      <c r="M120" s="106">
        <v>779256399.71505356</v>
      </c>
      <c r="N120" s="106">
        <v>800325133.40287054</v>
      </c>
      <c r="O120" s="106">
        <v>854775592.36939919</v>
      </c>
      <c r="P120" s="106">
        <v>909597017.63733375</v>
      </c>
      <c r="Q120" s="106">
        <v>956935677.69718313</v>
      </c>
      <c r="R120" s="106">
        <v>974609253.40509939</v>
      </c>
      <c r="S120" s="105">
        <v>0</v>
      </c>
      <c r="T120" s="105">
        <v>0</v>
      </c>
      <c r="U120" s="105">
        <v>0</v>
      </c>
      <c r="V120" s="105">
        <v>0</v>
      </c>
      <c r="W120" s="105">
        <v>0</v>
      </c>
      <c r="X120" s="105">
        <v>0</v>
      </c>
      <c r="Y120" s="106">
        <v>91674442.578694001</v>
      </c>
      <c r="Z120" s="106">
        <v>93658356.137724087</v>
      </c>
      <c r="AA120" s="106">
        <v>96654431.230771497</v>
      </c>
      <c r="AB120" s="108">
        <v>100649507.68745171</v>
      </c>
      <c r="AC120" s="108">
        <v>104504821.80661021</v>
      </c>
      <c r="AD120" s="108">
        <v>107390445.99181357</v>
      </c>
      <c r="AE120" s="108">
        <v>1964196408.4384317</v>
      </c>
      <c r="AF120" s="108">
        <v>2060329790.851043</v>
      </c>
      <c r="AG120" s="108">
        <v>2284830279.5033431</v>
      </c>
      <c r="AH120" s="108">
        <v>2441309503.2004328</v>
      </c>
      <c r="AI120" s="108">
        <v>2586393648.7853637</v>
      </c>
      <c r="AJ120" s="108">
        <v>2645241976.2706709</v>
      </c>
      <c r="AK120" s="108">
        <v>127353692.63062736</v>
      </c>
      <c r="AL120" s="108">
        <v>136561121.90160525</v>
      </c>
      <c r="AM120" s="108">
        <v>152213219.49414909</v>
      </c>
      <c r="AN120" s="108">
        <v>166912827.60892379</v>
      </c>
      <c r="AO120" s="108">
        <v>184393342.59790382</v>
      </c>
      <c r="AP120" s="108">
        <v>196033540.9820441</v>
      </c>
      <c r="AQ120" s="108">
        <v>192606009.65134844</v>
      </c>
      <c r="AR120" s="108">
        <v>202315158.70802832</v>
      </c>
      <c r="AS120" s="108">
        <v>228058474.75281772</v>
      </c>
      <c r="AT120" s="108">
        <v>247746128.10820103</v>
      </c>
      <c r="AU120" s="108">
        <v>262237895.64884824</v>
      </c>
      <c r="AV120" s="108">
        <v>267348161.96399754</v>
      </c>
    </row>
    <row r="121" spans="1:48" x14ac:dyDescent="0.35">
      <c r="A121" s="107">
        <f xml:space="preserve"> ROW( slrImpacts[[#This Row],[row_id]] ) - ROW( slrImpacts[[#Headers],[row_id]] )</f>
        <v>120</v>
      </c>
      <c r="B121" s="104">
        <v>2018</v>
      </c>
      <c r="C121" s="104" t="s">
        <v>86</v>
      </c>
      <c r="D121" s="104" t="s">
        <v>88</v>
      </c>
      <c r="E121" s="104" t="s">
        <v>922</v>
      </c>
      <c r="F121" s="104"/>
      <c r="G121" s="105">
        <v>0</v>
      </c>
      <c r="H121" s="105">
        <v>0</v>
      </c>
      <c r="I121" s="105">
        <v>0</v>
      </c>
      <c r="J121" s="105">
        <v>0</v>
      </c>
      <c r="K121" s="105">
        <v>0</v>
      </c>
      <c r="L121" s="105">
        <v>0</v>
      </c>
      <c r="M121" s="106">
        <v>784003746.29970288</v>
      </c>
      <c r="N121" s="106">
        <v>806139639.27390623</v>
      </c>
      <c r="O121" s="106">
        <v>863315691.14513552</v>
      </c>
      <c r="P121" s="106">
        <v>921165471.96608794</v>
      </c>
      <c r="Q121" s="106">
        <v>971791890.8770299</v>
      </c>
      <c r="R121" s="106">
        <v>991103741.94151151</v>
      </c>
      <c r="S121" s="105">
        <v>0</v>
      </c>
      <c r="T121" s="105">
        <v>0</v>
      </c>
      <c r="U121" s="105">
        <v>0</v>
      </c>
      <c r="V121" s="105">
        <v>0</v>
      </c>
      <c r="W121" s="105">
        <v>0</v>
      </c>
      <c r="X121" s="105">
        <v>0</v>
      </c>
      <c r="Y121" s="106">
        <v>91962505.909868777</v>
      </c>
      <c r="Z121" s="106">
        <v>94051206.371069387</v>
      </c>
      <c r="AA121" s="106">
        <v>97187153.791705847</v>
      </c>
      <c r="AB121" s="108">
        <v>101468209.38510351</v>
      </c>
      <c r="AC121" s="108">
        <v>105643736.27194205</v>
      </c>
      <c r="AD121" s="108">
        <v>109016968.19818142</v>
      </c>
      <c r="AE121" s="108">
        <v>1988144012.6009762</v>
      </c>
      <c r="AF121" s="108">
        <v>2088408781.5686805</v>
      </c>
      <c r="AG121" s="108">
        <v>2318026938.1395602</v>
      </c>
      <c r="AH121" s="108">
        <v>2475071327.0328279</v>
      </c>
      <c r="AI121" s="108">
        <v>2625640741.5203152</v>
      </c>
      <c r="AJ121" s="108">
        <v>2689465309.8515987</v>
      </c>
      <c r="AK121" s="108">
        <v>128863050.17946179</v>
      </c>
      <c r="AL121" s="108">
        <v>138243839.13685936</v>
      </c>
      <c r="AM121" s="108">
        <v>154661214.1481005</v>
      </c>
      <c r="AN121" s="108">
        <v>170438676.45954591</v>
      </c>
      <c r="AO121" s="108">
        <v>189266453.04360157</v>
      </c>
      <c r="AP121" s="108">
        <v>202030050.64583138</v>
      </c>
      <c r="AQ121" s="108">
        <v>196237577.30317914</v>
      </c>
      <c r="AR121" s="108">
        <v>206395011.62682727</v>
      </c>
      <c r="AS121" s="108">
        <v>233432307.73863065</v>
      </c>
      <c r="AT121" s="108">
        <v>254158157.61768359</v>
      </c>
      <c r="AU121" s="108">
        <v>269350212.68001592</v>
      </c>
      <c r="AV121" s="108">
        <v>275005991.4978137</v>
      </c>
    </row>
    <row r="122" spans="1:48" x14ac:dyDescent="0.35">
      <c r="A122" s="107">
        <f xml:space="preserve"> ROW( slrImpacts[[#This Row],[row_id]] ) - ROW( slrImpacts[[#Headers],[row_id]] )</f>
        <v>121</v>
      </c>
      <c r="B122" s="104">
        <v>2019</v>
      </c>
      <c r="C122" s="104" t="s">
        <v>86</v>
      </c>
      <c r="D122" s="104" t="s">
        <v>88</v>
      </c>
      <c r="E122" s="104" t="s">
        <v>922</v>
      </c>
      <c r="F122" s="104"/>
      <c r="G122" s="105">
        <v>0</v>
      </c>
      <c r="H122" s="105">
        <v>0</v>
      </c>
      <c r="I122" s="105">
        <v>0</v>
      </c>
      <c r="J122" s="105">
        <v>0</v>
      </c>
      <c r="K122" s="105">
        <v>0</v>
      </c>
      <c r="L122" s="105">
        <v>0</v>
      </c>
      <c r="M122" s="106">
        <v>788751092.88435197</v>
      </c>
      <c r="N122" s="106">
        <v>811954145.14494276</v>
      </c>
      <c r="O122" s="106">
        <v>871855789.92087114</v>
      </c>
      <c r="P122" s="106">
        <v>932733926.29484224</v>
      </c>
      <c r="Q122" s="106">
        <v>986648104.05687606</v>
      </c>
      <c r="R122" s="106">
        <v>1007598230.4779243</v>
      </c>
      <c r="S122" s="105">
        <v>0</v>
      </c>
      <c r="T122" s="105">
        <v>0</v>
      </c>
      <c r="U122" s="105">
        <v>0</v>
      </c>
      <c r="V122" s="105">
        <v>0</v>
      </c>
      <c r="W122" s="105">
        <v>0</v>
      </c>
      <c r="X122" s="105">
        <v>0</v>
      </c>
      <c r="Y122" s="106">
        <v>92250569.241043493</v>
      </c>
      <c r="Z122" s="106">
        <v>94444056.604414642</v>
      </c>
      <c r="AA122" s="106">
        <v>97719876.352640182</v>
      </c>
      <c r="AB122" s="108">
        <v>102286911.08275533</v>
      </c>
      <c r="AC122" s="108">
        <v>106782650.73727396</v>
      </c>
      <c r="AD122" s="108">
        <v>110643490.40454929</v>
      </c>
      <c r="AE122" s="108">
        <v>2012091616.7635193</v>
      </c>
      <c r="AF122" s="108">
        <v>2116487772.2863176</v>
      </c>
      <c r="AG122" s="108">
        <v>2351223596.7757769</v>
      </c>
      <c r="AH122" s="108">
        <v>2508833150.8652215</v>
      </c>
      <c r="AI122" s="108">
        <v>2664887834.2552691</v>
      </c>
      <c r="AJ122" s="108">
        <v>2733688643.4325266</v>
      </c>
      <c r="AK122" s="108">
        <v>130372407.72829619</v>
      </c>
      <c r="AL122" s="108">
        <v>139926556.37211347</v>
      </c>
      <c r="AM122" s="108">
        <v>157109208.8020519</v>
      </c>
      <c r="AN122" s="108">
        <v>173964525.31016794</v>
      </c>
      <c r="AO122" s="108">
        <v>194139563.48929918</v>
      </c>
      <c r="AP122" s="108">
        <v>208026560.30961862</v>
      </c>
      <c r="AQ122" s="108">
        <v>199869144.95500967</v>
      </c>
      <c r="AR122" s="108">
        <v>210474864.54562628</v>
      </c>
      <c r="AS122" s="108">
        <v>238806140.72444361</v>
      </c>
      <c r="AT122" s="108">
        <v>260570187.12716618</v>
      </c>
      <c r="AU122" s="108">
        <v>276462529.71118355</v>
      </c>
      <c r="AV122" s="108">
        <v>282663821.0316298</v>
      </c>
    </row>
    <row r="123" spans="1:48" x14ac:dyDescent="0.35">
      <c r="A123" s="107">
        <f xml:space="preserve"> ROW( slrImpacts[[#This Row],[row_id]] ) - ROW( slrImpacts[[#Headers],[row_id]] )</f>
        <v>122</v>
      </c>
      <c r="B123" s="104">
        <v>2020</v>
      </c>
      <c r="C123" s="104" t="s">
        <v>86</v>
      </c>
      <c r="D123" s="104" t="s">
        <v>88</v>
      </c>
      <c r="E123" s="104" t="s">
        <v>922</v>
      </c>
      <c r="F123" s="104"/>
      <c r="G123" s="105">
        <v>0</v>
      </c>
      <c r="H123" s="105">
        <v>0</v>
      </c>
      <c r="I123" s="105">
        <v>0</v>
      </c>
      <c r="J123" s="105">
        <v>0</v>
      </c>
      <c r="K123" s="105">
        <v>0</v>
      </c>
      <c r="L123" s="105">
        <v>0</v>
      </c>
      <c r="M123" s="106">
        <v>793548613.12676454</v>
      </c>
      <c r="N123" s="106">
        <v>817847183.69769418</v>
      </c>
      <c r="O123" s="106">
        <v>880655482.83894503</v>
      </c>
      <c r="P123" s="106">
        <v>944791028.42093921</v>
      </c>
      <c r="Q123" s="106">
        <v>1002440165.0271683</v>
      </c>
      <c r="R123" s="106">
        <v>1025253257.5330243</v>
      </c>
      <c r="S123" s="105">
        <v>0</v>
      </c>
      <c r="T123" s="105">
        <v>0</v>
      </c>
      <c r="U123" s="105">
        <v>0</v>
      </c>
      <c r="V123" s="105">
        <v>0</v>
      </c>
      <c r="W123" s="105">
        <v>0</v>
      </c>
      <c r="X123" s="105">
        <v>0</v>
      </c>
      <c r="Y123" s="106">
        <v>92538632.572218224</v>
      </c>
      <c r="Z123" s="106">
        <v>94836906.837759942</v>
      </c>
      <c r="AA123" s="106">
        <v>98259143.303717524</v>
      </c>
      <c r="AB123" s="108">
        <v>103116520.09731209</v>
      </c>
      <c r="AC123" s="108">
        <v>107947742.76317768</v>
      </c>
      <c r="AD123" s="108">
        <v>112315823.34191796</v>
      </c>
      <c r="AE123" s="108">
        <v>2039289601.363739</v>
      </c>
      <c r="AF123" s="108">
        <v>2149040944.3983674</v>
      </c>
      <c r="AG123" s="108">
        <v>2392404411.3864198</v>
      </c>
      <c r="AH123" s="108">
        <v>2567334950.9014316</v>
      </c>
      <c r="AI123" s="108">
        <v>2735547999.6764956</v>
      </c>
      <c r="AJ123" s="108">
        <v>2816266466.1780405</v>
      </c>
      <c r="AK123" s="108">
        <v>131921031.61798844</v>
      </c>
      <c r="AL123" s="108">
        <v>141670354.58203536</v>
      </c>
      <c r="AM123" s="108">
        <v>159679365.40533894</v>
      </c>
      <c r="AN123" s="108">
        <v>177697613.18198419</v>
      </c>
      <c r="AO123" s="108">
        <v>199274449.54071581</v>
      </c>
      <c r="AP123" s="108">
        <v>214361196.7974596</v>
      </c>
      <c r="AQ123" s="108">
        <v>204067893.08589807</v>
      </c>
      <c r="AR123" s="108">
        <v>215350951.59848705</v>
      </c>
      <c r="AS123" s="108">
        <v>245235801.98665622</v>
      </c>
      <c r="AT123" s="108">
        <v>269069877.09225732</v>
      </c>
      <c r="AU123" s="108">
        <v>286648528.64616787</v>
      </c>
      <c r="AV123" s="108">
        <v>293753092.46374524</v>
      </c>
    </row>
    <row r="124" spans="1:48" x14ac:dyDescent="0.35">
      <c r="A124" s="107">
        <f xml:space="preserve"> ROW( slrImpacts[[#This Row],[row_id]] ) - ROW( slrImpacts[[#Headers],[row_id]] )</f>
        <v>123</v>
      </c>
      <c r="B124" s="104">
        <v>2021</v>
      </c>
      <c r="C124" s="104" t="s">
        <v>86</v>
      </c>
      <c r="D124" s="104" t="s">
        <v>88</v>
      </c>
      <c r="E124" s="104" t="s">
        <v>922</v>
      </c>
      <c r="F124" s="104"/>
      <c r="G124" s="105">
        <v>0</v>
      </c>
      <c r="H124" s="105">
        <v>0</v>
      </c>
      <c r="I124" s="105">
        <v>0</v>
      </c>
      <c r="J124" s="105">
        <v>0</v>
      </c>
      <c r="K124" s="105">
        <v>0</v>
      </c>
      <c r="L124" s="105">
        <v>0</v>
      </c>
      <c r="M124" s="106">
        <v>798311229.95508051</v>
      </c>
      <c r="N124" s="106">
        <v>823692230.05606437</v>
      </c>
      <c r="O124" s="106">
        <v>889376643.07530367</v>
      </c>
      <c r="P124" s="106">
        <v>956736875.91460466</v>
      </c>
      <c r="Q124" s="106">
        <v>1018042438.6833136</v>
      </c>
      <c r="R124" s="106">
        <v>1042672686.5429767</v>
      </c>
      <c r="S124" s="105">
        <v>0</v>
      </c>
      <c r="T124" s="105">
        <v>0</v>
      </c>
      <c r="U124" s="105">
        <v>0</v>
      </c>
      <c r="V124" s="105">
        <v>0</v>
      </c>
      <c r="W124" s="105">
        <v>0</v>
      </c>
      <c r="X124" s="105">
        <v>0</v>
      </c>
      <c r="Y124" s="106">
        <v>92822332.976630986</v>
      </c>
      <c r="Z124" s="106">
        <v>95225394.144343242</v>
      </c>
      <c r="AA124" s="106">
        <v>98794047.328032881</v>
      </c>
      <c r="AB124" s="108">
        <v>103939584.72172587</v>
      </c>
      <c r="AC124" s="108">
        <v>109108471.8623195</v>
      </c>
      <c r="AD124" s="108">
        <v>113983793.35252464</v>
      </c>
      <c r="AE124" s="108">
        <v>2063967995.758914</v>
      </c>
      <c r="AF124" s="108">
        <v>2178483349.7291222</v>
      </c>
      <c r="AG124" s="108">
        <v>2428238459.2502556</v>
      </c>
      <c r="AH124" s="108">
        <v>2618949871.0438571</v>
      </c>
      <c r="AI124" s="108">
        <v>2798688660.8234434</v>
      </c>
      <c r="AJ124" s="108">
        <v>2889941736.8657303</v>
      </c>
      <c r="AK124" s="108">
        <v>133454385.2640138</v>
      </c>
      <c r="AL124" s="108">
        <v>143396701.08490929</v>
      </c>
      <c r="AM124" s="108">
        <v>162201529.81424403</v>
      </c>
      <c r="AN124" s="108">
        <v>181356531.29884675</v>
      </c>
      <c r="AO124" s="108">
        <v>204280629.25265396</v>
      </c>
      <c r="AP124" s="108">
        <v>220547493.77539313</v>
      </c>
      <c r="AQ124" s="108">
        <v>208050676.34206831</v>
      </c>
      <c r="AR124" s="108">
        <v>219978351.8259148</v>
      </c>
      <c r="AS124" s="108">
        <v>251111371.55009711</v>
      </c>
      <c r="AT124" s="108">
        <v>276858409.99514544</v>
      </c>
      <c r="AU124" s="108">
        <v>295896498.327326</v>
      </c>
      <c r="AV124" s="108">
        <v>303851979.52089047</v>
      </c>
    </row>
    <row r="125" spans="1:48" x14ac:dyDescent="0.35">
      <c r="A125" s="107">
        <f xml:space="preserve"> ROW( slrImpacts[[#This Row],[row_id]] ) - ROW( slrImpacts[[#Headers],[row_id]] )</f>
        <v>124</v>
      </c>
      <c r="B125" s="104">
        <v>2022</v>
      </c>
      <c r="C125" s="104" t="s">
        <v>86</v>
      </c>
      <c r="D125" s="104" t="s">
        <v>88</v>
      </c>
      <c r="E125" s="104" t="s">
        <v>922</v>
      </c>
      <c r="F125" s="104"/>
      <c r="G125" s="105">
        <v>0</v>
      </c>
      <c r="H125" s="105">
        <v>0</v>
      </c>
      <c r="I125" s="105">
        <v>0</v>
      </c>
      <c r="J125" s="105">
        <v>0</v>
      </c>
      <c r="K125" s="105">
        <v>0</v>
      </c>
      <c r="L125" s="105">
        <v>0</v>
      </c>
      <c r="M125" s="106">
        <v>803073846.78339696</v>
      </c>
      <c r="N125" s="106">
        <v>829537276.41443467</v>
      </c>
      <c r="O125" s="106">
        <v>898097803.3116622</v>
      </c>
      <c r="P125" s="106">
        <v>968682723.40827131</v>
      </c>
      <c r="Q125" s="106">
        <v>1033644712.3394598</v>
      </c>
      <c r="R125" s="106">
        <v>1060092115.5529296</v>
      </c>
      <c r="S125" s="105">
        <v>0</v>
      </c>
      <c r="T125" s="105">
        <v>0</v>
      </c>
      <c r="U125" s="105">
        <v>0</v>
      </c>
      <c r="V125" s="105">
        <v>0</v>
      </c>
      <c r="W125" s="105">
        <v>0</v>
      </c>
      <c r="X125" s="105">
        <v>0</v>
      </c>
      <c r="Y125" s="106">
        <v>93106033.381043687</v>
      </c>
      <c r="Z125" s="106">
        <v>95613881.450926527</v>
      </c>
      <c r="AA125" s="106">
        <v>99328951.352348194</v>
      </c>
      <c r="AB125" s="108">
        <v>104762649.34613964</v>
      </c>
      <c r="AC125" s="108">
        <v>110269200.96146123</v>
      </c>
      <c r="AD125" s="108">
        <v>115651763.36313139</v>
      </c>
      <c r="AE125" s="108">
        <v>2088646390.1540902</v>
      </c>
      <c r="AF125" s="108">
        <v>2207925755.0598793</v>
      </c>
      <c r="AG125" s="108">
        <v>2464072507.114089</v>
      </c>
      <c r="AH125" s="108">
        <v>2670564791.1862826</v>
      </c>
      <c r="AI125" s="108">
        <v>2861829321.970397</v>
      </c>
      <c r="AJ125" s="108">
        <v>2963617007.5534196</v>
      </c>
      <c r="AK125" s="108">
        <v>134987738.9100391</v>
      </c>
      <c r="AL125" s="108">
        <v>145123047.58778325</v>
      </c>
      <c r="AM125" s="108">
        <v>164723694.22314921</v>
      </c>
      <c r="AN125" s="108">
        <v>185015449.4157092</v>
      </c>
      <c r="AO125" s="108">
        <v>209286808.96459213</v>
      </c>
      <c r="AP125" s="108">
        <v>226733790.75332657</v>
      </c>
      <c r="AQ125" s="108">
        <v>212033459.59823856</v>
      </c>
      <c r="AR125" s="108">
        <v>224605752.05334261</v>
      </c>
      <c r="AS125" s="108">
        <v>256986941.11353803</v>
      </c>
      <c r="AT125" s="108">
        <v>284646942.89803338</v>
      </c>
      <c r="AU125" s="108">
        <v>305144468.00848413</v>
      </c>
      <c r="AV125" s="108">
        <v>313950866.57803583</v>
      </c>
    </row>
    <row r="126" spans="1:48" x14ac:dyDescent="0.35">
      <c r="A126" s="107">
        <f xml:space="preserve"> ROW( slrImpacts[[#This Row],[row_id]] ) - ROW( slrImpacts[[#Headers],[row_id]] )</f>
        <v>125</v>
      </c>
      <c r="B126" s="104">
        <v>2023</v>
      </c>
      <c r="C126" s="104" t="s">
        <v>86</v>
      </c>
      <c r="D126" s="104" t="s">
        <v>88</v>
      </c>
      <c r="E126" s="104" t="s">
        <v>922</v>
      </c>
      <c r="F126" s="104"/>
      <c r="G126" s="105">
        <v>0</v>
      </c>
      <c r="H126" s="105">
        <v>0</v>
      </c>
      <c r="I126" s="105">
        <v>0</v>
      </c>
      <c r="J126" s="105">
        <v>0</v>
      </c>
      <c r="K126" s="105">
        <v>0</v>
      </c>
      <c r="L126" s="105">
        <v>0</v>
      </c>
      <c r="M126" s="106">
        <v>807836463.61171281</v>
      </c>
      <c r="N126" s="106">
        <v>835382322.77280509</v>
      </c>
      <c r="O126" s="106">
        <v>906818963.54802096</v>
      </c>
      <c r="P126" s="106">
        <v>980628570.90193689</v>
      </c>
      <c r="Q126" s="106">
        <v>1049246985.9956053</v>
      </c>
      <c r="R126" s="106">
        <v>1077511544.5628824</v>
      </c>
      <c r="S126" s="105">
        <v>0</v>
      </c>
      <c r="T126" s="105">
        <v>0</v>
      </c>
      <c r="U126" s="105">
        <v>0</v>
      </c>
      <c r="V126" s="105">
        <v>0</v>
      </c>
      <c r="W126" s="105">
        <v>0</v>
      </c>
      <c r="X126" s="105">
        <v>0</v>
      </c>
      <c r="Y126" s="106">
        <v>93389733.785456464</v>
      </c>
      <c r="Z126" s="106">
        <v>96002368.757509813</v>
      </c>
      <c r="AA126" s="106">
        <v>99863855.376663566</v>
      </c>
      <c r="AB126" s="108">
        <v>105585713.97055343</v>
      </c>
      <c r="AC126" s="108">
        <v>111429930.06060304</v>
      </c>
      <c r="AD126" s="108">
        <v>117319733.37373802</v>
      </c>
      <c r="AE126" s="108">
        <v>2113324784.549263</v>
      </c>
      <c r="AF126" s="108">
        <v>2237368160.390636</v>
      </c>
      <c r="AG126" s="108">
        <v>2499906554.9779253</v>
      </c>
      <c r="AH126" s="108">
        <v>2722179711.3287048</v>
      </c>
      <c r="AI126" s="108">
        <v>2924969983.1173453</v>
      </c>
      <c r="AJ126" s="108">
        <v>3037292278.2411108</v>
      </c>
      <c r="AK126" s="108">
        <v>136521092.55606446</v>
      </c>
      <c r="AL126" s="108">
        <v>146849394.0906572</v>
      </c>
      <c r="AM126" s="108">
        <v>167245858.63205433</v>
      </c>
      <c r="AN126" s="108">
        <v>188674367.53257179</v>
      </c>
      <c r="AO126" s="108">
        <v>214292988.67653021</v>
      </c>
      <c r="AP126" s="108">
        <v>232920087.73126009</v>
      </c>
      <c r="AQ126" s="108">
        <v>216016242.85440868</v>
      </c>
      <c r="AR126" s="108">
        <v>229233152.28077042</v>
      </c>
      <c r="AS126" s="108">
        <v>262862510.67697889</v>
      </c>
      <c r="AT126" s="108">
        <v>292435475.80092144</v>
      </c>
      <c r="AU126" s="108">
        <v>314392437.68964231</v>
      </c>
      <c r="AV126" s="108">
        <v>324049753.63518125</v>
      </c>
    </row>
    <row r="127" spans="1:48" x14ac:dyDescent="0.35">
      <c r="A127" s="107">
        <f xml:space="preserve"> ROW( slrImpacts[[#This Row],[row_id]] ) - ROW( slrImpacts[[#Headers],[row_id]] )</f>
        <v>126</v>
      </c>
      <c r="B127" s="104">
        <v>2024</v>
      </c>
      <c r="C127" s="104" t="s">
        <v>86</v>
      </c>
      <c r="D127" s="104" t="s">
        <v>88</v>
      </c>
      <c r="E127" s="104" t="s">
        <v>922</v>
      </c>
      <c r="F127" s="104"/>
      <c r="G127" s="105">
        <v>0</v>
      </c>
      <c r="H127" s="105">
        <v>0</v>
      </c>
      <c r="I127" s="105">
        <v>0</v>
      </c>
      <c r="J127" s="105">
        <v>0</v>
      </c>
      <c r="K127" s="105">
        <v>0</v>
      </c>
      <c r="L127" s="105">
        <v>0</v>
      </c>
      <c r="M127" s="106">
        <v>812599080.44002914</v>
      </c>
      <c r="N127" s="106">
        <v>841227369.1311748</v>
      </c>
      <c r="O127" s="106">
        <v>915540123.78437948</v>
      </c>
      <c r="P127" s="106">
        <v>992574418.3956027</v>
      </c>
      <c r="Q127" s="106">
        <v>1064849259.6517502</v>
      </c>
      <c r="R127" s="106">
        <v>1094930973.5728352</v>
      </c>
      <c r="S127" s="105">
        <v>0</v>
      </c>
      <c r="T127" s="105">
        <v>0</v>
      </c>
      <c r="U127" s="105">
        <v>0</v>
      </c>
      <c r="V127" s="105">
        <v>0</v>
      </c>
      <c r="W127" s="105">
        <v>0</v>
      </c>
      <c r="X127" s="105">
        <v>0</v>
      </c>
      <c r="Y127" s="106">
        <v>93673434.189869195</v>
      </c>
      <c r="Z127" s="106">
        <v>96390856.064093128</v>
      </c>
      <c r="AA127" s="106">
        <v>100398759.40097891</v>
      </c>
      <c r="AB127" s="108">
        <v>106408778.59496722</v>
      </c>
      <c r="AC127" s="108">
        <v>112590659.1597448</v>
      </c>
      <c r="AD127" s="108">
        <v>118987703.38434471</v>
      </c>
      <c r="AE127" s="108">
        <v>2138003178.9444392</v>
      </c>
      <c r="AF127" s="108">
        <v>2266810565.7213931</v>
      </c>
      <c r="AG127" s="108">
        <v>2535740602.8417597</v>
      </c>
      <c r="AH127" s="108">
        <v>2773794631.4711318</v>
      </c>
      <c r="AI127" s="108">
        <v>2988110644.2642941</v>
      </c>
      <c r="AJ127" s="108">
        <v>3110967548.9288011</v>
      </c>
      <c r="AK127" s="108">
        <v>138054446.20208976</v>
      </c>
      <c r="AL127" s="108">
        <v>148575740.59353119</v>
      </c>
      <c r="AM127" s="108">
        <v>169768023.04095945</v>
      </c>
      <c r="AN127" s="108">
        <v>192333285.64943436</v>
      </c>
      <c r="AO127" s="108">
        <v>219299168.38846838</v>
      </c>
      <c r="AP127" s="108">
        <v>239106384.70919356</v>
      </c>
      <c r="AQ127" s="108">
        <v>219999026.11057889</v>
      </c>
      <c r="AR127" s="108">
        <v>233860552.50819826</v>
      </c>
      <c r="AS127" s="108">
        <v>268738080.24041969</v>
      </c>
      <c r="AT127" s="108">
        <v>300224008.70380938</v>
      </c>
      <c r="AU127" s="108">
        <v>323640407.37080032</v>
      </c>
      <c r="AV127" s="108">
        <v>334148640.69232661</v>
      </c>
    </row>
    <row r="128" spans="1:48" x14ac:dyDescent="0.35">
      <c r="A128" s="107">
        <f xml:space="preserve"> ROW( slrImpacts[[#This Row],[row_id]] ) - ROW( slrImpacts[[#Headers],[row_id]] )</f>
        <v>127</v>
      </c>
      <c r="B128" s="104">
        <v>2025</v>
      </c>
      <c r="C128" s="104" t="s">
        <v>86</v>
      </c>
      <c r="D128" s="104" t="s">
        <v>88</v>
      </c>
      <c r="E128" s="104" t="s">
        <v>922</v>
      </c>
      <c r="F128" s="104"/>
      <c r="G128" s="105">
        <v>0</v>
      </c>
      <c r="H128" s="105">
        <v>0</v>
      </c>
      <c r="I128" s="105">
        <v>0</v>
      </c>
      <c r="J128" s="105">
        <v>0</v>
      </c>
      <c r="K128" s="105">
        <v>0</v>
      </c>
      <c r="L128" s="105">
        <v>0</v>
      </c>
      <c r="M128" s="106">
        <v>822652213.52588522</v>
      </c>
      <c r="N128" s="106">
        <v>853528175.44446588</v>
      </c>
      <c r="O128" s="106">
        <v>934218285.97861707</v>
      </c>
      <c r="P128" s="106">
        <v>1017263793.677024</v>
      </c>
      <c r="Q128" s="106">
        <v>1098241998.7869542</v>
      </c>
      <c r="R128" s="106">
        <v>1135036312.9281011</v>
      </c>
      <c r="S128" s="105">
        <v>0</v>
      </c>
      <c r="T128" s="105">
        <v>0</v>
      </c>
      <c r="U128" s="105">
        <v>0</v>
      </c>
      <c r="V128" s="105">
        <v>0</v>
      </c>
      <c r="W128" s="105">
        <v>0</v>
      </c>
      <c r="X128" s="105">
        <v>0</v>
      </c>
      <c r="Y128" s="106">
        <v>94215377.464255139</v>
      </c>
      <c r="Z128" s="106">
        <v>97040526.449966848</v>
      </c>
      <c r="AA128" s="106">
        <v>101645021.16351829</v>
      </c>
      <c r="AB128" s="108">
        <v>108407259.69907248</v>
      </c>
      <c r="AC128" s="108">
        <v>115708629.08557802</v>
      </c>
      <c r="AD128" s="108">
        <v>122878467.41288918</v>
      </c>
      <c r="AE128" s="108">
        <v>2182694006.6812072</v>
      </c>
      <c r="AF128" s="108">
        <v>2316751330.9529443</v>
      </c>
      <c r="AG128" s="108">
        <v>2589938499.1008096</v>
      </c>
      <c r="AH128" s="108">
        <v>2851046666.1132846</v>
      </c>
      <c r="AI128" s="108">
        <v>3079700151.5842342</v>
      </c>
      <c r="AJ128" s="108">
        <v>3219819234.776772</v>
      </c>
      <c r="AK128" s="108">
        <v>141030950.89853558</v>
      </c>
      <c r="AL128" s="108">
        <v>152184080.85921109</v>
      </c>
      <c r="AM128" s="108">
        <v>175656470.70718375</v>
      </c>
      <c r="AN128" s="108">
        <v>201364083.64977345</v>
      </c>
      <c r="AO128" s="108">
        <v>232394204.0209198</v>
      </c>
      <c r="AP128" s="108">
        <v>254939532.88884747</v>
      </c>
      <c r="AQ128" s="108">
        <v>227328789.01614359</v>
      </c>
      <c r="AR128" s="108">
        <v>242454973.7945613</v>
      </c>
      <c r="AS128" s="108">
        <v>277648970.73658353</v>
      </c>
      <c r="AT128" s="108">
        <v>311349082.16359752</v>
      </c>
      <c r="AU128" s="108">
        <v>337642616.72748798</v>
      </c>
      <c r="AV128" s="108">
        <v>349785377.60393786</v>
      </c>
    </row>
    <row r="129" spans="1:48" x14ac:dyDescent="0.35">
      <c r="A129" s="107">
        <f xml:space="preserve"> ROW( slrImpacts[[#This Row],[row_id]] ) - ROW( slrImpacts[[#Headers],[row_id]] )</f>
        <v>128</v>
      </c>
      <c r="B129" s="104">
        <v>2026</v>
      </c>
      <c r="C129" s="104" t="s">
        <v>86</v>
      </c>
      <c r="D129" s="104" t="s">
        <v>88</v>
      </c>
      <c r="E129" s="104" t="s">
        <v>922</v>
      </c>
      <c r="F129" s="104"/>
      <c r="G129" s="105">
        <v>0</v>
      </c>
      <c r="H129" s="105">
        <v>0</v>
      </c>
      <c r="I129" s="105">
        <v>0</v>
      </c>
      <c r="J129" s="105">
        <v>0</v>
      </c>
      <c r="K129" s="105">
        <v>0</v>
      </c>
      <c r="L129" s="105">
        <v>0</v>
      </c>
      <c r="M129" s="106">
        <v>827992903.4411875</v>
      </c>
      <c r="N129" s="106">
        <v>860062468.08110201</v>
      </c>
      <c r="O129" s="106">
        <v>944434882.07883418</v>
      </c>
      <c r="P129" s="106">
        <v>1030495969.2621213</v>
      </c>
      <c r="Q129" s="106">
        <v>1116968312.0564566</v>
      </c>
      <c r="R129" s="106">
        <v>1158882761.7921023</v>
      </c>
      <c r="S129" s="105">
        <v>0</v>
      </c>
      <c r="T129" s="105">
        <v>0</v>
      </c>
      <c r="U129" s="105">
        <v>0</v>
      </c>
      <c r="V129" s="105">
        <v>0</v>
      </c>
      <c r="W129" s="105">
        <v>0</v>
      </c>
      <c r="X129" s="105">
        <v>0</v>
      </c>
      <c r="Y129" s="106">
        <v>94473620.334228411</v>
      </c>
      <c r="Z129" s="106">
        <v>97301709.529257312</v>
      </c>
      <c r="AA129" s="106">
        <v>102362923.29188529</v>
      </c>
      <c r="AB129" s="108">
        <v>109593583.49566898</v>
      </c>
      <c r="AC129" s="108">
        <v>117692047.47284131</v>
      </c>
      <c r="AD129" s="108">
        <v>125147072.1618278</v>
      </c>
      <c r="AE129" s="108">
        <v>2205956820.4604774</v>
      </c>
      <c r="AF129" s="108">
        <v>2341723872.2481523</v>
      </c>
      <c r="AG129" s="108">
        <v>2616286503.4704528</v>
      </c>
      <c r="AH129" s="108">
        <v>2901423756.8168378</v>
      </c>
      <c r="AI129" s="108">
        <v>3139562070.4434943</v>
      </c>
      <c r="AJ129" s="108">
        <v>3293350139.101644</v>
      </c>
      <c r="AK129" s="108">
        <v>142513368.28981394</v>
      </c>
      <c r="AL129" s="108">
        <v>154127155.59668475</v>
      </c>
      <c r="AM129" s="108">
        <v>179144915.91383839</v>
      </c>
      <c r="AN129" s="108">
        <v>206943202.55444422</v>
      </c>
      <c r="AO129" s="108">
        <v>240744835.54715195</v>
      </c>
      <c r="AP129" s="108">
        <v>264924510.91462138</v>
      </c>
      <c r="AQ129" s="108">
        <v>231242949.14459577</v>
      </c>
      <c r="AR129" s="108">
        <v>247218228.98755828</v>
      </c>
      <c r="AS129" s="108">
        <v>281740119.94570631</v>
      </c>
      <c r="AT129" s="108">
        <v>316773283.17610627</v>
      </c>
      <c r="AU129" s="108">
        <v>345470538.30683416</v>
      </c>
      <c r="AV129" s="108">
        <v>358754669.3567031</v>
      </c>
    </row>
    <row r="130" spans="1:48" x14ac:dyDescent="0.35">
      <c r="A130" s="107">
        <f xml:space="preserve"> ROW( slrImpacts[[#This Row],[row_id]] ) - ROW( slrImpacts[[#Headers],[row_id]] )</f>
        <v>129</v>
      </c>
      <c r="B130" s="104">
        <v>2027</v>
      </c>
      <c r="C130" s="104" t="s">
        <v>86</v>
      </c>
      <c r="D130" s="104" t="s">
        <v>88</v>
      </c>
      <c r="E130" s="104" t="s">
        <v>922</v>
      </c>
      <c r="F130" s="104"/>
      <c r="G130" s="105">
        <v>0</v>
      </c>
      <c r="H130" s="105">
        <v>0</v>
      </c>
      <c r="I130" s="105">
        <v>0</v>
      </c>
      <c r="J130" s="105">
        <v>0</v>
      </c>
      <c r="K130" s="105">
        <v>0</v>
      </c>
      <c r="L130" s="105">
        <v>0</v>
      </c>
      <c r="M130" s="106">
        <v>833333593.35649025</v>
      </c>
      <c r="N130" s="106">
        <v>866596760.71773851</v>
      </c>
      <c r="O130" s="106">
        <v>954651478.179052</v>
      </c>
      <c r="P130" s="106">
        <v>1043728144.8472189</v>
      </c>
      <c r="Q130" s="106">
        <v>1135694625.3259597</v>
      </c>
      <c r="R130" s="106">
        <v>1182729210.6561031</v>
      </c>
      <c r="S130" s="105">
        <v>0</v>
      </c>
      <c r="T130" s="105">
        <v>0</v>
      </c>
      <c r="U130" s="105">
        <v>0</v>
      </c>
      <c r="V130" s="105">
        <v>0</v>
      </c>
      <c r="W130" s="105">
        <v>0</v>
      </c>
      <c r="X130" s="105">
        <v>0</v>
      </c>
      <c r="Y130" s="106">
        <v>94731863.204201609</v>
      </c>
      <c r="Z130" s="106">
        <v>97562892.608547792</v>
      </c>
      <c r="AA130" s="106">
        <v>103080825.42025231</v>
      </c>
      <c r="AB130" s="108">
        <v>110779907.29226544</v>
      </c>
      <c r="AC130" s="108">
        <v>119675465.86010462</v>
      </c>
      <c r="AD130" s="108">
        <v>127415676.91076638</v>
      </c>
      <c r="AE130" s="108">
        <v>2229219634.2397451</v>
      </c>
      <c r="AF130" s="108">
        <v>2366696413.5433588</v>
      </c>
      <c r="AG130" s="108">
        <v>2642634507.840097</v>
      </c>
      <c r="AH130" s="108">
        <v>2951800847.5203905</v>
      </c>
      <c r="AI130" s="108">
        <v>3199423989.3027587</v>
      </c>
      <c r="AJ130" s="108">
        <v>3366881043.4265175</v>
      </c>
      <c r="AK130" s="108">
        <v>143995785.68109223</v>
      </c>
      <c r="AL130" s="108">
        <v>156070230.33415845</v>
      </c>
      <c r="AM130" s="108">
        <v>182633361.12049302</v>
      </c>
      <c r="AN130" s="108">
        <v>212522321.45911494</v>
      </c>
      <c r="AO130" s="108">
        <v>249095467.07338414</v>
      </c>
      <c r="AP130" s="108">
        <v>274909488.94039541</v>
      </c>
      <c r="AQ130" s="108">
        <v>235157109.27304789</v>
      </c>
      <c r="AR130" s="108">
        <v>251981484.18055531</v>
      </c>
      <c r="AS130" s="108">
        <v>285831269.15482903</v>
      </c>
      <c r="AT130" s="108">
        <v>322197484.18861508</v>
      </c>
      <c r="AU130" s="108">
        <v>353298459.88618046</v>
      </c>
      <c r="AV130" s="108">
        <v>367723961.10946816</v>
      </c>
    </row>
    <row r="131" spans="1:48" x14ac:dyDescent="0.35">
      <c r="A131" s="107">
        <f xml:space="preserve"> ROW( slrImpacts[[#This Row],[row_id]] ) - ROW( slrImpacts[[#Headers],[row_id]] )</f>
        <v>130</v>
      </c>
      <c r="B131" s="104">
        <v>2028</v>
      </c>
      <c r="C131" s="104" t="s">
        <v>86</v>
      </c>
      <c r="D131" s="104" t="s">
        <v>88</v>
      </c>
      <c r="E131" s="104" t="s">
        <v>922</v>
      </c>
      <c r="F131" s="104"/>
      <c r="G131" s="105">
        <v>0</v>
      </c>
      <c r="H131" s="105">
        <v>0</v>
      </c>
      <c r="I131" s="105">
        <v>0</v>
      </c>
      <c r="J131" s="105">
        <v>0</v>
      </c>
      <c r="K131" s="105">
        <v>0</v>
      </c>
      <c r="L131" s="105">
        <v>0</v>
      </c>
      <c r="M131" s="106">
        <v>838674283.27179289</v>
      </c>
      <c r="N131" s="106">
        <v>873131053.3543756</v>
      </c>
      <c r="O131" s="106">
        <v>964868074.27926874</v>
      </c>
      <c r="P131" s="106">
        <v>1056960320.4323168</v>
      </c>
      <c r="Q131" s="106">
        <v>1154420938.5954626</v>
      </c>
      <c r="R131" s="106">
        <v>1206575659.5201039</v>
      </c>
      <c r="S131" s="105">
        <v>0</v>
      </c>
      <c r="T131" s="105">
        <v>0</v>
      </c>
      <c r="U131" s="105">
        <v>0</v>
      </c>
      <c r="V131" s="105">
        <v>0</v>
      </c>
      <c r="W131" s="105">
        <v>0</v>
      </c>
      <c r="X131" s="105">
        <v>0</v>
      </c>
      <c r="Y131" s="106">
        <v>94990106.074174836</v>
      </c>
      <c r="Z131" s="106">
        <v>97824075.687838286</v>
      </c>
      <c r="AA131" s="106">
        <v>103798727.54861929</v>
      </c>
      <c r="AB131" s="108">
        <v>111966231.08886187</v>
      </c>
      <c r="AC131" s="108">
        <v>121658884.24736793</v>
      </c>
      <c r="AD131" s="108">
        <v>129684281.659705</v>
      </c>
      <c r="AE131" s="108">
        <v>2252482448.0190139</v>
      </c>
      <c r="AF131" s="108">
        <v>2391668954.8385668</v>
      </c>
      <c r="AG131" s="108">
        <v>2668982512.2097402</v>
      </c>
      <c r="AH131" s="108">
        <v>3002177938.2239447</v>
      </c>
      <c r="AI131" s="108">
        <v>3259285908.1620231</v>
      </c>
      <c r="AJ131" s="108">
        <v>3440411947.7513871</v>
      </c>
      <c r="AK131" s="108">
        <v>145478203.07237062</v>
      </c>
      <c r="AL131" s="108">
        <v>158013305.07163218</v>
      </c>
      <c r="AM131" s="108">
        <v>186121806.32714766</v>
      </c>
      <c r="AN131" s="108">
        <v>218101440.36378574</v>
      </c>
      <c r="AO131" s="108">
        <v>257446098.59961629</v>
      </c>
      <c r="AP131" s="108">
        <v>284894466.96616936</v>
      </c>
      <c r="AQ131" s="108">
        <v>239071269.40150014</v>
      </c>
      <c r="AR131" s="108">
        <v>256744739.37355241</v>
      </c>
      <c r="AS131" s="108">
        <v>289922418.36395162</v>
      </c>
      <c r="AT131" s="108">
        <v>327621685.20112377</v>
      </c>
      <c r="AU131" s="108">
        <v>361126381.46552676</v>
      </c>
      <c r="AV131" s="108">
        <v>376693252.86223346</v>
      </c>
    </row>
    <row r="132" spans="1:48" x14ac:dyDescent="0.35">
      <c r="A132" s="107">
        <f xml:space="preserve"> ROW( slrImpacts[[#This Row],[row_id]] ) - ROW( slrImpacts[[#Headers],[row_id]] )</f>
        <v>131</v>
      </c>
      <c r="B132" s="104">
        <v>2029</v>
      </c>
      <c r="C132" s="104" t="s">
        <v>86</v>
      </c>
      <c r="D132" s="104" t="s">
        <v>88</v>
      </c>
      <c r="E132" s="104" t="s">
        <v>922</v>
      </c>
      <c r="F132" s="104"/>
      <c r="G132" s="105">
        <v>0</v>
      </c>
      <c r="H132" s="105">
        <v>0</v>
      </c>
      <c r="I132" s="105">
        <v>0</v>
      </c>
      <c r="J132" s="105">
        <v>0</v>
      </c>
      <c r="K132" s="105">
        <v>0</v>
      </c>
      <c r="L132" s="105">
        <v>0</v>
      </c>
      <c r="M132" s="106">
        <v>844014973.18709481</v>
      </c>
      <c r="N132" s="106">
        <v>879665345.99101233</v>
      </c>
      <c r="O132" s="106">
        <v>975084670.3794868</v>
      </c>
      <c r="P132" s="106">
        <v>1070192496.017414</v>
      </c>
      <c r="Q132" s="106">
        <v>1173147251.8649662</v>
      </c>
      <c r="R132" s="106">
        <v>1230422108.384105</v>
      </c>
      <c r="S132" s="105">
        <v>0</v>
      </c>
      <c r="T132" s="105">
        <v>0</v>
      </c>
      <c r="U132" s="105">
        <v>0</v>
      </c>
      <c r="V132" s="105">
        <v>0</v>
      </c>
      <c r="W132" s="105">
        <v>0</v>
      </c>
      <c r="X132" s="105">
        <v>0</v>
      </c>
      <c r="Y132" s="106">
        <v>95248348.944148064</v>
      </c>
      <c r="Z132" s="106">
        <v>98085258.767128721</v>
      </c>
      <c r="AA132" s="106">
        <v>104516629.67698632</v>
      </c>
      <c r="AB132" s="108">
        <v>113152554.88545835</v>
      </c>
      <c r="AC132" s="108">
        <v>123642302.63463126</v>
      </c>
      <c r="AD132" s="108">
        <v>131952886.40864357</v>
      </c>
      <c r="AE132" s="108">
        <v>2275745261.7982845</v>
      </c>
      <c r="AF132" s="108">
        <v>2416641496.1337738</v>
      </c>
      <c r="AG132" s="108">
        <v>2695330516.5793829</v>
      </c>
      <c r="AH132" s="108">
        <v>3052555028.9274979</v>
      </c>
      <c r="AI132" s="108">
        <v>3319147827.0212827</v>
      </c>
      <c r="AJ132" s="108">
        <v>3513942852.0762596</v>
      </c>
      <c r="AK132" s="108">
        <v>146960620.46364897</v>
      </c>
      <c r="AL132" s="108">
        <v>159956379.80910587</v>
      </c>
      <c r="AM132" s="108">
        <v>189610251.53380227</v>
      </c>
      <c r="AN132" s="108">
        <v>223680559.26845652</v>
      </c>
      <c r="AO132" s="108">
        <v>265796730.1258485</v>
      </c>
      <c r="AP132" s="108">
        <v>294879444.9919433</v>
      </c>
      <c r="AQ132" s="108">
        <v>242985429.52995232</v>
      </c>
      <c r="AR132" s="108">
        <v>261507994.56654942</v>
      </c>
      <c r="AS132" s="108">
        <v>294013567.57307434</v>
      </c>
      <c r="AT132" s="108">
        <v>333045886.21363258</v>
      </c>
      <c r="AU132" s="108">
        <v>368954303.04487294</v>
      </c>
      <c r="AV132" s="108">
        <v>385662544.6149987</v>
      </c>
    </row>
    <row r="133" spans="1:48" x14ac:dyDescent="0.35">
      <c r="A133" s="107">
        <f xml:space="preserve"> ROW( slrImpacts[[#This Row],[row_id]] ) - ROW( slrImpacts[[#Headers],[row_id]] )</f>
        <v>132</v>
      </c>
      <c r="B133" s="104">
        <v>2030</v>
      </c>
      <c r="C133" s="104" t="s">
        <v>86</v>
      </c>
      <c r="D133" s="104" t="s">
        <v>88</v>
      </c>
      <c r="E133" s="104" t="s">
        <v>922</v>
      </c>
      <c r="F133" s="104"/>
      <c r="G133" s="105">
        <v>0</v>
      </c>
      <c r="H133" s="105">
        <v>0</v>
      </c>
      <c r="I133" s="105">
        <v>0</v>
      </c>
      <c r="J133" s="105">
        <v>0</v>
      </c>
      <c r="K133" s="105">
        <v>0</v>
      </c>
      <c r="L133" s="105">
        <v>0</v>
      </c>
      <c r="M133" s="106">
        <v>849458191.88130474</v>
      </c>
      <c r="N133" s="106">
        <v>886441781.06293941</v>
      </c>
      <c r="O133" s="106">
        <v>985883717.20242846</v>
      </c>
      <c r="P133" s="106">
        <v>1084877526.2142515</v>
      </c>
      <c r="Q133" s="106">
        <v>1193858696.8111706</v>
      </c>
      <c r="R133" s="106">
        <v>1256465290.8727639</v>
      </c>
      <c r="S133" s="105">
        <v>0</v>
      </c>
      <c r="T133" s="105">
        <v>0</v>
      </c>
      <c r="U133" s="105">
        <v>0</v>
      </c>
      <c r="V133" s="105">
        <v>0</v>
      </c>
      <c r="W133" s="105">
        <v>0</v>
      </c>
      <c r="X133" s="105">
        <v>0</v>
      </c>
      <c r="Y133" s="106">
        <v>95506591.814121276</v>
      </c>
      <c r="Z133" s="106">
        <v>98352986.236562163</v>
      </c>
      <c r="AA133" s="106">
        <v>105256346.43916322</v>
      </c>
      <c r="AB133" s="108">
        <v>114382507.94967459</v>
      </c>
      <c r="AC133" s="108">
        <v>125712979.55713423</v>
      </c>
      <c r="AD133" s="108">
        <v>134321838.47310781</v>
      </c>
      <c r="AE133" s="108">
        <v>2302891080.3957171</v>
      </c>
      <c r="AF133" s="108">
        <v>2448226052.9367676</v>
      </c>
      <c r="AG133" s="108">
        <v>2746305061.0570383</v>
      </c>
      <c r="AH133" s="108">
        <v>3127050378.7712908</v>
      </c>
      <c r="AI133" s="108">
        <v>3408887068.3466053</v>
      </c>
      <c r="AJ133" s="108">
        <v>3616151274.0076423</v>
      </c>
      <c r="AK133" s="108">
        <v>148493211.5126901</v>
      </c>
      <c r="AL133" s="108">
        <v>162015072.10577211</v>
      </c>
      <c r="AM133" s="108">
        <v>193303754.29827014</v>
      </c>
      <c r="AN133" s="108">
        <v>229556357.19294208</v>
      </c>
      <c r="AO133" s="108">
        <v>274651279.69308972</v>
      </c>
      <c r="AP133" s="108">
        <v>305542858.12920552</v>
      </c>
      <c r="AQ133" s="108">
        <v>247765630.62065798</v>
      </c>
      <c r="AR133" s="108">
        <v>267752463.39523941</v>
      </c>
      <c r="AS133" s="108">
        <v>300899171.37324691</v>
      </c>
      <c r="AT133" s="108">
        <v>341567765.22714871</v>
      </c>
      <c r="AU133" s="108">
        <v>380545248.95642924</v>
      </c>
      <c r="AV133" s="108">
        <v>399154009.95655876</v>
      </c>
    </row>
    <row r="134" spans="1:48" x14ac:dyDescent="0.35">
      <c r="A134" s="107">
        <f xml:space="preserve"> ROW( slrImpacts[[#This Row],[row_id]] ) - ROW( slrImpacts[[#Headers],[row_id]] )</f>
        <v>133</v>
      </c>
      <c r="B134" s="104">
        <v>2031</v>
      </c>
      <c r="C134" s="104" t="s">
        <v>86</v>
      </c>
      <c r="D134" s="104" t="s">
        <v>88</v>
      </c>
      <c r="E134" s="104" t="s">
        <v>922</v>
      </c>
      <c r="F134" s="104"/>
      <c r="G134" s="105">
        <v>0</v>
      </c>
      <c r="H134" s="105">
        <v>0</v>
      </c>
      <c r="I134" s="105">
        <v>0</v>
      </c>
      <c r="J134" s="105">
        <v>0</v>
      </c>
      <c r="K134" s="105">
        <v>0</v>
      </c>
      <c r="L134" s="105">
        <v>0</v>
      </c>
      <c r="M134" s="106">
        <v>854851236.91775084</v>
      </c>
      <c r="N134" s="106">
        <v>893139683.45315027</v>
      </c>
      <c r="O134" s="106">
        <v>996423169.88303304</v>
      </c>
      <c r="P134" s="106">
        <v>1099073908.6137476</v>
      </c>
      <c r="Q134" s="106">
        <v>1213634293.9669299</v>
      </c>
      <c r="R134" s="106">
        <v>1281347934.8427348</v>
      </c>
      <c r="S134" s="105">
        <v>0</v>
      </c>
      <c r="T134" s="105">
        <v>0</v>
      </c>
      <c r="U134" s="105">
        <v>0</v>
      </c>
      <c r="V134" s="105">
        <v>0</v>
      </c>
      <c r="W134" s="105">
        <v>0</v>
      </c>
      <c r="X134" s="105">
        <v>0</v>
      </c>
      <c r="Y134" s="106">
        <v>95764834.684094533</v>
      </c>
      <c r="Z134" s="106">
        <v>98620713.705995619</v>
      </c>
      <c r="AA134" s="106">
        <v>105989518.81119719</v>
      </c>
      <c r="AB134" s="108">
        <v>115601553.69698595</v>
      </c>
      <c r="AC134" s="108">
        <v>127757478.91906528</v>
      </c>
      <c r="AD134" s="108">
        <v>136644979.80657116</v>
      </c>
      <c r="AE134" s="108">
        <v>2326786518.5554757</v>
      </c>
      <c r="AF134" s="108">
        <v>2475336428.345345</v>
      </c>
      <c r="AG134" s="108">
        <v>2789295449.5602641</v>
      </c>
      <c r="AH134" s="108">
        <v>3176805752.4112611</v>
      </c>
      <c r="AI134" s="108">
        <v>3467213236.9856482</v>
      </c>
      <c r="AJ134" s="108">
        <v>3680005206.7744379</v>
      </c>
      <c r="AK134" s="108">
        <v>149986536.22087339</v>
      </c>
      <c r="AL134" s="108">
        <v>164012683.42777061</v>
      </c>
      <c r="AM134" s="108">
        <v>196875095.11340243</v>
      </c>
      <c r="AN134" s="108">
        <v>235224916.09623346</v>
      </c>
      <c r="AO134" s="108">
        <v>283244053.65461183</v>
      </c>
      <c r="AP134" s="108">
        <v>315868144.44241422</v>
      </c>
      <c r="AQ134" s="108">
        <v>251978651.23230594</v>
      </c>
      <c r="AR134" s="108">
        <v>273200698.08986783</v>
      </c>
      <c r="AS134" s="108">
        <v>306728946.89701957</v>
      </c>
      <c r="AT134" s="108">
        <v>348001983.78505635</v>
      </c>
      <c r="AU134" s="108">
        <v>389062512.96416861</v>
      </c>
      <c r="AV134" s="108">
        <v>409214033.39981949</v>
      </c>
    </row>
    <row r="135" spans="1:48" x14ac:dyDescent="0.35">
      <c r="A135" s="107">
        <f xml:space="preserve"> ROW( slrImpacts[[#This Row],[row_id]] ) - ROW( slrImpacts[[#Headers],[row_id]] )</f>
        <v>134</v>
      </c>
      <c r="B135" s="104">
        <v>2032</v>
      </c>
      <c r="C135" s="104" t="s">
        <v>86</v>
      </c>
      <c r="D135" s="104" t="s">
        <v>88</v>
      </c>
      <c r="E135" s="104" t="s">
        <v>922</v>
      </c>
      <c r="F135" s="104"/>
      <c r="G135" s="105">
        <v>0</v>
      </c>
      <c r="H135" s="105">
        <v>0</v>
      </c>
      <c r="I135" s="105">
        <v>0</v>
      </c>
      <c r="J135" s="105">
        <v>0</v>
      </c>
      <c r="K135" s="105">
        <v>0</v>
      </c>
      <c r="L135" s="105">
        <v>0</v>
      </c>
      <c r="M135" s="106">
        <v>860244281.95419729</v>
      </c>
      <c r="N135" s="106">
        <v>899837585.8433603</v>
      </c>
      <c r="O135" s="106">
        <v>1006962622.563637</v>
      </c>
      <c r="P135" s="106">
        <v>1113270291.0132427</v>
      </c>
      <c r="Q135" s="106">
        <v>1233409891.1226895</v>
      </c>
      <c r="R135" s="106">
        <v>1306230578.8127065</v>
      </c>
      <c r="S135" s="105">
        <v>0</v>
      </c>
      <c r="T135" s="105">
        <v>0</v>
      </c>
      <c r="U135" s="105">
        <v>0</v>
      </c>
      <c r="V135" s="105">
        <v>0</v>
      </c>
      <c r="W135" s="105">
        <v>0</v>
      </c>
      <c r="X135" s="105">
        <v>0</v>
      </c>
      <c r="Y135" s="106">
        <v>96023077.554067791</v>
      </c>
      <c r="Z135" s="106">
        <v>98888441.175429001</v>
      </c>
      <c r="AA135" s="106">
        <v>106722691.18323113</v>
      </c>
      <c r="AB135" s="108">
        <v>116820599.44429724</v>
      </c>
      <c r="AC135" s="108">
        <v>129801978.28099632</v>
      </c>
      <c r="AD135" s="108">
        <v>138968121.1400345</v>
      </c>
      <c r="AE135" s="108">
        <v>2350681956.7152319</v>
      </c>
      <c r="AF135" s="108">
        <v>2502446803.7539253</v>
      </c>
      <c r="AG135" s="108">
        <v>2832285838.063489</v>
      </c>
      <c r="AH135" s="108">
        <v>3226561126.0512295</v>
      </c>
      <c r="AI135" s="108">
        <v>3525539405.6246905</v>
      </c>
      <c r="AJ135" s="108">
        <v>3743859139.5412312</v>
      </c>
      <c r="AK135" s="108">
        <v>151479860.92905667</v>
      </c>
      <c r="AL135" s="108">
        <v>166010294.74976906</v>
      </c>
      <c r="AM135" s="108">
        <v>200446435.92853472</v>
      </c>
      <c r="AN135" s="108">
        <v>240893474.99952486</v>
      </c>
      <c r="AO135" s="108">
        <v>291836827.61613411</v>
      </c>
      <c r="AP135" s="108">
        <v>326193430.75562286</v>
      </c>
      <c r="AQ135" s="108">
        <v>256191671.84395385</v>
      </c>
      <c r="AR135" s="108">
        <v>278648932.78449601</v>
      </c>
      <c r="AS135" s="108">
        <v>312558722.42079228</v>
      </c>
      <c r="AT135" s="108">
        <v>354436202.34296399</v>
      </c>
      <c r="AU135" s="108">
        <v>397579776.97190809</v>
      </c>
      <c r="AV135" s="108">
        <v>419274056.84308022</v>
      </c>
    </row>
    <row r="136" spans="1:48" x14ac:dyDescent="0.35">
      <c r="A136" s="107">
        <f xml:space="preserve"> ROW( slrImpacts[[#This Row],[row_id]] ) - ROW( slrImpacts[[#Headers],[row_id]] )</f>
        <v>135</v>
      </c>
      <c r="B136" s="104">
        <v>2033</v>
      </c>
      <c r="C136" s="104" t="s">
        <v>86</v>
      </c>
      <c r="D136" s="104" t="s">
        <v>88</v>
      </c>
      <c r="E136" s="104" t="s">
        <v>922</v>
      </c>
      <c r="F136" s="104"/>
      <c r="G136" s="105">
        <v>0</v>
      </c>
      <c r="H136" s="105">
        <v>0</v>
      </c>
      <c r="I136" s="105">
        <v>0</v>
      </c>
      <c r="J136" s="105">
        <v>0</v>
      </c>
      <c r="K136" s="105">
        <v>0</v>
      </c>
      <c r="L136" s="105">
        <v>0</v>
      </c>
      <c r="M136" s="106">
        <v>865637326.99064362</v>
      </c>
      <c r="N136" s="106">
        <v>906535488.23357153</v>
      </c>
      <c r="O136" s="106">
        <v>1017502075.2442409</v>
      </c>
      <c r="P136" s="106">
        <v>1127466673.4127386</v>
      </c>
      <c r="Q136" s="106">
        <v>1253185488.2784495</v>
      </c>
      <c r="R136" s="106">
        <v>1331113222.7826786</v>
      </c>
      <c r="S136" s="105">
        <v>0</v>
      </c>
      <c r="T136" s="105">
        <v>0</v>
      </c>
      <c r="U136" s="105">
        <v>0</v>
      </c>
      <c r="V136" s="105">
        <v>0</v>
      </c>
      <c r="W136" s="105">
        <v>0</v>
      </c>
      <c r="X136" s="105">
        <v>0</v>
      </c>
      <c r="Y136" s="106">
        <v>96281320.424040988</v>
      </c>
      <c r="Z136" s="106">
        <v>99156168.644862443</v>
      </c>
      <c r="AA136" s="106">
        <v>107455863.55526508</v>
      </c>
      <c r="AB136" s="108">
        <v>118039645.19160858</v>
      </c>
      <c r="AC136" s="108">
        <v>131846477.64292739</v>
      </c>
      <c r="AD136" s="108">
        <v>141291262.47349793</v>
      </c>
      <c r="AE136" s="108">
        <v>2374577394.8749905</v>
      </c>
      <c r="AF136" s="108">
        <v>2529557179.1625028</v>
      </c>
      <c r="AG136" s="108">
        <v>2875276226.5667167</v>
      </c>
      <c r="AH136" s="108">
        <v>3276316499.6912022</v>
      </c>
      <c r="AI136" s="108">
        <v>3583865574.2637353</v>
      </c>
      <c r="AJ136" s="108">
        <v>3807713072.3080287</v>
      </c>
      <c r="AK136" s="108">
        <v>152973185.63723999</v>
      </c>
      <c r="AL136" s="108">
        <v>168007906.07176757</v>
      </c>
      <c r="AM136" s="108">
        <v>204017776.7436671</v>
      </c>
      <c r="AN136" s="108">
        <v>246562033.90281624</v>
      </c>
      <c r="AO136" s="108">
        <v>300429601.57765627</v>
      </c>
      <c r="AP136" s="108">
        <v>336518717.06883144</v>
      </c>
      <c r="AQ136" s="108">
        <v>260404692.45560181</v>
      </c>
      <c r="AR136" s="108">
        <v>284097167.47912425</v>
      </c>
      <c r="AS136" s="108">
        <v>318388497.94456506</v>
      </c>
      <c r="AT136" s="108">
        <v>360870420.90087169</v>
      </c>
      <c r="AU136" s="108">
        <v>406097040.97964758</v>
      </c>
      <c r="AV136" s="108">
        <v>429334080.28634101</v>
      </c>
    </row>
    <row r="137" spans="1:48" x14ac:dyDescent="0.35">
      <c r="A137" s="107">
        <f xml:space="preserve"> ROW( slrImpacts[[#This Row],[row_id]] ) - ROW( slrImpacts[[#Headers],[row_id]] )</f>
        <v>136</v>
      </c>
      <c r="B137" s="104">
        <v>2034</v>
      </c>
      <c r="C137" s="104" t="s">
        <v>86</v>
      </c>
      <c r="D137" s="104" t="s">
        <v>88</v>
      </c>
      <c r="E137" s="104" t="s">
        <v>922</v>
      </c>
      <c r="F137" s="104"/>
      <c r="G137" s="105">
        <v>0</v>
      </c>
      <c r="H137" s="105">
        <v>0</v>
      </c>
      <c r="I137" s="105">
        <v>0</v>
      </c>
      <c r="J137" s="105">
        <v>0</v>
      </c>
      <c r="K137" s="105">
        <v>0</v>
      </c>
      <c r="L137" s="105">
        <v>0</v>
      </c>
      <c r="M137" s="106">
        <v>871030372.02708972</v>
      </c>
      <c r="N137" s="106">
        <v>913233390.62378263</v>
      </c>
      <c r="O137" s="106">
        <v>1028041527.924845</v>
      </c>
      <c r="P137" s="106">
        <v>1141663055.8122339</v>
      </c>
      <c r="Q137" s="106">
        <v>1272961085.4342103</v>
      </c>
      <c r="R137" s="106">
        <v>1355995866.7526503</v>
      </c>
      <c r="S137" s="105">
        <v>0</v>
      </c>
      <c r="T137" s="105">
        <v>0</v>
      </c>
      <c r="U137" s="105">
        <v>0</v>
      </c>
      <c r="V137" s="105">
        <v>0</v>
      </c>
      <c r="W137" s="105">
        <v>0</v>
      </c>
      <c r="X137" s="105">
        <v>0</v>
      </c>
      <c r="Y137" s="106">
        <v>96539563.29401423</v>
      </c>
      <c r="Z137" s="106">
        <v>99423896.11429593</v>
      </c>
      <c r="AA137" s="106">
        <v>108189035.92729902</v>
      </c>
      <c r="AB137" s="108">
        <v>119258690.93891992</v>
      </c>
      <c r="AC137" s="108">
        <v>133890977.00485848</v>
      </c>
      <c r="AD137" s="108">
        <v>143614403.8069613</v>
      </c>
      <c r="AE137" s="108">
        <v>2398472833.0347466</v>
      </c>
      <c r="AF137" s="108">
        <v>2556667554.5710835</v>
      </c>
      <c r="AG137" s="108">
        <v>2918266615.0699391</v>
      </c>
      <c r="AH137" s="108">
        <v>3326071873.331172</v>
      </c>
      <c r="AI137" s="108">
        <v>3642191742.9027801</v>
      </c>
      <c r="AJ137" s="108">
        <v>3871567005.0748215</v>
      </c>
      <c r="AK137" s="108">
        <v>154466510.34542328</v>
      </c>
      <c r="AL137" s="108">
        <v>170005517.39376613</v>
      </c>
      <c r="AM137" s="108">
        <v>207589117.55879936</v>
      </c>
      <c r="AN137" s="108">
        <v>252230592.80610761</v>
      </c>
      <c r="AO137" s="108">
        <v>309022375.53917843</v>
      </c>
      <c r="AP137" s="108">
        <v>346844003.38204008</v>
      </c>
      <c r="AQ137" s="108">
        <v>264617713.06724983</v>
      </c>
      <c r="AR137" s="108">
        <v>289545402.17375255</v>
      </c>
      <c r="AS137" s="108">
        <v>324218273.46833766</v>
      </c>
      <c r="AT137" s="108">
        <v>367304639.45877934</v>
      </c>
      <c r="AU137" s="108">
        <v>414614304.98738718</v>
      </c>
      <c r="AV137" s="108">
        <v>439394103.72960192</v>
      </c>
    </row>
    <row r="138" spans="1:48" x14ac:dyDescent="0.35">
      <c r="A138" s="107">
        <f xml:space="preserve"> ROW( slrImpacts[[#This Row],[row_id]] ) - ROW( slrImpacts[[#Headers],[row_id]] )</f>
        <v>137</v>
      </c>
      <c r="B138" s="104">
        <v>2035</v>
      </c>
      <c r="C138" s="104" t="s">
        <v>86</v>
      </c>
      <c r="D138" s="104" t="s">
        <v>88</v>
      </c>
      <c r="E138" s="104" t="s">
        <v>922</v>
      </c>
      <c r="F138" s="104"/>
      <c r="G138" s="105">
        <v>0</v>
      </c>
      <c r="H138" s="105">
        <v>0</v>
      </c>
      <c r="I138" s="105">
        <v>0</v>
      </c>
      <c r="J138" s="105">
        <v>0</v>
      </c>
      <c r="K138" s="105">
        <v>0</v>
      </c>
      <c r="L138" s="105">
        <v>0</v>
      </c>
      <c r="M138" s="106">
        <v>881587913.17154372</v>
      </c>
      <c r="N138" s="106">
        <v>926437050.55625021</v>
      </c>
      <c r="O138" s="106">
        <v>1050886729.4027084</v>
      </c>
      <c r="P138" s="106">
        <v>1176106319.2138317</v>
      </c>
      <c r="Q138" s="106">
        <v>1320354627.1457965</v>
      </c>
      <c r="R138" s="106">
        <v>1414643469.8001914</v>
      </c>
      <c r="S138" s="105">
        <v>0</v>
      </c>
      <c r="T138" s="105">
        <v>0</v>
      </c>
      <c r="U138" s="105">
        <v>0</v>
      </c>
      <c r="V138" s="105">
        <v>0</v>
      </c>
      <c r="W138" s="105">
        <v>0</v>
      </c>
      <c r="X138" s="105">
        <v>0</v>
      </c>
      <c r="Y138" s="106">
        <v>97007556.281714171</v>
      </c>
      <c r="Z138" s="106">
        <v>100129841.34681727</v>
      </c>
      <c r="AA138" s="106">
        <v>109872037.7983778</v>
      </c>
      <c r="AB138" s="108">
        <v>122012127.13685198</v>
      </c>
      <c r="AC138" s="108">
        <v>137978292.82323283</v>
      </c>
      <c r="AD138" s="108">
        <v>148590946.96084535</v>
      </c>
      <c r="AE138" s="108">
        <v>2437436661.6604319</v>
      </c>
      <c r="AF138" s="108">
        <v>2594230347.0776768</v>
      </c>
      <c r="AG138" s="108">
        <v>2980742589.5151067</v>
      </c>
      <c r="AH138" s="108">
        <v>3401347832.1970286</v>
      </c>
      <c r="AI138" s="108">
        <v>3933520225.7024059</v>
      </c>
      <c r="AJ138" s="108">
        <v>4357569832.5347719</v>
      </c>
      <c r="AK138" s="108">
        <v>157546543.36710614</v>
      </c>
      <c r="AL138" s="108">
        <v>174281731.3325741</v>
      </c>
      <c r="AM138" s="108">
        <v>215642406.87890327</v>
      </c>
      <c r="AN138" s="108">
        <v>265205291.38119748</v>
      </c>
      <c r="AO138" s="108">
        <v>326136131.02716482</v>
      </c>
      <c r="AP138" s="108">
        <v>373655270.83188206</v>
      </c>
      <c r="AQ138" s="108">
        <v>270863664.02346206</v>
      </c>
      <c r="AR138" s="108">
        <v>296413677.72474623</v>
      </c>
      <c r="AS138" s="108">
        <v>333594705.15536946</v>
      </c>
      <c r="AT138" s="108">
        <v>378373728.37634945</v>
      </c>
      <c r="AU138" s="108">
        <v>426713183.93747169</v>
      </c>
      <c r="AV138" s="108">
        <v>453619102.46245807</v>
      </c>
    </row>
    <row r="139" spans="1:48" x14ac:dyDescent="0.35">
      <c r="A139" s="107">
        <f xml:space="preserve"> ROW( slrImpacts[[#This Row],[row_id]] ) - ROW( slrImpacts[[#Headers],[row_id]] )</f>
        <v>138</v>
      </c>
      <c r="B139" s="104">
        <v>2036</v>
      </c>
      <c r="C139" s="104" t="s">
        <v>86</v>
      </c>
      <c r="D139" s="104" t="s">
        <v>88</v>
      </c>
      <c r="E139" s="104" t="s">
        <v>922</v>
      </c>
      <c r="F139" s="104"/>
      <c r="G139" s="105">
        <v>0</v>
      </c>
      <c r="H139" s="105">
        <v>0</v>
      </c>
      <c r="I139" s="105">
        <v>0</v>
      </c>
      <c r="J139" s="105">
        <v>0</v>
      </c>
      <c r="K139" s="105">
        <v>0</v>
      </c>
      <c r="L139" s="105">
        <v>0</v>
      </c>
      <c r="M139" s="106">
        <v>886854938.05845714</v>
      </c>
      <c r="N139" s="106">
        <v>933184950.53379703</v>
      </c>
      <c r="O139" s="106">
        <v>1063774928.9226931</v>
      </c>
      <c r="P139" s="106">
        <v>1197806054.8276742</v>
      </c>
      <c r="Q139" s="106">
        <v>1349957703.3783257</v>
      </c>
      <c r="R139" s="106">
        <v>1450605162.5024185</v>
      </c>
      <c r="S139" s="105">
        <v>0</v>
      </c>
      <c r="T139" s="105">
        <v>0</v>
      </c>
      <c r="U139" s="105">
        <v>0</v>
      </c>
      <c r="V139" s="105">
        <v>0</v>
      </c>
      <c r="W139" s="105">
        <v>0</v>
      </c>
      <c r="X139" s="105">
        <v>0</v>
      </c>
      <c r="Y139" s="106">
        <v>97217306.39944087</v>
      </c>
      <c r="Z139" s="106">
        <v>100574603.50004819</v>
      </c>
      <c r="AA139" s="106">
        <v>110843681.93123247</v>
      </c>
      <c r="AB139" s="108">
        <v>123590146.85509253</v>
      </c>
      <c r="AC139" s="108">
        <v>140108367.81491575</v>
      </c>
      <c r="AD139" s="108">
        <v>151344696.09679163</v>
      </c>
      <c r="AE139" s="108">
        <v>2456388056.9445233</v>
      </c>
      <c r="AF139" s="108">
        <v>2611294779.6834774</v>
      </c>
      <c r="AG139" s="108">
        <v>3024854715.5650568</v>
      </c>
      <c r="AH139" s="108">
        <v>3450986676.5631537</v>
      </c>
      <c r="AI139" s="108">
        <v>4196399862.3290381</v>
      </c>
      <c r="AJ139" s="108">
        <v>4808396244.8344364</v>
      </c>
      <c r="AK139" s="108">
        <v>159183425.33836854</v>
      </c>
      <c r="AL139" s="108">
        <v>176675951.50857627</v>
      </c>
      <c r="AM139" s="108">
        <v>220329412.94168803</v>
      </c>
      <c r="AN139" s="108">
        <v>272808110.07281071</v>
      </c>
      <c r="AO139" s="108">
        <v>335161030.59463781</v>
      </c>
      <c r="AP139" s="108">
        <v>390819687.08000374</v>
      </c>
      <c r="AQ139" s="108">
        <v>273762635.33028007</v>
      </c>
      <c r="AR139" s="108">
        <v>299314932.21680456</v>
      </c>
      <c r="AS139" s="108">
        <v>339935815.90967828</v>
      </c>
      <c r="AT139" s="108">
        <v>386106276.73701948</v>
      </c>
      <c r="AU139" s="108">
        <v>434057823.21202695</v>
      </c>
      <c r="AV139" s="108">
        <v>462306251.34084845</v>
      </c>
    </row>
    <row r="140" spans="1:48" x14ac:dyDescent="0.35">
      <c r="A140" s="107">
        <f xml:space="preserve"> ROW( slrImpacts[[#This Row],[row_id]] ) - ROW( slrImpacts[[#Headers],[row_id]] )</f>
        <v>139</v>
      </c>
      <c r="B140" s="104">
        <v>2037</v>
      </c>
      <c r="C140" s="104" t="s">
        <v>86</v>
      </c>
      <c r="D140" s="104" t="s">
        <v>88</v>
      </c>
      <c r="E140" s="104" t="s">
        <v>922</v>
      </c>
      <c r="F140" s="104"/>
      <c r="G140" s="105">
        <v>0</v>
      </c>
      <c r="H140" s="105">
        <v>0</v>
      </c>
      <c r="I140" s="105">
        <v>0</v>
      </c>
      <c r="J140" s="105">
        <v>0</v>
      </c>
      <c r="K140" s="105">
        <v>0</v>
      </c>
      <c r="L140" s="105">
        <v>0</v>
      </c>
      <c r="M140" s="106">
        <v>892121962.94537151</v>
      </c>
      <c r="N140" s="106">
        <v>939932850.51134372</v>
      </c>
      <c r="O140" s="106">
        <v>1076663128.4426775</v>
      </c>
      <c r="P140" s="106">
        <v>1219505790.4415157</v>
      </c>
      <c r="Q140" s="106">
        <v>1379560779.6108563</v>
      </c>
      <c r="R140" s="106">
        <v>1486566855.2046449</v>
      </c>
      <c r="S140" s="105">
        <v>0</v>
      </c>
      <c r="T140" s="105">
        <v>0</v>
      </c>
      <c r="U140" s="105">
        <v>0</v>
      </c>
      <c r="V140" s="105">
        <v>0</v>
      </c>
      <c r="W140" s="105">
        <v>0</v>
      </c>
      <c r="X140" s="105">
        <v>0</v>
      </c>
      <c r="Y140" s="106">
        <v>97427056.517167628</v>
      </c>
      <c r="Z140" s="106">
        <v>101019365.6532791</v>
      </c>
      <c r="AA140" s="106">
        <v>111815326.06408717</v>
      </c>
      <c r="AB140" s="108">
        <v>125168166.57333308</v>
      </c>
      <c r="AC140" s="108">
        <v>142238442.80659869</v>
      </c>
      <c r="AD140" s="108">
        <v>154098445.2327379</v>
      </c>
      <c r="AE140" s="108">
        <v>2475339452.2286158</v>
      </c>
      <c r="AF140" s="108">
        <v>2628359212.2892766</v>
      </c>
      <c r="AG140" s="108">
        <v>3068966841.6150079</v>
      </c>
      <c r="AH140" s="108">
        <v>3500625520.9292798</v>
      </c>
      <c r="AI140" s="108">
        <v>4459279498.9556713</v>
      </c>
      <c r="AJ140" s="108">
        <v>5259222657.1341028</v>
      </c>
      <c r="AK140" s="108">
        <v>160820307.3096309</v>
      </c>
      <c r="AL140" s="108">
        <v>179070171.68457839</v>
      </c>
      <c r="AM140" s="108">
        <v>225016419.00447276</v>
      </c>
      <c r="AN140" s="108">
        <v>280410928.76442409</v>
      </c>
      <c r="AO140" s="108">
        <v>344185930.16211087</v>
      </c>
      <c r="AP140" s="108">
        <v>407984103.3281256</v>
      </c>
      <c r="AQ140" s="108">
        <v>276661606.63709801</v>
      </c>
      <c r="AR140" s="108">
        <v>302216186.70886272</v>
      </c>
      <c r="AS140" s="108">
        <v>346276926.66398698</v>
      </c>
      <c r="AT140" s="108">
        <v>393838825.09768957</v>
      </c>
      <c r="AU140" s="108">
        <v>441402462.48658204</v>
      </c>
      <c r="AV140" s="108">
        <v>470993400.2192387</v>
      </c>
    </row>
    <row r="141" spans="1:48" x14ac:dyDescent="0.35">
      <c r="A141" s="107">
        <f xml:space="preserve"> ROW( slrImpacts[[#This Row],[row_id]] ) - ROW( slrImpacts[[#Headers],[row_id]] )</f>
        <v>140</v>
      </c>
      <c r="B141" s="104">
        <v>2038</v>
      </c>
      <c r="C141" s="104" t="s">
        <v>86</v>
      </c>
      <c r="D141" s="104" t="s">
        <v>88</v>
      </c>
      <c r="E141" s="104" t="s">
        <v>922</v>
      </c>
      <c r="F141" s="104"/>
      <c r="G141" s="105">
        <v>0</v>
      </c>
      <c r="H141" s="105">
        <v>0</v>
      </c>
      <c r="I141" s="105">
        <v>0</v>
      </c>
      <c r="J141" s="105">
        <v>0</v>
      </c>
      <c r="K141" s="105">
        <v>0</v>
      </c>
      <c r="L141" s="105">
        <v>0</v>
      </c>
      <c r="M141" s="106">
        <v>897388987.83228576</v>
      </c>
      <c r="N141" s="106">
        <v>946680750.48888993</v>
      </c>
      <c r="O141" s="106">
        <v>1089551327.9626622</v>
      </c>
      <c r="P141" s="106">
        <v>1241205526.0553582</v>
      </c>
      <c r="Q141" s="106">
        <v>1409163855.843385</v>
      </c>
      <c r="R141" s="106">
        <v>1522528547.9068718</v>
      </c>
      <c r="S141" s="105">
        <v>0</v>
      </c>
      <c r="T141" s="105">
        <v>0</v>
      </c>
      <c r="U141" s="105">
        <v>0</v>
      </c>
      <c r="V141" s="105">
        <v>0</v>
      </c>
      <c r="W141" s="105">
        <v>0</v>
      </c>
      <c r="X141" s="105">
        <v>0</v>
      </c>
      <c r="Y141" s="106">
        <v>97636806.634894326</v>
      </c>
      <c r="Z141" s="106">
        <v>101464127.80651005</v>
      </c>
      <c r="AA141" s="106">
        <v>112786970.19694182</v>
      </c>
      <c r="AB141" s="108">
        <v>126746186.2915736</v>
      </c>
      <c r="AC141" s="108">
        <v>144368517.79828167</v>
      </c>
      <c r="AD141" s="108">
        <v>156852194.36868411</v>
      </c>
      <c r="AE141" s="108">
        <v>2494290847.5127068</v>
      </c>
      <c r="AF141" s="108">
        <v>2645423644.8950777</v>
      </c>
      <c r="AG141" s="108">
        <v>3113078967.6649585</v>
      </c>
      <c r="AH141" s="108">
        <v>3550264365.2954078</v>
      </c>
      <c r="AI141" s="108">
        <v>4722159135.5823107</v>
      </c>
      <c r="AJ141" s="108">
        <v>5710049069.4337702</v>
      </c>
      <c r="AK141" s="108">
        <v>162457189.28089333</v>
      </c>
      <c r="AL141" s="108">
        <v>181464391.86058047</v>
      </c>
      <c r="AM141" s="108">
        <v>229703425.06725758</v>
      </c>
      <c r="AN141" s="108">
        <v>288013747.45603728</v>
      </c>
      <c r="AO141" s="108">
        <v>353210829.72958392</v>
      </c>
      <c r="AP141" s="108">
        <v>425148519.57624733</v>
      </c>
      <c r="AQ141" s="108">
        <v>279560577.94391596</v>
      </c>
      <c r="AR141" s="108">
        <v>305117441.20092106</v>
      </c>
      <c r="AS141" s="108">
        <v>352618037.4182958</v>
      </c>
      <c r="AT141" s="108">
        <v>401571373.45835942</v>
      </c>
      <c r="AU141" s="108">
        <v>448747101.76113707</v>
      </c>
      <c r="AV141" s="108">
        <v>479680549.09762895</v>
      </c>
    </row>
    <row r="142" spans="1:48" x14ac:dyDescent="0.35">
      <c r="A142" s="107">
        <f xml:space="preserve"> ROW( slrImpacts[[#This Row],[row_id]] ) - ROW( slrImpacts[[#Headers],[row_id]] )</f>
        <v>141</v>
      </c>
      <c r="B142" s="104">
        <v>2039</v>
      </c>
      <c r="C142" s="104" t="s">
        <v>86</v>
      </c>
      <c r="D142" s="104" t="s">
        <v>88</v>
      </c>
      <c r="E142" s="104" t="s">
        <v>922</v>
      </c>
      <c r="F142" s="104"/>
      <c r="G142" s="105">
        <v>0</v>
      </c>
      <c r="H142" s="105">
        <v>0</v>
      </c>
      <c r="I142" s="105">
        <v>0</v>
      </c>
      <c r="J142" s="105">
        <v>0</v>
      </c>
      <c r="K142" s="105">
        <v>0</v>
      </c>
      <c r="L142" s="105">
        <v>0</v>
      </c>
      <c r="M142" s="106">
        <v>902656012.71919906</v>
      </c>
      <c r="N142" s="106">
        <v>953428650.46643627</v>
      </c>
      <c r="O142" s="106">
        <v>1102439527.4826467</v>
      </c>
      <c r="P142" s="106">
        <v>1262905261.6691999</v>
      </c>
      <c r="Q142" s="106">
        <v>1438766932.0759146</v>
      </c>
      <c r="R142" s="106">
        <v>1558490240.6090996</v>
      </c>
      <c r="S142" s="105">
        <v>0</v>
      </c>
      <c r="T142" s="105">
        <v>0</v>
      </c>
      <c r="U142" s="105">
        <v>0</v>
      </c>
      <c r="V142" s="105">
        <v>0</v>
      </c>
      <c r="W142" s="105">
        <v>0</v>
      </c>
      <c r="X142" s="105">
        <v>0</v>
      </c>
      <c r="Y142" s="106">
        <v>97846556.752621099</v>
      </c>
      <c r="Z142" s="106">
        <v>101908889.95974098</v>
      </c>
      <c r="AA142" s="106">
        <v>113758614.32979654</v>
      </c>
      <c r="AB142" s="108">
        <v>128324206.00981417</v>
      </c>
      <c r="AC142" s="108">
        <v>146498592.78996453</v>
      </c>
      <c r="AD142" s="108">
        <v>159605943.50463048</v>
      </c>
      <c r="AE142" s="108">
        <v>2513242242.7968006</v>
      </c>
      <c r="AF142" s="108">
        <v>2662488077.5008779</v>
      </c>
      <c r="AG142" s="108">
        <v>3157191093.7149115</v>
      </c>
      <c r="AH142" s="108">
        <v>3599903209.661531</v>
      </c>
      <c r="AI142" s="108">
        <v>4985038772.2089434</v>
      </c>
      <c r="AJ142" s="108">
        <v>6160875481.7334347</v>
      </c>
      <c r="AK142" s="108">
        <v>164094071.25215563</v>
      </c>
      <c r="AL142" s="108">
        <v>183858612.03658265</v>
      </c>
      <c r="AM142" s="108">
        <v>234390431.13004231</v>
      </c>
      <c r="AN142" s="108">
        <v>295616566.14765054</v>
      </c>
      <c r="AO142" s="108">
        <v>362235729.29705691</v>
      </c>
      <c r="AP142" s="108">
        <v>442312935.82436895</v>
      </c>
      <c r="AQ142" s="108">
        <v>282459549.25073379</v>
      </c>
      <c r="AR142" s="108">
        <v>308018695.69297934</v>
      </c>
      <c r="AS142" s="108">
        <v>358959148.17260462</v>
      </c>
      <c r="AT142" s="108">
        <v>409303921.81902945</v>
      </c>
      <c r="AU142" s="108">
        <v>456091741.03569227</v>
      </c>
      <c r="AV142" s="108">
        <v>488367697.9760192</v>
      </c>
    </row>
    <row r="143" spans="1:48" x14ac:dyDescent="0.35">
      <c r="A143" s="107">
        <f xml:space="preserve"> ROW( slrImpacts[[#This Row],[row_id]] ) - ROW( slrImpacts[[#Headers],[row_id]] )</f>
        <v>142</v>
      </c>
      <c r="B143" s="104">
        <v>2040</v>
      </c>
      <c r="C143" s="104" t="s">
        <v>86</v>
      </c>
      <c r="D143" s="104" t="s">
        <v>88</v>
      </c>
      <c r="E143" s="104" t="s">
        <v>922</v>
      </c>
      <c r="F143" s="104"/>
      <c r="G143" s="105">
        <v>0</v>
      </c>
      <c r="H143" s="105">
        <v>0</v>
      </c>
      <c r="I143" s="105">
        <v>0</v>
      </c>
      <c r="J143" s="105">
        <v>0</v>
      </c>
      <c r="K143" s="105">
        <v>0</v>
      </c>
      <c r="L143" s="105">
        <v>0</v>
      </c>
      <c r="M143" s="106">
        <v>908180450.28507042</v>
      </c>
      <c r="N143" s="106">
        <v>960536491.90184689</v>
      </c>
      <c r="O143" s="106">
        <v>1116603883.0805109</v>
      </c>
      <c r="P143" s="106">
        <v>1286252002.1356907</v>
      </c>
      <c r="Q143" s="106">
        <v>1470658363.395103</v>
      </c>
      <c r="R143" s="106">
        <v>1597019515.7107534</v>
      </c>
      <c r="S143" s="105">
        <v>0</v>
      </c>
      <c r="T143" s="105">
        <v>0</v>
      </c>
      <c r="U143" s="105">
        <v>0</v>
      </c>
      <c r="V143" s="105">
        <v>0</v>
      </c>
      <c r="W143" s="105">
        <v>0</v>
      </c>
      <c r="X143" s="105">
        <v>0</v>
      </c>
      <c r="Y143" s="106">
        <v>98062851.260490775</v>
      </c>
      <c r="Z143" s="106">
        <v>102355833.57635285</v>
      </c>
      <c r="AA143" s="106">
        <v>114760798.94998515</v>
      </c>
      <c r="AB143" s="108">
        <v>129974214.01962744</v>
      </c>
      <c r="AC143" s="108">
        <v>148807547.77888876</v>
      </c>
      <c r="AD143" s="108">
        <v>162586564.83219984</v>
      </c>
      <c r="AE143" s="108">
        <v>2539778586.2565989</v>
      </c>
      <c r="AF143" s="108">
        <v>2698007690.3098645</v>
      </c>
      <c r="AG143" s="108">
        <v>3221396678.9671731</v>
      </c>
      <c r="AH143" s="108">
        <v>3670885491.7472754</v>
      </c>
      <c r="AI143" s="108">
        <v>5273729483.5594645</v>
      </c>
      <c r="AJ143" s="108">
        <v>6637166116.0794067</v>
      </c>
      <c r="AK143" s="108">
        <v>165829119.07556263</v>
      </c>
      <c r="AL143" s="108">
        <v>186390264.40558717</v>
      </c>
      <c r="AM143" s="108">
        <v>239345757.18868899</v>
      </c>
      <c r="AN143" s="108">
        <v>303793109.70846444</v>
      </c>
      <c r="AO143" s="108">
        <v>371939063.97601831</v>
      </c>
      <c r="AP143" s="108">
        <v>460059802.79521549</v>
      </c>
      <c r="AQ143" s="108">
        <v>287500717.59768504</v>
      </c>
      <c r="AR143" s="108">
        <v>312878904.30116785</v>
      </c>
      <c r="AS143" s="108">
        <v>367854752.54605407</v>
      </c>
      <c r="AT143" s="108">
        <v>420738413.53724152</v>
      </c>
      <c r="AU143" s="108">
        <v>468071989.99485368</v>
      </c>
      <c r="AV143" s="108">
        <v>501960957.99825871</v>
      </c>
    </row>
    <row r="144" spans="1:48" x14ac:dyDescent="0.35">
      <c r="A144" s="107">
        <f xml:space="preserve"> ROW( slrImpacts[[#This Row],[row_id]] ) - ROW( slrImpacts[[#Headers],[row_id]] )</f>
        <v>143</v>
      </c>
      <c r="B144" s="104">
        <v>2041</v>
      </c>
      <c r="C144" s="104" t="s">
        <v>86</v>
      </c>
      <c r="D144" s="104" t="s">
        <v>88</v>
      </c>
      <c r="E144" s="104" t="s">
        <v>922</v>
      </c>
      <c r="F144" s="104"/>
      <c r="G144" s="105">
        <v>0</v>
      </c>
      <c r="H144" s="105">
        <v>0</v>
      </c>
      <c r="I144" s="105">
        <v>0</v>
      </c>
      <c r="J144" s="105">
        <v>0</v>
      </c>
      <c r="K144" s="105">
        <v>0</v>
      </c>
      <c r="L144" s="105">
        <v>0</v>
      </c>
      <c r="M144" s="106">
        <v>913602359.07203484</v>
      </c>
      <c r="N144" s="106">
        <v>967402190.90196657</v>
      </c>
      <c r="O144" s="106">
        <v>1130185787.9556508</v>
      </c>
      <c r="P144" s="106">
        <v>1308145887.9904416</v>
      </c>
      <c r="Q144" s="106">
        <v>1500564663.0375912</v>
      </c>
      <c r="R144" s="106">
        <v>1633352057.1877496</v>
      </c>
      <c r="S144" s="105">
        <v>0</v>
      </c>
      <c r="T144" s="105">
        <v>0</v>
      </c>
      <c r="U144" s="105">
        <v>0</v>
      </c>
      <c r="V144" s="105">
        <v>0</v>
      </c>
      <c r="W144" s="105">
        <v>0</v>
      </c>
      <c r="X144" s="105">
        <v>0</v>
      </c>
      <c r="Y144" s="106">
        <v>98279145.768360466</v>
      </c>
      <c r="Z144" s="106">
        <v>102796232.80282179</v>
      </c>
      <c r="AA144" s="106">
        <v>115741168.93636377</v>
      </c>
      <c r="AB144" s="108">
        <v>131580592.76182085</v>
      </c>
      <c r="AC144" s="108">
        <v>151029244.23257336</v>
      </c>
      <c r="AD144" s="108">
        <v>165466838.84424356</v>
      </c>
      <c r="AE144" s="108">
        <v>2562431924.8982348</v>
      </c>
      <c r="AF144" s="108">
        <v>2726915287.6110649</v>
      </c>
      <c r="AG144" s="108">
        <v>3260975724.1114244</v>
      </c>
      <c r="AH144" s="108">
        <v>3717749514.692781</v>
      </c>
      <c r="AI144" s="108">
        <v>5532542872.4439325</v>
      </c>
      <c r="AJ144" s="108">
        <v>7084779232.8188753</v>
      </c>
      <c r="AK144" s="108">
        <v>167513993.24120671</v>
      </c>
      <c r="AL144" s="108">
        <v>188806299.21539927</v>
      </c>
      <c r="AM144" s="108">
        <v>244096025.68952239</v>
      </c>
      <c r="AN144" s="108">
        <v>311672974.24946362</v>
      </c>
      <c r="AO144" s="108">
        <v>381138480.61397058</v>
      </c>
      <c r="AP144" s="108">
        <v>477128234.65457356</v>
      </c>
      <c r="AQ144" s="108">
        <v>291675844.98238295</v>
      </c>
      <c r="AR144" s="108">
        <v>316257899.27366322</v>
      </c>
      <c r="AS144" s="108">
        <v>373955902.32845378</v>
      </c>
      <c r="AT144" s="108">
        <v>429075227.25444621</v>
      </c>
      <c r="AU144" s="108">
        <v>476289214.62180537</v>
      </c>
      <c r="AV144" s="108">
        <v>511032044.43170345</v>
      </c>
    </row>
    <row r="145" spans="1:48" x14ac:dyDescent="0.35">
      <c r="A145" s="107">
        <f xml:space="preserve"> ROW( slrImpacts[[#This Row],[row_id]] ) - ROW( slrImpacts[[#Headers],[row_id]] )</f>
        <v>144</v>
      </c>
      <c r="B145" s="104">
        <v>2042</v>
      </c>
      <c r="C145" s="104" t="s">
        <v>86</v>
      </c>
      <c r="D145" s="104" t="s">
        <v>88</v>
      </c>
      <c r="E145" s="104" t="s">
        <v>922</v>
      </c>
      <c r="F145" s="104"/>
      <c r="G145" s="105">
        <v>0</v>
      </c>
      <c r="H145" s="105">
        <v>0</v>
      </c>
      <c r="I145" s="105">
        <v>0</v>
      </c>
      <c r="J145" s="105">
        <v>0</v>
      </c>
      <c r="K145" s="105">
        <v>0</v>
      </c>
      <c r="L145" s="105">
        <v>0</v>
      </c>
      <c r="M145" s="106">
        <v>919024267.85899842</v>
      </c>
      <c r="N145" s="106">
        <v>974267889.90208709</v>
      </c>
      <c r="O145" s="106">
        <v>1143767692.8307903</v>
      </c>
      <c r="P145" s="106">
        <v>1330039773.8451917</v>
      </c>
      <c r="Q145" s="106">
        <v>1530470962.6800783</v>
      </c>
      <c r="R145" s="106">
        <v>1669684598.6647449</v>
      </c>
      <c r="S145" s="105">
        <v>0</v>
      </c>
      <c r="T145" s="105">
        <v>0</v>
      </c>
      <c r="U145" s="105">
        <v>0</v>
      </c>
      <c r="V145" s="105">
        <v>0</v>
      </c>
      <c r="W145" s="105">
        <v>0</v>
      </c>
      <c r="X145" s="105">
        <v>0</v>
      </c>
      <c r="Y145" s="106">
        <v>98495440.276230201</v>
      </c>
      <c r="Z145" s="106">
        <v>103236632.02929068</v>
      </c>
      <c r="AA145" s="106">
        <v>116721538.92274244</v>
      </c>
      <c r="AB145" s="108">
        <v>133186971.50401425</v>
      </c>
      <c r="AC145" s="108">
        <v>153250940.68625793</v>
      </c>
      <c r="AD145" s="108">
        <v>168347112.8562873</v>
      </c>
      <c r="AE145" s="108">
        <v>2585085263.5398693</v>
      </c>
      <c r="AF145" s="108">
        <v>2755822884.9122653</v>
      </c>
      <c r="AG145" s="108">
        <v>3300554769.2556744</v>
      </c>
      <c r="AH145" s="108">
        <v>3764613537.6382833</v>
      </c>
      <c r="AI145" s="108">
        <v>5791356261.3284025</v>
      </c>
      <c r="AJ145" s="108">
        <v>7532392349.558342</v>
      </c>
      <c r="AK145" s="108">
        <v>169198867.40685096</v>
      </c>
      <c r="AL145" s="108">
        <v>191222334.02521122</v>
      </c>
      <c r="AM145" s="108">
        <v>248846294.19035608</v>
      </c>
      <c r="AN145" s="108">
        <v>319552838.79046297</v>
      </c>
      <c r="AO145" s="108">
        <v>390337897.25192297</v>
      </c>
      <c r="AP145" s="108">
        <v>494196666.51393169</v>
      </c>
      <c r="AQ145" s="108">
        <v>295850972.36708081</v>
      </c>
      <c r="AR145" s="108">
        <v>319636894.2461586</v>
      </c>
      <c r="AS145" s="108">
        <v>380057052.11085343</v>
      </c>
      <c r="AT145" s="108">
        <v>437412040.97165072</v>
      </c>
      <c r="AU145" s="108">
        <v>484506439.24875683</v>
      </c>
      <c r="AV145" s="108">
        <v>520103130.86514807</v>
      </c>
    </row>
    <row r="146" spans="1:48" x14ac:dyDescent="0.35">
      <c r="A146" s="107">
        <f xml:space="preserve"> ROW( slrImpacts[[#This Row],[row_id]] ) - ROW( slrImpacts[[#Headers],[row_id]] )</f>
        <v>145</v>
      </c>
      <c r="B146" s="104">
        <v>2043</v>
      </c>
      <c r="C146" s="104" t="s">
        <v>86</v>
      </c>
      <c r="D146" s="104" t="s">
        <v>88</v>
      </c>
      <c r="E146" s="104" t="s">
        <v>922</v>
      </c>
      <c r="F146" s="104"/>
      <c r="G146" s="105">
        <v>0</v>
      </c>
      <c r="H146" s="105">
        <v>0</v>
      </c>
      <c r="I146" s="105">
        <v>0</v>
      </c>
      <c r="J146" s="105">
        <v>0</v>
      </c>
      <c r="K146" s="105">
        <v>0</v>
      </c>
      <c r="L146" s="105">
        <v>0</v>
      </c>
      <c r="M146" s="106">
        <v>924446176.64596307</v>
      </c>
      <c r="N146" s="106">
        <v>981133588.90220773</v>
      </c>
      <c r="O146" s="106">
        <v>1157349597.70593</v>
      </c>
      <c r="P146" s="106">
        <v>1351933659.6999416</v>
      </c>
      <c r="Q146" s="106">
        <v>1560377262.3225646</v>
      </c>
      <c r="R146" s="106">
        <v>1706017140.1417401</v>
      </c>
      <c r="S146" s="105">
        <v>0</v>
      </c>
      <c r="T146" s="105">
        <v>0</v>
      </c>
      <c r="U146" s="105">
        <v>0</v>
      </c>
      <c r="V146" s="105">
        <v>0</v>
      </c>
      <c r="W146" s="105">
        <v>0</v>
      </c>
      <c r="X146" s="105">
        <v>0</v>
      </c>
      <c r="Y146" s="106">
        <v>98711734.784099892</v>
      </c>
      <c r="Z146" s="106">
        <v>103677031.25575966</v>
      </c>
      <c r="AA146" s="106">
        <v>117701908.90912108</v>
      </c>
      <c r="AB146" s="108">
        <v>134793350.24620771</v>
      </c>
      <c r="AC146" s="108">
        <v>155472637.1399425</v>
      </c>
      <c r="AD146" s="108">
        <v>171227386.86833104</v>
      </c>
      <c r="AE146" s="108">
        <v>2607738602.1815028</v>
      </c>
      <c r="AF146" s="108">
        <v>2784730482.2134686</v>
      </c>
      <c r="AG146" s="108">
        <v>3340133814.3999257</v>
      </c>
      <c r="AH146" s="108">
        <v>3811477560.5837898</v>
      </c>
      <c r="AI146" s="108">
        <v>6050169650.2128668</v>
      </c>
      <c r="AJ146" s="108">
        <v>7980005466.2978067</v>
      </c>
      <c r="AK146" s="108">
        <v>170883741.5724951</v>
      </c>
      <c r="AL146" s="108">
        <v>193638368.83502331</v>
      </c>
      <c r="AM146" s="108">
        <v>253596562.69118953</v>
      </c>
      <c r="AN146" s="108">
        <v>327432703.33146191</v>
      </c>
      <c r="AO146" s="108">
        <v>399537313.88987523</v>
      </c>
      <c r="AP146" s="108">
        <v>511265098.37328982</v>
      </c>
      <c r="AQ146" s="108">
        <v>300026099.75177854</v>
      </c>
      <c r="AR146" s="108">
        <v>323015889.21865404</v>
      </c>
      <c r="AS146" s="108">
        <v>386158201.89325333</v>
      </c>
      <c r="AT146" s="108">
        <v>445748854.68885517</v>
      </c>
      <c r="AU146" s="108">
        <v>492723663.87570846</v>
      </c>
      <c r="AV146" s="108">
        <v>529174217.29859287</v>
      </c>
    </row>
    <row r="147" spans="1:48" x14ac:dyDescent="0.35">
      <c r="A147" s="107">
        <f xml:space="preserve"> ROW( slrImpacts[[#This Row],[row_id]] ) - ROW( slrImpacts[[#Headers],[row_id]] )</f>
        <v>146</v>
      </c>
      <c r="B147" s="104">
        <v>2044</v>
      </c>
      <c r="C147" s="104" t="s">
        <v>86</v>
      </c>
      <c r="D147" s="104" t="s">
        <v>88</v>
      </c>
      <c r="E147" s="104" t="s">
        <v>922</v>
      </c>
      <c r="F147" s="104"/>
      <c r="G147" s="105">
        <v>0</v>
      </c>
      <c r="H147" s="105">
        <v>0</v>
      </c>
      <c r="I147" s="105">
        <v>0</v>
      </c>
      <c r="J147" s="105">
        <v>0</v>
      </c>
      <c r="K147" s="105">
        <v>0</v>
      </c>
      <c r="L147" s="105">
        <v>0</v>
      </c>
      <c r="M147" s="106">
        <v>929868085.43292749</v>
      </c>
      <c r="N147" s="106">
        <v>987999287.90232754</v>
      </c>
      <c r="O147" s="106">
        <v>1170931502.5810695</v>
      </c>
      <c r="P147" s="106">
        <v>1373827545.5546925</v>
      </c>
      <c r="Q147" s="106">
        <v>1590283561.9650514</v>
      </c>
      <c r="R147" s="106">
        <v>1742349681.618736</v>
      </c>
      <c r="S147" s="105">
        <v>0</v>
      </c>
      <c r="T147" s="105">
        <v>0</v>
      </c>
      <c r="U147" s="105">
        <v>0</v>
      </c>
      <c r="V147" s="105">
        <v>0</v>
      </c>
      <c r="W147" s="105">
        <v>0</v>
      </c>
      <c r="X147" s="105">
        <v>0</v>
      </c>
      <c r="Y147" s="106">
        <v>98928029.291969568</v>
      </c>
      <c r="Z147" s="106">
        <v>104117430.48222855</v>
      </c>
      <c r="AA147" s="106">
        <v>118682278.89549972</v>
      </c>
      <c r="AB147" s="108">
        <v>136399728.98840117</v>
      </c>
      <c r="AC147" s="108">
        <v>157694333.59362707</v>
      </c>
      <c r="AD147" s="108">
        <v>174107660.88037482</v>
      </c>
      <c r="AE147" s="108">
        <v>2630391940.8231373</v>
      </c>
      <c r="AF147" s="108">
        <v>2813638079.5146685</v>
      </c>
      <c r="AG147" s="108">
        <v>3379712859.5441785</v>
      </c>
      <c r="AH147" s="108">
        <v>3858341583.5292954</v>
      </c>
      <c r="AI147" s="108">
        <v>6308983039.0973377</v>
      </c>
      <c r="AJ147" s="108">
        <v>8427618583.0372753</v>
      </c>
      <c r="AK147" s="108">
        <v>172568615.7381393</v>
      </c>
      <c r="AL147" s="108">
        <v>196054403.64483526</v>
      </c>
      <c r="AM147" s="108">
        <v>258346831.19202295</v>
      </c>
      <c r="AN147" s="108">
        <v>335312567.87246102</v>
      </c>
      <c r="AO147" s="108">
        <v>408736730.52782762</v>
      </c>
      <c r="AP147" s="108">
        <v>528333530.23264813</v>
      </c>
      <c r="AQ147" s="108">
        <v>304201227.1364764</v>
      </c>
      <c r="AR147" s="108">
        <v>326394884.19114959</v>
      </c>
      <c r="AS147" s="108">
        <v>392259351.67565298</v>
      </c>
      <c r="AT147" s="108">
        <v>454085668.40605992</v>
      </c>
      <c r="AU147" s="108">
        <v>500940888.50266016</v>
      </c>
      <c r="AV147" s="108">
        <v>538245303.73203766</v>
      </c>
    </row>
    <row r="148" spans="1:48" x14ac:dyDescent="0.35">
      <c r="A148" s="107">
        <f xml:space="preserve"> ROW( slrImpacts[[#This Row],[row_id]] ) - ROW( slrImpacts[[#Headers],[row_id]] )</f>
        <v>147</v>
      </c>
      <c r="B148" s="104">
        <v>2045</v>
      </c>
      <c r="C148" s="104" t="s">
        <v>86</v>
      </c>
      <c r="D148" s="104" t="s">
        <v>88</v>
      </c>
      <c r="E148" s="104" t="s">
        <v>922</v>
      </c>
      <c r="F148" s="104"/>
      <c r="G148" s="105">
        <v>0</v>
      </c>
      <c r="H148" s="105">
        <v>0</v>
      </c>
      <c r="I148" s="105">
        <v>0</v>
      </c>
      <c r="J148" s="105">
        <v>0</v>
      </c>
      <c r="K148" s="105">
        <v>0</v>
      </c>
      <c r="L148" s="105">
        <v>0</v>
      </c>
      <c r="M148" s="106">
        <v>940618424.7153182</v>
      </c>
      <c r="N148" s="106">
        <v>1001324897.7164714</v>
      </c>
      <c r="O148" s="106">
        <v>1197106871.0365629</v>
      </c>
      <c r="P148" s="106">
        <v>1411247882.9599643</v>
      </c>
      <c r="Q148" s="106">
        <v>1662514674.2644322</v>
      </c>
      <c r="R148" s="106">
        <v>1921933928.0139744</v>
      </c>
      <c r="S148" s="105">
        <v>0</v>
      </c>
      <c r="T148" s="105">
        <v>0</v>
      </c>
      <c r="U148" s="105">
        <v>0</v>
      </c>
      <c r="V148" s="105">
        <v>0</v>
      </c>
      <c r="W148" s="105">
        <v>0</v>
      </c>
      <c r="X148" s="105">
        <v>0</v>
      </c>
      <c r="Y148" s="106">
        <v>99468553.107962191</v>
      </c>
      <c r="Z148" s="106">
        <v>104932988.88026923</v>
      </c>
      <c r="AA148" s="106">
        <v>120556974.89612547</v>
      </c>
      <c r="AB148" s="108">
        <v>139315528.70220786</v>
      </c>
      <c r="AC148" s="108">
        <v>162070526.9312728</v>
      </c>
      <c r="AD148" s="108">
        <v>191265432.39630204</v>
      </c>
      <c r="AE148" s="108">
        <v>2659080968.0878158</v>
      </c>
      <c r="AF148" s="108">
        <v>2853460298.0239649</v>
      </c>
      <c r="AG148" s="108">
        <v>3436143963.5221443</v>
      </c>
      <c r="AH148" s="108">
        <v>4190764983.0996447</v>
      </c>
      <c r="AI148" s="108">
        <v>6830178012.2992115</v>
      </c>
      <c r="AJ148" s="108">
        <v>12238038506.261608</v>
      </c>
      <c r="AK148" s="108">
        <v>175661340.48745</v>
      </c>
      <c r="AL148" s="108">
        <v>200374076.61634335</v>
      </c>
      <c r="AM148" s="108">
        <v>267926829.38906667</v>
      </c>
      <c r="AN148" s="108">
        <v>348713207.17014116</v>
      </c>
      <c r="AO148" s="108">
        <v>499480439.26220143</v>
      </c>
      <c r="AP148" s="108">
        <v>752756665.72325444</v>
      </c>
      <c r="AQ148" s="108">
        <v>310393762.34480804</v>
      </c>
      <c r="AR148" s="108">
        <v>332200907.56201696</v>
      </c>
      <c r="AS148" s="108">
        <v>401376349.99137294</v>
      </c>
      <c r="AT148" s="108">
        <v>465035985.53592175</v>
      </c>
      <c r="AU148" s="108">
        <v>512741927.86922485</v>
      </c>
      <c r="AV148" s="108">
        <v>547273181.10577273</v>
      </c>
    </row>
    <row r="149" spans="1:48" x14ac:dyDescent="0.35">
      <c r="A149" s="107">
        <f xml:space="preserve"> ROW( slrImpacts[[#This Row],[row_id]] ) - ROW( slrImpacts[[#Headers],[row_id]] )</f>
        <v>148</v>
      </c>
      <c r="B149" s="104">
        <v>2046</v>
      </c>
      <c r="C149" s="104" t="s">
        <v>86</v>
      </c>
      <c r="D149" s="104" t="s">
        <v>88</v>
      </c>
      <c r="E149" s="104" t="s">
        <v>922</v>
      </c>
      <c r="F149" s="104"/>
      <c r="G149" s="105">
        <v>0</v>
      </c>
      <c r="H149" s="105">
        <v>0</v>
      </c>
      <c r="I149" s="105">
        <v>0</v>
      </c>
      <c r="J149" s="105">
        <v>0</v>
      </c>
      <c r="K149" s="105">
        <v>0</v>
      </c>
      <c r="L149" s="105">
        <v>0</v>
      </c>
      <c r="M149" s="106">
        <v>946204267.88970172</v>
      </c>
      <c r="N149" s="106">
        <v>1008144749.9883596</v>
      </c>
      <c r="O149" s="106">
        <v>1210976490.694797</v>
      </c>
      <c r="P149" s="106">
        <v>1428421339.3631327</v>
      </c>
      <c r="Q149" s="106">
        <v>1707127842.0079842</v>
      </c>
      <c r="R149" s="106">
        <v>2067753215.3316455</v>
      </c>
      <c r="S149" s="105">
        <v>0</v>
      </c>
      <c r="T149" s="105">
        <v>0</v>
      </c>
      <c r="U149" s="105">
        <v>0</v>
      </c>
      <c r="V149" s="105">
        <v>0</v>
      </c>
      <c r="W149" s="105">
        <v>0</v>
      </c>
      <c r="X149" s="105">
        <v>0</v>
      </c>
      <c r="Y149" s="106">
        <v>99799326.806228042</v>
      </c>
      <c r="Z149" s="106">
        <v>105310329.51522201</v>
      </c>
      <c r="AA149" s="106">
        <v>121481841.39770646</v>
      </c>
      <c r="AB149" s="108">
        <v>140696937.9653939</v>
      </c>
      <c r="AC149" s="108">
        <v>164403903.81247529</v>
      </c>
      <c r="AD149" s="108">
        <v>205769802.09180853</v>
      </c>
      <c r="AE149" s="108">
        <v>2672701604.8865666</v>
      </c>
      <c r="AF149" s="108">
        <v>2882830099.435245</v>
      </c>
      <c r="AG149" s="108">
        <v>3473089481.5581708</v>
      </c>
      <c r="AH149" s="108">
        <v>4497667797.4441042</v>
      </c>
      <c r="AI149" s="108">
        <v>7118370671.340518</v>
      </c>
      <c r="AJ149" s="108">
        <v>15626309534.792782</v>
      </c>
      <c r="AK149" s="108">
        <v>177167356.92326123</v>
      </c>
      <c r="AL149" s="108">
        <v>202415146.97104195</v>
      </c>
      <c r="AM149" s="108">
        <v>273024879.08113867</v>
      </c>
      <c r="AN149" s="108">
        <v>354807706.79602259</v>
      </c>
      <c r="AO149" s="108">
        <v>581703166.47011149</v>
      </c>
      <c r="AP149" s="108">
        <v>960693820.07722747</v>
      </c>
      <c r="AQ149" s="108">
        <v>314553367.20857543</v>
      </c>
      <c r="AR149" s="108">
        <v>336586890.07651925</v>
      </c>
      <c r="AS149" s="108">
        <v>406946692.14383388</v>
      </c>
      <c r="AT149" s="108">
        <v>471351432.30612093</v>
      </c>
      <c r="AU149" s="108">
        <v>520961352.29344422</v>
      </c>
      <c r="AV149" s="108">
        <v>552136083.18991268</v>
      </c>
    </row>
    <row r="150" spans="1:48" x14ac:dyDescent="0.35">
      <c r="A150" s="107">
        <f xml:space="preserve"> ROW( slrImpacts[[#This Row],[row_id]] ) - ROW( slrImpacts[[#Headers],[row_id]] )</f>
        <v>149</v>
      </c>
      <c r="B150" s="104">
        <v>2047</v>
      </c>
      <c r="C150" s="104" t="s">
        <v>86</v>
      </c>
      <c r="D150" s="104" t="s">
        <v>88</v>
      </c>
      <c r="E150" s="104" t="s">
        <v>922</v>
      </c>
      <c r="F150" s="104"/>
      <c r="G150" s="105">
        <v>0</v>
      </c>
      <c r="H150" s="105">
        <v>0</v>
      </c>
      <c r="I150" s="105">
        <v>0</v>
      </c>
      <c r="J150" s="105">
        <v>0</v>
      </c>
      <c r="K150" s="105">
        <v>0</v>
      </c>
      <c r="L150" s="105">
        <v>0</v>
      </c>
      <c r="M150" s="106">
        <v>951790111.06408429</v>
      </c>
      <c r="N150" s="106">
        <v>1014964602.2602475</v>
      </c>
      <c r="O150" s="106">
        <v>1224846110.3530309</v>
      </c>
      <c r="P150" s="106">
        <v>1445594795.7663021</v>
      </c>
      <c r="Q150" s="106">
        <v>1751741009.7515368</v>
      </c>
      <c r="R150" s="106">
        <v>2213572502.6493139</v>
      </c>
      <c r="S150" s="105">
        <v>0</v>
      </c>
      <c r="T150" s="105">
        <v>0</v>
      </c>
      <c r="U150" s="105">
        <v>0</v>
      </c>
      <c r="V150" s="105">
        <v>0</v>
      </c>
      <c r="W150" s="105">
        <v>0</v>
      </c>
      <c r="X150" s="105">
        <v>0</v>
      </c>
      <c r="Y150" s="106">
        <v>100130100.50449388</v>
      </c>
      <c r="Z150" s="106">
        <v>105687670.15017474</v>
      </c>
      <c r="AA150" s="106">
        <v>122406707.89928742</v>
      </c>
      <c r="AB150" s="108">
        <v>142078347.22857991</v>
      </c>
      <c r="AC150" s="108">
        <v>166737280.69367775</v>
      </c>
      <c r="AD150" s="108">
        <v>220274171.78731507</v>
      </c>
      <c r="AE150" s="108">
        <v>2686322241.6853189</v>
      </c>
      <c r="AF150" s="108">
        <v>2912199900.8465242</v>
      </c>
      <c r="AG150" s="108">
        <v>3510034999.5941978</v>
      </c>
      <c r="AH150" s="108">
        <v>4804570611.7885704</v>
      </c>
      <c r="AI150" s="108">
        <v>7406563330.3818235</v>
      </c>
      <c r="AJ150" s="108">
        <v>19014580563.323971</v>
      </c>
      <c r="AK150" s="108">
        <v>178673373.35907239</v>
      </c>
      <c r="AL150" s="108">
        <v>204456217.32574043</v>
      </c>
      <c r="AM150" s="108">
        <v>278122928.77321064</v>
      </c>
      <c r="AN150" s="108">
        <v>360902206.42190409</v>
      </c>
      <c r="AO150" s="108">
        <v>663925893.67802119</v>
      </c>
      <c r="AP150" s="108">
        <v>1168630974.4312005</v>
      </c>
      <c r="AQ150" s="108">
        <v>318712972.07234257</v>
      </c>
      <c r="AR150" s="108">
        <v>340972872.5910216</v>
      </c>
      <c r="AS150" s="108">
        <v>412517034.29629487</v>
      </c>
      <c r="AT150" s="108">
        <v>477666879.07632023</v>
      </c>
      <c r="AU150" s="108">
        <v>529180776.71766365</v>
      </c>
      <c r="AV150" s="108">
        <v>556998985.27405262</v>
      </c>
    </row>
    <row r="151" spans="1:48" x14ac:dyDescent="0.35">
      <c r="A151" s="107">
        <f xml:space="preserve"> ROW( slrImpacts[[#This Row],[row_id]] ) - ROW( slrImpacts[[#Headers],[row_id]] )</f>
        <v>150</v>
      </c>
      <c r="B151" s="104">
        <v>2048</v>
      </c>
      <c r="C151" s="104" t="s">
        <v>86</v>
      </c>
      <c r="D151" s="104" t="s">
        <v>88</v>
      </c>
      <c r="E151" s="104" t="s">
        <v>922</v>
      </c>
      <c r="F151" s="104"/>
      <c r="G151" s="105">
        <v>0</v>
      </c>
      <c r="H151" s="105">
        <v>0</v>
      </c>
      <c r="I151" s="105">
        <v>0</v>
      </c>
      <c r="J151" s="105">
        <v>0</v>
      </c>
      <c r="K151" s="105">
        <v>0</v>
      </c>
      <c r="L151" s="105">
        <v>0</v>
      </c>
      <c r="M151" s="106">
        <v>957375954.23846817</v>
      </c>
      <c r="N151" s="106">
        <v>1021784454.5321351</v>
      </c>
      <c r="O151" s="106">
        <v>1238715730.011265</v>
      </c>
      <c r="P151" s="106">
        <v>1462768252.169472</v>
      </c>
      <c r="Q151" s="106">
        <v>1796354177.4950898</v>
      </c>
      <c r="R151" s="106">
        <v>2359391789.9669833</v>
      </c>
      <c r="S151" s="105">
        <v>0</v>
      </c>
      <c r="T151" s="105">
        <v>0</v>
      </c>
      <c r="U151" s="105">
        <v>0</v>
      </c>
      <c r="V151" s="105">
        <v>0</v>
      </c>
      <c r="W151" s="105">
        <v>0</v>
      </c>
      <c r="X151" s="105">
        <v>0</v>
      </c>
      <c r="Y151" s="106">
        <v>100460874.20275979</v>
      </c>
      <c r="Z151" s="106">
        <v>106065010.78512749</v>
      </c>
      <c r="AA151" s="106">
        <v>123331574.40086836</v>
      </c>
      <c r="AB151" s="108">
        <v>143459756.49176601</v>
      </c>
      <c r="AC151" s="108">
        <v>169070657.57488027</v>
      </c>
      <c r="AD151" s="108">
        <v>234778541.48282155</v>
      </c>
      <c r="AE151" s="108">
        <v>2699942878.4840698</v>
      </c>
      <c r="AF151" s="108">
        <v>2941569702.2578025</v>
      </c>
      <c r="AG151" s="108">
        <v>3546980517.6302209</v>
      </c>
      <c r="AH151" s="108">
        <v>5111473426.1330338</v>
      </c>
      <c r="AI151" s="108">
        <v>7694755989.4231281</v>
      </c>
      <c r="AJ151" s="108">
        <v>22402851591.855148</v>
      </c>
      <c r="AK151" s="108">
        <v>180179389.79488364</v>
      </c>
      <c r="AL151" s="108">
        <v>206497287.68043888</v>
      </c>
      <c r="AM151" s="108">
        <v>283220978.4652828</v>
      </c>
      <c r="AN151" s="108">
        <v>366996706.0477857</v>
      </c>
      <c r="AO151" s="108">
        <v>746148620.88593102</v>
      </c>
      <c r="AP151" s="108">
        <v>1376568128.7851739</v>
      </c>
      <c r="AQ151" s="108">
        <v>322872576.93611002</v>
      </c>
      <c r="AR151" s="108">
        <v>345358855.10552382</v>
      </c>
      <c r="AS151" s="108">
        <v>418087376.44875586</v>
      </c>
      <c r="AT151" s="108">
        <v>483982325.84651959</v>
      </c>
      <c r="AU151" s="108">
        <v>537400201.14188313</v>
      </c>
      <c r="AV151" s="108">
        <v>561861887.35819244</v>
      </c>
    </row>
    <row r="152" spans="1:48" x14ac:dyDescent="0.35">
      <c r="A152" s="107">
        <f xml:space="preserve"> ROW( slrImpacts[[#This Row],[row_id]] ) - ROW( slrImpacts[[#Headers],[row_id]] )</f>
        <v>151</v>
      </c>
      <c r="B152" s="104">
        <v>2049</v>
      </c>
      <c r="C152" s="104" t="s">
        <v>86</v>
      </c>
      <c r="D152" s="104" t="s">
        <v>88</v>
      </c>
      <c r="E152" s="104" t="s">
        <v>922</v>
      </c>
      <c r="F152" s="104"/>
      <c r="G152" s="105">
        <v>0</v>
      </c>
      <c r="H152" s="105">
        <v>0</v>
      </c>
      <c r="I152" s="105">
        <v>0</v>
      </c>
      <c r="J152" s="105">
        <v>0</v>
      </c>
      <c r="K152" s="105">
        <v>0</v>
      </c>
      <c r="L152" s="105">
        <v>0</v>
      </c>
      <c r="M152" s="106">
        <v>962961797.41285217</v>
      </c>
      <c r="N152" s="106">
        <v>1028604306.8040228</v>
      </c>
      <c r="O152" s="106">
        <v>1252585349.6694992</v>
      </c>
      <c r="P152" s="106">
        <v>1479941708.5726404</v>
      </c>
      <c r="Q152" s="106">
        <v>1840967345.238642</v>
      </c>
      <c r="R152" s="106">
        <v>2505211077.2846537</v>
      </c>
      <c r="S152" s="105">
        <v>0</v>
      </c>
      <c r="T152" s="105">
        <v>0</v>
      </c>
      <c r="U152" s="105">
        <v>0</v>
      </c>
      <c r="V152" s="105">
        <v>0</v>
      </c>
      <c r="W152" s="105">
        <v>0</v>
      </c>
      <c r="X152" s="105">
        <v>0</v>
      </c>
      <c r="Y152" s="106">
        <v>100791647.90102562</v>
      </c>
      <c r="Z152" s="106">
        <v>106442351.42008024</v>
      </c>
      <c r="AA152" s="106">
        <v>124256440.90244931</v>
      </c>
      <c r="AB152" s="108">
        <v>144841165.75495204</v>
      </c>
      <c r="AC152" s="108">
        <v>171404034.45608267</v>
      </c>
      <c r="AD152" s="108">
        <v>249282911.17832813</v>
      </c>
      <c r="AE152" s="108">
        <v>2713563515.2828231</v>
      </c>
      <c r="AF152" s="108">
        <v>2970939503.6690836</v>
      </c>
      <c r="AG152" s="108">
        <v>3583926035.6662474</v>
      </c>
      <c r="AH152" s="108">
        <v>5418376240.4774952</v>
      </c>
      <c r="AI152" s="108">
        <v>7982948648.464427</v>
      </c>
      <c r="AJ152" s="108">
        <v>25791122620.386341</v>
      </c>
      <c r="AK152" s="108">
        <v>181685406.23069477</v>
      </c>
      <c r="AL152" s="108">
        <v>208538358.03513739</v>
      </c>
      <c r="AM152" s="108">
        <v>288319028.15735459</v>
      </c>
      <c r="AN152" s="108">
        <v>373091205.67366725</v>
      </c>
      <c r="AO152" s="108">
        <v>828371348.09384108</v>
      </c>
      <c r="AP152" s="108">
        <v>1584505283.1391468</v>
      </c>
      <c r="AQ152" s="108">
        <v>327032181.79987723</v>
      </c>
      <c r="AR152" s="108">
        <v>349744837.62002599</v>
      </c>
      <c r="AS152" s="108">
        <v>423657718.60121679</v>
      </c>
      <c r="AT152" s="108">
        <v>490297772.61671895</v>
      </c>
      <c r="AU152" s="108">
        <v>545619625.5661025</v>
      </c>
      <c r="AV152" s="108">
        <v>566724789.44233227</v>
      </c>
    </row>
    <row r="153" spans="1:48" x14ac:dyDescent="0.35">
      <c r="A153" s="107">
        <f xml:space="preserve"> ROW( slrImpacts[[#This Row],[row_id]] ) - ROW( slrImpacts[[#Headers],[row_id]] )</f>
        <v>152</v>
      </c>
      <c r="B153" s="104">
        <v>2050</v>
      </c>
      <c r="C153" s="104" t="s">
        <v>86</v>
      </c>
      <c r="D153" s="104" t="s">
        <v>88</v>
      </c>
      <c r="E153" s="104" t="s">
        <v>922</v>
      </c>
      <c r="F153" s="104"/>
      <c r="G153" s="105">
        <v>0</v>
      </c>
      <c r="H153" s="105">
        <v>0</v>
      </c>
      <c r="I153" s="105">
        <v>0</v>
      </c>
      <c r="J153" s="105">
        <v>0</v>
      </c>
      <c r="K153" s="105">
        <v>0</v>
      </c>
      <c r="L153" s="105">
        <v>0</v>
      </c>
      <c r="M153" s="106">
        <v>968850863.99719238</v>
      </c>
      <c r="N153" s="106">
        <v>1036015335.6521593</v>
      </c>
      <c r="O153" s="106">
        <v>1267685314.6746128</v>
      </c>
      <c r="P153" s="106">
        <v>1498938868.3623173</v>
      </c>
      <c r="Q153" s="106">
        <v>1887692169.5349939</v>
      </c>
      <c r="R153" s="106">
        <v>2653447426.028461</v>
      </c>
      <c r="S153" s="105">
        <v>0</v>
      </c>
      <c r="T153" s="105">
        <v>0</v>
      </c>
      <c r="U153" s="105">
        <v>0</v>
      </c>
      <c r="V153" s="105">
        <v>0</v>
      </c>
      <c r="W153" s="105">
        <v>0</v>
      </c>
      <c r="X153" s="105">
        <v>0</v>
      </c>
      <c r="Y153" s="106">
        <v>101124603.06267248</v>
      </c>
      <c r="Z153" s="106">
        <v>106839325.22546189</v>
      </c>
      <c r="AA153" s="106">
        <v>125238025.45193605</v>
      </c>
      <c r="AB153" s="108">
        <v>146379640.38156939</v>
      </c>
      <c r="AC153" s="108">
        <v>173929380.11481237</v>
      </c>
      <c r="AD153" s="108">
        <v>264035967.6992676</v>
      </c>
      <c r="AE153" s="108">
        <v>2742637638.6725144</v>
      </c>
      <c r="AF153" s="108">
        <v>3011183900.0346045</v>
      </c>
      <c r="AG153" s="108">
        <v>3636833321.2609873</v>
      </c>
      <c r="AH153" s="108">
        <v>5744013462.3379154</v>
      </c>
      <c r="AI153" s="108">
        <v>8282648526.8404627</v>
      </c>
      <c r="AJ153" s="108">
        <v>29189744692.660339</v>
      </c>
      <c r="AK153" s="108">
        <v>183274318.27498361</v>
      </c>
      <c r="AL153" s="108">
        <v>210716860.5828383</v>
      </c>
      <c r="AM153" s="108">
        <v>293811922.72138619</v>
      </c>
      <c r="AN153" s="108">
        <v>379652538.46308088</v>
      </c>
      <c r="AO153" s="108">
        <v>911161255.78080821</v>
      </c>
      <c r="AP153" s="108">
        <v>1793701141.8639512</v>
      </c>
      <c r="AQ153" s="108">
        <v>332566108.59366906</v>
      </c>
      <c r="AR153" s="108">
        <v>355821454.25479639</v>
      </c>
      <c r="AS153" s="108">
        <v>432114136.8067292</v>
      </c>
      <c r="AT153" s="108">
        <v>500249718.84303051</v>
      </c>
      <c r="AU153" s="108">
        <v>556884372.87018585</v>
      </c>
      <c r="AV153" s="108">
        <v>573773517.8342253</v>
      </c>
    </row>
    <row r="154" spans="1:48" x14ac:dyDescent="0.35">
      <c r="A154" s="107">
        <f xml:space="preserve"> ROW( slrImpacts[[#This Row],[row_id]] ) - ROW( slrImpacts[[#Headers],[row_id]] )</f>
        <v>153</v>
      </c>
      <c r="B154" s="104">
        <v>2051</v>
      </c>
      <c r="C154" s="104" t="s">
        <v>86</v>
      </c>
      <c r="D154" s="104" t="s">
        <v>88</v>
      </c>
      <c r="E154" s="104" t="s">
        <v>922</v>
      </c>
      <c r="F154" s="104"/>
      <c r="G154" s="105">
        <v>0</v>
      </c>
      <c r="H154" s="105">
        <v>0</v>
      </c>
      <c r="I154" s="105">
        <v>0</v>
      </c>
      <c r="J154" s="105">
        <v>0</v>
      </c>
      <c r="K154" s="105">
        <v>0</v>
      </c>
      <c r="L154" s="105">
        <v>0</v>
      </c>
      <c r="M154" s="106">
        <v>974482517.9025768</v>
      </c>
      <c r="N154" s="106">
        <v>1043066423.042432</v>
      </c>
      <c r="O154" s="106">
        <v>1281509123.6018455</v>
      </c>
      <c r="P154" s="106">
        <v>1516289023.2993472</v>
      </c>
      <c r="Q154" s="106">
        <v>1932128638.7446876</v>
      </c>
      <c r="R154" s="106">
        <v>2799116192.3728437</v>
      </c>
      <c r="S154" s="105">
        <v>0</v>
      </c>
      <c r="T154" s="105">
        <v>0</v>
      </c>
      <c r="U154" s="105">
        <v>0</v>
      </c>
      <c r="V154" s="105">
        <v>0</v>
      </c>
      <c r="W154" s="105">
        <v>0</v>
      </c>
      <c r="X154" s="105">
        <v>0</v>
      </c>
      <c r="Y154" s="106">
        <v>101451013.83417636</v>
      </c>
      <c r="Z154" s="106">
        <v>107234117.56746259</v>
      </c>
      <c r="AA154" s="106">
        <v>126189069.51408888</v>
      </c>
      <c r="AB154" s="108">
        <v>147846126.71661407</v>
      </c>
      <c r="AC154" s="108">
        <v>176275845.77630085</v>
      </c>
      <c r="AD154" s="108">
        <v>278562152.02858418</v>
      </c>
      <c r="AE154" s="108">
        <v>2764126813.8865013</v>
      </c>
      <c r="AF154" s="108">
        <v>3032973116.1969395</v>
      </c>
      <c r="AG154" s="108">
        <v>3669647147.6534138</v>
      </c>
      <c r="AH154" s="108">
        <v>6048307246.478713</v>
      </c>
      <c r="AI154" s="108">
        <v>8556537330.4926014</v>
      </c>
      <c r="AJ154" s="108">
        <v>32562902542.888004</v>
      </c>
      <c r="AK154" s="108">
        <v>184765064.46712792</v>
      </c>
      <c r="AL154" s="108">
        <v>212757930.93753675</v>
      </c>
      <c r="AM154" s="108">
        <v>299036497.28955573</v>
      </c>
      <c r="AN154" s="108">
        <v>385640146.38329381</v>
      </c>
      <c r="AO154" s="108">
        <v>993272728.35628784</v>
      </c>
      <c r="AP154" s="108">
        <v>2002314549.8660314</v>
      </c>
      <c r="AQ154" s="108">
        <v>335957838.34732753</v>
      </c>
      <c r="AR154" s="108">
        <v>359939116.77343667</v>
      </c>
      <c r="AS154" s="108">
        <v>438016061.39310086</v>
      </c>
      <c r="AT154" s="108">
        <v>506499721.71180016</v>
      </c>
      <c r="AU154" s="108">
        <v>563513510.48966253</v>
      </c>
      <c r="AV154" s="108">
        <v>575916135.08226931</v>
      </c>
    </row>
    <row r="155" spans="1:48" x14ac:dyDescent="0.35">
      <c r="A155" s="107">
        <f xml:space="preserve"> ROW( slrImpacts[[#This Row],[row_id]] ) - ROW( slrImpacts[[#Headers],[row_id]] )</f>
        <v>154</v>
      </c>
      <c r="B155" s="104">
        <v>2052</v>
      </c>
      <c r="C155" s="104" t="s">
        <v>86</v>
      </c>
      <c r="D155" s="104" t="s">
        <v>88</v>
      </c>
      <c r="E155" s="104" t="s">
        <v>922</v>
      </c>
      <c r="F155" s="104"/>
      <c r="G155" s="105">
        <v>0</v>
      </c>
      <c r="H155" s="105">
        <v>0</v>
      </c>
      <c r="I155" s="105">
        <v>0</v>
      </c>
      <c r="J155" s="105">
        <v>0</v>
      </c>
      <c r="K155" s="105">
        <v>0</v>
      </c>
      <c r="L155" s="105">
        <v>0</v>
      </c>
      <c r="M155" s="106">
        <v>980114171.80796111</v>
      </c>
      <c r="N155" s="106">
        <v>1050117510.432705</v>
      </c>
      <c r="O155" s="106">
        <v>1295332932.5290782</v>
      </c>
      <c r="P155" s="106">
        <v>1533639178.236377</v>
      </c>
      <c r="Q155" s="106">
        <v>1976565107.9543791</v>
      </c>
      <c r="R155" s="106">
        <v>2944784958.7172241</v>
      </c>
      <c r="S155" s="105">
        <v>0</v>
      </c>
      <c r="T155" s="105">
        <v>0</v>
      </c>
      <c r="U155" s="105">
        <v>0</v>
      </c>
      <c r="V155" s="105">
        <v>0</v>
      </c>
      <c r="W155" s="105">
        <v>0</v>
      </c>
      <c r="X155" s="105">
        <v>0</v>
      </c>
      <c r="Y155" s="106">
        <v>101777424.60568023</v>
      </c>
      <c r="Z155" s="106">
        <v>107628909.90946326</v>
      </c>
      <c r="AA155" s="106">
        <v>127140113.57624173</v>
      </c>
      <c r="AB155" s="108">
        <v>149312613.05165878</v>
      </c>
      <c r="AC155" s="108">
        <v>178622311.43778923</v>
      </c>
      <c r="AD155" s="108">
        <v>293088336.3579005</v>
      </c>
      <c r="AE155" s="108">
        <v>2785615989.1004887</v>
      </c>
      <c r="AF155" s="108">
        <v>3054762332.3592744</v>
      </c>
      <c r="AG155" s="108">
        <v>3702460974.0458431</v>
      </c>
      <c r="AH155" s="108">
        <v>6352601030.6195145</v>
      </c>
      <c r="AI155" s="108">
        <v>8830426134.1447449</v>
      </c>
      <c r="AJ155" s="108">
        <v>35936060393.115692</v>
      </c>
      <c r="AK155" s="108">
        <v>186255810.6592721</v>
      </c>
      <c r="AL155" s="108">
        <v>214799001.29223526</v>
      </c>
      <c r="AM155" s="108">
        <v>304261071.85772538</v>
      </c>
      <c r="AN155" s="108">
        <v>391627754.30350679</v>
      </c>
      <c r="AO155" s="108">
        <v>1075384200.9317672</v>
      </c>
      <c r="AP155" s="108">
        <v>2210927957.8681126</v>
      </c>
      <c r="AQ155" s="108">
        <v>339349568.10098577</v>
      </c>
      <c r="AR155" s="108">
        <v>364056779.29207706</v>
      </c>
      <c r="AS155" s="108">
        <v>443917985.97947258</v>
      </c>
      <c r="AT155" s="108">
        <v>512749724.5805698</v>
      </c>
      <c r="AU155" s="108">
        <v>570142648.10913944</v>
      </c>
      <c r="AV155" s="108">
        <v>578058752.33031309</v>
      </c>
    </row>
    <row r="156" spans="1:48" x14ac:dyDescent="0.35">
      <c r="A156" s="107">
        <f xml:space="preserve"> ROW( slrImpacts[[#This Row],[row_id]] ) - ROW( slrImpacts[[#Headers],[row_id]] )</f>
        <v>155</v>
      </c>
      <c r="B156" s="104">
        <v>2053</v>
      </c>
      <c r="C156" s="104" t="s">
        <v>86</v>
      </c>
      <c r="D156" s="104" t="s">
        <v>88</v>
      </c>
      <c r="E156" s="104" t="s">
        <v>922</v>
      </c>
      <c r="F156" s="104"/>
      <c r="G156" s="105">
        <v>0</v>
      </c>
      <c r="H156" s="105">
        <v>0</v>
      </c>
      <c r="I156" s="105">
        <v>0</v>
      </c>
      <c r="J156" s="105">
        <v>0</v>
      </c>
      <c r="K156" s="105">
        <v>0</v>
      </c>
      <c r="L156" s="105">
        <v>0</v>
      </c>
      <c r="M156" s="106">
        <v>985745825.71334517</v>
      </c>
      <c r="N156" s="106">
        <v>1057168597.822978</v>
      </c>
      <c r="O156" s="106">
        <v>1309156741.4563124</v>
      </c>
      <c r="P156" s="106">
        <v>1550989333.1734061</v>
      </c>
      <c r="Q156" s="106">
        <v>2021001577.164072</v>
      </c>
      <c r="R156" s="106">
        <v>3090453725.0616069</v>
      </c>
      <c r="S156" s="105">
        <v>0</v>
      </c>
      <c r="T156" s="105">
        <v>0</v>
      </c>
      <c r="U156" s="105">
        <v>0</v>
      </c>
      <c r="V156" s="105">
        <v>0</v>
      </c>
      <c r="W156" s="105">
        <v>0</v>
      </c>
      <c r="X156" s="105">
        <v>0</v>
      </c>
      <c r="Y156" s="106">
        <v>102103835.37718414</v>
      </c>
      <c r="Z156" s="106">
        <v>108023702.25146395</v>
      </c>
      <c r="AA156" s="106">
        <v>128091157.63839458</v>
      </c>
      <c r="AB156" s="108">
        <v>150779099.38670349</v>
      </c>
      <c r="AC156" s="108">
        <v>180968777.09927768</v>
      </c>
      <c r="AD156" s="108">
        <v>307614520.68721694</v>
      </c>
      <c r="AE156" s="108">
        <v>2807105164.3144736</v>
      </c>
      <c r="AF156" s="108">
        <v>3076551548.5216098</v>
      </c>
      <c r="AG156" s="108">
        <v>3735274800.438271</v>
      </c>
      <c r="AH156" s="108">
        <v>6656894814.7603092</v>
      </c>
      <c r="AI156" s="108">
        <v>9104314937.7968903</v>
      </c>
      <c r="AJ156" s="108">
        <v>39309218243.343376</v>
      </c>
      <c r="AK156" s="108">
        <v>187746556.85141635</v>
      </c>
      <c r="AL156" s="108">
        <v>216840071.64693373</v>
      </c>
      <c r="AM156" s="108">
        <v>309485646.4258948</v>
      </c>
      <c r="AN156" s="108">
        <v>397615362.22371989</v>
      </c>
      <c r="AO156" s="108">
        <v>1157495673.5072463</v>
      </c>
      <c r="AP156" s="108">
        <v>2419541365.8701925</v>
      </c>
      <c r="AQ156" s="108">
        <v>342741297.8546443</v>
      </c>
      <c r="AR156" s="108">
        <v>368174441.81071734</v>
      </c>
      <c r="AS156" s="108">
        <v>449819910.56584436</v>
      </c>
      <c r="AT156" s="108">
        <v>518999727.44933933</v>
      </c>
      <c r="AU156" s="108">
        <v>576771785.72861624</v>
      </c>
      <c r="AV156" s="108">
        <v>580201369.57835686</v>
      </c>
    </row>
    <row r="157" spans="1:48" x14ac:dyDescent="0.35">
      <c r="A157" s="107">
        <f xml:space="preserve"> ROW( slrImpacts[[#This Row],[row_id]] ) - ROW( slrImpacts[[#Headers],[row_id]] )</f>
        <v>156</v>
      </c>
      <c r="B157" s="104">
        <v>2054</v>
      </c>
      <c r="C157" s="104" t="s">
        <v>86</v>
      </c>
      <c r="D157" s="104" t="s">
        <v>88</v>
      </c>
      <c r="E157" s="104" t="s">
        <v>922</v>
      </c>
      <c r="F157" s="104"/>
      <c r="G157" s="105">
        <v>0</v>
      </c>
      <c r="H157" s="105">
        <v>0</v>
      </c>
      <c r="I157" s="105">
        <v>0</v>
      </c>
      <c r="J157" s="105">
        <v>0</v>
      </c>
      <c r="K157" s="105">
        <v>0</v>
      </c>
      <c r="L157" s="105">
        <v>0</v>
      </c>
      <c r="M157" s="106">
        <v>991377479.61872947</v>
      </c>
      <c r="N157" s="106">
        <v>1064219685.2132504</v>
      </c>
      <c r="O157" s="106">
        <v>1322980550.3835449</v>
      </c>
      <c r="P157" s="106">
        <v>1568339488.1104367</v>
      </c>
      <c r="Q157" s="106">
        <v>2065438046.3737633</v>
      </c>
      <c r="R157" s="106">
        <v>3236122491.4059873</v>
      </c>
      <c r="S157" s="105">
        <v>0</v>
      </c>
      <c r="T157" s="105">
        <v>0</v>
      </c>
      <c r="U157" s="105">
        <v>0</v>
      </c>
      <c r="V157" s="105">
        <v>0</v>
      </c>
      <c r="W157" s="105">
        <v>0</v>
      </c>
      <c r="X157" s="105">
        <v>0</v>
      </c>
      <c r="Y157" s="106">
        <v>102430246.148688</v>
      </c>
      <c r="Z157" s="106">
        <v>108418494.59346463</v>
      </c>
      <c r="AA157" s="106">
        <v>129042201.70054746</v>
      </c>
      <c r="AB157" s="108">
        <v>152245585.72174814</v>
      </c>
      <c r="AC157" s="108">
        <v>183315242.76076612</v>
      </c>
      <c r="AD157" s="108">
        <v>322140705.01653337</v>
      </c>
      <c r="AE157" s="108">
        <v>2828594339.52846</v>
      </c>
      <c r="AF157" s="108">
        <v>3098340764.6839461</v>
      </c>
      <c r="AG157" s="108">
        <v>3768088626.8306999</v>
      </c>
      <c r="AH157" s="108">
        <v>6961188598.9010992</v>
      </c>
      <c r="AI157" s="108">
        <v>9378203741.4490299</v>
      </c>
      <c r="AJ157" s="108">
        <v>42682376093.571037</v>
      </c>
      <c r="AK157" s="108">
        <v>189237303.04356062</v>
      </c>
      <c r="AL157" s="108">
        <v>218881142.00163224</v>
      </c>
      <c r="AM157" s="108">
        <v>314710220.99406433</v>
      </c>
      <c r="AN157" s="108">
        <v>403602970.14393276</v>
      </c>
      <c r="AO157" s="108">
        <v>1239607146.0827258</v>
      </c>
      <c r="AP157" s="108">
        <v>2628154773.8722725</v>
      </c>
      <c r="AQ157" s="108">
        <v>346133027.60830253</v>
      </c>
      <c r="AR157" s="108">
        <v>372292104.32935762</v>
      </c>
      <c r="AS157" s="108">
        <v>455721835.1522159</v>
      </c>
      <c r="AT157" s="108">
        <v>525249730.31810904</v>
      </c>
      <c r="AU157" s="108">
        <v>583400923.34809303</v>
      </c>
      <c r="AV157" s="108">
        <v>582343986.82640052</v>
      </c>
    </row>
    <row r="158" spans="1:48" x14ac:dyDescent="0.35">
      <c r="A158" s="107">
        <f xml:space="preserve"> ROW( slrImpacts[[#This Row],[row_id]] ) - ROW( slrImpacts[[#Headers],[row_id]] )</f>
        <v>157</v>
      </c>
      <c r="B158" s="104">
        <v>2055</v>
      </c>
      <c r="C158" s="104" t="s">
        <v>86</v>
      </c>
      <c r="D158" s="104" t="s">
        <v>88</v>
      </c>
      <c r="E158" s="104" t="s">
        <v>922</v>
      </c>
      <c r="F158" s="104"/>
      <c r="G158" s="105">
        <v>0</v>
      </c>
      <c r="H158" s="105">
        <v>0</v>
      </c>
      <c r="I158" s="105">
        <v>0</v>
      </c>
      <c r="J158" s="105">
        <v>0</v>
      </c>
      <c r="K158" s="105">
        <v>0</v>
      </c>
      <c r="L158" s="105">
        <v>0</v>
      </c>
      <c r="M158" s="106">
        <v>1001907378.877097</v>
      </c>
      <c r="N158" s="106">
        <v>1077975336.0561211</v>
      </c>
      <c r="O158" s="106">
        <v>1352495414.0221281</v>
      </c>
      <c r="P158" s="106">
        <v>1610263112.1635036</v>
      </c>
      <c r="Q158" s="106">
        <v>2462377598.3477616</v>
      </c>
      <c r="R158" s="106">
        <v>4051311053.7428908</v>
      </c>
      <c r="S158" s="105">
        <v>0</v>
      </c>
      <c r="T158" s="105">
        <v>0</v>
      </c>
      <c r="U158" s="105">
        <v>0</v>
      </c>
      <c r="V158" s="105">
        <v>0</v>
      </c>
      <c r="W158" s="105">
        <v>0</v>
      </c>
      <c r="X158" s="105">
        <v>0</v>
      </c>
      <c r="Y158" s="106">
        <v>103024586.51444289</v>
      </c>
      <c r="Z158" s="106">
        <v>109307667.19483224</v>
      </c>
      <c r="AA158" s="106">
        <v>131095378.30262986</v>
      </c>
      <c r="AB158" s="108">
        <v>155422971.41212761</v>
      </c>
      <c r="AC158" s="108">
        <v>212015898.26687813</v>
      </c>
      <c r="AD158" s="108">
        <v>409897207.31759614</v>
      </c>
      <c r="AE158" s="108">
        <v>2859012033.0644684</v>
      </c>
      <c r="AF158" s="108">
        <v>3129637237.5508046</v>
      </c>
      <c r="AG158" s="108">
        <v>3898412132.4404302</v>
      </c>
      <c r="AH158" s="108">
        <v>7434848895.9615421</v>
      </c>
      <c r="AI158" s="108">
        <v>14945382128.507694</v>
      </c>
      <c r="AJ158" s="108">
        <v>47381109284.100906</v>
      </c>
      <c r="AK158" s="108">
        <v>192201247.49249366</v>
      </c>
      <c r="AL158" s="108">
        <v>223207561.25928375</v>
      </c>
      <c r="AM158" s="108">
        <v>323889108.99449193</v>
      </c>
      <c r="AN158" s="108">
        <v>472032180.33942306</v>
      </c>
      <c r="AO158" s="108">
        <v>1462274561.4983792</v>
      </c>
      <c r="AP158" s="108">
        <v>2968243155.5541363</v>
      </c>
      <c r="AQ158" s="108">
        <v>351327291.78924203</v>
      </c>
      <c r="AR158" s="108">
        <v>378250348.58271056</v>
      </c>
      <c r="AS158" s="108">
        <v>463784489.11264998</v>
      </c>
      <c r="AT158" s="108">
        <v>531832166.0551905</v>
      </c>
      <c r="AU158" s="108">
        <v>623007612.5045774</v>
      </c>
      <c r="AV158" s="108">
        <v>669498529.78774214</v>
      </c>
    </row>
    <row r="159" spans="1:48" x14ac:dyDescent="0.35">
      <c r="A159" s="107">
        <f xml:space="preserve"> ROW( slrImpacts[[#This Row],[row_id]] ) - ROW( slrImpacts[[#Headers],[row_id]] )</f>
        <v>158</v>
      </c>
      <c r="B159" s="104">
        <v>2056</v>
      </c>
      <c r="C159" s="104" t="s">
        <v>86</v>
      </c>
      <c r="D159" s="104" t="s">
        <v>88</v>
      </c>
      <c r="E159" s="104" t="s">
        <v>922</v>
      </c>
      <c r="F159" s="104"/>
      <c r="G159" s="105">
        <v>0</v>
      </c>
      <c r="H159" s="105">
        <v>0</v>
      </c>
      <c r="I159" s="105">
        <v>0</v>
      </c>
      <c r="J159" s="105">
        <v>0</v>
      </c>
      <c r="K159" s="105">
        <v>0</v>
      </c>
      <c r="L159" s="105">
        <v>0</v>
      </c>
      <c r="M159" s="106">
        <v>1007108847.6400385</v>
      </c>
      <c r="N159" s="106">
        <v>1085271076.0849669</v>
      </c>
      <c r="O159" s="106">
        <v>1369416814.0803549</v>
      </c>
      <c r="P159" s="106">
        <v>1636660284.6660507</v>
      </c>
      <c r="Q159" s="106">
        <v>2816992337.6648645</v>
      </c>
      <c r="R159" s="106">
        <v>4723247911.1615496</v>
      </c>
      <c r="S159" s="105">
        <v>0</v>
      </c>
      <c r="T159" s="105">
        <v>0</v>
      </c>
      <c r="U159" s="105">
        <v>0</v>
      </c>
      <c r="V159" s="105">
        <v>0</v>
      </c>
      <c r="W159" s="105">
        <v>0</v>
      </c>
      <c r="X159" s="105">
        <v>0</v>
      </c>
      <c r="Y159" s="106">
        <v>103294697.57207492</v>
      </c>
      <c r="Z159" s="106">
        <v>109821680.62462813</v>
      </c>
      <c r="AA159" s="106">
        <v>132254228.89046519</v>
      </c>
      <c r="AB159" s="108">
        <v>157290936.13089368</v>
      </c>
      <c r="AC159" s="108">
        <v>238562056.88902897</v>
      </c>
      <c r="AD159" s="108">
        <v>483376212.11477548</v>
      </c>
      <c r="AE159" s="108">
        <v>2883394037.9774313</v>
      </c>
      <c r="AF159" s="108">
        <v>3150019089.2095723</v>
      </c>
      <c r="AG159" s="108">
        <v>4011883579.2164464</v>
      </c>
      <c r="AH159" s="108">
        <v>7622949816.3971319</v>
      </c>
      <c r="AI159" s="108">
        <v>20250178931.248947</v>
      </c>
      <c r="AJ159" s="108">
        <v>48717035668.145966</v>
      </c>
      <c r="AK159" s="108">
        <v>193757341.35776007</v>
      </c>
      <c r="AL159" s="108">
        <v>225630342.35523924</v>
      </c>
      <c r="AM159" s="108">
        <v>328238267.29870933</v>
      </c>
      <c r="AN159" s="108">
        <v>534940615.77823263</v>
      </c>
      <c r="AO159" s="108">
        <v>1603397684.8176117</v>
      </c>
      <c r="AP159" s="108">
        <v>3100976833.6047516</v>
      </c>
      <c r="AQ159" s="108">
        <v>354504148.14654768</v>
      </c>
      <c r="AR159" s="108">
        <v>381781564.43769133</v>
      </c>
      <c r="AS159" s="108">
        <v>468831294.53976393</v>
      </c>
      <c r="AT159" s="108">
        <v>535801098.37961477</v>
      </c>
      <c r="AU159" s="108">
        <v>659030486.92144835</v>
      </c>
      <c r="AV159" s="108">
        <v>756696281.80879319</v>
      </c>
    </row>
    <row r="160" spans="1:48" x14ac:dyDescent="0.35">
      <c r="A160" s="107">
        <f xml:space="preserve"> ROW( slrImpacts[[#This Row],[row_id]] ) - ROW( slrImpacts[[#Headers],[row_id]] )</f>
        <v>159</v>
      </c>
      <c r="B160" s="104">
        <v>2057</v>
      </c>
      <c r="C160" s="104" t="s">
        <v>86</v>
      </c>
      <c r="D160" s="104" t="s">
        <v>88</v>
      </c>
      <c r="E160" s="104" t="s">
        <v>922</v>
      </c>
      <c r="F160" s="104"/>
      <c r="G160" s="105">
        <v>0</v>
      </c>
      <c r="H160" s="105">
        <v>0</v>
      </c>
      <c r="I160" s="105">
        <v>0</v>
      </c>
      <c r="J160" s="105">
        <v>0</v>
      </c>
      <c r="K160" s="105">
        <v>0</v>
      </c>
      <c r="L160" s="105">
        <v>0</v>
      </c>
      <c r="M160" s="106">
        <v>1012310316.4029794</v>
      </c>
      <c r="N160" s="106">
        <v>1092566816.1138134</v>
      </c>
      <c r="O160" s="106">
        <v>1386338214.1385832</v>
      </c>
      <c r="P160" s="106">
        <v>1663057457.1685967</v>
      </c>
      <c r="Q160" s="106">
        <v>3171607076.9819684</v>
      </c>
      <c r="R160" s="106">
        <v>5395184768.5802097</v>
      </c>
      <c r="S160" s="105">
        <v>0</v>
      </c>
      <c r="T160" s="105">
        <v>0</v>
      </c>
      <c r="U160" s="105">
        <v>0</v>
      </c>
      <c r="V160" s="105">
        <v>0</v>
      </c>
      <c r="W160" s="105">
        <v>0</v>
      </c>
      <c r="X160" s="105">
        <v>0</v>
      </c>
      <c r="Y160" s="106">
        <v>103564808.6297069</v>
      </c>
      <c r="Z160" s="106">
        <v>110335694.05442393</v>
      </c>
      <c r="AA160" s="106">
        <v>133413079.47830057</v>
      </c>
      <c r="AB160" s="108">
        <v>159158900.84965983</v>
      </c>
      <c r="AC160" s="108">
        <v>265108215.5111798</v>
      </c>
      <c r="AD160" s="108">
        <v>556855216.91195464</v>
      </c>
      <c r="AE160" s="108">
        <v>2907776042.8903928</v>
      </c>
      <c r="AF160" s="108">
        <v>3170400940.868341</v>
      </c>
      <c r="AG160" s="108">
        <v>4125355025.9924636</v>
      </c>
      <c r="AH160" s="108">
        <v>7811050736.8327188</v>
      </c>
      <c r="AI160" s="108">
        <v>25554975733.990189</v>
      </c>
      <c r="AJ160" s="108">
        <v>50052962052.190948</v>
      </c>
      <c r="AK160" s="108">
        <v>195313435.22302657</v>
      </c>
      <c r="AL160" s="108">
        <v>228053123.45119479</v>
      </c>
      <c r="AM160" s="108">
        <v>332587425.60292703</v>
      </c>
      <c r="AN160" s="108">
        <v>597849051.21704185</v>
      </c>
      <c r="AO160" s="108">
        <v>1744520808.1368432</v>
      </c>
      <c r="AP160" s="108">
        <v>3233710511.6553669</v>
      </c>
      <c r="AQ160" s="108">
        <v>357681004.50385326</v>
      </c>
      <c r="AR160" s="108">
        <v>385312780.29267204</v>
      </c>
      <c r="AS160" s="108">
        <v>473878099.96687782</v>
      </c>
      <c r="AT160" s="108">
        <v>539770030.70403898</v>
      </c>
      <c r="AU160" s="108">
        <v>695053361.3383193</v>
      </c>
      <c r="AV160" s="108">
        <v>843894033.82984388</v>
      </c>
    </row>
    <row r="161" spans="1:48" x14ac:dyDescent="0.35">
      <c r="A161" s="107">
        <f xml:space="preserve"> ROW( slrImpacts[[#This Row],[row_id]] ) - ROW( slrImpacts[[#Headers],[row_id]] )</f>
        <v>160</v>
      </c>
      <c r="B161" s="104">
        <v>2058</v>
      </c>
      <c r="C161" s="104" t="s">
        <v>86</v>
      </c>
      <c r="D161" s="104" t="s">
        <v>88</v>
      </c>
      <c r="E161" s="104" t="s">
        <v>922</v>
      </c>
      <c r="F161" s="104"/>
      <c r="G161" s="105">
        <v>0</v>
      </c>
      <c r="H161" s="105">
        <v>0</v>
      </c>
      <c r="I161" s="105">
        <v>0</v>
      </c>
      <c r="J161" s="105">
        <v>0</v>
      </c>
      <c r="K161" s="105">
        <v>0</v>
      </c>
      <c r="L161" s="105">
        <v>0</v>
      </c>
      <c r="M161" s="106">
        <v>1017511785.1659207</v>
      </c>
      <c r="N161" s="106">
        <v>1099862556.1426585</v>
      </c>
      <c r="O161" s="106">
        <v>1403259614.1968117</v>
      </c>
      <c r="P161" s="106">
        <v>1689454629.6711438</v>
      </c>
      <c r="Q161" s="106">
        <v>3526221816.2990732</v>
      </c>
      <c r="R161" s="106">
        <v>6067121625.9988718</v>
      </c>
      <c r="S161" s="105">
        <v>0</v>
      </c>
      <c r="T161" s="105">
        <v>0</v>
      </c>
      <c r="U161" s="105">
        <v>0</v>
      </c>
      <c r="V161" s="105">
        <v>0</v>
      </c>
      <c r="W161" s="105">
        <v>0</v>
      </c>
      <c r="X161" s="105">
        <v>0</v>
      </c>
      <c r="Y161" s="106">
        <v>103834919.68733892</v>
      </c>
      <c r="Z161" s="106">
        <v>110849707.4842198</v>
      </c>
      <c r="AA161" s="106">
        <v>134571930.06613588</v>
      </c>
      <c r="AB161" s="108">
        <v>161026865.56842595</v>
      </c>
      <c r="AC161" s="108">
        <v>291654374.13333058</v>
      </c>
      <c r="AD161" s="108">
        <v>630334221.70913386</v>
      </c>
      <c r="AE161" s="108">
        <v>2932158047.8033566</v>
      </c>
      <c r="AF161" s="108">
        <v>3190782792.5271087</v>
      </c>
      <c r="AG161" s="108">
        <v>4238826472.7684779</v>
      </c>
      <c r="AH161" s="108">
        <v>7999151657.2683039</v>
      </c>
      <c r="AI161" s="108">
        <v>30859772536.731453</v>
      </c>
      <c r="AJ161" s="108">
        <v>51388888436.235962</v>
      </c>
      <c r="AK161" s="108">
        <v>196869529.08829293</v>
      </c>
      <c r="AL161" s="108">
        <v>230475904.54715031</v>
      </c>
      <c r="AM161" s="108">
        <v>336936583.90714455</v>
      </c>
      <c r="AN161" s="108">
        <v>660757486.6558516</v>
      </c>
      <c r="AO161" s="108">
        <v>1885643931.4560752</v>
      </c>
      <c r="AP161" s="108">
        <v>3366444189.7059827</v>
      </c>
      <c r="AQ161" s="108">
        <v>360857860.86115891</v>
      </c>
      <c r="AR161" s="108">
        <v>388843996.14765286</v>
      </c>
      <c r="AS161" s="108">
        <v>478924905.39399171</v>
      </c>
      <c r="AT161" s="108">
        <v>543738963.0284636</v>
      </c>
      <c r="AU161" s="108">
        <v>731076235.75519085</v>
      </c>
      <c r="AV161" s="108">
        <v>931091785.85089493</v>
      </c>
    </row>
    <row r="162" spans="1:48" x14ac:dyDescent="0.35">
      <c r="A162" s="107">
        <f xml:space="preserve"> ROW( slrImpacts[[#This Row],[row_id]] ) - ROW( slrImpacts[[#Headers],[row_id]] )</f>
        <v>161</v>
      </c>
      <c r="B162" s="104">
        <v>2059</v>
      </c>
      <c r="C162" s="104" t="s">
        <v>86</v>
      </c>
      <c r="D162" s="104" t="s">
        <v>88</v>
      </c>
      <c r="E162" s="104" t="s">
        <v>922</v>
      </c>
      <c r="F162" s="104"/>
      <c r="G162" s="105">
        <v>0</v>
      </c>
      <c r="H162" s="105">
        <v>0</v>
      </c>
      <c r="I162" s="105">
        <v>0</v>
      </c>
      <c r="J162" s="105">
        <v>0</v>
      </c>
      <c r="K162" s="105">
        <v>0</v>
      </c>
      <c r="L162" s="105">
        <v>0</v>
      </c>
      <c r="M162" s="106">
        <v>1022713253.9288627</v>
      </c>
      <c r="N162" s="106">
        <v>1107158296.1715055</v>
      </c>
      <c r="O162" s="106">
        <v>1420181014.2550402</v>
      </c>
      <c r="P162" s="106">
        <v>1715851802.1736903</v>
      </c>
      <c r="Q162" s="106">
        <v>3880836555.6161766</v>
      </c>
      <c r="R162" s="106">
        <v>6739058483.4175348</v>
      </c>
      <c r="S162" s="105">
        <v>0</v>
      </c>
      <c r="T162" s="105">
        <v>0</v>
      </c>
      <c r="U162" s="105">
        <v>0</v>
      </c>
      <c r="V162" s="105">
        <v>0</v>
      </c>
      <c r="W162" s="105">
        <v>0</v>
      </c>
      <c r="X162" s="105">
        <v>0</v>
      </c>
      <c r="Y162" s="106">
        <v>104105030.7449709</v>
      </c>
      <c r="Z162" s="106">
        <v>111363720.91401573</v>
      </c>
      <c r="AA162" s="106">
        <v>135730780.6539712</v>
      </c>
      <c r="AB162" s="108">
        <v>162894830.28719196</v>
      </c>
      <c r="AC162" s="108">
        <v>318200532.75548148</v>
      </c>
      <c r="AD162" s="108">
        <v>703813226.50631332</v>
      </c>
      <c r="AE162" s="108">
        <v>2956540052.7163196</v>
      </c>
      <c r="AF162" s="108">
        <v>3211164644.1858754</v>
      </c>
      <c r="AG162" s="108">
        <v>4352297919.5444918</v>
      </c>
      <c r="AH162" s="108">
        <v>8187252577.7038946</v>
      </c>
      <c r="AI162" s="108">
        <v>36164569339.472702</v>
      </c>
      <c r="AJ162" s="108">
        <v>52724814820.280975</v>
      </c>
      <c r="AK162" s="108">
        <v>198425622.95355946</v>
      </c>
      <c r="AL162" s="108">
        <v>232898685.64310583</v>
      </c>
      <c r="AM162" s="108">
        <v>341285742.21136194</v>
      </c>
      <c r="AN162" s="108">
        <v>723665922.09466088</v>
      </c>
      <c r="AO162" s="108">
        <v>2026767054.7753074</v>
      </c>
      <c r="AP162" s="108">
        <v>3499177867.7565985</v>
      </c>
      <c r="AQ162" s="108">
        <v>364034717.21846449</v>
      </c>
      <c r="AR162" s="108">
        <v>392375212.00263375</v>
      </c>
      <c r="AS162" s="108">
        <v>483971710.82110566</v>
      </c>
      <c r="AT162" s="108">
        <v>547707895.35288775</v>
      </c>
      <c r="AU162" s="108">
        <v>767099110.17206204</v>
      </c>
      <c r="AV162" s="108">
        <v>1018289537.8719456</v>
      </c>
    </row>
    <row r="163" spans="1:48" x14ac:dyDescent="0.35">
      <c r="A163" s="107">
        <f xml:space="preserve"> ROW( slrImpacts[[#This Row],[row_id]] ) - ROW( slrImpacts[[#Headers],[row_id]] )</f>
        <v>162</v>
      </c>
      <c r="B163" s="104">
        <v>2060</v>
      </c>
      <c r="C163" s="104" t="s">
        <v>86</v>
      </c>
      <c r="D163" s="104" t="s">
        <v>88</v>
      </c>
      <c r="E163" s="104" t="s">
        <v>922</v>
      </c>
      <c r="F163" s="104"/>
      <c r="G163" s="105">
        <v>0</v>
      </c>
      <c r="H163" s="105">
        <v>0</v>
      </c>
      <c r="I163" s="105">
        <v>0</v>
      </c>
      <c r="J163" s="105">
        <v>0</v>
      </c>
      <c r="K163" s="105">
        <v>0</v>
      </c>
      <c r="L163" s="105">
        <v>0</v>
      </c>
      <c r="M163" s="106">
        <v>1028364104.1482886</v>
      </c>
      <c r="N163" s="106">
        <v>1115173919.1160781</v>
      </c>
      <c r="O163" s="106">
        <v>1438459284.5362439</v>
      </c>
      <c r="P163" s="106">
        <v>1743856713.1880279</v>
      </c>
      <c r="Q163" s="106">
        <v>4237379708.5620747</v>
      </c>
      <c r="R163" s="106">
        <v>7412736148.6142254</v>
      </c>
      <c r="S163" s="105">
        <v>0</v>
      </c>
      <c r="T163" s="105">
        <v>0</v>
      </c>
      <c r="U163" s="105">
        <v>0</v>
      </c>
      <c r="V163" s="105">
        <v>0</v>
      </c>
      <c r="W163" s="105">
        <v>0</v>
      </c>
      <c r="X163" s="105">
        <v>0</v>
      </c>
      <c r="Y163" s="106">
        <v>104383867.65612687</v>
      </c>
      <c r="Z163" s="106">
        <v>111893004.58747847</v>
      </c>
      <c r="AA163" s="106">
        <v>136963800.99676022</v>
      </c>
      <c r="AB163" s="108">
        <v>164919860.36938947</v>
      </c>
      <c r="AC163" s="108">
        <v>345204798.68764055</v>
      </c>
      <c r="AD163" s="108">
        <v>778003388.36569548</v>
      </c>
      <c r="AE163" s="108">
        <v>2986921081.9270072</v>
      </c>
      <c r="AF163" s="108">
        <v>3240784993.2631402</v>
      </c>
      <c r="AG163" s="108">
        <v>4477854673.4511986</v>
      </c>
      <c r="AH163" s="108">
        <v>8381849896.0880718</v>
      </c>
      <c r="AI163" s="108">
        <v>41481438360.564339</v>
      </c>
      <c r="AJ163" s="108">
        <v>54073755814.856987</v>
      </c>
      <c r="AK163" s="108">
        <v>200073338.28082749</v>
      </c>
      <c r="AL163" s="108">
        <v>235458898.93206382</v>
      </c>
      <c r="AM163" s="108">
        <v>346005749.29034787</v>
      </c>
      <c r="AN163" s="108">
        <v>786969202.40542996</v>
      </c>
      <c r="AO163" s="108">
        <v>2169628804.4091892</v>
      </c>
      <c r="AP163" s="108">
        <v>3634079920.4079189</v>
      </c>
      <c r="AQ163" s="108">
        <v>368564080.87198478</v>
      </c>
      <c r="AR163" s="108">
        <v>397392004.42006946</v>
      </c>
      <c r="AS163" s="108">
        <v>491594824.50117022</v>
      </c>
      <c r="AT163" s="108">
        <v>553330376.92010343</v>
      </c>
      <c r="AU163" s="108">
        <v>803305227.51293647</v>
      </c>
      <c r="AV163" s="108">
        <v>1105116441.1182277</v>
      </c>
    </row>
    <row r="164" spans="1:48" x14ac:dyDescent="0.35">
      <c r="A164" s="107">
        <f xml:space="preserve"> ROW( slrImpacts[[#This Row],[row_id]] ) - ROW( slrImpacts[[#Headers],[row_id]] )</f>
        <v>163</v>
      </c>
      <c r="B164" s="104">
        <v>2061</v>
      </c>
      <c r="C164" s="104" t="s">
        <v>86</v>
      </c>
      <c r="D164" s="104" t="s">
        <v>88</v>
      </c>
      <c r="E164" s="104" t="s">
        <v>922</v>
      </c>
      <c r="F164" s="104"/>
      <c r="G164" s="105">
        <v>0</v>
      </c>
      <c r="H164" s="105">
        <v>0</v>
      </c>
      <c r="I164" s="105">
        <v>0</v>
      </c>
      <c r="J164" s="105">
        <v>0</v>
      </c>
      <c r="K164" s="105">
        <v>0</v>
      </c>
      <c r="L164" s="105">
        <v>0</v>
      </c>
      <c r="M164" s="106">
        <v>1033711730.957756</v>
      </c>
      <c r="N164" s="106">
        <v>1122598365.4844022</v>
      </c>
      <c r="O164" s="106">
        <v>1455507209.4705694</v>
      </c>
      <c r="P164" s="106">
        <v>1770037920.8158562</v>
      </c>
      <c r="Q164" s="106">
        <v>4591811204.9551754</v>
      </c>
      <c r="R164" s="106">
        <v>8083996752.3847818</v>
      </c>
      <c r="S164" s="105">
        <v>0</v>
      </c>
      <c r="T164" s="105">
        <v>0</v>
      </c>
      <c r="U164" s="105">
        <v>0</v>
      </c>
      <c r="V164" s="105">
        <v>0</v>
      </c>
      <c r="W164" s="105">
        <v>0</v>
      </c>
      <c r="X164" s="105">
        <v>0</v>
      </c>
      <c r="Y164" s="106">
        <v>104660523.10390186</v>
      </c>
      <c r="Z164" s="106">
        <v>112402655.09051231</v>
      </c>
      <c r="AA164" s="106">
        <v>138140103.29164353</v>
      </c>
      <c r="AB164" s="108">
        <v>166787825.08815563</v>
      </c>
      <c r="AC164" s="108">
        <v>372017095.84227234</v>
      </c>
      <c r="AD164" s="108">
        <v>851944863.39964509</v>
      </c>
      <c r="AE164" s="108">
        <v>3001848624.5467539</v>
      </c>
      <c r="AF164" s="108">
        <v>3259530747.3861637</v>
      </c>
      <c r="AG164" s="108">
        <v>4587449659.7991943</v>
      </c>
      <c r="AH164" s="108">
        <v>8557712806.9563036</v>
      </c>
      <c r="AI164" s="108">
        <v>46786800162.321266</v>
      </c>
      <c r="AJ164" s="108">
        <v>55412345765.690231</v>
      </c>
      <c r="AK164" s="108">
        <v>201638157.9996179</v>
      </c>
      <c r="AL164" s="108">
        <v>237881680.02801931</v>
      </c>
      <c r="AM164" s="108">
        <v>350330911.49737459</v>
      </c>
      <c r="AN164" s="108">
        <v>849805649.55266666</v>
      </c>
      <c r="AO164" s="108">
        <v>2311923373.5640135</v>
      </c>
      <c r="AP164" s="108">
        <v>3767723268.6884074</v>
      </c>
      <c r="AQ164" s="108">
        <v>371719122.5954805</v>
      </c>
      <c r="AR164" s="108">
        <v>400718162.71723694</v>
      </c>
      <c r="AS164" s="108">
        <v>496331862.12818348</v>
      </c>
      <c r="AT164" s="108">
        <v>555316359.03120673</v>
      </c>
      <c r="AU164" s="108">
        <v>836466021.97394693</v>
      </c>
      <c r="AV164" s="108">
        <v>1189757518.0567577</v>
      </c>
    </row>
    <row r="165" spans="1:48" x14ac:dyDescent="0.35">
      <c r="A165" s="107">
        <f xml:space="preserve"> ROW( slrImpacts[[#This Row],[row_id]] ) - ROW( slrImpacts[[#Headers],[row_id]] )</f>
        <v>164</v>
      </c>
      <c r="B165" s="104">
        <v>2062</v>
      </c>
      <c r="C165" s="104" t="s">
        <v>86</v>
      </c>
      <c r="D165" s="104" t="s">
        <v>88</v>
      </c>
      <c r="E165" s="104" t="s">
        <v>922</v>
      </c>
      <c r="F165" s="104"/>
      <c r="G165" s="105">
        <v>0</v>
      </c>
      <c r="H165" s="105">
        <v>0</v>
      </c>
      <c r="I165" s="105">
        <v>0</v>
      </c>
      <c r="J165" s="105">
        <v>0</v>
      </c>
      <c r="K165" s="105">
        <v>0</v>
      </c>
      <c r="L165" s="105">
        <v>0</v>
      </c>
      <c r="M165" s="106">
        <v>1039059357.7672241</v>
      </c>
      <c r="N165" s="106">
        <v>1130022811.8527274</v>
      </c>
      <c r="O165" s="106">
        <v>1472555134.4048955</v>
      </c>
      <c r="P165" s="106">
        <v>1796219128.4436851</v>
      </c>
      <c r="Q165" s="106">
        <v>4946242701.3482733</v>
      </c>
      <c r="R165" s="106">
        <v>8755257356.1553307</v>
      </c>
      <c r="S165" s="105">
        <v>0</v>
      </c>
      <c r="T165" s="105">
        <v>0</v>
      </c>
      <c r="U165" s="105">
        <v>0</v>
      </c>
      <c r="V165" s="105">
        <v>0</v>
      </c>
      <c r="W165" s="105">
        <v>0</v>
      </c>
      <c r="X165" s="105">
        <v>0</v>
      </c>
      <c r="Y165" s="106">
        <v>104937178.55167687</v>
      </c>
      <c r="Z165" s="106">
        <v>112912305.59354618</v>
      </c>
      <c r="AA165" s="106">
        <v>139316405.58652681</v>
      </c>
      <c r="AB165" s="108">
        <v>168655789.80692169</v>
      </c>
      <c r="AC165" s="108">
        <v>398829392.99690408</v>
      </c>
      <c r="AD165" s="108">
        <v>925886338.43359447</v>
      </c>
      <c r="AE165" s="108">
        <v>3016776167.166501</v>
      </c>
      <c r="AF165" s="108">
        <v>3278276501.5091887</v>
      </c>
      <c r="AG165" s="108">
        <v>4697044646.1471872</v>
      </c>
      <c r="AH165" s="108">
        <v>8733575717.8245335</v>
      </c>
      <c r="AI165" s="108">
        <v>52092161964.078209</v>
      </c>
      <c r="AJ165" s="108">
        <v>56750935716.523384</v>
      </c>
      <c r="AK165" s="108">
        <v>203202977.71840835</v>
      </c>
      <c r="AL165" s="108">
        <v>240304461.12397489</v>
      </c>
      <c r="AM165" s="108">
        <v>354656073.70440114</v>
      </c>
      <c r="AN165" s="108">
        <v>912642096.69990337</v>
      </c>
      <c r="AO165" s="108">
        <v>2454217942.7188382</v>
      </c>
      <c r="AP165" s="108">
        <v>3901366616.9688964</v>
      </c>
      <c r="AQ165" s="108">
        <v>374874164.31897604</v>
      </c>
      <c r="AR165" s="108">
        <v>404044321.01440459</v>
      </c>
      <c r="AS165" s="108">
        <v>501068899.75519669</v>
      </c>
      <c r="AT165" s="108">
        <v>557302341.14231002</v>
      </c>
      <c r="AU165" s="108">
        <v>869626816.43495774</v>
      </c>
      <c r="AV165" s="108">
        <v>1274398594.9952865</v>
      </c>
    </row>
    <row r="166" spans="1:48" x14ac:dyDescent="0.35">
      <c r="A166" s="107">
        <f xml:space="preserve"> ROW( slrImpacts[[#This Row],[row_id]] ) - ROW( slrImpacts[[#Headers],[row_id]] )</f>
        <v>165</v>
      </c>
      <c r="B166" s="104">
        <v>2063</v>
      </c>
      <c r="C166" s="104" t="s">
        <v>86</v>
      </c>
      <c r="D166" s="104" t="s">
        <v>88</v>
      </c>
      <c r="E166" s="104" t="s">
        <v>922</v>
      </c>
      <c r="F166" s="104"/>
      <c r="G166" s="105">
        <v>0</v>
      </c>
      <c r="H166" s="105">
        <v>0</v>
      </c>
      <c r="I166" s="105">
        <v>0</v>
      </c>
      <c r="J166" s="105">
        <v>0</v>
      </c>
      <c r="K166" s="105">
        <v>0</v>
      </c>
      <c r="L166" s="105">
        <v>0</v>
      </c>
      <c r="M166" s="106">
        <v>1044406984.5766917</v>
      </c>
      <c r="N166" s="106">
        <v>1137447258.2210517</v>
      </c>
      <c r="O166" s="106">
        <v>1489603059.3392196</v>
      </c>
      <c r="P166" s="106">
        <v>1822400336.0715139</v>
      </c>
      <c r="Q166" s="106">
        <v>5300674197.7413797</v>
      </c>
      <c r="R166" s="106">
        <v>9426517959.9258842</v>
      </c>
      <c r="S166" s="105">
        <v>0</v>
      </c>
      <c r="T166" s="105">
        <v>0</v>
      </c>
      <c r="U166" s="105">
        <v>0</v>
      </c>
      <c r="V166" s="105">
        <v>0</v>
      </c>
      <c r="W166" s="105">
        <v>0</v>
      </c>
      <c r="X166" s="105">
        <v>0</v>
      </c>
      <c r="Y166" s="106">
        <v>105213833.99945185</v>
      </c>
      <c r="Z166" s="106">
        <v>113421956.09658006</v>
      </c>
      <c r="AA166" s="106">
        <v>140492707.88141006</v>
      </c>
      <c r="AB166" s="108">
        <v>170523754.52568784</v>
      </c>
      <c r="AC166" s="108">
        <v>425641690.15153593</v>
      </c>
      <c r="AD166" s="108">
        <v>999827813.46754384</v>
      </c>
      <c r="AE166" s="108">
        <v>3031703709.7862492</v>
      </c>
      <c r="AF166" s="108">
        <v>3297022255.6322117</v>
      </c>
      <c r="AG166" s="108">
        <v>4806639632.495182</v>
      </c>
      <c r="AH166" s="108">
        <v>8909438628.6927605</v>
      </c>
      <c r="AI166" s="108">
        <v>57397523765.835114</v>
      </c>
      <c r="AJ166" s="108">
        <v>58089525667.356659</v>
      </c>
      <c r="AK166" s="108">
        <v>204767797.43719876</v>
      </c>
      <c r="AL166" s="108">
        <v>242727242.21993038</v>
      </c>
      <c r="AM166" s="108">
        <v>358981235.91142786</v>
      </c>
      <c r="AN166" s="108">
        <v>975478543.84713984</v>
      </c>
      <c r="AO166" s="108">
        <v>2596512511.873661</v>
      </c>
      <c r="AP166" s="108">
        <v>4035009965.2493854</v>
      </c>
      <c r="AQ166" s="108">
        <v>378029206.04247171</v>
      </c>
      <c r="AR166" s="108">
        <v>407370479.31157219</v>
      </c>
      <c r="AS166" s="108">
        <v>505805937.38220978</v>
      </c>
      <c r="AT166" s="108">
        <v>559288323.25341344</v>
      </c>
      <c r="AU166" s="108">
        <v>902787610.89596856</v>
      </c>
      <c r="AV166" s="108">
        <v>1359039671.9338155</v>
      </c>
    </row>
    <row r="167" spans="1:48" x14ac:dyDescent="0.35">
      <c r="A167" s="107">
        <f xml:space="preserve"> ROW( slrImpacts[[#This Row],[row_id]] ) - ROW( slrImpacts[[#Headers],[row_id]] )</f>
        <v>166</v>
      </c>
      <c r="B167" s="104">
        <v>2064</v>
      </c>
      <c r="C167" s="104" t="s">
        <v>86</v>
      </c>
      <c r="D167" s="104" t="s">
        <v>88</v>
      </c>
      <c r="E167" s="104" t="s">
        <v>922</v>
      </c>
      <c r="F167" s="104"/>
      <c r="G167" s="105">
        <v>0</v>
      </c>
      <c r="H167" s="105">
        <v>0</v>
      </c>
      <c r="I167" s="105">
        <v>0</v>
      </c>
      <c r="J167" s="105">
        <v>0</v>
      </c>
      <c r="K167" s="105">
        <v>0</v>
      </c>
      <c r="L167" s="105">
        <v>0</v>
      </c>
      <c r="M167" s="106">
        <v>1049754611.3861593</v>
      </c>
      <c r="N167" s="106">
        <v>1144871704.589376</v>
      </c>
      <c r="O167" s="106">
        <v>1506650984.273546</v>
      </c>
      <c r="P167" s="106">
        <v>1848581543.699342</v>
      </c>
      <c r="Q167" s="106">
        <v>5655105694.1344786</v>
      </c>
      <c r="R167" s="106">
        <v>10097778563.696438</v>
      </c>
      <c r="S167" s="105">
        <v>0</v>
      </c>
      <c r="T167" s="105">
        <v>0</v>
      </c>
      <c r="U167" s="105">
        <v>0</v>
      </c>
      <c r="V167" s="105">
        <v>0</v>
      </c>
      <c r="W167" s="105">
        <v>0</v>
      </c>
      <c r="X167" s="105">
        <v>0</v>
      </c>
      <c r="Y167" s="106">
        <v>105490489.44722679</v>
      </c>
      <c r="Z167" s="106">
        <v>113931606.59961392</v>
      </c>
      <c r="AA167" s="106">
        <v>141669010.17629325</v>
      </c>
      <c r="AB167" s="108">
        <v>172391719.24445397</v>
      </c>
      <c r="AC167" s="108">
        <v>452453987.30616778</v>
      </c>
      <c r="AD167" s="108">
        <v>1073769288.5014932</v>
      </c>
      <c r="AE167" s="108">
        <v>3046631252.4059949</v>
      </c>
      <c r="AF167" s="108">
        <v>3315768009.7552352</v>
      </c>
      <c r="AG167" s="108">
        <v>4916234618.8431721</v>
      </c>
      <c r="AH167" s="108">
        <v>9085301539.5609951</v>
      </c>
      <c r="AI167" s="108">
        <v>62702885567.592033</v>
      </c>
      <c r="AJ167" s="108">
        <v>59428115618.189857</v>
      </c>
      <c r="AK167" s="108">
        <v>206332617.15598917</v>
      </c>
      <c r="AL167" s="108">
        <v>245150023.31588584</v>
      </c>
      <c r="AM167" s="108">
        <v>363306398.11845446</v>
      </c>
      <c r="AN167" s="108">
        <v>1038314990.9943765</v>
      </c>
      <c r="AO167" s="108">
        <v>2738807081.0284858</v>
      </c>
      <c r="AP167" s="108">
        <v>4168653313.5298738</v>
      </c>
      <c r="AQ167" s="108">
        <v>381184247.76596749</v>
      </c>
      <c r="AR167" s="108">
        <v>410696637.60873985</v>
      </c>
      <c r="AS167" s="108">
        <v>510542975.00922298</v>
      </c>
      <c r="AT167" s="108">
        <v>561274305.36451685</v>
      </c>
      <c r="AU167" s="108">
        <v>935948405.35697889</v>
      </c>
      <c r="AV167" s="108">
        <v>1443680748.8723452</v>
      </c>
    </row>
    <row r="168" spans="1:48" x14ac:dyDescent="0.35">
      <c r="A168" s="107">
        <f xml:space="preserve"> ROW( slrImpacts[[#This Row],[row_id]] ) - ROW( slrImpacts[[#Headers],[row_id]] )</f>
        <v>167</v>
      </c>
      <c r="B168" s="104">
        <v>2065</v>
      </c>
      <c r="C168" s="104" t="s">
        <v>86</v>
      </c>
      <c r="D168" s="104" t="s">
        <v>88</v>
      </c>
      <c r="E168" s="104" t="s">
        <v>922</v>
      </c>
      <c r="F168" s="104"/>
      <c r="G168" s="105">
        <v>0</v>
      </c>
      <c r="H168" s="105">
        <v>0</v>
      </c>
      <c r="I168" s="105">
        <v>0</v>
      </c>
      <c r="J168" s="105">
        <v>0</v>
      </c>
      <c r="K168" s="105">
        <v>0</v>
      </c>
      <c r="L168" s="105">
        <v>0</v>
      </c>
      <c r="M168" s="106">
        <v>1059913746.4328437</v>
      </c>
      <c r="N168" s="106">
        <v>1157239409.0590324</v>
      </c>
      <c r="O168" s="106">
        <v>1529014702.2681835</v>
      </c>
      <c r="P168" s="106">
        <v>2006684702.2235749</v>
      </c>
      <c r="Q168" s="106">
        <v>6444927448.6306849</v>
      </c>
      <c r="R168" s="106">
        <v>11622316531.482374</v>
      </c>
      <c r="S168" s="105">
        <v>0</v>
      </c>
      <c r="T168" s="105">
        <v>0</v>
      </c>
      <c r="U168" s="105">
        <v>0</v>
      </c>
      <c r="V168" s="105">
        <v>0</v>
      </c>
      <c r="W168" s="105">
        <v>0</v>
      </c>
      <c r="X168" s="105">
        <v>0</v>
      </c>
      <c r="Y168" s="106">
        <v>106023517.71401072</v>
      </c>
      <c r="Z168" s="106">
        <v>114780902.83164306</v>
      </c>
      <c r="AA168" s="106">
        <v>143836606.33840325</v>
      </c>
      <c r="AB168" s="108">
        <v>180061446.35764387</v>
      </c>
      <c r="AC168" s="108">
        <v>537893319.23353148</v>
      </c>
      <c r="AD168" s="108">
        <v>1122127834.042119</v>
      </c>
      <c r="AE168" s="108">
        <v>3068145902.2496533</v>
      </c>
      <c r="AF168" s="108">
        <v>3345513049.0660453</v>
      </c>
      <c r="AG168" s="108">
        <v>5268894889.1771278</v>
      </c>
      <c r="AH168" s="108">
        <v>13608750041.212584</v>
      </c>
      <c r="AI168" s="108">
        <v>66827232522.097946</v>
      </c>
      <c r="AJ168" s="108">
        <v>60801824103.604668</v>
      </c>
      <c r="AK168" s="108">
        <v>209331600.38190782</v>
      </c>
      <c r="AL168" s="108">
        <v>249718399.09853473</v>
      </c>
      <c r="AM168" s="108">
        <v>372439729.38251472</v>
      </c>
      <c r="AN168" s="108">
        <v>1187970371.8255472</v>
      </c>
      <c r="AO168" s="108">
        <v>3060157086.9293661</v>
      </c>
      <c r="AP168" s="108">
        <v>4864352582.4689226</v>
      </c>
      <c r="AQ168" s="108">
        <v>385634399.98207939</v>
      </c>
      <c r="AR168" s="108">
        <v>415644242.40177989</v>
      </c>
      <c r="AS168" s="108">
        <v>520579829.34199953</v>
      </c>
      <c r="AT168" s="108">
        <v>592153808.4451313</v>
      </c>
      <c r="AU168" s="108">
        <v>1001005471.2952046</v>
      </c>
      <c r="AV168" s="108">
        <v>1519843825.6611695</v>
      </c>
    </row>
    <row r="169" spans="1:48" x14ac:dyDescent="0.35">
      <c r="A169" s="107">
        <f xml:space="preserve"> ROW( slrImpacts[[#This Row],[row_id]] ) - ROW( slrImpacts[[#Headers],[row_id]] )</f>
        <v>168</v>
      </c>
      <c r="B169" s="104">
        <v>2066</v>
      </c>
      <c r="C169" s="104" t="s">
        <v>86</v>
      </c>
      <c r="D169" s="104" t="s">
        <v>88</v>
      </c>
      <c r="E169" s="104" t="s">
        <v>922</v>
      </c>
      <c r="F169" s="104"/>
      <c r="G169" s="105">
        <v>0</v>
      </c>
      <c r="H169" s="105">
        <v>0</v>
      </c>
      <c r="I169" s="105">
        <v>0</v>
      </c>
      <c r="J169" s="105">
        <v>0</v>
      </c>
      <c r="K169" s="105">
        <v>0</v>
      </c>
      <c r="L169" s="105">
        <v>0</v>
      </c>
      <c r="M169" s="106">
        <v>1065174636.1265448</v>
      </c>
      <c r="N169" s="106">
        <v>1162902550.0760915</v>
      </c>
      <c r="O169" s="106">
        <v>1535687365.551471</v>
      </c>
      <c r="P169" s="106">
        <v>2140214391.6317685</v>
      </c>
      <c r="Q169" s="106">
        <v>6882246120.3625822</v>
      </c>
      <c r="R169" s="106">
        <v>12477334703.275784</v>
      </c>
      <c r="S169" s="105">
        <v>0</v>
      </c>
      <c r="T169" s="105">
        <v>0</v>
      </c>
      <c r="U169" s="105">
        <v>0</v>
      </c>
      <c r="V169" s="105">
        <v>0</v>
      </c>
      <c r="W169" s="105">
        <v>0</v>
      </c>
      <c r="X169" s="105">
        <v>0</v>
      </c>
      <c r="Y169" s="106">
        <v>106288616.3865436</v>
      </c>
      <c r="Z169" s="106">
        <v>115135818.80430526</v>
      </c>
      <c r="AA169" s="106">
        <v>144902069.96058363</v>
      </c>
      <c r="AB169" s="108">
        <v>186020274.1154989</v>
      </c>
      <c r="AC169" s="108">
        <v>596978461.31627154</v>
      </c>
      <c r="AD169" s="108">
        <v>1097256061.6109984</v>
      </c>
      <c r="AE169" s="108">
        <v>3080732033.7712936</v>
      </c>
      <c r="AF169" s="108">
        <v>3365750831.6723328</v>
      </c>
      <c r="AG169" s="108">
        <v>5524045480.2937689</v>
      </c>
      <c r="AH169" s="108">
        <v>17962832029.944561</v>
      </c>
      <c r="AI169" s="108">
        <v>65658289893.197327</v>
      </c>
      <c r="AJ169" s="108">
        <v>60849957248.717239</v>
      </c>
      <c r="AK169" s="108">
        <v>210857385.35103771</v>
      </c>
      <c r="AL169" s="108">
        <v>252001425.9782306</v>
      </c>
      <c r="AM169" s="108">
        <v>377618747.21431684</v>
      </c>
      <c r="AN169" s="108">
        <v>1275184150.3814399</v>
      </c>
      <c r="AO169" s="108">
        <v>3240951149.9900727</v>
      </c>
      <c r="AP169" s="108">
        <v>5428576877.7281876</v>
      </c>
      <c r="AQ169" s="108">
        <v>388282017.77091014</v>
      </c>
      <c r="AR169" s="108">
        <v>418751265.46010727</v>
      </c>
      <c r="AS169" s="108">
        <v>528455954.30071324</v>
      </c>
      <c r="AT169" s="108">
        <v>622700878.65743387</v>
      </c>
      <c r="AU169" s="108">
        <v>1033084985.6964232</v>
      </c>
      <c r="AV169" s="108">
        <v>1510994976.7366965</v>
      </c>
    </row>
    <row r="170" spans="1:48" x14ac:dyDescent="0.35">
      <c r="A170" s="107">
        <f xml:space="preserve"> ROW( slrImpacts[[#This Row],[row_id]] ) - ROW( slrImpacts[[#Headers],[row_id]] )</f>
        <v>169</v>
      </c>
      <c r="B170" s="104">
        <v>2067</v>
      </c>
      <c r="C170" s="104" t="s">
        <v>86</v>
      </c>
      <c r="D170" s="104" t="s">
        <v>88</v>
      </c>
      <c r="E170" s="104" t="s">
        <v>922</v>
      </c>
      <c r="F170" s="104"/>
      <c r="G170" s="105">
        <v>0</v>
      </c>
      <c r="H170" s="105">
        <v>0</v>
      </c>
      <c r="I170" s="105">
        <v>0</v>
      </c>
      <c r="J170" s="105">
        <v>0</v>
      </c>
      <c r="K170" s="105">
        <v>0</v>
      </c>
      <c r="L170" s="105">
        <v>0</v>
      </c>
      <c r="M170" s="106">
        <v>1070435525.8202466</v>
      </c>
      <c r="N170" s="106">
        <v>1168565691.0931504</v>
      </c>
      <c r="O170" s="106">
        <v>1542360028.8347583</v>
      </c>
      <c r="P170" s="106">
        <v>2273744081.0399632</v>
      </c>
      <c r="Q170" s="106">
        <v>7319564792.0944862</v>
      </c>
      <c r="R170" s="106">
        <v>13332352875.069202</v>
      </c>
      <c r="S170" s="105">
        <v>0</v>
      </c>
      <c r="T170" s="105">
        <v>0</v>
      </c>
      <c r="U170" s="105">
        <v>0</v>
      </c>
      <c r="V170" s="105">
        <v>0</v>
      </c>
      <c r="W170" s="105">
        <v>0</v>
      </c>
      <c r="X170" s="105">
        <v>0</v>
      </c>
      <c r="Y170" s="106">
        <v>106553715.05907655</v>
      </c>
      <c r="Z170" s="106">
        <v>115490734.77696748</v>
      </c>
      <c r="AA170" s="106">
        <v>145967533.58276397</v>
      </c>
      <c r="AB170" s="108">
        <v>191979101.87335402</v>
      </c>
      <c r="AC170" s="108">
        <v>656063603.39901209</v>
      </c>
      <c r="AD170" s="108">
        <v>1072384289.179878</v>
      </c>
      <c r="AE170" s="108">
        <v>3093318165.292933</v>
      </c>
      <c r="AF170" s="108">
        <v>3385988614.2786164</v>
      </c>
      <c r="AG170" s="108">
        <v>5779196071.4104156</v>
      </c>
      <c r="AH170" s="108">
        <v>22316914018.676498</v>
      </c>
      <c r="AI170" s="108">
        <v>64489347264.296738</v>
      </c>
      <c r="AJ170" s="108">
        <v>60898090393.829819</v>
      </c>
      <c r="AK170" s="108">
        <v>212383170.3201676</v>
      </c>
      <c r="AL170" s="108">
        <v>254284452.85792646</v>
      </c>
      <c r="AM170" s="108">
        <v>382797765.04611915</v>
      </c>
      <c r="AN170" s="108">
        <v>1362397928.9373338</v>
      </c>
      <c r="AO170" s="108">
        <v>3421745213.0507755</v>
      </c>
      <c r="AP170" s="108">
        <v>5992801172.9874516</v>
      </c>
      <c r="AQ170" s="108">
        <v>390929635.55974114</v>
      </c>
      <c r="AR170" s="108">
        <v>421858288.51843488</v>
      </c>
      <c r="AS170" s="108">
        <v>536332079.25942719</v>
      </c>
      <c r="AT170" s="108">
        <v>653247948.86973643</v>
      </c>
      <c r="AU170" s="108">
        <v>1065164500.0976415</v>
      </c>
      <c r="AV170" s="108">
        <v>1502146127.8122234</v>
      </c>
    </row>
    <row r="171" spans="1:48" x14ac:dyDescent="0.35">
      <c r="A171" s="107">
        <f xml:space="preserve"> ROW( slrImpacts[[#This Row],[row_id]] ) - ROW( slrImpacts[[#Headers],[row_id]] )</f>
        <v>170</v>
      </c>
      <c r="B171" s="104">
        <v>2068</v>
      </c>
      <c r="C171" s="104" t="s">
        <v>86</v>
      </c>
      <c r="D171" s="104" t="s">
        <v>88</v>
      </c>
      <c r="E171" s="104" t="s">
        <v>922</v>
      </c>
      <c r="F171" s="104"/>
      <c r="G171" s="105">
        <v>0</v>
      </c>
      <c r="H171" s="105">
        <v>0</v>
      </c>
      <c r="I171" s="105">
        <v>0</v>
      </c>
      <c r="J171" s="105">
        <v>0</v>
      </c>
      <c r="K171" s="105">
        <v>0</v>
      </c>
      <c r="L171" s="105">
        <v>0</v>
      </c>
      <c r="M171" s="106">
        <v>1075696415.5139475</v>
      </c>
      <c r="N171" s="106">
        <v>1174228832.1102092</v>
      </c>
      <c r="O171" s="106">
        <v>1549032692.1180482</v>
      </c>
      <c r="P171" s="106">
        <v>2407273770.4481564</v>
      </c>
      <c r="Q171" s="106">
        <v>7756883463.8263855</v>
      </c>
      <c r="R171" s="106">
        <v>14187371046.86261</v>
      </c>
      <c r="S171" s="105">
        <v>0</v>
      </c>
      <c r="T171" s="105">
        <v>0</v>
      </c>
      <c r="U171" s="105">
        <v>0</v>
      </c>
      <c r="V171" s="105">
        <v>0</v>
      </c>
      <c r="W171" s="105">
        <v>0</v>
      </c>
      <c r="X171" s="105">
        <v>0</v>
      </c>
      <c r="Y171" s="106">
        <v>106818813.73160936</v>
      </c>
      <c r="Z171" s="106">
        <v>115845650.74962963</v>
      </c>
      <c r="AA171" s="106">
        <v>147032997.20494434</v>
      </c>
      <c r="AB171" s="108">
        <v>197937929.63120911</v>
      </c>
      <c r="AC171" s="108">
        <v>715148745.48175192</v>
      </c>
      <c r="AD171" s="108">
        <v>1047512516.7487572</v>
      </c>
      <c r="AE171" s="108">
        <v>3105904296.8145719</v>
      </c>
      <c r="AF171" s="108">
        <v>3406226396.8849034</v>
      </c>
      <c r="AG171" s="108">
        <v>6034346662.5270567</v>
      </c>
      <c r="AH171" s="108">
        <v>26670996007.408482</v>
      </c>
      <c r="AI171" s="108">
        <v>63320404635.396118</v>
      </c>
      <c r="AJ171" s="108">
        <v>60946223538.942398</v>
      </c>
      <c r="AK171" s="108">
        <v>213908955.28929749</v>
      </c>
      <c r="AL171" s="108">
        <v>256567479.73762226</v>
      </c>
      <c r="AM171" s="108">
        <v>387976782.87792134</v>
      </c>
      <c r="AN171" s="108">
        <v>1449611707.493227</v>
      </c>
      <c r="AO171" s="108">
        <v>3602539276.1114817</v>
      </c>
      <c r="AP171" s="108">
        <v>6557025468.2467175</v>
      </c>
      <c r="AQ171" s="108">
        <v>393577253.3485719</v>
      </c>
      <c r="AR171" s="108">
        <v>424965311.57676244</v>
      </c>
      <c r="AS171" s="108">
        <v>544208204.21814108</v>
      </c>
      <c r="AT171" s="108">
        <v>683795019.08203936</v>
      </c>
      <c r="AU171" s="108">
        <v>1097244014.4988601</v>
      </c>
      <c r="AV171" s="108">
        <v>1493297278.8877509</v>
      </c>
    </row>
    <row r="172" spans="1:48" x14ac:dyDescent="0.35">
      <c r="A172" s="107">
        <f xml:space="preserve"> ROW( slrImpacts[[#This Row],[row_id]] ) - ROW( slrImpacts[[#Headers],[row_id]] )</f>
        <v>171</v>
      </c>
      <c r="B172" s="104">
        <v>2069</v>
      </c>
      <c r="C172" s="104" t="s">
        <v>86</v>
      </c>
      <c r="D172" s="104" t="s">
        <v>88</v>
      </c>
      <c r="E172" s="104" t="s">
        <v>922</v>
      </c>
      <c r="F172" s="104"/>
      <c r="G172" s="105">
        <v>0</v>
      </c>
      <c r="H172" s="105">
        <v>0</v>
      </c>
      <c r="I172" s="105">
        <v>0</v>
      </c>
      <c r="J172" s="105">
        <v>0</v>
      </c>
      <c r="K172" s="105">
        <v>0</v>
      </c>
      <c r="L172" s="105">
        <v>0</v>
      </c>
      <c r="M172" s="106">
        <v>1080957305.207648</v>
      </c>
      <c r="N172" s="106">
        <v>1179891973.1272683</v>
      </c>
      <c r="O172" s="106">
        <v>1555705355.401335</v>
      </c>
      <c r="P172" s="106">
        <v>2540803459.8563509</v>
      </c>
      <c r="Q172" s="106">
        <v>8194202135.5582848</v>
      </c>
      <c r="R172" s="106">
        <v>15042389218.656023</v>
      </c>
      <c r="S172" s="105">
        <v>0</v>
      </c>
      <c r="T172" s="105">
        <v>0</v>
      </c>
      <c r="U172" s="105">
        <v>0</v>
      </c>
      <c r="V172" s="105">
        <v>0</v>
      </c>
      <c r="W172" s="105">
        <v>0</v>
      </c>
      <c r="X172" s="105">
        <v>0</v>
      </c>
      <c r="Y172" s="106">
        <v>107083912.40414223</v>
      </c>
      <c r="Z172" s="106">
        <v>116200566.72229184</v>
      </c>
      <c r="AA172" s="106">
        <v>148098460.82712474</v>
      </c>
      <c r="AB172" s="108">
        <v>203896757.38906422</v>
      </c>
      <c r="AC172" s="108">
        <v>774233887.56449187</v>
      </c>
      <c r="AD172" s="108">
        <v>1022640744.3176365</v>
      </c>
      <c r="AE172" s="108">
        <v>3118490428.3362126</v>
      </c>
      <c r="AF172" s="108">
        <v>3426464179.4911866</v>
      </c>
      <c r="AG172" s="108">
        <v>6289497253.6437006</v>
      </c>
      <c r="AH172" s="108">
        <v>31025077996.140438</v>
      </c>
      <c r="AI172" s="108">
        <v>62151462006.495476</v>
      </c>
      <c r="AJ172" s="108">
        <v>60994356684.05497</v>
      </c>
      <c r="AK172" s="108">
        <v>215434740.25842738</v>
      </c>
      <c r="AL172" s="108">
        <v>258850506.61731818</v>
      </c>
      <c r="AM172" s="108">
        <v>393155800.70972365</v>
      </c>
      <c r="AN172" s="108">
        <v>1536825486.0491199</v>
      </c>
      <c r="AO172" s="108">
        <v>3783333339.1721869</v>
      </c>
      <c r="AP172" s="108">
        <v>7121249763.5059814</v>
      </c>
      <c r="AQ172" s="108">
        <v>396224871.13740271</v>
      </c>
      <c r="AR172" s="108">
        <v>428072334.63508987</v>
      </c>
      <c r="AS172" s="108">
        <v>552084329.17685497</v>
      </c>
      <c r="AT172" s="108">
        <v>714342089.2943418</v>
      </c>
      <c r="AU172" s="108">
        <v>1129323528.9000783</v>
      </c>
      <c r="AV172" s="108">
        <v>1484448429.9632783</v>
      </c>
    </row>
    <row r="173" spans="1:48" x14ac:dyDescent="0.35">
      <c r="A173" s="107">
        <f xml:space="preserve"> ROW( slrImpacts[[#This Row],[row_id]] ) - ROW( slrImpacts[[#Headers],[row_id]] )</f>
        <v>172</v>
      </c>
      <c r="B173" s="104">
        <v>2070</v>
      </c>
      <c r="C173" s="104" t="s">
        <v>86</v>
      </c>
      <c r="D173" s="104" t="s">
        <v>88</v>
      </c>
      <c r="E173" s="104" t="s">
        <v>922</v>
      </c>
      <c r="F173" s="104"/>
      <c r="G173" s="105">
        <v>0</v>
      </c>
      <c r="H173" s="105">
        <v>0</v>
      </c>
      <c r="I173" s="105">
        <v>0</v>
      </c>
      <c r="J173" s="105">
        <v>0</v>
      </c>
      <c r="K173" s="105">
        <v>0</v>
      </c>
      <c r="L173" s="105">
        <v>0</v>
      </c>
      <c r="M173" s="106">
        <v>1086643580.2606428</v>
      </c>
      <c r="N173" s="106">
        <v>1186117931.6966226</v>
      </c>
      <c r="O173" s="106">
        <v>1563523286.9596438</v>
      </c>
      <c r="P173" s="106">
        <v>2675733648.7551427</v>
      </c>
      <c r="Q173" s="106">
        <v>8632109802.4030514</v>
      </c>
      <c r="R173" s="106">
        <v>15898338875.313122</v>
      </c>
      <c r="S173" s="105">
        <v>0</v>
      </c>
      <c r="T173" s="105">
        <v>0</v>
      </c>
      <c r="U173" s="105">
        <v>0</v>
      </c>
      <c r="V173" s="105">
        <v>0</v>
      </c>
      <c r="W173" s="105">
        <v>0</v>
      </c>
      <c r="X173" s="105">
        <v>0</v>
      </c>
      <c r="Y173" s="106">
        <v>107355555.46681812</v>
      </c>
      <c r="Z173" s="106">
        <v>116579478.792145</v>
      </c>
      <c r="AA173" s="106">
        <v>149275179.08173564</v>
      </c>
      <c r="AB173" s="108">
        <v>210003924.65682676</v>
      </c>
      <c r="AC173" s="108">
        <v>833855669.63895607</v>
      </c>
      <c r="AD173" s="108">
        <v>998748448.94458103</v>
      </c>
      <c r="AE173" s="108">
        <v>3137374444.6387739</v>
      </c>
      <c r="AF173" s="108">
        <v>3451525177.6328444</v>
      </c>
      <c r="AG173" s="108">
        <v>6548871157.8659449</v>
      </c>
      <c r="AH173" s="108">
        <v>35362085670.989395</v>
      </c>
      <c r="AI173" s="108">
        <v>60962161961.323456</v>
      </c>
      <c r="AJ173" s="108">
        <v>61041065333.579788</v>
      </c>
      <c r="AK173" s="108">
        <v>217045602.29941598</v>
      </c>
      <c r="AL173" s="108">
        <v>261255695.44634947</v>
      </c>
      <c r="AM173" s="108">
        <v>398513698.53876698</v>
      </c>
      <c r="AN173" s="108">
        <v>1624922757.2743144</v>
      </c>
      <c r="AO173" s="108">
        <v>3964851648.0753813</v>
      </c>
      <c r="AP173" s="108">
        <v>7685652938.7624865</v>
      </c>
      <c r="AQ173" s="108">
        <v>399448395.25881517</v>
      </c>
      <c r="AR173" s="108">
        <v>432185012.3120544</v>
      </c>
      <c r="AS173" s="108">
        <v>561053367.28944552</v>
      </c>
      <c r="AT173" s="108">
        <v>743791883.42600596</v>
      </c>
      <c r="AU173" s="108">
        <v>1158645673.5877242</v>
      </c>
      <c r="AV173" s="108">
        <v>1472187772.3109348</v>
      </c>
    </row>
    <row r="174" spans="1:48" x14ac:dyDescent="0.35">
      <c r="A174" s="107">
        <f xml:space="preserve"> ROW( slrImpacts[[#This Row],[row_id]] ) - ROW( slrImpacts[[#Headers],[row_id]] )</f>
        <v>173</v>
      </c>
      <c r="B174" s="104">
        <v>2071</v>
      </c>
      <c r="C174" s="104" t="s">
        <v>86</v>
      </c>
      <c r="D174" s="104" t="s">
        <v>88</v>
      </c>
      <c r="E174" s="104" t="s">
        <v>922</v>
      </c>
      <c r="F174" s="104"/>
      <c r="G174" s="105">
        <v>0</v>
      </c>
      <c r="H174" s="105">
        <v>0</v>
      </c>
      <c r="I174" s="105">
        <v>0</v>
      </c>
      <c r="J174" s="105">
        <v>0</v>
      </c>
      <c r="K174" s="105">
        <v>0</v>
      </c>
      <c r="L174" s="105">
        <v>0</v>
      </c>
      <c r="M174" s="106">
        <v>1091880473.8571527</v>
      </c>
      <c r="N174" s="106">
        <v>1191624007.3502507</v>
      </c>
      <c r="O174" s="106">
        <v>1569984348.2949753</v>
      </c>
      <c r="P174" s="106">
        <v>2809056099.1421428</v>
      </c>
      <c r="Q174" s="106">
        <v>9068089055.6190224</v>
      </c>
      <c r="R174" s="106">
        <v>16752547724.192177</v>
      </c>
      <c r="S174" s="105">
        <v>0</v>
      </c>
      <c r="T174" s="105">
        <v>0</v>
      </c>
      <c r="U174" s="105">
        <v>0</v>
      </c>
      <c r="V174" s="105">
        <v>0</v>
      </c>
      <c r="W174" s="105">
        <v>0</v>
      </c>
      <c r="X174" s="105">
        <v>0</v>
      </c>
      <c r="Y174" s="106">
        <v>107618472.67597002</v>
      </c>
      <c r="Z174" s="106">
        <v>116943120.61833113</v>
      </c>
      <c r="AA174" s="106">
        <v>150377727.58139282</v>
      </c>
      <c r="AB174" s="108">
        <v>215954026.56115785</v>
      </c>
      <c r="AC174" s="108">
        <v>893019344.40341198</v>
      </c>
      <c r="AD174" s="108">
        <v>974144996.50932229</v>
      </c>
      <c r="AE174" s="108">
        <v>3150259436.6436062</v>
      </c>
      <c r="AF174" s="108">
        <v>3467347678.3560042</v>
      </c>
      <c r="AG174" s="108">
        <v>6796159754.9574986</v>
      </c>
      <c r="AH174" s="108">
        <v>39692596947.889732</v>
      </c>
      <c r="AI174" s="108">
        <v>59760789697.801056</v>
      </c>
      <c r="AJ174" s="108">
        <v>61074759372.573601</v>
      </c>
      <c r="AK174" s="108">
        <v>218564842.8784028</v>
      </c>
      <c r="AL174" s="108">
        <v>263523452.08237842</v>
      </c>
      <c r="AM174" s="108">
        <v>403500747.5930419</v>
      </c>
      <c r="AN174" s="108">
        <v>1712625183.6275499</v>
      </c>
      <c r="AO174" s="108">
        <v>4144631330.6639256</v>
      </c>
      <c r="AP174" s="108">
        <v>8247887739.4182863</v>
      </c>
      <c r="AQ174" s="108">
        <v>401319412.08401322</v>
      </c>
      <c r="AR174" s="108">
        <v>434812113.42656398</v>
      </c>
      <c r="AS174" s="108">
        <v>567446097.14908528</v>
      </c>
      <c r="AT174" s="108">
        <v>771588128.31487858</v>
      </c>
      <c r="AU174" s="108">
        <v>1187784575.351366</v>
      </c>
      <c r="AV174" s="108">
        <v>1460297963.4333599</v>
      </c>
    </row>
    <row r="175" spans="1:48" x14ac:dyDescent="0.35">
      <c r="A175" s="107">
        <f xml:space="preserve"> ROW( slrImpacts[[#This Row],[row_id]] ) - ROW( slrImpacts[[#Headers],[row_id]] )</f>
        <v>174</v>
      </c>
      <c r="B175" s="104">
        <v>2072</v>
      </c>
      <c r="C175" s="104" t="s">
        <v>86</v>
      </c>
      <c r="D175" s="104" t="s">
        <v>88</v>
      </c>
      <c r="E175" s="104" t="s">
        <v>922</v>
      </c>
      <c r="F175" s="104"/>
      <c r="G175" s="105">
        <v>0</v>
      </c>
      <c r="H175" s="105">
        <v>0</v>
      </c>
      <c r="I175" s="105">
        <v>0</v>
      </c>
      <c r="J175" s="105">
        <v>0</v>
      </c>
      <c r="K175" s="105">
        <v>0</v>
      </c>
      <c r="L175" s="105">
        <v>0</v>
      </c>
      <c r="M175" s="106">
        <v>1097117367.4536624</v>
      </c>
      <c r="N175" s="106">
        <v>1197130083.0038781</v>
      </c>
      <c r="O175" s="106">
        <v>1576445409.6303077</v>
      </c>
      <c r="P175" s="106">
        <v>2942378549.5291419</v>
      </c>
      <c r="Q175" s="106">
        <v>9504068308.8349895</v>
      </c>
      <c r="R175" s="106">
        <v>17606756573.071251</v>
      </c>
      <c r="S175" s="105">
        <v>0</v>
      </c>
      <c r="T175" s="105">
        <v>0</v>
      </c>
      <c r="U175" s="105">
        <v>0</v>
      </c>
      <c r="V175" s="105">
        <v>0</v>
      </c>
      <c r="W175" s="105">
        <v>0</v>
      </c>
      <c r="X175" s="105">
        <v>0</v>
      </c>
      <c r="Y175" s="106">
        <v>107881389.8851219</v>
      </c>
      <c r="Z175" s="106">
        <v>117306762.44451733</v>
      </c>
      <c r="AA175" s="106">
        <v>151480276.0810501</v>
      </c>
      <c r="AB175" s="108">
        <v>221904128.46548903</v>
      </c>
      <c r="AC175" s="108">
        <v>952183019.16786778</v>
      </c>
      <c r="AD175" s="108">
        <v>949541544.07406378</v>
      </c>
      <c r="AE175" s="108">
        <v>3163144428.6484404</v>
      </c>
      <c r="AF175" s="108">
        <v>3483170179.0791612</v>
      </c>
      <c r="AG175" s="108">
        <v>7043448352.0490513</v>
      </c>
      <c r="AH175" s="108">
        <v>44023108224.790108</v>
      </c>
      <c r="AI175" s="108">
        <v>58559417434.278603</v>
      </c>
      <c r="AJ175" s="108">
        <v>61108453411.567429</v>
      </c>
      <c r="AK175" s="108">
        <v>220084083.45738983</v>
      </c>
      <c r="AL175" s="108">
        <v>265791208.71840724</v>
      </c>
      <c r="AM175" s="108">
        <v>408487796.64731705</v>
      </c>
      <c r="AN175" s="108">
        <v>1800327609.9807854</v>
      </c>
      <c r="AO175" s="108">
        <v>4324411013.252471</v>
      </c>
      <c r="AP175" s="108">
        <v>8810122540.0740871</v>
      </c>
      <c r="AQ175" s="108">
        <v>403190428.90921116</v>
      </c>
      <c r="AR175" s="108">
        <v>437439214.54107326</v>
      </c>
      <c r="AS175" s="108">
        <v>573838827.00872517</v>
      </c>
      <c r="AT175" s="108">
        <v>799384373.20375133</v>
      </c>
      <c r="AU175" s="108">
        <v>1216923477.1150084</v>
      </c>
      <c r="AV175" s="108">
        <v>1448408154.5557854</v>
      </c>
    </row>
    <row r="176" spans="1:48" x14ac:dyDescent="0.35">
      <c r="A176" s="107">
        <f xml:space="preserve"> ROW( slrImpacts[[#This Row],[row_id]] ) - ROW( slrImpacts[[#Headers],[row_id]] )</f>
        <v>175</v>
      </c>
      <c r="B176" s="104">
        <v>2073</v>
      </c>
      <c r="C176" s="104" t="s">
        <v>86</v>
      </c>
      <c r="D176" s="104" t="s">
        <v>88</v>
      </c>
      <c r="E176" s="104" t="s">
        <v>922</v>
      </c>
      <c r="F176" s="104"/>
      <c r="G176" s="105">
        <v>0</v>
      </c>
      <c r="H176" s="105">
        <v>0</v>
      </c>
      <c r="I176" s="105">
        <v>0</v>
      </c>
      <c r="J176" s="105">
        <v>0</v>
      </c>
      <c r="K176" s="105">
        <v>0</v>
      </c>
      <c r="L176" s="105">
        <v>0</v>
      </c>
      <c r="M176" s="106">
        <v>1102354261.050173</v>
      </c>
      <c r="N176" s="106">
        <v>1202636158.6575055</v>
      </c>
      <c r="O176" s="106">
        <v>1582906470.9656389</v>
      </c>
      <c r="P176" s="106">
        <v>3075700999.9161429</v>
      </c>
      <c r="Q176" s="106">
        <v>9940047562.0509682</v>
      </c>
      <c r="R176" s="106">
        <v>18460965421.950314</v>
      </c>
      <c r="S176" s="105">
        <v>0</v>
      </c>
      <c r="T176" s="105">
        <v>0</v>
      </c>
      <c r="U176" s="105">
        <v>0</v>
      </c>
      <c r="V176" s="105">
        <v>0</v>
      </c>
      <c r="W176" s="105">
        <v>0</v>
      </c>
      <c r="X176" s="105">
        <v>0</v>
      </c>
      <c r="Y176" s="106">
        <v>108144307.09427382</v>
      </c>
      <c r="Z176" s="106">
        <v>117670404.27070343</v>
      </c>
      <c r="AA176" s="106">
        <v>152582824.58070725</v>
      </c>
      <c r="AB176" s="108">
        <v>227854230.36982021</v>
      </c>
      <c r="AC176" s="108">
        <v>1011346693.9323236</v>
      </c>
      <c r="AD176" s="108">
        <v>924938091.63880479</v>
      </c>
      <c r="AE176" s="108">
        <v>3176029420.6532784</v>
      </c>
      <c r="AF176" s="108">
        <v>3498992679.8023224</v>
      </c>
      <c r="AG176" s="108">
        <v>7290736949.1405993</v>
      </c>
      <c r="AH176" s="108">
        <v>48353619501.690468</v>
      </c>
      <c r="AI176" s="108">
        <v>57358045170.756149</v>
      </c>
      <c r="AJ176" s="108">
        <v>61142147450.561226</v>
      </c>
      <c r="AK176" s="108">
        <v>221603324.03637671</v>
      </c>
      <c r="AL176" s="108">
        <v>268058965.35443616</v>
      </c>
      <c r="AM176" s="108">
        <v>413474845.70159191</v>
      </c>
      <c r="AN176" s="108">
        <v>1888030036.3340206</v>
      </c>
      <c r="AO176" s="108">
        <v>4504190695.8410139</v>
      </c>
      <c r="AP176" s="108">
        <v>9372357340.729887</v>
      </c>
      <c r="AQ176" s="108">
        <v>405061445.73440892</v>
      </c>
      <c r="AR176" s="108">
        <v>440066315.65558279</v>
      </c>
      <c r="AS176" s="108">
        <v>580231556.86836505</v>
      </c>
      <c r="AT176" s="108">
        <v>827180618.09262407</v>
      </c>
      <c r="AU176" s="108">
        <v>1246062378.8786507</v>
      </c>
      <c r="AV176" s="108">
        <v>1436518345.6782105</v>
      </c>
    </row>
    <row r="177" spans="1:48" x14ac:dyDescent="0.35">
      <c r="A177" s="107">
        <f xml:space="preserve"> ROW( slrImpacts[[#This Row],[row_id]] ) - ROW( slrImpacts[[#Headers],[row_id]] )</f>
        <v>176</v>
      </c>
      <c r="B177" s="104">
        <v>2074</v>
      </c>
      <c r="C177" s="104" t="s">
        <v>86</v>
      </c>
      <c r="D177" s="104" t="s">
        <v>88</v>
      </c>
      <c r="E177" s="104" t="s">
        <v>922</v>
      </c>
      <c r="F177" s="104"/>
      <c r="G177" s="105">
        <v>0</v>
      </c>
      <c r="H177" s="105">
        <v>0</v>
      </c>
      <c r="I177" s="105">
        <v>0</v>
      </c>
      <c r="J177" s="105">
        <v>0</v>
      </c>
      <c r="K177" s="105">
        <v>0</v>
      </c>
      <c r="L177" s="105">
        <v>0</v>
      </c>
      <c r="M177" s="106">
        <v>1107591154.6466827</v>
      </c>
      <c r="N177" s="106">
        <v>1208142234.3111324</v>
      </c>
      <c r="O177" s="106">
        <v>1589367532.3009713</v>
      </c>
      <c r="P177" s="106">
        <v>3209023450.3031454</v>
      </c>
      <c r="Q177" s="106">
        <v>10376026815.266932</v>
      </c>
      <c r="R177" s="106">
        <v>19315174270.82938</v>
      </c>
      <c r="S177" s="105">
        <v>0</v>
      </c>
      <c r="T177" s="105">
        <v>0</v>
      </c>
      <c r="U177" s="105">
        <v>0</v>
      </c>
      <c r="V177" s="105">
        <v>0</v>
      </c>
      <c r="W177" s="105">
        <v>0</v>
      </c>
      <c r="X177" s="105">
        <v>0</v>
      </c>
      <c r="Y177" s="106">
        <v>108407224.30342571</v>
      </c>
      <c r="Z177" s="106">
        <v>118034046.09688964</v>
      </c>
      <c r="AA177" s="106">
        <v>153685373.08036453</v>
      </c>
      <c r="AB177" s="108">
        <v>233804332.27415127</v>
      </c>
      <c r="AC177" s="108">
        <v>1070510368.6967794</v>
      </c>
      <c r="AD177" s="108">
        <v>900334639.20354593</v>
      </c>
      <c r="AE177" s="108">
        <v>3188914412.6581116</v>
      </c>
      <c r="AF177" s="108">
        <v>3514815180.5254793</v>
      </c>
      <c r="AG177" s="108">
        <v>7538025546.2321529</v>
      </c>
      <c r="AH177" s="108">
        <v>52684130778.590782</v>
      </c>
      <c r="AI177" s="108">
        <v>56156672907.233734</v>
      </c>
      <c r="AJ177" s="108">
        <v>61175841489.555031</v>
      </c>
      <c r="AK177" s="108">
        <v>223122564.6153636</v>
      </c>
      <c r="AL177" s="108">
        <v>270326721.99046504</v>
      </c>
      <c r="AM177" s="108">
        <v>418461894.75586694</v>
      </c>
      <c r="AN177" s="108">
        <v>1975732462.6872559</v>
      </c>
      <c r="AO177" s="108">
        <v>4683970378.4295588</v>
      </c>
      <c r="AP177" s="108">
        <v>9934592141.3856888</v>
      </c>
      <c r="AQ177" s="108">
        <v>406932462.55960715</v>
      </c>
      <c r="AR177" s="108">
        <v>442693416.77009219</v>
      </c>
      <c r="AS177" s="108">
        <v>586624286.72800493</v>
      </c>
      <c r="AT177" s="108">
        <v>854976862.98149633</v>
      </c>
      <c r="AU177" s="108">
        <v>1275201280.6422923</v>
      </c>
      <c r="AV177" s="108">
        <v>1424628536.8006353</v>
      </c>
    </row>
    <row r="178" spans="1:48" x14ac:dyDescent="0.35">
      <c r="A178" s="107">
        <f xml:space="preserve"> ROW( slrImpacts[[#This Row],[row_id]] ) - ROW( slrImpacts[[#Headers],[row_id]] )</f>
        <v>177</v>
      </c>
      <c r="B178" s="104">
        <v>2075</v>
      </c>
      <c r="C178" s="104" t="s">
        <v>86</v>
      </c>
      <c r="D178" s="104" t="s">
        <v>88</v>
      </c>
      <c r="E178" s="104" t="s">
        <v>922</v>
      </c>
      <c r="F178" s="104"/>
      <c r="G178" s="105">
        <v>0</v>
      </c>
      <c r="H178" s="105">
        <v>0</v>
      </c>
      <c r="I178" s="105">
        <v>0</v>
      </c>
      <c r="J178" s="105">
        <v>0</v>
      </c>
      <c r="K178" s="105">
        <v>0</v>
      </c>
      <c r="L178" s="105">
        <v>0</v>
      </c>
      <c r="M178" s="106">
        <v>1115305991.5340512</v>
      </c>
      <c r="N178" s="106">
        <v>1215865710.172699</v>
      </c>
      <c r="O178" s="106">
        <v>1619858836.7690818</v>
      </c>
      <c r="P178" s="106">
        <v>3772300105.5041494</v>
      </c>
      <c r="Q178" s="106">
        <v>11626405977.431614</v>
      </c>
      <c r="R178" s="106">
        <v>20907958957.817741</v>
      </c>
      <c r="S178" s="105">
        <v>0</v>
      </c>
      <c r="T178" s="105">
        <v>0</v>
      </c>
      <c r="U178" s="105">
        <v>0</v>
      </c>
      <c r="V178" s="105">
        <v>0</v>
      </c>
      <c r="W178" s="105">
        <v>0</v>
      </c>
      <c r="X178" s="105">
        <v>0</v>
      </c>
      <c r="Y178" s="106">
        <v>108907178.69669442</v>
      </c>
      <c r="Z178" s="106">
        <v>118734030.97127078</v>
      </c>
      <c r="AA178" s="106">
        <v>156004839.96119434</v>
      </c>
      <c r="AB178" s="108">
        <v>281794781.61265343</v>
      </c>
      <c r="AC178" s="108">
        <v>1104353882.7204473</v>
      </c>
      <c r="AD178" s="108">
        <v>872768669.79751074</v>
      </c>
      <c r="AE178" s="108">
        <v>3208881447.8210459</v>
      </c>
      <c r="AF178" s="108">
        <v>3537838784.9089036</v>
      </c>
      <c r="AG178" s="108">
        <v>7890683008.0196877</v>
      </c>
      <c r="AH178" s="108">
        <v>56792469087.363579</v>
      </c>
      <c r="AI178" s="108">
        <v>55378247313.122795</v>
      </c>
      <c r="AJ178" s="108">
        <v>62159359016.137543</v>
      </c>
      <c r="AK178" s="108">
        <v>225992575.93945637</v>
      </c>
      <c r="AL178" s="108">
        <v>274905132.40660053</v>
      </c>
      <c r="AM178" s="108">
        <v>486364299.18702757</v>
      </c>
      <c r="AN178" s="108">
        <v>2190610468.1036501</v>
      </c>
      <c r="AO178" s="108">
        <v>5419139007.0401096</v>
      </c>
      <c r="AP178" s="108">
        <v>10361973065.119183</v>
      </c>
      <c r="AQ178" s="108">
        <v>410261730.81659442</v>
      </c>
      <c r="AR178" s="108">
        <v>447003140.47974181</v>
      </c>
      <c r="AS178" s="108">
        <v>593490257.08230722</v>
      </c>
      <c r="AT178" s="108">
        <v>917848690.34480095</v>
      </c>
      <c r="AU178" s="108">
        <v>1319554977.7547202</v>
      </c>
      <c r="AV178" s="108">
        <v>1463871398.4410381</v>
      </c>
    </row>
    <row r="179" spans="1:48" x14ac:dyDescent="0.35">
      <c r="A179" s="107">
        <f xml:space="preserve"> ROW( slrImpacts[[#This Row],[row_id]] ) - ROW( slrImpacts[[#Headers],[row_id]] )</f>
        <v>178</v>
      </c>
      <c r="B179" s="104">
        <v>2076</v>
      </c>
      <c r="C179" s="104" t="s">
        <v>86</v>
      </c>
      <c r="D179" s="104" t="s">
        <v>88</v>
      </c>
      <c r="E179" s="104" t="s">
        <v>922</v>
      </c>
      <c r="F179" s="104"/>
      <c r="G179" s="105">
        <v>0</v>
      </c>
      <c r="H179" s="105">
        <v>0</v>
      </c>
      <c r="I179" s="105">
        <v>0</v>
      </c>
      <c r="J179" s="105">
        <v>0</v>
      </c>
      <c r="K179" s="105">
        <v>0</v>
      </c>
      <c r="L179" s="105">
        <v>0</v>
      </c>
      <c r="M179" s="106">
        <v>1118209320.1842031</v>
      </c>
      <c r="N179" s="106">
        <v>1218645927.9329319</v>
      </c>
      <c r="O179" s="106">
        <v>1645034348.1768823</v>
      </c>
      <c r="P179" s="106">
        <v>4203654809.8087535</v>
      </c>
      <c r="Q179" s="106">
        <v>12441394881.493183</v>
      </c>
      <c r="R179" s="106">
        <v>21647466280.790775</v>
      </c>
      <c r="S179" s="105">
        <v>0</v>
      </c>
      <c r="T179" s="105">
        <v>0</v>
      </c>
      <c r="U179" s="105">
        <v>0</v>
      </c>
      <c r="V179" s="105">
        <v>0</v>
      </c>
      <c r="W179" s="105">
        <v>0</v>
      </c>
      <c r="X179" s="105">
        <v>0</v>
      </c>
      <c r="Y179" s="106">
        <v>109150760.27095422</v>
      </c>
      <c r="Z179" s="106">
        <v>119094370.11665663</v>
      </c>
      <c r="AA179" s="106">
        <v>157333012.97479749</v>
      </c>
      <c r="AB179" s="108">
        <v>323983468.55673188</v>
      </c>
      <c r="AC179" s="108">
        <v>1079570361.9713836</v>
      </c>
      <c r="AD179" s="108">
        <v>870785629.88479924</v>
      </c>
      <c r="AE179" s="108">
        <v>3222261375.7600646</v>
      </c>
      <c r="AF179" s="108">
        <v>3549863104.1045432</v>
      </c>
      <c r="AG179" s="108">
        <v>8000275185.8212662</v>
      </c>
      <c r="AH179" s="108">
        <v>56553221805.352921</v>
      </c>
      <c r="AI179" s="108">
        <v>55780836566.262878</v>
      </c>
      <c r="AJ179" s="108">
        <v>63107758008.138542</v>
      </c>
      <c r="AK179" s="108">
        <v>227428423.75642079</v>
      </c>
      <c r="AL179" s="108">
        <v>277337948.13604265</v>
      </c>
      <c r="AM179" s="108">
        <v>549458534.56115484</v>
      </c>
      <c r="AN179" s="108">
        <v>2318669539.8361101</v>
      </c>
      <c r="AO179" s="108">
        <v>5975252198.9046059</v>
      </c>
      <c r="AP179" s="108">
        <v>10227298068.194128</v>
      </c>
      <c r="AQ179" s="108">
        <v>412295888.58096564</v>
      </c>
      <c r="AR179" s="108">
        <v>449691417.69351888</v>
      </c>
      <c r="AS179" s="108">
        <v>595056410.73084688</v>
      </c>
      <c r="AT179" s="108">
        <v>951826996.7385937</v>
      </c>
      <c r="AU179" s="108">
        <v>1332012403.3899324</v>
      </c>
      <c r="AV179" s="108">
        <v>1511592260.2311447</v>
      </c>
    </row>
    <row r="180" spans="1:48" x14ac:dyDescent="0.35">
      <c r="A180" s="107">
        <f xml:space="preserve"> ROW( slrImpacts[[#This Row],[row_id]] ) - ROW( slrImpacts[[#Headers],[row_id]] )</f>
        <v>179</v>
      </c>
      <c r="B180" s="104">
        <v>2077</v>
      </c>
      <c r="C180" s="104" t="s">
        <v>86</v>
      </c>
      <c r="D180" s="104" t="s">
        <v>88</v>
      </c>
      <c r="E180" s="104" t="s">
        <v>922</v>
      </c>
      <c r="F180" s="104"/>
      <c r="G180" s="105">
        <v>0</v>
      </c>
      <c r="H180" s="105">
        <v>0</v>
      </c>
      <c r="I180" s="105">
        <v>0</v>
      </c>
      <c r="J180" s="105">
        <v>0</v>
      </c>
      <c r="K180" s="105">
        <v>0</v>
      </c>
      <c r="L180" s="105">
        <v>0</v>
      </c>
      <c r="M180" s="106">
        <v>1121112648.8343546</v>
      </c>
      <c r="N180" s="106">
        <v>1221426145.693166</v>
      </c>
      <c r="O180" s="106">
        <v>1670209859.5846808</v>
      </c>
      <c r="P180" s="106">
        <v>4635009514.1133556</v>
      </c>
      <c r="Q180" s="106">
        <v>13256383785.554758</v>
      </c>
      <c r="R180" s="106">
        <v>22386973603.763779</v>
      </c>
      <c r="S180" s="105">
        <v>0</v>
      </c>
      <c r="T180" s="105">
        <v>0</v>
      </c>
      <c r="U180" s="105">
        <v>0</v>
      </c>
      <c r="V180" s="105">
        <v>0</v>
      </c>
      <c r="W180" s="105">
        <v>0</v>
      </c>
      <c r="X180" s="105">
        <v>0</v>
      </c>
      <c r="Y180" s="106">
        <v>109394341.84521402</v>
      </c>
      <c r="Z180" s="106">
        <v>119454709.26204249</v>
      </c>
      <c r="AA180" s="106">
        <v>158661185.98840064</v>
      </c>
      <c r="AB180" s="108">
        <v>366172155.50081015</v>
      </c>
      <c r="AC180" s="108">
        <v>1054786841.2223195</v>
      </c>
      <c r="AD180" s="108">
        <v>868802589.97208762</v>
      </c>
      <c r="AE180" s="108">
        <v>3235641303.6990819</v>
      </c>
      <c r="AF180" s="108">
        <v>3561887423.3001785</v>
      </c>
      <c r="AG180" s="108">
        <v>8109867363.6228514</v>
      </c>
      <c r="AH180" s="108">
        <v>56313974523.342255</v>
      </c>
      <c r="AI180" s="108">
        <v>56183425819.402962</v>
      </c>
      <c r="AJ180" s="108">
        <v>64056157000.139519</v>
      </c>
      <c r="AK180" s="108">
        <v>228864271.5733853</v>
      </c>
      <c r="AL180" s="108">
        <v>279770763.86548483</v>
      </c>
      <c r="AM180" s="108">
        <v>612552769.93528175</v>
      </c>
      <c r="AN180" s="108">
        <v>2446728611.568572</v>
      </c>
      <c r="AO180" s="108">
        <v>6531365390.7691031</v>
      </c>
      <c r="AP180" s="108">
        <v>10092623071.269066</v>
      </c>
      <c r="AQ180" s="108">
        <v>414330046.34533703</v>
      </c>
      <c r="AR180" s="108">
        <v>452379694.907296</v>
      </c>
      <c r="AS180" s="108">
        <v>596622564.37938595</v>
      </c>
      <c r="AT180" s="108">
        <v>985805303.13238657</v>
      </c>
      <c r="AU180" s="108">
        <v>1344469829.0251443</v>
      </c>
      <c r="AV180" s="108">
        <v>1559313122.0212505</v>
      </c>
    </row>
    <row r="181" spans="1:48" x14ac:dyDescent="0.35">
      <c r="A181" s="107">
        <f xml:space="preserve"> ROW( slrImpacts[[#This Row],[row_id]] ) - ROW( slrImpacts[[#Headers],[row_id]] )</f>
        <v>180</v>
      </c>
      <c r="B181" s="104">
        <v>2078</v>
      </c>
      <c r="C181" s="104" t="s">
        <v>86</v>
      </c>
      <c r="D181" s="104" t="s">
        <v>88</v>
      </c>
      <c r="E181" s="104" t="s">
        <v>922</v>
      </c>
      <c r="F181" s="104"/>
      <c r="G181" s="105">
        <v>0</v>
      </c>
      <c r="H181" s="105">
        <v>0</v>
      </c>
      <c r="I181" s="105">
        <v>0</v>
      </c>
      <c r="J181" s="105">
        <v>0</v>
      </c>
      <c r="K181" s="105">
        <v>0</v>
      </c>
      <c r="L181" s="105">
        <v>0</v>
      </c>
      <c r="M181" s="106">
        <v>1124015977.4845059</v>
      </c>
      <c r="N181" s="106">
        <v>1224206363.4533982</v>
      </c>
      <c r="O181" s="106">
        <v>1695385370.9924803</v>
      </c>
      <c r="P181" s="106">
        <v>5066364218.4179621</v>
      </c>
      <c r="Q181" s="106">
        <v>14071372689.616325</v>
      </c>
      <c r="R181" s="106">
        <v>23126480926.736782</v>
      </c>
      <c r="S181" s="105">
        <v>0</v>
      </c>
      <c r="T181" s="105">
        <v>0</v>
      </c>
      <c r="U181" s="105">
        <v>0</v>
      </c>
      <c r="V181" s="105">
        <v>0</v>
      </c>
      <c r="W181" s="105">
        <v>0</v>
      </c>
      <c r="X181" s="105">
        <v>0</v>
      </c>
      <c r="Y181" s="106">
        <v>109637923.41947381</v>
      </c>
      <c r="Z181" s="106">
        <v>119815048.40742838</v>
      </c>
      <c r="AA181" s="106">
        <v>159989359.00200373</v>
      </c>
      <c r="AB181" s="108">
        <v>408360842.44488865</v>
      </c>
      <c r="AC181" s="108">
        <v>1030003320.4732553</v>
      </c>
      <c r="AD181" s="108">
        <v>866819550.05937576</v>
      </c>
      <c r="AE181" s="108">
        <v>3249021231.6381011</v>
      </c>
      <c r="AF181" s="108">
        <v>3573911742.4958148</v>
      </c>
      <c r="AG181" s="108">
        <v>8219459541.424427</v>
      </c>
      <c r="AH181" s="108">
        <v>56074727241.331619</v>
      </c>
      <c r="AI181" s="108">
        <v>56586015072.543022</v>
      </c>
      <c r="AJ181" s="108">
        <v>65004555992.14045</v>
      </c>
      <c r="AK181" s="108">
        <v>230300119.39034992</v>
      </c>
      <c r="AL181" s="108">
        <v>282203579.59492689</v>
      </c>
      <c r="AM181" s="108">
        <v>675647005.3094089</v>
      </c>
      <c r="AN181" s="108">
        <v>2574787683.3010321</v>
      </c>
      <c r="AO181" s="108">
        <v>7087478582.6335983</v>
      </c>
      <c r="AP181" s="108">
        <v>9957948074.3440037</v>
      </c>
      <c r="AQ181" s="108">
        <v>416364204.10970831</v>
      </c>
      <c r="AR181" s="108">
        <v>455067972.12107301</v>
      </c>
      <c r="AS181" s="108">
        <v>598188718.02792525</v>
      </c>
      <c r="AT181" s="108">
        <v>1019783609.5261798</v>
      </c>
      <c r="AU181" s="108">
        <v>1356927254.6603556</v>
      </c>
      <c r="AV181" s="108">
        <v>1607033983.8113573</v>
      </c>
    </row>
    <row r="182" spans="1:48" x14ac:dyDescent="0.35">
      <c r="A182" s="107">
        <f xml:space="preserve"> ROW( slrImpacts[[#This Row],[row_id]] ) - ROW( slrImpacts[[#Headers],[row_id]] )</f>
        <v>181</v>
      </c>
      <c r="B182" s="104">
        <v>2079</v>
      </c>
      <c r="C182" s="104" t="s">
        <v>86</v>
      </c>
      <c r="D182" s="104" t="s">
        <v>88</v>
      </c>
      <c r="E182" s="104" t="s">
        <v>922</v>
      </c>
      <c r="F182" s="104"/>
      <c r="G182" s="105">
        <v>0</v>
      </c>
      <c r="H182" s="105">
        <v>0</v>
      </c>
      <c r="I182" s="105">
        <v>0</v>
      </c>
      <c r="J182" s="105">
        <v>0</v>
      </c>
      <c r="K182" s="105">
        <v>0</v>
      </c>
      <c r="L182" s="105">
        <v>0</v>
      </c>
      <c r="M182" s="106">
        <v>1126919306.1346576</v>
      </c>
      <c r="N182" s="106">
        <v>1226986581.2136331</v>
      </c>
      <c r="O182" s="106">
        <v>1720560882.4002798</v>
      </c>
      <c r="P182" s="106">
        <v>5497718922.7225637</v>
      </c>
      <c r="Q182" s="106">
        <v>14886361593.677893</v>
      </c>
      <c r="R182" s="106">
        <v>23865988249.709789</v>
      </c>
      <c r="S182" s="105">
        <v>0</v>
      </c>
      <c r="T182" s="105">
        <v>0</v>
      </c>
      <c r="U182" s="105">
        <v>0</v>
      </c>
      <c r="V182" s="105">
        <v>0</v>
      </c>
      <c r="W182" s="105">
        <v>0</v>
      </c>
      <c r="X182" s="105">
        <v>0</v>
      </c>
      <c r="Y182" s="106">
        <v>109881504.99373363</v>
      </c>
      <c r="Z182" s="106">
        <v>120175387.55281426</v>
      </c>
      <c r="AA182" s="106">
        <v>161317532.01560691</v>
      </c>
      <c r="AB182" s="108">
        <v>450549529.38896698</v>
      </c>
      <c r="AC182" s="108">
        <v>1005219799.7241913</v>
      </c>
      <c r="AD182" s="108">
        <v>864836510.14666402</v>
      </c>
      <c r="AE182" s="108">
        <v>3262401159.5771208</v>
      </c>
      <c r="AF182" s="108">
        <v>3585936061.6914525</v>
      </c>
      <c r="AG182" s="108">
        <v>8329051719.2260094</v>
      </c>
      <c r="AH182" s="108">
        <v>55835479959.320961</v>
      </c>
      <c r="AI182" s="108">
        <v>56988604325.683128</v>
      </c>
      <c r="AJ182" s="108">
        <v>65952954984.141502</v>
      </c>
      <c r="AK182" s="108">
        <v>231735967.20731437</v>
      </c>
      <c r="AL182" s="108">
        <v>284636395.32436907</v>
      </c>
      <c r="AM182" s="108">
        <v>738741240.68353593</v>
      </c>
      <c r="AN182" s="108">
        <v>2702846755.0334935</v>
      </c>
      <c r="AO182" s="108">
        <v>7643591774.4980927</v>
      </c>
      <c r="AP182" s="108">
        <v>9823273077.4189377</v>
      </c>
      <c r="AQ182" s="108">
        <v>418398361.87407964</v>
      </c>
      <c r="AR182" s="108">
        <v>457756249.33485001</v>
      </c>
      <c r="AS182" s="108">
        <v>599754871.67646444</v>
      </c>
      <c r="AT182" s="108">
        <v>1053761915.9199725</v>
      </c>
      <c r="AU182" s="108">
        <v>1369384680.2955682</v>
      </c>
      <c r="AV182" s="108">
        <v>1654754845.6014636</v>
      </c>
    </row>
    <row r="183" spans="1:48" x14ac:dyDescent="0.35">
      <c r="A183" s="107">
        <f xml:space="preserve"> ROW( slrImpacts[[#This Row],[row_id]] ) - ROW( slrImpacts[[#Headers],[row_id]] )</f>
        <v>182</v>
      </c>
      <c r="B183" s="104">
        <v>2080</v>
      </c>
      <c r="C183" s="104" t="s">
        <v>86</v>
      </c>
      <c r="D183" s="104" t="s">
        <v>88</v>
      </c>
      <c r="E183" s="104" t="s">
        <v>922</v>
      </c>
      <c r="F183" s="104"/>
      <c r="G183" s="105">
        <v>0</v>
      </c>
      <c r="H183" s="105">
        <v>0</v>
      </c>
      <c r="I183" s="105">
        <v>0</v>
      </c>
      <c r="J183" s="105">
        <v>0</v>
      </c>
      <c r="K183" s="105">
        <v>0</v>
      </c>
      <c r="L183" s="105">
        <v>0</v>
      </c>
      <c r="M183" s="106">
        <v>1130335278.6793411</v>
      </c>
      <c r="N183" s="106">
        <v>1230128921.8951108</v>
      </c>
      <c r="O183" s="106">
        <v>1746473728.4308534</v>
      </c>
      <c r="P183" s="106">
        <v>5929012546.052495</v>
      </c>
      <c r="Q183" s="106">
        <v>15701178162.132368</v>
      </c>
      <c r="R183" s="106">
        <v>24604900033.179764</v>
      </c>
      <c r="S183" s="105">
        <v>0</v>
      </c>
      <c r="T183" s="105">
        <v>0</v>
      </c>
      <c r="U183" s="105">
        <v>0</v>
      </c>
      <c r="V183" s="105">
        <v>0</v>
      </c>
      <c r="W183" s="105">
        <v>0</v>
      </c>
      <c r="X183" s="105">
        <v>0</v>
      </c>
      <c r="Y183" s="106">
        <v>110144719.73842233</v>
      </c>
      <c r="Z183" s="106">
        <v>120555359.86862904</v>
      </c>
      <c r="AA183" s="106">
        <v>162752596.73487857</v>
      </c>
      <c r="AB183" s="108">
        <v>493512635.83329731</v>
      </c>
      <c r="AC183" s="108">
        <v>981217242.86552203</v>
      </c>
      <c r="AD183" s="108">
        <v>862866559.01423848</v>
      </c>
      <c r="AE183" s="108">
        <v>3278948572.3453364</v>
      </c>
      <c r="AF183" s="108">
        <v>3600962074.4993324</v>
      </c>
      <c r="AG183" s="108">
        <v>8423004986.049264</v>
      </c>
      <c r="AH183" s="108">
        <v>55592177336.885048</v>
      </c>
      <c r="AI183" s="108">
        <v>57396210944.599487</v>
      </c>
      <c r="AJ183" s="108">
        <v>66879866561.839661</v>
      </c>
      <c r="AK183" s="108">
        <v>233193629.65808877</v>
      </c>
      <c r="AL183" s="108">
        <v>287106295.931288</v>
      </c>
      <c r="AM183" s="108">
        <v>802014356.05490422</v>
      </c>
      <c r="AN183" s="108">
        <v>2831909299.9212089</v>
      </c>
      <c r="AO183" s="108">
        <v>8199848942.9457369</v>
      </c>
      <c r="AP183" s="108">
        <v>9688307945.8642082</v>
      </c>
      <c r="AQ183" s="108">
        <v>421056418.16541439</v>
      </c>
      <c r="AR183" s="108">
        <v>461105509.95306766</v>
      </c>
      <c r="AS183" s="108">
        <v>599942340.46821725</v>
      </c>
      <c r="AT183" s="108">
        <v>1085048296.5016227</v>
      </c>
      <c r="AU183" s="108">
        <v>1378094351.8422372</v>
      </c>
      <c r="AV183" s="108">
        <v>1697981892.8267286</v>
      </c>
    </row>
    <row r="184" spans="1:48" x14ac:dyDescent="0.35">
      <c r="A184" s="107">
        <f xml:space="preserve"> ROW( slrImpacts[[#This Row],[row_id]] ) - ROW( slrImpacts[[#Headers],[row_id]] )</f>
        <v>183</v>
      </c>
      <c r="B184" s="104">
        <v>2081</v>
      </c>
      <c r="C184" s="104" t="s">
        <v>86</v>
      </c>
      <c r="D184" s="104" t="s">
        <v>88</v>
      </c>
      <c r="E184" s="104" t="s">
        <v>922</v>
      </c>
      <c r="F184" s="104"/>
      <c r="G184" s="105">
        <v>0</v>
      </c>
      <c r="H184" s="105">
        <v>0</v>
      </c>
      <c r="I184" s="105">
        <v>0</v>
      </c>
      <c r="J184" s="105">
        <v>0</v>
      </c>
      <c r="K184" s="105">
        <v>0</v>
      </c>
      <c r="L184" s="105">
        <v>0</v>
      </c>
      <c r="M184" s="106">
        <v>1133325865.864733</v>
      </c>
      <c r="N184" s="106">
        <v>1232708445.0242925</v>
      </c>
      <c r="O184" s="106">
        <v>1771241306.1864078</v>
      </c>
      <c r="P184" s="106">
        <v>6358905669.8918419</v>
      </c>
      <c r="Q184" s="106">
        <v>16515405735.473969</v>
      </c>
      <c r="R184" s="106">
        <v>25342880331.786079</v>
      </c>
      <c r="S184" s="105">
        <v>0</v>
      </c>
      <c r="T184" s="105">
        <v>0</v>
      </c>
      <c r="U184" s="105">
        <v>0</v>
      </c>
      <c r="V184" s="105">
        <v>0</v>
      </c>
      <c r="W184" s="105">
        <v>0</v>
      </c>
      <c r="X184" s="105">
        <v>0</v>
      </c>
      <c r="Y184" s="106">
        <v>110401390.09296809</v>
      </c>
      <c r="Z184" s="106">
        <v>120911336.0872529</v>
      </c>
      <c r="AA184" s="106">
        <v>164076406.82171977</v>
      </c>
      <c r="AB184" s="108">
        <v>536327402.7677201</v>
      </c>
      <c r="AC184" s="108">
        <v>956678046.01512909</v>
      </c>
      <c r="AD184" s="108">
        <v>859917130.82374763</v>
      </c>
      <c r="AE184" s="108">
        <v>3289198100.3326354</v>
      </c>
      <c r="AF184" s="108">
        <v>3611164871.7718401</v>
      </c>
      <c r="AG184" s="108">
        <v>8512734939.7669182</v>
      </c>
      <c r="AH184" s="108">
        <v>55365949028.332146</v>
      </c>
      <c r="AI184" s="108">
        <v>57824174979.787277</v>
      </c>
      <c r="AJ184" s="108">
        <v>67808202635.125626</v>
      </c>
      <c r="AK184" s="108">
        <v>234566215.03700453</v>
      </c>
      <c r="AL184" s="108">
        <v>289454034.58887148</v>
      </c>
      <c r="AM184" s="108">
        <v>865108591.42903137</v>
      </c>
      <c r="AN184" s="108">
        <v>2960088352.1396236</v>
      </c>
      <c r="AO184" s="108">
        <v>8755381865.55089</v>
      </c>
      <c r="AP184" s="108">
        <v>9553163934.3122292</v>
      </c>
      <c r="AQ184" s="108">
        <v>423138568.12416744</v>
      </c>
      <c r="AR184" s="108">
        <v>463449115.95264804</v>
      </c>
      <c r="AS184" s="108">
        <v>599036896.10609341</v>
      </c>
      <c r="AT184" s="108">
        <v>1117431953.1639109</v>
      </c>
      <c r="AU184" s="108">
        <v>1389561393.1024795</v>
      </c>
      <c r="AV184" s="108">
        <v>1744620748.7798634</v>
      </c>
    </row>
    <row r="185" spans="1:48" x14ac:dyDescent="0.35">
      <c r="A185" s="107">
        <f xml:space="preserve"> ROW( slrImpacts[[#This Row],[row_id]] ) - ROW( slrImpacts[[#Headers],[row_id]] )</f>
        <v>184</v>
      </c>
      <c r="B185" s="104">
        <v>2082</v>
      </c>
      <c r="C185" s="104" t="s">
        <v>86</v>
      </c>
      <c r="D185" s="104" t="s">
        <v>88</v>
      </c>
      <c r="E185" s="104" t="s">
        <v>922</v>
      </c>
      <c r="F185" s="104"/>
      <c r="G185" s="105">
        <v>0</v>
      </c>
      <c r="H185" s="105">
        <v>0</v>
      </c>
      <c r="I185" s="105">
        <v>0</v>
      </c>
      <c r="J185" s="105">
        <v>0</v>
      </c>
      <c r="K185" s="105">
        <v>0</v>
      </c>
      <c r="L185" s="105">
        <v>0</v>
      </c>
      <c r="M185" s="106">
        <v>1136316453.0501239</v>
      </c>
      <c r="N185" s="106">
        <v>1235287968.1534758</v>
      </c>
      <c r="O185" s="106">
        <v>1796008883.9419615</v>
      </c>
      <c r="P185" s="106">
        <v>6788798793.7311773</v>
      </c>
      <c r="Q185" s="106">
        <v>17329633308.815575</v>
      </c>
      <c r="R185" s="106">
        <v>26080860630.392395</v>
      </c>
      <c r="S185" s="105">
        <v>0</v>
      </c>
      <c r="T185" s="105">
        <v>0</v>
      </c>
      <c r="U185" s="105">
        <v>0</v>
      </c>
      <c r="V185" s="105">
        <v>0</v>
      </c>
      <c r="W185" s="105">
        <v>0</v>
      </c>
      <c r="X185" s="105">
        <v>0</v>
      </c>
      <c r="Y185" s="106">
        <v>110658060.44751382</v>
      </c>
      <c r="Z185" s="106">
        <v>121267312.30587679</v>
      </c>
      <c r="AA185" s="106">
        <v>165400216.9085609</v>
      </c>
      <c r="AB185" s="108">
        <v>579142169.70214295</v>
      </c>
      <c r="AC185" s="108">
        <v>932138849.16473591</v>
      </c>
      <c r="AD185" s="108">
        <v>856967702.63325679</v>
      </c>
      <c r="AE185" s="108">
        <v>3299447628.3199306</v>
      </c>
      <c r="AF185" s="108">
        <v>3621367669.0443516</v>
      </c>
      <c r="AG185" s="108">
        <v>8602464893.4845772</v>
      </c>
      <c r="AH185" s="108">
        <v>55139720719.779251</v>
      </c>
      <c r="AI185" s="108">
        <v>58252139014.975014</v>
      </c>
      <c r="AJ185" s="108">
        <v>68736538708.411652</v>
      </c>
      <c r="AK185" s="108">
        <v>235938800.41592026</v>
      </c>
      <c r="AL185" s="108">
        <v>291801773.24645495</v>
      </c>
      <c r="AM185" s="108">
        <v>928202826.80315828</v>
      </c>
      <c r="AN185" s="108">
        <v>3088267404.3580399</v>
      </c>
      <c r="AO185" s="108">
        <v>9310914788.1560421</v>
      </c>
      <c r="AP185" s="108">
        <v>9418019922.7602577</v>
      </c>
      <c r="AQ185" s="108">
        <v>425220718.08292049</v>
      </c>
      <c r="AR185" s="108">
        <v>465792721.95222855</v>
      </c>
      <c r="AS185" s="108">
        <v>598131451.74396956</v>
      </c>
      <c r="AT185" s="108">
        <v>1149815609.8261993</v>
      </c>
      <c r="AU185" s="108">
        <v>1401028434.3627207</v>
      </c>
      <c r="AV185" s="108">
        <v>1791259604.7329986</v>
      </c>
    </row>
    <row r="186" spans="1:48" x14ac:dyDescent="0.35">
      <c r="A186" s="107">
        <f xml:space="preserve"> ROW( slrImpacts[[#This Row],[row_id]] ) - ROW( slrImpacts[[#Headers],[row_id]] )</f>
        <v>185</v>
      </c>
      <c r="B186" s="104">
        <v>2083</v>
      </c>
      <c r="C186" s="104" t="s">
        <v>86</v>
      </c>
      <c r="D186" s="104" t="s">
        <v>88</v>
      </c>
      <c r="E186" s="104" t="s">
        <v>922</v>
      </c>
      <c r="F186" s="104"/>
      <c r="G186" s="105">
        <v>0</v>
      </c>
      <c r="H186" s="105">
        <v>0</v>
      </c>
      <c r="I186" s="105">
        <v>0</v>
      </c>
      <c r="J186" s="105">
        <v>0</v>
      </c>
      <c r="K186" s="105">
        <v>0</v>
      </c>
      <c r="L186" s="105">
        <v>0</v>
      </c>
      <c r="M186" s="106">
        <v>1139307040.2355154</v>
      </c>
      <c r="N186" s="106">
        <v>1237867491.2826576</v>
      </c>
      <c r="O186" s="106">
        <v>1820776461.6975167</v>
      </c>
      <c r="P186" s="106">
        <v>7218691917.5705175</v>
      </c>
      <c r="Q186" s="106">
        <v>18143860882.157169</v>
      </c>
      <c r="R186" s="106">
        <v>26818840928.998711</v>
      </c>
      <c r="S186" s="105">
        <v>0</v>
      </c>
      <c r="T186" s="105">
        <v>0</v>
      </c>
      <c r="U186" s="105">
        <v>0</v>
      </c>
      <c r="V186" s="105">
        <v>0</v>
      </c>
      <c r="W186" s="105">
        <v>0</v>
      </c>
      <c r="X186" s="105">
        <v>0</v>
      </c>
      <c r="Y186" s="106">
        <v>110914730.80205956</v>
      </c>
      <c r="Z186" s="106">
        <v>121623288.52450068</v>
      </c>
      <c r="AA186" s="106">
        <v>166724026.99540207</v>
      </c>
      <c r="AB186" s="108">
        <v>621956936.63656592</v>
      </c>
      <c r="AC186" s="108">
        <v>907599652.31434321</v>
      </c>
      <c r="AD186" s="108">
        <v>854018274.44276607</v>
      </c>
      <c r="AE186" s="108">
        <v>3309697156.3072271</v>
      </c>
      <c r="AF186" s="108">
        <v>3631570466.3168602</v>
      </c>
      <c r="AG186" s="108">
        <v>8692194847.2022343</v>
      </c>
      <c r="AH186" s="108">
        <v>54913492411.226387</v>
      </c>
      <c r="AI186" s="108">
        <v>58680103050.162773</v>
      </c>
      <c r="AJ186" s="108">
        <v>69664874781.697632</v>
      </c>
      <c r="AK186" s="108">
        <v>237311385.79483604</v>
      </c>
      <c r="AL186" s="108">
        <v>294149511.90403837</v>
      </c>
      <c r="AM186" s="108">
        <v>991297062.17728508</v>
      </c>
      <c r="AN186" s="108">
        <v>3216446456.5764561</v>
      </c>
      <c r="AO186" s="108">
        <v>9866447710.7611961</v>
      </c>
      <c r="AP186" s="108">
        <v>9282875911.2082825</v>
      </c>
      <c r="AQ186" s="108">
        <v>427302868.0416736</v>
      </c>
      <c r="AR186" s="108">
        <v>468136327.95180911</v>
      </c>
      <c r="AS186" s="108">
        <v>597226007.38184571</v>
      </c>
      <c r="AT186" s="108">
        <v>1182199266.488488</v>
      </c>
      <c r="AU186" s="108">
        <v>1412495475.6229622</v>
      </c>
      <c r="AV186" s="108">
        <v>1837898460.6861334</v>
      </c>
    </row>
    <row r="187" spans="1:48" x14ac:dyDescent="0.35">
      <c r="A187" s="107">
        <f xml:space="preserve"> ROW( slrImpacts[[#This Row],[row_id]] ) - ROW( slrImpacts[[#Headers],[row_id]] )</f>
        <v>186</v>
      </c>
      <c r="B187" s="104">
        <v>2084</v>
      </c>
      <c r="C187" s="104" t="s">
        <v>86</v>
      </c>
      <c r="D187" s="104" t="s">
        <v>88</v>
      </c>
      <c r="E187" s="104" t="s">
        <v>922</v>
      </c>
      <c r="F187" s="104"/>
      <c r="G187" s="105">
        <v>0</v>
      </c>
      <c r="H187" s="105">
        <v>0</v>
      </c>
      <c r="I187" s="105">
        <v>0</v>
      </c>
      <c r="J187" s="105">
        <v>0</v>
      </c>
      <c r="K187" s="105">
        <v>0</v>
      </c>
      <c r="L187" s="105">
        <v>0</v>
      </c>
      <c r="M187" s="106">
        <v>1142297627.420907</v>
      </c>
      <c r="N187" s="106">
        <v>1240447014.4118409</v>
      </c>
      <c r="O187" s="106">
        <v>1845544039.4530704</v>
      </c>
      <c r="P187" s="106">
        <v>7648585041.4098577</v>
      </c>
      <c r="Q187" s="106">
        <v>18958088455.498783</v>
      </c>
      <c r="R187" s="106">
        <v>27556821227.605015</v>
      </c>
      <c r="S187" s="105">
        <v>0</v>
      </c>
      <c r="T187" s="105">
        <v>0</v>
      </c>
      <c r="U187" s="105">
        <v>0</v>
      </c>
      <c r="V187" s="105">
        <v>0</v>
      </c>
      <c r="W187" s="105">
        <v>0</v>
      </c>
      <c r="X187" s="105">
        <v>0</v>
      </c>
      <c r="Y187" s="106">
        <v>111171401.15660533</v>
      </c>
      <c r="Z187" s="106">
        <v>121979264.74312451</v>
      </c>
      <c r="AA187" s="106">
        <v>168047837.08224323</v>
      </c>
      <c r="AB187" s="108">
        <v>664771703.57098877</v>
      </c>
      <c r="AC187" s="108">
        <v>883060455.4639498</v>
      </c>
      <c r="AD187" s="108">
        <v>851068846.25227547</v>
      </c>
      <c r="AE187" s="108">
        <v>3319946684.2945242</v>
      </c>
      <c r="AF187" s="108">
        <v>3641773263.5893693</v>
      </c>
      <c r="AG187" s="108">
        <v>8781924800.9198875</v>
      </c>
      <c r="AH187" s="108">
        <v>54687264102.673454</v>
      </c>
      <c r="AI187" s="108">
        <v>59108067085.350525</v>
      </c>
      <c r="AJ187" s="108">
        <v>70593210854.983597</v>
      </c>
      <c r="AK187" s="108">
        <v>238683971.17375168</v>
      </c>
      <c r="AL187" s="108">
        <v>296497250.56162184</v>
      </c>
      <c r="AM187" s="108">
        <v>1054391297.5514123</v>
      </c>
      <c r="AN187" s="108">
        <v>3344625508.7948704</v>
      </c>
      <c r="AO187" s="108">
        <v>10421980633.366346</v>
      </c>
      <c r="AP187" s="108">
        <v>9147731899.6563034</v>
      </c>
      <c r="AQ187" s="108">
        <v>429385018.00042665</v>
      </c>
      <c r="AR187" s="108">
        <v>470479933.95138973</v>
      </c>
      <c r="AS187" s="108">
        <v>596320563.0197221</v>
      </c>
      <c r="AT187" s="108">
        <v>1214582923.1507764</v>
      </c>
      <c r="AU187" s="108">
        <v>1423962516.8832045</v>
      </c>
      <c r="AV187" s="108">
        <v>1884537316.6392682</v>
      </c>
    </row>
    <row r="188" spans="1:48" x14ac:dyDescent="0.35">
      <c r="A188" s="107">
        <f xml:space="preserve"> ROW( slrImpacts[[#This Row],[row_id]] ) - ROW( slrImpacts[[#Headers],[row_id]] )</f>
        <v>187</v>
      </c>
      <c r="B188" s="104">
        <v>2085</v>
      </c>
      <c r="C188" s="104" t="s">
        <v>86</v>
      </c>
      <c r="D188" s="104" t="s">
        <v>88</v>
      </c>
      <c r="E188" s="104" t="s">
        <v>922</v>
      </c>
      <c r="F188" s="104"/>
      <c r="G188" s="105">
        <v>0</v>
      </c>
      <c r="H188" s="105">
        <v>0</v>
      </c>
      <c r="I188" s="105">
        <v>0</v>
      </c>
      <c r="J188" s="105">
        <v>0</v>
      </c>
      <c r="K188" s="105">
        <v>0</v>
      </c>
      <c r="L188" s="105">
        <v>0</v>
      </c>
      <c r="M188" s="106">
        <v>1146241372.0077529</v>
      </c>
      <c r="N188" s="106">
        <v>1246439611.7411485</v>
      </c>
      <c r="O188" s="106">
        <v>1957402238.2282817</v>
      </c>
      <c r="P188" s="106">
        <v>8572422768.6395912</v>
      </c>
      <c r="Q188" s="106">
        <v>20490053084.479042</v>
      </c>
      <c r="R188" s="106">
        <v>28957722228.587936</v>
      </c>
      <c r="S188" s="105">
        <v>0</v>
      </c>
      <c r="T188" s="105">
        <v>0</v>
      </c>
      <c r="U188" s="105">
        <v>0</v>
      </c>
      <c r="V188" s="105">
        <v>0</v>
      </c>
      <c r="W188" s="105">
        <v>0</v>
      </c>
      <c r="X188" s="105">
        <v>0</v>
      </c>
      <c r="Y188" s="106">
        <v>111580103.05825219</v>
      </c>
      <c r="Z188" s="106">
        <v>122848825.78591827</v>
      </c>
      <c r="AA188" s="106">
        <v>170477179.84557241</v>
      </c>
      <c r="AB188" s="108">
        <v>714654826.12537885</v>
      </c>
      <c r="AC188" s="108">
        <v>857177935.546435</v>
      </c>
      <c r="AD188" s="108">
        <v>1585165724.5573063</v>
      </c>
      <c r="AE188" s="108">
        <v>3337211606.222683</v>
      </c>
      <c r="AF188" s="108">
        <v>3661006528.7648072</v>
      </c>
      <c r="AG188" s="108">
        <v>12479448951.626698</v>
      </c>
      <c r="AH188" s="108">
        <v>54118719040.08062</v>
      </c>
      <c r="AI188" s="108">
        <v>60040817733.40522</v>
      </c>
      <c r="AJ188" s="108">
        <v>72105282389.683716</v>
      </c>
      <c r="AK188" s="108">
        <v>240717548.24453881</v>
      </c>
      <c r="AL188" s="108">
        <v>299621991.05420053</v>
      </c>
      <c r="AM188" s="108">
        <v>1128911497.1730921</v>
      </c>
      <c r="AN188" s="108">
        <v>3674238110.2116485</v>
      </c>
      <c r="AO188" s="108">
        <v>10836063332.294113</v>
      </c>
      <c r="AP188" s="108">
        <v>9000859633.2801018</v>
      </c>
      <c r="AQ188" s="108">
        <v>432991444.79188442</v>
      </c>
      <c r="AR188" s="108">
        <v>474836388.71614039</v>
      </c>
      <c r="AS188" s="108">
        <v>623240670.51606953</v>
      </c>
      <c r="AT188" s="108">
        <v>1240642665.3479962</v>
      </c>
      <c r="AU188" s="108">
        <v>1473605908.0627732</v>
      </c>
      <c r="AV188" s="108">
        <v>1960750852.9419565</v>
      </c>
    </row>
    <row r="189" spans="1:48" x14ac:dyDescent="0.35">
      <c r="A189" s="107">
        <f xml:space="preserve"> ROW( slrImpacts[[#This Row],[row_id]] ) - ROW( slrImpacts[[#Headers],[row_id]] )</f>
        <v>188</v>
      </c>
      <c r="B189" s="104">
        <v>2086</v>
      </c>
      <c r="C189" s="104" t="s">
        <v>86</v>
      </c>
      <c r="D189" s="104" t="s">
        <v>88</v>
      </c>
      <c r="E189" s="104" t="s">
        <v>922</v>
      </c>
      <c r="F189" s="104"/>
      <c r="G189" s="105">
        <v>0</v>
      </c>
      <c r="H189" s="105">
        <v>0</v>
      </c>
      <c r="I189" s="105">
        <v>0</v>
      </c>
      <c r="J189" s="105">
        <v>0</v>
      </c>
      <c r="K189" s="105">
        <v>0</v>
      </c>
      <c r="L189" s="105">
        <v>0</v>
      </c>
      <c r="M189" s="106">
        <v>1147707173.3037429</v>
      </c>
      <c r="N189" s="106">
        <v>1250214808.862519</v>
      </c>
      <c r="O189" s="106">
        <v>2045230193.8707154</v>
      </c>
      <c r="P189" s="106">
        <v>9066306291.0553265</v>
      </c>
      <c r="Q189" s="106">
        <v>21207617804.510609</v>
      </c>
      <c r="R189" s="106">
        <v>29620047391.46154</v>
      </c>
      <c r="S189" s="105">
        <v>0</v>
      </c>
      <c r="T189" s="105">
        <v>0</v>
      </c>
      <c r="U189" s="105">
        <v>0</v>
      </c>
      <c r="V189" s="105">
        <v>0</v>
      </c>
      <c r="W189" s="105">
        <v>0</v>
      </c>
      <c r="X189" s="105">
        <v>0</v>
      </c>
      <c r="Y189" s="106">
        <v>111751767.77578223</v>
      </c>
      <c r="Z189" s="106">
        <v>123382043.78051694</v>
      </c>
      <c r="AA189" s="106">
        <v>171689604.22772905</v>
      </c>
      <c r="AB189" s="108">
        <v>722497601.2455982</v>
      </c>
      <c r="AC189" s="108">
        <v>856615576.36970818</v>
      </c>
      <c r="AD189" s="108">
        <v>2322225119.8331141</v>
      </c>
      <c r="AE189" s="108">
        <v>3347394484.9927468</v>
      </c>
      <c r="AF189" s="108">
        <v>3673038690.2799811</v>
      </c>
      <c r="AG189" s="108">
        <v>16071604237.637535</v>
      </c>
      <c r="AH189" s="108">
        <v>53772346945.615417</v>
      </c>
      <c r="AI189" s="108">
        <v>60550621712.048439</v>
      </c>
      <c r="AJ189" s="108">
        <v>72667530436.795258</v>
      </c>
      <c r="AK189" s="108">
        <v>241400354.57022002</v>
      </c>
      <c r="AL189" s="108">
        <v>300436077.76667261</v>
      </c>
      <c r="AM189" s="108">
        <v>1140516341.4178872</v>
      </c>
      <c r="AN189" s="108">
        <v>3876675132.5652661</v>
      </c>
      <c r="AO189" s="108">
        <v>10694757085.199863</v>
      </c>
      <c r="AP189" s="108">
        <v>8988841243.8261986</v>
      </c>
      <c r="AQ189" s="108">
        <v>435139620.15155256</v>
      </c>
      <c r="AR189" s="108">
        <v>477510220.88575101</v>
      </c>
      <c r="AS189" s="108">
        <v>649687537.51775384</v>
      </c>
      <c r="AT189" s="108">
        <v>1231626825.0707846</v>
      </c>
      <c r="AU189" s="108">
        <v>1508034503.8935571</v>
      </c>
      <c r="AV189" s="108">
        <v>1985831718.7266681</v>
      </c>
    </row>
    <row r="190" spans="1:48" x14ac:dyDescent="0.35">
      <c r="A190" s="107">
        <f xml:space="preserve"> ROW( slrImpacts[[#This Row],[row_id]] ) - ROW( slrImpacts[[#Headers],[row_id]] )</f>
        <v>189</v>
      </c>
      <c r="B190" s="104">
        <v>2087</v>
      </c>
      <c r="C190" s="104" t="s">
        <v>86</v>
      </c>
      <c r="D190" s="104" t="s">
        <v>88</v>
      </c>
      <c r="E190" s="104" t="s">
        <v>922</v>
      </c>
      <c r="F190" s="104"/>
      <c r="G190" s="105">
        <v>0</v>
      </c>
      <c r="H190" s="105">
        <v>0</v>
      </c>
      <c r="I190" s="105">
        <v>0</v>
      </c>
      <c r="J190" s="105">
        <v>0</v>
      </c>
      <c r="K190" s="105">
        <v>0</v>
      </c>
      <c r="L190" s="105">
        <v>0</v>
      </c>
      <c r="M190" s="106">
        <v>1149172974.5997312</v>
      </c>
      <c r="N190" s="106">
        <v>1253990005.9838903</v>
      </c>
      <c r="O190" s="106">
        <v>2133058149.5131483</v>
      </c>
      <c r="P190" s="106">
        <v>9560189813.4710579</v>
      </c>
      <c r="Q190" s="106">
        <v>21925182524.542187</v>
      </c>
      <c r="R190" s="106">
        <v>30282372554.335117</v>
      </c>
      <c r="S190" s="105">
        <v>0</v>
      </c>
      <c r="T190" s="105">
        <v>0</v>
      </c>
      <c r="U190" s="105">
        <v>0</v>
      </c>
      <c r="V190" s="105">
        <v>0</v>
      </c>
      <c r="W190" s="105">
        <v>0</v>
      </c>
      <c r="X190" s="105">
        <v>0</v>
      </c>
      <c r="Y190" s="106">
        <v>111923432.4933123</v>
      </c>
      <c r="Z190" s="106">
        <v>123915261.77511565</v>
      </c>
      <c r="AA190" s="106">
        <v>172902028.60988566</v>
      </c>
      <c r="AB190" s="108">
        <v>730340376.36581731</v>
      </c>
      <c r="AC190" s="108">
        <v>856053217.192981</v>
      </c>
      <c r="AD190" s="108">
        <v>3059284515.108923</v>
      </c>
      <c r="AE190" s="108">
        <v>3357577363.7628098</v>
      </c>
      <c r="AF190" s="108">
        <v>3685070851.7951536</v>
      </c>
      <c r="AG190" s="108">
        <v>19663759523.648369</v>
      </c>
      <c r="AH190" s="108">
        <v>53425974851.150131</v>
      </c>
      <c r="AI190" s="108">
        <v>61060425690.691566</v>
      </c>
      <c r="AJ190" s="108">
        <v>73229778483.906738</v>
      </c>
      <c r="AK190" s="108">
        <v>242083160.89590108</v>
      </c>
      <c r="AL190" s="108">
        <v>301250164.47914463</v>
      </c>
      <c r="AM190" s="108">
        <v>1152121185.6626813</v>
      </c>
      <c r="AN190" s="108">
        <v>4079112154.9188852</v>
      </c>
      <c r="AO190" s="108">
        <v>10553450838.105619</v>
      </c>
      <c r="AP190" s="108">
        <v>8976822854.3722992</v>
      </c>
      <c r="AQ190" s="108">
        <v>437287795.51122081</v>
      </c>
      <c r="AR190" s="108">
        <v>480184053.05536169</v>
      </c>
      <c r="AS190" s="108">
        <v>676134404.51943839</v>
      </c>
      <c r="AT190" s="108">
        <v>1222610984.7935729</v>
      </c>
      <c r="AU190" s="108">
        <v>1542463099.7243409</v>
      </c>
      <c r="AV190" s="108">
        <v>2010912584.5113795</v>
      </c>
    </row>
    <row r="191" spans="1:48" x14ac:dyDescent="0.35">
      <c r="A191" s="107">
        <f xml:space="preserve"> ROW( slrImpacts[[#This Row],[row_id]] ) - ROW( slrImpacts[[#Headers],[row_id]] )</f>
        <v>190</v>
      </c>
      <c r="B191" s="104">
        <v>2088</v>
      </c>
      <c r="C191" s="104" t="s">
        <v>86</v>
      </c>
      <c r="D191" s="104" t="s">
        <v>88</v>
      </c>
      <c r="E191" s="104" t="s">
        <v>922</v>
      </c>
      <c r="F191" s="104"/>
      <c r="G191" s="105">
        <v>0</v>
      </c>
      <c r="H191" s="105">
        <v>0</v>
      </c>
      <c r="I191" s="105">
        <v>0</v>
      </c>
      <c r="J191" s="105">
        <v>0</v>
      </c>
      <c r="K191" s="105">
        <v>0</v>
      </c>
      <c r="L191" s="105">
        <v>0</v>
      </c>
      <c r="M191" s="106">
        <v>1150638775.895721</v>
      </c>
      <c r="N191" s="106">
        <v>1257765203.1052606</v>
      </c>
      <c r="O191" s="106">
        <v>2220886105.1555796</v>
      </c>
      <c r="P191" s="106">
        <v>10054073335.886784</v>
      </c>
      <c r="Q191" s="106">
        <v>22642747244.573757</v>
      </c>
      <c r="R191" s="106">
        <v>30944697717.208729</v>
      </c>
      <c r="S191" s="105">
        <v>0</v>
      </c>
      <c r="T191" s="105">
        <v>0</v>
      </c>
      <c r="U191" s="105">
        <v>0</v>
      </c>
      <c r="V191" s="105">
        <v>0</v>
      </c>
      <c r="W191" s="105">
        <v>0</v>
      </c>
      <c r="X191" s="105">
        <v>0</v>
      </c>
      <c r="Y191" s="106">
        <v>112095097.21084239</v>
      </c>
      <c r="Z191" s="106">
        <v>124448479.76971437</v>
      </c>
      <c r="AA191" s="106">
        <v>174114452.99204233</v>
      </c>
      <c r="AB191" s="108">
        <v>738183151.48603666</v>
      </c>
      <c r="AC191" s="108">
        <v>855490858.01625383</v>
      </c>
      <c r="AD191" s="108">
        <v>3796343910.3847299</v>
      </c>
      <c r="AE191" s="108">
        <v>3367760242.5328717</v>
      </c>
      <c r="AF191" s="108">
        <v>3697103013.310328</v>
      </c>
      <c r="AG191" s="108">
        <v>23255914809.659191</v>
      </c>
      <c r="AH191" s="108">
        <v>53079602756.684891</v>
      </c>
      <c r="AI191" s="108">
        <v>61570229669.334747</v>
      </c>
      <c r="AJ191" s="108">
        <v>73792026531.018204</v>
      </c>
      <c r="AK191" s="108">
        <v>242765967.22158226</v>
      </c>
      <c r="AL191" s="108">
        <v>302064251.19161665</v>
      </c>
      <c r="AM191" s="108">
        <v>1163726029.9074752</v>
      </c>
      <c r="AN191" s="108">
        <v>4281549177.2725024</v>
      </c>
      <c r="AO191" s="108">
        <v>10412144591.011375</v>
      </c>
      <c r="AP191" s="108">
        <v>8964804464.918396</v>
      </c>
      <c r="AQ191" s="108">
        <v>439435970.87088883</v>
      </c>
      <c r="AR191" s="108">
        <v>482857885.22497231</v>
      </c>
      <c r="AS191" s="108">
        <v>702581271.52112329</v>
      </c>
      <c r="AT191" s="108">
        <v>1213595144.516361</v>
      </c>
      <c r="AU191" s="108">
        <v>1576891695.5551238</v>
      </c>
      <c r="AV191" s="108">
        <v>2035993450.2960913</v>
      </c>
    </row>
    <row r="192" spans="1:48" x14ac:dyDescent="0.35">
      <c r="A192" s="107">
        <f xml:space="preserve"> ROW( slrImpacts[[#This Row],[row_id]] ) - ROW( slrImpacts[[#Headers],[row_id]] )</f>
        <v>191</v>
      </c>
      <c r="B192" s="104">
        <v>2089</v>
      </c>
      <c r="C192" s="104" t="s">
        <v>86</v>
      </c>
      <c r="D192" s="104" t="s">
        <v>88</v>
      </c>
      <c r="E192" s="104" t="s">
        <v>922</v>
      </c>
      <c r="F192" s="104"/>
      <c r="G192" s="105">
        <v>0</v>
      </c>
      <c r="H192" s="105">
        <v>0</v>
      </c>
      <c r="I192" s="105">
        <v>0</v>
      </c>
      <c r="J192" s="105">
        <v>0</v>
      </c>
      <c r="K192" s="105">
        <v>0</v>
      </c>
      <c r="L192" s="105">
        <v>0</v>
      </c>
      <c r="M192" s="106">
        <v>1152104577.1917107</v>
      </c>
      <c r="N192" s="106">
        <v>1261540400.2266309</v>
      </c>
      <c r="O192" s="106">
        <v>2308714060.7980132</v>
      </c>
      <c r="P192" s="106">
        <v>10547956858.302517</v>
      </c>
      <c r="Q192" s="106">
        <v>23360311964.605328</v>
      </c>
      <c r="R192" s="106">
        <v>31607022880.082329</v>
      </c>
      <c r="S192" s="105">
        <v>0</v>
      </c>
      <c r="T192" s="105">
        <v>0</v>
      </c>
      <c r="U192" s="105">
        <v>0</v>
      </c>
      <c r="V192" s="105">
        <v>0</v>
      </c>
      <c r="W192" s="105">
        <v>0</v>
      </c>
      <c r="X192" s="105">
        <v>0</v>
      </c>
      <c r="Y192" s="106">
        <v>112266761.92837244</v>
      </c>
      <c r="Z192" s="106">
        <v>124981697.76431315</v>
      </c>
      <c r="AA192" s="106">
        <v>175326877.374199</v>
      </c>
      <c r="AB192" s="108">
        <v>746025926.60625589</v>
      </c>
      <c r="AC192" s="108">
        <v>854928498.83952701</v>
      </c>
      <c r="AD192" s="108">
        <v>4533403305.6605368</v>
      </c>
      <c r="AE192" s="108">
        <v>3377943121.3029337</v>
      </c>
      <c r="AF192" s="108">
        <v>3709135174.8255005</v>
      </c>
      <c r="AG192" s="108">
        <v>26848070095.67004</v>
      </c>
      <c r="AH192" s="108">
        <v>52733230662.219666</v>
      </c>
      <c r="AI192" s="108">
        <v>62080033647.977959</v>
      </c>
      <c r="AJ192" s="108">
        <v>74354274578.129654</v>
      </c>
      <c r="AK192" s="108">
        <v>243448773.54726341</v>
      </c>
      <c r="AL192" s="108">
        <v>302878337.90408868</v>
      </c>
      <c r="AM192" s="108">
        <v>1175330874.1522698</v>
      </c>
      <c r="AN192" s="108">
        <v>4483986199.6261206</v>
      </c>
      <c r="AO192" s="108">
        <v>10270838343.917126</v>
      </c>
      <c r="AP192" s="108">
        <v>8952786075.4644928</v>
      </c>
      <c r="AQ192" s="108">
        <v>441584146.23055696</v>
      </c>
      <c r="AR192" s="108">
        <v>485531717.39458311</v>
      </c>
      <c r="AS192" s="108">
        <v>729028138.52280796</v>
      </c>
      <c r="AT192" s="108">
        <v>1204579304.2391496</v>
      </c>
      <c r="AU192" s="108">
        <v>1611320291.3859079</v>
      </c>
      <c r="AV192" s="108">
        <v>2061074316.0808022</v>
      </c>
    </row>
    <row r="193" spans="1:48" x14ac:dyDescent="0.35">
      <c r="A193" s="107">
        <f xml:space="preserve"> ROW( slrImpacts[[#This Row],[row_id]] ) - ROW( slrImpacts[[#Headers],[row_id]] )</f>
        <v>192</v>
      </c>
      <c r="B193" s="104">
        <v>2090</v>
      </c>
      <c r="C193" s="104" t="s">
        <v>86</v>
      </c>
      <c r="D193" s="104" t="s">
        <v>88</v>
      </c>
      <c r="E193" s="104" t="s">
        <v>922</v>
      </c>
      <c r="F193" s="104"/>
      <c r="G193" s="105">
        <v>0</v>
      </c>
      <c r="H193" s="105">
        <v>0</v>
      </c>
      <c r="I193" s="105">
        <v>0</v>
      </c>
      <c r="J193" s="105">
        <v>0</v>
      </c>
      <c r="K193" s="105">
        <v>0</v>
      </c>
      <c r="L193" s="105">
        <v>0</v>
      </c>
      <c r="M193" s="106">
        <v>1153616189.2186997</v>
      </c>
      <c r="N193" s="106">
        <v>1265494477.3452435</v>
      </c>
      <c r="O193" s="106">
        <v>2396461302.295351</v>
      </c>
      <c r="P193" s="106">
        <v>11042147967.054966</v>
      </c>
      <c r="Q193" s="106">
        <v>24077139350.014118</v>
      </c>
      <c r="R193" s="106">
        <v>32267607235.177895</v>
      </c>
      <c r="S193" s="105">
        <v>0</v>
      </c>
      <c r="T193" s="105">
        <v>0</v>
      </c>
      <c r="U193" s="105">
        <v>0</v>
      </c>
      <c r="V193" s="105">
        <v>0</v>
      </c>
      <c r="W193" s="105">
        <v>0</v>
      </c>
      <c r="X193" s="105">
        <v>0</v>
      </c>
      <c r="Y193" s="106">
        <v>112431882.25575952</v>
      </c>
      <c r="Z193" s="106">
        <v>125534548.92934078</v>
      </c>
      <c r="AA193" s="106">
        <v>176646193.46202409</v>
      </c>
      <c r="AB193" s="108">
        <v>754876537.80849314</v>
      </c>
      <c r="AC193" s="108">
        <v>854283244.05432212</v>
      </c>
      <c r="AD193" s="108">
        <v>5270532507.764535</v>
      </c>
      <c r="AE193" s="108">
        <v>3386297933.7597265</v>
      </c>
      <c r="AF193" s="108">
        <v>3710443262.3597198</v>
      </c>
      <c r="AG193" s="108">
        <v>30427265307.734386</v>
      </c>
      <c r="AH193" s="108">
        <v>52398710458.303322</v>
      </c>
      <c r="AI193" s="108">
        <v>62570632023.014915</v>
      </c>
      <c r="AJ193" s="108">
        <v>74898837501.611404</v>
      </c>
      <c r="AK193" s="108">
        <v>244122854.01942068</v>
      </c>
      <c r="AL193" s="108">
        <v>303779683.15180033</v>
      </c>
      <c r="AM193" s="108">
        <v>1187688323.2635062</v>
      </c>
      <c r="AN193" s="108">
        <v>4686547565.392457</v>
      </c>
      <c r="AO193" s="108">
        <v>10129093622.683306</v>
      </c>
      <c r="AP193" s="108">
        <v>8940283401.140007</v>
      </c>
      <c r="AQ193" s="108">
        <v>442765933.31244606</v>
      </c>
      <c r="AR193" s="108">
        <v>487527114.45270544</v>
      </c>
      <c r="AS193" s="108">
        <v>753505144.09145725</v>
      </c>
      <c r="AT193" s="108">
        <v>1191902968.4086342</v>
      </c>
      <c r="AU193" s="108">
        <v>1641135092.165895</v>
      </c>
      <c r="AV193" s="108">
        <v>2081338510.7202852</v>
      </c>
    </row>
    <row r="194" spans="1:48" x14ac:dyDescent="0.35">
      <c r="A194" s="107">
        <f xml:space="preserve"> ROW( slrImpacts[[#This Row],[row_id]] ) - ROW( slrImpacts[[#Headers],[row_id]] )</f>
        <v>193</v>
      </c>
      <c r="B194" s="104">
        <v>2091</v>
      </c>
      <c r="C194" s="104" t="s">
        <v>86</v>
      </c>
      <c r="D194" s="104" t="s">
        <v>88</v>
      </c>
      <c r="E194" s="104" t="s">
        <v>922</v>
      </c>
      <c r="F194" s="104"/>
      <c r="G194" s="105">
        <v>0</v>
      </c>
      <c r="H194" s="105">
        <v>0</v>
      </c>
      <c r="I194" s="105">
        <v>0</v>
      </c>
      <c r="J194" s="105">
        <v>0</v>
      </c>
      <c r="K194" s="105">
        <v>0</v>
      </c>
      <c r="L194" s="105">
        <v>0</v>
      </c>
      <c r="M194" s="106">
        <v>1154615157.3511569</v>
      </c>
      <c r="N194" s="106">
        <v>1269086431.5426109</v>
      </c>
      <c r="O194" s="106">
        <v>2483471209.1699138</v>
      </c>
      <c r="P194" s="106">
        <v>11536400156.782085</v>
      </c>
      <c r="Q194" s="106">
        <v>24794139071.030006</v>
      </c>
      <c r="R194" s="106">
        <v>32928787129.776463</v>
      </c>
      <c r="S194" s="105">
        <v>0</v>
      </c>
      <c r="T194" s="105">
        <v>0</v>
      </c>
      <c r="U194" s="105">
        <v>0</v>
      </c>
      <c r="V194" s="105">
        <v>0</v>
      </c>
      <c r="W194" s="105">
        <v>0</v>
      </c>
      <c r="X194" s="105">
        <v>0</v>
      </c>
      <c r="Y194" s="106">
        <v>112577369.41271769</v>
      </c>
      <c r="Z194" s="106">
        <v>126067766.92393947</v>
      </c>
      <c r="AA194" s="106">
        <v>177858617.84418076</v>
      </c>
      <c r="AB194" s="108">
        <v>762952729.51047838</v>
      </c>
      <c r="AC194" s="108">
        <v>852857025.37872279</v>
      </c>
      <c r="AD194" s="108">
        <v>6007648621.0882473</v>
      </c>
      <c r="AE194" s="108">
        <v>3391485261.3873177</v>
      </c>
      <c r="AF194" s="108">
        <v>3708749656.2816978</v>
      </c>
      <c r="AG194" s="108">
        <v>34022099430.777084</v>
      </c>
      <c r="AH194" s="108">
        <v>52068245594.812256</v>
      </c>
      <c r="AI194" s="108">
        <v>63056213032.275589</v>
      </c>
      <c r="AJ194" s="108">
        <v>75464887839.395935</v>
      </c>
      <c r="AK194" s="108">
        <v>244775119.857768</v>
      </c>
      <c r="AL194" s="108">
        <v>304643943.5220353</v>
      </c>
      <c r="AM194" s="108">
        <v>1199866892.3775012</v>
      </c>
      <c r="AN194" s="108">
        <v>4888105458.0035334</v>
      </c>
      <c r="AO194" s="108">
        <v>9987204924.866333</v>
      </c>
      <c r="AP194" s="108">
        <v>8928070861.4451981</v>
      </c>
      <c r="AQ194" s="108">
        <v>443323821.86737168</v>
      </c>
      <c r="AR194" s="108">
        <v>488861528.10638756</v>
      </c>
      <c r="AS194" s="108">
        <v>779360834.51689374</v>
      </c>
      <c r="AT194" s="108">
        <v>1181918558.3902624</v>
      </c>
      <c r="AU194" s="108">
        <v>1674697647.0344248</v>
      </c>
      <c r="AV194" s="108">
        <v>2106096519.9246092</v>
      </c>
    </row>
    <row r="195" spans="1:48" x14ac:dyDescent="0.35">
      <c r="A195" s="107">
        <f xml:space="preserve"> ROW( slrImpacts[[#This Row],[row_id]] ) - ROW( slrImpacts[[#Headers],[row_id]] )</f>
        <v>194</v>
      </c>
      <c r="B195" s="104">
        <v>2092</v>
      </c>
      <c r="C195" s="104" t="s">
        <v>86</v>
      </c>
      <c r="D195" s="104" t="s">
        <v>88</v>
      </c>
      <c r="E195" s="104" t="s">
        <v>922</v>
      </c>
      <c r="F195" s="104"/>
      <c r="G195" s="105">
        <v>0</v>
      </c>
      <c r="H195" s="105">
        <v>0</v>
      </c>
      <c r="I195" s="105">
        <v>0</v>
      </c>
      <c r="J195" s="105">
        <v>0</v>
      </c>
      <c r="K195" s="105">
        <v>0</v>
      </c>
      <c r="L195" s="105">
        <v>0</v>
      </c>
      <c r="M195" s="106">
        <v>1155614125.4836142</v>
      </c>
      <c r="N195" s="106">
        <v>1272678385.7399778</v>
      </c>
      <c r="O195" s="106">
        <v>2570481116.0444751</v>
      </c>
      <c r="P195" s="106">
        <v>12030652346.509192</v>
      </c>
      <c r="Q195" s="106">
        <v>25511138792.045891</v>
      </c>
      <c r="R195" s="106">
        <v>33589967024.37505</v>
      </c>
      <c r="S195" s="105">
        <v>0</v>
      </c>
      <c r="T195" s="105">
        <v>0</v>
      </c>
      <c r="U195" s="105">
        <v>0</v>
      </c>
      <c r="V195" s="105">
        <v>0</v>
      </c>
      <c r="W195" s="105">
        <v>0</v>
      </c>
      <c r="X195" s="105">
        <v>0</v>
      </c>
      <c r="Y195" s="106">
        <v>112722856.56967583</v>
      </c>
      <c r="Z195" s="106">
        <v>126600984.9185382</v>
      </c>
      <c r="AA195" s="106">
        <v>179071042.22633734</v>
      </c>
      <c r="AB195" s="108">
        <v>771028921.21246374</v>
      </c>
      <c r="AC195" s="108">
        <v>851430806.70312309</v>
      </c>
      <c r="AD195" s="108">
        <v>6744764734.4119625</v>
      </c>
      <c r="AE195" s="108">
        <v>3396672589.0149093</v>
      </c>
      <c r="AF195" s="108">
        <v>3707056050.2036734</v>
      </c>
      <c r="AG195" s="108">
        <v>37616933553.819763</v>
      </c>
      <c r="AH195" s="108">
        <v>51737780731.321213</v>
      </c>
      <c r="AI195" s="108">
        <v>63541794041.536255</v>
      </c>
      <c r="AJ195" s="108">
        <v>76030938177.18045</v>
      </c>
      <c r="AK195" s="108">
        <v>245427385.69611529</v>
      </c>
      <c r="AL195" s="108">
        <v>305508203.89227003</v>
      </c>
      <c r="AM195" s="108">
        <v>1212045461.4914963</v>
      </c>
      <c r="AN195" s="108">
        <v>5089663350.6146135</v>
      </c>
      <c r="AO195" s="108">
        <v>9845316227.0493622</v>
      </c>
      <c r="AP195" s="108">
        <v>8915858321.7503891</v>
      </c>
      <c r="AQ195" s="108">
        <v>443881710.42229712</v>
      </c>
      <c r="AR195" s="108">
        <v>490195941.76006973</v>
      </c>
      <c r="AS195" s="108">
        <v>805216524.94232953</v>
      </c>
      <c r="AT195" s="108">
        <v>1171934148.3718915</v>
      </c>
      <c r="AU195" s="108">
        <v>1708260201.9029546</v>
      </c>
      <c r="AV195" s="108">
        <v>2130854529.1289344</v>
      </c>
    </row>
    <row r="196" spans="1:48" x14ac:dyDescent="0.35">
      <c r="A196" s="107">
        <f xml:space="preserve"> ROW( slrImpacts[[#This Row],[row_id]] ) - ROW( slrImpacts[[#Headers],[row_id]] )</f>
        <v>195</v>
      </c>
      <c r="B196" s="104">
        <v>2093</v>
      </c>
      <c r="C196" s="104" t="s">
        <v>86</v>
      </c>
      <c r="D196" s="104" t="s">
        <v>88</v>
      </c>
      <c r="E196" s="104" t="s">
        <v>922</v>
      </c>
      <c r="F196" s="104"/>
      <c r="G196" s="105">
        <v>0</v>
      </c>
      <c r="H196" s="105">
        <v>0</v>
      </c>
      <c r="I196" s="105">
        <v>0</v>
      </c>
      <c r="J196" s="105">
        <v>0</v>
      </c>
      <c r="K196" s="105">
        <v>0</v>
      </c>
      <c r="L196" s="105">
        <v>0</v>
      </c>
      <c r="M196" s="106">
        <v>1156613093.6160717</v>
      </c>
      <c r="N196" s="106">
        <v>1276270339.9373453</v>
      </c>
      <c r="O196" s="106">
        <v>2657491022.919034</v>
      </c>
      <c r="P196" s="106">
        <v>12524904536.236309</v>
      </c>
      <c r="Q196" s="106">
        <v>26228138513.06179</v>
      </c>
      <c r="R196" s="106">
        <v>34251146918.973618</v>
      </c>
      <c r="S196" s="105">
        <v>0</v>
      </c>
      <c r="T196" s="105">
        <v>0</v>
      </c>
      <c r="U196" s="105">
        <v>0</v>
      </c>
      <c r="V196" s="105">
        <v>0</v>
      </c>
      <c r="W196" s="105">
        <v>0</v>
      </c>
      <c r="X196" s="105">
        <v>0</v>
      </c>
      <c r="Y196" s="106">
        <v>112868343.72663403</v>
      </c>
      <c r="Z196" s="106">
        <v>127134202.91313691</v>
      </c>
      <c r="AA196" s="106">
        <v>180283466.60849401</v>
      </c>
      <c r="AB196" s="108">
        <v>779105112.91444921</v>
      </c>
      <c r="AC196" s="108">
        <v>850004588.02752364</v>
      </c>
      <c r="AD196" s="108">
        <v>7481880847.7356758</v>
      </c>
      <c r="AE196" s="108">
        <v>3401859916.6425009</v>
      </c>
      <c r="AF196" s="108">
        <v>3705362444.1256504</v>
      </c>
      <c r="AG196" s="108">
        <v>41211767676.862473</v>
      </c>
      <c r="AH196" s="108">
        <v>51407315867.830162</v>
      </c>
      <c r="AI196" s="108">
        <v>64027375050.796898</v>
      </c>
      <c r="AJ196" s="108">
        <v>76596988514.965088</v>
      </c>
      <c r="AK196" s="108">
        <v>246079651.5344626</v>
      </c>
      <c r="AL196" s="108">
        <v>306372464.26250499</v>
      </c>
      <c r="AM196" s="108">
        <v>1224224030.6054912</v>
      </c>
      <c r="AN196" s="108">
        <v>5291221243.2256918</v>
      </c>
      <c r="AO196" s="108">
        <v>9703427529.2323933</v>
      </c>
      <c r="AP196" s="108">
        <v>8903645782.0555763</v>
      </c>
      <c r="AQ196" s="108">
        <v>444439598.97722268</v>
      </c>
      <c r="AR196" s="108">
        <v>491530355.4137519</v>
      </c>
      <c r="AS196" s="108">
        <v>831072215.36776531</v>
      </c>
      <c r="AT196" s="108">
        <v>1161949738.3535192</v>
      </c>
      <c r="AU196" s="108">
        <v>1741822756.7714851</v>
      </c>
      <c r="AV196" s="108">
        <v>2155612538.3332596</v>
      </c>
    </row>
    <row r="197" spans="1:48" x14ac:dyDescent="0.35">
      <c r="A197" s="107">
        <f xml:space="preserve"> ROW( slrImpacts[[#This Row],[row_id]] ) - ROW( slrImpacts[[#Headers],[row_id]] )</f>
        <v>196</v>
      </c>
      <c r="B197" s="104">
        <v>2094</v>
      </c>
      <c r="C197" s="104" t="s">
        <v>86</v>
      </c>
      <c r="D197" s="104" t="s">
        <v>88</v>
      </c>
      <c r="E197" s="104" t="s">
        <v>922</v>
      </c>
      <c r="F197" s="104"/>
      <c r="G197" s="105">
        <v>0</v>
      </c>
      <c r="H197" s="105">
        <v>0</v>
      </c>
      <c r="I197" s="105">
        <v>0</v>
      </c>
      <c r="J197" s="105">
        <v>0</v>
      </c>
      <c r="K197" s="105">
        <v>0</v>
      </c>
      <c r="L197" s="105">
        <v>0</v>
      </c>
      <c r="M197" s="106">
        <v>1157612061.7485282</v>
      </c>
      <c r="N197" s="106">
        <v>1279862294.1347134</v>
      </c>
      <c r="O197" s="106">
        <v>2744500929.7935944</v>
      </c>
      <c r="P197" s="106">
        <v>13019156725.963434</v>
      </c>
      <c r="Q197" s="106">
        <v>26945138234.077679</v>
      </c>
      <c r="R197" s="106">
        <v>34912326813.572212</v>
      </c>
      <c r="S197" s="105">
        <v>0</v>
      </c>
      <c r="T197" s="105">
        <v>0</v>
      </c>
      <c r="U197" s="105">
        <v>0</v>
      </c>
      <c r="V197" s="105">
        <v>0</v>
      </c>
      <c r="W197" s="105">
        <v>0</v>
      </c>
      <c r="X197" s="105">
        <v>0</v>
      </c>
      <c r="Y197" s="106">
        <v>113013830.88359213</v>
      </c>
      <c r="Z197" s="106">
        <v>127667420.90773562</v>
      </c>
      <c r="AA197" s="106">
        <v>181495890.99065062</v>
      </c>
      <c r="AB197" s="108">
        <v>787181304.61643481</v>
      </c>
      <c r="AC197" s="108">
        <v>848578369.35192406</v>
      </c>
      <c r="AD197" s="108">
        <v>8218996961.0593872</v>
      </c>
      <c r="AE197" s="108">
        <v>3407047244.2700949</v>
      </c>
      <c r="AF197" s="108">
        <v>3703668838.0476279</v>
      </c>
      <c r="AG197" s="108">
        <v>44806601799.905144</v>
      </c>
      <c r="AH197" s="108">
        <v>51076851004.339157</v>
      </c>
      <c r="AI197" s="108">
        <v>64512956060.057495</v>
      </c>
      <c r="AJ197" s="108">
        <v>77163038852.749588</v>
      </c>
      <c r="AK197" s="108">
        <v>246731917.37280992</v>
      </c>
      <c r="AL197" s="108">
        <v>307236724.63273978</v>
      </c>
      <c r="AM197" s="108">
        <v>1236402599.7194862</v>
      </c>
      <c r="AN197" s="108">
        <v>5492779135.8367701</v>
      </c>
      <c r="AO197" s="108">
        <v>9561538831.4154243</v>
      </c>
      <c r="AP197" s="108">
        <v>8891433242.3607693</v>
      </c>
      <c r="AQ197" s="108">
        <v>444997487.5321483</v>
      </c>
      <c r="AR197" s="108">
        <v>492864769.06743377</v>
      </c>
      <c r="AS197" s="108">
        <v>856927905.79320145</v>
      </c>
      <c r="AT197" s="108">
        <v>1151965328.3351474</v>
      </c>
      <c r="AU197" s="108">
        <v>1775385311.6400154</v>
      </c>
      <c r="AV197" s="108">
        <v>2180370547.5375843</v>
      </c>
    </row>
    <row r="198" spans="1:48" x14ac:dyDescent="0.35">
      <c r="A198" s="107">
        <f xml:space="preserve"> ROW( slrImpacts[[#This Row],[row_id]] ) - ROW( slrImpacts[[#Headers],[row_id]] )</f>
        <v>197</v>
      </c>
      <c r="B198" s="104">
        <v>2095</v>
      </c>
      <c r="C198" s="104" t="s">
        <v>86</v>
      </c>
      <c r="D198" s="104" t="s">
        <v>88</v>
      </c>
      <c r="E198" s="104" t="s">
        <v>922</v>
      </c>
      <c r="F198" s="104"/>
      <c r="G198" s="105">
        <v>0</v>
      </c>
      <c r="H198" s="105">
        <v>0</v>
      </c>
      <c r="I198" s="105">
        <v>0</v>
      </c>
      <c r="J198" s="105">
        <v>0</v>
      </c>
      <c r="K198" s="105">
        <v>0</v>
      </c>
      <c r="L198" s="105">
        <v>0</v>
      </c>
      <c r="M198" s="106">
        <v>1158611029.8809855</v>
      </c>
      <c r="N198" s="106">
        <v>1283454248.3320806</v>
      </c>
      <c r="O198" s="106">
        <v>2831510836.6681552</v>
      </c>
      <c r="P198" s="106">
        <v>13513408915.690552</v>
      </c>
      <c r="Q198" s="106">
        <v>27662137955.093571</v>
      </c>
      <c r="R198" s="106">
        <v>35573506708.170776</v>
      </c>
      <c r="S198" s="105">
        <v>0</v>
      </c>
      <c r="T198" s="105">
        <v>0</v>
      </c>
      <c r="U198" s="105">
        <v>0</v>
      </c>
      <c r="V198" s="105">
        <v>0</v>
      </c>
      <c r="W198" s="105">
        <v>0</v>
      </c>
      <c r="X198" s="105">
        <v>0</v>
      </c>
      <c r="Y198" s="106">
        <v>113159318.04055031</v>
      </c>
      <c r="Z198" s="106">
        <v>128200638.90233435</v>
      </c>
      <c r="AA198" s="106">
        <v>182708315.37280723</v>
      </c>
      <c r="AB198" s="108">
        <v>795257496.31841981</v>
      </c>
      <c r="AC198" s="108">
        <v>847152150.67632437</v>
      </c>
      <c r="AD198" s="108">
        <v>8956113074.3830986</v>
      </c>
      <c r="AE198" s="108">
        <v>3412234571.897687</v>
      </c>
      <c r="AF198" s="108">
        <v>3701975231.9696031</v>
      </c>
      <c r="AG198" s="108">
        <v>48401435922.947868</v>
      </c>
      <c r="AH198" s="108">
        <v>50746386140.848091</v>
      </c>
      <c r="AI198" s="108">
        <v>64998537069.318199</v>
      </c>
      <c r="AJ198" s="108">
        <v>77729089190.534119</v>
      </c>
      <c r="AK198" s="108">
        <v>247384183.21115717</v>
      </c>
      <c r="AL198" s="108">
        <v>308100985.00297463</v>
      </c>
      <c r="AM198" s="108">
        <v>1248581168.8334816</v>
      </c>
      <c r="AN198" s="108">
        <v>5694337028.4478502</v>
      </c>
      <c r="AO198" s="108">
        <v>9419650133.5984535</v>
      </c>
      <c r="AP198" s="108">
        <v>8879220702.6659584</v>
      </c>
      <c r="AQ198" s="108">
        <v>445555376.08707374</v>
      </c>
      <c r="AR198" s="108">
        <v>494199182.72111589</v>
      </c>
      <c r="AS198" s="108">
        <v>882783596.21863782</v>
      </c>
      <c r="AT198" s="108">
        <v>1141980918.3167756</v>
      </c>
      <c r="AU198" s="108">
        <v>1808947866.5085452</v>
      </c>
      <c r="AV198" s="108">
        <v>2205128556.7419086</v>
      </c>
    </row>
    <row r="199" spans="1:48" x14ac:dyDescent="0.35">
      <c r="A199" s="107">
        <f xml:space="preserve"> ROW( slrImpacts[[#This Row],[row_id]] ) - ROW( slrImpacts[[#Headers],[row_id]] )</f>
        <v>198</v>
      </c>
      <c r="B199" s="104">
        <v>2096</v>
      </c>
      <c r="C199" s="104" t="s">
        <v>86</v>
      </c>
      <c r="D199" s="104" t="s">
        <v>88</v>
      </c>
      <c r="E199" s="104" t="s">
        <v>922</v>
      </c>
      <c r="F199" s="104"/>
      <c r="G199" s="105">
        <v>0</v>
      </c>
      <c r="H199" s="105">
        <v>0</v>
      </c>
      <c r="I199" s="105">
        <v>0</v>
      </c>
      <c r="J199" s="105">
        <v>0</v>
      </c>
      <c r="K199" s="105">
        <v>0</v>
      </c>
      <c r="L199" s="105">
        <v>0</v>
      </c>
      <c r="M199" s="106">
        <v>1158638516.3195856</v>
      </c>
      <c r="N199" s="106">
        <v>1283561576.3304253</v>
      </c>
      <c r="O199" s="106">
        <v>2831462408.1810994</v>
      </c>
      <c r="P199" s="106">
        <v>13513593467.492577</v>
      </c>
      <c r="Q199" s="106">
        <v>27661695554.31992</v>
      </c>
      <c r="R199" s="106">
        <v>35572462223.50396</v>
      </c>
      <c r="S199" s="105">
        <v>0</v>
      </c>
      <c r="T199" s="105">
        <v>0</v>
      </c>
      <c r="U199" s="105">
        <v>0</v>
      </c>
      <c r="V199" s="105">
        <v>0</v>
      </c>
      <c r="W199" s="105">
        <v>0</v>
      </c>
      <c r="X199" s="105">
        <v>0</v>
      </c>
      <c r="Y199" s="106">
        <v>113155391.40646453</v>
      </c>
      <c r="Z199" s="106">
        <v>128212418.8045917</v>
      </c>
      <c r="AA199" s="106">
        <v>182772450.39620838</v>
      </c>
      <c r="AB199" s="108">
        <v>795862197.96763062</v>
      </c>
      <c r="AC199" s="108">
        <v>847102413.31123781</v>
      </c>
      <c r="AD199" s="108">
        <v>8956154958.4800148</v>
      </c>
      <c r="AE199" s="108">
        <v>3411137732.1097264</v>
      </c>
      <c r="AF199" s="108">
        <v>3695540787.5810323</v>
      </c>
      <c r="AG199" s="108">
        <v>48393659878.580017</v>
      </c>
      <c r="AH199" s="108">
        <v>50753497275.17746</v>
      </c>
      <c r="AI199" s="108">
        <v>64987013707.154465</v>
      </c>
      <c r="AJ199" s="108">
        <v>77718478116.356216</v>
      </c>
      <c r="AK199" s="108">
        <v>247378947.69904283</v>
      </c>
      <c r="AL199" s="108">
        <v>308153340.12411845</v>
      </c>
      <c r="AM199" s="108">
        <v>1249032731.7533467</v>
      </c>
      <c r="AN199" s="108">
        <v>5694411634.4954805</v>
      </c>
      <c r="AO199" s="108">
        <v>9419387049.1147079</v>
      </c>
      <c r="AP199" s="108">
        <v>8878930131.7436104</v>
      </c>
      <c r="AQ199" s="108">
        <v>444975543.12040633</v>
      </c>
      <c r="AR199" s="108">
        <v>493792121.65422291</v>
      </c>
      <c r="AS199" s="108">
        <v>881601679.35881639</v>
      </c>
      <c r="AT199" s="108">
        <v>1139784620.9847937</v>
      </c>
      <c r="AU199" s="108">
        <v>1806179589.4780674</v>
      </c>
      <c r="AV199" s="108">
        <v>2202238554.0547714</v>
      </c>
    </row>
    <row r="200" spans="1:48" x14ac:dyDescent="0.35">
      <c r="A200" s="107">
        <f xml:space="preserve"> ROW( slrImpacts[[#This Row],[row_id]] ) - ROW( slrImpacts[[#Headers],[row_id]] )</f>
        <v>199</v>
      </c>
      <c r="B200" s="104">
        <v>2097</v>
      </c>
      <c r="C200" s="104" t="s">
        <v>86</v>
      </c>
      <c r="D200" s="104" t="s">
        <v>88</v>
      </c>
      <c r="E200" s="104" t="s">
        <v>922</v>
      </c>
      <c r="F200" s="104"/>
      <c r="G200" s="105">
        <v>0</v>
      </c>
      <c r="H200" s="105">
        <v>0</v>
      </c>
      <c r="I200" s="105">
        <v>0</v>
      </c>
      <c r="J200" s="105">
        <v>0</v>
      </c>
      <c r="K200" s="105">
        <v>0</v>
      </c>
      <c r="L200" s="105">
        <v>0</v>
      </c>
      <c r="M200" s="106">
        <v>1158672110.855653</v>
      </c>
      <c r="N200" s="106">
        <v>1283692754.9950688</v>
      </c>
      <c r="O200" s="106">
        <v>2831403217.8080277</v>
      </c>
      <c r="P200" s="106">
        <v>13513819030.806179</v>
      </c>
      <c r="Q200" s="106">
        <v>27661154842.263218</v>
      </c>
      <c r="R200" s="106">
        <v>35571185631.133392</v>
      </c>
      <c r="S200" s="105">
        <v>0</v>
      </c>
      <c r="T200" s="105">
        <v>0</v>
      </c>
      <c r="U200" s="105">
        <v>0</v>
      </c>
      <c r="V200" s="105">
        <v>0</v>
      </c>
      <c r="W200" s="105">
        <v>0</v>
      </c>
      <c r="X200" s="105">
        <v>0</v>
      </c>
      <c r="Y200" s="106">
        <v>113150592.18702635</v>
      </c>
      <c r="Z200" s="106">
        <v>128226816.46290623</v>
      </c>
      <c r="AA200" s="106">
        <v>182850837.64703196</v>
      </c>
      <c r="AB200" s="108">
        <v>796601277.76111042</v>
      </c>
      <c r="AC200" s="108">
        <v>847041623.19835413</v>
      </c>
      <c r="AD200" s="108">
        <v>8956206150.1540222</v>
      </c>
      <c r="AE200" s="108">
        <v>3409797150.1466603</v>
      </c>
      <c r="AF200" s="108">
        <v>3687676466.6616664</v>
      </c>
      <c r="AG200" s="108">
        <v>48384155824.352577</v>
      </c>
      <c r="AH200" s="108">
        <v>50762188661.579987</v>
      </c>
      <c r="AI200" s="108">
        <v>64972929597.843163</v>
      </c>
      <c r="AJ200" s="108">
        <v>77705509025.694489</v>
      </c>
      <c r="AK200" s="108">
        <v>247372548.73979187</v>
      </c>
      <c r="AL200" s="108">
        <v>308217329.71662754</v>
      </c>
      <c r="AM200" s="108">
        <v>1249584641.9887373</v>
      </c>
      <c r="AN200" s="108">
        <v>5694502819.6648064</v>
      </c>
      <c r="AO200" s="108">
        <v>9419065501.4123478</v>
      </c>
      <c r="AP200" s="108">
        <v>8878574989.5051842</v>
      </c>
      <c r="AQ200" s="108">
        <v>444266858.38336819</v>
      </c>
      <c r="AR200" s="108">
        <v>493294602.57246494</v>
      </c>
      <c r="AS200" s="108">
        <v>880157114.30792415</v>
      </c>
      <c r="AT200" s="108">
        <v>1137100257.5790381</v>
      </c>
      <c r="AU200" s="108">
        <v>1802796139.7741497</v>
      </c>
      <c r="AV200" s="108">
        <v>2198706328.5482702</v>
      </c>
    </row>
    <row r="201" spans="1:48" x14ac:dyDescent="0.35">
      <c r="A201" s="107">
        <f xml:space="preserve"> ROW( slrImpacts[[#This Row],[row_id]] ) - ROW( slrImpacts[[#Headers],[row_id]] )</f>
        <v>200</v>
      </c>
      <c r="B201" s="104">
        <v>2098</v>
      </c>
      <c r="C201" s="104" t="s">
        <v>86</v>
      </c>
      <c r="D201" s="104" t="s">
        <v>88</v>
      </c>
      <c r="E201" s="104" t="s">
        <v>922</v>
      </c>
      <c r="F201" s="104"/>
      <c r="G201" s="105">
        <v>0</v>
      </c>
      <c r="H201" s="105">
        <v>0</v>
      </c>
      <c r="I201" s="105">
        <v>0</v>
      </c>
      <c r="J201" s="105">
        <v>0</v>
      </c>
      <c r="K201" s="105">
        <v>0</v>
      </c>
      <c r="L201" s="105">
        <v>0</v>
      </c>
      <c r="M201" s="106">
        <v>1158714104.025737</v>
      </c>
      <c r="N201" s="106">
        <v>1283856728.3258731</v>
      </c>
      <c r="O201" s="106">
        <v>2831329229.8416872</v>
      </c>
      <c r="P201" s="106">
        <v>13514100984.948164</v>
      </c>
      <c r="Q201" s="106">
        <v>27660478952.192333</v>
      </c>
      <c r="R201" s="106">
        <v>35569589890.670197</v>
      </c>
      <c r="S201" s="105">
        <v>0</v>
      </c>
      <c r="T201" s="105">
        <v>0</v>
      </c>
      <c r="U201" s="105">
        <v>0</v>
      </c>
      <c r="V201" s="105">
        <v>0</v>
      </c>
      <c r="W201" s="105">
        <v>0</v>
      </c>
      <c r="X201" s="105">
        <v>0</v>
      </c>
      <c r="Y201" s="106">
        <v>113144593.16272864</v>
      </c>
      <c r="Z201" s="106">
        <v>128244813.53579941</v>
      </c>
      <c r="AA201" s="106">
        <v>182948821.71056151</v>
      </c>
      <c r="AB201" s="108">
        <v>797525127.50296032</v>
      </c>
      <c r="AC201" s="108">
        <v>846965635.55724967</v>
      </c>
      <c r="AD201" s="108">
        <v>8956270139.7465305</v>
      </c>
      <c r="AE201" s="108">
        <v>3408121422.6928287</v>
      </c>
      <c r="AF201" s="108">
        <v>3677846065.5124602</v>
      </c>
      <c r="AG201" s="108">
        <v>48372275756.568321</v>
      </c>
      <c r="AH201" s="108">
        <v>50773052894.583191</v>
      </c>
      <c r="AI201" s="108">
        <v>64955324461.204132</v>
      </c>
      <c r="AJ201" s="108">
        <v>77689297662.367294</v>
      </c>
      <c r="AK201" s="108">
        <v>247364550.0407283</v>
      </c>
      <c r="AL201" s="108">
        <v>308297316.70726383</v>
      </c>
      <c r="AM201" s="108">
        <v>1250274529.7829759</v>
      </c>
      <c r="AN201" s="108">
        <v>5694616801.1264629</v>
      </c>
      <c r="AO201" s="108">
        <v>9418663566.7844028</v>
      </c>
      <c r="AP201" s="108">
        <v>8878131061.7071514</v>
      </c>
      <c r="AQ201" s="108">
        <v>443381002.4620707</v>
      </c>
      <c r="AR201" s="108">
        <v>492672703.7202673</v>
      </c>
      <c r="AS201" s="108">
        <v>878351407.99430871</v>
      </c>
      <c r="AT201" s="108">
        <v>1133744803.3218431</v>
      </c>
      <c r="AU201" s="108">
        <v>1798566827.6442533</v>
      </c>
      <c r="AV201" s="108">
        <v>2194291046.6651435</v>
      </c>
    </row>
    <row r="202" spans="1:48" x14ac:dyDescent="0.35">
      <c r="A202" s="107">
        <f xml:space="preserve"> ROW( slrImpacts[[#This Row],[row_id]] ) - ROW( slrImpacts[[#Headers],[row_id]] )</f>
        <v>201</v>
      </c>
      <c r="B202" s="104">
        <v>2099</v>
      </c>
      <c r="C202" s="104" t="s">
        <v>86</v>
      </c>
      <c r="D202" s="104" t="s">
        <v>88</v>
      </c>
      <c r="E202" s="104" t="s">
        <v>922</v>
      </c>
      <c r="F202" s="104"/>
      <c r="G202" s="105">
        <v>0</v>
      </c>
      <c r="H202" s="105">
        <v>0</v>
      </c>
      <c r="I202" s="105">
        <v>0</v>
      </c>
      <c r="J202" s="105">
        <v>0</v>
      </c>
      <c r="K202" s="105">
        <v>0</v>
      </c>
      <c r="L202" s="105">
        <v>0</v>
      </c>
      <c r="M202" s="106">
        <v>1158768095.2444167</v>
      </c>
      <c r="N202" s="106">
        <v>1284067551.1797645</v>
      </c>
      <c r="O202" s="106">
        <v>2831234102.4563956</v>
      </c>
      <c r="P202" s="106">
        <v>13514463497.416447</v>
      </c>
      <c r="Q202" s="106">
        <v>27659609950.672642</v>
      </c>
      <c r="R202" s="106">
        <v>35567538224.36039</v>
      </c>
      <c r="S202" s="105">
        <v>0</v>
      </c>
      <c r="T202" s="105">
        <v>0</v>
      </c>
      <c r="U202" s="105">
        <v>0</v>
      </c>
      <c r="V202" s="105">
        <v>0</v>
      </c>
      <c r="W202" s="105">
        <v>0</v>
      </c>
      <c r="X202" s="105">
        <v>0</v>
      </c>
      <c r="Y202" s="106">
        <v>113136880.1314887</v>
      </c>
      <c r="Z202" s="106">
        <v>128267952.62951919</v>
      </c>
      <c r="AA202" s="106">
        <v>183074801.22081375</v>
      </c>
      <c r="AB202" s="108">
        <v>798712934.31391001</v>
      </c>
      <c r="AC202" s="108">
        <v>846867937.16154361</v>
      </c>
      <c r="AD202" s="108">
        <v>8956352412.0797596</v>
      </c>
      <c r="AE202" s="108">
        <v>3405966915.9664731</v>
      </c>
      <c r="AF202" s="108">
        <v>3665206978.3206224</v>
      </c>
      <c r="AG202" s="108">
        <v>48357001383.702805</v>
      </c>
      <c r="AH202" s="108">
        <v>50787021194.158676</v>
      </c>
      <c r="AI202" s="108">
        <v>64932689285.525368</v>
      </c>
      <c r="AJ202" s="108">
        <v>77668454480.946533</v>
      </c>
      <c r="AK202" s="108">
        <v>247354265.999075</v>
      </c>
      <c r="AL202" s="108">
        <v>308400157.12379628</v>
      </c>
      <c r="AM202" s="108">
        <v>1251161528.3755682</v>
      </c>
      <c r="AN202" s="108">
        <v>5694763348.7200212</v>
      </c>
      <c r="AO202" s="108">
        <v>9418146793.6913261</v>
      </c>
      <c r="AP202" s="108">
        <v>8877560297.3953972</v>
      </c>
      <c r="AQ202" s="108">
        <v>442242044.84897381</v>
      </c>
      <c r="AR202" s="108">
        <v>491873119.48172748</v>
      </c>
      <c r="AS202" s="108">
        <v>876029785.59108877</v>
      </c>
      <c r="AT202" s="108">
        <v>1129430647.8483074</v>
      </c>
      <c r="AU202" s="108">
        <v>1793129140.6201005</v>
      </c>
      <c r="AV202" s="108">
        <v>2188614255.6725531</v>
      </c>
    </row>
    <row r="203" spans="1:48" x14ac:dyDescent="0.35">
      <c r="A203" s="107">
        <f xml:space="preserve"> ROW( slrImpacts[[#This Row],[row_id]] ) - ROW( slrImpacts[[#Headers],[row_id]] )</f>
        <v>202</v>
      </c>
      <c r="B203" s="104">
        <v>2100</v>
      </c>
      <c r="C203" s="104" t="s">
        <v>86</v>
      </c>
      <c r="D203" s="104" t="s">
        <v>88</v>
      </c>
      <c r="E203" s="104" t="s">
        <v>922</v>
      </c>
      <c r="F203" s="104"/>
      <c r="G203" s="105">
        <v>0</v>
      </c>
      <c r="H203" s="105">
        <v>0</v>
      </c>
      <c r="I203" s="105">
        <v>0</v>
      </c>
      <c r="J203" s="105">
        <v>0</v>
      </c>
      <c r="K203" s="105">
        <v>0</v>
      </c>
      <c r="L203" s="105">
        <v>0</v>
      </c>
      <c r="M203" s="106">
        <v>1158840083.5359895</v>
      </c>
      <c r="N203" s="106">
        <v>1284348648.3182869</v>
      </c>
      <c r="O203" s="106">
        <v>2831107265.9426732</v>
      </c>
      <c r="P203" s="106">
        <v>13514946847.374146</v>
      </c>
      <c r="Q203" s="106">
        <v>27658451281.979706</v>
      </c>
      <c r="R203" s="106">
        <v>35564802669.280609</v>
      </c>
      <c r="S203" s="105">
        <v>0</v>
      </c>
      <c r="T203" s="105">
        <v>0</v>
      </c>
      <c r="U203" s="105">
        <v>0</v>
      </c>
      <c r="V203" s="105">
        <v>0</v>
      </c>
      <c r="W203" s="105">
        <v>0</v>
      </c>
      <c r="X203" s="105">
        <v>0</v>
      </c>
      <c r="Y203" s="106">
        <v>113126596.08983544</v>
      </c>
      <c r="Z203" s="106">
        <v>128298804.75447893</v>
      </c>
      <c r="AA203" s="106">
        <v>183242773.90115008</v>
      </c>
      <c r="AB203" s="108">
        <v>800296676.72850978</v>
      </c>
      <c r="AC203" s="108">
        <v>846737672.63393593</v>
      </c>
      <c r="AD203" s="108">
        <v>8956462108.5240631</v>
      </c>
      <c r="AE203" s="108">
        <v>3403094240.3313355</v>
      </c>
      <c r="AF203" s="108">
        <v>3648354862.0648394</v>
      </c>
      <c r="AG203" s="108">
        <v>48336635553.21553</v>
      </c>
      <c r="AH203" s="108">
        <v>50805645593.592728</v>
      </c>
      <c r="AI203" s="108">
        <v>64902509051.286972</v>
      </c>
      <c r="AJ203" s="108">
        <v>77640663572.38562</v>
      </c>
      <c r="AK203" s="108">
        <v>247340553.94353738</v>
      </c>
      <c r="AL203" s="108">
        <v>308537277.67917293</v>
      </c>
      <c r="AM203" s="108">
        <v>1252344193.1656914</v>
      </c>
      <c r="AN203" s="108">
        <v>5694958745.5114336</v>
      </c>
      <c r="AO203" s="108">
        <v>9417457762.9005585</v>
      </c>
      <c r="AP203" s="108">
        <v>8876799278.313055</v>
      </c>
      <c r="AQ203" s="108">
        <v>440723434.69817811</v>
      </c>
      <c r="AR203" s="108">
        <v>490807007.16367465</v>
      </c>
      <c r="AS203" s="108">
        <v>872934289.05346203</v>
      </c>
      <c r="AT203" s="108">
        <v>1123678440.5502591</v>
      </c>
      <c r="AU203" s="108">
        <v>1785878891.2545629</v>
      </c>
      <c r="AV203" s="108">
        <v>2181045201.0157647</v>
      </c>
    </row>
    <row r="204" spans="1:48" x14ac:dyDescent="0.35">
      <c r="A204" s="107">
        <f xml:space="preserve"> ROW( slrImpacts[[#This Row],[row_id]] ) - ROW( slrImpacts[[#Headers],[row_id]] )</f>
        <v>203</v>
      </c>
      <c r="B204" s="104">
        <v>2000</v>
      </c>
      <c r="C204" s="104" t="s">
        <v>86</v>
      </c>
      <c r="D204" s="104" t="s">
        <v>208</v>
      </c>
      <c r="E204" s="104" t="s">
        <v>922</v>
      </c>
      <c r="F204" s="104"/>
      <c r="G204" s="105">
        <v>0</v>
      </c>
      <c r="H204" s="105">
        <v>0</v>
      </c>
      <c r="I204" s="105">
        <v>0</v>
      </c>
      <c r="J204" s="105">
        <v>0</v>
      </c>
      <c r="K204" s="105">
        <v>0</v>
      </c>
      <c r="L204" s="105">
        <v>0</v>
      </c>
      <c r="M204" s="106">
        <v>0</v>
      </c>
      <c r="N204" s="106">
        <v>0</v>
      </c>
      <c r="O204" s="106">
        <v>0</v>
      </c>
      <c r="P204" s="106">
        <v>0</v>
      </c>
      <c r="Q204" s="106">
        <v>0</v>
      </c>
      <c r="R204" s="106">
        <v>0</v>
      </c>
      <c r="S204" s="105">
        <v>0</v>
      </c>
      <c r="T204" s="105">
        <v>0</v>
      </c>
      <c r="U204" s="105">
        <v>0</v>
      </c>
      <c r="V204" s="105">
        <v>0</v>
      </c>
      <c r="W204" s="105">
        <v>0</v>
      </c>
      <c r="X204" s="105">
        <v>0</v>
      </c>
      <c r="Y204" s="106">
        <v>0</v>
      </c>
      <c r="Z204" s="106">
        <v>0</v>
      </c>
      <c r="AA204" s="106">
        <v>0</v>
      </c>
      <c r="AB204" s="108">
        <v>0</v>
      </c>
      <c r="AC204" s="108">
        <v>0</v>
      </c>
      <c r="AD204" s="108">
        <v>0</v>
      </c>
      <c r="AE204" s="108">
        <v>0</v>
      </c>
      <c r="AF204" s="108">
        <v>0</v>
      </c>
      <c r="AG204" s="108">
        <v>0</v>
      </c>
      <c r="AH204" s="108">
        <v>0</v>
      </c>
      <c r="AI204" s="108">
        <v>0</v>
      </c>
      <c r="AJ204" s="108">
        <v>0</v>
      </c>
      <c r="AK204" s="108">
        <v>0</v>
      </c>
      <c r="AL204" s="108">
        <v>0</v>
      </c>
      <c r="AM204" s="108">
        <v>0</v>
      </c>
      <c r="AN204" s="108">
        <v>0</v>
      </c>
      <c r="AO204" s="108">
        <v>0</v>
      </c>
      <c r="AP204" s="108">
        <v>0</v>
      </c>
      <c r="AQ204" s="108">
        <v>0</v>
      </c>
      <c r="AR204" s="108">
        <v>0</v>
      </c>
      <c r="AS204" s="108">
        <v>0</v>
      </c>
      <c r="AT204" s="108">
        <v>0</v>
      </c>
      <c r="AU204" s="108">
        <v>0</v>
      </c>
      <c r="AV204" s="108">
        <v>0</v>
      </c>
    </row>
    <row r="205" spans="1:48" x14ac:dyDescent="0.35">
      <c r="A205" s="107">
        <f xml:space="preserve"> ROW( slrImpacts[[#This Row],[row_id]] ) - ROW( slrImpacts[[#Headers],[row_id]] )</f>
        <v>204</v>
      </c>
      <c r="B205" s="104">
        <v>2001</v>
      </c>
      <c r="C205" s="104" t="s">
        <v>86</v>
      </c>
      <c r="D205" s="104" t="s">
        <v>208</v>
      </c>
      <c r="E205" s="104" t="s">
        <v>922</v>
      </c>
      <c r="F205" s="104"/>
      <c r="G205" s="105">
        <v>0</v>
      </c>
      <c r="H205" s="105">
        <v>0</v>
      </c>
      <c r="I205" s="105">
        <v>0</v>
      </c>
      <c r="J205" s="105">
        <v>0</v>
      </c>
      <c r="K205" s="105">
        <v>0</v>
      </c>
      <c r="L205" s="105">
        <v>0</v>
      </c>
      <c r="M205" s="106">
        <v>800003508.16197848</v>
      </c>
      <c r="N205" s="106">
        <v>808014923.21781349</v>
      </c>
      <c r="O205" s="106">
        <v>827085881.12993598</v>
      </c>
      <c r="P205" s="106">
        <v>858135024.51338172</v>
      </c>
      <c r="Q205" s="106">
        <v>865111136.18968391</v>
      </c>
      <c r="R205" s="106">
        <v>868463407.77920437</v>
      </c>
      <c r="S205" s="105">
        <v>0</v>
      </c>
      <c r="T205" s="105">
        <v>0</v>
      </c>
      <c r="U205" s="105">
        <v>0</v>
      </c>
      <c r="V205" s="105">
        <v>0</v>
      </c>
      <c r="W205" s="105">
        <v>0</v>
      </c>
      <c r="X205" s="105">
        <v>0</v>
      </c>
      <c r="Y205" s="106">
        <v>95507728.323310152</v>
      </c>
      <c r="Z205" s="106">
        <v>96432401.341482759</v>
      </c>
      <c r="AA205" s="106">
        <v>97583407.072406501</v>
      </c>
      <c r="AB205" s="108">
        <v>101331608.04554585</v>
      </c>
      <c r="AC205" s="108">
        <v>101749470.15050837</v>
      </c>
      <c r="AD205" s="108">
        <v>102623901.27967234</v>
      </c>
      <c r="AE205" s="108">
        <v>1770370137.6963379</v>
      </c>
      <c r="AF205" s="108">
        <v>1799120126.7036054</v>
      </c>
      <c r="AG205" s="108">
        <v>1878951565.392642</v>
      </c>
      <c r="AH205" s="108">
        <v>1952226315.5036771</v>
      </c>
      <c r="AI205" s="108">
        <v>1987860652.9444699</v>
      </c>
      <c r="AJ205" s="108">
        <v>1989754983.1036897</v>
      </c>
      <c r="AK205" s="108">
        <v>118743541.31026705</v>
      </c>
      <c r="AL205" s="108">
        <v>118797619.0500178</v>
      </c>
      <c r="AM205" s="108">
        <v>127278561.04182203</v>
      </c>
      <c r="AN205" s="108">
        <v>135543501.46231636</v>
      </c>
      <c r="AO205" s="108">
        <v>140553146.32826293</v>
      </c>
      <c r="AP205" s="108">
        <v>140638308.87099156</v>
      </c>
      <c r="AQ205" s="108">
        <v>154625861.1489068</v>
      </c>
      <c r="AR205" s="108">
        <v>158740192.94809085</v>
      </c>
      <c r="AS205" s="108">
        <v>164162674.61439866</v>
      </c>
      <c r="AT205" s="108">
        <v>171578714.40477896</v>
      </c>
      <c r="AU205" s="108">
        <v>175956465.7550416</v>
      </c>
      <c r="AV205" s="108">
        <v>176128703.40952656</v>
      </c>
    </row>
    <row r="206" spans="1:48" x14ac:dyDescent="0.35">
      <c r="A206" s="107">
        <f xml:space="preserve"> ROW( slrImpacts[[#This Row],[row_id]] ) - ROW( slrImpacts[[#Headers],[row_id]] )</f>
        <v>205</v>
      </c>
      <c r="B206" s="104">
        <v>2002</v>
      </c>
      <c r="C206" s="104" t="s">
        <v>86</v>
      </c>
      <c r="D206" s="104" t="s">
        <v>208</v>
      </c>
      <c r="E206" s="104" t="s">
        <v>922</v>
      </c>
      <c r="F206" s="104"/>
      <c r="G206" s="105">
        <v>0</v>
      </c>
      <c r="H206" s="105">
        <v>0</v>
      </c>
      <c r="I206" s="105">
        <v>0</v>
      </c>
      <c r="J206" s="105">
        <v>0</v>
      </c>
      <c r="K206" s="105">
        <v>0</v>
      </c>
      <c r="L206" s="105">
        <v>0</v>
      </c>
      <c r="M206" s="106">
        <v>801349900.25310791</v>
      </c>
      <c r="N206" s="106">
        <v>809583446.41702032</v>
      </c>
      <c r="O206" s="106">
        <v>829256828.10773492</v>
      </c>
      <c r="P206" s="106">
        <v>860838295.93960369</v>
      </c>
      <c r="Q206" s="106">
        <v>868314437.47632611</v>
      </c>
      <c r="R206" s="106">
        <v>871913659.10379195</v>
      </c>
      <c r="S206" s="105">
        <v>0</v>
      </c>
      <c r="T206" s="105">
        <v>0</v>
      </c>
      <c r="U206" s="105">
        <v>0</v>
      </c>
      <c r="V206" s="105">
        <v>0</v>
      </c>
      <c r="W206" s="105">
        <v>0</v>
      </c>
      <c r="X206" s="105">
        <v>0</v>
      </c>
      <c r="Y206" s="106">
        <v>95534832.595767558</v>
      </c>
      <c r="Z206" s="106">
        <v>96498656.22971195</v>
      </c>
      <c r="AA206" s="106">
        <v>97712905.263036251</v>
      </c>
      <c r="AB206" s="108">
        <v>101557476.98269081</v>
      </c>
      <c r="AC206" s="108">
        <v>102046890.9043007</v>
      </c>
      <c r="AD206" s="108">
        <v>102951437.89175068</v>
      </c>
      <c r="AE206" s="108">
        <v>1776411096.6375134</v>
      </c>
      <c r="AF206" s="108">
        <v>1806459932.0398891</v>
      </c>
      <c r="AG206" s="108">
        <v>1891029614.8937728</v>
      </c>
      <c r="AH206" s="108">
        <v>1967024400.1661358</v>
      </c>
      <c r="AI206" s="108">
        <v>2005572666.9560161</v>
      </c>
      <c r="AJ206" s="108">
        <v>2007662856.8069665</v>
      </c>
      <c r="AK206" s="108">
        <v>118857255.3285148</v>
      </c>
      <c r="AL206" s="108">
        <v>118911333.06826557</v>
      </c>
      <c r="AM206" s="108">
        <v>127505262.83507858</v>
      </c>
      <c r="AN206" s="108">
        <v>135869585.58791667</v>
      </c>
      <c r="AO206" s="108">
        <v>140932712.75553903</v>
      </c>
      <c r="AP206" s="108">
        <v>141017875.29826769</v>
      </c>
      <c r="AQ206" s="108">
        <v>155714409.5535059</v>
      </c>
      <c r="AR206" s="108">
        <v>160093760.90560663</v>
      </c>
      <c r="AS206" s="108">
        <v>165736194.9502748</v>
      </c>
      <c r="AT206" s="108">
        <v>173415908.41996652</v>
      </c>
      <c r="AU206" s="108">
        <v>178121302.99518007</v>
      </c>
      <c r="AV206" s="108">
        <v>178299563.82132226</v>
      </c>
    </row>
    <row r="207" spans="1:48" x14ac:dyDescent="0.35">
      <c r="A207" s="107">
        <f xml:space="preserve"> ROW( slrImpacts[[#This Row],[row_id]] ) - ROW( slrImpacts[[#Headers],[row_id]] )</f>
        <v>206</v>
      </c>
      <c r="B207" s="104">
        <v>2003</v>
      </c>
      <c r="C207" s="104" t="s">
        <v>86</v>
      </c>
      <c r="D207" s="104" t="s">
        <v>208</v>
      </c>
      <c r="E207" s="104" t="s">
        <v>922</v>
      </c>
      <c r="F207" s="104"/>
      <c r="G207" s="105">
        <v>0</v>
      </c>
      <c r="H207" s="105">
        <v>0</v>
      </c>
      <c r="I207" s="105">
        <v>0</v>
      </c>
      <c r="J207" s="105">
        <v>0</v>
      </c>
      <c r="K207" s="105">
        <v>0</v>
      </c>
      <c r="L207" s="105">
        <v>0</v>
      </c>
      <c r="M207" s="106">
        <v>802359694.32145452</v>
      </c>
      <c r="N207" s="106">
        <v>810759838.81642532</v>
      </c>
      <c r="O207" s="106">
        <v>830885038.341084</v>
      </c>
      <c r="P207" s="106">
        <v>862865749.50926971</v>
      </c>
      <c r="Q207" s="106">
        <v>870716913.44130754</v>
      </c>
      <c r="R207" s="106">
        <v>874501347.5972321</v>
      </c>
      <c r="S207" s="105">
        <v>0</v>
      </c>
      <c r="T207" s="105">
        <v>0</v>
      </c>
      <c r="U207" s="105">
        <v>0</v>
      </c>
      <c r="V207" s="105">
        <v>0</v>
      </c>
      <c r="W207" s="105">
        <v>0</v>
      </c>
      <c r="X207" s="105">
        <v>0</v>
      </c>
      <c r="Y207" s="106">
        <v>95555160.800110593</v>
      </c>
      <c r="Z207" s="106">
        <v>96548347.395883814</v>
      </c>
      <c r="AA207" s="106">
        <v>97810028.906008542</v>
      </c>
      <c r="AB207" s="108">
        <v>101726878.68554948</v>
      </c>
      <c r="AC207" s="108">
        <v>102269956.46964492</v>
      </c>
      <c r="AD207" s="108">
        <v>103197090.35080937</v>
      </c>
      <c r="AE207" s="108">
        <v>1780941815.8433945</v>
      </c>
      <c r="AF207" s="108">
        <v>1811964786.0421009</v>
      </c>
      <c r="AG207" s="108">
        <v>1900088152.0196221</v>
      </c>
      <c r="AH207" s="108">
        <v>1978122963.6629796</v>
      </c>
      <c r="AI207" s="108">
        <v>2018856677.4646747</v>
      </c>
      <c r="AJ207" s="108">
        <v>2021093762.084424</v>
      </c>
      <c r="AK207" s="108">
        <v>118942540.84220061</v>
      </c>
      <c r="AL207" s="108">
        <v>118996618.58195138</v>
      </c>
      <c r="AM207" s="108">
        <v>127675289.18002102</v>
      </c>
      <c r="AN207" s="108">
        <v>136114148.68211693</v>
      </c>
      <c r="AO207" s="108">
        <v>141217387.57599613</v>
      </c>
      <c r="AP207" s="108">
        <v>141302550.11872482</v>
      </c>
      <c r="AQ207" s="108">
        <v>156530820.8569552</v>
      </c>
      <c r="AR207" s="108">
        <v>161108936.87374347</v>
      </c>
      <c r="AS207" s="108">
        <v>166916335.20218191</v>
      </c>
      <c r="AT207" s="108">
        <v>174793803.93135718</v>
      </c>
      <c r="AU207" s="108">
        <v>179744930.92528394</v>
      </c>
      <c r="AV207" s="108">
        <v>179927709.130169</v>
      </c>
    </row>
    <row r="208" spans="1:48" x14ac:dyDescent="0.35">
      <c r="A208" s="107">
        <f xml:space="preserve"> ROW( slrImpacts[[#This Row],[row_id]] ) - ROW( slrImpacts[[#Headers],[row_id]] )</f>
        <v>207</v>
      </c>
      <c r="B208" s="104">
        <v>2004</v>
      </c>
      <c r="C208" s="104" t="s">
        <v>86</v>
      </c>
      <c r="D208" s="104" t="s">
        <v>208</v>
      </c>
      <c r="E208" s="104" t="s">
        <v>922</v>
      </c>
      <c r="F208" s="104"/>
      <c r="G208" s="105">
        <v>0</v>
      </c>
      <c r="H208" s="105">
        <v>0</v>
      </c>
      <c r="I208" s="105">
        <v>0</v>
      </c>
      <c r="J208" s="105">
        <v>0</v>
      </c>
      <c r="K208" s="105">
        <v>0</v>
      </c>
      <c r="L208" s="105">
        <v>0</v>
      </c>
      <c r="M208" s="106">
        <v>803145089.7079469</v>
      </c>
      <c r="N208" s="106">
        <v>811674810.68262887</v>
      </c>
      <c r="O208" s="106">
        <v>832151424.07813358</v>
      </c>
      <c r="P208" s="106">
        <v>864442657.8412329</v>
      </c>
      <c r="Q208" s="106">
        <v>872585505.85851514</v>
      </c>
      <c r="R208" s="106">
        <v>876513994.20324111</v>
      </c>
      <c r="S208" s="105">
        <v>0</v>
      </c>
      <c r="T208" s="105">
        <v>0</v>
      </c>
      <c r="U208" s="105">
        <v>0</v>
      </c>
      <c r="V208" s="105">
        <v>0</v>
      </c>
      <c r="W208" s="105">
        <v>0</v>
      </c>
      <c r="X208" s="105">
        <v>0</v>
      </c>
      <c r="Y208" s="106">
        <v>95570971.625710726</v>
      </c>
      <c r="Z208" s="106">
        <v>96586996.080684155</v>
      </c>
      <c r="AA208" s="106">
        <v>97885569.517209262</v>
      </c>
      <c r="AB208" s="108">
        <v>101858635.5655507</v>
      </c>
      <c r="AC208" s="108">
        <v>102443451.90935707</v>
      </c>
      <c r="AD208" s="108">
        <v>103388153.37452169</v>
      </c>
      <c r="AE208" s="108">
        <v>1784465708.5590813</v>
      </c>
      <c r="AF208" s="108">
        <v>1816246339.154933</v>
      </c>
      <c r="AG208" s="108">
        <v>1907133680.8952818</v>
      </c>
      <c r="AH208" s="108">
        <v>1986755179.7160811</v>
      </c>
      <c r="AI208" s="108">
        <v>2029188685.6380773</v>
      </c>
      <c r="AJ208" s="108">
        <v>2031540021.7446697</v>
      </c>
      <c r="AK208" s="108">
        <v>119008874.01951185</v>
      </c>
      <c r="AL208" s="108">
        <v>119062951.75926262</v>
      </c>
      <c r="AM208" s="108">
        <v>127807531.89275402</v>
      </c>
      <c r="AN208" s="108">
        <v>136304364.42205045</v>
      </c>
      <c r="AO208" s="108">
        <v>141438801.32524055</v>
      </c>
      <c r="AP208" s="108">
        <v>141523963.86796919</v>
      </c>
      <c r="AQ208" s="108">
        <v>157165807.42630464</v>
      </c>
      <c r="AR208" s="108">
        <v>161898518.18229434</v>
      </c>
      <c r="AS208" s="108">
        <v>167834222.06477636</v>
      </c>
      <c r="AT208" s="108">
        <v>175865500.4402166</v>
      </c>
      <c r="AU208" s="108">
        <v>181007752.64869812</v>
      </c>
      <c r="AV208" s="108">
        <v>181194044.37038323</v>
      </c>
    </row>
    <row r="209" spans="1:48" x14ac:dyDescent="0.35">
      <c r="A209" s="107">
        <f xml:space="preserve"> ROW( slrImpacts[[#This Row],[row_id]] ) - ROW( slrImpacts[[#Headers],[row_id]] )</f>
        <v>208</v>
      </c>
      <c r="B209" s="104">
        <v>2005</v>
      </c>
      <c r="C209" s="104" t="s">
        <v>86</v>
      </c>
      <c r="D209" s="104" t="s">
        <v>208</v>
      </c>
      <c r="E209" s="104" t="s">
        <v>922</v>
      </c>
      <c r="F209" s="104"/>
      <c r="G209" s="105">
        <v>0</v>
      </c>
      <c r="H209" s="105">
        <v>0</v>
      </c>
      <c r="I209" s="105">
        <v>0</v>
      </c>
      <c r="J209" s="105">
        <v>0</v>
      </c>
      <c r="K209" s="105">
        <v>0</v>
      </c>
      <c r="L209" s="105">
        <v>0</v>
      </c>
      <c r="M209" s="106">
        <v>798255335.52306342</v>
      </c>
      <c r="N209" s="106">
        <v>807397642.01631582</v>
      </c>
      <c r="O209" s="106">
        <v>829779597.37346292</v>
      </c>
      <c r="P209" s="106">
        <v>853905918.17984986</v>
      </c>
      <c r="Q209" s="106">
        <v>873610798.54753256</v>
      </c>
      <c r="R209" s="106">
        <v>878275547.0181706</v>
      </c>
      <c r="S209" s="105">
        <v>0</v>
      </c>
      <c r="T209" s="105">
        <v>0</v>
      </c>
      <c r="U209" s="105">
        <v>0</v>
      </c>
      <c r="V209" s="105">
        <v>0</v>
      </c>
      <c r="W209" s="105">
        <v>0</v>
      </c>
      <c r="X209" s="105">
        <v>0</v>
      </c>
      <c r="Y209" s="106">
        <v>94995675.916428924</v>
      </c>
      <c r="Z209" s="106">
        <v>96042700.218710467</v>
      </c>
      <c r="AA209" s="106">
        <v>97441780.316473857</v>
      </c>
      <c r="AB209" s="108">
        <v>100637474.27335083</v>
      </c>
      <c r="AC209" s="108">
        <v>101990148.18531701</v>
      </c>
      <c r="AD209" s="108">
        <v>102928244.57198574</v>
      </c>
      <c r="AE209" s="108">
        <v>1782868105.2976835</v>
      </c>
      <c r="AF209" s="108">
        <v>1817128279.0028124</v>
      </c>
      <c r="AG209" s="108">
        <v>1913635604.9669085</v>
      </c>
      <c r="AH209" s="108">
        <v>1990527076.667465</v>
      </c>
      <c r="AI209" s="108">
        <v>2045470812.1321626</v>
      </c>
      <c r="AJ209" s="108">
        <v>2050496684.9437931</v>
      </c>
      <c r="AK209" s="108">
        <v>119220728.56901379</v>
      </c>
      <c r="AL209" s="108">
        <v>120091994.00316282</v>
      </c>
      <c r="AM209" s="108">
        <v>129263809.26840016</v>
      </c>
      <c r="AN209" s="108">
        <v>137987949.92434964</v>
      </c>
      <c r="AO209" s="108">
        <v>143882605.43403175</v>
      </c>
      <c r="AP209" s="108">
        <v>144715391.30147916</v>
      </c>
      <c r="AQ209" s="108">
        <v>158563665.00026241</v>
      </c>
      <c r="AR209" s="108">
        <v>163657840.49133319</v>
      </c>
      <c r="AS209" s="108">
        <v>170346405.95219857</v>
      </c>
      <c r="AT209" s="108">
        <v>178591697.92481476</v>
      </c>
      <c r="AU209" s="108">
        <v>184760040.18291417</v>
      </c>
      <c r="AV209" s="108">
        <v>185184329.44054103</v>
      </c>
    </row>
    <row r="210" spans="1:48" x14ac:dyDescent="0.35">
      <c r="A210" s="107">
        <f xml:space="preserve"> ROW( slrImpacts[[#This Row],[row_id]] ) - ROW( slrImpacts[[#Headers],[row_id]] )</f>
        <v>209</v>
      </c>
      <c r="B210" s="104">
        <v>2006</v>
      </c>
      <c r="C210" s="104" t="s">
        <v>86</v>
      </c>
      <c r="D210" s="104" t="s">
        <v>208</v>
      </c>
      <c r="E210" s="104" t="s">
        <v>922</v>
      </c>
      <c r="F210" s="104"/>
      <c r="G210" s="105">
        <v>0</v>
      </c>
      <c r="H210" s="105">
        <v>0</v>
      </c>
      <c r="I210" s="105">
        <v>0</v>
      </c>
      <c r="J210" s="105">
        <v>0</v>
      </c>
      <c r="K210" s="105">
        <v>0</v>
      </c>
      <c r="L210" s="105">
        <v>0</v>
      </c>
      <c r="M210" s="106">
        <v>794254627.55361307</v>
      </c>
      <c r="N210" s="106">
        <v>803898140.38024235</v>
      </c>
      <c r="O210" s="106">
        <v>827839011.88782322</v>
      </c>
      <c r="P210" s="106">
        <v>845284949.36599243</v>
      </c>
      <c r="Q210" s="106">
        <v>874449674.38400042</v>
      </c>
      <c r="R210" s="106">
        <v>879716817.50311387</v>
      </c>
      <c r="S210" s="105">
        <v>0</v>
      </c>
      <c r="T210" s="105">
        <v>0</v>
      </c>
      <c r="U210" s="105">
        <v>0</v>
      </c>
      <c r="V210" s="105">
        <v>0</v>
      </c>
      <c r="W210" s="105">
        <v>0</v>
      </c>
      <c r="X210" s="105">
        <v>0</v>
      </c>
      <c r="Y210" s="106">
        <v>94524979.427016497</v>
      </c>
      <c r="Z210" s="106">
        <v>95597367.240732029</v>
      </c>
      <c r="AA210" s="106">
        <v>97078680.061326742</v>
      </c>
      <c r="AB210" s="108">
        <v>99638342.307005525</v>
      </c>
      <c r="AC210" s="108">
        <v>101619263.32019326</v>
      </c>
      <c r="AD210" s="108">
        <v>102551955.55172908</v>
      </c>
      <c r="AE210" s="108">
        <v>1781560975.3565392</v>
      </c>
      <c r="AF210" s="108">
        <v>1817849866.1510768</v>
      </c>
      <c r="AG210" s="108">
        <v>1918955361.0255141</v>
      </c>
      <c r="AH210" s="108">
        <v>1993613174.1731431</v>
      </c>
      <c r="AI210" s="108">
        <v>2058792551.990962</v>
      </c>
      <c r="AJ210" s="108">
        <v>2066006682.1067128</v>
      </c>
      <c r="AK210" s="108">
        <v>119394064.10951537</v>
      </c>
      <c r="AL210" s="108">
        <v>120933937.65726294</v>
      </c>
      <c r="AM210" s="108">
        <v>130455308.93938337</v>
      </c>
      <c r="AN210" s="108">
        <v>139365428.97168538</v>
      </c>
      <c r="AO210" s="108">
        <v>145882081.52304277</v>
      </c>
      <c r="AP210" s="108">
        <v>147326559.20162362</v>
      </c>
      <c r="AQ210" s="108">
        <v>159707366.65168235</v>
      </c>
      <c r="AR210" s="108">
        <v>165097286.01691034</v>
      </c>
      <c r="AS210" s="108">
        <v>172401829.13281667</v>
      </c>
      <c r="AT210" s="108">
        <v>180822223.13948596</v>
      </c>
      <c r="AU210" s="108">
        <v>187830093.62000015</v>
      </c>
      <c r="AV210" s="108">
        <v>188449108.13430655</v>
      </c>
    </row>
    <row r="211" spans="1:48" x14ac:dyDescent="0.35">
      <c r="A211" s="107">
        <f xml:space="preserve"> ROW( slrImpacts[[#This Row],[row_id]] ) - ROW( slrImpacts[[#Headers],[row_id]] )</f>
        <v>210</v>
      </c>
      <c r="B211" s="104">
        <v>2007</v>
      </c>
      <c r="C211" s="104" t="s">
        <v>86</v>
      </c>
      <c r="D211" s="104" t="s">
        <v>208</v>
      </c>
      <c r="E211" s="104" t="s">
        <v>922</v>
      </c>
      <c r="F211" s="104"/>
      <c r="G211" s="105">
        <v>0</v>
      </c>
      <c r="H211" s="105">
        <v>0</v>
      </c>
      <c r="I211" s="105">
        <v>0</v>
      </c>
      <c r="J211" s="105">
        <v>0</v>
      </c>
      <c r="K211" s="105">
        <v>0</v>
      </c>
      <c r="L211" s="105">
        <v>0</v>
      </c>
      <c r="M211" s="106">
        <v>790378893.21509349</v>
      </c>
      <c r="N211" s="106">
        <v>800673179.42070031</v>
      </c>
      <c r="O211" s="106">
        <v>826601097.66968095</v>
      </c>
      <c r="P211" s="106">
        <v>836849011.71149886</v>
      </c>
      <c r="Q211" s="106">
        <v>876736433.6277976</v>
      </c>
      <c r="R211" s="106">
        <v>882776994.18027067</v>
      </c>
      <c r="S211" s="105">
        <v>0</v>
      </c>
      <c r="T211" s="105">
        <v>0</v>
      </c>
      <c r="U211" s="105">
        <v>0</v>
      </c>
      <c r="V211" s="105">
        <v>0</v>
      </c>
      <c r="W211" s="105">
        <v>0</v>
      </c>
      <c r="X211" s="105">
        <v>0</v>
      </c>
      <c r="Y211" s="106">
        <v>94013407.844931439</v>
      </c>
      <c r="Z211" s="106">
        <v>95130479.418507755</v>
      </c>
      <c r="AA211" s="106">
        <v>96729819.138082162</v>
      </c>
      <c r="AB211" s="108">
        <v>98623399.98825036</v>
      </c>
      <c r="AC211" s="108">
        <v>101332781.2487881</v>
      </c>
      <c r="AD211" s="108">
        <v>102272162.77157843</v>
      </c>
      <c r="AE211" s="108">
        <v>1782695814.8314588</v>
      </c>
      <c r="AF211" s="108">
        <v>1821794259.3549681</v>
      </c>
      <c r="AG211" s="108">
        <v>1930036595.8550265</v>
      </c>
      <c r="AH211" s="108">
        <v>2003378462.0869372</v>
      </c>
      <c r="AI211" s="108">
        <v>2081182128.3478084</v>
      </c>
      <c r="AJ211" s="108">
        <v>2090911205.3945684</v>
      </c>
      <c r="AK211" s="108">
        <v>119634838.53847295</v>
      </c>
      <c r="AL211" s="108">
        <v>121917609.990219</v>
      </c>
      <c r="AM211" s="108">
        <v>131875498.76390338</v>
      </c>
      <c r="AN211" s="108">
        <v>141034152.44433585</v>
      </c>
      <c r="AO211" s="108">
        <v>148264704.38759476</v>
      </c>
      <c r="AP211" s="108">
        <v>150388839.63410172</v>
      </c>
      <c r="AQ211" s="108">
        <v>161442690.9562574</v>
      </c>
      <c r="AR211" s="108">
        <v>167272921.01711163</v>
      </c>
      <c r="AS211" s="108">
        <v>175355588.80261526</v>
      </c>
      <c r="AT211" s="108">
        <v>184083171.60647506</v>
      </c>
      <c r="AU211" s="108">
        <v>192163196.87823284</v>
      </c>
      <c r="AV211" s="108">
        <v>193001111.57046366</v>
      </c>
    </row>
    <row r="212" spans="1:48" x14ac:dyDescent="0.35">
      <c r="A212" s="107">
        <f xml:space="preserve"> ROW( slrImpacts[[#This Row],[row_id]] ) - ROW( slrImpacts[[#Headers],[row_id]] )</f>
        <v>211</v>
      </c>
      <c r="B212" s="104">
        <v>2008</v>
      </c>
      <c r="C212" s="104" t="s">
        <v>86</v>
      </c>
      <c r="D212" s="104" t="s">
        <v>208</v>
      </c>
      <c r="E212" s="104" t="s">
        <v>922</v>
      </c>
      <c r="F212" s="104"/>
      <c r="G212" s="105">
        <v>0</v>
      </c>
      <c r="H212" s="105">
        <v>0</v>
      </c>
      <c r="I212" s="105">
        <v>0</v>
      </c>
      <c r="J212" s="105">
        <v>0</v>
      </c>
      <c r="K212" s="105">
        <v>0</v>
      </c>
      <c r="L212" s="105">
        <v>0</v>
      </c>
      <c r="M212" s="106">
        <v>786503158.87657416</v>
      </c>
      <c r="N212" s="106">
        <v>797448218.46115816</v>
      </c>
      <c r="O212" s="106">
        <v>825363183.45153952</v>
      </c>
      <c r="P212" s="106">
        <v>828413074.05700529</v>
      </c>
      <c r="Q212" s="106">
        <v>879023192.87159443</v>
      </c>
      <c r="R212" s="106">
        <v>885837170.85742748</v>
      </c>
      <c r="S212" s="105">
        <v>0</v>
      </c>
      <c r="T212" s="105">
        <v>0</v>
      </c>
      <c r="U212" s="105">
        <v>0</v>
      </c>
      <c r="V212" s="105">
        <v>0</v>
      </c>
      <c r="W212" s="105">
        <v>0</v>
      </c>
      <c r="X212" s="105">
        <v>0</v>
      </c>
      <c r="Y212" s="106">
        <v>93501836.262846455</v>
      </c>
      <c r="Z212" s="106">
        <v>94663591.596283466</v>
      </c>
      <c r="AA212" s="106">
        <v>96380958.214837581</v>
      </c>
      <c r="AB212" s="108">
        <v>97608457.66949521</v>
      </c>
      <c r="AC212" s="108">
        <v>101046299.17738293</v>
      </c>
      <c r="AD212" s="108">
        <v>101992369.99142784</v>
      </c>
      <c r="AE212" s="108">
        <v>1783830654.3063803</v>
      </c>
      <c r="AF212" s="108">
        <v>1825738652.5588574</v>
      </c>
      <c r="AG212" s="108">
        <v>1941117830.68454</v>
      </c>
      <c r="AH212" s="108">
        <v>2013143750.000731</v>
      </c>
      <c r="AI212" s="108">
        <v>2103571704.7046535</v>
      </c>
      <c r="AJ212" s="108">
        <v>2115815728.6824248</v>
      </c>
      <c r="AK212" s="108">
        <v>119875612.96743056</v>
      </c>
      <c r="AL212" s="108">
        <v>122901282.32317504</v>
      </c>
      <c r="AM212" s="108">
        <v>133295688.5884234</v>
      </c>
      <c r="AN212" s="108">
        <v>142702875.91698635</v>
      </c>
      <c r="AO212" s="108">
        <v>150647327.25214675</v>
      </c>
      <c r="AP212" s="108">
        <v>153451120.06657982</v>
      </c>
      <c r="AQ212" s="108">
        <v>163178015.2608324</v>
      </c>
      <c r="AR212" s="108">
        <v>169448556.01731306</v>
      </c>
      <c r="AS212" s="108">
        <v>178309348.47241396</v>
      </c>
      <c r="AT212" s="108">
        <v>187344120.07346424</v>
      </c>
      <c r="AU212" s="108">
        <v>196496300.13646546</v>
      </c>
      <c r="AV212" s="108">
        <v>197553115.00662079</v>
      </c>
    </row>
    <row r="213" spans="1:48" x14ac:dyDescent="0.35">
      <c r="A213" s="107">
        <f xml:space="preserve"> ROW( slrImpacts[[#This Row],[row_id]] ) - ROW( slrImpacts[[#Headers],[row_id]] )</f>
        <v>212</v>
      </c>
      <c r="B213" s="104">
        <v>2009</v>
      </c>
      <c r="C213" s="104" t="s">
        <v>86</v>
      </c>
      <c r="D213" s="104" t="s">
        <v>208</v>
      </c>
      <c r="E213" s="104" t="s">
        <v>922</v>
      </c>
      <c r="F213" s="104"/>
      <c r="G213" s="105">
        <v>0</v>
      </c>
      <c r="H213" s="105">
        <v>0</v>
      </c>
      <c r="I213" s="105">
        <v>0</v>
      </c>
      <c r="J213" s="105">
        <v>0</v>
      </c>
      <c r="K213" s="105">
        <v>0</v>
      </c>
      <c r="L213" s="105">
        <v>0</v>
      </c>
      <c r="M213" s="106">
        <v>782627424.53805399</v>
      </c>
      <c r="N213" s="106">
        <v>794223257.5016166</v>
      </c>
      <c r="O213" s="106">
        <v>824125269.23339677</v>
      </c>
      <c r="P213" s="106">
        <v>819977136.40251267</v>
      </c>
      <c r="Q213" s="106">
        <v>881309952.11539125</v>
      </c>
      <c r="R213" s="106">
        <v>888897347.53458393</v>
      </c>
      <c r="S213" s="105">
        <v>0</v>
      </c>
      <c r="T213" s="105">
        <v>0</v>
      </c>
      <c r="U213" s="105">
        <v>0</v>
      </c>
      <c r="V213" s="105">
        <v>0</v>
      </c>
      <c r="W213" s="105">
        <v>0</v>
      </c>
      <c r="X213" s="105">
        <v>0</v>
      </c>
      <c r="Y213" s="106">
        <v>92990264.680761412</v>
      </c>
      <c r="Z213" s="106">
        <v>94196703.774059176</v>
      </c>
      <c r="AA213" s="106">
        <v>96032097.291593</v>
      </c>
      <c r="AB213" s="108">
        <v>96593515.350740105</v>
      </c>
      <c r="AC213" s="108">
        <v>100759817.10597773</v>
      </c>
      <c r="AD213" s="108">
        <v>101712577.21127722</v>
      </c>
      <c r="AE213" s="108">
        <v>1784965493.7813003</v>
      </c>
      <c r="AF213" s="108">
        <v>1829683045.7627482</v>
      </c>
      <c r="AG213" s="108">
        <v>1952199065.5140531</v>
      </c>
      <c r="AH213" s="108">
        <v>2022909037.9145265</v>
      </c>
      <c r="AI213" s="108">
        <v>2125961281.0614998</v>
      </c>
      <c r="AJ213" s="108">
        <v>2140720251.9702797</v>
      </c>
      <c r="AK213" s="108">
        <v>120116387.39638816</v>
      </c>
      <c r="AL213" s="108">
        <v>123884954.65613104</v>
      </c>
      <c r="AM213" s="108">
        <v>134715878.41294339</v>
      </c>
      <c r="AN213" s="108">
        <v>144371599.38963684</v>
      </c>
      <c r="AO213" s="108">
        <v>153029950.11669877</v>
      </c>
      <c r="AP213" s="108">
        <v>156513400.49905792</v>
      </c>
      <c r="AQ213" s="108">
        <v>164913339.5654074</v>
      </c>
      <c r="AR213" s="108">
        <v>171624191.01751429</v>
      </c>
      <c r="AS213" s="108">
        <v>181263108.14221257</v>
      </c>
      <c r="AT213" s="108">
        <v>190605068.54045337</v>
      </c>
      <c r="AU213" s="108">
        <v>200829403.39469817</v>
      </c>
      <c r="AV213" s="108">
        <v>202105118.44277799</v>
      </c>
    </row>
    <row r="214" spans="1:48" x14ac:dyDescent="0.35">
      <c r="A214" s="107">
        <f xml:space="preserve"> ROW( slrImpacts[[#This Row],[row_id]] ) - ROW( slrImpacts[[#Headers],[row_id]] )</f>
        <v>213</v>
      </c>
      <c r="B214" s="104">
        <v>2010</v>
      </c>
      <c r="C214" s="104" t="s">
        <v>86</v>
      </c>
      <c r="D214" s="104" t="s">
        <v>208</v>
      </c>
      <c r="E214" s="104" t="s">
        <v>922</v>
      </c>
      <c r="F214" s="104"/>
      <c r="G214" s="105">
        <v>0</v>
      </c>
      <c r="H214" s="105">
        <v>0</v>
      </c>
      <c r="I214" s="105">
        <v>0</v>
      </c>
      <c r="J214" s="105">
        <v>0</v>
      </c>
      <c r="K214" s="105">
        <v>0</v>
      </c>
      <c r="L214" s="105">
        <v>0</v>
      </c>
      <c r="M214" s="106">
        <v>779779267.75185609</v>
      </c>
      <c r="N214" s="106">
        <v>792258676.78280747</v>
      </c>
      <c r="O214" s="106">
        <v>824622798.07201385</v>
      </c>
      <c r="P214" s="106">
        <v>813168131.30505347</v>
      </c>
      <c r="Q214" s="106">
        <v>885951654.03638196</v>
      </c>
      <c r="R214" s="106">
        <v>894392249.24845266</v>
      </c>
      <c r="S214" s="105">
        <v>0</v>
      </c>
      <c r="T214" s="105">
        <v>0</v>
      </c>
      <c r="U214" s="105">
        <v>0</v>
      </c>
      <c r="V214" s="105">
        <v>0</v>
      </c>
      <c r="W214" s="105">
        <v>0</v>
      </c>
      <c r="X214" s="105">
        <v>0</v>
      </c>
      <c r="Y214" s="106">
        <v>92551348.458239302</v>
      </c>
      <c r="Z214" s="106">
        <v>93833380.914986357</v>
      </c>
      <c r="AA214" s="106">
        <v>95818947.319232002</v>
      </c>
      <c r="AB214" s="108">
        <v>95794648.952198774</v>
      </c>
      <c r="AC214" s="108">
        <v>100742866.77786474</v>
      </c>
      <c r="AD214" s="108">
        <v>101733225.77800736</v>
      </c>
      <c r="AE214" s="108">
        <v>1792710919.5479372</v>
      </c>
      <c r="AF214" s="108">
        <v>1841665717.7582622</v>
      </c>
      <c r="AG214" s="108">
        <v>1974522851.2507031</v>
      </c>
      <c r="AH214" s="108">
        <v>2045045215.2967606</v>
      </c>
      <c r="AI214" s="108">
        <v>2162435186.4528923</v>
      </c>
      <c r="AJ214" s="108">
        <v>2180513316.6553082</v>
      </c>
      <c r="AK214" s="108">
        <v>120472508.02012044</v>
      </c>
      <c r="AL214" s="108">
        <v>125014591.48254424</v>
      </c>
      <c r="AM214" s="108">
        <v>136321597.02351391</v>
      </c>
      <c r="AN214" s="108">
        <v>146256761.25192642</v>
      </c>
      <c r="AO214" s="108">
        <v>155685082.29129368</v>
      </c>
      <c r="AP214" s="108">
        <v>159885644.23531038</v>
      </c>
      <c r="AQ214" s="108">
        <v>167426705.3188664</v>
      </c>
      <c r="AR214" s="108">
        <v>174606375.46642011</v>
      </c>
      <c r="AS214" s="108">
        <v>185534762.20401976</v>
      </c>
      <c r="AT214" s="108">
        <v>195351477.03316069</v>
      </c>
      <c r="AU214" s="108">
        <v>206862294.76942629</v>
      </c>
      <c r="AV214" s="108">
        <v>208421564.44031999</v>
      </c>
    </row>
    <row r="215" spans="1:48" x14ac:dyDescent="0.35">
      <c r="A215" s="107">
        <f xml:space="preserve"> ROW( slrImpacts[[#This Row],[row_id]] ) - ROW( slrImpacts[[#Headers],[row_id]] )</f>
        <v>214</v>
      </c>
      <c r="B215" s="104">
        <v>2011</v>
      </c>
      <c r="C215" s="104" t="s">
        <v>86</v>
      </c>
      <c r="D215" s="104" t="s">
        <v>208</v>
      </c>
      <c r="E215" s="104" t="s">
        <v>922</v>
      </c>
      <c r="F215" s="104"/>
      <c r="G215" s="105">
        <v>0</v>
      </c>
      <c r="H215" s="105">
        <v>0</v>
      </c>
      <c r="I215" s="105">
        <v>0</v>
      </c>
      <c r="J215" s="105">
        <v>0</v>
      </c>
      <c r="K215" s="105">
        <v>0</v>
      </c>
      <c r="L215" s="105">
        <v>0</v>
      </c>
      <c r="M215" s="106">
        <v>777439214.19549942</v>
      </c>
      <c r="N215" s="106">
        <v>790949610.57988596</v>
      </c>
      <c r="O215" s="106">
        <v>826029458.4632498</v>
      </c>
      <c r="P215" s="106">
        <v>806935756.86186337</v>
      </c>
      <c r="Q215" s="106">
        <v>891719906.64165628</v>
      </c>
      <c r="R215" s="106">
        <v>900992267.74413538</v>
      </c>
      <c r="S215" s="105">
        <v>0</v>
      </c>
      <c r="T215" s="105">
        <v>0</v>
      </c>
      <c r="U215" s="105">
        <v>0</v>
      </c>
      <c r="V215" s="105">
        <v>0</v>
      </c>
      <c r="W215" s="105">
        <v>0</v>
      </c>
      <c r="X215" s="105">
        <v>0</v>
      </c>
      <c r="Y215" s="106">
        <v>92176011.779182777</v>
      </c>
      <c r="Z215" s="106">
        <v>93550330.833915502</v>
      </c>
      <c r="AA215" s="106">
        <v>95694182.935397089</v>
      </c>
      <c r="AB215" s="108">
        <v>95129796.043436453</v>
      </c>
      <c r="AC215" s="108">
        <v>100888290.85197264</v>
      </c>
      <c r="AD215" s="108">
        <v>101936651.13392538</v>
      </c>
      <c r="AE215" s="108">
        <v>1803946107.2775755</v>
      </c>
      <c r="AF215" s="108">
        <v>1857840398.1515884</v>
      </c>
      <c r="AG215" s="108">
        <v>2001923514.2906137</v>
      </c>
      <c r="AH215" s="108">
        <v>2071989585.6485152</v>
      </c>
      <c r="AI215" s="108">
        <v>2203972908.5093851</v>
      </c>
      <c r="AJ215" s="108">
        <v>2226024022.4477711</v>
      </c>
      <c r="AK215" s="108">
        <v>120896038.09113711</v>
      </c>
      <c r="AL215" s="108">
        <v>126241782.68637207</v>
      </c>
      <c r="AM215" s="108">
        <v>138017938.02792466</v>
      </c>
      <c r="AN215" s="108">
        <v>148224511.05972168</v>
      </c>
      <c r="AO215" s="108">
        <v>158442853.83906427</v>
      </c>
      <c r="AP215" s="108">
        <v>163393293.57314104</v>
      </c>
      <c r="AQ215" s="108">
        <v>170243106.85602513</v>
      </c>
      <c r="AR215" s="108">
        <v>177803764.28057173</v>
      </c>
      <c r="AS215" s="108">
        <v>190415220.01526475</v>
      </c>
      <c r="AT215" s="108">
        <v>200763986.2970705</v>
      </c>
      <c r="AU215" s="108">
        <v>213631573.77429155</v>
      </c>
      <c r="AV215" s="108">
        <v>215533525.80910856</v>
      </c>
    </row>
    <row r="216" spans="1:48" x14ac:dyDescent="0.35">
      <c r="A216" s="107">
        <f xml:space="preserve"> ROW( slrImpacts[[#This Row],[row_id]] ) - ROW( slrImpacts[[#Headers],[row_id]] )</f>
        <v>215</v>
      </c>
      <c r="B216" s="104">
        <v>2012</v>
      </c>
      <c r="C216" s="104" t="s">
        <v>86</v>
      </c>
      <c r="D216" s="104" t="s">
        <v>208</v>
      </c>
      <c r="E216" s="104" t="s">
        <v>922</v>
      </c>
      <c r="F216" s="104"/>
      <c r="G216" s="105">
        <v>0</v>
      </c>
      <c r="H216" s="105">
        <v>0</v>
      </c>
      <c r="I216" s="105">
        <v>0</v>
      </c>
      <c r="J216" s="105">
        <v>0</v>
      </c>
      <c r="K216" s="105">
        <v>0</v>
      </c>
      <c r="L216" s="105">
        <v>0</v>
      </c>
      <c r="M216" s="106">
        <v>774521164.37012374</v>
      </c>
      <c r="N216" s="106">
        <v>788966870.72101021</v>
      </c>
      <c r="O216" s="106">
        <v>826504247.31872082</v>
      </c>
      <c r="P216" s="106">
        <v>799540836.6349566</v>
      </c>
      <c r="Q216" s="106">
        <v>896111977.65402985</v>
      </c>
      <c r="R216" s="106">
        <v>906108631.41775799</v>
      </c>
      <c r="S216" s="105">
        <v>0</v>
      </c>
      <c r="T216" s="105">
        <v>0</v>
      </c>
      <c r="U216" s="105">
        <v>0</v>
      </c>
      <c r="V216" s="105">
        <v>0</v>
      </c>
      <c r="W216" s="105">
        <v>0</v>
      </c>
      <c r="X216" s="105">
        <v>0</v>
      </c>
      <c r="Y216" s="106">
        <v>91788879.257901415</v>
      </c>
      <c r="Z216" s="106">
        <v>93238446.471850529</v>
      </c>
      <c r="AA216" s="106">
        <v>95513060.638710022</v>
      </c>
      <c r="AB216" s="108">
        <v>94366644.449466899</v>
      </c>
      <c r="AC216" s="108">
        <v>100905271.31074308</v>
      </c>
      <c r="AD216" s="108">
        <v>101998526.38314494</v>
      </c>
      <c r="AE216" s="108">
        <v>1812715963.9822156</v>
      </c>
      <c r="AF216" s="108">
        <v>1871016313.3215241</v>
      </c>
      <c r="AG216" s="108">
        <v>2024385651.3857143</v>
      </c>
      <c r="AH216" s="108">
        <v>2092889242.1845937</v>
      </c>
      <c r="AI216" s="108">
        <v>2238290264.4751244</v>
      </c>
      <c r="AJ216" s="108">
        <v>2264233101.9030409</v>
      </c>
      <c r="AK216" s="108">
        <v>121271074.14411828</v>
      </c>
      <c r="AL216" s="108">
        <v>127420479.87216432</v>
      </c>
      <c r="AM216" s="108">
        <v>139618601.64540035</v>
      </c>
      <c r="AN216" s="108">
        <v>150053332.05909076</v>
      </c>
      <c r="AO216" s="108">
        <v>161039415.54309502</v>
      </c>
      <c r="AP216" s="108">
        <v>166739733.06723183</v>
      </c>
      <c r="AQ216" s="108">
        <v>172608645.09036681</v>
      </c>
      <c r="AR216" s="108">
        <v>180434952.66792971</v>
      </c>
      <c r="AS216" s="108">
        <v>194637731.96018937</v>
      </c>
      <c r="AT216" s="108">
        <v>205409765.81636393</v>
      </c>
      <c r="AU216" s="108">
        <v>219496504.87525028</v>
      </c>
      <c r="AV216" s="108">
        <v>221738517.97571841</v>
      </c>
    </row>
    <row r="217" spans="1:48" x14ac:dyDescent="0.35">
      <c r="A217" s="107">
        <f xml:space="preserve"> ROW( slrImpacts[[#This Row],[row_id]] ) - ROW( slrImpacts[[#Headers],[row_id]] )</f>
        <v>216</v>
      </c>
      <c r="B217" s="104">
        <v>2013</v>
      </c>
      <c r="C217" s="104" t="s">
        <v>86</v>
      </c>
      <c r="D217" s="104" t="s">
        <v>208</v>
      </c>
      <c r="E217" s="104" t="s">
        <v>922</v>
      </c>
      <c r="F217" s="104"/>
      <c r="G217" s="105">
        <v>0</v>
      </c>
      <c r="H217" s="105">
        <v>0</v>
      </c>
      <c r="I217" s="105">
        <v>0</v>
      </c>
      <c r="J217" s="105">
        <v>0</v>
      </c>
      <c r="K217" s="105">
        <v>0</v>
      </c>
      <c r="L217" s="105">
        <v>0</v>
      </c>
      <c r="M217" s="106">
        <v>771603114.54474807</v>
      </c>
      <c r="N217" s="106">
        <v>786984130.8621347</v>
      </c>
      <c r="O217" s="106">
        <v>826979036.17419076</v>
      </c>
      <c r="P217" s="106">
        <v>792145916.40804946</v>
      </c>
      <c r="Q217" s="106">
        <v>900504048.6664027</v>
      </c>
      <c r="R217" s="106">
        <v>911224995.09138036</v>
      </c>
      <c r="S217" s="105">
        <v>0</v>
      </c>
      <c r="T217" s="105">
        <v>0</v>
      </c>
      <c r="U217" s="105">
        <v>0</v>
      </c>
      <c r="V217" s="105">
        <v>0</v>
      </c>
      <c r="W217" s="105">
        <v>0</v>
      </c>
      <c r="X217" s="105">
        <v>0</v>
      </c>
      <c r="Y217" s="106">
        <v>91401746.736620083</v>
      </c>
      <c r="Z217" s="106">
        <v>92926562.109785557</v>
      </c>
      <c r="AA217" s="106">
        <v>95331938.342022926</v>
      </c>
      <c r="AB217" s="108">
        <v>93603492.85549733</v>
      </c>
      <c r="AC217" s="108">
        <v>100922251.76951356</v>
      </c>
      <c r="AD217" s="108">
        <v>102060401.63236457</v>
      </c>
      <c r="AE217" s="108">
        <v>1821485820.686857</v>
      </c>
      <c r="AF217" s="108">
        <v>1884192228.4914596</v>
      </c>
      <c r="AG217" s="108">
        <v>2046847788.4808149</v>
      </c>
      <c r="AH217" s="108">
        <v>2113788898.7206705</v>
      </c>
      <c r="AI217" s="108">
        <v>2272607620.4408612</v>
      </c>
      <c r="AJ217" s="108">
        <v>2302442181.3583121</v>
      </c>
      <c r="AK217" s="108">
        <v>121646110.19709942</v>
      </c>
      <c r="AL217" s="108">
        <v>128599177.05795655</v>
      </c>
      <c r="AM217" s="108">
        <v>141219265.26287603</v>
      </c>
      <c r="AN217" s="108">
        <v>151882153.05845985</v>
      </c>
      <c r="AO217" s="108">
        <v>163635977.24712574</v>
      </c>
      <c r="AP217" s="108">
        <v>170086172.5613226</v>
      </c>
      <c r="AQ217" s="108">
        <v>174974183.32470855</v>
      </c>
      <c r="AR217" s="108">
        <v>183066141.05528763</v>
      </c>
      <c r="AS217" s="108">
        <v>198860243.90511397</v>
      </c>
      <c r="AT217" s="108">
        <v>210055545.33565739</v>
      </c>
      <c r="AU217" s="108">
        <v>225361435.97620904</v>
      </c>
      <c r="AV217" s="108">
        <v>227943510.14232835</v>
      </c>
    </row>
    <row r="218" spans="1:48" x14ac:dyDescent="0.35">
      <c r="A218" s="107">
        <f xml:space="preserve"> ROW( slrImpacts[[#This Row],[row_id]] ) - ROW( slrImpacts[[#Headers],[row_id]] )</f>
        <v>217</v>
      </c>
      <c r="B218" s="104">
        <v>2014</v>
      </c>
      <c r="C218" s="104" t="s">
        <v>86</v>
      </c>
      <c r="D218" s="104" t="s">
        <v>208</v>
      </c>
      <c r="E218" s="104" t="s">
        <v>922</v>
      </c>
      <c r="F218" s="104"/>
      <c r="G218" s="105">
        <v>0</v>
      </c>
      <c r="H218" s="105">
        <v>0</v>
      </c>
      <c r="I218" s="105">
        <v>0</v>
      </c>
      <c r="J218" s="105">
        <v>0</v>
      </c>
      <c r="K218" s="105">
        <v>0</v>
      </c>
      <c r="L218" s="105">
        <v>0</v>
      </c>
      <c r="M218" s="106">
        <v>768685064.71937287</v>
      </c>
      <c r="N218" s="106">
        <v>785001391.00325882</v>
      </c>
      <c r="O218" s="106">
        <v>827453825.02966213</v>
      </c>
      <c r="P218" s="106">
        <v>784750996.18114209</v>
      </c>
      <c r="Q218" s="106">
        <v>904896119.67877626</v>
      </c>
      <c r="R218" s="106">
        <v>916341358.76500273</v>
      </c>
      <c r="S218" s="105">
        <v>0</v>
      </c>
      <c r="T218" s="105">
        <v>0</v>
      </c>
      <c r="U218" s="105">
        <v>0</v>
      </c>
      <c r="V218" s="105">
        <v>0</v>
      </c>
      <c r="W218" s="105">
        <v>0</v>
      </c>
      <c r="X218" s="105">
        <v>0</v>
      </c>
      <c r="Y218" s="106">
        <v>91014614.215338677</v>
      </c>
      <c r="Z218" s="106">
        <v>92614677.747720569</v>
      </c>
      <c r="AA218" s="106">
        <v>95150816.045335844</v>
      </c>
      <c r="AB218" s="108">
        <v>92840341.261527777</v>
      </c>
      <c r="AC218" s="108">
        <v>100939232.228284</v>
      </c>
      <c r="AD218" s="108">
        <v>102122276.88158417</v>
      </c>
      <c r="AE218" s="108">
        <v>1830255677.3914974</v>
      </c>
      <c r="AF218" s="108">
        <v>1897368143.661397</v>
      </c>
      <c r="AG218" s="108">
        <v>2069309925.5759149</v>
      </c>
      <c r="AH218" s="108">
        <v>2134688555.2567492</v>
      </c>
      <c r="AI218" s="108">
        <v>2306924976.4066005</v>
      </c>
      <c r="AJ218" s="108">
        <v>2340651260.8135829</v>
      </c>
      <c r="AK218" s="108">
        <v>122021146.25008054</v>
      </c>
      <c r="AL218" s="108">
        <v>129777874.2437488</v>
      </c>
      <c r="AM218" s="108">
        <v>142819928.88035175</v>
      </c>
      <c r="AN218" s="108">
        <v>153710974.05782887</v>
      </c>
      <c r="AO218" s="108">
        <v>166232538.9511565</v>
      </c>
      <c r="AP218" s="108">
        <v>173432612.05541337</v>
      </c>
      <c r="AQ218" s="108">
        <v>177339721.55905023</v>
      </c>
      <c r="AR218" s="108">
        <v>185697329.44264567</v>
      </c>
      <c r="AS218" s="108">
        <v>203082755.85003862</v>
      </c>
      <c r="AT218" s="108">
        <v>214701324.85495085</v>
      </c>
      <c r="AU218" s="108">
        <v>231226367.07716778</v>
      </c>
      <c r="AV218" s="108">
        <v>234148502.30893832</v>
      </c>
    </row>
    <row r="219" spans="1:48" x14ac:dyDescent="0.35">
      <c r="A219" s="107">
        <f xml:space="preserve"> ROW( slrImpacts[[#This Row],[row_id]] ) - ROW( slrImpacts[[#Headers],[row_id]] )</f>
        <v>218</v>
      </c>
      <c r="B219" s="104">
        <v>2015</v>
      </c>
      <c r="C219" s="104" t="s">
        <v>86</v>
      </c>
      <c r="D219" s="104" t="s">
        <v>208</v>
      </c>
      <c r="E219" s="104" t="s">
        <v>922</v>
      </c>
      <c r="F219" s="104"/>
      <c r="G219" s="105">
        <v>0</v>
      </c>
      <c r="H219" s="105">
        <v>0</v>
      </c>
      <c r="I219" s="105">
        <v>0</v>
      </c>
      <c r="J219" s="105">
        <v>0</v>
      </c>
      <c r="K219" s="105">
        <v>0</v>
      </c>
      <c r="L219" s="105">
        <v>0</v>
      </c>
      <c r="M219" s="106">
        <v>768917608.97213054</v>
      </c>
      <c r="N219" s="106">
        <v>787023221.39198625</v>
      </c>
      <c r="O219" s="106">
        <v>834177260.7656554</v>
      </c>
      <c r="P219" s="106">
        <v>785583196.23823822</v>
      </c>
      <c r="Q219" s="106">
        <v>920511355.9397558</v>
      </c>
      <c r="R219" s="106">
        <v>934039352.5146929</v>
      </c>
      <c r="S219" s="105">
        <v>0</v>
      </c>
      <c r="T219" s="105">
        <v>0</v>
      </c>
      <c r="U219" s="105">
        <v>0</v>
      </c>
      <c r="V219" s="105">
        <v>0</v>
      </c>
      <c r="W219" s="105">
        <v>0</v>
      </c>
      <c r="X219" s="105">
        <v>0</v>
      </c>
      <c r="Y219" s="106">
        <v>90779940.564562306</v>
      </c>
      <c r="Z219" s="106">
        <v>92504971.050090313</v>
      </c>
      <c r="AA219" s="106">
        <v>95207379.019497126</v>
      </c>
      <c r="AB219" s="108">
        <v>92533979.157868236</v>
      </c>
      <c r="AC219" s="108">
        <v>101648516.91470231</v>
      </c>
      <c r="AD219" s="108">
        <v>103262844.87623039</v>
      </c>
      <c r="AE219" s="108">
        <v>1849318215.4586847</v>
      </c>
      <c r="AF219" s="108">
        <v>1922864814.4416881</v>
      </c>
      <c r="AG219" s="108">
        <v>2107899155.0404499</v>
      </c>
      <c r="AH219" s="108">
        <v>2172138104.6788645</v>
      </c>
      <c r="AI219" s="108">
        <v>2364170450.577117</v>
      </c>
      <c r="AJ219" s="108">
        <v>2405653063.8953857</v>
      </c>
      <c r="AK219" s="108">
        <v>123762921.10469443</v>
      </c>
      <c r="AL219" s="108">
        <v>132421617.24702033</v>
      </c>
      <c r="AM219" s="108">
        <v>146541233.23288101</v>
      </c>
      <c r="AN219" s="108">
        <v>158660959.03218603</v>
      </c>
      <c r="AO219" s="108">
        <v>173074816.52372313</v>
      </c>
      <c r="AP219" s="108">
        <v>182055860.7716136</v>
      </c>
      <c r="AQ219" s="108">
        <v>181856904.51658404</v>
      </c>
      <c r="AR219" s="108">
        <v>190829938.81059936</v>
      </c>
      <c r="AS219" s="108">
        <v>210762628.97027838</v>
      </c>
      <c r="AT219" s="108">
        <v>223045292.54297796</v>
      </c>
      <c r="AU219" s="108">
        <v>241549965.91567609</v>
      </c>
      <c r="AV219" s="108">
        <v>245840187.52429682</v>
      </c>
    </row>
    <row r="220" spans="1:48" x14ac:dyDescent="0.35">
      <c r="A220" s="107">
        <f xml:space="preserve"> ROW( slrImpacts[[#This Row],[row_id]] ) - ROW( slrImpacts[[#Headers],[row_id]] )</f>
        <v>219</v>
      </c>
      <c r="B220" s="104">
        <v>2016</v>
      </c>
      <c r="C220" s="104" t="s">
        <v>86</v>
      </c>
      <c r="D220" s="104" t="s">
        <v>208</v>
      </c>
      <c r="E220" s="104" t="s">
        <v>922</v>
      </c>
      <c r="F220" s="104"/>
      <c r="G220" s="105">
        <v>0</v>
      </c>
      <c r="H220" s="105">
        <v>0</v>
      </c>
      <c r="I220" s="105">
        <v>0</v>
      </c>
      <c r="J220" s="105">
        <v>0</v>
      </c>
      <c r="K220" s="105">
        <v>0</v>
      </c>
      <c r="L220" s="105">
        <v>0</v>
      </c>
      <c r="M220" s="106">
        <v>774166580.94677651</v>
      </c>
      <c r="N220" s="106">
        <v>793598821.01641858</v>
      </c>
      <c r="O220" s="106">
        <v>843977910.40556622</v>
      </c>
      <c r="P220" s="106">
        <v>797141092.95620096</v>
      </c>
      <c r="Q220" s="106">
        <v>936553484.24141574</v>
      </c>
      <c r="R220" s="106">
        <v>957178242.85629702</v>
      </c>
      <c r="S220" s="105">
        <v>0</v>
      </c>
      <c r="T220" s="105">
        <v>0</v>
      </c>
      <c r="U220" s="105">
        <v>0</v>
      </c>
      <c r="V220" s="105">
        <v>0</v>
      </c>
      <c r="W220" s="105">
        <v>0</v>
      </c>
      <c r="X220" s="105">
        <v>0</v>
      </c>
      <c r="Y220" s="106">
        <v>91079761.79538776</v>
      </c>
      <c r="Z220" s="106">
        <v>92918186.906836331</v>
      </c>
      <c r="AA220" s="106">
        <v>95722325.347927451</v>
      </c>
      <c r="AB220" s="108">
        <v>93433586.868936762</v>
      </c>
      <c r="AC220" s="108">
        <v>102896074.39731133</v>
      </c>
      <c r="AD220" s="108">
        <v>104960466.70860925</v>
      </c>
      <c r="AE220" s="108">
        <v>1872395951.1930974</v>
      </c>
      <c r="AF220" s="108">
        <v>1950673578.5332384</v>
      </c>
      <c r="AG220" s="108">
        <v>2145701565.4403474</v>
      </c>
      <c r="AH220" s="108">
        <v>2212436632.183795</v>
      </c>
      <c r="AI220" s="108">
        <v>2414128179.3336625</v>
      </c>
      <c r="AJ220" s="108">
        <v>2462260146.2291875</v>
      </c>
      <c r="AK220" s="108">
        <v>125360343.22507836</v>
      </c>
      <c r="AL220" s="108">
        <v>134178109.61206348</v>
      </c>
      <c r="AM220" s="108">
        <v>149034825.58044684</v>
      </c>
      <c r="AN220" s="108">
        <v>162218750.45167729</v>
      </c>
      <c r="AO220" s="108">
        <v>177856482.17865726</v>
      </c>
      <c r="AP220" s="108">
        <v>187938840.0022552</v>
      </c>
      <c r="AQ220" s="108">
        <v>185565116.27550128</v>
      </c>
      <c r="AR220" s="108">
        <v>194937405.21291846</v>
      </c>
      <c r="AS220" s="108">
        <v>216826252.63838488</v>
      </c>
      <c r="AT220" s="108">
        <v>229690314.52417722</v>
      </c>
      <c r="AU220" s="108">
        <v>249989111.06600264</v>
      </c>
      <c r="AV220" s="108">
        <v>256437410.37888426</v>
      </c>
    </row>
    <row r="221" spans="1:48" x14ac:dyDescent="0.35">
      <c r="A221" s="107">
        <f xml:space="preserve"> ROW( slrImpacts[[#This Row],[row_id]] ) - ROW( slrImpacts[[#Headers],[row_id]] )</f>
        <v>220</v>
      </c>
      <c r="B221" s="104">
        <v>2017</v>
      </c>
      <c r="C221" s="104" t="s">
        <v>86</v>
      </c>
      <c r="D221" s="104" t="s">
        <v>208</v>
      </c>
      <c r="E221" s="104" t="s">
        <v>922</v>
      </c>
      <c r="F221" s="104"/>
      <c r="G221" s="105">
        <v>0</v>
      </c>
      <c r="H221" s="105">
        <v>0</v>
      </c>
      <c r="I221" s="105">
        <v>0</v>
      </c>
      <c r="J221" s="105">
        <v>0</v>
      </c>
      <c r="K221" s="105">
        <v>0</v>
      </c>
      <c r="L221" s="105">
        <v>0</v>
      </c>
      <c r="M221" s="106">
        <v>779415552.9214226</v>
      </c>
      <c r="N221" s="106">
        <v>800174420.64085102</v>
      </c>
      <c r="O221" s="106">
        <v>853778560.04547763</v>
      </c>
      <c r="P221" s="106">
        <v>808698989.67416394</v>
      </c>
      <c r="Q221" s="106">
        <v>957827990.2385484</v>
      </c>
      <c r="R221" s="106">
        <v>995101255.45306909</v>
      </c>
      <c r="S221" s="105">
        <v>0</v>
      </c>
      <c r="T221" s="105">
        <v>0</v>
      </c>
      <c r="U221" s="105">
        <v>0</v>
      </c>
      <c r="V221" s="105">
        <v>0</v>
      </c>
      <c r="W221" s="105">
        <v>0</v>
      </c>
      <c r="X221" s="105">
        <v>0</v>
      </c>
      <c r="Y221" s="106">
        <v>91379583.026213139</v>
      </c>
      <c r="Z221" s="106">
        <v>93331402.763582349</v>
      </c>
      <c r="AA221" s="106">
        <v>96237271.676357746</v>
      </c>
      <c r="AB221" s="108">
        <v>94333194.580005243</v>
      </c>
      <c r="AC221" s="108">
        <v>104143631.87992038</v>
      </c>
      <c r="AD221" s="108">
        <v>106658088.54098801</v>
      </c>
      <c r="AE221" s="108">
        <v>1895473686.9275084</v>
      </c>
      <c r="AF221" s="108">
        <v>1978482342.6247902</v>
      </c>
      <c r="AG221" s="108">
        <v>2183503975.8402443</v>
      </c>
      <c r="AH221" s="108">
        <v>2252735159.6887274</v>
      </c>
      <c r="AI221" s="108">
        <v>2465327237.7703276</v>
      </c>
      <c r="AJ221" s="108">
        <v>2522802350.4175186</v>
      </c>
      <c r="AK221" s="108">
        <v>126957765.34546226</v>
      </c>
      <c r="AL221" s="108">
        <v>135934601.97710663</v>
      </c>
      <c r="AM221" s="108">
        <v>151528417.92801267</v>
      </c>
      <c r="AN221" s="108">
        <v>165776541.87116861</v>
      </c>
      <c r="AO221" s="108">
        <v>182638147.83359137</v>
      </c>
      <c r="AP221" s="108">
        <v>193821819.23289689</v>
      </c>
      <c r="AQ221" s="108">
        <v>189273328.03441861</v>
      </c>
      <c r="AR221" s="108">
        <v>199044871.61523759</v>
      </c>
      <c r="AS221" s="108">
        <v>222889876.30649137</v>
      </c>
      <c r="AT221" s="108">
        <v>236335336.50537652</v>
      </c>
      <c r="AU221" s="108">
        <v>260040354.65372786</v>
      </c>
      <c r="AV221" s="108">
        <v>267034633.23347181</v>
      </c>
    </row>
    <row r="222" spans="1:48" x14ac:dyDescent="0.35">
      <c r="A222" s="107">
        <f xml:space="preserve"> ROW( slrImpacts[[#This Row],[row_id]] ) - ROW( slrImpacts[[#Headers],[row_id]] )</f>
        <v>221</v>
      </c>
      <c r="B222" s="104">
        <v>2018</v>
      </c>
      <c r="C222" s="104" t="s">
        <v>86</v>
      </c>
      <c r="D222" s="104" t="s">
        <v>208</v>
      </c>
      <c r="E222" s="104" t="s">
        <v>922</v>
      </c>
      <c r="F222" s="104"/>
      <c r="G222" s="105">
        <v>0</v>
      </c>
      <c r="H222" s="105">
        <v>0</v>
      </c>
      <c r="I222" s="105">
        <v>0</v>
      </c>
      <c r="J222" s="105">
        <v>0</v>
      </c>
      <c r="K222" s="105">
        <v>0</v>
      </c>
      <c r="L222" s="105">
        <v>0</v>
      </c>
      <c r="M222" s="106">
        <v>784664524.89606833</v>
      </c>
      <c r="N222" s="106">
        <v>806750020.26528382</v>
      </c>
      <c r="O222" s="106">
        <v>863579209.68538833</v>
      </c>
      <c r="P222" s="106">
        <v>820256886.39212644</v>
      </c>
      <c r="Q222" s="106">
        <v>993315351.65577149</v>
      </c>
      <c r="R222" s="106">
        <v>1033024268.0498406</v>
      </c>
      <c r="S222" s="105">
        <v>0</v>
      </c>
      <c r="T222" s="105">
        <v>0</v>
      </c>
      <c r="U222" s="105">
        <v>0</v>
      </c>
      <c r="V222" s="105">
        <v>0</v>
      </c>
      <c r="W222" s="105">
        <v>0</v>
      </c>
      <c r="X222" s="105">
        <v>0</v>
      </c>
      <c r="Y222" s="106">
        <v>91679404.257038593</v>
      </c>
      <c r="Z222" s="106">
        <v>93744618.620328397</v>
      </c>
      <c r="AA222" s="106">
        <v>96752218.004788011</v>
      </c>
      <c r="AB222" s="108">
        <v>95232802.291073754</v>
      </c>
      <c r="AC222" s="108">
        <v>105391189.36252941</v>
      </c>
      <c r="AD222" s="108">
        <v>108355710.37336686</v>
      </c>
      <c r="AE222" s="108">
        <v>1918551422.6619198</v>
      </c>
      <c r="AF222" s="108">
        <v>2006291106.7163408</v>
      </c>
      <c r="AG222" s="108">
        <v>2221306386.24014</v>
      </c>
      <c r="AH222" s="108">
        <v>2293033687.193655</v>
      </c>
      <c r="AI222" s="108">
        <v>2520461418.0615215</v>
      </c>
      <c r="AJ222" s="108">
        <v>2588588537.6107016</v>
      </c>
      <c r="AK222" s="108">
        <v>128555187.46584617</v>
      </c>
      <c r="AL222" s="108">
        <v>137691094.34214973</v>
      </c>
      <c r="AM222" s="108">
        <v>154022010.27557856</v>
      </c>
      <c r="AN222" s="108">
        <v>169334333.29065987</v>
      </c>
      <c r="AO222" s="108">
        <v>187419813.48852551</v>
      </c>
      <c r="AP222" s="108">
        <v>199704798.4635385</v>
      </c>
      <c r="AQ222" s="108">
        <v>192981539.79333594</v>
      </c>
      <c r="AR222" s="108">
        <v>203152338.01755667</v>
      </c>
      <c r="AS222" s="108">
        <v>228953499.97459781</v>
      </c>
      <c r="AT222" s="108">
        <v>243588659.4851985</v>
      </c>
      <c r="AU222" s="108">
        <v>270091598.24145305</v>
      </c>
      <c r="AV222" s="108">
        <v>277631856.08805925</v>
      </c>
    </row>
    <row r="223" spans="1:48" x14ac:dyDescent="0.35">
      <c r="A223" s="107">
        <f xml:space="preserve"> ROW( slrImpacts[[#This Row],[row_id]] ) - ROW( slrImpacts[[#Headers],[row_id]] )</f>
        <v>222</v>
      </c>
      <c r="B223" s="104">
        <v>2019</v>
      </c>
      <c r="C223" s="104" t="s">
        <v>86</v>
      </c>
      <c r="D223" s="104" t="s">
        <v>208</v>
      </c>
      <c r="E223" s="104" t="s">
        <v>922</v>
      </c>
      <c r="F223" s="104"/>
      <c r="G223" s="105">
        <v>0</v>
      </c>
      <c r="H223" s="105">
        <v>0</v>
      </c>
      <c r="I223" s="105">
        <v>0</v>
      </c>
      <c r="J223" s="105">
        <v>0</v>
      </c>
      <c r="K223" s="105">
        <v>0</v>
      </c>
      <c r="L223" s="105">
        <v>0</v>
      </c>
      <c r="M223" s="106">
        <v>789913496.87071431</v>
      </c>
      <c r="N223" s="106">
        <v>813325619.88971603</v>
      </c>
      <c r="O223" s="106">
        <v>873379859.32529986</v>
      </c>
      <c r="P223" s="106">
        <v>831814783.11008847</v>
      </c>
      <c r="Q223" s="106">
        <v>1029720167.4682618</v>
      </c>
      <c r="R223" s="106">
        <v>1070947280.646612</v>
      </c>
      <c r="S223" s="105">
        <v>0</v>
      </c>
      <c r="T223" s="105">
        <v>0</v>
      </c>
      <c r="U223" s="105">
        <v>0</v>
      </c>
      <c r="V223" s="105">
        <v>0</v>
      </c>
      <c r="W223" s="105">
        <v>0</v>
      </c>
      <c r="X223" s="105">
        <v>0</v>
      </c>
      <c r="Y223" s="106">
        <v>91979225.487864017</v>
      </c>
      <c r="Z223" s="106">
        <v>94157834.477074429</v>
      </c>
      <c r="AA223" s="106">
        <v>97267164.333218336</v>
      </c>
      <c r="AB223" s="108">
        <v>96132410.002142251</v>
      </c>
      <c r="AC223" s="108">
        <v>106638746.84513842</v>
      </c>
      <c r="AD223" s="108">
        <v>110053332.20574568</v>
      </c>
      <c r="AE223" s="108">
        <v>1941629158.3963327</v>
      </c>
      <c r="AF223" s="108">
        <v>2034099870.8078909</v>
      </c>
      <c r="AG223" s="108">
        <v>2259108796.640039</v>
      </c>
      <c r="AH223" s="108">
        <v>2333428652.6617837</v>
      </c>
      <c r="AI223" s="108">
        <v>2578483033.179976</v>
      </c>
      <c r="AJ223" s="108">
        <v>2672386583.5812244</v>
      </c>
      <c r="AK223" s="108">
        <v>130152609.58623011</v>
      </c>
      <c r="AL223" s="108">
        <v>139447586.7071929</v>
      </c>
      <c r="AM223" s="108">
        <v>156515602.62314442</v>
      </c>
      <c r="AN223" s="108">
        <v>172892124.71015126</v>
      </c>
      <c r="AO223" s="108">
        <v>192201479.14345962</v>
      </c>
      <c r="AP223" s="108">
        <v>205587777.69418022</v>
      </c>
      <c r="AQ223" s="108">
        <v>196689751.55225319</v>
      </c>
      <c r="AR223" s="108">
        <v>207259804.41987571</v>
      </c>
      <c r="AS223" s="108">
        <v>235017123.64270437</v>
      </c>
      <c r="AT223" s="108">
        <v>252454080.90241909</v>
      </c>
      <c r="AU223" s="108">
        <v>280142841.82917809</v>
      </c>
      <c r="AV223" s="108">
        <v>288229078.94264674</v>
      </c>
    </row>
    <row r="224" spans="1:48" x14ac:dyDescent="0.35">
      <c r="A224" s="107">
        <f xml:space="preserve"> ROW( slrImpacts[[#This Row],[row_id]] ) - ROW( slrImpacts[[#Headers],[row_id]] )</f>
        <v>223</v>
      </c>
      <c r="B224" s="104">
        <v>2020</v>
      </c>
      <c r="C224" s="104" t="s">
        <v>86</v>
      </c>
      <c r="D224" s="104" t="s">
        <v>208</v>
      </c>
      <c r="E224" s="104" t="s">
        <v>922</v>
      </c>
      <c r="F224" s="104"/>
      <c r="G224" s="105">
        <v>0</v>
      </c>
      <c r="H224" s="105">
        <v>0</v>
      </c>
      <c r="I224" s="105">
        <v>0</v>
      </c>
      <c r="J224" s="105">
        <v>0</v>
      </c>
      <c r="K224" s="105">
        <v>0</v>
      </c>
      <c r="L224" s="105">
        <v>0</v>
      </c>
      <c r="M224" s="106">
        <v>796210993.76360321</v>
      </c>
      <c r="N224" s="106">
        <v>821076218.08445787</v>
      </c>
      <c r="O224" s="106">
        <v>884693836.51007736</v>
      </c>
      <c r="P224" s="106">
        <v>848949348.27840972</v>
      </c>
      <c r="Q224" s="106">
        <v>1068574758.4207433</v>
      </c>
      <c r="R224" s="106">
        <v>1111497233.7853267</v>
      </c>
      <c r="S224" s="105">
        <v>0</v>
      </c>
      <c r="T224" s="105">
        <v>0</v>
      </c>
      <c r="U224" s="105">
        <v>0</v>
      </c>
      <c r="V224" s="105">
        <v>0</v>
      </c>
      <c r="W224" s="105">
        <v>0</v>
      </c>
      <c r="X224" s="105">
        <v>0</v>
      </c>
      <c r="Y224" s="106">
        <v>92375484.681885734</v>
      </c>
      <c r="Z224" s="106">
        <v>94710761.742040738</v>
      </c>
      <c r="AA224" s="106">
        <v>97993532.350194365</v>
      </c>
      <c r="AB224" s="108">
        <v>97228602.792033941</v>
      </c>
      <c r="AC224" s="108">
        <v>108165435.8392819</v>
      </c>
      <c r="AD224" s="108">
        <v>112089140.68364291</v>
      </c>
      <c r="AE224" s="108">
        <v>1972389910.3328862</v>
      </c>
      <c r="AF224" s="108">
        <v>2070690116.2435439</v>
      </c>
      <c r="AG224" s="108">
        <v>2306836226.0244908</v>
      </c>
      <c r="AH224" s="108">
        <v>2388631099.0432439</v>
      </c>
      <c r="AI224" s="108">
        <v>2658990155.3380952</v>
      </c>
      <c r="AJ224" s="108">
        <v>2801292013.7161865</v>
      </c>
      <c r="AK224" s="108">
        <v>131861668.74895802</v>
      </c>
      <c r="AL224" s="108">
        <v>141354335.32793599</v>
      </c>
      <c r="AM224" s="108">
        <v>159214648.23209575</v>
      </c>
      <c r="AN224" s="108">
        <v>176717551.06763047</v>
      </c>
      <c r="AO224" s="108">
        <v>197309763.70584637</v>
      </c>
      <c r="AP224" s="108">
        <v>211842176.96634817</v>
      </c>
      <c r="AQ224" s="108">
        <v>201462547.92962068</v>
      </c>
      <c r="AR224" s="108">
        <v>212621747.15345752</v>
      </c>
      <c r="AS224" s="108">
        <v>242603376.67218387</v>
      </c>
      <c r="AT224" s="108">
        <v>263592227.79939994</v>
      </c>
      <c r="AU224" s="108">
        <v>293108843.44292855</v>
      </c>
      <c r="AV224" s="108">
        <v>302907908.50302762</v>
      </c>
    </row>
    <row r="225" spans="1:48" x14ac:dyDescent="0.35">
      <c r="A225" s="107">
        <f xml:space="preserve"> ROW( slrImpacts[[#This Row],[row_id]] ) - ROW( slrImpacts[[#Headers],[row_id]] )</f>
        <v>224</v>
      </c>
      <c r="B225" s="104">
        <v>2021</v>
      </c>
      <c r="C225" s="104" t="s">
        <v>86</v>
      </c>
      <c r="D225" s="104" t="s">
        <v>208</v>
      </c>
      <c r="E225" s="104" t="s">
        <v>922</v>
      </c>
      <c r="F225" s="104"/>
      <c r="G225" s="105">
        <v>0</v>
      </c>
      <c r="H225" s="105">
        <v>0</v>
      </c>
      <c r="I225" s="105">
        <v>0</v>
      </c>
      <c r="J225" s="105">
        <v>0</v>
      </c>
      <c r="K225" s="105">
        <v>0</v>
      </c>
      <c r="L225" s="105">
        <v>0</v>
      </c>
      <c r="M225" s="106">
        <v>802583169.02762723</v>
      </c>
      <c r="N225" s="106">
        <v>828795824.92812502</v>
      </c>
      <c r="O225" s="106">
        <v>895837285.70659375</v>
      </c>
      <c r="P225" s="106">
        <v>877966658.9658047</v>
      </c>
      <c r="Q225" s="106">
        <v>1107606580.8269696</v>
      </c>
      <c r="R225" s="106">
        <v>1152325505.5990498</v>
      </c>
      <c r="S225" s="105">
        <v>0</v>
      </c>
      <c r="T225" s="105">
        <v>0</v>
      </c>
      <c r="U225" s="105">
        <v>0</v>
      </c>
      <c r="V225" s="105">
        <v>0</v>
      </c>
      <c r="W225" s="105">
        <v>0</v>
      </c>
      <c r="X225" s="105">
        <v>0</v>
      </c>
      <c r="Y225" s="106">
        <v>92801319.148960054</v>
      </c>
      <c r="Z225" s="106">
        <v>95308227.396234483</v>
      </c>
      <c r="AA225" s="106">
        <v>98808310.418559358</v>
      </c>
      <c r="AB225" s="108">
        <v>98317112.874351203</v>
      </c>
      <c r="AC225" s="108">
        <v>109716178.49661878</v>
      </c>
      <c r="AD225" s="108">
        <v>114178383.08140534</v>
      </c>
      <c r="AE225" s="108">
        <v>2003719811.9452615</v>
      </c>
      <c r="AF225" s="108">
        <v>2107437571.9355838</v>
      </c>
      <c r="AG225" s="108">
        <v>2352466814.1734848</v>
      </c>
      <c r="AH225" s="108">
        <v>2447165543.2558351</v>
      </c>
      <c r="AI225" s="108">
        <v>2757175739.5071416</v>
      </c>
      <c r="AJ225" s="108">
        <v>2942784980.133584</v>
      </c>
      <c r="AK225" s="108">
        <v>133566786.89347954</v>
      </c>
      <c r="AL225" s="108">
        <v>143269776.05328131</v>
      </c>
      <c r="AM225" s="108">
        <v>161918209.17973056</v>
      </c>
      <c r="AN225" s="108">
        <v>180575562.37132889</v>
      </c>
      <c r="AO225" s="108">
        <v>202464026.69826177</v>
      </c>
      <c r="AP225" s="108">
        <v>218154905.34198481</v>
      </c>
      <c r="AQ225" s="108">
        <v>206497958.27216473</v>
      </c>
      <c r="AR225" s="108">
        <v>218405218.678857</v>
      </c>
      <c r="AS225" s="108">
        <v>250402573.50061533</v>
      </c>
      <c r="AT225" s="108">
        <v>275420592.23658258</v>
      </c>
      <c r="AU225" s="108">
        <v>308021129.18751901</v>
      </c>
      <c r="AV225" s="108">
        <v>321180229.17038554</v>
      </c>
    </row>
    <row r="226" spans="1:48" x14ac:dyDescent="0.35">
      <c r="A226" s="107">
        <f xml:space="preserve"> ROW( slrImpacts[[#This Row],[row_id]] ) - ROW( slrImpacts[[#Headers],[row_id]] )</f>
        <v>225</v>
      </c>
      <c r="B226" s="104">
        <v>2022</v>
      </c>
      <c r="C226" s="104" t="s">
        <v>86</v>
      </c>
      <c r="D226" s="104" t="s">
        <v>208</v>
      </c>
      <c r="E226" s="104" t="s">
        <v>922</v>
      </c>
      <c r="F226" s="104"/>
      <c r="G226" s="105">
        <v>0</v>
      </c>
      <c r="H226" s="105">
        <v>0</v>
      </c>
      <c r="I226" s="105">
        <v>0</v>
      </c>
      <c r="J226" s="105">
        <v>0</v>
      </c>
      <c r="K226" s="105">
        <v>0</v>
      </c>
      <c r="L226" s="105">
        <v>0</v>
      </c>
      <c r="M226" s="106">
        <v>807884543.94746101</v>
      </c>
      <c r="N226" s="106">
        <v>835204782.63569629</v>
      </c>
      <c r="O226" s="106">
        <v>905164175.20048153</v>
      </c>
      <c r="P226" s="106">
        <v>908712892.0519737</v>
      </c>
      <c r="Q226" s="106">
        <v>1144174382.8573356</v>
      </c>
      <c r="R226" s="106">
        <v>1190609807.4396091</v>
      </c>
      <c r="S226" s="105">
        <v>0</v>
      </c>
      <c r="T226" s="105">
        <v>0</v>
      </c>
      <c r="U226" s="105">
        <v>0</v>
      </c>
      <c r="V226" s="105">
        <v>0</v>
      </c>
      <c r="W226" s="105">
        <v>0</v>
      </c>
      <c r="X226" s="105">
        <v>0</v>
      </c>
      <c r="Y226" s="106">
        <v>93152446.615276858</v>
      </c>
      <c r="Z226" s="106">
        <v>95798219.82126832</v>
      </c>
      <c r="AA226" s="106">
        <v>99481538.380225897</v>
      </c>
      <c r="AB226" s="108">
        <v>99178880.656123787</v>
      </c>
      <c r="AC226" s="108">
        <v>110981199.64228661</v>
      </c>
      <c r="AD226" s="108">
        <v>115949137.73909636</v>
      </c>
      <c r="AE226" s="108">
        <v>2028875245.4774852</v>
      </c>
      <c r="AF226" s="108">
        <v>2136735297.9380503</v>
      </c>
      <c r="AG226" s="108">
        <v>2387664635.1991529</v>
      </c>
      <c r="AH226" s="108">
        <v>2494967634.8409038</v>
      </c>
      <c r="AI226" s="108">
        <v>2869835050.0091648</v>
      </c>
      <c r="AJ226" s="108">
        <v>3073732463.6019478</v>
      </c>
      <c r="AK226" s="108">
        <v>135156567.91402456</v>
      </c>
      <c r="AL226" s="108">
        <v>145039734.72452</v>
      </c>
      <c r="AM226" s="108">
        <v>164434347.30090362</v>
      </c>
      <c r="AN226" s="108">
        <v>184213384.62016314</v>
      </c>
      <c r="AO226" s="108">
        <v>207354849.2143217</v>
      </c>
      <c r="AP226" s="108">
        <v>224171427.01286352</v>
      </c>
      <c r="AQ226" s="108">
        <v>210754843.02786759</v>
      </c>
      <c r="AR226" s="108">
        <v>223389194.2312378</v>
      </c>
      <c r="AS226" s="108">
        <v>257521703.22688687</v>
      </c>
      <c r="AT226" s="108">
        <v>285787582.88701773</v>
      </c>
      <c r="AU226" s="108">
        <v>323580875.60534096</v>
      </c>
      <c r="AV226" s="108">
        <v>337718561.03068805</v>
      </c>
    </row>
    <row r="227" spans="1:48" x14ac:dyDescent="0.35">
      <c r="A227" s="107">
        <f xml:space="preserve"> ROW( slrImpacts[[#This Row],[row_id]] ) - ROW( slrImpacts[[#Headers],[row_id]] )</f>
        <v>226</v>
      </c>
      <c r="B227" s="104">
        <v>2023</v>
      </c>
      <c r="C227" s="104" t="s">
        <v>86</v>
      </c>
      <c r="D227" s="104" t="s">
        <v>208</v>
      </c>
      <c r="E227" s="104" t="s">
        <v>922</v>
      </c>
      <c r="F227" s="104"/>
      <c r="G227" s="105">
        <v>0</v>
      </c>
      <c r="H227" s="105">
        <v>0</v>
      </c>
      <c r="I227" s="105">
        <v>0</v>
      </c>
      <c r="J227" s="105">
        <v>0</v>
      </c>
      <c r="K227" s="105">
        <v>0</v>
      </c>
      <c r="L227" s="105">
        <v>0</v>
      </c>
      <c r="M227" s="106">
        <v>813185918.8672936</v>
      </c>
      <c r="N227" s="106">
        <v>841613740.34326684</v>
      </c>
      <c r="O227" s="106">
        <v>914491064.69436932</v>
      </c>
      <c r="P227" s="106">
        <v>940376579.53340971</v>
      </c>
      <c r="Q227" s="106">
        <v>1180742184.8877006</v>
      </c>
      <c r="R227" s="106">
        <v>1228894109.2801688</v>
      </c>
      <c r="S227" s="105">
        <v>0</v>
      </c>
      <c r="T227" s="105">
        <v>0</v>
      </c>
      <c r="U227" s="105">
        <v>0</v>
      </c>
      <c r="V227" s="105">
        <v>0</v>
      </c>
      <c r="W227" s="105">
        <v>0</v>
      </c>
      <c r="X227" s="105">
        <v>0</v>
      </c>
      <c r="Y227" s="106">
        <v>93503574.081593737</v>
      </c>
      <c r="Z227" s="106">
        <v>96288212.246302173</v>
      </c>
      <c r="AA227" s="106">
        <v>100154766.34189244</v>
      </c>
      <c r="AB227" s="108">
        <v>100040648.43789633</v>
      </c>
      <c r="AC227" s="108">
        <v>112246220.78795451</v>
      </c>
      <c r="AD227" s="108">
        <v>117719892.39678743</v>
      </c>
      <c r="AE227" s="108">
        <v>2054030679.0097096</v>
      </c>
      <c r="AF227" s="108">
        <v>2166033023.9405184</v>
      </c>
      <c r="AG227" s="108">
        <v>2422862456.2248225</v>
      </c>
      <c r="AH227" s="108">
        <v>2547358425.8347445</v>
      </c>
      <c r="AI227" s="108">
        <v>2989740568.7751465</v>
      </c>
      <c r="AJ227" s="108">
        <v>3204679947.0703135</v>
      </c>
      <c r="AK227" s="108">
        <v>136746348.93456957</v>
      </c>
      <c r="AL227" s="108">
        <v>146809693.39575857</v>
      </c>
      <c r="AM227" s="108">
        <v>166950485.42207664</v>
      </c>
      <c r="AN227" s="108">
        <v>187851206.86899742</v>
      </c>
      <c r="AO227" s="108">
        <v>212245671.73038158</v>
      </c>
      <c r="AP227" s="108">
        <v>230187948.68374234</v>
      </c>
      <c r="AQ227" s="108">
        <v>215011727.78357047</v>
      </c>
      <c r="AR227" s="108">
        <v>228373169.78361854</v>
      </c>
      <c r="AS227" s="108">
        <v>266252931.3905569</v>
      </c>
      <c r="AT227" s="108">
        <v>296154573.53745288</v>
      </c>
      <c r="AU227" s="108">
        <v>339140622.02316302</v>
      </c>
      <c r="AV227" s="108">
        <v>354256892.89099056</v>
      </c>
    </row>
    <row r="228" spans="1:48" x14ac:dyDescent="0.35">
      <c r="A228" s="107">
        <f xml:space="preserve"> ROW( slrImpacts[[#This Row],[row_id]] ) - ROW( slrImpacts[[#Headers],[row_id]] )</f>
        <v>227</v>
      </c>
      <c r="B228" s="104">
        <v>2024</v>
      </c>
      <c r="C228" s="104" t="s">
        <v>86</v>
      </c>
      <c r="D228" s="104" t="s">
        <v>208</v>
      </c>
      <c r="E228" s="104" t="s">
        <v>922</v>
      </c>
      <c r="F228" s="104"/>
      <c r="G228" s="105">
        <v>0</v>
      </c>
      <c r="H228" s="105">
        <v>0</v>
      </c>
      <c r="I228" s="105">
        <v>0</v>
      </c>
      <c r="J228" s="105">
        <v>0</v>
      </c>
      <c r="K228" s="105">
        <v>0</v>
      </c>
      <c r="L228" s="105">
        <v>0</v>
      </c>
      <c r="M228" s="106">
        <v>818487293.78712726</v>
      </c>
      <c r="N228" s="106">
        <v>848022698.05083776</v>
      </c>
      <c r="O228" s="106">
        <v>923817954.18825686</v>
      </c>
      <c r="P228" s="106">
        <v>972040267.01484656</v>
      </c>
      <c r="Q228" s="106">
        <v>1217309986.9180665</v>
      </c>
      <c r="R228" s="106">
        <v>1267178411.1207283</v>
      </c>
      <c r="S228" s="105">
        <v>0</v>
      </c>
      <c r="T228" s="105">
        <v>0</v>
      </c>
      <c r="U228" s="105">
        <v>0</v>
      </c>
      <c r="V228" s="105">
        <v>0</v>
      </c>
      <c r="W228" s="105">
        <v>0</v>
      </c>
      <c r="X228" s="105">
        <v>0</v>
      </c>
      <c r="Y228" s="106">
        <v>93854701.547910556</v>
      </c>
      <c r="Z228" s="106">
        <v>96778204.67133607</v>
      </c>
      <c r="AA228" s="106">
        <v>100827994.30355896</v>
      </c>
      <c r="AB228" s="108">
        <v>100902416.21966894</v>
      </c>
      <c r="AC228" s="108">
        <v>113511241.93362235</v>
      </c>
      <c r="AD228" s="108">
        <v>119490647.05447848</v>
      </c>
      <c r="AE228" s="108">
        <v>2079186112.541934</v>
      </c>
      <c r="AF228" s="108">
        <v>2195330749.9429865</v>
      </c>
      <c r="AG228" s="108">
        <v>2458156715.2136841</v>
      </c>
      <c r="AH228" s="108">
        <v>2610047784.5507145</v>
      </c>
      <c r="AI228" s="108">
        <v>3112785092.2220793</v>
      </c>
      <c r="AJ228" s="108">
        <v>3335627430.5386786</v>
      </c>
      <c r="AK228" s="108">
        <v>138336129.95511448</v>
      </c>
      <c r="AL228" s="108">
        <v>148579652.06699723</v>
      </c>
      <c r="AM228" s="108">
        <v>169466623.5432497</v>
      </c>
      <c r="AN228" s="108">
        <v>191489029.11783168</v>
      </c>
      <c r="AO228" s="108">
        <v>217136494.24644154</v>
      </c>
      <c r="AP228" s="108">
        <v>237354307.6081154</v>
      </c>
      <c r="AQ228" s="108">
        <v>219268612.53927332</v>
      </c>
      <c r="AR228" s="108">
        <v>233357145.33599934</v>
      </c>
      <c r="AS228" s="108">
        <v>274984159.55422693</v>
      </c>
      <c r="AT228" s="108">
        <v>306521564.18788803</v>
      </c>
      <c r="AU228" s="108">
        <v>354700368.44098496</v>
      </c>
      <c r="AV228" s="108">
        <v>370795224.75129312</v>
      </c>
    </row>
    <row r="229" spans="1:48" x14ac:dyDescent="0.35">
      <c r="A229" s="107">
        <f xml:space="preserve"> ROW( slrImpacts[[#This Row],[row_id]] ) - ROW( slrImpacts[[#Headers],[row_id]] )</f>
        <v>228</v>
      </c>
      <c r="B229" s="104">
        <v>2025</v>
      </c>
      <c r="C229" s="104" t="s">
        <v>86</v>
      </c>
      <c r="D229" s="104" t="s">
        <v>208</v>
      </c>
      <c r="E229" s="104" t="s">
        <v>922</v>
      </c>
      <c r="F229" s="104"/>
      <c r="G229" s="105">
        <v>0</v>
      </c>
      <c r="H229" s="105">
        <v>0</v>
      </c>
      <c r="I229" s="105">
        <v>0</v>
      </c>
      <c r="J229" s="105">
        <v>0</v>
      </c>
      <c r="K229" s="105">
        <v>0</v>
      </c>
      <c r="L229" s="105">
        <v>0</v>
      </c>
      <c r="M229" s="106">
        <v>827670753.31625164</v>
      </c>
      <c r="N229" s="106">
        <v>859228758.82979858</v>
      </c>
      <c r="O229" s="106">
        <v>940715289.2438966</v>
      </c>
      <c r="P229" s="106">
        <v>1012738130.3440222</v>
      </c>
      <c r="Q229" s="106">
        <v>1267961694.4549487</v>
      </c>
      <c r="R229" s="106">
        <v>1322110508.3622038</v>
      </c>
      <c r="S229" s="105">
        <v>0</v>
      </c>
      <c r="T229" s="105">
        <v>0</v>
      </c>
      <c r="U229" s="105">
        <v>0</v>
      </c>
      <c r="V229" s="105">
        <v>0</v>
      </c>
      <c r="W229" s="105">
        <v>0</v>
      </c>
      <c r="X229" s="105">
        <v>0</v>
      </c>
      <c r="Y229" s="106">
        <v>94301021.082580611</v>
      </c>
      <c r="Z229" s="106">
        <v>97359899.86567454</v>
      </c>
      <c r="AA229" s="106">
        <v>101927937.8234534</v>
      </c>
      <c r="AB229" s="108">
        <v>102448031.3848058</v>
      </c>
      <c r="AC229" s="108">
        <v>116023708.65404546</v>
      </c>
      <c r="AD229" s="108">
        <v>122408956.47881976</v>
      </c>
      <c r="AE229" s="108">
        <v>2115602117.4436464</v>
      </c>
      <c r="AF229" s="108">
        <v>2236342439.2025619</v>
      </c>
      <c r="AG229" s="108">
        <v>2508610463.1066823</v>
      </c>
      <c r="AH229" s="108">
        <v>2704520134.4623179</v>
      </c>
      <c r="AI229" s="108">
        <v>3265912221.3422837</v>
      </c>
      <c r="AJ229" s="108">
        <v>3503968992.4996743</v>
      </c>
      <c r="AK229" s="108">
        <v>141228469.20813492</v>
      </c>
      <c r="AL229" s="108">
        <v>152038330.68077788</v>
      </c>
      <c r="AM229" s="108">
        <v>175031631.65547189</v>
      </c>
      <c r="AN229" s="108">
        <v>199976364.68337756</v>
      </c>
      <c r="AO229" s="108">
        <v>229361036.9783254</v>
      </c>
      <c r="AP229" s="108">
        <v>259087903.86530942</v>
      </c>
      <c r="AQ229" s="108">
        <v>225950551.69344261</v>
      </c>
      <c r="AR229" s="108">
        <v>240812091.01289126</v>
      </c>
      <c r="AS229" s="108">
        <v>286022452.3177523</v>
      </c>
      <c r="AT229" s="108">
        <v>319944513.22188157</v>
      </c>
      <c r="AU229" s="108">
        <v>373694970.04140937</v>
      </c>
      <c r="AV229" s="108">
        <v>391384327.37655985</v>
      </c>
    </row>
    <row r="230" spans="1:48" x14ac:dyDescent="0.35">
      <c r="A230" s="107">
        <f xml:space="preserve"> ROW( slrImpacts[[#This Row],[row_id]] ) - ROW( slrImpacts[[#Headers],[row_id]] )</f>
        <v>229</v>
      </c>
      <c r="B230" s="104">
        <v>2026</v>
      </c>
      <c r="C230" s="104" t="s">
        <v>86</v>
      </c>
      <c r="D230" s="104" t="s">
        <v>208</v>
      </c>
      <c r="E230" s="104" t="s">
        <v>922</v>
      </c>
      <c r="F230" s="104"/>
      <c r="G230" s="105">
        <v>0</v>
      </c>
      <c r="H230" s="105">
        <v>0</v>
      </c>
      <c r="I230" s="105">
        <v>0</v>
      </c>
      <c r="J230" s="105">
        <v>0</v>
      </c>
      <c r="K230" s="105">
        <v>0</v>
      </c>
      <c r="L230" s="105">
        <v>0</v>
      </c>
      <c r="M230" s="106">
        <v>833703618.76724362</v>
      </c>
      <c r="N230" s="106">
        <v>866430249.36115646</v>
      </c>
      <c r="O230" s="106">
        <v>952207191.40491068</v>
      </c>
      <c r="P230" s="106">
        <v>1045208873.3891945</v>
      </c>
      <c r="Q230" s="106">
        <v>1307390236.7432268</v>
      </c>
      <c r="R230" s="106">
        <v>1364460975.527611</v>
      </c>
      <c r="S230" s="105">
        <v>0</v>
      </c>
      <c r="T230" s="105">
        <v>0</v>
      </c>
      <c r="U230" s="105">
        <v>0</v>
      </c>
      <c r="V230" s="105">
        <v>0</v>
      </c>
      <c r="W230" s="105">
        <v>0</v>
      </c>
      <c r="X230" s="105">
        <v>0</v>
      </c>
      <c r="Y230" s="106">
        <v>94594881.746745631</v>
      </c>
      <c r="Z230" s="106">
        <v>97739417.395578429</v>
      </c>
      <c r="AA230" s="106">
        <v>102790196.07249948</v>
      </c>
      <c r="AB230" s="108">
        <v>103536857.0596327</v>
      </c>
      <c r="AC230" s="108">
        <v>117843871.14682069</v>
      </c>
      <c r="AD230" s="108">
        <v>124626906.7056583</v>
      </c>
      <c r="AE230" s="108">
        <v>2141725440.9828105</v>
      </c>
      <c r="AF230" s="108">
        <v>2265033372.8517814</v>
      </c>
      <c r="AG230" s="108">
        <v>2545178328.6529703</v>
      </c>
      <c r="AH230" s="108">
        <v>2800572638.6371684</v>
      </c>
      <c r="AI230" s="108">
        <v>3396111232.2577105</v>
      </c>
      <c r="AJ230" s="108">
        <v>3645517830.8341475</v>
      </c>
      <c r="AK230" s="108">
        <v>142754069.65952256</v>
      </c>
      <c r="AL230" s="108">
        <v>154031963.47707933</v>
      </c>
      <c r="AM230" s="108">
        <v>178475999.03264052</v>
      </c>
      <c r="AN230" s="108">
        <v>205342536.27393544</v>
      </c>
      <c r="AO230" s="108">
        <v>237339863.84167343</v>
      </c>
      <c r="AP230" s="108">
        <v>282510791.05874616</v>
      </c>
      <c r="AQ230" s="108">
        <v>230480846.12441984</v>
      </c>
      <c r="AR230" s="108">
        <v>245765615.70918739</v>
      </c>
      <c r="AS230" s="108">
        <v>293603383.90596271</v>
      </c>
      <c r="AT230" s="108">
        <v>331989123.05803204</v>
      </c>
      <c r="AU230" s="108">
        <v>388230903.90428406</v>
      </c>
      <c r="AV230" s="108">
        <v>406486736.95307803</v>
      </c>
    </row>
    <row r="231" spans="1:48" x14ac:dyDescent="0.35">
      <c r="A231" s="107">
        <f xml:space="preserve"> ROW( slrImpacts[[#This Row],[row_id]] ) - ROW( slrImpacts[[#Headers],[row_id]] )</f>
        <v>230</v>
      </c>
      <c r="B231" s="104">
        <v>2027</v>
      </c>
      <c r="C231" s="104" t="s">
        <v>86</v>
      </c>
      <c r="D231" s="104" t="s">
        <v>208</v>
      </c>
      <c r="E231" s="104" t="s">
        <v>922</v>
      </c>
      <c r="F231" s="104"/>
      <c r="G231" s="105">
        <v>0</v>
      </c>
      <c r="H231" s="105">
        <v>0</v>
      </c>
      <c r="I231" s="105">
        <v>0</v>
      </c>
      <c r="J231" s="105">
        <v>0</v>
      </c>
      <c r="K231" s="105">
        <v>0</v>
      </c>
      <c r="L231" s="105">
        <v>0</v>
      </c>
      <c r="M231" s="106">
        <v>839736484.21823549</v>
      </c>
      <c r="N231" s="106">
        <v>873631739.89251423</v>
      </c>
      <c r="O231" s="106">
        <v>969158240.18932772</v>
      </c>
      <c r="P231" s="106">
        <v>1077679616.4343672</v>
      </c>
      <c r="Q231" s="106">
        <v>1346818779.0315039</v>
      </c>
      <c r="R231" s="106">
        <v>1401232877.4373574</v>
      </c>
      <c r="S231" s="105">
        <v>0</v>
      </c>
      <c r="T231" s="105">
        <v>0</v>
      </c>
      <c r="U231" s="105">
        <v>0</v>
      </c>
      <c r="V231" s="105">
        <v>0</v>
      </c>
      <c r="W231" s="105">
        <v>0</v>
      </c>
      <c r="X231" s="105">
        <v>0</v>
      </c>
      <c r="Y231" s="106">
        <v>94888742.410910636</v>
      </c>
      <c r="Z231" s="106">
        <v>98118934.925482288</v>
      </c>
      <c r="AA231" s="106">
        <v>103652454.32154556</v>
      </c>
      <c r="AB231" s="108">
        <v>104625682.73445955</v>
      </c>
      <c r="AC231" s="108">
        <v>119664033.63959596</v>
      </c>
      <c r="AD231" s="108">
        <v>127847503.52161057</v>
      </c>
      <c r="AE231" s="108">
        <v>2167848764.5219755</v>
      </c>
      <c r="AF231" s="108">
        <v>2293724306.5010009</v>
      </c>
      <c r="AG231" s="108">
        <v>2582045399.1619949</v>
      </c>
      <c r="AH231" s="108">
        <v>2905605496.6074119</v>
      </c>
      <c r="AI231" s="108">
        <v>3526310243.1731372</v>
      </c>
      <c r="AJ231" s="108">
        <v>3785825339.4885006</v>
      </c>
      <c r="AK231" s="108">
        <v>144279670.11091018</v>
      </c>
      <c r="AL231" s="108">
        <v>156025596.27338067</v>
      </c>
      <c r="AM231" s="108">
        <v>181920366.40980914</v>
      </c>
      <c r="AN231" s="108">
        <v>210708707.86449334</v>
      </c>
      <c r="AO231" s="108">
        <v>249000642.68449017</v>
      </c>
      <c r="AP231" s="108">
        <v>305933678.25218278</v>
      </c>
      <c r="AQ231" s="108">
        <v>235011140.55539697</v>
      </c>
      <c r="AR231" s="108">
        <v>250719140.40548351</v>
      </c>
      <c r="AS231" s="108">
        <v>301184315.49417281</v>
      </c>
      <c r="AT231" s="108">
        <v>344033732.8941825</v>
      </c>
      <c r="AU231" s="108">
        <v>402158536.76853609</v>
      </c>
      <c r="AV231" s="108">
        <v>419977048.09219748</v>
      </c>
    </row>
    <row r="232" spans="1:48" x14ac:dyDescent="0.35">
      <c r="A232" s="107">
        <f xml:space="preserve"> ROW( slrImpacts[[#This Row],[row_id]] ) - ROW( slrImpacts[[#Headers],[row_id]] )</f>
        <v>231</v>
      </c>
      <c r="B232" s="104">
        <v>2028</v>
      </c>
      <c r="C232" s="104" t="s">
        <v>86</v>
      </c>
      <c r="D232" s="104" t="s">
        <v>208</v>
      </c>
      <c r="E232" s="104" t="s">
        <v>922</v>
      </c>
      <c r="F232" s="104"/>
      <c r="G232" s="105">
        <v>0</v>
      </c>
      <c r="H232" s="105">
        <v>0</v>
      </c>
      <c r="I232" s="105">
        <v>0</v>
      </c>
      <c r="J232" s="105">
        <v>0</v>
      </c>
      <c r="K232" s="105">
        <v>0</v>
      </c>
      <c r="L232" s="105">
        <v>0</v>
      </c>
      <c r="M232" s="106">
        <v>845769349.66922712</v>
      </c>
      <c r="N232" s="106">
        <v>880833230.42387223</v>
      </c>
      <c r="O232" s="106">
        <v>995819395.20430887</v>
      </c>
      <c r="P232" s="106">
        <v>1110150359.4795396</v>
      </c>
      <c r="Q232" s="106">
        <v>1381014943.6243105</v>
      </c>
      <c r="R232" s="106">
        <v>1423220657.0919356</v>
      </c>
      <c r="S232" s="105">
        <v>0</v>
      </c>
      <c r="T232" s="105">
        <v>0</v>
      </c>
      <c r="U232" s="105">
        <v>0</v>
      </c>
      <c r="V232" s="105">
        <v>0</v>
      </c>
      <c r="W232" s="105">
        <v>0</v>
      </c>
      <c r="X232" s="105">
        <v>0</v>
      </c>
      <c r="Y232" s="106">
        <v>95182603.075075641</v>
      </c>
      <c r="Z232" s="106">
        <v>98498452.455386117</v>
      </c>
      <c r="AA232" s="106">
        <v>104514712.57059164</v>
      </c>
      <c r="AB232" s="108">
        <v>105714508.40928638</v>
      </c>
      <c r="AC232" s="108">
        <v>121484196.1323712</v>
      </c>
      <c r="AD232" s="108">
        <v>131068100.33756286</v>
      </c>
      <c r="AE232" s="108">
        <v>2193972088.061141</v>
      </c>
      <c r="AF232" s="108">
        <v>2322415240.1502209</v>
      </c>
      <c r="AG232" s="108">
        <v>2619705412.3983593</v>
      </c>
      <c r="AH232" s="108">
        <v>3014607940.0013771</v>
      </c>
      <c r="AI232" s="108">
        <v>3655267924.4084487</v>
      </c>
      <c r="AJ232" s="108">
        <v>3922197726.2883234</v>
      </c>
      <c r="AK232" s="108">
        <v>145805270.56229791</v>
      </c>
      <c r="AL232" s="108">
        <v>158019229.06968206</v>
      </c>
      <c r="AM232" s="108">
        <v>185364733.78697777</v>
      </c>
      <c r="AN232" s="108">
        <v>216074879.45505118</v>
      </c>
      <c r="AO232" s="108">
        <v>270515642.30874062</v>
      </c>
      <c r="AP232" s="108">
        <v>329356565.44561958</v>
      </c>
      <c r="AQ232" s="108">
        <v>239541434.9863742</v>
      </c>
      <c r="AR232" s="108">
        <v>256280966.10040241</v>
      </c>
      <c r="AS232" s="108">
        <v>308765247.08238316</v>
      </c>
      <c r="AT232" s="108">
        <v>356078342.73033297</v>
      </c>
      <c r="AU232" s="108">
        <v>414474071.19538945</v>
      </c>
      <c r="AV232" s="108">
        <v>433467359.23131716</v>
      </c>
    </row>
    <row r="233" spans="1:48" x14ac:dyDescent="0.35">
      <c r="A233" s="107">
        <f xml:space="preserve"> ROW( slrImpacts[[#This Row],[row_id]] ) - ROW( slrImpacts[[#Headers],[row_id]] )</f>
        <v>232</v>
      </c>
      <c r="B233" s="104">
        <v>2029</v>
      </c>
      <c r="C233" s="104" t="s">
        <v>86</v>
      </c>
      <c r="D233" s="104" t="s">
        <v>208</v>
      </c>
      <c r="E233" s="104" t="s">
        <v>922</v>
      </c>
      <c r="F233" s="104"/>
      <c r="G233" s="105">
        <v>0</v>
      </c>
      <c r="H233" s="105">
        <v>0</v>
      </c>
      <c r="I233" s="105">
        <v>0</v>
      </c>
      <c r="J233" s="105">
        <v>0</v>
      </c>
      <c r="K233" s="105">
        <v>0</v>
      </c>
      <c r="L233" s="105">
        <v>0</v>
      </c>
      <c r="M233" s="106">
        <v>851802215.12021804</v>
      </c>
      <c r="N233" s="106">
        <v>888034720.95523047</v>
      </c>
      <c r="O233" s="106">
        <v>1025567128.9347972</v>
      </c>
      <c r="P233" s="106">
        <v>1142621102.5247118</v>
      </c>
      <c r="Q233" s="106">
        <v>1400998252.7970247</v>
      </c>
      <c r="R233" s="106">
        <v>1445208436.7465146</v>
      </c>
      <c r="S233" s="105">
        <v>0</v>
      </c>
      <c r="T233" s="105">
        <v>0</v>
      </c>
      <c r="U233" s="105">
        <v>0</v>
      </c>
      <c r="V233" s="105">
        <v>0</v>
      </c>
      <c r="W233" s="105">
        <v>0</v>
      </c>
      <c r="X233" s="105">
        <v>0</v>
      </c>
      <c r="Y233" s="106">
        <v>95476463.739240646</v>
      </c>
      <c r="Z233" s="106">
        <v>98877969.985290006</v>
      </c>
      <c r="AA233" s="106">
        <v>105376970.8196377</v>
      </c>
      <c r="AB233" s="108">
        <v>106803334.08411326</v>
      </c>
      <c r="AC233" s="108">
        <v>123489816.24667782</v>
      </c>
      <c r="AD233" s="108">
        <v>134288697.1535151</v>
      </c>
      <c r="AE233" s="108">
        <v>2220095411.600306</v>
      </c>
      <c r="AF233" s="108">
        <v>2351106173.7994409</v>
      </c>
      <c r="AG233" s="108">
        <v>2657454445.2930589</v>
      </c>
      <c r="AH233" s="108">
        <v>3126749388.0762858</v>
      </c>
      <c r="AI233" s="108">
        <v>3780290483.7892284</v>
      </c>
      <c r="AJ233" s="108">
        <v>4053326130.0832968</v>
      </c>
      <c r="AK233" s="108">
        <v>147330871.01368555</v>
      </c>
      <c r="AL233" s="108">
        <v>160012861.86598355</v>
      </c>
      <c r="AM233" s="108">
        <v>188809101.16414636</v>
      </c>
      <c r="AN233" s="108">
        <v>221441051.04560903</v>
      </c>
      <c r="AO233" s="108">
        <v>292286218.51452988</v>
      </c>
      <c r="AP233" s="108">
        <v>352780689.02319986</v>
      </c>
      <c r="AQ233" s="108">
        <v>244071729.41735139</v>
      </c>
      <c r="AR233" s="108">
        <v>263454890.2327199</v>
      </c>
      <c r="AS233" s="108">
        <v>316346178.67059326</v>
      </c>
      <c r="AT233" s="108">
        <v>367514651.56786072</v>
      </c>
      <c r="AU233" s="108">
        <v>426789605.62224287</v>
      </c>
      <c r="AV233" s="108">
        <v>446957670.37043667</v>
      </c>
    </row>
    <row r="234" spans="1:48" x14ac:dyDescent="0.35">
      <c r="A234" s="107">
        <f xml:space="preserve"> ROW( slrImpacts[[#This Row],[row_id]] ) - ROW( slrImpacts[[#Headers],[row_id]] )</f>
        <v>233</v>
      </c>
      <c r="B234" s="104">
        <v>2030</v>
      </c>
      <c r="C234" s="104" t="s">
        <v>86</v>
      </c>
      <c r="D234" s="104" t="s">
        <v>208</v>
      </c>
      <c r="E234" s="104" t="s">
        <v>922</v>
      </c>
      <c r="F234" s="104"/>
      <c r="G234" s="105">
        <v>0</v>
      </c>
      <c r="H234" s="105">
        <v>0</v>
      </c>
      <c r="I234" s="105">
        <v>0</v>
      </c>
      <c r="J234" s="105">
        <v>0</v>
      </c>
      <c r="K234" s="105">
        <v>0</v>
      </c>
      <c r="L234" s="105">
        <v>0</v>
      </c>
      <c r="M234" s="106">
        <v>858748619.4774195</v>
      </c>
      <c r="N234" s="106">
        <v>896334334.09961128</v>
      </c>
      <c r="O234" s="106">
        <v>1057352999.6968262</v>
      </c>
      <c r="P234" s="106">
        <v>1176629538.328196</v>
      </c>
      <c r="Q234" s="106">
        <v>1422769956.5612142</v>
      </c>
      <c r="R234" s="106">
        <v>1470172613.3748832</v>
      </c>
      <c r="S234" s="105">
        <v>0</v>
      </c>
      <c r="T234" s="105">
        <v>0</v>
      </c>
      <c r="U234" s="105">
        <v>0</v>
      </c>
      <c r="V234" s="105">
        <v>0</v>
      </c>
      <c r="W234" s="105">
        <v>0</v>
      </c>
      <c r="X234" s="105">
        <v>0</v>
      </c>
      <c r="Y234" s="106">
        <v>95893962.817759916</v>
      </c>
      <c r="Z234" s="106">
        <v>99389780.618552878</v>
      </c>
      <c r="AA234" s="106">
        <v>106439231.99503154</v>
      </c>
      <c r="AB234" s="108">
        <v>108151217.81927177</v>
      </c>
      <c r="AC234" s="108">
        <v>126568975.4137228</v>
      </c>
      <c r="AD234" s="108">
        <v>138016211.46831968</v>
      </c>
      <c r="AE234" s="108">
        <v>2252828525.3278184</v>
      </c>
      <c r="AF234" s="108">
        <v>2387470446.0712137</v>
      </c>
      <c r="AG234" s="108">
        <v>2709083257.3206863</v>
      </c>
      <c r="AH234" s="108">
        <v>3250416447.86269</v>
      </c>
      <c r="AI234" s="108">
        <v>3916618087.3581996</v>
      </c>
      <c r="AJ234" s="108">
        <v>4180940107.3658872</v>
      </c>
      <c r="AK234" s="108">
        <v>148961926.58669958</v>
      </c>
      <c r="AL234" s="108">
        <v>162171147.24693355</v>
      </c>
      <c r="AM234" s="108">
        <v>192493760.69910672</v>
      </c>
      <c r="AN234" s="108">
        <v>227136896.92171881</v>
      </c>
      <c r="AO234" s="108">
        <v>314394469.92054462</v>
      </c>
      <c r="AP234" s="108">
        <v>376559580.13910156</v>
      </c>
      <c r="AQ234" s="108">
        <v>249698178.49152815</v>
      </c>
      <c r="AR234" s="108">
        <v>272423726.24923688</v>
      </c>
      <c r="AS234" s="108">
        <v>326270296.34108686</v>
      </c>
      <c r="AT234" s="108">
        <v>379524295.67836332</v>
      </c>
      <c r="AU234" s="108">
        <v>442236400.98245049</v>
      </c>
      <c r="AV234" s="108">
        <v>464054369.77662629</v>
      </c>
    </row>
    <row r="235" spans="1:48" x14ac:dyDescent="0.35">
      <c r="A235" s="107">
        <f xml:space="preserve"> ROW( slrImpacts[[#This Row],[row_id]] ) - ROW( slrImpacts[[#Headers],[row_id]] )</f>
        <v>234</v>
      </c>
      <c r="B235" s="104">
        <v>2031</v>
      </c>
      <c r="C235" s="104" t="s">
        <v>86</v>
      </c>
      <c r="D235" s="104" t="s">
        <v>208</v>
      </c>
      <c r="E235" s="104" t="s">
        <v>922</v>
      </c>
      <c r="F235" s="104"/>
      <c r="G235" s="105">
        <v>0</v>
      </c>
      <c r="H235" s="105">
        <v>0</v>
      </c>
      <c r="I235" s="105">
        <v>0</v>
      </c>
      <c r="J235" s="105">
        <v>0</v>
      </c>
      <c r="K235" s="105">
        <v>0</v>
      </c>
      <c r="L235" s="105">
        <v>0</v>
      </c>
      <c r="M235" s="106">
        <v>865594098.24177659</v>
      </c>
      <c r="N235" s="106">
        <v>904595281.4746784</v>
      </c>
      <c r="O235" s="106">
        <v>1090301888.449898</v>
      </c>
      <c r="P235" s="106">
        <v>1206658986.978224</v>
      </c>
      <c r="Q235" s="106">
        <v>1444877014.5996184</v>
      </c>
      <c r="R235" s="106">
        <v>1495570215.1940958</v>
      </c>
      <c r="S235" s="105">
        <v>0</v>
      </c>
      <c r="T235" s="105">
        <v>0</v>
      </c>
      <c r="U235" s="105">
        <v>0</v>
      </c>
      <c r="V235" s="105">
        <v>0</v>
      </c>
      <c r="W235" s="105">
        <v>0</v>
      </c>
      <c r="X235" s="105">
        <v>0</v>
      </c>
      <c r="Y235" s="106">
        <v>96346088.846692517</v>
      </c>
      <c r="Z235" s="106">
        <v>99902119.301157743</v>
      </c>
      <c r="AA235" s="106">
        <v>107499775.34365505</v>
      </c>
      <c r="AB235" s="108">
        <v>109572510.19764301</v>
      </c>
      <c r="AC235" s="108">
        <v>130290389.4119091</v>
      </c>
      <c r="AD235" s="108">
        <v>141942905.28340539</v>
      </c>
      <c r="AE235" s="108">
        <v>2284091099.7582827</v>
      </c>
      <c r="AF235" s="108">
        <v>2422356173.9852114</v>
      </c>
      <c r="AG235" s="108">
        <v>2767868253.485919</v>
      </c>
      <c r="AH235" s="108">
        <v>3370143929.3722668</v>
      </c>
      <c r="AI235" s="108">
        <v>4043982151.0246096</v>
      </c>
      <c r="AJ235" s="108">
        <v>4277343513.274066</v>
      </c>
      <c r="AK235" s="108">
        <v>150586197.04825717</v>
      </c>
      <c r="AL235" s="108">
        <v>164325969.07542634</v>
      </c>
      <c r="AM235" s="108">
        <v>196211505.11545089</v>
      </c>
      <c r="AN235" s="108">
        <v>232891459.49472868</v>
      </c>
      <c r="AO235" s="108">
        <v>336515560.54535556</v>
      </c>
      <c r="AP235" s="108">
        <v>400322162.86436665</v>
      </c>
      <c r="AQ235" s="108">
        <v>255368852.11639211</v>
      </c>
      <c r="AR235" s="108">
        <v>281881249.28549939</v>
      </c>
      <c r="AS235" s="108">
        <v>337718890.24234694</v>
      </c>
      <c r="AT235" s="108">
        <v>391240294.50461119</v>
      </c>
      <c r="AU235" s="108">
        <v>457710845.62716907</v>
      </c>
      <c r="AV235" s="108">
        <v>480469286.33605635</v>
      </c>
    </row>
    <row r="236" spans="1:48" x14ac:dyDescent="0.35">
      <c r="A236" s="107">
        <f xml:space="preserve"> ROW( slrImpacts[[#This Row],[row_id]] ) - ROW( slrImpacts[[#Headers],[row_id]] )</f>
        <v>235</v>
      </c>
      <c r="B236" s="104">
        <v>2032</v>
      </c>
      <c r="C236" s="104" t="s">
        <v>86</v>
      </c>
      <c r="D236" s="104" t="s">
        <v>208</v>
      </c>
      <c r="E236" s="104" t="s">
        <v>922</v>
      </c>
      <c r="F236" s="104"/>
      <c r="G236" s="105">
        <v>0</v>
      </c>
      <c r="H236" s="105">
        <v>0</v>
      </c>
      <c r="I236" s="105">
        <v>0</v>
      </c>
      <c r="J236" s="105">
        <v>0</v>
      </c>
      <c r="K236" s="105">
        <v>0</v>
      </c>
      <c r="L236" s="105">
        <v>0</v>
      </c>
      <c r="M236" s="106">
        <v>871337321.0826757</v>
      </c>
      <c r="N236" s="106">
        <v>911626839.96008682</v>
      </c>
      <c r="O236" s="106">
        <v>1121685862.1344695</v>
      </c>
      <c r="P236" s="106">
        <v>1223178757.5521424</v>
      </c>
      <c r="Q236" s="106">
        <v>1464451898.5070837</v>
      </c>
      <c r="R236" s="106">
        <v>1518263427.9905925</v>
      </c>
      <c r="S236" s="105">
        <v>0</v>
      </c>
      <c r="T236" s="105">
        <v>0</v>
      </c>
      <c r="U236" s="105">
        <v>0</v>
      </c>
      <c r="V236" s="105">
        <v>0</v>
      </c>
      <c r="W236" s="105">
        <v>0</v>
      </c>
      <c r="X236" s="105">
        <v>0</v>
      </c>
      <c r="Y236" s="106">
        <v>96695984.243009582</v>
      </c>
      <c r="Z236" s="106">
        <v>100266354.63138379</v>
      </c>
      <c r="AA236" s="106">
        <v>108336197.69000609</v>
      </c>
      <c r="AB236" s="108">
        <v>110785409.36337486</v>
      </c>
      <c r="AC236" s="108">
        <v>133718218.00360984</v>
      </c>
      <c r="AD236" s="108">
        <v>145515723.83174509</v>
      </c>
      <c r="AE236" s="108">
        <v>2308173938.2212138</v>
      </c>
      <c r="AF236" s="108">
        <v>2449892099.6053801</v>
      </c>
      <c r="AG236" s="108">
        <v>2826395478.9283023</v>
      </c>
      <c r="AH236" s="108">
        <v>3474168523.5822759</v>
      </c>
      <c r="AI236" s="108">
        <v>4139583423.6455488</v>
      </c>
      <c r="AJ236" s="108">
        <v>4346270841.5026436</v>
      </c>
      <c r="AK236" s="108">
        <v>152099062.33324659</v>
      </c>
      <c r="AL236" s="108">
        <v>166326134.30585986</v>
      </c>
      <c r="AM236" s="108">
        <v>199739205.40706122</v>
      </c>
      <c r="AN236" s="108">
        <v>239984515.9721885</v>
      </c>
      <c r="AO236" s="108">
        <v>358318163.43009502</v>
      </c>
      <c r="AP236" s="108">
        <v>423719000.21566802</v>
      </c>
      <c r="AQ236" s="108">
        <v>259998870.3271957</v>
      </c>
      <c r="AR236" s="108">
        <v>290110694.08123958</v>
      </c>
      <c r="AS236" s="108">
        <v>349956494.9235369</v>
      </c>
      <c r="AT236" s="108">
        <v>400780615.76493919</v>
      </c>
      <c r="AU236" s="108">
        <v>469539218.02455205</v>
      </c>
      <c r="AV236" s="108">
        <v>491526269.22712451</v>
      </c>
    </row>
    <row r="237" spans="1:48" x14ac:dyDescent="0.35">
      <c r="A237" s="107">
        <f xml:space="preserve"> ROW( slrImpacts[[#This Row],[row_id]] ) - ROW( slrImpacts[[#Headers],[row_id]] )</f>
        <v>236</v>
      </c>
      <c r="B237" s="104">
        <v>2033</v>
      </c>
      <c r="C237" s="104" t="s">
        <v>86</v>
      </c>
      <c r="D237" s="104" t="s">
        <v>208</v>
      </c>
      <c r="E237" s="104" t="s">
        <v>922</v>
      </c>
      <c r="F237" s="104"/>
      <c r="G237" s="105">
        <v>0</v>
      </c>
      <c r="H237" s="105">
        <v>0</v>
      </c>
      <c r="I237" s="105">
        <v>0</v>
      </c>
      <c r="J237" s="105">
        <v>0</v>
      </c>
      <c r="K237" s="105">
        <v>0</v>
      </c>
      <c r="L237" s="105">
        <v>0</v>
      </c>
      <c r="M237" s="106">
        <v>877080543.92357469</v>
      </c>
      <c r="N237" s="106">
        <v>918658398.44549572</v>
      </c>
      <c r="O237" s="106">
        <v>1153069835.8190424</v>
      </c>
      <c r="P237" s="106">
        <v>1236265761.8503633</v>
      </c>
      <c r="Q237" s="106">
        <v>1484026782.4145503</v>
      </c>
      <c r="R237" s="106">
        <v>1540979415.5566218</v>
      </c>
      <c r="S237" s="105">
        <v>0</v>
      </c>
      <c r="T237" s="105">
        <v>0</v>
      </c>
      <c r="U237" s="105">
        <v>0</v>
      </c>
      <c r="V237" s="105">
        <v>0</v>
      </c>
      <c r="W237" s="105">
        <v>0</v>
      </c>
      <c r="X237" s="105">
        <v>0</v>
      </c>
      <c r="Y237" s="106">
        <v>97045879.639326617</v>
      </c>
      <c r="Z237" s="106">
        <v>100630589.96160983</v>
      </c>
      <c r="AA237" s="106">
        <v>109172620.03635715</v>
      </c>
      <c r="AB237" s="108">
        <v>111998308.52910666</v>
      </c>
      <c r="AC237" s="108">
        <v>137146046.5953106</v>
      </c>
      <c r="AD237" s="108">
        <v>149088542.38008481</v>
      </c>
      <c r="AE237" s="108">
        <v>2332256776.6841431</v>
      </c>
      <c r="AF237" s="108">
        <v>2479669235.2482772</v>
      </c>
      <c r="AG237" s="108">
        <v>2892740423.7815776</v>
      </c>
      <c r="AH237" s="108">
        <v>3577547725.2693543</v>
      </c>
      <c r="AI237" s="108">
        <v>4207765688.4162889</v>
      </c>
      <c r="AJ237" s="108">
        <v>4412059165.0502691</v>
      </c>
      <c r="AK237" s="108">
        <v>153611927.61823609</v>
      </c>
      <c r="AL237" s="108">
        <v>168327535.92043689</v>
      </c>
      <c r="AM237" s="108">
        <v>203266905.69867158</v>
      </c>
      <c r="AN237" s="108">
        <v>253475628.87887451</v>
      </c>
      <c r="AO237" s="108">
        <v>380120766.31483459</v>
      </c>
      <c r="AP237" s="108">
        <v>447117148.21610582</v>
      </c>
      <c r="AQ237" s="108">
        <v>265237189.53662199</v>
      </c>
      <c r="AR237" s="108">
        <v>298340138.87697983</v>
      </c>
      <c r="AS237" s="108">
        <v>361585798.60610431</v>
      </c>
      <c r="AT237" s="108">
        <v>410320937.02526712</v>
      </c>
      <c r="AU237" s="108">
        <v>479047741.45104444</v>
      </c>
      <c r="AV237" s="108">
        <v>502583252.11819261</v>
      </c>
    </row>
    <row r="238" spans="1:48" x14ac:dyDescent="0.35">
      <c r="A238" s="107">
        <f xml:space="preserve"> ROW( slrImpacts[[#This Row],[row_id]] ) - ROW( slrImpacts[[#Headers],[row_id]] )</f>
        <v>237</v>
      </c>
      <c r="B238" s="104">
        <v>2034</v>
      </c>
      <c r="C238" s="104" t="s">
        <v>86</v>
      </c>
      <c r="D238" s="104" t="s">
        <v>208</v>
      </c>
      <c r="E238" s="104" t="s">
        <v>922</v>
      </c>
      <c r="F238" s="104"/>
      <c r="G238" s="105">
        <v>0</v>
      </c>
      <c r="H238" s="105">
        <v>0</v>
      </c>
      <c r="I238" s="105">
        <v>0</v>
      </c>
      <c r="J238" s="105">
        <v>0</v>
      </c>
      <c r="K238" s="105">
        <v>0</v>
      </c>
      <c r="L238" s="105">
        <v>0</v>
      </c>
      <c r="M238" s="106">
        <v>882823766.76447368</v>
      </c>
      <c r="N238" s="106">
        <v>925689956.93090367</v>
      </c>
      <c r="O238" s="106">
        <v>1184453809.5036149</v>
      </c>
      <c r="P238" s="106">
        <v>1248435311.7533162</v>
      </c>
      <c r="Q238" s="106">
        <v>1503601666.322015</v>
      </c>
      <c r="R238" s="106">
        <v>1563716002.1838651</v>
      </c>
      <c r="S238" s="105">
        <v>0</v>
      </c>
      <c r="T238" s="105">
        <v>0</v>
      </c>
      <c r="U238" s="105">
        <v>0</v>
      </c>
      <c r="V238" s="105">
        <v>0</v>
      </c>
      <c r="W238" s="105">
        <v>0</v>
      </c>
      <c r="X238" s="105">
        <v>0</v>
      </c>
      <c r="Y238" s="106">
        <v>97395775.035643712</v>
      </c>
      <c r="Z238" s="106">
        <v>100994825.29183586</v>
      </c>
      <c r="AA238" s="106">
        <v>110009042.38270819</v>
      </c>
      <c r="AB238" s="108">
        <v>113211207.69483858</v>
      </c>
      <c r="AC238" s="108">
        <v>140573875.18701133</v>
      </c>
      <c r="AD238" s="108">
        <v>152661360.92842451</v>
      </c>
      <c r="AE238" s="108">
        <v>2356436053.1102691</v>
      </c>
      <c r="AF238" s="108">
        <v>2509446370.891171</v>
      </c>
      <c r="AG238" s="108">
        <v>2971955860.1940575</v>
      </c>
      <c r="AH238" s="108">
        <v>3676338227.5476608</v>
      </c>
      <c r="AI238" s="108">
        <v>4268701744.9230671</v>
      </c>
      <c r="AJ238" s="108">
        <v>4477847488.5978918</v>
      </c>
      <c r="AK238" s="108">
        <v>155124792.90322557</v>
      </c>
      <c r="AL238" s="108">
        <v>170330248.18414998</v>
      </c>
      <c r="AM238" s="108">
        <v>206795842.37442535</v>
      </c>
      <c r="AN238" s="108">
        <v>272772917.45846736</v>
      </c>
      <c r="AO238" s="108">
        <v>401925841.96786124</v>
      </c>
      <c r="AP238" s="108">
        <v>470517768.9848305</v>
      </c>
      <c r="AQ238" s="108">
        <v>272087607.18344688</v>
      </c>
      <c r="AR238" s="108">
        <v>306569583.67271996</v>
      </c>
      <c r="AS238" s="108">
        <v>371603003.85127312</v>
      </c>
      <c r="AT238" s="108">
        <v>419861258.28559518</v>
      </c>
      <c r="AU238" s="108">
        <v>488556264.87753701</v>
      </c>
      <c r="AV238" s="108">
        <v>513640235.00926071</v>
      </c>
    </row>
    <row r="239" spans="1:48" x14ac:dyDescent="0.35">
      <c r="A239" s="107">
        <f xml:space="preserve"> ROW( slrImpacts[[#This Row],[row_id]] ) - ROW( slrImpacts[[#Headers],[row_id]] )</f>
        <v>238</v>
      </c>
      <c r="B239" s="104">
        <v>2035</v>
      </c>
      <c r="C239" s="104" t="s">
        <v>86</v>
      </c>
      <c r="D239" s="104" t="s">
        <v>208</v>
      </c>
      <c r="E239" s="104" t="s">
        <v>922</v>
      </c>
      <c r="F239" s="104"/>
      <c r="G239" s="105">
        <v>0</v>
      </c>
      <c r="H239" s="105">
        <v>0</v>
      </c>
      <c r="I239" s="105">
        <v>0</v>
      </c>
      <c r="J239" s="105">
        <v>0</v>
      </c>
      <c r="K239" s="105">
        <v>0</v>
      </c>
      <c r="L239" s="105">
        <v>0</v>
      </c>
      <c r="M239" s="106">
        <v>892358866.70251942</v>
      </c>
      <c r="N239" s="106">
        <v>937644888.4446671</v>
      </c>
      <c r="O239" s="106">
        <v>1225756966.9458942</v>
      </c>
      <c r="P239" s="106">
        <v>1272669130.6954527</v>
      </c>
      <c r="Q239" s="106">
        <v>1543198713.3601677</v>
      </c>
      <c r="R239" s="106">
        <v>1611200998.8667667</v>
      </c>
      <c r="S239" s="105">
        <v>0</v>
      </c>
      <c r="T239" s="105">
        <v>0</v>
      </c>
      <c r="U239" s="105">
        <v>0</v>
      </c>
      <c r="V239" s="105">
        <v>0</v>
      </c>
      <c r="W239" s="105">
        <v>0</v>
      </c>
      <c r="X239" s="105">
        <v>0</v>
      </c>
      <c r="Y239" s="106">
        <v>97839235.628881291</v>
      </c>
      <c r="Z239" s="106">
        <v>101591315.68543808</v>
      </c>
      <c r="AA239" s="106">
        <v>111393784.60733095</v>
      </c>
      <c r="AB239" s="108">
        <v>115155904.61734959</v>
      </c>
      <c r="AC239" s="108">
        <v>144986157.06482682</v>
      </c>
      <c r="AD239" s="108">
        <v>157701060.46061561</v>
      </c>
      <c r="AE239" s="108">
        <v>2389306340.0215039</v>
      </c>
      <c r="AF239" s="108">
        <v>2546505409.9995193</v>
      </c>
      <c r="AG239" s="108">
        <v>3084681533.4141359</v>
      </c>
      <c r="AH239" s="108">
        <v>3792124318.6406951</v>
      </c>
      <c r="AI239" s="108">
        <v>4365292206.7463188</v>
      </c>
      <c r="AJ239" s="108">
        <v>4593039371.8406916</v>
      </c>
      <c r="AK239" s="108">
        <v>158055194.52825794</v>
      </c>
      <c r="AL239" s="108">
        <v>174404602.13797995</v>
      </c>
      <c r="AM239" s="108">
        <v>214291687.95410797</v>
      </c>
      <c r="AN239" s="108">
        <v>298881311.13803965</v>
      </c>
      <c r="AO239" s="108">
        <v>432203962.11743617</v>
      </c>
      <c r="AP239" s="108">
        <v>503044173.62514925</v>
      </c>
      <c r="AQ239" s="108">
        <v>280457624.057926</v>
      </c>
      <c r="AR239" s="108">
        <v>316174456.2667107</v>
      </c>
      <c r="AS239" s="108">
        <v>384064670.46588945</v>
      </c>
      <c r="AT239" s="108">
        <v>433702067.7299186</v>
      </c>
      <c r="AU239" s="108">
        <v>501914321.12795377</v>
      </c>
      <c r="AV239" s="108">
        <v>528955614.17534423</v>
      </c>
    </row>
    <row r="240" spans="1:48" x14ac:dyDescent="0.35">
      <c r="A240" s="107">
        <f xml:space="preserve"> ROW( slrImpacts[[#This Row],[row_id]] ) - ROW( slrImpacts[[#Headers],[row_id]] )</f>
        <v>239</v>
      </c>
      <c r="B240" s="104">
        <v>2036</v>
      </c>
      <c r="C240" s="104" t="s">
        <v>86</v>
      </c>
      <c r="D240" s="104" t="s">
        <v>208</v>
      </c>
      <c r="E240" s="104" t="s">
        <v>922</v>
      </c>
      <c r="F240" s="104"/>
      <c r="G240" s="105">
        <v>0</v>
      </c>
      <c r="H240" s="105">
        <v>0</v>
      </c>
      <c r="I240" s="105">
        <v>0</v>
      </c>
      <c r="J240" s="105">
        <v>0</v>
      </c>
      <c r="K240" s="105">
        <v>0</v>
      </c>
      <c r="L240" s="105">
        <v>0</v>
      </c>
      <c r="M240" s="106">
        <v>898011882.03127337</v>
      </c>
      <c r="N240" s="106">
        <v>944802716.88704121</v>
      </c>
      <c r="O240" s="106">
        <v>1259489678.8264222</v>
      </c>
      <c r="P240" s="106">
        <v>1287868773.7898495</v>
      </c>
      <c r="Q240" s="106">
        <v>1568734926.7213044</v>
      </c>
      <c r="R240" s="106">
        <v>1642066440.3098047</v>
      </c>
      <c r="S240" s="105">
        <v>0</v>
      </c>
      <c r="T240" s="105">
        <v>0</v>
      </c>
      <c r="U240" s="105">
        <v>0</v>
      </c>
      <c r="V240" s="105">
        <v>0</v>
      </c>
      <c r="W240" s="105">
        <v>0</v>
      </c>
      <c r="X240" s="105">
        <v>0</v>
      </c>
      <c r="Y240" s="106">
        <v>98187504.153765693</v>
      </c>
      <c r="Z240" s="106">
        <v>102096103.30973573</v>
      </c>
      <c r="AA240" s="106">
        <v>112351811.27372585</v>
      </c>
      <c r="AB240" s="108">
        <v>116602211.77802755</v>
      </c>
      <c r="AC240" s="108">
        <v>148150993.36788723</v>
      </c>
      <c r="AD240" s="108">
        <v>161593205.22615641</v>
      </c>
      <c r="AE240" s="108">
        <v>2410916055.563252</v>
      </c>
      <c r="AF240" s="108">
        <v>2571850485.8507566</v>
      </c>
      <c r="AG240" s="108">
        <v>3189492710.09588</v>
      </c>
      <c r="AH240" s="108">
        <v>3876127418.5381017</v>
      </c>
      <c r="AI240" s="108">
        <v>4431800062.8962975</v>
      </c>
      <c r="AJ240" s="108">
        <v>4670996058.0990963</v>
      </c>
      <c r="AK240" s="108">
        <v>159683037.92081493</v>
      </c>
      <c r="AL240" s="108">
        <v>176790236.14926776</v>
      </c>
      <c r="AM240" s="108">
        <v>218739899.92688492</v>
      </c>
      <c r="AN240" s="108">
        <v>320140191.50090021</v>
      </c>
      <c r="AO240" s="108">
        <v>455152145.46861058</v>
      </c>
      <c r="AP240" s="108">
        <v>521007198.61506277</v>
      </c>
      <c r="AQ240" s="108">
        <v>286402586.53393894</v>
      </c>
      <c r="AR240" s="108">
        <v>323308358.7361902</v>
      </c>
      <c r="AS240" s="108">
        <v>394219272.48065042</v>
      </c>
      <c r="AT240" s="108">
        <v>444486918.79068387</v>
      </c>
      <c r="AU240" s="108">
        <v>511837522.19576842</v>
      </c>
      <c r="AV240" s="108">
        <v>540220222.57646358</v>
      </c>
    </row>
    <row r="241" spans="1:48" x14ac:dyDescent="0.35">
      <c r="A241" s="107">
        <f xml:space="preserve"> ROW( slrImpacts[[#This Row],[row_id]] ) - ROW( slrImpacts[[#Headers],[row_id]] )</f>
        <v>240</v>
      </c>
      <c r="B241" s="104">
        <v>2037</v>
      </c>
      <c r="C241" s="104" t="s">
        <v>86</v>
      </c>
      <c r="D241" s="104" t="s">
        <v>208</v>
      </c>
      <c r="E241" s="104" t="s">
        <v>922</v>
      </c>
      <c r="F241" s="104"/>
      <c r="G241" s="105">
        <v>0</v>
      </c>
      <c r="H241" s="105">
        <v>0</v>
      </c>
      <c r="I241" s="105">
        <v>0</v>
      </c>
      <c r="J241" s="105">
        <v>0</v>
      </c>
      <c r="K241" s="105">
        <v>0</v>
      </c>
      <c r="L241" s="105">
        <v>0</v>
      </c>
      <c r="M241" s="106">
        <v>903664897.36002779</v>
      </c>
      <c r="N241" s="106">
        <v>951960545.32941449</v>
      </c>
      <c r="O241" s="106">
        <v>1292379176.721055</v>
      </c>
      <c r="P241" s="106">
        <v>1303068416.8842471</v>
      </c>
      <c r="Q241" s="106">
        <v>1594295151.2361178</v>
      </c>
      <c r="R241" s="106">
        <v>1672948548.8666482</v>
      </c>
      <c r="S241" s="105">
        <v>0</v>
      </c>
      <c r="T241" s="105">
        <v>0</v>
      </c>
      <c r="U241" s="105">
        <v>0</v>
      </c>
      <c r="V241" s="105">
        <v>0</v>
      </c>
      <c r="W241" s="105">
        <v>0</v>
      </c>
      <c r="X241" s="105">
        <v>0</v>
      </c>
      <c r="Y241" s="106">
        <v>98535772.678650126</v>
      </c>
      <c r="Z241" s="106">
        <v>102600890.93403336</v>
      </c>
      <c r="AA241" s="106">
        <v>113309837.94012074</v>
      </c>
      <c r="AB241" s="108">
        <v>118732888.29113422</v>
      </c>
      <c r="AC241" s="108">
        <v>151315829.67094767</v>
      </c>
      <c r="AD241" s="108">
        <v>165107016.44377342</v>
      </c>
      <c r="AE241" s="108">
        <v>2433371457.85918</v>
      </c>
      <c r="AF241" s="108">
        <v>2597195561.7019973</v>
      </c>
      <c r="AG241" s="108">
        <v>3294658977.9425263</v>
      </c>
      <c r="AH241" s="108">
        <v>3942000471.2862206</v>
      </c>
      <c r="AI241" s="108">
        <v>4498307919.0462799</v>
      </c>
      <c r="AJ241" s="108">
        <v>4749151810.3990059</v>
      </c>
      <c r="AK241" s="108">
        <v>161310881.31337196</v>
      </c>
      <c r="AL241" s="108">
        <v>179175870.16055566</v>
      </c>
      <c r="AM241" s="108">
        <v>223189422.54879799</v>
      </c>
      <c r="AN241" s="108">
        <v>341399071.86376095</v>
      </c>
      <c r="AO241" s="108">
        <v>478105422.88634402</v>
      </c>
      <c r="AP241" s="108">
        <v>532011616.0164777</v>
      </c>
      <c r="AQ241" s="108">
        <v>292347549.00995171</v>
      </c>
      <c r="AR241" s="108">
        <v>330442261.20566976</v>
      </c>
      <c r="AS241" s="108">
        <v>404373874.4954114</v>
      </c>
      <c r="AT241" s="108">
        <v>452951920.88055837</v>
      </c>
      <c r="AU241" s="108">
        <v>521760723.26358306</v>
      </c>
      <c r="AV241" s="108">
        <v>551484830.97758293</v>
      </c>
    </row>
    <row r="242" spans="1:48" x14ac:dyDescent="0.35">
      <c r="A242" s="107">
        <f xml:space="preserve"> ROW( slrImpacts[[#This Row],[row_id]] ) - ROW( slrImpacts[[#Headers],[row_id]] )</f>
        <v>241</v>
      </c>
      <c r="B242" s="104">
        <v>2038</v>
      </c>
      <c r="C242" s="104" t="s">
        <v>86</v>
      </c>
      <c r="D242" s="104" t="s">
        <v>208</v>
      </c>
      <c r="E242" s="104" t="s">
        <v>922</v>
      </c>
      <c r="F242" s="104"/>
      <c r="G242" s="105">
        <v>0</v>
      </c>
      <c r="H242" s="105">
        <v>0</v>
      </c>
      <c r="I242" s="105">
        <v>0</v>
      </c>
      <c r="J242" s="105">
        <v>0</v>
      </c>
      <c r="K242" s="105">
        <v>0</v>
      </c>
      <c r="L242" s="105">
        <v>0</v>
      </c>
      <c r="M242" s="106">
        <v>909317912.68878102</v>
      </c>
      <c r="N242" s="106">
        <v>959118373.77178741</v>
      </c>
      <c r="O242" s="106">
        <v>1319809527.9922841</v>
      </c>
      <c r="P242" s="106">
        <v>1318268059.9786448</v>
      </c>
      <c r="Q242" s="106">
        <v>1619879758.2295678</v>
      </c>
      <c r="R242" s="106">
        <v>1703853283.6630406</v>
      </c>
      <c r="S242" s="105">
        <v>0</v>
      </c>
      <c r="T242" s="105">
        <v>0</v>
      </c>
      <c r="U242" s="105">
        <v>0</v>
      </c>
      <c r="V242" s="105">
        <v>0</v>
      </c>
      <c r="W242" s="105">
        <v>0</v>
      </c>
      <c r="X242" s="105">
        <v>0</v>
      </c>
      <c r="Y242" s="106">
        <v>98884041.203534529</v>
      </c>
      <c r="Z242" s="106">
        <v>103105678.55833094</v>
      </c>
      <c r="AA242" s="106">
        <v>114267864.60651566</v>
      </c>
      <c r="AB242" s="108">
        <v>121374717.96731858</v>
      </c>
      <c r="AC242" s="108">
        <v>154480665.97400799</v>
      </c>
      <c r="AD242" s="108">
        <v>167618181.07227656</v>
      </c>
      <c r="AE242" s="108">
        <v>2458068070.1778374</v>
      </c>
      <c r="AF242" s="108">
        <v>2622540637.5532336</v>
      </c>
      <c r="AG242" s="108">
        <v>3400397622.5019393</v>
      </c>
      <c r="AH242" s="108">
        <v>3998893170.2389469</v>
      </c>
      <c r="AI242" s="108">
        <v>4564815775.1962557</v>
      </c>
      <c r="AJ242" s="108">
        <v>4827553266.1336384</v>
      </c>
      <c r="AK242" s="108">
        <v>162938724.70592889</v>
      </c>
      <c r="AL242" s="108">
        <v>181561504.17184344</v>
      </c>
      <c r="AM242" s="108">
        <v>227638945.17071113</v>
      </c>
      <c r="AN242" s="108">
        <v>362657952.22662157</v>
      </c>
      <c r="AO242" s="108">
        <v>497383078.77531153</v>
      </c>
      <c r="AP242" s="108">
        <v>543031241.35257828</v>
      </c>
      <c r="AQ242" s="108">
        <v>298292511.48596448</v>
      </c>
      <c r="AR242" s="108">
        <v>337576163.67514932</v>
      </c>
      <c r="AS242" s="108">
        <v>414528476.51017249</v>
      </c>
      <c r="AT242" s="108">
        <v>461416922.97043312</v>
      </c>
      <c r="AU242" s="108">
        <v>531683924.33139795</v>
      </c>
      <c r="AV242" s="108">
        <v>562749439.37870228</v>
      </c>
    </row>
    <row r="243" spans="1:48" x14ac:dyDescent="0.35">
      <c r="A243" s="107">
        <f xml:space="preserve"> ROW( slrImpacts[[#This Row],[row_id]] ) - ROW( slrImpacts[[#Headers],[row_id]] )</f>
        <v>242</v>
      </c>
      <c r="B243" s="104">
        <v>2039</v>
      </c>
      <c r="C243" s="104" t="s">
        <v>86</v>
      </c>
      <c r="D243" s="104" t="s">
        <v>208</v>
      </c>
      <c r="E243" s="104" t="s">
        <v>922</v>
      </c>
      <c r="F243" s="104"/>
      <c r="G243" s="105">
        <v>0</v>
      </c>
      <c r="H243" s="105">
        <v>0</v>
      </c>
      <c r="I243" s="105">
        <v>0</v>
      </c>
      <c r="J243" s="105">
        <v>0</v>
      </c>
      <c r="K243" s="105">
        <v>0</v>
      </c>
      <c r="L243" s="105">
        <v>0</v>
      </c>
      <c r="M243" s="106">
        <v>914970928.01753533</v>
      </c>
      <c r="N243" s="106">
        <v>967072433.6026026</v>
      </c>
      <c r="O243" s="106">
        <v>1337529773.0329494</v>
      </c>
      <c r="P243" s="106">
        <v>1333467703.0730424</v>
      </c>
      <c r="Q243" s="106">
        <v>1645484667.224263</v>
      </c>
      <c r="R243" s="106">
        <v>1734781238.8189178</v>
      </c>
      <c r="S243" s="105">
        <v>0</v>
      </c>
      <c r="T243" s="105">
        <v>0</v>
      </c>
      <c r="U243" s="105">
        <v>0</v>
      </c>
      <c r="V243" s="105">
        <v>0</v>
      </c>
      <c r="W243" s="105">
        <v>0</v>
      </c>
      <c r="X243" s="105">
        <v>0</v>
      </c>
      <c r="Y243" s="106">
        <v>99232309.728418931</v>
      </c>
      <c r="Z243" s="106">
        <v>103610466.18262856</v>
      </c>
      <c r="AA243" s="106">
        <v>115225891.27291055</v>
      </c>
      <c r="AB243" s="108">
        <v>124016547.64350286</v>
      </c>
      <c r="AC243" s="108">
        <v>157645502.27706829</v>
      </c>
      <c r="AD243" s="108">
        <v>170131818.46906692</v>
      </c>
      <c r="AE243" s="108">
        <v>2482764682.4964938</v>
      </c>
      <c r="AF243" s="108">
        <v>2647885713.4044757</v>
      </c>
      <c r="AG243" s="108">
        <v>3505343324.3340173</v>
      </c>
      <c r="AH243" s="108">
        <v>4051816283.7679591</v>
      </c>
      <c r="AI243" s="108">
        <v>4631385450.5534124</v>
      </c>
      <c r="AJ243" s="108">
        <v>4906326566.7035627</v>
      </c>
      <c r="AK243" s="108">
        <v>164566568.09848595</v>
      </c>
      <c r="AL243" s="108">
        <v>183947138.18313134</v>
      </c>
      <c r="AM243" s="108">
        <v>232090940.5609113</v>
      </c>
      <c r="AN243" s="108">
        <v>383916832.58948237</v>
      </c>
      <c r="AO243" s="108">
        <v>506819100.5192585</v>
      </c>
      <c r="AP243" s="108">
        <v>554066223.15334892</v>
      </c>
      <c r="AQ243" s="108">
        <v>304237473.96197736</v>
      </c>
      <c r="AR243" s="108">
        <v>344101765.14600599</v>
      </c>
      <c r="AS243" s="108">
        <v>424683078.52493352</v>
      </c>
      <c r="AT243" s="108">
        <v>469881925.06030762</v>
      </c>
      <c r="AU243" s="108">
        <v>541607125.39921236</v>
      </c>
      <c r="AV243" s="108">
        <v>574014047.77982128</v>
      </c>
    </row>
    <row r="244" spans="1:48" x14ac:dyDescent="0.35">
      <c r="A244" s="107">
        <f xml:space="preserve"> ROW( slrImpacts[[#This Row],[row_id]] ) - ROW( slrImpacts[[#Headers],[row_id]] )</f>
        <v>243</v>
      </c>
      <c r="B244" s="104">
        <v>2040</v>
      </c>
      <c r="C244" s="104" t="s">
        <v>86</v>
      </c>
      <c r="D244" s="104" t="s">
        <v>208</v>
      </c>
      <c r="E244" s="104" t="s">
        <v>922</v>
      </c>
      <c r="F244" s="104"/>
      <c r="G244" s="105">
        <v>0</v>
      </c>
      <c r="H244" s="105">
        <v>0</v>
      </c>
      <c r="I244" s="105">
        <v>0</v>
      </c>
      <c r="J244" s="105">
        <v>0</v>
      </c>
      <c r="K244" s="105">
        <v>0</v>
      </c>
      <c r="L244" s="105">
        <v>0</v>
      </c>
      <c r="M244" s="106">
        <v>921568171.71570146</v>
      </c>
      <c r="N244" s="106">
        <v>978826044.08107424</v>
      </c>
      <c r="O244" s="106">
        <v>1353970223.5789368</v>
      </c>
      <c r="P244" s="106">
        <v>1350141038.2551932</v>
      </c>
      <c r="Q244" s="106">
        <v>1673484091.1525164</v>
      </c>
      <c r="R244" s="106">
        <v>1768068139.3180346</v>
      </c>
      <c r="S244" s="105">
        <v>0</v>
      </c>
      <c r="T244" s="105">
        <v>0</v>
      </c>
      <c r="U244" s="105">
        <v>0</v>
      </c>
      <c r="V244" s="105">
        <v>0</v>
      </c>
      <c r="W244" s="105">
        <v>0</v>
      </c>
      <c r="X244" s="105">
        <v>0</v>
      </c>
      <c r="Y244" s="106">
        <v>99674543.448212549</v>
      </c>
      <c r="Z244" s="106">
        <v>104240128.6054239</v>
      </c>
      <c r="AA244" s="106">
        <v>116406175.78023697</v>
      </c>
      <c r="AB244" s="108">
        <v>127014455.95302734</v>
      </c>
      <c r="AC244" s="108">
        <v>161135216.30497423</v>
      </c>
      <c r="AD244" s="108">
        <v>173126266.52277416</v>
      </c>
      <c r="AE244" s="108">
        <v>2514446143.0329323</v>
      </c>
      <c r="AF244" s="108">
        <v>2683465359.8011904</v>
      </c>
      <c r="AG244" s="108">
        <v>3621114748.6511045</v>
      </c>
      <c r="AH244" s="108">
        <v>4110262560.5421505</v>
      </c>
      <c r="AI244" s="108">
        <v>4709998159.3145342</v>
      </c>
      <c r="AJ244" s="108">
        <v>4997162734.27841</v>
      </c>
      <c r="AK244" s="108">
        <v>166330264.7709648</v>
      </c>
      <c r="AL244" s="108">
        <v>186510008.76089019</v>
      </c>
      <c r="AM244" s="108">
        <v>236819231.77905092</v>
      </c>
      <c r="AN244" s="108">
        <v>405434842.17719394</v>
      </c>
      <c r="AO244" s="108">
        <v>516290609.16351753</v>
      </c>
      <c r="AP244" s="108">
        <v>565356989.70467365</v>
      </c>
      <c r="AQ244" s="108">
        <v>312000606.18687129</v>
      </c>
      <c r="AR244" s="108">
        <v>350518969.36877072</v>
      </c>
      <c r="AS244" s="108">
        <v>436877596.68421406</v>
      </c>
      <c r="AT244" s="108">
        <v>480705183.27623379</v>
      </c>
      <c r="AU244" s="108">
        <v>554475573.75635529</v>
      </c>
      <c r="AV244" s="108">
        <v>588702895.57911277</v>
      </c>
    </row>
    <row r="245" spans="1:48" x14ac:dyDescent="0.35">
      <c r="A245" s="107">
        <f xml:space="preserve"> ROW( slrImpacts[[#This Row],[row_id]] ) - ROW( slrImpacts[[#Headers],[row_id]] )</f>
        <v>244</v>
      </c>
      <c r="B245" s="104">
        <v>2041</v>
      </c>
      <c r="C245" s="104" t="s">
        <v>86</v>
      </c>
      <c r="D245" s="104" t="s">
        <v>208</v>
      </c>
      <c r="E245" s="104" t="s">
        <v>922</v>
      </c>
      <c r="F245" s="104"/>
      <c r="G245" s="105">
        <v>0</v>
      </c>
      <c r="H245" s="105">
        <v>0</v>
      </c>
      <c r="I245" s="105">
        <v>0</v>
      </c>
      <c r="J245" s="105">
        <v>0</v>
      </c>
      <c r="K245" s="105">
        <v>0</v>
      </c>
      <c r="L245" s="105">
        <v>0</v>
      </c>
      <c r="M245" s="106">
        <v>928220446.21923184</v>
      </c>
      <c r="N245" s="106">
        <v>994930392.61073446</v>
      </c>
      <c r="O245" s="106">
        <v>1370232348.217505</v>
      </c>
      <c r="P245" s="106">
        <v>1366808829.5191281</v>
      </c>
      <c r="Q245" s="106">
        <v>1701246334.9464934</v>
      </c>
      <c r="R245" s="106">
        <v>1800837097.4419756</v>
      </c>
      <c r="S245" s="105">
        <v>0</v>
      </c>
      <c r="T245" s="105">
        <v>0</v>
      </c>
      <c r="U245" s="105">
        <v>0</v>
      </c>
      <c r="V245" s="105">
        <v>0</v>
      </c>
      <c r="W245" s="105">
        <v>0</v>
      </c>
      <c r="X245" s="105">
        <v>0</v>
      </c>
      <c r="Y245" s="106">
        <v>100092748.08799526</v>
      </c>
      <c r="Z245" s="106">
        <v>104869873.48760597</v>
      </c>
      <c r="AA245" s="106">
        <v>117619752.90744081</v>
      </c>
      <c r="AB245" s="108">
        <v>130130773.15341583</v>
      </c>
      <c r="AC245" s="108">
        <v>164090068.07507727</v>
      </c>
      <c r="AD245" s="108">
        <v>176118396.99502614</v>
      </c>
      <c r="AE245" s="108">
        <v>2546099893.3425016</v>
      </c>
      <c r="AF245" s="108">
        <v>2721982682.9811883</v>
      </c>
      <c r="AG245" s="108">
        <v>3733410326.6775966</v>
      </c>
      <c r="AH245" s="108">
        <v>4165376643.4274735</v>
      </c>
      <c r="AI245" s="108">
        <v>4786198674.0489607</v>
      </c>
      <c r="AJ245" s="108">
        <v>5085437364.3284121</v>
      </c>
      <c r="AK245" s="108">
        <v>168112943.72475389</v>
      </c>
      <c r="AL245" s="108">
        <v>189079921.790829</v>
      </c>
      <c r="AM245" s="108">
        <v>243330640.07195532</v>
      </c>
      <c r="AN245" s="108">
        <v>426883996.65743643</v>
      </c>
      <c r="AO245" s="108">
        <v>525683951.13649821</v>
      </c>
      <c r="AP245" s="108">
        <v>576505313.87772393</v>
      </c>
      <c r="AQ245" s="108">
        <v>320345214.66276896</v>
      </c>
      <c r="AR245" s="108">
        <v>356541034.98468661</v>
      </c>
      <c r="AS245" s="108">
        <v>448625438.06114262</v>
      </c>
      <c r="AT245" s="108">
        <v>491620915.98032194</v>
      </c>
      <c r="AU245" s="108">
        <v>567110606.42005289</v>
      </c>
      <c r="AV245" s="108">
        <v>603204838.70740926</v>
      </c>
    </row>
    <row r="246" spans="1:48" x14ac:dyDescent="0.35">
      <c r="A246" s="107">
        <f xml:space="preserve"> ROW( slrImpacts[[#This Row],[row_id]] ) - ROW( slrImpacts[[#Headers],[row_id]] )</f>
        <v>245</v>
      </c>
      <c r="B246" s="104">
        <v>2042</v>
      </c>
      <c r="C246" s="104" t="s">
        <v>86</v>
      </c>
      <c r="D246" s="104" t="s">
        <v>208</v>
      </c>
      <c r="E246" s="104" t="s">
        <v>922</v>
      </c>
      <c r="F246" s="104"/>
      <c r="G246" s="105">
        <v>0</v>
      </c>
      <c r="H246" s="105">
        <v>0</v>
      </c>
      <c r="I246" s="105">
        <v>0</v>
      </c>
      <c r="J246" s="105">
        <v>0</v>
      </c>
      <c r="K246" s="105">
        <v>0</v>
      </c>
      <c r="L246" s="105">
        <v>0</v>
      </c>
      <c r="M246" s="106">
        <v>933925121.39736557</v>
      </c>
      <c r="N246" s="106">
        <v>1017539109.186287</v>
      </c>
      <c r="O246" s="106">
        <v>1383818127.3201649</v>
      </c>
      <c r="P246" s="106">
        <v>1381881412.2544506</v>
      </c>
      <c r="Q246" s="106">
        <v>1726246298.3607874</v>
      </c>
      <c r="R246" s="106">
        <v>1830617006.7649612</v>
      </c>
      <c r="S246" s="105">
        <v>0</v>
      </c>
      <c r="T246" s="105">
        <v>0</v>
      </c>
      <c r="U246" s="105">
        <v>0</v>
      </c>
      <c r="V246" s="105">
        <v>0</v>
      </c>
      <c r="W246" s="105">
        <v>0</v>
      </c>
      <c r="X246" s="105">
        <v>0</v>
      </c>
      <c r="Y246" s="106">
        <v>100379887.81416835</v>
      </c>
      <c r="Z246" s="106">
        <v>105359378.91222578</v>
      </c>
      <c r="AA246" s="106">
        <v>118623626.17286922</v>
      </c>
      <c r="AB246" s="108">
        <v>132977096.63176849</v>
      </c>
      <c r="AC246" s="108">
        <v>166123533.50250453</v>
      </c>
      <c r="AD246" s="108">
        <v>178573161.32147866</v>
      </c>
      <c r="AE246" s="108">
        <v>2571541166.746974</v>
      </c>
      <c r="AF246" s="108">
        <v>2753197069.1748605</v>
      </c>
      <c r="AG246" s="108">
        <v>3828624701.5819292</v>
      </c>
      <c r="AH246" s="108">
        <v>4209622823.6762824</v>
      </c>
      <c r="AI246" s="108">
        <v>4849041616.6903028</v>
      </c>
      <c r="AJ246" s="108">
        <v>5160443983.822156</v>
      </c>
      <c r="AK246" s="108">
        <v>169792081.39679146</v>
      </c>
      <c r="AL246" s="108">
        <v>191503042.1175251</v>
      </c>
      <c r="AM246" s="108">
        <v>256267885.53604555</v>
      </c>
      <c r="AN246" s="108">
        <v>448006799.50279129</v>
      </c>
      <c r="AO246" s="108">
        <v>534737834.98322994</v>
      </c>
      <c r="AP246" s="108">
        <v>587300999.168172</v>
      </c>
      <c r="AQ246" s="108">
        <v>327581013.96952927</v>
      </c>
      <c r="AR246" s="108">
        <v>360819937.24959433</v>
      </c>
      <c r="AS246" s="108">
        <v>457326173.84593183</v>
      </c>
      <c r="AT246" s="108">
        <v>500557568.4889046</v>
      </c>
      <c r="AU246" s="108">
        <v>576803231.77321434</v>
      </c>
      <c r="AV246" s="108">
        <v>614306957.97667205</v>
      </c>
    </row>
    <row r="247" spans="1:48" x14ac:dyDescent="0.35">
      <c r="A247" s="107">
        <f xml:space="preserve"> ROW( slrImpacts[[#This Row],[row_id]] ) - ROW( slrImpacts[[#Headers],[row_id]] )</f>
        <v>246</v>
      </c>
      <c r="B247" s="104">
        <v>2043</v>
      </c>
      <c r="C247" s="104" t="s">
        <v>86</v>
      </c>
      <c r="D247" s="104" t="s">
        <v>208</v>
      </c>
      <c r="E247" s="104" t="s">
        <v>922</v>
      </c>
      <c r="F247" s="104"/>
      <c r="G247" s="105">
        <v>0</v>
      </c>
      <c r="H247" s="105">
        <v>0</v>
      </c>
      <c r="I247" s="105">
        <v>0</v>
      </c>
      <c r="J247" s="105">
        <v>0</v>
      </c>
      <c r="K247" s="105">
        <v>0</v>
      </c>
      <c r="L247" s="105">
        <v>0</v>
      </c>
      <c r="M247" s="106">
        <v>939629796.57549882</v>
      </c>
      <c r="N247" s="106">
        <v>1040900322.7486163</v>
      </c>
      <c r="O247" s="106">
        <v>1397403906.4228237</v>
      </c>
      <c r="P247" s="106">
        <v>1396961561.8246174</v>
      </c>
      <c r="Q247" s="106">
        <v>1751265550.1871617</v>
      </c>
      <c r="R247" s="106">
        <v>1860533861.7651083</v>
      </c>
      <c r="S247" s="105">
        <v>0</v>
      </c>
      <c r="T247" s="105">
        <v>0</v>
      </c>
      <c r="U247" s="105">
        <v>0</v>
      </c>
      <c r="V247" s="105">
        <v>0</v>
      </c>
      <c r="W247" s="105">
        <v>0</v>
      </c>
      <c r="X247" s="105">
        <v>0</v>
      </c>
      <c r="Y247" s="106">
        <v>100667027.54034141</v>
      </c>
      <c r="Z247" s="106">
        <v>105848884.33684556</v>
      </c>
      <c r="AA247" s="106">
        <v>119627499.43829761</v>
      </c>
      <c r="AB247" s="108">
        <v>135823420.11012122</v>
      </c>
      <c r="AC247" s="108">
        <v>168156998.92993188</v>
      </c>
      <c r="AD247" s="108">
        <v>181029162.03207472</v>
      </c>
      <c r="AE247" s="108">
        <v>2596982440.1514449</v>
      </c>
      <c r="AF247" s="108">
        <v>2783565768.6143484</v>
      </c>
      <c r="AG247" s="108">
        <v>3914951137.5374293</v>
      </c>
      <c r="AH247" s="108">
        <v>4253869003.9250898</v>
      </c>
      <c r="AI247" s="108">
        <v>4912200417.5790501</v>
      </c>
      <c r="AJ247" s="108">
        <v>5236102376.9934416</v>
      </c>
      <c r="AK247" s="108">
        <v>171472455.4529725</v>
      </c>
      <c r="AL247" s="108">
        <v>193926162.44422111</v>
      </c>
      <c r="AM247" s="108">
        <v>274595682.36691517</v>
      </c>
      <c r="AN247" s="108">
        <v>467542085.1078378</v>
      </c>
      <c r="AO247" s="108">
        <v>543792955.21410525</v>
      </c>
      <c r="AP247" s="108">
        <v>598110581.74416935</v>
      </c>
      <c r="AQ247" s="108">
        <v>334816813.27628946</v>
      </c>
      <c r="AR247" s="108">
        <v>365098839.51450217</v>
      </c>
      <c r="AS247" s="108">
        <v>463707060.65983051</v>
      </c>
      <c r="AT247" s="108">
        <v>509494220.99748731</v>
      </c>
      <c r="AU247" s="108">
        <v>586495857.12637627</v>
      </c>
      <c r="AV247" s="108">
        <v>625409077.24593461</v>
      </c>
    </row>
    <row r="248" spans="1:48" x14ac:dyDescent="0.35">
      <c r="A248" s="107">
        <f xml:space="preserve"> ROW( slrImpacts[[#This Row],[row_id]] ) - ROW( slrImpacts[[#Headers],[row_id]] )</f>
        <v>247</v>
      </c>
      <c r="B248" s="104">
        <v>2044</v>
      </c>
      <c r="C248" s="104" t="s">
        <v>86</v>
      </c>
      <c r="D248" s="104" t="s">
        <v>208</v>
      </c>
      <c r="E248" s="104" t="s">
        <v>922</v>
      </c>
      <c r="F248" s="104"/>
      <c r="G248" s="105">
        <v>0</v>
      </c>
      <c r="H248" s="105">
        <v>0</v>
      </c>
      <c r="I248" s="105">
        <v>0</v>
      </c>
      <c r="J248" s="105">
        <v>0</v>
      </c>
      <c r="K248" s="105">
        <v>0</v>
      </c>
      <c r="L248" s="105">
        <v>0</v>
      </c>
      <c r="M248" s="106">
        <v>945334471.75363183</v>
      </c>
      <c r="N248" s="106">
        <v>1064831668.6851457</v>
      </c>
      <c r="O248" s="106">
        <v>1410989685.5254836</v>
      </c>
      <c r="P248" s="106">
        <v>1412049426.7596173</v>
      </c>
      <c r="Q248" s="106">
        <v>1776295064.4116473</v>
      </c>
      <c r="R248" s="106">
        <v>1890621442.2599828</v>
      </c>
      <c r="S248" s="105">
        <v>0</v>
      </c>
      <c r="T248" s="105">
        <v>0</v>
      </c>
      <c r="U248" s="105">
        <v>0</v>
      </c>
      <c r="V248" s="105">
        <v>0</v>
      </c>
      <c r="W248" s="105">
        <v>0</v>
      </c>
      <c r="X248" s="105">
        <v>0</v>
      </c>
      <c r="Y248" s="106">
        <v>100954167.26651451</v>
      </c>
      <c r="Z248" s="106">
        <v>106338389.76146528</v>
      </c>
      <c r="AA248" s="106">
        <v>120631372.70372599</v>
      </c>
      <c r="AB248" s="108">
        <v>138669743.58847389</v>
      </c>
      <c r="AC248" s="108">
        <v>170190464.35735917</v>
      </c>
      <c r="AD248" s="108">
        <v>183487709.77595043</v>
      </c>
      <c r="AE248" s="108">
        <v>2622423713.5559196</v>
      </c>
      <c r="AF248" s="108">
        <v>2811693258.0311117</v>
      </c>
      <c r="AG248" s="108">
        <v>3993459854.0820465</v>
      </c>
      <c r="AH248" s="108">
        <v>4298115184.1739016</v>
      </c>
      <c r="AI248" s="108">
        <v>4975733339.397131</v>
      </c>
      <c r="AJ248" s="108">
        <v>5312453248.2304869</v>
      </c>
      <c r="AK248" s="108">
        <v>173154140.15828964</v>
      </c>
      <c r="AL248" s="108">
        <v>196348046.38677365</v>
      </c>
      <c r="AM248" s="108">
        <v>292929809.64848745</v>
      </c>
      <c r="AN248" s="108">
        <v>480679314.28365821</v>
      </c>
      <c r="AO248" s="108">
        <v>552849386.09411669</v>
      </c>
      <c r="AP248" s="108">
        <v>608954066.54699028</v>
      </c>
      <c r="AQ248" s="108">
        <v>341444311.58442694</v>
      </c>
      <c r="AR248" s="108">
        <v>369377741.77941012</v>
      </c>
      <c r="AS248" s="108">
        <v>470087947.47372895</v>
      </c>
      <c r="AT248" s="108">
        <v>518430873.5060699</v>
      </c>
      <c r="AU248" s="108">
        <v>596188482.47953761</v>
      </c>
      <c r="AV248" s="108">
        <v>636511196.51519763</v>
      </c>
    </row>
    <row r="249" spans="1:48" x14ac:dyDescent="0.35">
      <c r="A249" s="107">
        <f xml:space="preserve"> ROW( slrImpacts[[#This Row],[row_id]] ) - ROW( slrImpacts[[#Headers],[row_id]] )</f>
        <v>248</v>
      </c>
      <c r="B249" s="104">
        <v>2045</v>
      </c>
      <c r="C249" s="104" t="s">
        <v>86</v>
      </c>
      <c r="D249" s="104" t="s">
        <v>208</v>
      </c>
      <c r="E249" s="104" t="s">
        <v>922</v>
      </c>
      <c r="F249" s="104"/>
      <c r="G249" s="105">
        <v>0</v>
      </c>
      <c r="H249" s="105">
        <v>0</v>
      </c>
      <c r="I249" s="105">
        <v>0</v>
      </c>
      <c r="J249" s="105">
        <v>0</v>
      </c>
      <c r="K249" s="105">
        <v>0</v>
      </c>
      <c r="L249" s="105">
        <v>0</v>
      </c>
      <c r="M249" s="106">
        <v>955141826.27353811</v>
      </c>
      <c r="N249" s="106">
        <v>1094475395.558589</v>
      </c>
      <c r="O249" s="106">
        <v>1434595655.4669957</v>
      </c>
      <c r="P249" s="106">
        <v>1442131041.9123039</v>
      </c>
      <c r="Q249" s="106">
        <v>1819921392.3185868</v>
      </c>
      <c r="R249" s="106">
        <v>1943281428.9037683</v>
      </c>
      <c r="S249" s="105">
        <v>0</v>
      </c>
      <c r="T249" s="105">
        <v>0</v>
      </c>
      <c r="U249" s="105">
        <v>0</v>
      </c>
      <c r="V249" s="105">
        <v>0</v>
      </c>
      <c r="W249" s="105">
        <v>0</v>
      </c>
      <c r="X249" s="105">
        <v>0</v>
      </c>
      <c r="Y249" s="106">
        <v>101380151.85657562</v>
      </c>
      <c r="Z249" s="106">
        <v>107027440.29428519</v>
      </c>
      <c r="AA249" s="106">
        <v>122110480.45899922</v>
      </c>
      <c r="AB249" s="108">
        <v>142633096.57273996</v>
      </c>
      <c r="AC249" s="108">
        <v>173385871.27435666</v>
      </c>
      <c r="AD249" s="108">
        <v>187638541.17894691</v>
      </c>
      <c r="AE249" s="108">
        <v>2652167322.7999592</v>
      </c>
      <c r="AF249" s="108">
        <v>2849374346.9546938</v>
      </c>
      <c r="AG249" s="108">
        <v>4080373982.6908975</v>
      </c>
      <c r="AH249" s="108">
        <v>4374230744.0921011</v>
      </c>
      <c r="AI249" s="108">
        <v>5095295936.8717518</v>
      </c>
      <c r="AJ249" s="108">
        <v>5464370581.0189085</v>
      </c>
      <c r="AK249" s="108">
        <v>176063080.30963111</v>
      </c>
      <c r="AL249" s="108">
        <v>200509863.04855031</v>
      </c>
      <c r="AM249" s="108">
        <v>315872855.98499525</v>
      </c>
      <c r="AN249" s="108">
        <v>494007425.52158195</v>
      </c>
      <c r="AO249" s="108">
        <v>571785979.71021211</v>
      </c>
      <c r="AP249" s="108">
        <v>632236955.73400354</v>
      </c>
      <c r="AQ249" s="108">
        <v>347465121.08235651</v>
      </c>
      <c r="AR249" s="108">
        <v>376047660.72964501</v>
      </c>
      <c r="AS249" s="108">
        <v>478933010.90245503</v>
      </c>
      <c r="AT249" s="108">
        <v>525399528.49009186</v>
      </c>
      <c r="AU249" s="108">
        <v>608926549.49067163</v>
      </c>
      <c r="AV249" s="108">
        <v>649165220.31893921</v>
      </c>
    </row>
    <row r="250" spans="1:48" x14ac:dyDescent="0.35">
      <c r="A250" s="107">
        <f xml:space="preserve"> ROW( slrImpacts[[#This Row],[row_id]] ) - ROW( slrImpacts[[#Headers],[row_id]] )</f>
        <v>249</v>
      </c>
      <c r="B250" s="104">
        <v>2046</v>
      </c>
      <c r="C250" s="104" t="s">
        <v>86</v>
      </c>
      <c r="D250" s="104" t="s">
        <v>208</v>
      </c>
      <c r="E250" s="104" t="s">
        <v>922</v>
      </c>
      <c r="F250" s="104"/>
      <c r="G250" s="105">
        <v>0</v>
      </c>
      <c r="H250" s="105">
        <v>0</v>
      </c>
      <c r="I250" s="105">
        <v>0</v>
      </c>
      <c r="J250" s="105">
        <v>0</v>
      </c>
      <c r="K250" s="105">
        <v>0</v>
      </c>
      <c r="L250" s="105">
        <v>0</v>
      </c>
      <c r="M250" s="106">
        <v>961157303.69629836</v>
      </c>
      <c r="N250" s="106">
        <v>1120945466.0003664</v>
      </c>
      <c r="O250" s="106">
        <v>1448282441.6508019</v>
      </c>
      <c r="P250" s="106">
        <v>1460179398.0151165</v>
      </c>
      <c r="Q250" s="106">
        <v>1843586834.4235361</v>
      </c>
      <c r="R250" s="106">
        <v>1971441181.6949122</v>
      </c>
      <c r="S250" s="105">
        <v>0</v>
      </c>
      <c r="T250" s="105">
        <v>0</v>
      </c>
      <c r="U250" s="105">
        <v>0</v>
      </c>
      <c r="V250" s="105">
        <v>0</v>
      </c>
      <c r="W250" s="105">
        <v>0</v>
      </c>
      <c r="X250" s="105">
        <v>0</v>
      </c>
      <c r="Y250" s="106">
        <v>101712571.24971618</v>
      </c>
      <c r="Z250" s="106">
        <v>107484235.76372875</v>
      </c>
      <c r="AA250" s="106">
        <v>123041268.33600067</v>
      </c>
      <c r="AB250" s="108">
        <v>145864651.80022693</v>
      </c>
      <c r="AC250" s="108">
        <v>175599371.93851903</v>
      </c>
      <c r="AD250" s="108">
        <v>190327585.6646513</v>
      </c>
      <c r="AE250" s="108">
        <v>2673219921.5588942</v>
      </c>
      <c r="AF250" s="108">
        <v>2881941660.5635796</v>
      </c>
      <c r="AG250" s="108">
        <v>4133681436.5289607</v>
      </c>
      <c r="AH250" s="108">
        <v>4423052147.4734421</v>
      </c>
      <c r="AI250" s="108">
        <v>5176651540.2204084</v>
      </c>
      <c r="AJ250" s="108">
        <v>5567763429.8950739</v>
      </c>
      <c r="AK250" s="108">
        <v>177554484.1209296</v>
      </c>
      <c r="AL250" s="108">
        <v>202602585.05348986</v>
      </c>
      <c r="AM250" s="108">
        <v>334855323.86827713</v>
      </c>
      <c r="AN250" s="108">
        <v>500524431.65952611</v>
      </c>
      <c r="AO250" s="108">
        <v>582253460.77716768</v>
      </c>
      <c r="AP250" s="108">
        <v>645372392.3748287</v>
      </c>
      <c r="AQ250" s="108">
        <v>351966331.35263163</v>
      </c>
      <c r="AR250" s="108">
        <v>383662000.85252017</v>
      </c>
      <c r="AS250" s="108">
        <v>485333612.96173358</v>
      </c>
      <c r="AT250" s="108">
        <v>528067695.29011816</v>
      </c>
      <c r="AU250" s="108">
        <v>617815083.67788136</v>
      </c>
      <c r="AV250" s="108">
        <v>657560847.84766519</v>
      </c>
    </row>
    <row r="251" spans="1:48" x14ac:dyDescent="0.35">
      <c r="A251" s="107">
        <f xml:space="preserve"> ROW( slrImpacts[[#This Row],[row_id]] ) - ROW( slrImpacts[[#Headers],[row_id]] )</f>
        <v>250</v>
      </c>
      <c r="B251" s="104">
        <v>2047</v>
      </c>
      <c r="C251" s="104" t="s">
        <v>86</v>
      </c>
      <c r="D251" s="104" t="s">
        <v>208</v>
      </c>
      <c r="E251" s="104" t="s">
        <v>922</v>
      </c>
      <c r="F251" s="104"/>
      <c r="G251" s="105">
        <v>0</v>
      </c>
      <c r="H251" s="105">
        <v>0</v>
      </c>
      <c r="I251" s="105">
        <v>0</v>
      </c>
      <c r="J251" s="105">
        <v>0</v>
      </c>
      <c r="K251" s="105">
        <v>0</v>
      </c>
      <c r="L251" s="105">
        <v>0</v>
      </c>
      <c r="M251" s="106">
        <v>967172781.11905777</v>
      </c>
      <c r="N251" s="106">
        <v>1147415536.4421439</v>
      </c>
      <c r="O251" s="106">
        <v>1461969227.8346076</v>
      </c>
      <c r="P251" s="106">
        <v>1478238090.781034</v>
      </c>
      <c r="Q251" s="106">
        <v>1867364022.8120885</v>
      </c>
      <c r="R251" s="106">
        <v>1999867630.3304908</v>
      </c>
      <c r="S251" s="105">
        <v>0</v>
      </c>
      <c r="T251" s="105">
        <v>0</v>
      </c>
      <c r="U251" s="105">
        <v>0</v>
      </c>
      <c r="V251" s="105">
        <v>0</v>
      </c>
      <c r="W251" s="105">
        <v>0</v>
      </c>
      <c r="X251" s="105">
        <v>0</v>
      </c>
      <c r="Y251" s="106">
        <v>102044990.64285667</v>
      </c>
      <c r="Z251" s="106">
        <v>107941031.23317242</v>
      </c>
      <c r="AA251" s="106">
        <v>123994311.12758578</v>
      </c>
      <c r="AB251" s="108">
        <v>148910749.40618244</v>
      </c>
      <c r="AC251" s="108">
        <v>177815419.63596085</v>
      </c>
      <c r="AD251" s="108">
        <v>193020487.8327713</v>
      </c>
      <c r="AE251" s="108">
        <v>2694361539.9761624</v>
      </c>
      <c r="AF251" s="108">
        <v>2922571163.1935825</v>
      </c>
      <c r="AG251" s="108">
        <v>4179743898.0012264</v>
      </c>
      <c r="AH251" s="108">
        <v>4471915587.9156609</v>
      </c>
      <c r="AI251" s="108">
        <v>5258646430.9959192</v>
      </c>
      <c r="AJ251" s="108">
        <v>5672252101.2986183</v>
      </c>
      <c r="AK251" s="108">
        <v>179045887.93222809</v>
      </c>
      <c r="AL251" s="108">
        <v>204697854.09170908</v>
      </c>
      <c r="AM251" s="108">
        <v>353842960.08311105</v>
      </c>
      <c r="AN251" s="108">
        <v>507041437.79747051</v>
      </c>
      <c r="AO251" s="108">
        <v>592725813.11570454</v>
      </c>
      <c r="AP251" s="108">
        <v>658640497.54117262</v>
      </c>
      <c r="AQ251" s="108">
        <v>356467541.62290663</v>
      </c>
      <c r="AR251" s="108">
        <v>391276340.97539544</v>
      </c>
      <c r="AS251" s="108">
        <v>491734215.02101219</v>
      </c>
      <c r="AT251" s="108">
        <v>530735862.09014446</v>
      </c>
      <c r="AU251" s="108">
        <v>626703617.86509085</v>
      </c>
      <c r="AV251" s="108">
        <v>665956475.37639201</v>
      </c>
    </row>
    <row r="252" spans="1:48" x14ac:dyDescent="0.35">
      <c r="A252" s="107">
        <f xml:space="preserve"> ROW( slrImpacts[[#This Row],[row_id]] ) - ROW( slrImpacts[[#Headers],[row_id]] )</f>
        <v>251</v>
      </c>
      <c r="B252" s="104">
        <v>2048</v>
      </c>
      <c r="C252" s="104" t="s">
        <v>86</v>
      </c>
      <c r="D252" s="104" t="s">
        <v>208</v>
      </c>
      <c r="E252" s="104" t="s">
        <v>922</v>
      </c>
      <c r="F252" s="104"/>
      <c r="G252" s="105">
        <v>0</v>
      </c>
      <c r="H252" s="105">
        <v>0</v>
      </c>
      <c r="I252" s="105">
        <v>0</v>
      </c>
      <c r="J252" s="105">
        <v>0</v>
      </c>
      <c r="K252" s="105">
        <v>0</v>
      </c>
      <c r="L252" s="105">
        <v>0</v>
      </c>
      <c r="M252" s="106">
        <v>973692703.27238286</v>
      </c>
      <c r="N252" s="106">
        <v>1173885606.8839207</v>
      </c>
      <c r="O252" s="106">
        <v>1475656014.0184124</v>
      </c>
      <c r="P252" s="106">
        <v>1496299404.8452227</v>
      </c>
      <c r="Q252" s="106">
        <v>1891318861.2660136</v>
      </c>
      <c r="R252" s="106">
        <v>2028655980.4867573</v>
      </c>
      <c r="S252" s="105">
        <v>0</v>
      </c>
      <c r="T252" s="105">
        <v>0</v>
      </c>
      <c r="U252" s="105">
        <v>0</v>
      </c>
      <c r="V252" s="105">
        <v>0</v>
      </c>
      <c r="W252" s="105">
        <v>0</v>
      </c>
      <c r="X252" s="105">
        <v>0</v>
      </c>
      <c r="Y252" s="106">
        <v>102377410.0359973</v>
      </c>
      <c r="Z252" s="106">
        <v>108397826.70261598</v>
      </c>
      <c r="AA252" s="106">
        <v>125169535.83724289</v>
      </c>
      <c r="AB252" s="108">
        <v>151272477.65970942</v>
      </c>
      <c r="AC252" s="108">
        <v>180035250.75082597</v>
      </c>
      <c r="AD252" s="108">
        <v>195722118.95488876</v>
      </c>
      <c r="AE252" s="108">
        <v>2714893388.4837456</v>
      </c>
      <c r="AF252" s="108">
        <v>2971837598.305295</v>
      </c>
      <c r="AG252" s="108">
        <v>4223210058.285861</v>
      </c>
      <c r="AH252" s="108">
        <v>4520931579.4154215</v>
      </c>
      <c r="AI252" s="108">
        <v>5341281867.6059561</v>
      </c>
      <c r="AJ252" s="108">
        <v>5778079659.4396629</v>
      </c>
      <c r="AK252" s="108">
        <v>180538528.12767014</v>
      </c>
      <c r="AL252" s="108">
        <v>206794433.77906433</v>
      </c>
      <c r="AM252" s="108">
        <v>372834379.71536803</v>
      </c>
      <c r="AN252" s="108">
        <v>513558443.93541497</v>
      </c>
      <c r="AO252" s="108">
        <v>603218541.72047877</v>
      </c>
      <c r="AP252" s="108">
        <v>672020698.29255068</v>
      </c>
      <c r="AQ252" s="108">
        <v>360968751.89318174</v>
      </c>
      <c r="AR252" s="108">
        <v>398890681.09827048</v>
      </c>
      <c r="AS252" s="108">
        <v>498134817.08029079</v>
      </c>
      <c r="AT252" s="108">
        <v>533404028.89017063</v>
      </c>
      <c r="AU252" s="108">
        <v>635592152.05230033</v>
      </c>
      <c r="AV252" s="108">
        <v>674352102.90511823</v>
      </c>
    </row>
    <row r="253" spans="1:48" x14ac:dyDescent="0.35">
      <c r="A253" s="107">
        <f xml:space="preserve"> ROW( slrImpacts[[#This Row],[row_id]] ) - ROW( slrImpacts[[#Headers],[row_id]] )</f>
        <v>252</v>
      </c>
      <c r="B253" s="104">
        <v>2049</v>
      </c>
      <c r="C253" s="104" t="s">
        <v>86</v>
      </c>
      <c r="D253" s="104" t="s">
        <v>208</v>
      </c>
      <c r="E253" s="104" t="s">
        <v>922</v>
      </c>
      <c r="F253" s="104"/>
      <c r="G253" s="105">
        <v>0</v>
      </c>
      <c r="H253" s="105">
        <v>0</v>
      </c>
      <c r="I253" s="105">
        <v>0</v>
      </c>
      <c r="J253" s="105">
        <v>0</v>
      </c>
      <c r="K253" s="105">
        <v>0</v>
      </c>
      <c r="L253" s="105">
        <v>0</v>
      </c>
      <c r="M253" s="106">
        <v>981841274.202402</v>
      </c>
      <c r="N253" s="106">
        <v>1200355677.3256979</v>
      </c>
      <c r="O253" s="106">
        <v>1489342800.2022176</v>
      </c>
      <c r="P253" s="106">
        <v>1514361955.2935557</v>
      </c>
      <c r="Q253" s="106">
        <v>1915455701.2019434</v>
      </c>
      <c r="R253" s="106">
        <v>2057889393.0820267</v>
      </c>
      <c r="S253" s="105">
        <v>0</v>
      </c>
      <c r="T253" s="105">
        <v>0</v>
      </c>
      <c r="U253" s="105">
        <v>0</v>
      </c>
      <c r="V253" s="105">
        <v>0</v>
      </c>
      <c r="W253" s="105">
        <v>0</v>
      </c>
      <c r="X253" s="105">
        <v>0</v>
      </c>
      <c r="Y253" s="106">
        <v>102709829.42913787</v>
      </c>
      <c r="Z253" s="106">
        <v>108854622.17205961</v>
      </c>
      <c r="AA253" s="106">
        <v>126971387.07234792</v>
      </c>
      <c r="AB253" s="108">
        <v>153123052.75015873</v>
      </c>
      <c r="AC253" s="108">
        <v>182262648.70053747</v>
      </c>
      <c r="AD253" s="108">
        <v>198434086.74010992</v>
      </c>
      <c r="AE253" s="108">
        <v>2733184026.9686027</v>
      </c>
      <c r="AF253" s="108">
        <v>3026315838.6698623</v>
      </c>
      <c r="AG253" s="108">
        <v>4265804636.8949919</v>
      </c>
      <c r="AH253" s="108">
        <v>4570112808.9948521</v>
      </c>
      <c r="AI253" s="108">
        <v>5424602661.0368624</v>
      </c>
      <c r="AJ253" s="108">
        <v>5885263811.1419077</v>
      </c>
      <c r="AK253" s="108">
        <v>182032478.97224835</v>
      </c>
      <c r="AL253" s="108">
        <v>208891013.46641964</v>
      </c>
      <c r="AM253" s="108">
        <v>391830893.41418409</v>
      </c>
      <c r="AN253" s="108">
        <v>520075450.07335925</v>
      </c>
      <c r="AO253" s="108">
        <v>613757610.65850472</v>
      </c>
      <c r="AP253" s="108">
        <v>685491504.38783729</v>
      </c>
      <c r="AQ253" s="108">
        <v>365469962.16345692</v>
      </c>
      <c r="AR253" s="108">
        <v>406505021.22114557</v>
      </c>
      <c r="AS253" s="108">
        <v>504535419.13956916</v>
      </c>
      <c r="AT253" s="108">
        <v>536072195.69019693</v>
      </c>
      <c r="AU253" s="108">
        <v>644480686.23951006</v>
      </c>
      <c r="AV253" s="108">
        <v>682747730.43384457</v>
      </c>
    </row>
    <row r="254" spans="1:48" x14ac:dyDescent="0.35">
      <c r="A254" s="107">
        <f xml:space="preserve"> ROW( slrImpacts[[#This Row],[row_id]] ) - ROW( slrImpacts[[#Headers],[row_id]] )</f>
        <v>253</v>
      </c>
      <c r="B254" s="104">
        <v>2050</v>
      </c>
      <c r="C254" s="104" t="s">
        <v>86</v>
      </c>
      <c r="D254" s="104" t="s">
        <v>208</v>
      </c>
      <c r="E254" s="104" t="s">
        <v>922</v>
      </c>
      <c r="F254" s="104"/>
      <c r="G254" s="105">
        <v>0</v>
      </c>
      <c r="H254" s="105">
        <v>0</v>
      </c>
      <c r="I254" s="105">
        <v>0</v>
      </c>
      <c r="J254" s="105">
        <v>0</v>
      </c>
      <c r="K254" s="105">
        <v>0</v>
      </c>
      <c r="L254" s="105">
        <v>0</v>
      </c>
      <c r="M254" s="106">
        <v>991644016.24273252</v>
      </c>
      <c r="N254" s="106">
        <v>1226789672.4869256</v>
      </c>
      <c r="O254" s="106">
        <v>1503893307.4570656</v>
      </c>
      <c r="P254" s="106">
        <v>1532472727.8239603</v>
      </c>
      <c r="Q254" s="106">
        <v>1939996104.7431626</v>
      </c>
      <c r="R254" s="106">
        <v>2087691719.2581112</v>
      </c>
      <c r="S254" s="105">
        <v>0</v>
      </c>
      <c r="T254" s="105">
        <v>0</v>
      </c>
      <c r="U254" s="105">
        <v>0</v>
      </c>
      <c r="V254" s="105">
        <v>0</v>
      </c>
      <c r="W254" s="105">
        <v>0</v>
      </c>
      <c r="X254" s="105">
        <v>0</v>
      </c>
      <c r="Y254" s="106">
        <v>103138686.78547473</v>
      </c>
      <c r="Z254" s="106">
        <v>109416218.98879817</v>
      </c>
      <c r="AA254" s="106">
        <v>129493414.65578175</v>
      </c>
      <c r="AB254" s="108">
        <v>155190940.14496535</v>
      </c>
      <c r="AC254" s="108">
        <v>184773766.98399642</v>
      </c>
      <c r="AD254" s="108">
        <v>201469190.62168667</v>
      </c>
      <c r="AE254" s="108">
        <v>2757739953.3439684</v>
      </c>
      <c r="AF254" s="108">
        <v>3085118845.6880274</v>
      </c>
      <c r="AG254" s="108">
        <v>4312005870.4393835</v>
      </c>
      <c r="AH254" s="108">
        <v>4620285396.1137543</v>
      </c>
      <c r="AI254" s="108">
        <v>5508155735.4641609</v>
      </c>
      <c r="AJ254" s="108">
        <v>5992909851.4021854</v>
      </c>
      <c r="AK254" s="108">
        <v>183605046.95672005</v>
      </c>
      <c r="AL254" s="108">
        <v>211082212.12301543</v>
      </c>
      <c r="AM254" s="108">
        <v>410928356.53294384</v>
      </c>
      <c r="AN254" s="108">
        <v>526669034.21685469</v>
      </c>
      <c r="AO254" s="108">
        <v>624357382.27918661</v>
      </c>
      <c r="AP254" s="108">
        <v>698966671.30613625</v>
      </c>
      <c r="AQ254" s="108">
        <v>370826723.67374539</v>
      </c>
      <c r="AR254" s="108">
        <v>415069894.02270007</v>
      </c>
      <c r="AS254" s="108">
        <v>512564603.83348125</v>
      </c>
      <c r="AT254" s="108">
        <v>539311416.34184277</v>
      </c>
      <c r="AU254" s="108">
        <v>655110625.26380944</v>
      </c>
      <c r="AV254" s="108">
        <v>691999816.35144973</v>
      </c>
    </row>
    <row r="255" spans="1:48" x14ac:dyDescent="0.35">
      <c r="A255" s="107">
        <f xml:space="preserve"> ROW( slrImpacts[[#This Row],[row_id]] ) - ROW( slrImpacts[[#Headers],[row_id]] )</f>
        <v>254</v>
      </c>
      <c r="B255" s="104">
        <v>2051</v>
      </c>
      <c r="C255" s="104" t="s">
        <v>86</v>
      </c>
      <c r="D255" s="104" t="s">
        <v>208</v>
      </c>
      <c r="E255" s="104" t="s">
        <v>922</v>
      </c>
      <c r="F255" s="104"/>
      <c r="G255" s="105">
        <v>0</v>
      </c>
      <c r="H255" s="105">
        <v>0</v>
      </c>
      <c r="I255" s="105">
        <v>0</v>
      </c>
      <c r="J255" s="105">
        <v>0</v>
      </c>
      <c r="K255" s="105">
        <v>0</v>
      </c>
      <c r="L255" s="105">
        <v>0</v>
      </c>
      <c r="M255" s="106">
        <v>1005702367.2420042</v>
      </c>
      <c r="N255" s="106">
        <v>1251442516.6700847</v>
      </c>
      <c r="O255" s="106">
        <v>1518470628.6324828</v>
      </c>
      <c r="P255" s="106">
        <v>1550342460.7187445</v>
      </c>
      <c r="Q255" s="106">
        <v>1964038149.2521269</v>
      </c>
      <c r="R255" s="106">
        <v>2117480866.5221455</v>
      </c>
      <c r="S255" s="105">
        <v>0</v>
      </c>
      <c r="T255" s="105">
        <v>0</v>
      </c>
      <c r="U255" s="105">
        <v>0</v>
      </c>
      <c r="V255" s="105">
        <v>0</v>
      </c>
      <c r="W255" s="105">
        <v>0</v>
      </c>
      <c r="X255" s="105">
        <v>0</v>
      </c>
      <c r="Y255" s="106">
        <v>103587605.42174277</v>
      </c>
      <c r="Z255" s="106">
        <v>109990559.16632916</v>
      </c>
      <c r="AA255" s="106">
        <v>132069731.36600037</v>
      </c>
      <c r="AB255" s="108">
        <v>157229100.54131985</v>
      </c>
      <c r="AC255" s="108">
        <v>187200510.89030981</v>
      </c>
      <c r="AD255" s="108">
        <v>204531989.59042203</v>
      </c>
      <c r="AE255" s="108">
        <v>2784579942.1920218</v>
      </c>
      <c r="AF255" s="108">
        <v>3142878908.0925655</v>
      </c>
      <c r="AG255" s="108">
        <v>4355957063.2791624</v>
      </c>
      <c r="AH255" s="108">
        <v>4669184530.4122438</v>
      </c>
      <c r="AI255" s="108">
        <v>5587787198.2393103</v>
      </c>
      <c r="AJ255" s="108">
        <v>6098038854.1561441</v>
      </c>
      <c r="AK255" s="108">
        <v>185159720.08351874</v>
      </c>
      <c r="AL255" s="108">
        <v>213241582.00225449</v>
      </c>
      <c r="AM255" s="108">
        <v>429948668.22745806</v>
      </c>
      <c r="AN255" s="108">
        <v>533193533.26023322</v>
      </c>
      <c r="AO255" s="108">
        <v>634871093.56172943</v>
      </c>
      <c r="AP255" s="108">
        <v>712357744.41351283</v>
      </c>
      <c r="AQ255" s="108">
        <v>375565870.04381722</v>
      </c>
      <c r="AR255" s="108">
        <v>423536081.50884342</v>
      </c>
      <c r="AS255" s="108">
        <v>520783286.56337374</v>
      </c>
      <c r="AT255" s="108">
        <v>541504340.65266907</v>
      </c>
      <c r="AU255" s="108">
        <v>665510982.00877333</v>
      </c>
      <c r="AV255" s="108">
        <v>699695189.35983562</v>
      </c>
    </row>
    <row r="256" spans="1:48" x14ac:dyDescent="0.35">
      <c r="A256" s="107">
        <f xml:space="preserve"> ROW( slrImpacts[[#This Row],[row_id]] ) - ROW( slrImpacts[[#Headers],[row_id]] )</f>
        <v>255</v>
      </c>
      <c r="B256" s="104">
        <v>2052</v>
      </c>
      <c r="C256" s="104" t="s">
        <v>86</v>
      </c>
      <c r="D256" s="104" t="s">
        <v>208</v>
      </c>
      <c r="E256" s="104" t="s">
        <v>922</v>
      </c>
      <c r="F256" s="104"/>
      <c r="G256" s="105">
        <v>0</v>
      </c>
      <c r="H256" s="105">
        <v>0</v>
      </c>
      <c r="I256" s="105">
        <v>0</v>
      </c>
      <c r="J256" s="105">
        <v>0</v>
      </c>
      <c r="K256" s="105">
        <v>0</v>
      </c>
      <c r="L256" s="105">
        <v>0</v>
      </c>
      <c r="M256" s="106">
        <v>1026230082.3770475</v>
      </c>
      <c r="N256" s="106">
        <v>1270646500.1890316</v>
      </c>
      <c r="O256" s="106">
        <v>1531188138.6837769</v>
      </c>
      <c r="P256" s="106">
        <v>1566691840.6156569</v>
      </c>
      <c r="Q256" s="106">
        <v>1985900305.1141295</v>
      </c>
      <c r="R256" s="106">
        <v>2145680992.8130276</v>
      </c>
      <c r="S256" s="105">
        <v>0</v>
      </c>
      <c r="T256" s="105">
        <v>0</v>
      </c>
      <c r="U256" s="105">
        <v>0</v>
      </c>
      <c r="V256" s="105">
        <v>0</v>
      </c>
      <c r="W256" s="105">
        <v>0</v>
      </c>
      <c r="X256" s="105">
        <v>0</v>
      </c>
      <c r="Y256" s="106">
        <v>103936914.72366747</v>
      </c>
      <c r="Z256" s="106">
        <v>110432523.7811144</v>
      </c>
      <c r="AA256" s="106">
        <v>134412752.52999386</v>
      </c>
      <c r="AB256" s="108">
        <v>158889793.98647857</v>
      </c>
      <c r="AC256" s="108">
        <v>189088578.00168768</v>
      </c>
      <c r="AD256" s="108">
        <v>207129853.32007617</v>
      </c>
      <c r="AE256" s="108">
        <v>2804837851.0786004</v>
      </c>
      <c r="AF256" s="108">
        <v>3198437441.550271</v>
      </c>
      <c r="AG256" s="108">
        <v>4389504323.2766104</v>
      </c>
      <c r="AH256" s="108">
        <v>4710166544.9401245</v>
      </c>
      <c r="AI256" s="108">
        <v>5656903005.4495983</v>
      </c>
      <c r="AJ256" s="108">
        <v>6194087153.1834364</v>
      </c>
      <c r="AK256" s="108">
        <v>186589955.80738074</v>
      </c>
      <c r="AL256" s="108">
        <v>215230567.49380103</v>
      </c>
      <c r="AM256" s="108">
        <v>446946881.33855206</v>
      </c>
      <c r="AN256" s="108">
        <v>539457213.12552834</v>
      </c>
      <c r="AO256" s="108">
        <v>645225718.46738958</v>
      </c>
      <c r="AP256" s="108">
        <v>725717405.98868895</v>
      </c>
      <c r="AQ256" s="108">
        <v>378627385.51968557</v>
      </c>
      <c r="AR256" s="108">
        <v>430602495.71763605</v>
      </c>
      <c r="AS256" s="108">
        <v>527105459.99333471</v>
      </c>
      <c r="AT256" s="108">
        <v>541419356.76496041</v>
      </c>
      <c r="AU256" s="108">
        <v>673013493.51382768</v>
      </c>
      <c r="AV256" s="108">
        <v>703976172.83870494</v>
      </c>
    </row>
    <row r="257" spans="1:48" x14ac:dyDescent="0.35">
      <c r="A257" s="107">
        <f xml:space="preserve"> ROW( slrImpacts[[#This Row],[row_id]] ) - ROW( slrImpacts[[#Headers],[row_id]] )</f>
        <v>256</v>
      </c>
      <c r="B257" s="104">
        <v>2053</v>
      </c>
      <c r="C257" s="104" t="s">
        <v>86</v>
      </c>
      <c r="D257" s="104" t="s">
        <v>208</v>
      </c>
      <c r="E257" s="104" t="s">
        <v>922</v>
      </c>
      <c r="F257" s="104"/>
      <c r="G257" s="105">
        <v>0</v>
      </c>
      <c r="H257" s="105">
        <v>0</v>
      </c>
      <c r="I257" s="105">
        <v>0</v>
      </c>
      <c r="J257" s="105">
        <v>0</v>
      </c>
      <c r="K257" s="105">
        <v>0</v>
      </c>
      <c r="L257" s="105">
        <v>0</v>
      </c>
      <c r="M257" s="106">
        <v>1046960564.5116316</v>
      </c>
      <c r="N257" s="106">
        <v>1282209782.8610921</v>
      </c>
      <c r="O257" s="106">
        <v>1543905648.7350748</v>
      </c>
      <c r="P257" s="106">
        <v>1583042456.8967133</v>
      </c>
      <c r="Q257" s="106">
        <v>2008028811.6163354</v>
      </c>
      <c r="R257" s="106">
        <v>2174766075.6503663</v>
      </c>
      <c r="S257" s="105">
        <v>0</v>
      </c>
      <c r="T257" s="105">
        <v>0</v>
      </c>
      <c r="U257" s="105">
        <v>0</v>
      </c>
      <c r="V257" s="105">
        <v>0</v>
      </c>
      <c r="W257" s="105">
        <v>0</v>
      </c>
      <c r="X257" s="105">
        <v>0</v>
      </c>
      <c r="Y257" s="106">
        <v>104286224.02559218</v>
      </c>
      <c r="Z257" s="106">
        <v>110874488.39589959</v>
      </c>
      <c r="AA257" s="106">
        <v>136755773.69398731</v>
      </c>
      <c r="AB257" s="108">
        <v>160550487.43163732</v>
      </c>
      <c r="AC257" s="108">
        <v>190976645.11306551</v>
      </c>
      <c r="AD257" s="108">
        <v>209857266.44556183</v>
      </c>
      <c r="AE257" s="108">
        <v>2825095759.965178</v>
      </c>
      <c r="AF257" s="108">
        <v>3262641256.4088807</v>
      </c>
      <c r="AG257" s="108">
        <v>4423051583.2740555</v>
      </c>
      <c r="AH257" s="108">
        <v>4751516079.0073967</v>
      </c>
      <c r="AI257" s="108">
        <v>5726991219.5678883</v>
      </c>
      <c r="AJ257" s="108">
        <v>6291459760.986146</v>
      </c>
      <c r="AK257" s="108">
        <v>188020117.26625013</v>
      </c>
      <c r="AL257" s="108">
        <v>217220789.36949101</v>
      </c>
      <c r="AM257" s="108">
        <v>457281955.51983416</v>
      </c>
      <c r="AN257" s="108">
        <v>545720892.99082375</v>
      </c>
      <c r="AO257" s="108">
        <v>655688209.95070529</v>
      </c>
      <c r="AP257" s="108">
        <v>739276033.21964705</v>
      </c>
      <c r="AQ257" s="108">
        <v>382564260.96918213</v>
      </c>
      <c r="AR257" s="108">
        <v>437668909.9264285</v>
      </c>
      <c r="AS257" s="108">
        <v>533427633.42329568</v>
      </c>
      <c r="AT257" s="108">
        <v>541334372.87725151</v>
      </c>
      <c r="AU257" s="108">
        <v>680516005.01888216</v>
      </c>
      <c r="AV257" s="108">
        <v>708268432.30485141</v>
      </c>
    </row>
    <row r="258" spans="1:48" x14ac:dyDescent="0.35">
      <c r="A258" s="107">
        <f xml:space="preserve"> ROW( slrImpacts[[#This Row],[row_id]] ) - ROW( slrImpacts[[#Headers],[row_id]] )</f>
        <v>257</v>
      </c>
      <c r="B258" s="104">
        <v>2054</v>
      </c>
      <c r="C258" s="104" t="s">
        <v>86</v>
      </c>
      <c r="D258" s="104" t="s">
        <v>208</v>
      </c>
      <c r="E258" s="104" t="s">
        <v>922</v>
      </c>
      <c r="F258" s="104"/>
      <c r="G258" s="105">
        <v>0</v>
      </c>
      <c r="H258" s="105">
        <v>0</v>
      </c>
      <c r="I258" s="105">
        <v>0</v>
      </c>
      <c r="J258" s="105">
        <v>0</v>
      </c>
      <c r="K258" s="105">
        <v>0</v>
      </c>
      <c r="L258" s="105">
        <v>0</v>
      </c>
      <c r="M258" s="106">
        <v>1068443543.6329916</v>
      </c>
      <c r="N258" s="106">
        <v>1293020568.5463755</v>
      </c>
      <c r="O258" s="106">
        <v>1556623158.7863705</v>
      </c>
      <c r="P258" s="106">
        <v>1599389438.2903316</v>
      </c>
      <c r="Q258" s="106">
        <v>2030522754.1409431</v>
      </c>
      <c r="R258" s="106">
        <v>2204975343.5853963</v>
      </c>
      <c r="S258" s="105">
        <v>0</v>
      </c>
      <c r="T258" s="105">
        <v>0</v>
      </c>
      <c r="U258" s="105">
        <v>0</v>
      </c>
      <c r="V258" s="105">
        <v>0</v>
      </c>
      <c r="W258" s="105">
        <v>0</v>
      </c>
      <c r="X258" s="105">
        <v>0</v>
      </c>
      <c r="Y258" s="106">
        <v>104635533.32751687</v>
      </c>
      <c r="Z258" s="106">
        <v>111316453.01068483</v>
      </c>
      <c r="AA258" s="106">
        <v>139098794.85798079</v>
      </c>
      <c r="AB258" s="108">
        <v>162211180.87679607</v>
      </c>
      <c r="AC258" s="108">
        <v>192868421.37687385</v>
      </c>
      <c r="AD258" s="108">
        <v>212747222.0874562</v>
      </c>
      <c r="AE258" s="108">
        <v>2845353668.8517528</v>
      </c>
      <c r="AF258" s="108">
        <v>3330591095.4937544</v>
      </c>
      <c r="AG258" s="108">
        <v>4456598843.2715006</v>
      </c>
      <c r="AH258" s="108">
        <v>4793205063.0065231</v>
      </c>
      <c r="AI258" s="108">
        <v>5798037226.7794447</v>
      </c>
      <c r="AJ258" s="108">
        <v>6390216355.3782778</v>
      </c>
      <c r="AK258" s="108">
        <v>189451589.37425575</v>
      </c>
      <c r="AL258" s="108">
        <v>219213558.27846071</v>
      </c>
      <c r="AM258" s="108">
        <v>462231498.13590366</v>
      </c>
      <c r="AN258" s="108">
        <v>551984572.85611916</v>
      </c>
      <c r="AO258" s="108">
        <v>666235644.71215987</v>
      </c>
      <c r="AP258" s="108">
        <v>753084392.12126493</v>
      </c>
      <c r="AQ258" s="108">
        <v>388820985.38956887</v>
      </c>
      <c r="AR258" s="108">
        <v>444735324.13522089</v>
      </c>
      <c r="AS258" s="108">
        <v>539749806.85325658</v>
      </c>
      <c r="AT258" s="108">
        <v>541249388.98954237</v>
      </c>
      <c r="AU258" s="108">
        <v>688018516.52393639</v>
      </c>
      <c r="AV258" s="108">
        <v>712571102.69909418</v>
      </c>
    </row>
    <row r="259" spans="1:48" x14ac:dyDescent="0.35">
      <c r="A259" s="107">
        <f xml:space="preserve"> ROW( slrImpacts[[#This Row],[row_id]] ) - ROW( slrImpacts[[#Headers],[row_id]] )</f>
        <v>258</v>
      </c>
      <c r="B259" s="104">
        <v>2055</v>
      </c>
      <c r="C259" s="104" t="s">
        <v>86</v>
      </c>
      <c r="D259" s="104" t="s">
        <v>208</v>
      </c>
      <c r="E259" s="104" t="s">
        <v>922</v>
      </c>
      <c r="F259" s="104"/>
      <c r="G259" s="105">
        <v>0</v>
      </c>
      <c r="H259" s="105">
        <v>0</v>
      </c>
      <c r="I259" s="105">
        <v>0</v>
      </c>
      <c r="J259" s="105">
        <v>0</v>
      </c>
      <c r="K259" s="105">
        <v>0</v>
      </c>
      <c r="L259" s="105">
        <v>0</v>
      </c>
      <c r="M259" s="106">
        <v>1094254598.7310555</v>
      </c>
      <c r="N259" s="106">
        <v>1308655420.4678965</v>
      </c>
      <c r="O259" s="106">
        <v>1579065048.0520205</v>
      </c>
      <c r="P259" s="106">
        <v>1631293931.7435677</v>
      </c>
      <c r="Q259" s="106">
        <v>2073696797.3262877</v>
      </c>
      <c r="R259" s="106">
        <v>2267935217.8088846</v>
      </c>
      <c r="S259" s="105">
        <v>0</v>
      </c>
      <c r="T259" s="105">
        <v>0</v>
      </c>
      <c r="U259" s="105">
        <v>0</v>
      </c>
      <c r="V259" s="105">
        <v>0</v>
      </c>
      <c r="W259" s="105">
        <v>0</v>
      </c>
      <c r="X259" s="105">
        <v>0</v>
      </c>
      <c r="Y259" s="106">
        <v>105132188.16425568</v>
      </c>
      <c r="Z259" s="106">
        <v>112022211.06467286</v>
      </c>
      <c r="AA259" s="106">
        <v>141913274.80334482</v>
      </c>
      <c r="AB259" s="108">
        <v>164280326.54608759</v>
      </c>
      <c r="AC259" s="108">
        <v>196525993.1541478</v>
      </c>
      <c r="AD259" s="108">
        <v>219351075.56269157</v>
      </c>
      <c r="AE259" s="108">
        <v>2872766917.6055236</v>
      </c>
      <c r="AF259" s="108">
        <v>3412624668.0070939</v>
      </c>
      <c r="AG259" s="108">
        <v>4514712378.2147512</v>
      </c>
      <c r="AH259" s="108">
        <v>4880315834.4503546</v>
      </c>
      <c r="AI259" s="108">
        <v>5937037130.1250906</v>
      </c>
      <c r="AJ259" s="108">
        <v>6575400948.8052988</v>
      </c>
      <c r="AK259" s="108">
        <v>192270627.87818071</v>
      </c>
      <c r="AL259" s="108">
        <v>223187433.82596844</v>
      </c>
      <c r="AM259" s="108">
        <v>471254993.67390847</v>
      </c>
      <c r="AN259" s="108">
        <v>566417727.25492287</v>
      </c>
      <c r="AO259" s="108">
        <v>687862207.66536772</v>
      </c>
      <c r="AP259" s="108">
        <v>782357296.25651193</v>
      </c>
      <c r="AQ259" s="108">
        <v>396535837.57871842</v>
      </c>
      <c r="AR259" s="108">
        <v>453384531.44822258</v>
      </c>
      <c r="AS259" s="108">
        <v>548726838.67716575</v>
      </c>
      <c r="AT259" s="108">
        <v>540871700.34759736</v>
      </c>
      <c r="AU259" s="108">
        <v>695699088.97312224</v>
      </c>
      <c r="AV259" s="108">
        <v>722222664.15784812</v>
      </c>
    </row>
    <row r="260" spans="1:48" x14ac:dyDescent="0.35">
      <c r="A260" s="107">
        <f xml:space="preserve"> ROW( slrImpacts[[#This Row],[row_id]] ) - ROW( slrImpacts[[#Headers],[row_id]] )</f>
        <v>259</v>
      </c>
      <c r="B260" s="104">
        <v>2056</v>
      </c>
      <c r="C260" s="104" t="s">
        <v>86</v>
      </c>
      <c r="D260" s="104" t="s">
        <v>208</v>
      </c>
      <c r="E260" s="104" t="s">
        <v>922</v>
      </c>
      <c r="F260" s="104"/>
      <c r="G260" s="105">
        <v>0</v>
      </c>
      <c r="H260" s="105">
        <v>0</v>
      </c>
      <c r="I260" s="105">
        <v>0</v>
      </c>
      <c r="J260" s="105">
        <v>0</v>
      </c>
      <c r="K260" s="105">
        <v>0</v>
      </c>
      <c r="L260" s="105">
        <v>0</v>
      </c>
      <c r="M260" s="106">
        <v>1116623203.6199977</v>
      </c>
      <c r="N260" s="106">
        <v>1318577891.4525058</v>
      </c>
      <c r="O260" s="106">
        <v>1591502102.943486</v>
      </c>
      <c r="P260" s="106">
        <v>1648214788.8472433</v>
      </c>
      <c r="Q260" s="106">
        <v>2099107998.6629763</v>
      </c>
      <c r="R260" s="106">
        <v>2310074777.9378104</v>
      </c>
      <c r="S260" s="105">
        <v>0</v>
      </c>
      <c r="T260" s="105">
        <v>0</v>
      </c>
      <c r="U260" s="105">
        <v>0</v>
      </c>
      <c r="V260" s="105">
        <v>0</v>
      </c>
      <c r="W260" s="105">
        <v>0</v>
      </c>
      <c r="X260" s="105">
        <v>0</v>
      </c>
      <c r="Y260" s="106">
        <v>105489998.13710649</v>
      </c>
      <c r="Z260" s="106">
        <v>112528424.01046081</v>
      </c>
      <c r="AA260" s="106">
        <v>144252520.25886416</v>
      </c>
      <c r="AB260" s="108">
        <v>165232442.70946571</v>
      </c>
      <c r="AC260" s="108">
        <v>199026717.50841081</v>
      </c>
      <c r="AD260" s="108">
        <v>224339698.64139834</v>
      </c>
      <c r="AE260" s="108">
        <v>2897825882.292922</v>
      </c>
      <c r="AF260" s="108">
        <v>3490366897.2950435</v>
      </c>
      <c r="AG260" s="108">
        <v>4551550009.5345459</v>
      </c>
      <c r="AH260" s="108">
        <v>4936058873.4688206</v>
      </c>
      <c r="AI260" s="108">
        <v>6022147525.9596272</v>
      </c>
      <c r="AJ260" s="108">
        <v>6686955179.3720884</v>
      </c>
      <c r="AK260" s="108">
        <v>193862410.93608138</v>
      </c>
      <c r="AL260" s="108">
        <v>225423997.95252419</v>
      </c>
      <c r="AM260" s="108">
        <v>475673502.10438603</v>
      </c>
      <c r="AN260" s="108">
        <v>574853823.91871643</v>
      </c>
      <c r="AO260" s="108">
        <v>699693179.83566749</v>
      </c>
      <c r="AP260" s="108">
        <v>799456578.64855933</v>
      </c>
      <c r="AQ260" s="108">
        <v>403245280.14067751</v>
      </c>
      <c r="AR260" s="108">
        <v>459642722.07589698</v>
      </c>
      <c r="AS260" s="108">
        <v>555239693.88624752</v>
      </c>
      <c r="AT260" s="108">
        <v>542462009.23021293</v>
      </c>
      <c r="AU260" s="108">
        <v>700334219.76433551</v>
      </c>
      <c r="AV260" s="108">
        <v>730357162.63311934</v>
      </c>
    </row>
    <row r="261" spans="1:48" x14ac:dyDescent="0.35">
      <c r="A261" s="107">
        <f xml:space="preserve"> ROW( slrImpacts[[#This Row],[row_id]] ) - ROW( slrImpacts[[#Headers],[row_id]] )</f>
        <v>260</v>
      </c>
      <c r="B261" s="104">
        <v>2057</v>
      </c>
      <c r="C261" s="104" t="s">
        <v>86</v>
      </c>
      <c r="D261" s="104" t="s">
        <v>208</v>
      </c>
      <c r="E261" s="104" t="s">
        <v>922</v>
      </c>
      <c r="F261" s="104"/>
      <c r="G261" s="105">
        <v>0</v>
      </c>
      <c r="H261" s="105">
        <v>0</v>
      </c>
      <c r="I261" s="105">
        <v>0</v>
      </c>
      <c r="J261" s="105">
        <v>0</v>
      </c>
      <c r="K261" s="105">
        <v>0</v>
      </c>
      <c r="L261" s="105">
        <v>0</v>
      </c>
      <c r="M261" s="106">
        <v>1140741525.1056278</v>
      </c>
      <c r="N261" s="106">
        <v>1326750645.840426</v>
      </c>
      <c r="O261" s="106">
        <v>1603954365.769639</v>
      </c>
      <c r="P261" s="106">
        <v>1665124789.4328668</v>
      </c>
      <c r="Q261" s="106">
        <v>2125236676.687531</v>
      </c>
      <c r="R261" s="106">
        <v>2353941580.0289602</v>
      </c>
      <c r="S261" s="105">
        <v>0</v>
      </c>
      <c r="T261" s="105">
        <v>0</v>
      </c>
      <c r="U261" s="105">
        <v>0</v>
      </c>
      <c r="V261" s="105">
        <v>0</v>
      </c>
      <c r="W261" s="105">
        <v>0</v>
      </c>
      <c r="X261" s="105">
        <v>0</v>
      </c>
      <c r="Y261" s="106">
        <v>105847808.10995723</v>
      </c>
      <c r="Z261" s="106">
        <v>113034636.95624873</v>
      </c>
      <c r="AA261" s="106">
        <v>146591765.71438342</v>
      </c>
      <c r="AB261" s="108">
        <v>166184558.87284386</v>
      </c>
      <c r="AC261" s="108">
        <v>201536170.81667116</v>
      </c>
      <c r="AD261" s="108">
        <v>229421325.56730819</v>
      </c>
      <c r="AE261" s="108">
        <v>2928218315.710659</v>
      </c>
      <c r="AF261" s="108">
        <v>3567125454.4417562</v>
      </c>
      <c r="AG261" s="108">
        <v>4588387640.8543472</v>
      </c>
      <c r="AH261" s="108">
        <v>4992270942.0329027</v>
      </c>
      <c r="AI261" s="108">
        <v>6109482939.4888592</v>
      </c>
      <c r="AJ261" s="108">
        <v>6799719403.373889</v>
      </c>
      <c r="AK261" s="108">
        <v>195455430.37812564</v>
      </c>
      <c r="AL261" s="108">
        <v>227659251.42994392</v>
      </c>
      <c r="AM261" s="108">
        <v>480090699.88572758</v>
      </c>
      <c r="AN261" s="108">
        <v>583289920.58250976</v>
      </c>
      <c r="AO261" s="108">
        <v>711619628.6214577</v>
      </c>
      <c r="AP261" s="108">
        <v>816706778.2683084</v>
      </c>
      <c r="AQ261" s="108">
        <v>409954722.70263666</v>
      </c>
      <c r="AR261" s="108">
        <v>463581063.73268092</v>
      </c>
      <c r="AS261" s="108">
        <v>561752549.09532917</v>
      </c>
      <c r="AT261" s="108">
        <v>544052318.11282861</v>
      </c>
      <c r="AU261" s="108">
        <v>704974296.09212303</v>
      </c>
      <c r="AV261" s="108">
        <v>738591637.67049992</v>
      </c>
    </row>
    <row r="262" spans="1:48" x14ac:dyDescent="0.35">
      <c r="A262" s="107">
        <f xml:space="preserve"> ROW( slrImpacts[[#This Row],[row_id]] ) - ROW( slrImpacts[[#Headers],[row_id]] )</f>
        <v>261</v>
      </c>
      <c r="B262" s="104">
        <v>2058</v>
      </c>
      <c r="C262" s="104" t="s">
        <v>86</v>
      </c>
      <c r="D262" s="104" t="s">
        <v>208</v>
      </c>
      <c r="E262" s="104" t="s">
        <v>922</v>
      </c>
      <c r="F262" s="104"/>
      <c r="G262" s="105">
        <v>0</v>
      </c>
      <c r="H262" s="105">
        <v>0</v>
      </c>
      <c r="I262" s="105">
        <v>0</v>
      </c>
      <c r="J262" s="105">
        <v>0</v>
      </c>
      <c r="K262" s="105">
        <v>0</v>
      </c>
      <c r="L262" s="105">
        <v>0</v>
      </c>
      <c r="M262" s="106">
        <v>1164859846.5912597</v>
      </c>
      <c r="N262" s="106">
        <v>1334923400.2283463</v>
      </c>
      <c r="O262" s="106">
        <v>1616421985.0604615</v>
      </c>
      <c r="P262" s="106">
        <v>1682061571.0004237</v>
      </c>
      <c r="Q262" s="106">
        <v>2152001225.9492812</v>
      </c>
      <c r="R262" s="106">
        <v>2399494827.50279</v>
      </c>
      <c r="S262" s="105">
        <v>0</v>
      </c>
      <c r="T262" s="105">
        <v>0</v>
      </c>
      <c r="U262" s="105">
        <v>0</v>
      </c>
      <c r="V262" s="105">
        <v>0</v>
      </c>
      <c r="W262" s="105">
        <v>0</v>
      </c>
      <c r="X262" s="105">
        <v>0</v>
      </c>
      <c r="Y262" s="106">
        <v>106205618.08280802</v>
      </c>
      <c r="Z262" s="106">
        <v>113540849.90203661</v>
      </c>
      <c r="AA262" s="106">
        <v>148909992.6394625</v>
      </c>
      <c r="AB262" s="108">
        <v>167136675.0362221</v>
      </c>
      <c r="AC262" s="108">
        <v>204081924.85504958</v>
      </c>
      <c r="AD262" s="108">
        <v>234628028.06316063</v>
      </c>
      <c r="AE262" s="108">
        <v>2958874119.436955</v>
      </c>
      <c r="AF262" s="108">
        <v>3638960827.2482967</v>
      </c>
      <c r="AG262" s="108">
        <v>4625225272.1741476</v>
      </c>
      <c r="AH262" s="108">
        <v>5048904240.6302204</v>
      </c>
      <c r="AI262" s="108">
        <v>6198360962.4681053</v>
      </c>
      <c r="AJ262" s="108">
        <v>6913382113.9799242</v>
      </c>
      <c r="AK262" s="108">
        <v>197049760.46930581</v>
      </c>
      <c r="AL262" s="108">
        <v>229895741.2915071</v>
      </c>
      <c r="AM262" s="108">
        <v>484506661.28292543</v>
      </c>
      <c r="AN262" s="108">
        <v>591728490.0145905</v>
      </c>
      <c r="AO262" s="108">
        <v>723674665.45537293</v>
      </c>
      <c r="AP262" s="108">
        <v>834130398.94605076</v>
      </c>
      <c r="AQ262" s="108">
        <v>416664165.26459563</v>
      </c>
      <c r="AR262" s="108">
        <v>467519405.38946486</v>
      </c>
      <c r="AS262" s="108">
        <v>568265404.30441093</v>
      </c>
      <c r="AT262" s="108">
        <v>545642626.99544406</v>
      </c>
      <c r="AU262" s="108">
        <v>709623324.16888559</v>
      </c>
      <c r="AV262" s="108">
        <v>747009844.30824733</v>
      </c>
    </row>
    <row r="263" spans="1:48" x14ac:dyDescent="0.35">
      <c r="A263" s="107">
        <f xml:space="preserve"> ROW( slrImpacts[[#This Row],[row_id]] ) - ROW( slrImpacts[[#Headers],[row_id]] )</f>
        <v>262</v>
      </c>
      <c r="B263" s="104">
        <v>2059</v>
      </c>
      <c r="C263" s="104" t="s">
        <v>86</v>
      </c>
      <c r="D263" s="104" t="s">
        <v>208</v>
      </c>
      <c r="E263" s="104" t="s">
        <v>922</v>
      </c>
      <c r="F263" s="104"/>
      <c r="G263" s="105">
        <v>0</v>
      </c>
      <c r="H263" s="105">
        <v>0</v>
      </c>
      <c r="I263" s="105">
        <v>0</v>
      </c>
      <c r="J263" s="105">
        <v>0</v>
      </c>
      <c r="K263" s="105">
        <v>0</v>
      </c>
      <c r="L263" s="105">
        <v>0</v>
      </c>
      <c r="M263" s="106">
        <v>1188473723.3463247</v>
      </c>
      <c r="N263" s="106">
        <v>1343096154.6162663</v>
      </c>
      <c r="O263" s="106">
        <v>1628906048.6701119</v>
      </c>
      <c r="P263" s="106">
        <v>1699067319.1407771</v>
      </c>
      <c r="Q263" s="106">
        <v>2179433272.5810127</v>
      </c>
      <c r="R263" s="106">
        <v>2446646999.829957</v>
      </c>
      <c r="S263" s="105">
        <v>0</v>
      </c>
      <c r="T263" s="105">
        <v>0</v>
      </c>
      <c r="U263" s="105">
        <v>0</v>
      </c>
      <c r="V263" s="105">
        <v>0</v>
      </c>
      <c r="W263" s="105">
        <v>0</v>
      </c>
      <c r="X263" s="105">
        <v>0</v>
      </c>
      <c r="Y263" s="106">
        <v>106563428.05565879</v>
      </c>
      <c r="Z263" s="106">
        <v>114047062.8478246</v>
      </c>
      <c r="AA263" s="106">
        <v>151008584.67974928</v>
      </c>
      <c r="AB263" s="108">
        <v>168088791.19960025</v>
      </c>
      <c r="AC263" s="108">
        <v>206665242.12841943</v>
      </c>
      <c r="AD263" s="108">
        <v>239968215.99945012</v>
      </c>
      <c r="AE263" s="108">
        <v>2990964365.393877</v>
      </c>
      <c r="AF263" s="108">
        <v>3702159267.5731306</v>
      </c>
      <c r="AG263" s="108">
        <v>4662062903.4939404</v>
      </c>
      <c r="AH263" s="108">
        <v>5105823479.4369984</v>
      </c>
      <c r="AI263" s="108">
        <v>6288192541.3388262</v>
      </c>
      <c r="AJ263" s="108">
        <v>7028018076.0671625</v>
      </c>
      <c r="AK263" s="108">
        <v>198644090.56048623</v>
      </c>
      <c r="AL263" s="108">
        <v>232136014.57049349</v>
      </c>
      <c r="AM263" s="108">
        <v>488925021.18341804</v>
      </c>
      <c r="AN263" s="108">
        <v>600177321.84478211</v>
      </c>
      <c r="AO263" s="108">
        <v>735893874.53833616</v>
      </c>
      <c r="AP263" s="108">
        <v>851746432.03389478</v>
      </c>
      <c r="AQ263" s="108">
        <v>423373607.82655466</v>
      </c>
      <c r="AR263" s="108">
        <v>471457747.04624879</v>
      </c>
      <c r="AS263" s="108">
        <v>574778259.51349247</v>
      </c>
      <c r="AT263" s="108">
        <v>547232935.87805986</v>
      </c>
      <c r="AU263" s="108">
        <v>714281229.72963035</v>
      </c>
      <c r="AV263" s="108">
        <v>755706791.54836357</v>
      </c>
    </row>
    <row r="264" spans="1:48" x14ac:dyDescent="0.35">
      <c r="A264" s="107">
        <f xml:space="preserve"> ROW( slrImpacts[[#This Row],[row_id]] ) - ROW( slrImpacts[[#Headers],[row_id]] )</f>
        <v>263</v>
      </c>
      <c r="B264" s="104">
        <v>2060</v>
      </c>
      <c r="C264" s="104" t="s">
        <v>86</v>
      </c>
      <c r="D264" s="104" t="s">
        <v>208</v>
      </c>
      <c r="E264" s="104" t="s">
        <v>922</v>
      </c>
      <c r="F264" s="104"/>
      <c r="G264" s="105">
        <v>0</v>
      </c>
      <c r="H264" s="105">
        <v>0</v>
      </c>
      <c r="I264" s="105">
        <v>0</v>
      </c>
      <c r="J264" s="105">
        <v>0</v>
      </c>
      <c r="K264" s="105">
        <v>0</v>
      </c>
      <c r="L264" s="105">
        <v>0</v>
      </c>
      <c r="M264" s="106">
        <v>1210292330.7702236</v>
      </c>
      <c r="N264" s="106">
        <v>1351037051.3950124</v>
      </c>
      <c r="O264" s="106">
        <v>1641210770.2777295</v>
      </c>
      <c r="P264" s="106">
        <v>1715436033.3839607</v>
      </c>
      <c r="Q264" s="106">
        <v>2206288352.9470587</v>
      </c>
      <c r="R264" s="106">
        <v>2493586944.2127624</v>
      </c>
      <c r="S264" s="105">
        <v>0</v>
      </c>
      <c r="T264" s="105">
        <v>0</v>
      </c>
      <c r="U264" s="105">
        <v>0</v>
      </c>
      <c r="V264" s="105">
        <v>0</v>
      </c>
      <c r="W264" s="105">
        <v>0</v>
      </c>
      <c r="X264" s="105">
        <v>0</v>
      </c>
      <c r="Y264" s="106">
        <v>106933893.17485109</v>
      </c>
      <c r="Z264" s="106">
        <v>114578003.47648339</v>
      </c>
      <c r="AA264" s="106">
        <v>152655245.92872629</v>
      </c>
      <c r="AB264" s="108">
        <v>169070871.88732943</v>
      </c>
      <c r="AC264" s="108">
        <v>209396134.70482612</v>
      </c>
      <c r="AD264" s="108">
        <v>245612835.22655252</v>
      </c>
      <c r="AE264" s="108">
        <v>3027275490.5261564</v>
      </c>
      <c r="AF264" s="108">
        <v>3758969727.5121198</v>
      </c>
      <c r="AG264" s="108">
        <v>4696196404.3234959</v>
      </c>
      <c r="AH264" s="108">
        <v>5154596398.5593548</v>
      </c>
      <c r="AI264" s="108">
        <v>6370398245.0534315</v>
      </c>
      <c r="AJ264" s="108">
        <v>7134324267.5387011</v>
      </c>
      <c r="AK264" s="108">
        <v>200227584.49928081</v>
      </c>
      <c r="AL264" s="108">
        <v>234948882.23792505</v>
      </c>
      <c r="AM264" s="108">
        <v>493340037.05549592</v>
      </c>
      <c r="AN264" s="108">
        <v>608534443.76255536</v>
      </c>
      <c r="AO264" s="108">
        <v>748032177.77021229</v>
      </c>
      <c r="AP264" s="108">
        <v>869299560.49973309</v>
      </c>
      <c r="AQ264" s="108">
        <v>430529229.44163531</v>
      </c>
      <c r="AR264" s="108">
        <v>475943793.58496284</v>
      </c>
      <c r="AS264" s="108">
        <v>581903849.81247842</v>
      </c>
      <c r="AT264" s="108">
        <v>547887969.032004</v>
      </c>
      <c r="AU264" s="108">
        <v>717997398.73797381</v>
      </c>
      <c r="AV264" s="108">
        <v>763364950.12285626</v>
      </c>
    </row>
    <row r="265" spans="1:48" x14ac:dyDescent="0.35">
      <c r="A265" s="107">
        <f xml:space="preserve"> ROW( slrImpacts[[#This Row],[row_id]] ) - ROW( slrImpacts[[#Headers],[row_id]] )</f>
        <v>264</v>
      </c>
      <c r="B265" s="104">
        <v>2061</v>
      </c>
      <c r="C265" s="104" t="s">
        <v>86</v>
      </c>
      <c r="D265" s="104" t="s">
        <v>208</v>
      </c>
      <c r="E265" s="104" t="s">
        <v>922</v>
      </c>
      <c r="F265" s="104"/>
      <c r="G265" s="105">
        <v>0</v>
      </c>
      <c r="H265" s="105">
        <v>0</v>
      </c>
      <c r="I265" s="105">
        <v>0</v>
      </c>
      <c r="J265" s="105">
        <v>0</v>
      </c>
      <c r="K265" s="105">
        <v>0</v>
      </c>
      <c r="L265" s="105">
        <v>0</v>
      </c>
      <c r="M265" s="106">
        <v>1231353251.0929019</v>
      </c>
      <c r="N265" s="106">
        <v>1359287281.7609222</v>
      </c>
      <c r="O265" s="106">
        <v>1654237359.2090111</v>
      </c>
      <c r="P265" s="106">
        <v>1732768220.1716869</v>
      </c>
      <c r="Q265" s="106">
        <v>2235049248.8523016</v>
      </c>
      <c r="R265" s="106">
        <v>2542755139.9703951</v>
      </c>
      <c r="S265" s="105">
        <v>0</v>
      </c>
      <c r="T265" s="105">
        <v>0</v>
      </c>
      <c r="U265" s="105">
        <v>0</v>
      </c>
      <c r="V265" s="105">
        <v>0</v>
      </c>
      <c r="W265" s="105">
        <v>0</v>
      </c>
      <c r="X265" s="105">
        <v>0</v>
      </c>
      <c r="Y265" s="106">
        <v>107298355.12123777</v>
      </c>
      <c r="Z265" s="106">
        <v>115137828.96972898</v>
      </c>
      <c r="AA265" s="106">
        <v>153909393.11339852</v>
      </c>
      <c r="AB265" s="108">
        <v>170096459.44878459</v>
      </c>
      <c r="AC265" s="108">
        <v>212397358.13342699</v>
      </c>
      <c r="AD265" s="108">
        <v>251572032.39017048</v>
      </c>
      <c r="AE265" s="108">
        <v>3067163917.119256</v>
      </c>
      <c r="AF265" s="108">
        <v>3818036190.1098542</v>
      </c>
      <c r="AG265" s="108">
        <v>4735148448.0688457</v>
      </c>
      <c r="AH265" s="108">
        <v>5206641904.8623991</v>
      </c>
      <c r="AI265" s="108">
        <v>6459678543.8776693</v>
      </c>
      <c r="AJ265" s="108">
        <v>7248286892.5382071</v>
      </c>
      <c r="AK265" s="108">
        <v>201839860.26234898</v>
      </c>
      <c r="AL265" s="108">
        <v>239293646.51401159</v>
      </c>
      <c r="AM265" s="108">
        <v>497817934.64964235</v>
      </c>
      <c r="AN265" s="108">
        <v>616941574.6653012</v>
      </c>
      <c r="AO265" s="108">
        <v>760354070.71929944</v>
      </c>
      <c r="AP265" s="108">
        <v>887141560.15041757</v>
      </c>
      <c r="AQ265" s="108">
        <v>438020679.88141394</v>
      </c>
      <c r="AR265" s="108">
        <v>480780782.03714144</v>
      </c>
      <c r="AS265" s="108">
        <v>589324890.40861976</v>
      </c>
      <c r="AT265" s="108">
        <v>548515867.72580922</v>
      </c>
      <c r="AU265" s="108">
        <v>720769382.78820634</v>
      </c>
      <c r="AV265" s="108">
        <v>770845239.28307092</v>
      </c>
    </row>
    <row r="266" spans="1:48" x14ac:dyDescent="0.35">
      <c r="A266" s="107">
        <f xml:space="preserve"> ROW( slrImpacts[[#This Row],[row_id]] ) - ROW( slrImpacts[[#Headers],[row_id]] )</f>
        <v>265</v>
      </c>
      <c r="B266" s="104">
        <v>2062</v>
      </c>
      <c r="C266" s="104" t="s">
        <v>86</v>
      </c>
      <c r="D266" s="104" t="s">
        <v>208</v>
      </c>
      <c r="E266" s="104" t="s">
        <v>922</v>
      </c>
      <c r="F266" s="104"/>
      <c r="G266" s="105">
        <v>0</v>
      </c>
      <c r="H266" s="105">
        <v>0</v>
      </c>
      <c r="I266" s="105">
        <v>0</v>
      </c>
      <c r="J266" s="105">
        <v>0</v>
      </c>
      <c r="K266" s="105">
        <v>0</v>
      </c>
      <c r="L266" s="105">
        <v>0</v>
      </c>
      <c r="M266" s="106">
        <v>1247214334.0872269</v>
      </c>
      <c r="N266" s="106">
        <v>1365519112.457242</v>
      </c>
      <c r="O266" s="106">
        <v>1665444247.2844403</v>
      </c>
      <c r="P266" s="106">
        <v>1748973122.1959193</v>
      </c>
      <c r="Q266" s="106">
        <v>2263271688.197937</v>
      </c>
      <c r="R266" s="106">
        <v>2591904823.2588983</v>
      </c>
      <c r="S266" s="105">
        <v>0</v>
      </c>
      <c r="T266" s="105">
        <v>0</v>
      </c>
      <c r="U266" s="105">
        <v>0</v>
      </c>
      <c r="V266" s="105">
        <v>0</v>
      </c>
      <c r="W266" s="105">
        <v>0</v>
      </c>
      <c r="X266" s="105">
        <v>0</v>
      </c>
      <c r="Y266" s="106">
        <v>107548790.59278402</v>
      </c>
      <c r="Z266" s="106">
        <v>115560036.30368446</v>
      </c>
      <c r="AA266" s="106">
        <v>154886993.33035451</v>
      </c>
      <c r="AB266" s="108">
        <v>170795695.3753517</v>
      </c>
      <c r="AC266" s="108">
        <v>215136548.02333409</v>
      </c>
      <c r="AD266" s="108">
        <v>257145994.9963015</v>
      </c>
      <c r="AE266" s="108">
        <v>3102600068.5970373</v>
      </c>
      <c r="AF266" s="108">
        <v>3867911026.7757363</v>
      </c>
      <c r="AG266" s="108">
        <v>4765538016.910882</v>
      </c>
      <c r="AH266" s="108">
        <v>5252143899.8337336</v>
      </c>
      <c r="AI266" s="108">
        <v>6542541944.4814405</v>
      </c>
      <c r="AJ266" s="108">
        <v>7355502815.6400452</v>
      </c>
      <c r="AK266" s="108">
        <v>203337961.02059165</v>
      </c>
      <c r="AL266" s="108">
        <v>244531565.68155959</v>
      </c>
      <c r="AM266" s="108">
        <v>502104254.674941</v>
      </c>
      <c r="AN266" s="108">
        <v>625229633.17091012</v>
      </c>
      <c r="AO266" s="108">
        <v>772736100.90146482</v>
      </c>
      <c r="AP266" s="108">
        <v>905121147.74246502</v>
      </c>
      <c r="AQ266" s="108">
        <v>444311575.71252829</v>
      </c>
      <c r="AR266" s="108">
        <v>484212754.61542463</v>
      </c>
      <c r="AS266" s="108">
        <v>594516516.82426131</v>
      </c>
      <c r="AT266" s="108">
        <v>547831806.63438129</v>
      </c>
      <c r="AU266" s="108">
        <v>720875331.84490418</v>
      </c>
      <c r="AV266" s="108">
        <v>776696658.40916073</v>
      </c>
    </row>
    <row r="267" spans="1:48" x14ac:dyDescent="0.35">
      <c r="A267" s="107">
        <f xml:space="preserve"> ROW( slrImpacts[[#This Row],[row_id]] ) - ROW( slrImpacts[[#Headers],[row_id]] )</f>
        <v>266</v>
      </c>
      <c r="B267" s="104">
        <v>2063</v>
      </c>
      <c r="C267" s="104" t="s">
        <v>86</v>
      </c>
      <c r="D267" s="104" t="s">
        <v>208</v>
      </c>
      <c r="E267" s="104" t="s">
        <v>922</v>
      </c>
      <c r="F267" s="104"/>
      <c r="G267" s="105">
        <v>0</v>
      </c>
      <c r="H267" s="105">
        <v>0</v>
      </c>
      <c r="I267" s="105">
        <v>0</v>
      </c>
      <c r="J267" s="105">
        <v>0</v>
      </c>
      <c r="K267" s="105">
        <v>0</v>
      </c>
      <c r="L267" s="105">
        <v>0</v>
      </c>
      <c r="M267" s="106">
        <v>1255637483.2342052</v>
      </c>
      <c r="N267" s="106">
        <v>1371750943.1535621</v>
      </c>
      <c r="O267" s="106">
        <v>1676662782.6721108</v>
      </c>
      <c r="P267" s="106">
        <v>1765286533.0620072</v>
      </c>
      <c r="Q267" s="106">
        <v>2292630405.5434594</v>
      </c>
      <c r="R267" s="106">
        <v>2642566137.7635651</v>
      </c>
      <c r="S267" s="105">
        <v>0</v>
      </c>
      <c r="T267" s="105">
        <v>0</v>
      </c>
      <c r="U267" s="105">
        <v>0</v>
      </c>
      <c r="V267" s="105">
        <v>0</v>
      </c>
      <c r="W267" s="105">
        <v>0</v>
      </c>
      <c r="X267" s="105">
        <v>0</v>
      </c>
      <c r="Y267" s="106">
        <v>107799226.06433029</v>
      </c>
      <c r="Z267" s="106">
        <v>115982243.63763994</v>
      </c>
      <c r="AA267" s="106">
        <v>155864593.54731044</v>
      </c>
      <c r="AB267" s="108">
        <v>171494931.3019188</v>
      </c>
      <c r="AC267" s="108">
        <v>217942554.89845219</v>
      </c>
      <c r="AD267" s="108">
        <v>262807793.11808369</v>
      </c>
      <c r="AE267" s="108">
        <v>3138036220.0748167</v>
      </c>
      <c r="AF267" s="108">
        <v>3909376376.9826131</v>
      </c>
      <c r="AG267" s="108">
        <v>4796092552.8933516</v>
      </c>
      <c r="AH267" s="108">
        <v>5298093805.434515</v>
      </c>
      <c r="AI267" s="108">
        <v>6625683553.5410423</v>
      </c>
      <c r="AJ267" s="108">
        <v>7462671701.3433094</v>
      </c>
      <c r="AK267" s="108">
        <v>204838683.07710654</v>
      </c>
      <c r="AL267" s="108">
        <v>252524023.7432268</v>
      </c>
      <c r="AM267" s="108">
        <v>506396979.41593516</v>
      </c>
      <c r="AN267" s="108">
        <v>633573652.14367843</v>
      </c>
      <c r="AO267" s="108">
        <v>785251690.78905988</v>
      </c>
      <c r="AP267" s="108">
        <v>923259988.16771662</v>
      </c>
      <c r="AQ267" s="108">
        <v>450602471.54364258</v>
      </c>
      <c r="AR267" s="108">
        <v>487644727.19370806</v>
      </c>
      <c r="AS267" s="108">
        <v>599708143.23990297</v>
      </c>
      <c r="AT267" s="108">
        <v>547147745.54295397</v>
      </c>
      <c r="AU267" s="108">
        <v>721064813.14488208</v>
      </c>
      <c r="AV267" s="108">
        <v>782759507.41819084</v>
      </c>
    </row>
    <row r="268" spans="1:48" x14ac:dyDescent="0.35">
      <c r="A268" s="107">
        <f xml:space="preserve"> ROW( slrImpacts[[#This Row],[row_id]] ) - ROW( slrImpacts[[#Headers],[row_id]] )</f>
        <v>267</v>
      </c>
      <c r="B268" s="104">
        <v>2064</v>
      </c>
      <c r="C268" s="104" t="s">
        <v>86</v>
      </c>
      <c r="D268" s="104" t="s">
        <v>208</v>
      </c>
      <c r="E268" s="104" t="s">
        <v>922</v>
      </c>
      <c r="F268" s="104"/>
      <c r="G268" s="105">
        <v>0</v>
      </c>
      <c r="H268" s="105">
        <v>0</v>
      </c>
      <c r="I268" s="105">
        <v>0</v>
      </c>
      <c r="J268" s="105">
        <v>0</v>
      </c>
      <c r="K268" s="105">
        <v>0</v>
      </c>
      <c r="L268" s="105">
        <v>0</v>
      </c>
      <c r="M268" s="106">
        <v>1263857865.3816421</v>
      </c>
      <c r="N268" s="106">
        <v>1377982773.8498831</v>
      </c>
      <c r="O268" s="106">
        <v>1687890121.2787721</v>
      </c>
      <c r="P268" s="106">
        <v>1781729842.6253593</v>
      </c>
      <c r="Q268" s="106">
        <v>2323171893.8492994</v>
      </c>
      <c r="R268" s="106">
        <v>2694793763.520349</v>
      </c>
      <c r="S268" s="105">
        <v>0</v>
      </c>
      <c r="T268" s="105">
        <v>0</v>
      </c>
      <c r="U268" s="105">
        <v>0</v>
      </c>
      <c r="V268" s="105">
        <v>0</v>
      </c>
      <c r="W268" s="105">
        <v>0</v>
      </c>
      <c r="X268" s="105">
        <v>0</v>
      </c>
      <c r="Y268" s="106">
        <v>108049661.53587654</v>
      </c>
      <c r="Z268" s="106">
        <v>116404450.97159547</v>
      </c>
      <c r="AA268" s="106">
        <v>156843430.14840993</v>
      </c>
      <c r="AB268" s="108">
        <v>172194167.22848591</v>
      </c>
      <c r="AC268" s="108">
        <v>220806772.21403912</v>
      </c>
      <c r="AD268" s="108">
        <v>268473649.6937266</v>
      </c>
      <c r="AE268" s="108">
        <v>3173472371.552598</v>
      </c>
      <c r="AF268" s="108">
        <v>3942196445.7885909</v>
      </c>
      <c r="AG268" s="108">
        <v>4826718357.6633854</v>
      </c>
      <c r="AH268" s="108">
        <v>5344526886.7821693</v>
      </c>
      <c r="AI268" s="108">
        <v>6709431452.8097286</v>
      </c>
      <c r="AJ268" s="108">
        <v>7570632867.0237274</v>
      </c>
      <c r="AK268" s="108">
        <v>206338168.74947792</v>
      </c>
      <c r="AL268" s="108">
        <v>260683839.25422737</v>
      </c>
      <c r="AM268" s="108">
        <v>510698507.37591916</v>
      </c>
      <c r="AN268" s="108">
        <v>641995689.8239423</v>
      </c>
      <c r="AO268" s="108">
        <v>797900294.40640688</v>
      </c>
      <c r="AP268" s="108">
        <v>941534712.53669918</v>
      </c>
      <c r="AQ268" s="108">
        <v>456018007.40112907</v>
      </c>
      <c r="AR268" s="108">
        <v>491076699.77199119</v>
      </c>
      <c r="AS268" s="108">
        <v>604899769.65554464</v>
      </c>
      <c r="AT268" s="108">
        <v>546463684.45152628</v>
      </c>
      <c r="AU268" s="108">
        <v>721380112.66472793</v>
      </c>
      <c r="AV268" s="108">
        <v>789030942.21691036</v>
      </c>
    </row>
    <row r="269" spans="1:48" x14ac:dyDescent="0.35">
      <c r="A269" s="107">
        <f xml:space="preserve"> ROW( slrImpacts[[#This Row],[row_id]] ) - ROW( slrImpacts[[#Headers],[row_id]] )</f>
        <v>268</v>
      </c>
      <c r="B269" s="104">
        <v>2065</v>
      </c>
      <c r="C269" s="104" t="s">
        <v>86</v>
      </c>
      <c r="D269" s="104" t="s">
        <v>208</v>
      </c>
      <c r="E269" s="104" t="s">
        <v>922</v>
      </c>
      <c r="F269" s="104"/>
      <c r="G269" s="105">
        <v>0</v>
      </c>
      <c r="H269" s="105">
        <v>0</v>
      </c>
      <c r="I269" s="105">
        <v>0</v>
      </c>
      <c r="J269" s="105">
        <v>0</v>
      </c>
      <c r="K269" s="105">
        <v>0</v>
      </c>
      <c r="L269" s="105">
        <v>0</v>
      </c>
      <c r="M269" s="106">
        <v>1275486567.8470106</v>
      </c>
      <c r="N269" s="106">
        <v>1388227742.3926234</v>
      </c>
      <c r="O269" s="106">
        <v>1707026978.316654</v>
      </c>
      <c r="P269" s="106">
        <v>1822061004.9297101</v>
      </c>
      <c r="Q269" s="106">
        <v>2381123131.0903702</v>
      </c>
      <c r="R269" s="106">
        <v>2783488402.1861453</v>
      </c>
      <c r="S269" s="105">
        <v>0</v>
      </c>
      <c r="T269" s="105">
        <v>0</v>
      </c>
      <c r="U269" s="105">
        <v>0</v>
      </c>
      <c r="V269" s="105">
        <v>0</v>
      </c>
      <c r="W269" s="105">
        <v>0</v>
      </c>
      <c r="X269" s="105">
        <v>0</v>
      </c>
      <c r="Y269" s="106">
        <v>108452871.88081476</v>
      </c>
      <c r="Z269" s="106">
        <v>117014641.51282296</v>
      </c>
      <c r="AA269" s="106">
        <v>158285740.91370678</v>
      </c>
      <c r="AB269" s="108">
        <v>172130356.05186528</v>
      </c>
      <c r="AC269" s="108">
        <v>226076094.48482323</v>
      </c>
      <c r="AD269" s="108">
        <v>271708557.81983179</v>
      </c>
      <c r="AE269" s="108">
        <v>3217192564.7840447</v>
      </c>
      <c r="AF269" s="108">
        <v>3982235991.9356313</v>
      </c>
      <c r="AG269" s="108">
        <v>4886084549.114397</v>
      </c>
      <c r="AH269" s="108">
        <v>5456217061.8302107</v>
      </c>
      <c r="AI269" s="108">
        <v>6875493337.4262743</v>
      </c>
      <c r="AJ269" s="108">
        <v>7797200180.4614582</v>
      </c>
      <c r="AK269" s="108">
        <v>209128149.84862551</v>
      </c>
      <c r="AL269" s="108">
        <v>271775494.59235734</v>
      </c>
      <c r="AM269" s="108">
        <v>520085139.81385988</v>
      </c>
      <c r="AN269" s="108">
        <v>659924215.05967677</v>
      </c>
      <c r="AO269" s="108">
        <v>824795393.71515954</v>
      </c>
      <c r="AP269" s="108">
        <v>978850017.95039701</v>
      </c>
      <c r="AQ269" s="108">
        <v>460242288.80922657</v>
      </c>
      <c r="AR269" s="108">
        <v>495727583.81427753</v>
      </c>
      <c r="AS269" s="108">
        <v>613871406.35774732</v>
      </c>
      <c r="AT269" s="108">
        <v>549823982.12464404</v>
      </c>
      <c r="AU269" s="108">
        <v>728869152.87091243</v>
      </c>
      <c r="AV269" s="108">
        <v>803823096.02440047</v>
      </c>
    </row>
    <row r="270" spans="1:48" x14ac:dyDescent="0.35">
      <c r="A270" s="107">
        <f xml:space="preserve"> ROW( slrImpacts[[#This Row],[row_id]] ) - ROW( slrImpacts[[#Headers],[row_id]] )</f>
        <v>269</v>
      </c>
      <c r="B270" s="104">
        <v>2066</v>
      </c>
      <c r="C270" s="104" t="s">
        <v>86</v>
      </c>
      <c r="D270" s="104" t="s">
        <v>208</v>
      </c>
      <c r="E270" s="104" t="s">
        <v>922</v>
      </c>
      <c r="F270" s="104"/>
      <c r="G270" s="105">
        <v>0</v>
      </c>
      <c r="H270" s="105">
        <v>0</v>
      </c>
      <c r="I270" s="105">
        <v>0</v>
      </c>
      <c r="J270" s="105">
        <v>0</v>
      </c>
      <c r="K270" s="105">
        <v>0</v>
      </c>
      <c r="L270" s="105">
        <v>0</v>
      </c>
      <c r="M270" s="106">
        <v>1283704648.730943</v>
      </c>
      <c r="N270" s="106">
        <v>1393078512.3249235</v>
      </c>
      <c r="O270" s="106">
        <v>1716457136.8431532</v>
      </c>
      <c r="P270" s="106">
        <v>1846987774.2311909</v>
      </c>
      <c r="Q270" s="106">
        <v>2419975066.2311091</v>
      </c>
      <c r="R270" s="106">
        <v>2837681954.3066468</v>
      </c>
      <c r="S270" s="105">
        <v>0</v>
      </c>
      <c r="T270" s="105">
        <v>0</v>
      </c>
      <c r="U270" s="105">
        <v>0</v>
      </c>
      <c r="V270" s="105">
        <v>0</v>
      </c>
      <c r="W270" s="105">
        <v>0</v>
      </c>
      <c r="X270" s="105">
        <v>0</v>
      </c>
      <c r="Y270" s="106">
        <v>108708736.69093885</v>
      </c>
      <c r="Z270" s="106">
        <v>117361038.61484763</v>
      </c>
      <c r="AA270" s="106">
        <v>159257829.28177658</v>
      </c>
      <c r="AB270" s="108">
        <v>171658092.65111187</v>
      </c>
      <c r="AC270" s="108">
        <v>229672253.76438224</v>
      </c>
      <c r="AD270" s="108">
        <v>271394705.80654728</v>
      </c>
      <c r="AE270" s="108">
        <v>3259937822.3085566</v>
      </c>
      <c r="AF270" s="108">
        <v>4008191804.6541996</v>
      </c>
      <c r="AG270" s="108">
        <v>4921085558.8394403</v>
      </c>
      <c r="AH270" s="108">
        <v>5523500387.136651</v>
      </c>
      <c r="AI270" s="108">
        <v>6975642286.2627115</v>
      </c>
      <c r="AJ270" s="108">
        <v>7938658523.6529541</v>
      </c>
      <c r="AK270" s="108">
        <v>210529253.90271771</v>
      </c>
      <c r="AL270" s="108">
        <v>283669426.71444917</v>
      </c>
      <c r="AM270" s="108">
        <v>525401677.01228136</v>
      </c>
      <c r="AN270" s="108">
        <v>669752704.04538631</v>
      </c>
      <c r="AO270" s="108">
        <v>840850292.22622669</v>
      </c>
      <c r="AP270" s="108">
        <v>1001006671.0397295</v>
      </c>
      <c r="AQ270" s="108">
        <v>463008442.44856119</v>
      </c>
      <c r="AR270" s="108">
        <v>498795674.7523545</v>
      </c>
      <c r="AS270" s="108">
        <v>620188184.66600156</v>
      </c>
      <c r="AT270" s="108">
        <v>553478220.93614173</v>
      </c>
      <c r="AU270" s="108">
        <v>735824087.8147496</v>
      </c>
      <c r="AV270" s="108">
        <v>813531944.73412478</v>
      </c>
    </row>
    <row r="271" spans="1:48" x14ac:dyDescent="0.35">
      <c r="A271" s="107">
        <f xml:space="preserve"> ROW( slrImpacts[[#This Row],[row_id]] ) - ROW( slrImpacts[[#Headers],[row_id]] )</f>
        <v>270</v>
      </c>
      <c r="B271" s="104">
        <v>2067</v>
      </c>
      <c r="C271" s="104" t="s">
        <v>86</v>
      </c>
      <c r="D271" s="104" t="s">
        <v>208</v>
      </c>
      <c r="E271" s="104" t="s">
        <v>922</v>
      </c>
      <c r="F271" s="104"/>
      <c r="G271" s="105">
        <v>0</v>
      </c>
      <c r="H271" s="105">
        <v>0</v>
      </c>
      <c r="I271" s="105">
        <v>0</v>
      </c>
      <c r="J271" s="105">
        <v>0</v>
      </c>
      <c r="K271" s="105">
        <v>0</v>
      </c>
      <c r="L271" s="105">
        <v>0</v>
      </c>
      <c r="M271" s="106">
        <v>1291262500.4822247</v>
      </c>
      <c r="N271" s="106">
        <v>1397929282.2572231</v>
      </c>
      <c r="O271" s="106">
        <v>1725888680.2837811</v>
      </c>
      <c r="P271" s="106">
        <v>1872119590.7234497</v>
      </c>
      <c r="Q271" s="106">
        <v>2454475403.4569182</v>
      </c>
      <c r="R271" s="106">
        <v>2893697346.1165433</v>
      </c>
      <c r="S271" s="105">
        <v>0</v>
      </c>
      <c r="T271" s="105">
        <v>0</v>
      </c>
      <c r="U271" s="105">
        <v>0</v>
      </c>
      <c r="V271" s="105">
        <v>0</v>
      </c>
      <c r="W271" s="105">
        <v>0</v>
      </c>
      <c r="X271" s="105">
        <v>0</v>
      </c>
      <c r="Y271" s="106">
        <v>108964601.50106293</v>
      </c>
      <c r="Z271" s="106">
        <v>117707435.71687238</v>
      </c>
      <c r="AA271" s="106">
        <v>160232464.68312603</v>
      </c>
      <c r="AB271" s="108">
        <v>171185829.25035849</v>
      </c>
      <c r="AC271" s="108">
        <v>233386293.10400024</v>
      </c>
      <c r="AD271" s="108">
        <v>271161122.47406757</v>
      </c>
      <c r="AE271" s="108">
        <v>3302689755.9946642</v>
      </c>
      <c r="AF271" s="108">
        <v>4028885361.091341</v>
      </c>
      <c r="AG271" s="108">
        <v>4956319833.8927755</v>
      </c>
      <c r="AH271" s="108">
        <v>5591776037.7357874</v>
      </c>
      <c r="AI271" s="108">
        <v>7075198231.1514463</v>
      </c>
      <c r="AJ271" s="108">
        <v>8082817291.6576309</v>
      </c>
      <c r="AK271" s="108">
        <v>211931594.34095344</v>
      </c>
      <c r="AL271" s="108">
        <v>299435554.16585326</v>
      </c>
      <c r="AM271" s="108">
        <v>530723234.01226944</v>
      </c>
      <c r="AN271" s="108">
        <v>679633667.14080226</v>
      </c>
      <c r="AO271" s="108">
        <v>857087537.42353237</v>
      </c>
      <c r="AP271" s="108">
        <v>1023254126.1472187</v>
      </c>
      <c r="AQ271" s="108">
        <v>465774596.08789599</v>
      </c>
      <c r="AR271" s="108">
        <v>501863765.69043154</v>
      </c>
      <c r="AS271" s="108">
        <v>626504962.97425592</v>
      </c>
      <c r="AT271" s="108">
        <v>557135006.78091884</v>
      </c>
      <c r="AU271" s="108">
        <v>743012213.82189214</v>
      </c>
      <c r="AV271" s="108">
        <v>823452965.97671461</v>
      </c>
    </row>
    <row r="272" spans="1:48" x14ac:dyDescent="0.35">
      <c r="A272" s="107">
        <f xml:space="preserve"> ROW( slrImpacts[[#This Row],[row_id]] ) - ROW( slrImpacts[[#Headers],[row_id]] )</f>
        <v>271</v>
      </c>
      <c r="B272" s="104">
        <v>2068</v>
      </c>
      <c r="C272" s="104" t="s">
        <v>86</v>
      </c>
      <c r="D272" s="104" t="s">
        <v>208</v>
      </c>
      <c r="E272" s="104" t="s">
        <v>922</v>
      </c>
      <c r="F272" s="104"/>
      <c r="G272" s="105">
        <v>0</v>
      </c>
      <c r="H272" s="105">
        <v>0</v>
      </c>
      <c r="I272" s="105">
        <v>0</v>
      </c>
      <c r="J272" s="105">
        <v>0</v>
      </c>
      <c r="K272" s="105">
        <v>0</v>
      </c>
      <c r="L272" s="105">
        <v>0</v>
      </c>
      <c r="M272" s="106">
        <v>1297070635.6368167</v>
      </c>
      <c r="N272" s="106">
        <v>1402780052.189522</v>
      </c>
      <c r="O272" s="106">
        <v>1735312731.1545568</v>
      </c>
      <c r="P272" s="106">
        <v>1897544613.1028364</v>
      </c>
      <c r="Q272" s="106">
        <v>2489732571.1597986</v>
      </c>
      <c r="R272" s="106">
        <v>2950765431.441587</v>
      </c>
      <c r="S272" s="105">
        <v>0</v>
      </c>
      <c r="T272" s="105">
        <v>0</v>
      </c>
      <c r="U272" s="105">
        <v>0</v>
      </c>
      <c r="V272" s="105">
        <v>0</v>
      </c>
      <c r="W272" s="105">
        <v>0</v>
      </c>
      <c r="X272" s="105">
        <v>0</v>
      </c>
      <c r="Y272" s="106">
        <v>109220466.311187</v>
      </c>
      <c r="Z272" s="106">
        <v>118053832.81889708</v>
      </c>
      <c r="AA272" s="106">
        <v>161212119.88604212</v>
      </c>
      <c r="AB272" s="108">
        <v>170713565.84960502</v>
      </c>
      <c r="AC272" s="108">
        <v>237227190.37338218</v>
      </c>
      <c r="AD272" s="108">
        <v>271012901.88895214</v>
      </c>
      <c r="AE272" s="108">
        <v>3341675956.0444431</v>
      </c>
      <c r="AF272" s="108">
        <v>4048394461.5189705</v>
      </c>
      <c r="AG272" s="108">
        <v>4991836287.7616739</v>
      </c>
      <c r="AH272" s="108">
        <v>5661546700.5815554</v>
      </c>
      <c r="AI272" s="108">
        <v>7173861416.0347624</v>
      </c>
      <c r="AJ272" s="108">
        <v>8227331146.7212152</v>
      </c>
      <c r="AK272" s="108">
        <v>213335245.42832533</v>
      </c>
      <c r="AL272" s="108">
        <v>315461190.14620453</v>
      </c>
      <c r="AM272" s="108">
        <v>536047486.57552195</v>
      </c>
      <c r="AN272" s="108">
        <v>689573434.79662728</v>
      </c>
      <c r="AO272" s="108">
        <v>873538414.33282447</v>
      </c>
      <c r="AP272" s="108">
        <v>1045635289.4901222</v>
      </c>
      <c r="AQ272" s="108">
        <v>468540749.72723055</v>
      </c>
      <c r="AR272" s="108">
        <v>504931856.62850869</v>
      </c>
      <c r="AS272" s="108">
        <v>632821741.28251028</v>
      </c>
      <c r="AT272" s="108">
        <v>560184802.27620935</v>
      </c>
      <c r="AU272" s="108">
        <v>750426977.64665997</v>
      </c>
      <c r="AV272" s="108">
        <v>833525970.27763152</v>
      </c>
    </row>
    <row r="273" spans="1:48" x14ac:dyDescent="0.35">
      <c r="A273" s="107">
        <f xml:space="preserve"> ROW( slrImpacts[[#This Row],[row_id]] ) - ROW( slrImpacts[[#Headers],[row_id]] )</f>
        <v>272</v>
      </c>
      <c r="B273" s="104">
        <v>2069</v>
      </c>
      <c r="C273" s="104" t="s">
        <v>86</v>
      </c>
      <c r="D273" s="104" t="s">
        <v>208</v>
      </c>
      <c r="E273" s="104" t="s">
        <v>922</v>
      </c>
      <c r="F273" s="104"/>
      <c r="G273" s="105">
        <v>0</v>
      </c>
      <c r="H273" s="105">
        <v>0</v>
      </c>
      <c r="I273" s="105">
        <v>0</v>
      </c>
      <c r="J273" s="105">
        <v>0</v>
      </c>
      <c r="K273" s="105">
        <v>0</v>
      </c>
      <c r="L273" s="105">
        <v>0</v>
      </c>
      <c r="M273" s="106">
        <v>1302878770.7914102</v>
      </c>
      <c r="N273" s="106">
        <v>1407630822.1218219</v>
      </c>
      <c r="O273" s="106">
        <v>1744726519.6272192</v>
      </c>
      <c r="P273" s="106">
        <v>1923327530.790509</v>
      </c>
      <c r="Q273" s="106">
        <v>2526043498.2084527</v>
      </c>
      <c r="R273" s="106">
        <v>3008650765.1479611</v>
      </c>
      <c r="S273" s="105">
        <v>0</v>
      </c>
      <c r="T273" s="105">
        <v>0</v>
      </c>
      <c r="U273" s="105">
        <v>0</v>
      </c>
      <c r="V273" s="105">
        <v>0</v>
      </c>
      <c r="W273" s="105">
        <v>0</v>
      </c>
      <c r="X273" s="105">
        <v>0</v>
      </c>
      <c r="Y273" s="106">
        <v>109476331.12131105</v>
      </c>
      <c r="Z273" s="106">
        <v>118405175.45749596</v>
      </c>
      <c r="AA273" s="106">
        <v>162199416.18879721</v>
      </c>
      <c r="AB273" s="108">
        <v>170241302.44885162</v>
      </c>
      <c r="AC273" s="108">
        <v>241161240.01995236</v>
      </c>
      <c r="AD273" s="108">
        <v>270934565.17727506</v>
      </c>
      <c r="AE273" s="108">
        <v>3386455102.359859</v>
      </c>
      <c r="AF273" s="108">
        <v>4064764557.2656484</v>
      </c>
      <c r="AG273" s="108">
        <v>5027648498.6481781</v>
      </c>
      <c r="AH273" s="108">
        <v>5732852466.4783211</v>
      </c>
      <c r="AI273" s="108">
        <v>7271652020.5046492</v>
      </c>
      <c r="AJ273" s="108">
        <v>8364836324.7137308</v>
      </c>
      <c r="AK273" s="108">
        <v>214741369.28398412</v>
      </c>
      <c r="AL273" s="108">
        <v>331486826.12655562</v>
      </c>
      <c r="AM273" s="108">
        <v>541371664.87378216</v>
      </c>
      <c r="AN273" s="108">
        <v>699579870.9076786</v>
      </c>
      <c r="AO273" s="108">
        <v>890106852.21867275</v>
      </c>
      <c r="AP273" s="108">
        <v>1068102112.6403604</v>
      </c>
      <c r="AQ273" s="108">
        <v>471306903.36656529</v>
      </c>
      <c r="AR273" s="108">
        <v>507999947.56658584</v>
      </c>
      <c r="AS273" s="108">
        <v>639138519.59076428</v>
      </c>
      <c r="AT273" s="108">
        <v>563238306.92393053</v>
      </c>
      <c r="AU273" s="108">
        <v>758048374.3477788</v>
      </c>
      <c r="AV273" s="108">
        <v>843714482.25604331</v>
      </c>
    </row>
    <row r="274" spans="1:48" x14ac:dyDescent="0.35">
      <c r="A274" s="107">
        <f xml:space="preserve"> ROW( slrImpacts[[#This Row],[row_id]] ) - ROW( slrImpacts[[#Headers],[row_id]] )</f>
        <v>273</v>
      </c>
      <c r="B274" s="104">
        <v>2070</v>
      </c>
      <c r="C274" s="104" t="s">
        <v>86</v>
      </c>
      <c r="D274" s="104" t="s">
        <v>208</v>
      </c>
      <c r="E274" s="104" t="s">
        <v>922</v>
      </c>
      <c r="F274" s="104"/>
      <c r="G274" s="105">
        <v>0</v>
      </c>
      <c r="H274" s="105">
        <v>0</v>
      </c>
      <c r="I274" s="105">
        <v>0</v>
      </c>
      <c r="J274" s="105">
        <v>0</v>
      </c>
      <c r="K274" s="105">
        <v>0</v>
      </c>
      <c r="L274" s="105">
        <v>0</v>
      </c>
      <c r="M274" s="106">
        <v>1308405443.9952195</v>
      </c>
      <c r="N274" s="106">
        <v>1412207839.7131052</v>
      </c>
      <c r="O274" s="106">
        <v>1753908519.0006382</v>
      </c>
      <c r="P274" s="106">
        <v>1944512724.0079811</v>
      </c>
      <c r="Q274" s="106">
        <v>2561426739.1782947</v>
      </c>
      <c r="R274" s="106">
        <v>3064871408.8427563</v>
      </c>
      <c r="S274" s="105">
        <v>0</v>
      </c>
      <c r="T274" s="105">
        <v>0</v>
      </c>
      <c r="U274" s="105">
        <v>0</v>
      </c>
      <c r="V274" s="105">
        <v>0</v>
      </c>
      <c r="W274" s="105">
        <v>0</v>
      </c>
      <c r="X274" s="105">
        <v>0</v>
      </c>
      <c r="Y274" s="106">
        <v>109720777.16923715</v>
      </c>
      <c r="Z274" s="106">
        <v>118727141.93661998</v>
      </c>
      <c r="AA274" s="106">
        <v>163247226.8046574</v>
      </c>
      <c r="AB274" s="108">
        <v>169806130.57240441</v>
      </c>
      <c r="AC274" s="108">
        <v>245282035.9136571</v>
      </c>
      <c r="AD274" s="108">
        <v>270938290.01962882</v>
      </c>
      <c r="AE274" s="108">
        <v>3435023915.8417029</v>
      </c>
      <c r="AF274" s="108">
        <v>4077697604.7957187</v>
      </c>
      <c r="AG274" s="108">
        <v>5059228651.6342859</v>
      </c>
      <c r="AH274" s="108">
        <v>5793162993.3311357</v>
      </c>
      <c r="AI274" s="108">
        <v>7355372927.644331</v>
      </c>
      <c r="AJ274" s="108">
        <v>8486204742.4437122</v>
      </c>
      <c r="AK274" s="108">
        <v>216162478.2793507</v>
      </c>
      <c r="AL274" s="108">
        <v>347479079.73503131</v>
      </c>
      <c r="AM274" s="108">
        <v>546622025.69332862</v>
      </c>
      <c r="AN274" s="108">
        <v>709407877.45403719</v>
      </c>
      <c r="AO274" s="108">
        <v>906443761.87699378</v>
      </c>
      <c r="AP274" s="108">
        <v>1090323102.3184252</v>
      </c>
      <c r="AQ274" s="108">
        <v>474023090.19486535</v>
      </c>
      <c r="AR274" s="108">
        <v>511220625.1996116</v>
      </c>
      <c r="AS274" s="108">
        <v>645848105.58723986</v>
      </c>
      <c r="AT274" s="108">
        <v>564261420.03861642</v>
      </c>
      <c r="AU274" s="108">
        <v>763265409.57120466</v>
      </c>
      <c r="AV274" s="108">
        <v>849900824.68394673</v>
      </c>
    </row>
    <row r="275" spans="1:48" x14ac:dyDescent="0.35">
      <c r="A275" s="107">
        <f xml:space="preserve"> ROW( slrImpacts[[#This Row],[row_id]] ) - ROW( slrImpacts[[#Headers],[row_id]] )</f>
        <v>274</v>
      </c>
      <c r="B275" s="104">
        <v>2071</v>
      </c>
      <c r="C275" s="104" t="s">
        <v>86</v>
      </c>
      <c r="D275" s="104" t="s">
        <v>208</v>
      </c>
      <c r="E275" s="104" t="s">
        <v>922</v>
      </c>
      <c r="F275" s="104"/>
      <c r="G275" s="105">
        <v>0</v>
      </c>
      <c r="H275" s="105">
        <v>0</v>
      </c>
      <c r="I275" s="105">
        <v>0</v>
      </c>
      <c r="J275" s="105">
        <v>0</v>
      </c>
      <c r="K275" s="105">
        <v>0</v>
      </c>
      <c r="L275" s="105">
        <v>0</v>
      </c>
      <c r="M275" s="106">
        <v>1314886437.8842938</v>
      </c>
      <c r="N275" s="106">
        <v>1417942033.2036467</v>
      </c>
      <c r="O275" s="106">
        <v>1764616836.3630342</v>
      </c>
      <c r="P275" s="106">
        <v>1966221903.4063811</v>
      </c>
      <c r="Q275" s="106">
        <v>2599601252.0232577</v>
      </c>
      <c r="R275" s="106">
        <v>3123849499.6462522</v>
      </c>
      <c r="S275" s="105">
        <v>0</v>
      </c>
      <c r="T275" s="105">
        <v>0</v>
      </c>
      <c r="U275" s="105">
        <v>0</v>
      </c>
      <c r="V275" s="105">
        <v>0</v>
      </c>
      <c r="W275" s="105">
        <v>0</v>
      </c>
      <c r="X275" s="105">
        <v>0</v>
      </c>
      <c r="Y275" s="106">
        <v>110040381.56294024</v>
      </c>
      <c r="Z275" s="106">
        <v>119135785.90944141</v>
      </c>
      <c r="AA275" s="106">
        <v>164403441.89977634</v>
      </c>
      <c r="AB275" s="108">
        <v>169588706.85832831</v>
      </c>
      <c r="AC275" s="108">
        <v>249760594.9744505</v>
      </c>
      <c r="AD275" s="108">
        <v>271186221.60704917</v>
      </c>
      <c r="AE275" s="108">
        <v>3491816463.6954241</v>
      </c>
      <c r="AF275" s="108">
        <v>4096936708.1774573</v>
      </c>
      <c r="AG275" s="108">
        <v>5099111727.062871</v>
      </c>
      <c r="AH275" s="108">
        <v>5865346139.3090935</v>
      </c>
      <c r="AI275" s="108">
        <v>7443796533.654563</v>
      </c>
      <c r="AJ275" s="108">
        <v>8622092725.1162949</v>
      </c>
      <c r="AK275" s="108">
        <v>217718935.09503213</v>
      </c>
      <c r="AL275" s="108">
        <v>363020629.32471859</v>
      </c>
      <c r="AM275" s="108">
        <v>551993614.69854581</v>
      </c>
      <c r="AN275" s="108">
        <v>719405092.76536238</v>
      </c>
      <c r="AO275" s="108">
        <v>923145141.11609018</v>
      </c>
      <c r="AP275" s="108">
        <v>1112979903.1872184</v>
      </c>
      <c r="AQ275" s="108">
        <v>477266910.27816331</v>
      </c>
      <c r="AR275" s="108">
        <v>515297303.17546624</v>
      </c>
      <c r="AS275" s="108">
        <v>653899134.35573113</v>
      </c>
      <c r="AT275" s="108">
        <v>566462204.70715892</v>
      </c>
      <c r="AU275" s="108">
        <v>769052526.01369381</v>
      </c>
      <c r="AV275" s="108">
        <v>857558186.76155388</v>
      </c>
    </row>
    <row r="276" spans="1:48" x14ac:dyDescent="0.35">
      <c r="A276" s="107">
        <f xml:space="preserve"> ROW( slrImpacts[[#This Row],[row_id]] ) - ROW( slrImpacts[[#Headers],[row_id]] )</f>
        <v>275</v>
      </c>
      <c r="B276" s="104">
        <v>2072</v>
      </c>
      <c r="C276" s="104" t="s">
        <v>86</v>
      </c>
      <c r="D276" s="104" t="s">
        <v>208</v>
      </c>
      <c r="E276" s="104" t="s">
        <v>922</v>
      </c>
      <c r="F276" s="104"/>
      <c r="G276" s="105">
        <v>0</v>
      </c>
      <c r="H276" s="105">
        <v>0</v>
      </c>
      <c r="I276" s="105">
        <v>0</v>
      </c>
      <c r="J276" s="105">
        <v>0</v>
      </c>
      <c r="K276" s="105">
        <v>0</v>
      </c>
      <c r="L276" s="105">
        <v>0</v>
      </c>
      <c r="M276" s="106">
        <v>1320470947.7642791</v>
      </c>
      <c r="N276" s="106">
        <v>1422606736.9991345</v>
      </c>
      <c r="O276" s="106">
        <v>1773754773.2654109</v>
      </c>
      <c r="P276" s="106">
        <v>1986952634.3116488</v>
      </c>
      <c r="Q276" s="106">
        <v>2637659389.5718942</v>
      </c>
      <c r="R276" s="106">
        <v>3182948831.8983583</v>
      </c>
      <c r="S276" s="105">
        <v>0</v>
      </c>
      <c r="T276" s="105">
        <v>0</v>
      </c>
      <c r="U276" s="105">
        <v>0</v>
      </c>
      <c r="V276" s="105">
        <v>0</v>
      </c>
      <c r="W276" s="105">
        <v>0</v>
      </c>
      <c r="X276" s="105">
        <v>0</v>
      </c>
      <c r="Y276" s="106">
        <v>110269551.16625263</v>
      </c>
      <c r="Z276" s="106">
        <v>119410743.67038102</v>
      </c>
      <c r="AA276" s="106">
        <v>165234467.47915819</v>
      </c>
      <c r="AB276" s="108">
        <v>169111700.35031268</v>
      </c>
      <c r="AC276" s="108">
        <v>253806049.79758888</v>
      </c>
      <c r="AD276" s="108">
        <v>270992683.1333856</v>
      </c>
      <c r="AE276" s="108">
        <v>3538766422.1978207</v>
      </c>
      <c r="AF276" s="108">
        <v>4109595042.2468591</v>
      </c>
      <c r="AG276" s="108">
        <v>5130809397.093646</v>
      </c>
      <c r="AH276" s="108">
        <v>5933672475.1027842</v>
      </c>
      <c r="AI276" s="108">
        <v>7525305396.050704</v>
      </c>
      <c r="AJ276" s="108">
        <v>8753421681.6083374</v>
      </c>
      <c r="AK276" s="108">
        <v>219170465.71483329</v>
      </c>
      <c r="AL276" s="108">
        <v>376938136.10479736</v>
      </c>
      <c r="AM276" s="108">
        <v>557207777.27744603</v>
      </c>
      <c r="AN276" s="108">
        <v>729376291.7682128</v>
      </c>
      <c r="AO276" s="108">
        <v>939879981.089252</v>
      </c>
      <c r="AP276" s="108">
        <v>1135794943.3000491</v>
      </c>
      <c r="AQ276" s="108">
        <v>479319350.29674971</v>
      </c>
      <c r="AR276" s="108">
        <v>518072506.55917716</v>
      </c>
      <c r="AS276" s="108">
        <v>659417829.19381022</v>
      </c>
      <c r="AT276" s="108">
        <v>568120380.63335752</v>
      </c>
      <c r="AU276" s="108">
        <v>774216734.81510735</v>
      </c>
      <c r="AV276" s="108">
        <v>864947726.7282449</v>
      </c>
    </row>
    <row r="277" spans="1:48" x14ac:dyDescent="0.35">
      <c r="A277" s="107">
        <f xml:space="preserve"> ROW( slrImpacts[[#This Row],[row_id]] ) - ROW( slrImpacts[[#Headers],[row_id]] )</f>
        <v>276</v>
      </c>
      <c r="B277" s="104">
        <v>2073</v>
      </c>
      <c r="C277" s="104" t="s">
        <v>86</v>
      </c>
      <c r="D277" s="104" t="s">
        <v>208</v>
      </c>
      <c r="E277" s="104" t="s">
        <v>922</v>
      </c>
      <c r="F277" s="104"/>
      <c r="G277" s="105">
        <v>0</v>
      </c>
      <c r="H277" s="105">
        <v>0</v>
      </c>
      <c r="I277" s="105">
        <v>0</v>
      </c>
      <c r="J277" s="105">
        <v>0</v>
      </c>
      <c r="K277" s="105">
        <v>0</v>
      </c>
      <c r="L277" s="105">
        <v>0</v>
      </c>
      <c r="M277" s="106">
        <v>1326055457.6442654</v>
      </c>
      <c r="N277" s="106">
        <v>1427271440.7946224</v>
      </c>
      <c r="O277" s="106">
        <v>1782894169.3469057</v>
      </c>
      <c r="P277" s="106">
        <v>2008072174.2259862</v>
      </c>
      <c r="Q277" s="106">
        <v>2676686959.3316379</v>
      </c>
      <c r="R277" s="106">
        <v>3242825481.0114384</v>
      </c>
      <c r="S277" s="105">
        <v>0</v>
      </c>
      <c r="T277" s="105">
        <v>0</v>
      </c>
      <c r="U277" s="105">
        <v>0</v>
      </c>
      <c r="V277" s="105">
        <v>0</v>
      </c>
      <c r="W277" s="105">
        <v>0</v>
      </c>
      <c r="X277" s="105">
        <v>0</v>
      </c>
      <c r="Y277" s="106">
        <v>110498720.769565</v>
      </c>
      <c r="Z277" s="106">
        <v>119685701.43132059</v>
      </c>
      <c r="AA277" s="106">
        <v>166070587.12509936</v>
      </c>
      <c r="AB277" s="108">
        <v>168653313.86944261</v>
      </c>
      <c r="AC277" s="108">
        <v>257824894.19231266</v>
      </c>
      <c r="AD277" s="108">
        <v>270918287.22465438</v>
      </c>
      <c r="AE277" s="108">
        <v>3580899745.1250625</v>
      </c>
      <c r="AF277" s="108">
        <v>4122253376.3162613</v>
      </c>
      <c r="AG277" s="108">
        <v>5162777476.2184849</v>
      </c>
      <c r="AH277" s="108">
        <v>5999265287.9643593</v>
      </c>
      <c r="AI277" s="108">
        <v>7606604547.4127893</v>
      </c>
      <c r="AJ277" s="108">
        <v>8885536055.4802914</v>
      </c>
      <c r="AK277" s="108">
        <v>220623306.98377061</v>
      </c>
      <c r="AL277" s="108">
        <v>389822174.27086008</v>
      </c>
      <c r="AM277" s="108">
        <v>562422088.38633168</v>
      </c>
      <c r="AN277" s="108">
        <v>739402560.05831218</v>
      </c>
      <c r="AO277" s="108">
        <v>956637766.385463</v>
      </c>
      <c r="AP277" s="108">
        <v>1158739065.1952236</v>
      </c>
      <c r="AQ277" s="108">
        <v>481371790.31533611</v>
      </c>
      <c r="AR277" s="108">
        <v>520847709.94288796</v>
      </c>
      <c r="AS277" s="108">
        <v>664936524.0318892</v>
      </c>
      <c r="AT277" s="108">
        <v>569800811.47414005</v>
      </c>
      <c r="AU277" s="108">
        <v>779538117.02993274</v>
      </c>
      <c r="AV277" s="108">
        <v>872431358.39629745</v>
      </c>
    </row>
    <row r="278" spans="1:48" x14ac:dyDescent="0.35">
      <c r="A278" s="107">
        <f xml:space="preserve"> ROW( slrImpacts[[#This Row],[row_id]] ) - ROW( slrImpacts[[#Headers],[row_id]] )</f>
        <v>277</v>
      </c>
      <c r="B278" s="104">
        <v>2074</v>
      </c>
      <c r="C278" s="104" t="s">
        <v>86</v>
      </c>
      <c r="D278" s="104" t="s">
        <v>208</v>
      </c>
      <c r="E278" s="104" t="s">
        <v>922</v>
      </c>
      <c r="F278" s="104"/>
      <c r="G278" s="105">
        <v>0</v>
      </c>
      <c r="H278" s="105">
        <v>0</v>
      </c>
      <c r="I278" s="105">
        <v>0</v>
      </c>
      <c r="J278" s="105">
        <v>0</v>
      </c>
      <c r="K278" s="105">
        <v>0</v>
      </c>
      <c r="L278" s="105">
        <v>0</v>
      </c>
      <c r="M278" s="106">
        <v>1331639967.5242512</v>
      </c>
      <c r="N278" s="106">
        <v>1431936144.5901074</v>
      </c>
      <c r="O278" s="106">
        <v>1792039598.8191347</v>
      </c>
      <c r="P278" s="106">
        <v>2029639249.3476167</v>
      </c>
      <c r="Q278" s="106">
        <v>2717174683.3982177</v>
      </c>
      <c r="R278" s="106">
        <v>3303136807.7561555</v>
      </c>
      <c r="S278" s="105">
        <v>0</v>
      </c>
      <c r="T278" s="105">
        <v>0</v>
      </c>
      <c r="U278" s="105">
        <v>0</v>
      </c>
      <c r="V278" s="105">
        <v>0</v>
      </c>
      <c r="W278" s="105">
        <v>0</v>
      </c>
      <c r="X278" s="105">
        <v>0</v>
      </c>
      <c r="Y278" s="106">
        <v>110727890.3728774</v>
      </c>
      <c r="Z278" s="106">
        <v>119961895.57640375</v>
      </c>
      <c r="AA278" s="106">
        <v>166919219.14246115</v>
      </c>
      <c r="AB278" s="108">
        <v>168218222.01305217</v>
      </c>
      <c r="AC278" s="108">
        <v>261939411.87677437</v>
      </c>
      <c r="AD278" s="108">
        <v>270912167.48025554</v>
      </c>
      <c r="AE278" s="108">
        <v>3623033068.0523047</v>
      </c>
      <c r="AF278" s="108">
        <v>4134911710.3856635</v>
      </c>
      <c r="AG278" s="108">
        <v>5194871180.986145</v>
      </c>
      <c r="AH278" s="108">
        <v>6062509870.3275089</v>
      </c>
      <c r="AI278" s="108">
        <v>7689337307.1863432</v>
      </c>
      <c r="AJ278" s="108">
        <v>9020336932.2966919</v>
      </c>
      <c r="AK278" s="108">
        <v>222077384.63685143</v>
      </c>
      <c r="AL278" s="108">
        <v>399954220.57608312</v>
      </c>
      <c r="AM278" s="108">
        <v>567632541.81280136</v>
      </c>
      <c r="AN278" s="108">
        <v>749514265.36076844</v>
      </c>
      <c r="AO278" s="108">
        <v>973487493.79544914</v>
      </c>
      <c r="AP278" s="108">
        <v>1180680706.4421601</v>
      </c>
      <c r="AQ278" s="108">
        <v>483424230.33392262</v>
      </c>
      <c r="AR278" s="108">
        <v>523622913.32659876</v>
      </c>
      <c r="AS278" s="108">
        <v>670455218.86996806</v>
      </c>
      <c r="AT278" s="108">
        <v>571532257.2455076</v>
      </c>
      <c r="AU278" s="108">
        <v>785041282.02898276</v>
      </c>
      <c r="AV278" s="108">
        <v>879998596.57262278</v>
      </c>
    </row>
    <row r="279" spans="1:48" x14ac:dyDescent="0.35">
      <c r="A279" s="107">
        <f xml:space="preserve"> ROW( slrImpacts[[#This Row],[row_id]] ) - ROW( slrImpacts[[#Headers],[row_id]] )</f>
        <v>278</v>
      </c>
      <c r="B279" s="104">
        <v>2075</v>
      </c>
      <c r="C279" s="104" t="s">
        <v>86</v>
      </c>
      <c r="D279" s="104" t="s">
        <v>208</v>
      </c>
      <c r="E279" s="104" t="s">
        <v>922</v>
      </c>
      <c r="F279" s="104"/>
      <c r="G279" s="105">
        <v>0</v>
      </c>
      <c r="H279" s="105">
        <v>0</v>
      </c>
      <c r="I279" s="105">
        <v>0</v>
      </c>
      <c r="J279" s="105">
        <v>0</v>
      </c>
      <c r="K279" s="105">
        <v>0</v>
      </c>
      <c r="L279" s="105">
        <v>0</v>
      </c>
      <c r="M279" s="106">
        <v>1339103243.1164091</v>
      </c>
      <c r="N279" s="106">
        <v>1437781655.4745514</v>
      </c>
      <c r="O279" s="106">
        <v>1811458922.9918349</v>
      </c>
      <c r="P279" s="106">
        <v>2081588304.765702</v>
      </c>
      <c r="Q279" s="106">
        <v>2794510901.918376</v>
      </c>
      <c r="R279" s="106">
        <v>3407437241.5613885</v>
      </c>
      <c r="S279" s="105">
        <v>0</v>
      </c>
      <c r="T279" s="105">
        <v>0</v>
      </c>
      <c r="U279" s="105">
        <v>0</v>
      </c>
      <c r="V279" s="105">
        <v>0</v>
      </c>
      <c r="W279" s="105">
        <v>0</v>
      </c>
      <c r="X279" s="105">
        <v>0</v>
      </c>
      <c r="Y279" s="106">
        <v>111066872.33762142</v>
      </c>
      <c r="Z279" s="106">
        <v>120346484.98394415</v>
      </c>
      <c r="AA279" s="106">
        <v>168176427.86782044</v>
      </c>
      <c r="AB279" s="108">
        <v>169985082.45933563</v>
      </c>
      <c r="AC279" s="108">
        <v>263763266.10013166</v>
      </c>
      <c r="AD279" s="108">
        <v>271450565.30924684</v>
      </c>
      <c r="AE279" s="108">
        <v>3671151660.4045839</v>
      </c>
      <c r="AF279" s="108">
        <v>4157433083.4377646</v>
      </c>
      <c r="AG279" s="108">
        <v>5259324540.5979462</v>
      </c>
      <c r="AH279" s="108">
        <v>6200381828.0722189</v>
      </c>
      <c r="AI279" s="108">
        <v>7879065730.761775</v>
      </c>
      <c r="AJ279" s="108">
        <v>9248587826.621254</v>
      </c>
      <c r="AK279" s="108">
        <v>224685096.95233491</v>
      </c>
      <c r="AL279" s="108">
        <v>411726806.08051896</v>
      </c>
      <c r="AM279" s="108">
        <v>578154262.7550292</v>
      </c>
      <c r="AN279" s="108">
        <v>771333645.40175068</v>
      </c>
      <c r="AO279" s="108">
        <v>1007681848.0611619</v>
      </c>
      <c r="AP279" s="108">
        <v>1220448200.0136607</v>
      </c>
      <c r="AQ279" s="108">
        <v>486482402.89284843</v>
      </c>
      <c r="AR279" s="108">
        <v>528506477.29608071</v>
      </c>
      <c r="AS279" s="108">
        <v>675040188.48708761</v>
      </c>
      <c r="AT279" s="108">
        <v>580687415.29620492</v>
      </c>
      <c r="AU279" s="108">
        <v>799547373.62747884</v>
      </c>
      <c r="AV279" s="108">
        <v>905434425.58300006</v>
      </c>
    </row>
    <row r="280" spans="1:48" x14ac:dyDescent="0.35">
      <c r="A280" s="107">
        <f xml:space="preserve"> ROW( slrImpacts[[#This Row],[row_id]] ) - ROW( slrImpacts[[#Headers],[row_id]] )</f>
        <v>279</v>
      </c>
      <c r="B280" s="104">
        <v>2076</v>
      </c>
      <c r="C280" s="104" t="s">
        <v>86</v>
      </c>
      <c r="D280" s="104" t="s">
        <v>208</v>
      </c>
      <c r="E280" s="104" t="s">
        <v>922</v>
      </c>
      <c r="F280" s="104"/>
      <c r="G280" s="105">
        <v>0</v>
      </c>
      <c r="H280" s="105">
        <v>0</v>
      </c>
      <c r="I280" s="105">
        <v>0</v>
      </c>
      <c r="J280" s="105">
        <v>0</v>
      </c>
      <c r="K280" s="105">
        <v>0</v>
      </c>
      <c r="L280" s="105">
        <v>0</v>
      </c>
      <c r="M280" s="106">
        <v>1342405701.4038599</v>
      </c>
      <c r="N280" s="106">
        <v>1439614028.5125766</v>
      </c>
      <c r="O280" s="106">
        <v>1822152147.199363</v>
      </c>
      <c r="P280" s="106">
        <v>2110464221.0824339</v>
      </c>
      <c r="Q280" s="106">
        <v>2846842347.1128883</v>
      </c>
      <c r="R280" s="106">
        <v>3477320949.9827237</v>
      </c>
      <c r="S280" s="105">
        <v>0</v>
      </c>
      <c r="T280" s="105">
        <v>0</v>
      </c>
      <c r="U280" s="105">
        <v>0</v>
      </c>
      <c r="V280" s="105">
        <v>0</v>
      </c>
      <c r="W280" s="105">
        <v>0</v>
      </c>
      <c r="X280" s="105">
        <v>0</v>
      </c>
      <c r="Y280" s="106">
        <v>111257011.3763818</v>
      </c>
      <c r="Z280" s="106">
        <v>120543091.18421252</v>
      </c>
      <c r="AA280" s="106">
        <v>168980499.09208608</v>
      </c>
      <c r="AB280" s="108">
        <v>172607373.61533949</v>
      </c>
      <c r="AC280" s="108">
        <v>263319109.57543695</v>
      </c>
      <c r="AD280" s="108">
        <v>274066650.9269557</v>
      </c>
      <c r="AE280" s="108">
        <v>3710986211.0031958</v>
      </c>
      <c r="AF280" s="108">
        <v>4168988954.9225426</v>
      </c>
      <c r="AG280" s="108">
        <v>5295452264.5813303</v>
      </c>
      <c r="AH280" s="108">
        <v>6270607105.2337618</v>
      </c>
      <c r="AI280" s="108">
        <v>7990515670.4864292</v>
      </c>
      <c r="AJ280" s="108">
        <v>9360089002.9535427</v>
      </c>
      <c r="AK280" s="108">
        <v>226001077.45689851</v>
      </c>
      <c r="AL280" s="108">
        <v>420596137.1231119</v>
      </c>
      <c r="AM280" s="108">
        <v>583598297.52416158</v>
      </c>
      <c r="AN280" s="108">
        <v>783824410.74761152</v>
      </c>
      <c r="AO280" s="108">
        <v>1027899395.10314</v>
      </c>
      <c r="AP280" s="108">
        <v>1241456898.0075095</v>
      </c>
      <c r="AQ280" s="108">
        <v>488411980.93027288</v>
      </c>
      <c r="AR280" s="108">
        <v>532171129.80155939</v>
      </c>
      <c r="AS280" s="108">
        <v>675845147.81764579</v>
      </c>
      <c r="AT280" s="108">
        <v>585855188.6386826</v>
      </c>
      <c r="AU280" s="108">
        <v>807143231.08659005</v>
      </c>
      <c r="AV280" s="108">
        <v>922756715.70511603</v>
      </c>
    </row>
    <row r="281" spans="1:48" x14ac:dyDescent="0.35">
      <c r="A281" s="107">
        <f xml:space="preserve"> ROW( slrImpacts[[#This Row],[row_id]] ) - ROW( slrImpacts[[#Headers],[row_id]] )</f>
        <v>280</v>
      </c>
      <c r="B281" s="104">
        <v>2077</v>
      </c>
      <c r="C281" s="104" t="s">
        <v>86</v>
      </c>
      <c r="D281" s="104" t="s">
        <v>208</v>
      </c>
      <c r="E281" s="104" t="s">
        <v>922</v>
      </c>
      <c r="F281" s="104"/>
      <c r="G281" s="105">
        <v>0</v>
      </c>
      <c r="H281" s="105">
        <v>0</v>
      </c>
      <c r="I281" s="105">
        <v>0</v>
      </c>
      <c r="J281" s="105">
        <v>0</v>
      </c>
      <c r="K281" s="105">
        <v>0</v>
      </c>
      <c r="L281" s="105">
        <v>0</v>
      </c>
      <c r="M281" s="106">
        <v>1344790705.2960446</v>
      </c>
      <c r="N281" s="106">
        <v>1441446401.5506008</v>
      </c>
      <c r="O281" s="106">
        <v>1829693111.6958075</v>
      </c>
      <c r="P281" s="106">
        <v>2139945763.3205087</v>
      </c>
      <c r="Q281" s="106">
        <v>2900467265.7442322</v>
      </c>
      <c r="R281" s="106">
        <v>3552186191.9915299</v>
      </c>
      <c r="S281" s="105">
        <v>0</v>
      </c>
      <c r="T281" s="105">
        <v>0</v>
      </c>
      <c r="U281" s="105">
        <v>0</v>
      </c>
      <c r="V281" s="105">
        <v>0</v>
      </c>
      <c r="W281" s="105">
        <v>0</v>
      </c>
      <c r="X281" s="105">
        <v>0</v>
      </c>
      <c r="Y281" s="106">
        <v>111447150.41514218</v>
      </c>
      <c r="Z281" s="106">
        <v>120739697.38448089</v>
      </c>
      <c r="AA281" s="106">
        <v>169790900.76705462</v>
      </c>
      <c r="AB281" s="108">
        <v>175330707.16407812</v>
      </c>
      <c r="AC281" s="108">
        <v>262971443.25539824</v>
      </c>
      <c r="AD281" s="108">
        <v>276709565.67085963</v>
      </c>
      <c r="AE281" s="108">
        <v>3744640357.4415531</v>
      </c>
      <c r="AF281" s="108">
        <v>4180544826.4073224</v>
      </c>
      <c r="AG281" s="108">
        <v>5331467162.6213417</v>
      </c>
      <c r="AH281" s="108">
        <v>6339929223.7533836</v>
      </c>
      <c r="AI281" s="108">
        <v>8102956269.9184608</v>
      </c>
      <c r="AJ281" s="108">
        <v>9473971403.9269352</v>
      </c>
      <c r="AK281" s="108">
        <v>227320767.11389267</v>
      </c>
      <c r="AL281" s="108">
        <v>426713391.79248607</v>
      </c>
      <c r="AM281" s="108">
        <v>589051358.30726159</v>
      </c>
      <c r="AN281" s="108">
        <v>796418071.01382339</v>
      </c>
      <c r="AO281" s="108">
        <v>1044573989.141871</v>
      </c>
      <c r="AP281" s="108">
        <v>1262696410.5849028</v>
      </c>
      <c r="AQ281" s="108">
        <v>490341558.96769714</v>
      </c>
      <c r="AR281" s="108">
        <v>535835782.30703825</v>
      </c>
      <c r="AS281" s="108">
        <v>676650107.14820457</v>
      </c>
      <c r="AT281" s="108">
        <v>591104318.51612377</v>
      </c>
      <c r="AU281" s="108">
        <v>815376717.55953634</v>
      </c>
      <c r="AV281" s="108">
        <v>940269364.938272</v>
      </c>
    </row>
    <row r="282" spans="1:48" x14ac:dyDescent="0.35">
      <c r="A282" s="107">
        <f xml:space="preserve"> ROW( slrImpacts[[#This Row],[row_id]] ) - ROW( slrImpacts[[#Headers],[row_id]] )</f>
        <v>281</v>
      </c>
      <c r="B282" s="104">
        <v>2078</v>
      </c>
      <c r="C282" s="104" t="s">
        <v>86</v>
      </c>
      <c r="D282" s="104" t="s">
        <v>208</v>
      </c>
      <c r="E282" s="104" t="s">
        <v>922</v>
      </c>
      <c r="F282" s="104"/>
      <c r="G282" s="105">
        <v>0</v>
      </c>
      <c r="H282" s="105">
        <v>0</v>
      </c>
      <c r="I282" s="105">
        <v>0</v>
      </c>
      <c r="J282" s="105">
        <v>0</v>
      </c>
      <c r="K282" s="105">
        <v>0</v>
      </c>
      <c r="L282" s="105">
        <v>0</v>
      </c>
      <c r="M282" s="106">
        <v>1347175709.1882281</v>
      </c>
      <c r="N282" s="106">
        <v>1443278774.5886257</v>
      </c>
      <c r="O282" s="106">
        <v>1836203678.5636587</v>
      </c>
      <c r="P282" s="106">
        <v>2170149679.6387615</v>
      </c>
      <c r="Q282" s="106">
        <v>2960416055.2053304</v>
      </c>
      <c r="R282" s="106">
        <v>3626810340.6298957</v>
      </c>
      <c r="S282" s="105">
        <v>0</v>
      </c>
      <c r="T282" s="105">
        <v>0</v>
      </c>
      <c r="U282" s="105">
        <v>0</v>
      </c>
      <c r="V282" s="105">
        <v>0</v>
      </c>
      <c r="W282" s="105">
        <v>0</v>
      </c>
      <c r="X282" s="105">
        <v>0</v>
      </c>
      <c r="Y282" s="106">
        <v>111637289.45390256</v>
      </c>
      <c r="Z282" s="106">
        <v>120958558.49933301</v>
      </c>
      <c r="AA282" s="106">
        <v>170615125.4625797</v>
      </c>
      <c r="AB282" s="108">
        <v>178089847.70871675</v>
      </c>
      <c r="AC282" s="108">
        <v>262691633.63046634</v>
      </c>
      <c r="AD282" s="108">
        <v>279382922.40486407</v>
      </c>
      <c r="AE282" s="108">
        <v>3776243337.9819174</v>
      </c>
      <c r="AF282" s="108">
        <v>4192100697.8921003</v>
      </c>
      <c r="AG282" s="108">
        <v>5367666268.0696096</v>
      </c>
      <c r="AH282" s="108">
        <v>6407943155.6578045</v>
      </c>
      <c r="AI282" s="108">
        <v>8217290339.9359293</v>
      </c>
      <c r="AJ282" s="108">
        <v>9587514417.9639778</v>
      </c>
      <c r="AK282" s="108">
        <v>228646861.4865824</v>
      </c>
      <c r="AL282" s="108">
        <v>428962086.01998621</v>
      </c>
      <c r="AM282" s="108">
        <v>594522099.79333413</v>
      </c>
      <c r="AN282" s="108">
        <v>809132110.22911167</v>
      </c>
      <c r="AO282" s="108">
        <v>1061252099.7559825</v>
      </c>
      <c r="AP282" s="108">
        <v>1284146168.9025519</v>
      </c>
      <c r="AQ282" s="108">
        <v>492271137.00512153</v>
      </c>
      <c r="AR282" s="108">
        <v>538892133.81389415</v>
      </c>
      <c r="AS282" s="108">
        <v>677455066.4787631</v>
      </c>
      <c r="AT282" s="108">
        <v>596475111.87104678</v>
      </c>
      <c r="AU282" s="108">
        <v>823639357.39697993</v>
      </c>
      <c r="AV282" s="108">
        <v>958031697.69782519</v>
      </c>
    </row>
    <row r="283" spans="1:48" x14ac:dyDescent="0.35">
      <c r="A283" s="107">
        <f xml:space="preserve"> ROW( slrImpacts[[#This Row],[row_id]] ) - ROW( slrImpacts[[#Headers],[row_id]] )</f>
        <v>282</v>
      </c>
      <c r="B283" s="104">
        <v>2079</v>
      </c>
      <c r="C283" s="104" t="s">
        <v>86</v>
      </c>
      <c r="D283" s="104" t="s">
        <v>208</v>
      </c>
      <c r="E283" s="104" t="s">
        <v>922</v>
      </c>
      <c r="F283" s="104"/>
      <c r="G283" s="105">
        <v>0</v>
      </c>
      <c r="H283" s="105">
        <v>0</v>
      </c>
      <c r="I283" s="105">
        <v>0</v>
      </c>
      <c r="J283" s="105">
        <v>0</v>
      </c>
      <c r="K283" s="105">
        <v>0</v>
      </c>
      <c r="L283" s="105">
        <v>0</v>
      </c>
      <c r="M283" s="106">
        <v>1349561949.4645555</v>
      </c>
      <c r="N283" s="106">
        <v>1445111147.6266496</v>
      </c>
      <c r="O283" s="106">
        <v>1842819416.4459028</v>
      </c>
      <c r="P283" s="106">
        <v>2201026217.6114817</v>
      </c>
      <c r="Q283" s="106">
        <v>3021654444.032053</v>
      </c>
      <c r="R283" s="106">
        <v>3701892274.5820704</v>
      </c>
      <c r="S283" s="105">
        <v>0</v>
      </c>
      <c r="T283" s="105">
        <v>0</v>
      </c>
      <c r="U283" s="105">
        <v>0</v>
      </c>
      <c r="V283" s="105">
        <v>0</v>
      </c>
      <c r="W283" s="105">
        <v>0</v>
      </c>
      <c r="X283" s="105">
        <v>0</v>
      </c>
      <c r="Y283" s="106">
        <v>111828664.87680648</v>
      </c>
      <c r="Z283" s="106">
        <v>121371164.69695558</v>
      </c>
      <c r="AA283" s="106">
        <v>171458490.04019836</v>
      </c>
      <c r="AB283" s="108">
        <v>180875843.50028035</v>
      </c>
      <c r="AC283" s="108">
        <v>262272632.45226204</v>
      </c>
      <c r="AD283" s="108">
        <v>282053286.51563358</v>
      </c>
      <c r="AE283" s="108">
        <v>3806278583.4282761</v>
      </c>
      <c r="AF283" s="108">
        <v>4203656569.3768787</v>
      </c>
      <c r="AG283" s="108">
        <v>5403780111.1562328</v>
      </c>
      <c r="AH283" s="108">
        <v>6475224057.7354441</v>
      </c>
      <c r="AI283" s="108">
        <v>8333288061.6181002</v>
      </c>
      <c r="AJ283" s="108">
        <v>9702669702.538269</v>
      </c>
      <c r="AK283" s="108">
        <v>229975577.15754426</v>
      </c>
      <c r="AL283" s="108">
        <v>430960223.46751422</v>
      </c>
      <c r="AM283" s="108">
        <v>600026892.03621483</v>
      </c>
      <c r="AN283" s="108">
        <v>821938213.9674294</v>
      </c>
      <c r="AO283" s="108">
        <v>1077984462.7424242</v>
      </c>
      <c r="AP283" s="108">
        <v>1305671966.8936274</v>
      </c>
      <c r="AQ283" s="108">
        <v>494200715.04254591</v>
      </c>
      <c r="AR283" s="108">
        <v>541948485.32075</v>
      </c>
      <c r="AS283" s="108">
        <v>678260025.80932164</v>
      </c>
      <c r="AT283" s="108">
        <v>602611209.0844866</v>
      </c>
      <c r="AU283" s="108">
        <v>832032660.60514295</v>
      </c>
      <c r="AV283" s="108">
        <v>976079420.59395301</v>
      </c>
    </row>
    <row r="284" spans="1:48" x14ac:dyDescent="0.35">
      <c r="A284" s="107">
        <f xml:space="preserve"> ROW( slrImpacts[[#This Row],[row_id]] ) - ROW( slrImpacts[[#Headers],[row_id]] )</f>
        <v>283</v>
      </c>
      <c r="B284" s="104">
        <v>2080</v>
      </c>
      <c r="C284" s="104" t="s">
        <v>86</v>
      </c>
      <c r="D284" s="104" t="s">
        <v>208</v>
      </c>
      <c r="E284" s="104" t="s">
        <v>922</v>
      </c>
      <c r="F284" s="104"/>
      <c r="G284" s="105">
        <v>0</v>
      </c>
      <c r="H284" s="105">
        <v>0</v>
      </c>
      <c r="I284" s="105">
        <v>0</v>
      </c>
      <c r="J284" s="105">
        <v>0</v>
      </c>
      <c r="K284" s="105">
        <v>0</v>
      </c>
      <c r="L284" s="105">
        <v>0</v>
      </c>
      <c r="M284" s="106">
        <v>1351707169.0978861</v>
      </c>
      <c r="N284" s="106">
        <v>1446679808.3726757</v>
      </c>
      <c r="O284" s="106">
        <v>1848384585.9631033</v>
      </c>
      <c r="P284" s="106">
        <v>2231276255.5905852</v>
      </c>
      <c r="Q284" s="106">
        <v>3081241329.1433511</v>
      </c>
      <c r="R284" s="106">
        <v>3774776312.5641103</v>
      </c>
      <c r="S284" s="105">
        <v>0</v>
      </c>
      <c r="T284" s="105">
        <v>0</v>
      </c>
      <c r="U284" s="105">
        <v>0</v>
      </c>
      <c r="V284" s="105">
        <v>0</v>
      </c>
      <c r="W284" s="105">
        <v>0</v>
      </c>
      <c r="X284" s="105">
        <v>0</v>
      </c>
      <c r="Y284" s="106">
        <v>111980258.96720353</v>
      </c>
      <c r="Z284" s="106">
        <v>122138956.81046027</v>
      </c>
      <c r="AA284" s="106">
        <v>172336048.14954668</v>
      </c>
      <c r="AB284" s="108">
        <v>183620761.92080265</v>
      </c>
      <c r="AC284" s="108">
        <v>261644728.84019476</v>
      </c>
      <c r="AD284" s="108">
        <v>284371429.67547858</v>
      </c>
      <c r="AE284" s="108">
        <v>3828911745.6930513</v>
      </c>
      <c r="AF284" s="108">
        <v>4211770304.779438</v>
      </c>
      <c r="AG284" s="108">
        <v>5430681886.2111578</v>
      </c>
      <c r="AH284" s="108">
        <v>6533263792.2272844</v>
      </c>
      <c r="AI284" s="108">
        <v>8441702271.6754217</v>
      </c>
      <c r="AJ284" s="108">
        <v>9815837919.8994484</v>
      </c>
      <c r="AK284" s="108">
        <v>231856011.46143201</v>
      </c>
      <c r="AL284" s="108">
        <v>432909568.62505192</v>
      </c>
      <c r="AM284" s="108">
        <v>605413968.3563472</v>
      </c>
      <c r="AN284" s="108">
        <v>834518319.8333149</v>
      </c>
      <c r="AO284" s="108">
        <v>1094555677.7635865</v>
      </c>
      <c r="AP284" s="108">
        <v>1326930918.6371534</v>
      </c>
      <c r="AQ284" s="108">
        <v>496183820.06756788</v>
      </c>
      <c r="AR284" s="108">
        <v>544286510.93386686</v>
      </c>
      <c r="AS284" s="108">
        <v>677657230.40896523</v>
      </c>
      <c r="AT284" s="108">
        <v>606760919.02949393</v>
      </c>
      <c r="AU284" s="108">
        <v>837487572.39013755</v>
      </c>
      <c r="AV284" s="108">
        <v>990895986.03003597</v>
      </c>
    </row>
    <row r="285" spans="1:48" x14ac:dyDescent="0.35">
      <c r="A285" s="107">
        <f xml:space="preserve"> ROW( slrImpacts[[#This Row],[row_id]] ) - ROW( slrImpacts[[#Headers],[row_id]] )</f>
        <v>284</v>
      </c>
      <c r="B285" s="104">
        <v>2081</v>
      </c>
      <c r="C285" s="104" t="s">
        <v>86</v>
      </c>
      <c r="D285" s="104" t="s">
        <v>208</v>
      </c>
      <c r="E285" s="104" t="s">
        <v>922</v>
      </c>
      <c r="F285" s="104"/>
      <c r="G285" s="105">
        <v>0</v>
      </c>
      <c r="H285" s="105">
        <v>0</v>
      </c>
      <c r="I285" s="105">
        <v>0</v>
      </c>
      <c r="J285" s="105">
        <v>0</v>
      </c>
      <c r="K285" s="105">
        <v>0</v>
      </c>
      <c r="L285" s="105">
        <v>0</v>
      </c>
      <c r="M285" s="106">
        <v>1354824562.7767208</v>
      </c>
      <c r="N285" s="106">
        <v>1449385939.2404034</v>
      </c>
      <c r="O285" s="106">
        <v>1855217027.5648594</v>
      </c>
      <c r="P285" s="106">
        <v>2267410906.475564</v>
      </c>
      <c r="Q285" s="106">
        <v>3143834213.4190493</v>
      </c>
      <c r="R285" s="106">
        <v>3850733060.3243537</v>
      </c>
      <c r="S285" s="105">
        <v>0</v>
      </c>
      <c r="T285" s="105">
        <v>0</v>
      </c>
      <c r="U285" s="105">
        <v>0</v>
      </c>
      <c r="V285" s="105">
        <v>0</v>
      </c>
      <c r="W285" s="105">
        <v>0</v>
      </c>
      <c r="X285" s="105">
        <v>0</v>
      </c>
      <c r="Y285" s="106">
        <v>112228464.01364477</v>
      </c>
      <c r="Z285" s="106">
        <v>123111280.35699141</v>
      </c>
      <c r="AA285" s="106">
        <v>173398034.80425468</v>
      </c>
      <c r="AB285" s="108">
        <v>186570809.99148902</v>
      </c>
      <c r="AC285" s="108">
        <v>261310117.67183989</v>
      </c>
      <c r="AD285" s="108">
        <v>286822776.82311559</v>
      </c>
      <c r="AE285" s="108">
        <v>3853273792.2277651</v>
      </c>
      <c r="AF285" s="108">
        <v>4227426041.4928555</v>
      </c>
      <c r="AG285" s="108">
        <v>5463970525.7010574</v>
      </c>
      <c r="AH285" s="108">
        <v>6606595932.0335464</v>
      </c>
      <c r="AI285" s="108">
        <v>8570507840.3671236</v>
      </c>
      <c r="AJ285" s="108">
        <v>9951449372.9161758</v>
      </c>
      <c r="AK285" s="108">
        <v>235291692.55564809</v>
      </c>
      <c r="AL285" s="108">
        <v>435003849.86101884</v>
      </c>
      <c r="AM285" s="108">
        <v>610997368.66832387</v>
      </c>
      <c r="AN285" s="108">
        <v>847413530.00181246</v>
      </c>
      <c r="AO285" s="108">
        <v>1111624500.713239</v>
      </c>
      <c r="AP285" s="108">
        <v>1348546043.1987958</v>
      </c>
      <c r="AQ285" s="108">
        <v>499375505.73993367</v>
      </c>
      <c r="AR285" s="108">
        <v>547532265.00313652</v>
      </c>
      <c r="AS285" s="108">
        <v>676767943.54969621</v>
      </c>
      <c r="AT285" s="108">
        <v>613103488.7589525</v>
      </c>
      <c r="AU285" s="108">
        <v>845646259.58140087</v>
      </c>
      <c r="AV285" s="108">
        <v>1010066609.0549097</v>
      </c>
    </row>
    <row r="286" spans="1:48" x14ac:dyDescent="0.35">
      <c r="A286" s="107">
        <f xml:space="preserve"> ROW( slrImpacts[[#This Row],[row_id]] ) - ROW( slrImpacts[[#Headers],[row_id]] )</f>
        <v>285</v>
      </c>
      <c r="B286" s="104">
        <v>2082</v>
      </c>
      <c r="C286" s="104" t="s">
        <v>86</v>
      </c>
      <c r="D286" s="104" t="s">
        <v>208</v>
      </c>
      <c r="E286" s="104" t="s">
        <v>922</v>
      </c>
      <c r="F286" s="104"/>
      <c r="G286" s="105">
        <v>0</v>
      </c>
      <c r="H286" s="105">
        <v>0</v>
      </c>
      <c r="I286" s="105">
        <v>0</v>
      </c>
      <c r="J286" s="105">
        <v>0</v>
      </c>
      <c r="K286" s="105">
        <v>0</v>
      </c>
      <c r="L286" s="105">
        <v>0</v>
      </c>
      <c r="M286" s="106">
        <v>1357154256.3247623</v>
      </c>
      <c r="N286" s="106">
        <v>1451166751.8180485</v>
      </c>
      <c r="O286" s="106">
        <v>1860837660.5942078</v>
      </c>
      <c r="P286" s="106">
        <v>2304625616.7610655</v>
      </c>
      <c r="Q286" s="106">
        <v>3206990914.9849315</v>
      </c>
      <c r="R286" s="106">
        <v>3926802437.3537169</v>
      </c>
      <c r="S286" s="105">
        <v>0</v>
      </c>
      <c r="T286" s="105">
        <v>0</v>
      </c>
      <c r="U286" s="105">
        <v>0</v>
      </c>
      <c r="V286" s="105">
        <v>0</v>
      </c>
      <c r="W286" s="105">
        <v>0</v>
      </c>
      <c r="X286" s="105">
        <v>0</v>
      </c>
      <c r="Y286" s="106">
        <v>112388855.56796759</v>
      </c>
      <c r="Z286" s="106">
        <v>124057019.59583791</v>
      </c>
      <c r="AA286" s="106">
        <v>174185798.72954839</v>
      </c>
      <c r="AB286" s="108">
        <v>189315505.6170336</v>
      </c>
      <c r="AC286" s="108">
        <v>260663668.29761946</v>
      </c>
      <c r="AD286" s="108">
        <v>288877739.93244106</v>
      </c>
      <c r="AE286" s="108">
        <v>3865191225.2152433</v>
      </c>
      <c r="AF286" s="108">
        <v>4237106210.7334085</v>
      </c>
      <c r="AG286" s="108">
        <v>5490583170.2230377</v>
      </c>
      <c r="AH286" s="108">
        <v>6677623195.7170296</v>
      </c>
      <c r="AI286" s="108">
        <v>8705004048.4002171</v>
      </c>
      <c r="AJ286" s="108">
        <v>10084051669.760744</v>
      </c>
      <c r="AK286" s="108">
        <v>238601551.33279896</v>
      </c>
      <c r="AL286" s="108">
        <v>436981186.26390272</v>
      </c>
      <c r="AM286" s="108">
        <v>616532768.69648278</v>
      </c>
      <c r="AN286" s="108">
        <v>858807328.32729137</v>
      </c>
      <c r="AO286" s="108">
        <v>1128791299.1673985</v>
      </c>
      <c r="AP286" s="108">
        <v>1370053152.652797</v>
      </c>
      <c r="AQ286" s="108">
        <v>501593379.10417992</v>
      </c>
      <c r="AR286" s="108">
        <v>549374313.84764743</v>
      </c>
      <c r="AS286" s="108">
        <v>673929424.36508131</v>
      </c>
      <c r="AT286" s="108">
        <v>619321643.10900676</v>
      </c>
      <c r="AU286" s="108">
        <v>854462686.74824035</v>
      </c>
      <c r="AV286" s="108">
        <v>1029352814.022271</v>
      </c>
    </row>
    <row r="287" spans="1:48" x14ac:dyDescent="0.35">
      <c r="A287" s="107">
        <f xml:space="preserve"> ROW( slrImpacts[[#This Row],[row_id]] ) - ROW( slrImpacts[[#Headers],[row_id]] )</f>
        <v>286</v>
      </c>
      <c r="B287" s="104">
        <v>2083</v>
      </c>
      <c r="C287" s="104" t="s">
        <v>86</v>
      </c>
      <c r="D287" s="104" t="s">
        <v>208</v>
      </c>
      <c r="E287" s="104" t="s">
        <v>922</v>
      </c>
      <c r="F287" s="104"/>
      <c r="G287" s="105">
        <v>0</v>
      </c>
      <c r="H287" s="105">
        <v>0</v>
      </c>
      <c r="I287" s="105">
        <v>0</v>
      </c>
      <c r="J287" s="105">
        <v>0</v>
      </c>
      <c r="K287" s="105">
        <v>0</v>
      </c>
      <c r="L287" s="105">
        <v>0</v>
      </c>
      <c r="M287" s="106">
        <v>1359483949.8728039</v>
      </c>
      <c r="N287" s="106">
        <v>1452947564.3956921</v>
      </c>
      <c r="O287" s="106">
        <v>1866562424.928051</v>
      </c>
      <c r="P287" s="106">
        <v>2342858887.3455172</v>
      </c>
      <c r="Q287" s="106">
        <v>3270895185.9273467</v>
      </c>
      <c r="R287" s="106">
        <v>4003021822.5045352</v>
      </c>
      <c r="S287" s="105">
        <v>0</v>
      </c>
      <c r="T287" s="105">
        <v>0</v>
      </c>
      <c r="U287" s="105">
        <v>0</v>
      </c>
      <c r="V287" s="105">
        <v>0</v>
      </c>
      <c r="W287" s="105">
        <v>0</v>
      </c>
      <c r="X287" s="105">
        <v>0</v>
      </c>
      <c r="Y287" s="106">
        <v>112549247.1222904</v>
      </c>
      <c r="Z287" s="106">
        <v>125009312.08036488</v>
      </c>
      <c r="AA287" s="106">
        <v>174987459.9403913</v>
      </c>
      <c r="AB287" s="108">
        <v>192117966.09309185</v>
      </c>
      <c r="AC287" s="108">
        <v>260094149.77673611</v>
      </c>
      <c r="AD287" s="108">
        <v>290895091.66251236</v>
      </c>
      <c r="AE287" s="108">
        <v>3877108658.202723</v>
      </c>
      <c r="AF287" s="108">
        <v>4246786379.9739652</v>
      </c>
      <c r="AG287" s="108">
        <v>5514864787.6041365</v>
      </c>
      <c r="AH287" s="108">
        <v>6749779019.4759197</v>
      </c>
      <c r="AI287" s="108">
        <v>8844187836.8710957</v>
      </c>
      <c r="AJ287" s="108">
        <v>10218634530.056465</v>
      </c>
      <c r="AK287" s="108">
        <v>242948736.40638182</v>
      </c>
      <c r="AL287" s="108">
        <v>438962528.87918752</v>
      </c>
      <c r="AM287" s="108">
        <v>622118886.59525681</v>
      </c>
      <c r="AN287" s="108">
        <v>868076131.61145103</v>
      </c>
      <c r="AO287" s="108">
        <v>1146078546.7384295</v>
      </c>
      <c r="AP287" s="108">
        <v>1391475886.8278706</v>
      </c>
      <c r="AQ287" s="108">
        <v>503202951.46980345</v>
      </c>
      <c r="AR287" s="108">
        <v>551216362.69215798</v>
      </c>
      <c r="AS287" s="108">
        <v>671705685.15977716</v>
      </c>
      <c r="AT287" s="108">
        <v>625649765.48004127</v>
      </c>
      <c r="AU287" s="108">
        <v>863408912.22661889</v>
      </c>
      <c r="AV287" s="108">
        <v>1048708505.4173781</v>
      </c>
    </row>
    <row r="288" spans="1:48" x14ac:dyDescent="0.35">
      <c r="A288" s="107">
        <f xml:space="preserve"> ROW( slrImpacts[[#This Row],[row_id]] ) - ROW( slrImpacts[[#Headers],[row_id]] )</f>
        <v>287</v>
      </c>
      <c r="B288" s="104">
        <v>2084</v>
      </c>
      <c r="C288" s="104" t="s">
        <v>86</v>
      </c>
      <c r="D288" s="104" t="s">
        <v>208</v>
      </c>
      <c r="E288" s="104" t="s">
        <v>922</v>
      </c>
      <c r="F288" s="104"/>
      <c r="G288" s="105">
        <v>0</v>
      </c>
      <c r="H288" s="105">
        <v>0</v>
      </c>
      <c r="I288" s="105">
        <v>0</v>
      </c>
      <c r="J288" s="105">
        <v>0</v>
      </c>
      <c r="K288" s="105">
        <v>0</v>
      </c>
      <c r="L288" s="105">
        <v>0</v>
      </c>
      <c r="M288" s="106">
        <v>1361813643.4208455</v>
      </c>
      <c r="N288" s="106">
        <v>1454728376.9733367</v>
      </c>
      <c r="O288" s="106">
        <v>1872449902.33182</v>
      </c>
      <c r="P288" s="106">
        <v>2381674912.7932572</v>
      </c>
      <c r="Q288" s="106">
        <v>3335365309.5326796</v>
      </c>
      <c r="R288" s="106">
        <v>4079107744.2384477</v>
      </c>
      <c r="S288" s="105">
        <v>0</v>
      </c>
      <c r="T288" s="105">
        <v>0</v>
      </c>
      <c r="U288" s="105">
        <v>0</v>
      </c>
      <c r="V288" s="105">
        <v>0</v>
      </c>
      <c r="W288" s="105">
        <v>0</v>
      </c>
      <c r="X288" s="105">
        <v>0</v>
      </c>
      <c r="Y288" s="106">
        <v>112710875.06075677</v>
      </c>
      <c r="Z288" s="106">
        <v>125961604.56489186</v>
      </c>
      <c r="AA288" s="106">
        <v>175803241.23176104</v>
      </c>
      <c r="AB288" s="108">
        <v>194967906.99801967</v>
      </c>
      <c r="AC288" s="108">
        <v>259561971.69586653</v>
      </c>
      <c r="AD288" s="108">
        <v>292832620.30173403</v>
      </c>
      <c r="AE288" s="108">
        <v>3888929653.2270069</v>
      </c>
      <c r="AF288" s="108">
        <v>4256466549.2145224</v>
      </c>
      <c r="AG288" s="108">
        <v>5534195266.781148</v>
      </c>
      <c r="AH288" s="108">
        <v>6825381041.751009</v>
      </c>
      <c r="AI288" s="108">
        <v>8987092114.7023811</v>
      </c>
      <c r="AJ288" s="108">
        <v>10355891769.66106</v>
      </c>
      <c r="AK288" s="108">
        <v>250043042.0692226</v>
      </c>
      <c r="AL288" s="108">
        <v>440945107.87861592</v>
      </c>
      <c r="AM288" s="108">
        <v>627762795.46527421</v>
      </c>
      <c r="AN288" s="108">
        <v>877373991.97158289</v>
      </c>
      <c r="AO288" s="108">
        <v>1163523439.433558</v>
      </c>
      <c r="AP288" s="108">
        <v>1412823621.0394127</v>
      </c>
      <c r="AQ288" s="108">
        <v>504812523.83542681</v>
      </c>
      <c r="AR288" s="108">
        <v>553058411.53666925</v>
      </c>
      <c r="AS288" s="108">
        <v>669483256.60360932</v>
      </c>
      <c r="AT288" s="108">
        <v>632071782.8781898</v>
      </c>
      <c r="AU288" s="108">
        <v>872481724.69552124</v>
      </c>
      <c r="AV288" s="108">
        <v>1068205716.7012562</v>
      </c>
    </row>
    <row r="289" spans="1:48" x14ac:dyDescent="0.35">
      <c r="A289" s="107">
        <f xml:space="preserve"> ROW( slrImpacts[[#This Row],[row_id]] ) - ROW( slrImpacts[[#Headers],[row_id]] )</f>
        <v>288</v>
      </c>
      <c r="B289" s="104">
        <v>2085</v>
      </c>
      <c r="C289" s="104" t="s">
        <v>86</v>
      </c>
      <c r="D289" s="104" t="s">
        <v>208</v>
      </c>
      <c r="E289" s="104" t="s">
        <v>922</v>
      </c>
      <c r="F289" s="104"/>
      <c r="G289" s="105">
        <v>0</v>
      </c>
      <c r="H289" s="105">
        <v>0</v>
      </c>
      <c r="I289" s="105">
        <v>0</v>
      </c>
      <c r="J289" s="105">
        <v>0</v>
      </c>
      <c r="K289" s="105">
        <v>0</v>
      </c>
      <c r="L289" s="105">
        <v>0</v>
      </c>
      <c r="M289" s="106">
        <v>1364828039.4770136</v>
      </c>
      <c r="N289" s="106">
        <v>1459106337.2988544</v>
      </c>
      <c r="O289" s="106">
        <v>1886185247.169631</v>
      </c>
      <c r="P289" s="106">
        <v>2459825202.9655008</v>
      </c>
      <c r="Q289" s="106">
        <v>3433127461.994348</v>
      </c>
      <c r="R289" s="106">
        <v>4190163366.2832985</v>
      </c>
      <c r="S289" s="105">
        <v>0</v>
      </c>
      <c r="T289" s="105">
        <v>0</v>
      </c>
      <c r="U289" s="105">
        <v>0</v>
      </c>
      <c r="V289" s="105">
        <v>0</v>
      </c>
      <c r="W289" s="105">
        <v>0</v>
      </c>
      <c r="X289" s="105">
        <v>0</v>
      </c>
      <c r="Y289" s="106">
        <v>112912208.41439031</v>
      </c>
      <c r="Z289" s="106">
        <v>127090800.69339518</v>
      </c>
      <c r="AA289" s="106">
        <v>177371923.18572807</v>
      </c>
      <c r="AB289" s="108">
        <v>200582283.02249527</v>
      </c>
      <c r="AC289" s="108">
        <v>260273438.17477316</v>
      </c>
      <c r="AD289" s="108">
        <v>297140622.43920046</v>
      </c>
      <c r="AE289" s="108">
        <v>3907053327.9229369</v>
      </c>
      <c r="AF289" s="108">
        <v>4275471328.8076921</v>
      </c>
      <c r="AG289" s="108">
        <v>5584877790.7221508</v>
      </c>
      <c r="AH289" s="108">
        <v>7010348708.2618666</v>
      </c>
      <c r="AI289" s="108">
        <v>9207001745.106842</v>
      </c>
      <c r="AJ289" s="108">
        <v>10623758874.413086</v>
      </c>
      <c r="AK289" s="108">
        <v>257774833.56768057</v>
      </c>
      <c r="AL289" s="108">
        <v>444371351.479909</v>
      </c>
      <c r="AM289" s="108">
        <v>639579502.18275738</v>
      </c>
      <c r="AN289" s="108">
        <v>900981559.53640747</v>
      </c>
      <c r="AO289" s="108">
        <v>1200269759.0530517</v>
      </c>
      <c r="AP289" s="108">
        <v>1454172429.6139514</v>
      </c>
      <c r="AQ289" s="108">
        <v>508119355.54384089</v>
      </c>
      <c r="AR289" s="108">
        <v>556438413.27490985</v>
      </c>
      <c r="AS289" s="108">
        <v>666643805.96927631</v>
      </c>
      <c r="AT289" s="108">
        <v>645079793.0306921</v>
      </c>
      <c r="AU289" s="108">
        <v>896616029.60983634</v>
      </c>
      <c r="AV289" s="108">
        <v>1096190532.769547</v>
      </c>
    </row>
    <row r="290" spans="1:48" x14ac:dyDescent="0.35">
      <c r="A290" s="107">
        <f xml:space="preserve"> ROW( slrImpacts[[#This Row],[row_id]] ) - ROW( slrImpacts[[#Headers],[row_id]] )</f>
        <v>289</v>
      </c>
      <c r="B290" s="104">
        <v>2086</v>
      </c>
      <c r="C290" s="104" t="s">
        <v>86</v>
      </c>
      <c r="D290" s="104" t="s">
        <v>208</v>
      </c>
      <c r="E290" s="104" t="s">
        <v>922</v>
      </c>
      <c r="F290" s="104"/>
      <c r="G290" s="105">
        <v>0</v>
      </c>
      <c r="H290" s="105">
        <v>0</v>
      </c>
      <c r="I290" s="105">
        <v>0</v>
      </c>
      <c r="J290" s="105">
        <v>0</v>
      </c>
      <c r="K290" s="105">
        <v>0</v>
      </c>
      <c r="L290" s="105">
        <v>0</v>
      </c>
      <c r="M290" s="106">
        <v>1365963669.8210099</v>
      </c>
      <c r="N290" s="106">
        <v>1462304801.1845508</v>
      </c>
      <c r="O290" s="106">
        <v>1889812874.7108197</v>
      </c>
      <c r="P290" s="106">
        <v>2508674773.7953844</v>
      </c>
      <c r="Q290" s="106">
        <v>3495475344.557384</v>
      </c>
      <c r="R290" s="106">
        <v>4257813790.0556784</v>
      </c>
      <c r="S290" s="105">
        <v>0</v>
      </c>
      <c r="T290" s="105">
        <v>0</v>
      </c>
      <c r="U290" s="105">
        <v>0</v>
      </c>
      <c r="V290" s="105">
        <v>0</v>
      </c>
      <c r="W290" s="105">
        <v>0</v>
      </c>
      <c r="X290" s="105">
        <v>0</v>
      </c>
      <c r="Y290" s="106">
        <v>113008972.00313669</v>
      </c>
      <c r="Z290" s="106">
        <v>128313652.0297865</v>
      </c>
      <c r="AA290" s="106">
        <v>178551019.78380597</v>
      </c>
      <c r="AB290" s="108">
        <v>203874877.86809576</v>
      </c>
      <c r="AC290" s="108">
        <v>263394116.55977625</v>
      </c>
      <c r="AD290" s="108">
        <v>301019986.00573379</v>
      </c>
      <c r="AE290" s="108">
        <v>3919191733.1938276</v>
      </c>
      <c r="AF290" s="108">
        <v>4284613069.4181547</v>
      </c>
      <c r="AG290" s="108">
        <v>5602963394.9351568</v>
      </c>
      <c r="AH290" s="108">
        <v>7121461240.1119184</v>
      </c>
      <c r="AI290" s="108">
        <v>9321849927.6550426</v>
      </c>
      <c r="AJ290" s="108">
        <v>10802354258.35471</v>
      </c>
      <c r="AK290" s="108">
        <v>264354301.05287194</v>
      </c>
      <c r="AL290" s="108">
        <v>445993481.85007906</v>
      </c>
      <c r="AM290" s="108">
        <v>646139813.99748302</v>
      </c>
      <c r="AN290" s="108">
        <v>912954647.94288349</v>
      </c>
      <c r="AO290" s="108">
        <v>1219966759.1472712</v>
      </c>
      <c r="AP290" s="108">
        <v>1477736977.3348505</v>
      </c>
      <c r="AQ290" s="108">
        <v>510420454.71191561</v>
      </c>
      <c r="AR290" s="108">
        <v>557710054.42738008</v>
      </c>
      <c r="AS290" s="108">
        <v>664742012.50331128</v>
      </c>
      <c r="AT290" s="108">
        <v>650774329.86408472</v>
      </c>
      <c r="AU290" s="108">
        <v>912057258.90210807</v>
      </c>
      <c r="AV290" s="108">
        <v>1106619794.1814742</v>
      </c>
    </row>
    <row r="291" spans="1:48" x14ac:dyDescent="0.35">
      <c r="A291" s="107">
        <f xml:space="preserve"> ROW( slrImpacts[[#This Row],[row_id]] ) - ROW( slrImpacts[[#Headers],[row_id]] )</f>
        <v>290</v>
      </c>
      <c r="B291" s="104">
        <v>2087</v>
      </c>
      <c r="C291" s="104" t="s">
        <v>86</v>
      </c>
      <c r="D291" s="104" t="s">
        <v>208</v>
      </c>
      <c r="E291" s="104" t="s">
        <v>922</v>
      </c>
      <c r="F291" s="104"/>
      <c r="G291" s="105">
        <v>0</v>
      </c>
      <c r="H291" s="105">
        <v>0</v>
      </c>
      <c r="I291" s="105">
        <v>0</v>
      </c>
      <c r="J291" s="105">
        <v>0</v>
      </c>
      <c r="K291" s="105">
        <v>0</v>
      </c>
      <c r="L291" s="105">
        <v>0</v>
      </c>
      <c r="M291" s="106">
        <v>1367099300.1650054</v>
      </c>
      <c r="N291" s="106">
        <v>1465503265.0702479</v>
      </c>
      <c r="O291" s="106">
        <v>1894469745.955842</v>
      </c>
      <c r="P291" s="106">
        <v>2557916356.7609634</v>
      </c>
      <c r="Q291" s="106">
        <v>3557977901.6448193</v>
      </c>
      <c r="R291" s="106">
        <v>4325320046.5202827</v>
      </c>
      <c r="S291" s="105">
        <v>0</v>
      </c>
      <c r="T291" s="105">
        <v>0</v>
      </c>
      <c r="U291" s="105">
        <v>0</v>
      </c>
      <c r="V291" s="105">
        <v>0</v>
      </c>
      <c r="W291" s="105">
        <v>0</v>
      </c>
      <c r="X291" s="105">
        <v>0</v>
      </c>
      <c r="Y291" s="106">
        <v>113101803.64447473</v>
      </c>
      <c r="Z291" s="106">
        <v>130051365.68168595</v>
      </c>
      <c r="AA291" s="106">
        <v>179741540.89914596</v>
      </c>
      <c r="AB291" s="108">
        <v>206951502.93426904</v>
      </c>
      <c r="AC291" s="108">
        <v>266576220.8034609</v>
      </c>
      <c r="AD291" s="108">
        <v>305292742.52489108</v>
      </c>
      <c r="AE291" s="108">
        <v>3930484451.7105379</v>
      </c>
      <c r="AF291" s="108">
        <v>4293754810.0286207</v>
      </c>
      <c r="AG291" s="108">
        <v>5621164964.7072048</v>
      </c>
      <c r="AH291" s="108">
        <v>7236301669.3886375</v>
      </c>
      <c r="AI291" s="108">
        <v>9435195596.1702633</v>
      </c>
      <c r="AJ291" s="108">
        <v>10983226259.309608</v>
      </c>
      <c r="AK291" s="108">
        <v>270934930.65721422</v>
      </c>
      <c r="AL291" s="108">
        <v>447589648.15323466</v>
      </c>
      <c r="AM291" s="108">
        <v>652777353.72551632</v>
      </c>
      <c r="AN291" s="108">
        <v>924951869.91228938</v>
      </c>
      <c r="AO291" s="108">
        <v>1239895814.306375</v>
      </c>
      <c r="AP291" s="108">
        <v>1501175632.5708888</v>
      </c>
      <c r="AQ291" s="108">
        <v>512721553.87999028</v>
      </c>
      <c r="AR291" s="108">
        <v>558981695.5798502</v>
      </c>
      <c r="AS291" s="108">
        <v>662845164.57392049</v>
      </c>
      <c r="AT291" s="108">
        <v>656557964.71800208</v>
      </c>
      <c r="AU291" s="108">
        <v>927712364.72487676</v>
      </c>
      <c r="AV291" s="108">
        <v>1117204647.4184377</v>
      </c>
    </row>
    <row r="292" spans="1:48" x14ac:dyDescent="0.35">
      <c r="A292" s="107">
        <f xml:space="preserve"> ROW( slrImpacts[[#This Row],[row_id]] ) - ROW( slrImpacts[[#Headers],[row_id]] )</f>
        <v>291</v>
      </c>
      <c r="B292" s="104">
        <v>2088</v>
      </c>
      <c r="C292" s="104" t="s">
        <v>86</v>
      </c>
      <c r="D292" s="104" t="s">
        <v>208</v>
      </c>
      <c r="E292" s="104" t="s">
        <v>922</v>
      </c>
      <c r="F292" s="104"/>
      <c r="G292" s="105">
        <v>0</v>
      </c>
      <c r="H292" s="105">
        <v>0</v>
      </c>
      <c r="I292" s="105">
        <v>0</v>
      </c>
      <c r="J292" s="105">
        <v>0</v>
      </c>
      <c r="K292" s="105">
        <v>0</v>
      </c>
      <c r="L292" s="105">
        <v>0</v>
      </c>
      <c r="M292" s="106">
        <v>1368234930.5090015</v>
      </c>
      <c r="N292" s="106">
        <v>1468701728.9559445</v>
      </c>
      <c r="O292" s="106">
        <v>1902627226.3513198</v>
      </c>
      <c r="P292" s="106">
        <v>2607836865.7109809</v>
      </c>
      <c r="Q292" s="106">
        <v>3620539634.6176243</v>
      </c>
      <c r="R292" s="106">
        <v>4392590420.4555159</v>
      </c>
      <c r="S292" s="105">
        <v>0</v>
      </c>
      <c r="T292" s="105">
        <v>0</v>
      </c>
      <c r="U292" s="105">
        <v>0</v>
      </c>
      <c r="V292" s="105">
        <v>0</v>
      </c>
      <c r="W292" s="105">
        <v>0</v>
      </c>
      <c r="X292" s="105">
        <v>0</v>
      </c>
      <c r="Y292" s="106">
        <v>113194635.28581281</v>
      </c>
      <c r="Z292" s="106">
        <v>131795484.04928084</v>
      </c>
      <c r="AA292" s="106">
        <v>180942324.41259706</v>
      </c>
      <c r="AB292" s="108">
        <v>209982971.80987453</v>
      </c>
      <c r="AC292" s="108">
        <v>269763296.70444959</v>
      </c>
      <c r="AD292" s="108">
        <v>309596854.23759234</v>
      </c>
      <c r="AE292" s="108">
        <v>3941777170.2272506</v>
      </c>
      <c r="AF292" s="108">
        <v>4302896550.6390896</v>
      </c>
      <c r="AG292" s="108">
        <v>5640398809.218646</v>
      </c>
      <c r="AH292" s="108">
        <v>7352740226.067667</v>
      </c>
      <c r="AI292" s="108">
        <v>9549014623.6241989</v>
      </c>
      <c r="AJ292" s="108">
        <v>11164707236.304901</v>
      </c>
      <c r="AK292" s="108">
        <v>277514472.40739816</v>
      </c>
      <c r="AL292" s="108">
        <v>449159527.20867592</v>
      </c>
      <c r="AM292" s="108">
        <v>659470137.39151335</v>
      </c>
      <c r="AN292" s="108">
        <v>937009726.94618869</v>
      </c>
      <c r="AO292" s="108">
        <v>1263674925.6414039</v>
      </c>
      <c r="AP292" s="108">
        <v>1524418957.0385845</v>
      </c>
      <c r="AQ292" s="108">
        <v>515022653.04806495</v>
      </c>
      <c r="AR292" s="108">
        <v>560253336.73232043</v>
      </c>
      <c r="AS292" s="108">
        <v>660954795.62521732</v>
      </c>
      <c r="AT292" s="108">
        <v>662401815.16718745</v>
      </c>
      <c r="AU292" s="108">
        <v>943623187.46477532</v>
      </c>
      <c r="AV292" s="108">
        <v>1127849021.7450058</v>
      </c>
    </row>
    <row r="293" spans="1:48" x14ac:dyDescent="0.35">
      <c r="A293" s="107">
        <f xml:space="preserve"> ROW( slrImpacts[[#This Row],[row_id]] ) - ROW( slrImpacts[[#Headers],[row_id]] )</f>
        <v>292</v>
      </c>
      <c r="B293" s="104">
        <v>2089</v>
      </c>
      <c r="C293" s="104" t="s">
        <v>86</v>
      </c>
      <c r="D293" s="104" t="s">
        <v>208</v>
      </c>
      <c r="E293" s="104" t="s">
        <v>922</v>
      </c>
      <c r="F293" s="104"/>
      <c r="G293" s="105">
        <v>0</v>
      </c>
      <c r="H293" s="105">
        <v>0</v>
      </c>
      <c r="I293" s="105">
        <v>0</v>
      </c>
      <c r="J293" s="105">
        <v>0</v>
      </c>
      <c r="K293" s="105">
        <v>0</v>
      </c>
      <c r="L293" s="105">
        <v>0</v>
      </c>
      <c r="M293" s="106">
        <v>1369370560.8529966</v>
      </c>
      <c r="N293" s="106">
        <v>1471103961.4531989</v>
      </c>
      <c r="O293" s="106">
        <v>1912229257.2108035</v>
      </c>
      <c r="P293" s="106">
        <v>2658363398.0280328</v>
      </c>
      <c r="Q293" s="106">
        <v>3683330094.5597882</v>
      </c>
      <c r="R293" s="106">
        <v>4459595872.7117357</v>
      </c>
      <c r="S293" s="105">
        <v>0</v>
      </c>
      <c r="T293" s="105">
        <v>0</v>
      </c>
      <c r="U293" s="105">
        <v>0</v>
      </c>
      <c r="V293" s="105">
        <v>0</v>
      </c>
      <c r="W293" s="105">
        <v>0</v>
      </c>
      <c r="X293" s="105">
        <v>0</v>
      </c>
      <c r="Y293" s="106">
        <v>113289939.69543791</v>
      </c>
      <c r="Z293" s="106">
        <v>133519968.80056414</v>
      </c>
      <c r="AA293" s="106">
        <v>182154458.17831773</v>
      </c>
      <c r="AB293" s="108">
        <v>213029871.41514298</v>
      </c>
      <c r="AC293" s="108">
        <v>272940232.61658233</v>
      </c>
      <c r="AD293" s="108">
        <v>313996787.77001667</v>
      </c>
      <c r="AE293" s="108">
        <v>3953069888.7439613</v>
      </c>
      <c r="AF293" s="108">
        <v>4312038291.2495575</v>
      </c>
      <c r="AG293" s="108">
        <v>5660801545.3311882</v>
      </c>
      <c r="AH293" s="108">
        <v>7470794745.0166922</v>
      </c>
      <c r="AI293" s="108">
        <v>9663073094.2299614</v>
      </c>
      <c r="AJ293" s="108">
        <v>11346522167.622612</v>
      </c>
      <c r="AK293" s="108">
        <v>284087609.44188678</v>
      </c>
      <c r="AL293" s="108">
        <v>450728244.14496595</v>
      </c>
      <c r="AM293" s="108">
        <v>666183817.1786952</v>
      </c>
      <c r="AN293" s="108">
        <v>949113727.63909185</v>
      </c>
      <c r="AO293" s="108">
        <v>1287699242.5797434</v>
      </c>
      <c r="AP293" s="108">
        <v>1547527682.0909536</v>
      </c>
      <c r="AQ293" s="108">
        <v>517323752.21613967</v>
      </c>
      <c r="AR293" s="108">
        <v>562133278.88341343</v>
      </c>
      <c r="AS293" s="108">
        <v>659066973.70979381</v>
      </c>
      <c r="AT293" s="108">
        <v>668218985.02016246</v>
      </c>
      <c r="AU293" s="108">
        <v>959897890.75942886</v>
      </c>
      <c r="AV293" s="108">
        <v>1138518766.018647</v>
      </c>
    </row>
    <row r="294" spans="1:48" x14ac:dyDescent="0.35">
      <c r="A294" s="107">
        <f xml:space="preserve"> ROW( slrImpacts[[#This Row],[row_id]] ) - ROW( slrImpacts[[#Headers],[row_id]] )</f>
        <v>293</v>
      </c>
      <c r="B294" s="104">
        <v>2090</v>
      </c>
      <c r="C294" s="104" t="s">
        <v>86</v>
      </c>
      <c r="D294" s="104" t="s">
        <v>208</v>
      </c>
      <c r="E294" s="104" t="s">
        <v>922</v>
      </c>
      <c r="F294" s="104"/>
      <c r="G294" s="105">
        <v>0</v>
      </c>
      <c r="H294" s="105">
        <v>0</v>
      </c>
      <c r="I294" s="105">
        <v>0</v>
      </c>
      <c r="J294" s="105">
        <v>0</v>
      </c>
      <c r="K294" s="105">
        <v>0</v>
      </c>
      <c r="L294" s="105">
        <v>0</v>
      </c>
      <c r="M294" s="106">
        <v>1369995713.5215766</v>
      </c>
      <c r="N294" s="106">
        <v>1472489523.7150388</v>
      </c>
      <c r="O294" s="106">
        <v>1921035658.2300808</v>
      </c>
      <c r="P294" s="106">
        <v>2708317269.4555202</v>
      </c>
      <c r="Q294" s="106">
        <v>3744099146.9085608</v>
      </c>
      <c r="R294" s="106">
        <v>4523819086.5604773</v>
      </c>
      <c r="S294" s="105">
        <v>0</v>
      </c>
      <c r="T294" s="105">
        <v>0</v>
      </c>
      <c r="U294" s="105">
        <v>0</v>
      </c>
      <c r="V294" s="105">
        <v>0</v>
      </c>
      <c r="W294" s="105">
        <v>0</v>
      </c>
      <c r="X294" s="105">
        <v>0</v>
      </c>
      <c r="Y294" s="106">
        <v>113353246.6473161</v>
      </c>
      <c r="Z294" s="106">
        <v>135086563.60923973</v>
      </c>
      <c r="AA294" s="106">
        <v>183411838.66806731</v>
      </c>
      <c r="AB294" s="108">
        <v>215912628.98929048</v>
      </c>
      <c r="AC294" s="108">
        <v>275953763.39245558</v>
      </c>
      <c r="AD294" s="108">
        <v>318111066.76315296</v>
      </c>
      <c r="AE294" s="108">
        <v>3960764311.0132794</v>
      </c>
      <c r="AF294" s="108">
        <v>4314977768.277297</v>
      </c>
      <c r="AG294" s="108">
        <v>5675113451.6644239</v>
      </c>
      <c r="AH294" s="108">
        <v>7583777967.8325891</v>
      </c>
      <c r="AI294" s="108">
        <v>9768900233.6781063</v>
      </c>
      <c r="AJ294" s="108">
        <v>11519239930.804115</v>
      </c>
      <c r="AK294" s="108">
        <v>290586563.87364531</v>
      </c>
      <c r="AL294" s="108">
        <v>452197830.65526873</v>
      </c>
      <c r="AM294" s="108">
        <v>672667683.80022764</v>
      </c>
      <c r="AN294" s="108">
        <v>961033393.54088938</v>
      </c>
      <c r="AO294" s="108">
        <v>1311550190.9321723</v>
      </c>
      <c r="AP294" s="108">
        <v>1570465413.0437262</v>
      </c>
      <c r="AQ294" s="108">
        <v>518507555.82202458</v>
      </c>
      <c r="AR294" s="108">
        <v>563590909.04319608</v>
      </c>
      <c r="AS294" s="108">
        <v>655537567.93810236</v>
      </c>
      <c r="AT294" s="108">
        <v>671672075.19859672</v>
      </c>
      <c r="AU294" s="108">
        <v>973457968.77124798</v>
      </c>
      <c r="AV294" s="108">
        <v>1145748669.6109366</v>
      </c>
    </row>
    <row r="295" spans="1:48" x14ac:dyDescent="0.35">
      <c r="A295" s="107">
        <f xml:space="preserve"> ROW( slrImpacts[[#This Row],[row_id]] ) - ROW( slrImpacts[[#Headers],[row_id]] )</f>
        <v>294</v>
      </c>
      <c r="B295" s="104">
        <v>2091</v>
      </c>
      <c r="C295" s="104" t="s">
        <v>86</v>
      </c>
      <c r="D295" s="104" t="s">
        <v>208</v>
      </c>
      <c r="E295" s="104" t="s">
        <v>922</v>
      </c>
      <c r="F295" s="104"/>
      <c r="G295" s="105">
        <v>0</v>
      </c>
      <c r="H295" s="105">
        <v>0</v>
      </c>
      <c r="I295" s="105">
        <v>0</v>
      </c>
      <c r="J295" s="105">
        <v>0</v>
      </c>
      <c r="K295" s="105">
        <v>0</v>
      </c>
      <c r="L295" s="105">
        <v>0</v>
      </c>
      <c r="M295" s="106">
        <v>1371311439.4868371</v>
      </c>
      <c r="N295" s="106">
        <v>1472026850.305167</v>
      </c>
      <c r="O295" s="106">
        <v>1932055903.7564514</v>
      </c>
      <c r="P295" s="106">
        <v>2760756834.8351703</v>
      </c>
      <c r="Q295" s="106">
        <v>3807603039.2494512</v>
      </c>
      <c r="R295" s="106">
        <v>4590388811.3922844</v>
      </c>
      <c r="S295" s="105">
        <v>0</v>
      </c>
      <c r="T295" s="105">
        <v>0</v>
      </c>
      <c r="U295" s="105">
        <v>0</v>
      </c>
      <c r="V295" s="105">
        <v>0</v>
      </c>
      <c r="W295" s="105">
        <v>0</v>
      </c>
      <c r="X295" s="105">
        <v>0</v>
      </c>
      <c r="Y295" s="106">
        <v>113520556.73936984</v>
      </c>
      <c r="Z295" s="106">
        <v>136463411.35315159</v>
      </c>
      <c r="AA295" s="106">
        <v>184919436.48862022</v>
      </c>
      <c r="AB295" s="108">
        <v>219107987.00343195</v>
      </c>
      <c r="AC295" s="108">
        <v>279401899.19284093</v>
      </c>
      <c r="AD295" s="108">
        <v>322706801.11673945</v>
      </c>
      <c r="AE295" s="108">
        <v>3973019626.7037487</v>
      </c>
      <c r="AF295" s="108">
        <v>4325364725.1471634</v>
      </c>
      <c r="AG295" s="108">
        <v>5703086111.8418484</v>
      </c>
      <c r="AH295" s="108">
        <v>7710373830.4780607</v>
      </c>
      <c r="AI295" s="108">
        <v>9889170563.1751328</v>
      </c>
      <c r="AJ295" s="108">
        <v>11706719371.02659</v>
      </c>
      <c r="AK295" s="108">
        <v>296598244.27512449</v>
      </c>
      <c r="AL295" s="108">
        <v>453797543.9669919</v>
      </c>
      <c r="AM295" s="108">
        <v>677611921.56941891</v>
      </c>
      <c r="AN295" s="108">
        <v>973332473.4318378</v>
      </c>
      <c r="AO295" s="108">
        <v>1335735856.8378589</v>
      </c>
      <c r="AP295" s="108">
        <v>1593907807.7604241</v>
      </c>
      <c r="AQ295" s="108">
        <v>520320680.64021796</v>
      </c>
      <c r="AR295" s="108">
        <v>566850771.93226945</v>
      </c>
      <c r="AS295" s="108">
        <v>653818286.18210733</v>
      </c>
      <c r="AT295" s="108">
        <v>677328474.04065573</v>
      </c>
      <c r="AU295" s="108">
        <v>990273161.51282144</v>
      </c>
      <c r="AV295" s="108">
        <v>1156406223.550766</v>
      </c>
    </row>
    <row r="296" spans="1:48" x14ac:dyDescent="0.35">
      <c r="A296" s="107">
        <f xml:space="preserve"> ROW( slrImpacts[[#This Row],[row_id]] ) - ROW( slrImpacts[[#Headers],[row_id]] )</f>
        <v>295</v>
      </c>
      <c r="B296" s="104">
        <v>2092</v>
      </c>
      <c r="C296" s="104" t="s">
        <v>86</v>
      </c>
      <c r="D296" s="104" t="s">
        <v>208</v>
      </c>
      <c r="E296" s="104" t="s">
        <v>922</v>
      </c>
      <c r="F296" s="104"/>
      <c r="G296" s="105">
        <v>0</v>
      </c>
      <c r="H296" s="105">
        <v>0</v>
      </c>
      <c r="I296" s="105">
        <v>0</v>
      </c>
      <c r="J296" s="105">
        <v>0</v>
      </c>
      <c r="K296" s="105">
        <v>0</v>
      </c>
      <c r="L296" s="105">
        <v>0</v>
      </c>
      <c r="M296" s="106">
        <v>1371936453.3573742</v>
      </c>
      <c r="N296" s="106">
        <v>1470502637.6516416</v>
      </c>
      <c r="O296" s="106">
        <v>1942453089.014565</v>
      </c>
      <c r="P296" s="106">
        <v>2814029314.4123859</v>
      </c>
      <c r="Q296" s="106">
        <v>3870846335.2072349</v>
      </c>
      <c r="R296" s="106">
        <v>4656626444.1612425</v>
      </c>
      <c r="S296" s="105">
        <v>0</v>
      </c>
      <c r="T296" s="105">
        <v>0</v>
      </c>
      <c r="U296" s="105">
        <v>0</v>
      </c>
      <c r="V296" s="105">
        <v>0</v>
      </c>
      <c r="W296" s="105">
        <v>0</v>
      </c>
      <c r="X296" s="105">
        <v>0</v>
      </c>
      <c r="Y296" s="106">
        <v>113602674.63757737</v>
      </c>
      <c r="Z296" s="106">
        <v>137667576.59179881</v>
      </c>
      <c r="AA296" s="106">
        <v>186192205.31883413</v>
      </c>
      <c r="AB296" s="108">
        <v>222152620.36692235</v>
      </c>
      <c r="AC296" s="108">
        <v>282508326.89366776</v>
      </c>
      <c r="AD296" s="108">
        <v>327189841.66815424</v>
      </c>
      <c r="AE296" s="108">
        <v>3978086031.8827243</v>
      </c>
      <c r="AF296" s="108">
        <v>4331646728.9227791</v>
      </c>
      <c r="AG296" s="108">
        <v>5730428047.0988789</v>
      </c>
      <c r="AH296" s="108">
        <v>7836008087.9324598</v>
      </c>
      <c r="AI296" s="108">
        <v>10005771833.107697</v>
      </c>
      <c r="AJ296" s="108">
        <v>11890688294.645466</v>
      </c>
      <c r="AK296" s="108">
        <v>301111403.02689308</v>
      </c>
      <c r="AL296" s="108">
        <v>455281920.15473866</v>
      </c>
      <c r="AM296" s="108">
        <v>680477177.35264528</v>
      </c>
      <c r="AN296" s="108">
        <v>985682642.51836455</v>
      </c>
      <c r="AO296" s="108">
        <v>1359834478.0220826</v>
      </c>
      <c r="AP296" s="108">
        <v>1617431585.1328161</v>
      </c>
      <c r="AQ296" s="108">
        <v>520975191.62210226</v>
      </c>
      <c r="AR296" s="108">
        <v>569050319.67024136</v>
      </c>
      <c r="AS296" s="108">
        <v>652009997.5748136</v>
      </c>
      <c r="AT296" s="108">
        <v>682968970.44236672</v>
      </c>
      <c r="AU296" s="108">
        <v>1007247506.7018764</v>
      </c>
      <c r="AV296" s="108">
        <v>1166941690.4466906</v>
      </c>
    </row>
    <row r="297" spans="1:48" x14ac:dyDescent="0.35">
      <c r="A297" s="107">
        <f xml:space="preserve"> ROW( slrImpacts[[#This Row],[row_id]] ) - ROW( slrImpacts[[#Headers],[row_id]] )</f>
        <v>296</v>
      </c>
      <c r="B297" s="104">
        <v>2093</v>
      </c>
      <c r="C297" s="104" t="s">
        <v>86</v>
      </c>
      <c r="D297" s="104" t="s">
        <v>208</v>
      </c>
      <c r="E297" s="104" t="s">
        <v>922</v>
      </c>
      <c r="F297" s="104"/>
      <c r="G297" s="105">
        <v>0</v>
      </c>
      <c r="H297" s="105">
        <v>0</v>
      </c>
      <c r="I297" s="105">
        <v>0</v>
      </c>
      <c r="J297" s="105">
        <v>0</v>
      </c>
      <c r="K297" s="105">
        <v>0</v>
      </c>
      <c r="L297" s="105">
        <v>0</v>
      </c>
      <c r="M297" s="106">
        <v>1372561467.2279108</v>
      </c>
      <c r="N297" s="106">
        <v>1468769773.1378274</v>
      </c>
      <c r="O297" s="106">
        <v>1953138980.2131886</v>
      </c>
      <c r="P297" s="106">
        <v>2867908800.7278776</v>
      </c>
      <c r="Q297" s="106">
        <v>3933881246.1467738</v>
      </c>
      <c r="R297" s="106">
        <v>4722942567.3483849</v>
      </c>
      <c r="S297" s="105">
        <v>0</v>
      </c>
      <c r="T297" s="105">
        <v>0</v>
      </c>
      <c r="U297" s="105">
        <v>0</v>
      </c>
      <c r="V297" s="105">
        <v>0</v>
      </c>
      <c r="W297" s="105">
        <v>0</v>
      </c>
      <c r="X297" s="105">
        <v>0</v>
      </c>
      <c r="Y297" s="106">
        <v>113684792.53578484</v>
      </c>
      <c r="Z297" s="106">
        <v>138793251.41226536</v>
      </c>
      <c r="AA297" s="106">
        <v>187470142.48059994</v>
      </c>
      <c r="AB297" s="108">
        <v>225221981.41328353</v>
      </c>
      <c r="AC297" s="108">
        <v>285579764.51351267</v>
      </c>
      <c r="AD297" s="108">
        <v>331770683.0733614</v>
      </c>
      <c r="AE297" s="108">
        <v>3983152437.0617027</v>
      </c>
      <c r="AF297" s="108">
        <v>4338775655.8367233</v>
      </c>
      <c r="AG297" s="108">
        <v>5759821523.1694107</v>
      </c>
      <c r="AH297" s="108">
        <v>7961846256.579217</v>
      </c>
      <c r="AI297" s="108">
        <v>10124140705.724018</v>
      </c>
      <c r="AJ297" s="108">
        <v>12074215544.35671</v>
      </c>
      <c r="AK297" s="108">
        <v>307238994.70174885</v>
      </c>
      <c r="AL297" s="108">
        <v>456768769.11077255</v>
      </c>
      <c r="AM297" s="108">
        <v>683337758.5385375</v>
      </c>
      <c r="AN297" s="108">
        <v>999673025.74988353</v>
      </c>
      <c r="AO297" s="108">
        <v>1383886632.3666019</v>
      </c>
      <c r="AP297" s="108">
        <v>1641010335.5039315</v>
      </c>
      <c r="AQ297" s="108">
        <v>521629702.60398656</v>
      </c>
      <c r="AR297" s="108">
        <v>571249867.4082129</v>
      </c>
      <c r="AS297" s="108">
        <v>650250399.65980327</v>
      </c>
      <c r="AT297" s="108">
        <v>688653334.40904176</v>
      </c>
      <c r="AU297" s="108">
        <v>1024373760.6842661</v>
      </c>
      <c r="AV297" s="108">
        <v>1177399064.3701267</v>
      </c>
    </row>
    <row r="298" spans="1:48" x14ac:dyDescent="0.35">
      <c r="A298" s="107">
        <f xml:space="preserve"> ROW( slrImpacts[[#This Row],[row_id]] ) - ROW( slrImpacts[[#Headers],[row_id]] )</f>
        <v>297</v>
      </c>
      <c r="B298" s="104">
        <v>2094</v>
      </c>
      <c r="C298" s="104" t="s">
        <v>86</v>
      </c>
      <c r="D298" s="104" t="s">
        <v>208</v>
      </c>
      <c r="E298" s="104" t="s">
        <v>922</v>
      </c>
      <c r="F298" s="104"/>
      <c r="G298" s="105">
        <v>0</v>
      </c>
      <c r="H298" s="105">
        <v>0</v>
      </c>
      <c r="I298" s="105">
        <v>0</v>
      </c>
      <c r="J298" s="105">
        <v>0</v>
      </c>
      <c r="K298" s="105">
        <v>0</v>
      </c>
      <c r="L298" s="105">
        <v>0</v>
      </c>
      <c r="M298" s="106">
        <v>1373186481.0984476</v>
      </c>
      <c r="N298" s="106">
        <v>1467041928.4255793</v>
      </c>
      <c r="O298" s="106">
        <v>1964169559.8430135</v>
      </c>
      <c r="P298" s="106">
        <v>2922212483.5791144</v>
      </c>
      <c r="Q298" s="106">
        <v>3996757961.8893418</v>
      </c>
      <c r="R298" s="106">
        <v>4789242346.6024151</v>
      </c>
      <c r="S298" s="105">
        <v>0</v>
      </c>
      <c r="T298" s="105">
        <v>0</v>
      </c>
      <c r="U298" s="105">
        <v>0</v>
      </c>
      <c r="V298" s="105">
        <v>0</v>
      </c>
      <c r="W298" s="105">
        <v>0</v>
      </c>
      <c r="X298" s="105">
        <v>0</v>
      </c>
      <c r="Y298" s="106">
        <v>113766910.43399234</v>
      </c>
      <c r="Z298" s="106">
        <v>139916304.93445969</v>
      </c>
      <c r="AA298" s="106">
        <v>188741971.98664057</v>
      </c>
      <c r="AB298" s="108">
        <v>228301482.44850063</v>
      </c>
      <c r="AC298" s="108">
        <v>288608693.36179191</v>
      </c>
      <c r="AD298" s="108">
        <v>336451155.83644456</v>
      </c>
      <c r="AE298" s="108">
        <v>3988218842.2406821</v>
      </c>
      <c r="AF298" s="108">
        <v>4345905893.3997993</v>
      </c>
      <c r="AG298" s="108">
        <v>5792183946.8198843</v>
      </c>
      <c r="AH298" s="108">
        <v>8088028519.5372353</v>
      </c>
      <c r="AI298" s="108">
        <v>10243011505.740097</v>
      </c>
      <c r="AJ298" s="108">
        <v>12255915333.284781</v>
      </c>
      <c r="AK298" s="108">
        <v>316101456.82384306</v>
      </c>
      <c r="AL298" s="108">
        <v>458258239.36507851</v>
      </c>
      <c r="AM298" s="108">
        <v>686209121.97748911</v>
      </c>
      <c r="AN298" s="108">
        <v>1015874657.9499968</v>
      </c>
      <c r="AO298" s="108">
        <v>1407917645.7714257</v>
      </c>
      <c r="AP298" s="108">
        <v>1664635303.7990434</v>
      </c>
      <c r="AQ298" s="108">
        <v>522892514.58449382</v>
      </c>
      <c r="AR298" s="108">
        <v>573449415.14618444</v>
      </c>
      <c r="AS298" s="108">
        <v>648541593.88040018</v>
      </c>
      <c r="AT298" s="108">
        <v>694417250.52732599</v>
      </c>
      <c r="AU298" s="108">
        <v>1041611341.4810342</v>
      </c>
      <c r="AV298" s="108">
        <v>1187765016.0347362</v>
      </c>
    </row>
    <row r="299" spans="1:48" x14ac:dyDescent="0.35">
      <c r="A299" s="107">
        <f xml:space="preserve"> ROW( slrImpacts[[#This Row],[row_id]] ) - ROW( slrImpacts[[#Headers],[row_id]] )</f>
        <v>298</v>
      </c>
      <c r="B299" s="104">
        <v>2095</v>
      </c>
      <c r="C299" s="104" t="s">
        <v>86</v>
      </c>
      <c r="D299" s="104" t="s">
        <v>208</v>
      </c>
      <c r="E299" s="104" t="s">
        <v>922</v>
      </c>
      <c r="F299" s="104"/>
      <c r="G299" s="105">
        <v>0</v>
      </c>
      <c r="H299" s="105">
        <v>0</v>
      </c>
      <c r="I299" s="105">
        <v>0</v>
      </c>
      <c r="J299" s="105">
        <v>0</v>
      </c>
      <c r="K299" s="105">
        <v>0</v>
      </c>
      <c r="L299" s="105">
        <v>0</v>
      </c>
      <c r="M299" s="106">
        <v>1373811494.9689853</v>
      </c>
      <c r="N299" s="106">
        <v>1465314083.7133331</v>
      </c>
      <c r="O299" s="106">
        <v>1975022069.9382415</v>
      </c>
      <c r="P299" s="106">
        <v>2975439234.8693528</v>
      </c>
      <c r="Q299" s="106">
        <v>4056741693.4161916</v>
      </c>
      <c r="R299" s="106">
        <v>4852571018.4503193</v>
      </c>
      <c r="S299" s="105">
        <v>0</v>
      </c>
      <c r="T299" s="105">
        <v>0</v>
      </c>
      <c r="U299" s="105">
        <v>0</v>
      </c>
      <c r="V299" s="105">
        <v>0</v>
      </c>
      <c r="W299" s="105">
        <v>0</v>
      </c>
      <c r="X299" s="105">
        <v>0</v>
      </c>
      <c r="Y299" s="106">
        <v>113847791.94805636</v>
      </c>
      <c r="Z299" s="106">
        <v>141039358.45665401</v>
      </c>
      <c r="AA299" s="106">
        <v>189994587.34559512</v>
      </c>
      <c r="AB299" s="108">
        <v>231314883.0277023</v>
      </c>
      <c r="AC299" s="108">
        <v>291462964.76793456</v>
      </c>
      <c r="AD299" s="108">
        <v>340969037.93885648</v>
      </c>
      <c r="AE299" s="108">
        <v>3993381685.3828578</v>
      </c>
      <c r="AF299" s="108">
        <v>4353036130.9628763</v>
      </c>
      <c r="AG299" s="108">
        <v>5829124873.04496</v>
      </c>
      <c r="AH299" s="108">
        <v>8212652903.137166</v>
      </c>
      <c r="AI299" s="108">
        <v>10356667003.898481</v>
      </c>
      <c r="AJ299" s="108">
        <v>12431356197.923126</v>
      </c>
      <c r="AK299" s="108">
        <v>322211704.29012012</v>
      </c>
      <c r="AL299" s="108">
        <v>459741379.16868174</v>
      </c>
      <c r="AM299" s="108">
        <v>689014979.08036518</v>
      </c>
      <c r="AN299" s="108">
        <v>1031921192.0592921</v>
      </c>
      <c r="AO299" s="108">
        <v>1431502928.3523135</v>
      </c>
      <c r="AP299" s="108">
        <v>1687895675.0102036</v>
      </c>
      <c r="AQ299" s="108">
        <v>524155326.56500077</v>
      </c>
      <c r="AR299" s="108">
        <v>575648962.88415623</v>
      </c>
      <c r="AS299" s="108">
        <v>646831477.45186162</v>
      </c>
      <c r="AT299" s="108">
        <v>700065016.70391297</v>
      </c>
      <c r="AU299" s="108">
        <v>1058515531.8574103</v>
      </c>
      <c r="AV299" s="108">
        <v>1197656699.6543856</v>
      </c>
    </row>
    <row r="300" spans="1:48" x14ac:dyDescent="0.35">
      <c r="A300" s="107">
        <f xml:space="preserve"> ROW( slrImpacts[[#This Row],[row_id]] ) - ROW( slrImpacts[[#Headers],[row_id]] )</f>
        <v>299</v>
      </c>
      <c r="B300" s="104">
        <v>2096</v>
      </c>
      <c r="C300" s="104" t="s">
        <v>86</v>
      </c>
      <c r="D300" s="104" t="s">
        <v>208</v>
      </c>
      <c r="E300" s="104" t="s">
        <v>922</v>
      </c>
      <c r="F300" s="104"/>
      <c r="G300" s="105">
        <v>0</v>
      </c>
      <c r="H300" s="105">
        <v>0</v>
      </c>
      <c r="I300" s="105">
        <v>0</v>
      </c>
      <c r="J300" s="105">
        <v>0</v>
      </c>
      <c r="K300" s="105">
        <v>0</v>
      </c>
      <c r="L300" s="105">
        <v>0</v>
      </c>
      <c r="M300" s="106">
        <v>1373730726.5210619</v>
      </c>
      <c r="N300" s="106">
        <v>1462951336.0844948</v>
      </c>
      <c r="O300" s="106">
        <v>1976548949.9604561</v>
      </c>
      <c r="P300" s="106">
        <v>2982999924.407064</v>
      </c>
      <c r="Q300" s="106">
        <v>4071181555.0658669</v>
      </c>
      <c r="R300" s="106">
        <v>4867942177.432477</v>
      </c>
      <c r="S300" s="105">
        <v>0</v>
      </c>
      <c r="T300" s="105">
        <v>0</v>
      </c>
      <c r="U300" s="105">
        <v>0</v>
      </c>
      <c r="V300" s="105">
        <v>0</v>
      </c>
      <c r="W300" s="105">
        <v>0</v>
      </c>
      <c r="X300" s="105">
        <v>0</v>
      </c>
      <c r="Y300" s="106">
        <v>113868419.74207398</v>
      </c>
      <c r="Z300" s="106">
        <v>141822123.60225475</v>
      </c>
      <c r="AA300" s="106">
        <v>190267686.34753227</v>
      </c>
      <c r="AB300" s="108">
        <v>231288344.66104814</v>
      </c>
      <c r="AC300" s="108">
        <v>292336430.55124897</v>
      </c>
      <c r="AD300" s="108">
        <v>342110343.24749273</v>
      </c>
      <c r="AE300" s="108">
        <v>3992113662.7917085</v>
      </c>
      <c r="AF300" s="108">
        <v>4351318077.7382641</v>
      </c>
      <c r="AG300" s="108">
        <v>5831356760.5314455</v>
      </c>
      <c r="AH300" s="108">
        <v>8221718473.671114</v>
      </c>
      <c r="AI300" s="108">
        <v>10375138215.373705</v>
      </c>
      <c r="AJ300" s="108">
        <v>12456252150.779545</v>
      </c>
      <c r="AK300" s="108">
        <v>323479350.83066601</v>
      </c>
      <c r="AL300" s="108">
        <v>459753313.00649548</v>
      </c>
      <c r="AM300" s="108">
        <v>687570912.43486166</v>
      </c>
      <c r="AN300" s="108">
        <v>1032866549.4914094</v>
      </c>
      <c r="AO300" s="108">
        <v>1434041064.0038986</v>
      </c>
      <c r="AP300" s="108">
        <v>1690182357.7152715</v>
      </c>
      <c r="AQ300" s="108">
        <v>523826373.32763994</v>
      </c>
      <c r="AR300" s="108">
        <v>575937529.10714602</v>
      </c>
      <c r="AS300" s="108">
        <v>646097529.66178286</v>
      </c>
      <c r="AT300" s="108">
        <v>699421440.75148499</v>
      </c>
      <c r="AU300" s="108">
        <v>1059505234.4810344</v>
      </c>
      <c r="AV300" s="108">
        <v>1198411752.7788794</v>
      </c>
    </row>
    <row r="301" spans="1:48" x14ac:dyDescent="0.35">
      <c r="A301" s="107">
        <f xml:space="preserve"> ROW( slrImpacts[[#This Row],[row_id]] ) - ROW( slrImpacts[[#Headers],[row_id]] )</f>
        <v>300</v>
      </c>
      <c r="B301" s="104">
        <v>2097</v>
      </c>
      <c r="C301" s="104" t="s">
        <v>86</v>
      </c>
      <c r="D301" s="104" t="s">
        <v>208</v>
      </c>
      <c r="E301" s="104" t="s">
        <v>922</v>
      </c>
      <c r="F301" s="104"/>
      <c r="G301" s="105">
        <v>0</v>
      </c>
      <c r="H301" s="105">
        <v>0</v>
      </c>
      <c r="I301" s="105">
        <v>0</v>
      </c>
      <c r="J301" s="105">
        <v>0</v>
      </c>
      <c r="K301" s="105">
        <v>0</v>
      </c>
      <c r="L301" s="105">
        <v>0</v>
      </c>
      <c r="M301" s="106">
        <v>1373632009.5291562</v>
      </c>
      <c r="N301" s="106">
        <v>1460061931.522527</v>
      </c>
      <c r="O301" s="106">
        <v>1978201271.4485869</v>
      </c>
      <c r="P301" s="106">
        <v>2990755927.5263009</v>
      </c>
      <c r="Q301" s="106">
        <v>4085278258.5165925</v>
      </c>
      <c r="R301" s="106">
        <v>4882932324.1103468</v>
      </c>
      <c r="S301" s="105">
        <v>0</v>
      </c>
      <c r="T301" s="105">
        <v>0</v>
      </c>
      <c r="U301" s="105">
        <v>0</v>
      </c>
      <c r="V301" s="105">
        <v>0</v>
      </c>
      <c r="W301" s="105">
        <v>0</v>
      </c>
      <c r="X301" s="105">
        <v>0</v>
      </c>
      <c r="Y301" s="106">
        <v>113887223.87231907</v>
      </c>
      <c r="Z301" s="106">
        <v>142531885.98312256</v>
      </c>
      <c r="AA301" s="106">
        <v>190576751.22781423</v>
      </c>
      <c r="AB301" s="108">
        <v>231402366.39493906</v>
      </c>
      <c r="AC301" s="108">
        <v>293187961.2041809</v>
      </c>
      <c r="AD301" s="108">
        <v>343200343.5831989</v>
      </c>
      <c r="AE301" s="108">
        <v>3990563857.4025269</v>
      </c>
      <c r="AF301" s="108">
        <v>4349218234.908185</v>
      </c>
      <c r="AG301" s="108">
        <v>5834287507.1326132</v>
      </c>
      <c r="AH301" s="108">
        <v>8230815026.9818211</v>
      </c>
      <c r="AI301" s="108">
        <v>10393219652.824091</v>
      </c>
      <c r="AJ301" s="108">
        <v>12478218252.656816</v>
      </c>
      <c r="AK301" s="108">
        <v>325027094.69794464</v>
      </c>
      <c r="AL301" s="108">
        <v>459761763.49524194</v>
      </c>
      <c r="AM301" s="108">
        <v>685726604.93730438</v>
      </c>
      <c r="AN301" s="108">
        <v>1033837168.8901751</v>
      </c>
      <c r="AO301" s="108">
        <v>1436487889.3540077</v>
      </c>
      <c r="AP301" s="108">
        <v>1692514075.2185788</v>
      </c>
      <c r="AQ301" s="108">
        <v>523424319.37086564</v>
      </c>
      <c r="AR301" s="108">
        <v>576290221.15746677</v>
      </c>
      <c r="AS301" s="108">
        <v>645195676.64929867</v>
      </c>
      <c r="AT301" s="108">
        <v>698500111.41380394</v>
      </c>
      <c r="AU301" s="108">
        <v>1060182386.4465778</v>
      </c>
      <c r="AV301" s="108">
        <v>1198683275.7642384</v>
      </c>
    </row>
    <row r="302" spans="1:48" x14ac:dyDescent="0.35">
      <c r="A302" s="107">
        <f xml:space="preserve"> ROW( slrImpacts[[#This Row],[row_id]] ) - ROW( slrImpacts[[#Headers],[row_id]] )</f>
        <v>301</v>
      </c>
      <c r="B302" s="104">
        <v>2098</v>
      </c>
      <c r="C302" s="104" t="s">
        <v>86</v>
      </c>
      <c r="D302" s="104" t="s">
        <v>208</v>
      </c>
      <c r="E302" s="104" t="s">
        <v>922</v>
      </c>
      <c r="F302" s="104"/>
      <c r="G302" s="105">
        <v>0</v>
      </c>
      <c r="H302" s="105">
        <v>0</v>
      </c>
      <c r="I302" s="105">
        <v>0</v>
      </c>
      <c r="J302" s="105">
        <v>0</v>
      </c>
      <c r="K302" s="105">
        <v>0</v>
      </c>
      <c r="L302" s="105">
        <v>0</v>
      </c>
      <c r="M302" s="106">
        <v>1373508613.2892754</v>
      </c>
      <c r="N302" s="106">
        <v>1456450175.8200665</v>
      </c>
      <c r="O302" s="106">
        <v>1979974262.8251543</v>
      </c>
      <c r="P302" s="106">
        <v>2998786277.0565739</v>
      </c>
      <c r="Q302" s="106">
        <v>4098850622.7983661</v>
      </c>
      <c r="R302" s="106">
        <v>4897303137.1460314</v>
      </c>
      <c r="S302" s="105">
        <v>0</v>
      </c>
      <c r="T302" s="105">
        <v>0</v>
      </c>
      <c r="U302" s="105">
        <v>0</v>
      </c>
      <c r="V302" s="105">
        <v>0</v>
      </c>
      <c r="W302" s="105">
        <v>0</v>
      </c>
      <c r="X302" s="105">
        <v>0</v>
      </c>
      <c r="Y302" s="106">
        <v>113910729.03512539</v>
      </c>
      <c r="Z302" s="106">
        <v>142711153.2753835</v>
      </c>
      <c r="AA302" s="106">
        <v>190933160.70516375</v>
      </c>
      <c r="AB302" s="108">
        <v>231714824.55003253</v>
      </c>
      <c r="AC302" s="108">
        <v>293974309.34524208</v>
      </c>
      <c r="AD302" s="108">
        <v>344282466.11334193</v>
      </c>
      <c r="AE302" s="108">
        <v>3989789419.953052</v>
      </c>
      <c r="AF302" s="108">
        <v>4346593431.3705854</v>
      </c>
      <c r="AG302" s="108">
        <v>5837221205.043128</v>
      </c>
      <c r="AH302" s="108">
        <v>8239878797.9660406</v>
      </c>
      <c r="AI302" s="108">
        <v>10410587321.28051</v>
      </c>
      <c r="AJ302" s="108">
        <v>12497193770.316158</v>
      </c>
      <c r="AK302" s="108">
        <v>326958374.47564816</v>
      </c>
      <c r="AL302" s="108">
        <v>459765220.15029103</v>
      </c>
      <c r="AM302" s="108">
        <v>683297929.78822112</v>
      </c>
      <c r="AN302" s="108">
        <v>1034772684.3066243</v>
      </c>
      <c r="AO302" s="108">
        <v>1438738026.6487412</v>
      </c>
      <c r="AP302" s="108">
        <v>1694848377.2616367</v>
      </c>
      <c r="AQ302" s="108">
        <v>522921751.92489779</v>
      </c>
      <c r="AR302" s="108">
        <v>576731086.22036779</v>
      </c>
      <c r="AS302" s="108">
        <v>644061560.27090394</v>
      </c>
      <c r="AT302" s="108">
        <v>697147600.63603365</v>
      </c>
      <c r="AU302" s="108">
        <v>1060372424.6720119</v>
      </c>
      <c r="AV302" s="108">
        <v>1198234553.0446801</v>
      </c>
    </row>
    <row r="303" spans="1:48" x14ac:dyDescent="0.35">
      <c r="A303" s="107">
        <f xml:space="preserve"> ROW( slrImpacts[[#This Row],[row_id]] ) - ROW( slrImpacts[[#Headers],[row_id]] )</f>
        <v>302</v>
      </c>
      <c r="B303" s="104">
        <v>2099</v>
      </c>
      <c r="C303" s="104" t="s">
        <v>86</v>
      </c>
      <c r="D303" s="104" t="s">
        <v>208</v>
      </c>
      <c r="E303" s="104" t="s">
        <v>922</v>
      </c>
      <c r="F303" s="104"/>
      <c r="G303" s="105">
        <v>0</v>
      </c>
      <c r="H303" s="105">
        <v>0</v>
      </c>
      <c r="I303" s="105">
        <v>0</v>
      </c>
      <c r="J303" s="105">
        <v>0</v>
      </c>
      <c r="K303" s="105">
        <v>0</v>
      </c>
      <c r="L303" s="105">
        <v>0</v>
      </c>
      <c r="M303" s="106">
        <v>1373349960.9808555</v>
      </c>
      <c r="N303" s="106">
        <v>1451806489.9169042</v>
      </c>
      <c r="O303" s="106">
        <v>1981678632.9427748</v>
      </c>
      <c r="P303" s="106">
        <v>3006839690.7953515</v>
      </c>
      <c r="Q303" s="106">
        <v>4111674975.0052247</v>
      </c>
      <c r="R303" s="106">
        <v>4910769127.9460964</v>
      </c>
      <c r="S303" s="105">
        <v>0</v>
      </c>
      <c r="T303" s="105">
        <v>0</v>
      </c>
      <c r="U303" s="105">
        <v>0</v>
      </c>
      <c r="V303" s="105">
        <v>0</v>
      </c>
      <c r="W303" s="105">
        <v>0</v>
      </c>
      <c r="X303" s="105">
        <v>0</v>
      </c>
      <c r="Y303" s="106">
        <v>113940949.95873359</v>
      </c>
      <c r="Z303" s="106">
        <v>142931575.24076909</v>
      </c>
      <c r="AA303" s="106">
        <v>191363384.09567994</v>
      </c>
      <c r="AB303" s="108">
        <v>232028735.28889033</v>
      </c>
      <c r="AC303" s="108">
        <v>294680322.92286307</v>
      </c>
      <c r="AD303" s="108">
        <v>345318829.43543041</v>
      </c>
      <c r="AE303" s="108">
        <v>3988793714.6608667</v>
      </c>
      <c r="AF303" s="108">
        <v>4343218683.9650974</v>
      </c>
      <c r="AG303" s="108">
        <v>5839232250.6174421</v>
      </c>
      <c r="AH303" s="108">
        <v>8248845221.9317055</v>
      </c>
      <c r="AI303" s="108">
        <v>10426821452.263973</v>
      </c>
      <c r="AJ303" s="108">
        <v>12513731038.321693</v>
      </c>
      <c r="AK303" s="108">
        <v>329437329.29255384</v>
      </c>
      <c r="AL303" s="108">
        <v>459761776.16146368</v>
      </c>
      <c r="AM303" s="108">
        <v>680058341.89146459</v>
      </c>
      <c r="AN303" s="108">
        <v>1035609396.8489712</v>
      </c>
      <c r="AO303" s="108">
        <v>1440770952.688441</v>
      </c>
      <c r="AP303" s="108">
        <v>1697257839.0877604</v>
      </c>
      <c r="AQ303" s="108">
        <v>522275593.78008193</v>
      </c>
      <c r="AR303" s="108">
        <v>577297912.72981191</v>
      </c>
      <c r="AS303" s="108">
        <v>642593229.38617277</v>
      </c>
      <c r="AT303" s="108">
        <v>695184244.82774019</v>
      </c>
      <c r="AU303" s="108">
        <v>1059772428.4275374</v>
      </c>
      <c r="AV303" s="108">
        <v>1196847605.5707784</v>
      </c>
    </row>
    <row r="304" spans="1:48" x14ac:dyDescent="0.35">
      <c r="A304" s="107">
        <f xml:space="preserve"> ROW( slrImpacts[[#This Row],[row_id]] ) - ROW( slrImpacts[[#Headers],[row_id]] )</f>
        <v>303</v>
      </c>
      <c r="B304" s="104">
        <v>2100</v>
      </c>
      <c r="C304" s="104" t="s">
        <v>86</v>
      </c>
      <c r="D304" s="104" t="s">
        <v>208</v>
      </c>
      <c r="E304" s="104" t="s">
        <v>922</v>
      </c>
      <c r="F304" s="104"/>
      <c r="G304" s="105">
        <v>0</v>
      </c>
      <c r="H304" s="105">
        <v>0</v>
      </c>
      <c r="I304" s="105">
        <v>0</v>
      </c>
      <c r="J304" s="105">
        <v>0</v>
      </c>
      <c r="K304" s="105">
        <v>0</v>
      </c>
      <c r="L304" s="105">
        <v>0</v>
      </c>
      <c r="M304" s="106">
        <v>1373138424.5696309</v>
      </c>
      <c r="N304" s="106">
        <v>1447074666.258163</v>
      </c>
      <c r="O304" s="106">
        <v>1983161153.7068775</v>
      </c>
      <c r="P304" s="106">
        <v>3014747718.5191712</v>
      </c>
      <c r="Q304" s="106">
        <v>4123209996.4647498</v>
      </c>
      <c r="R304" s="106">
        <v>4923061503.461091</v>
      </c>
      <c r="S304" s="105">
        <v>0</v>
      </c>
      <c r="T304" s="105">
        <v>0</v>
      </c>
      <c r="U304" s="105">
        <v>0</v>
      </c>
      <c r="V304" s="105">
        <v>0</v>
      </c>
      <c r="W304" s="105">
        <v>0</v>
      </c>
      <c r="X304" s="105">
        <v>0</v>
      </c>
      <c r="Y304" s="106">
        <v>113976711.11501814</v>
      </c>
      <c r="Z304" s="106">
        <v>143220665.48111758</v>
      </c>
      <c r="AA304" s="106">
        <v>191886194.72184089</v>
      </c>
      <c r="AB304" s="108">
        <v>232353347.110502</v>
      </c>
      <c r="AC304" s="108">
        <v>295290407.83276391</v>
      </c>
      <c r="AD304" s="108">
        <v>346180739.98397726</v>
      </c>
      <c r="AE304" s="108">
        <v>3987466107.6046252</v>
      </c>
      <c r="AF304" s="108">
        <v>4338719020.7577839</v>
      </c>
      <c r="AG304" s="108">
        <v>5839005310.097497</v>
      </c>
      <c r="AH304" s="108">
        <v>8257497248.8681288</v>
      </c>
      <c r="AI304" s="108">
        <v>10441720150.694468</v>
      </c>
      <c r="AJ304" s="108">
        <v>12527290395.696735</v>
      </c>
      <c r="AK304" s="108">
        <v>332740335.67749786</v>
      </c>
      <c r="AL304" s="108">
        <v>459745442.1975857</v>
      </c>
      <c r="AM304" s="108">
        <v>675649488.94078326</v>
      </c>
      <c r="AN304" s="108">
        <v>1036323519.5894923</v>
      </c>
      <c r="AO304" s="108">
        <v>1442531645.8329878</v>
      </c>
      <c r="AP304" s="108">
        <v>1699673497.9765844</v>
      </c>
      <c r="AQ304" s="108">
        <v>521414049.58699405</v>
      </c>
      <c r="AR304" s="108">
        <v>578053681.40907073</v>
      </c>
      <c r="AS304" s="108">
        <v>640630785.31218481</v>
      </c>
      <c r="AT304" s="108">
        <v>692387632.24000406</v>
      </c>
      <c r="AU304" s="108">
        <v>1057824354.3002145</v>
      </c>
      <c r="AV304" s="108">
        <v>1194041218.4171312</v>
      </c>
    </row>
    <row r="305" spans="1:48" x14ac:dyDescent="0.35">
      <c r="A305" s="107">
        <f xml:space="preserve"> ROW( slrImpacts[[#This Row],[row_id]] ) - ROW( slrImpacts[[#Headers],[row_id]] )</f>
        <v>304</v>
      </c>
      <c r="B305" s="104">
        <v>2000</v>
      </c>
      <c r="C305" s="104" t="s">
        <v>221</v>
      </c>
      <c r="D305" s="104" t="s">
        <v>87</v>
      </c>
      <c r="E305" s="104" t="s">
        <v>922</v>
      </c>
      <c r="F305" s="104"/>
      <c r="G305" s="105">
        <v>0</v>
      </c>
      <c r="H305" s="105">
        <v>0</v>
      </c>
      <c r="I305" s="105">
        <v>0</v>
      </c>
      <c r="J305" s="105">
        <v>0</v>
      </c>
      <c r="K305" s="105">
        <v>0</v>
      </c>
      <c r="L305" s="105">
        <v>0</v>
      </c>
      <c r="M305" s="106">
        <v>0</v>
      </c>
      <c r="N305" s="106">
        <v>0</v>
      </c>
      <c r="O305" s="106">
        <v>0</v>
      </c>
      <c r="P305" s="106">
        <v>0</v>
      </c>
      <c r="Q305" s="106">
        <v>0</v>
      </c>
      <c r="R305" s="106">
        <v>0</v>
      </c>
      <c r="S305" s="105">
        <v>0</v>
      </c>
      <c r="T305" s="105">
        <v>0</v>
      </c>
      <c r="U305" s="105">
        <v>0</v>
      </c>
      <c r="V305" s="105">
        <v>0</v>
      </c>
      <c r="W305" s="105">
        <v>0</v>
      </c>
      <c r="X305" s="105">
        <v>0</v>
      </c>
      <c r="Y305" s="106">
        <v>0</v>
      </c>
      <c r="Z305" s="106">
        <v>0</v>
      </c>
      <c r="AA305" s="106">
        <v>0</v>
      </c>
      <c r="AB305" s="108">
        <v>0</v>
      </c>
      <c r="AC305" s="108">
        <v>0</v>
      </c>
      <c r="AD305" s="108">
        <v>0</v>
      </c>
      <c r="AE305" s="108">
        <v>0</v>
      </c>
      <c r="AF305" s="108">
        <v>0</v>
      </c>
      <c r="AG305" s="108">
        <v>0</v>
      </c>
      <c r="AH305" s="108">
        <v>0</v>
      </c>
      <c r="AI305" s="108">
        <v>0</v>
      </c>
      <c r="AJ305" s="108">
        <v>0</v>
      </c>
      <c r="AK305" s="108">
        <v>0</v>
      </c>
      <c r="AL305" s="108">
        <v>0</v>
      </c>
      <c r="AM305" s="108">
        <v>0</v>
      </c>
      <c r="AN305" s="108">
        <v>0</v>
      </c>
      <c r="AO305" s="108">
        <v>0</v>
      </c>
      <c r="AP305" s="108">
        <v>0</v>
      </c>
      <c r="AQ305" s="108">
        <v>0</v>
      </c>
      <c r="AR305" s="108">
        <v>0</v>
      </c>
      <c r="AS305" s="108">
        <v>0</v>
      </c>
      <c r="AT305" s="108">
        <v>0</v>
      </c>
      <c r="AU305" s="108">
        <v>0</v>
      </c>
      <c r="AV305" s="108">
        <v>0</v>
      </c>
    </row>
    <row r="306" spans="1:48" x14ac:dyDescent="0.35">
      <c r="A306" s="107">
        <f xml:space="preserve"> ROW( slrImpacts[[#This Row],[row_id]] ) - ROW( slrImpacts[[#Headers],[row_id]] )</f>
        <v>305</v>
      </c>
      <c r="B306" s="104">
        <v>2001</v>
      </c>
      <c r="C306" s="104" t="s">
        <v>221</v>
      </c>
      <c r="D306" s="104" t="s">
        <v>87</v>
      </c>
      <c r="E306" s="104" t="s">
        <v>922</v>
      </c>
      <c r="F306" s="104"/>
      <c r="G306" s="105">
        <v>0</v>
      </c>
      <c r="H306" s="105">
        <v>0</v>
      </c>
      <c r="I306" s="105">
        <v>0</v>
      </c>
      <c r="J306" s="105">
        <v>0</v>
      </c>
      <c r="K306" s="105">
        <v>0</v>
      </c>
      <c r="L306" s="105">
        <v>0</v>
      </c>
      <c r="M306" s="106">
        <v>996793371.73412561</v>
      </c>
      <c r="N306" s="106">
        <v>1026664953.2806082</v>
      </c>
      <c r="O306" s="106">
        <v>1097926543.9989624</v>
      </c>
      <c r="P306" s="106">
        <v>1187094676.2172213</v>
      </c>
      <c r="Q306" s="106">
        <v>1282481240.1134725</v>
      </c>
      <c r="R306" s="106">
        <v>1298425051.3063955</v>
      </c>
      <c r="S306" s="105">
        <v>0</v>
      </c>
      <c r="T306" s="105">
        <v>0</v>
      </c>
      <c r="U306" s="105">
        <v>0</v>
      </c>
      <c r="V306" s="105">
        <v>0</v>
      </c>
      <c r="W306" s="105">
        <v>0</v>
      </c>
      <c r="X306" s="105">
        <v>0</v>
      </c>
      <c r="Y306" s="106">
        <v>86796316.422496006</v>
      </c>
      <c r="Z306" s="106">
        <v>88608379.814261109</v>
      </c>
      <c r="AA306" s="106">
        <v>90783775.564760372</v>
      </c>
      <c r="AB306" s="108">
        <v>94762835.030912936</v>
      </c>
      <c r="AC306" s="108">
        <v>97596262.114294291</v>
      </c>
      <c r="AD306" s="108">
        <v>99067861.013370335</v>
      </c>
      <c r="AE306" s="108">
        <v>456896391.49180597</v>
      </c>
      <c r="AF306" s="108">
        <v>468211549.49541813</v>
      </c>
      <c r="AG306" s="108">
        <v>496524099.86375153</v>
      </c>
      <c r="AH306" s="108">
        <v>527660435.6384033</v>
      </c>
      <c r="AI306" s="108">
        <v>559973786.41190219</v>
      </c>
      <c r="AJ306" s="108">
        <v>563973440.25446117</v>
      </c>
      <c r="AK306" s="108">
        <v>400782465.93197471</v>
      </c>
      <c r="AL306" s="108">
        <v>413439042.20966643</v>
      </c>
      <c r="AM306" s="108">
        <v>440747369.17080706</v>
      </c>
      <c r="AN306" s="108">
        <v>482315747.2922647</v>
      </c>
      <c r="AO306" s="108">
        <v>519058209.62857056</v>
      </c>
      <c r="AP306" s="108">
        <v>520841437.61429411</v>
      </c>
      <c r="AQ306" s="108">
        <v>58786610.102764547</v>
      </c>
      <c r="AR306" s="108">
        <v>58902819.621558927</v>
      </c>
      <c r="AS306" s="108">
        <v>65758782.818859406</v>
      </c>
      <c r="AT306" s="108">
        <v>72985655.958453596</v>
      </c>
      <c r="AU306" s="108">
        <v>77754693.453990251</v>
      </c>
      <c r="AV306" s="108">
        <v>77768700.357615918</v>
      </c>
    </row>
    <row r="307" spans="1:48" x14ac:dyDescent="0.35">
      <c r="A307" s="107">
        <f xml:space="preserve"> ROW( slrImpacts[[#This Row],[row_id]] ) - ROW( slrImpacts[[#Headers],[row_id]] )</f>
        <v>306</v>
      </c>
      <c r="B307" s="104">
        <v>2002</v>
      </c>
      <c r="C307" s="104" t="s">
        <v>221</v>
      </c>
      <c r="D307" s="104" t="s">
        <v>87</v>
      </c>
      <c r="E307" s="104" t="s">
        <v>922</v>
      </c>
      <c r="F307" s="104"/>
      <c r="G307" s="105">
        <v>0</v>
      </c>
      <c r="H307" s="105">
        <v>0</v>
      </c>
      <c r="I307" s="105">
        <v>0</v>
      </c>
      <c r="J307" s="105">
        <v>0</v>
      </c>
      <c r="K307" s="105">
        <v>0</v>
      </c>
      <c r="L307" s="105">
        <v>0</v>
      </c>
      <c r="M307" s="106">
        <v>1019970442.6493698</v>
      </c>
      <c r="N307" s="106">
        <v>1055247917.7031678</v>
      </c>
      <c r="O307" s="106">
        <v>1140337072.2832079</v>
      </c>
      <c r="P307" s="106">
        <v>1248030816.874799</v>
      </c>
      <c r="Q307" s="106">
        <v>1364915773.1858764</v>
      </c>
      <c r="R307" s="106">
        <v>1384841665.8426192</v>
      </c>
      <c r="S307" s="105">
        <v>0</v>
      </c>
      <c r="T307" s="105">
        <v>0</v>
      </c>
      <c r="U307" s="105">
        <v>0</v>
      </c>
      <c r="V307" s="105">
        <v>0</v>
      </c>
      <c r="W307" s="105">
        <v>0</v>
      </c>
      <c r="X307" s="105">
        <v>0</v>
      </c>
      <c r="Y307" s="106">
        <v>87524838.55850099</v>
      </c>
      <c r="Z307" s="106">
        <v>89624295.835249022</v>
      </c>
      <c r="AA307" s="106">
        <v>92152248.522728026</v>
      </c>
      <c r="AB307" s="108">
        <v>96806829.473262563</v>
      </c>
      <c r="AC307" s="108">
        <v>100121115.52305332</v>
      </c>
      <c r="AD307" s="108">
        <v>101884605.69160941</v>
      </c>
      <c r="AE307" s="108">
        <v>465851788.76838422</v>
      </c>
      <c r="AF307" s="108">
        <v>479325046.68392569</v>
      </c>
      <c r="AG307" s="108">
        <v>513568701.9534775</v>
      </c>
      <c r="AH307" s="108">
        <v>551612222.9788779</v>
      </c>
      <c r="AI307" s="108">
        <v>592236412.19810081</v>
      </c>
      <c r="AJ307" s="108">
        <v>597246538.96894348</v>
      </c>
      <c r="AK307" s="108">
        <v>418136690.78075087</v>
      </c>
      <c r="AL307" s="108">
        <v>433687397.91624492</v>
      </c>
      <c r="AM307" s="108">
        <v>467657753.03338438</v>
      </c>
      <c r="AN307" s="108">
        <v>519989365.29978096</v>
      </c>
      <c r="AO307" s="108">
        <v>567803991.98183501</v>
      </c>
      <c r="AP307" s="108">
        <v>569998333.69141662</v>
      </c>
      <c r="AQ307" s="108">
        <v>60295001.682745002</v>
      </c>
      <c r="AR307" s="108">
        <v>60430388.336292736</v>
      </c>
      <c r="AS307" s="108">
        <v>68595263.827958271</v>
      </c>
      <c r="AT307" s="108">
        <v>77360987.215795472</v>
      </c>
      <c r="AU307" s="108">
        <v>83213312.058317736</v>
      </c>
      <c r="AV307" s="108">
        <v>83230083.283745497</v>
      </c>
    </row>
    <row r="308" spans="1:48" x14ac:dyDescent="0.35">
      <c r="A308" s="107">
        <f xml:space="preserve"> ROW( slrImpacts[[#This Row],[row_id]] ) - ROW( slrImpacts[[#Headers],[row_id]] )</f>
        <v>307</v>
      </c>
      <c r="B308" s="104">
        <v>2003</v>
      </c>
      <c r="C308" s="104" t="s">
        <v>221</v>
      </c>
      <c r="D308" s="104" t="s">
        <v>87</v>
      </c>
      <c r="E308" s="104" t="s">
        <v>922</v>
      </c>
      <c r="F308" s="104"/>
      <c r="G308" s="105">
        <v>0</v>
      </c>
      <c r="H308" s="105">
        <v>0</v>
      </c>
      <c r="I308" s="105">
        <v>0</v>
      </c>
      <c r="J308" s="105">
        <v>0</v>
      </c>
      <c r="K308" s="105">
        <v>0</v>
      </c>
      <c r="L308" s="105">
        <v>0</v>
      </c>
      <c r="M308" s="106">
        <v>1043913299.6266321</v>
      </c>
      <c r="N308" s="106">
        <v>1084929771.5584917</v>
      </c>
      <c r="O308" s="106">
        <v>1185021233.9537861</v>
      </c>
      <c r="P308" s="106">
        <v>1313053775.1859188</v>
      </c>
      <c r="Q308" s="106">
        <v>1454018942.7672944</v>
      </c>
      <c r="R308" s="106">
        <v>1478422161.7682655</v>
      </c>
      <c r="S308" s="105">
        <v>0</v>
      </c>
      <c r="T308" s="105">
        <v>0</v>
      </c>
      <c r="U308" s="105">
        <v>0</v>
      </c>
      <c r="V308" s="105">
        <v>0</v>
      </c>
      <c r="W308" s="105">
        <v>0</v>
      </c>
      <c r="X308" s="105">
        <v>0</v>
      </c>
      <c r="Y308" s="106">
        <v>88258020.319456533</v>
      </c>
      <c r="Z308" s="106">
        <v>90648006.499967307</v>
      </c>
      <c r="AA308" s="106">
        <v>93543857.357092813</v>
      </c>
      <c r="AB308" s="108">
        <v>98904010.382041246</v>
      </c>
      <c r="AC308" s="108">
        <v>102745477.17834547</v>
      </c>
      <c r="AD308" s="108">
        <v>104799832.07266706</v>
      </c>
      <c r="AE308" s="108">
        <v>475084177.79449987</v>
      </c>
      <c r="AF308" s="108">
        <v>490898505.9928596</v>
      </c>
      <c r="AG308" s="108">
        <v>531681572.81265116</v>
      </c>
      <c r="AH308" s="108">
        <v>577419742.94735217</v>
      </c>
      <c r="AI308" s="108">
        <v>627816699.19974458</v>
      </c>
      <c r="AJ308" s="108">
        <v>634005640.20188272</v>
      </c>
      <c r="AK308" s="108">
        <v>436352355.58159369</v>
      </c>
      <c r="AL308" s="108">
        <v>455135598.39254761</v>
      </c>
      <c r="AM308" s="108">
        <v>496623045.25426728</v>
      </c>
      <c r="AN308" s="108">
        <v>562027255.70073354</v>
      </c>
      <c r="AO308" s="108">
        <v>622679567.81839931</v>
      </c>
      <c r="AP308" s="108">
        <v>625384187.82394695</v>
      </c>
      <c r="AQ308" s="108">
        <v>61848525.255954258</v>
      </c>
      <c r="AR308" s="108">
        <v>62003595.818590857</v>
      </c>
      <c r="AS308" s="108">
        <v>71573549.255230442</v>
      </c>
      <c r="AT308" s="108">
        <v>82027857.311528563</v>
      </c>
      <c r="AU308" s="108">
        <v>89100237.567225963</v>
      </c>
      <c r="AV308" s="108">
        <v>89121827.908833385</v>
      </c>
    </row>
    <row r="309" spans="1:48" x14ac:dyDescent="0.35">
      <c r="A309" s="107">
        <f xml:space="preserve"> ROW( slrImpacts[[#This Row],[row_id]] ) - ROW( slrImpacts[[#Headers],[row_id]] )</f>
        <v>308</v>
      </c>
      <c r="B309" s="104">
        <v>2004</v>
      </c>
      <c r="C309" s="104" t="s">
        <v>221</v>
      </c>
      <c r="D309" s="104" t="s">
        <v>87</v>
      </c>
      <c r="E309" s="104" t="s">
        <v>922</v>
      </c>
      <c r="F309" s="104"/>
      <c r="G309" s="105">
        <v>0</v>
      </c>
      <c r="H309" s="105">
        <v>0</v>
      </c>
      <c r="I309" s="105">
        <v>0</v>
      </c>
      <c r="J309" s="105">
        <v>0</v>
      </c>
      <c r="K309" s="105">
        <v>0</v>
      </c>
      <c r="L309" s="105">
        <v>0</v>
      </c>
      <c r="M309" s="106">
        <v>1068565405.6509221</v>
      </c>
      <c r="N309" s="106">
        <v>1115684556.5003111</v>
      </c>
      <c r="O309" s="106">
        <v>1231973982.2859299</v>
      </c>
      <c r="P309" s="106">
        <v>1382386831.9788382</v>
      </c>
      <c r="Q309" s="106">
        <v>1550277017.729481</v>
      </c>
      <c r="R309" s="106">
        <v>1579637513.8835478</v>
      </c>
      <c r="S309" s="105">
        <v>0</v>
      </c>
      <c r="T309" s="105">
        <v>0</v>
      </c>
      <c r="U309" s="105">
        <v>0</v>
      </c>
      <c r="V309" s="105">
        <v>0</v>
      </c>
      <c r="W309" s="105">
        <v>0</v>
      </c>
      <c r="X309" s="105">
        <v>0</v>
      </c>
      <c r="Y309" s="106">
        <v>88996046.13408801</v>
      </c>
      <c r="Z309" s="106">
        <v>91686216.900560096</v>
      </c>
      <c r="AA309" s="106">
        <v>94959994.295279726</v>
      </c>
      <c r="AB309" s="108">
        <v>101055899.06652547</v>
      </c>
      <c r="AC309" s="108">
        <v>105465794.00196166</v>
      </c>
      <c r="AD309" s="108">
        <v>107817306.07064655</v>
      </c>
      <c r="AE309" s="108">
        <v>484627300.53864682</v>
      </c>
      <c r="AF309" s="108">
        <v>502974740.74829006</v>
      </c>
      <c r="AG309" s="108">
        <v>550961043.09333706</v>
      </c>
      <c r="AH309" s="108">
        <v>605721028.11169028</v>
      </c>
      <c r="AI309" s="108">
        <v>667058852.00827444</v>
      </c>
      <c r="AJ309" s="108">
        <v>674633695.24458897</v>
      </c>
      <c r="AK309" s="108">
        <v>455986059.60397089</v>
      </c>
      <c r="AL309" s="108">
        <v>478397905.60261756</v>
      </c>
      <c r="AM309" s="108">
        <v>528454579.53633362</v>
      </c>
      <c r="AN309" s="108">
        <v>608859561.40311086</v>
      </c>
      <c r="AO309" s="108">
        <v>685723469.54815447</v>
      </c>
      <c r="AP309" s="108">
        <v>689371758.73718166</v>
      </c>
      <c r="AQ309" s="108">
        <v>63457377.868614905</v>
      </c>
      <c r="AR309" s="108">
        <v>63632865.126710556</v>
      </c>
      <c r="AS309" s="108">
        <v>74711850.927601099</v>
      </c>
      <c r="AT309" s="108">
        <v>87043380.803821549</v>
      </c>
      <c r="AU309" s="108">
        <v>95463629.894831806</v>
      </c>
      <c r="AV309" s="108">
        <v>95489617.331805468</v>
      </c>
    </row>
    <row r="310" spans="1:48" x14ac:dyDescent="0.35">
      <c r="A310" s="107">
        <f xml:space="preserve"> ROW( slrImpacts[[#This Row],[row_id]] ) - ROW( slrImpacts[[#Headers],[row_id]] )</f>
        <v>309</v>
      </c>
      <c r="B310" s="104">
        <v>2005</v>
      </c>
      <c r="C310" s="104" t="s">
        <v>221</v>
      </c>
      <c r="D310" s="104" t="s">
        <v>87</v>
      </c>
      <c r="E310" s="104" t="s">
        <v>922</v>
      </c>
      <c r="F310" s="104"/>
      <c r="G310" s="105">
        <v>0</v>
      </c>
      <c r="H310" s="105">
        <v>0</v>
      </c>
      <c r="I310" s="105">
        <v>0</v>
      </c>
      <c r="J310" s="105">
        <v>0</v>
      </c>
      <c r="K310" s="105">
        <v>0</v>
      </c>
      <c r="L310" s="105">
        <v>0</v>
      </c>
      <c r="M310" s="106">
        <v>1093931466.9252975</v>
      </c>
      <c r="N310" s="106">
        <v>1147523962.3310056</v>
      </c>
      <c r="O310" s="106">
        <v>1281284668.5450439</v>
      </c>
      <c r="P310" s="106">
        <v>1456227519.7795334</v>
      </c>
      <c r="Q310" s="106">
        <v>1654206677.2378838</v>
      </c>
      <c r="R310" s="106">
        <v>1689750317.3482518</v>
      </c>
      <c r="S310" s="105">
        <v>0</v>
      </c>
      <c r="T310" s="105">
        <v>0</v>
      </c>
      <c r="U310" s="105">
        <v>0</v>
      </c>
      <c r="V310" s="105">
        <v>0</v>
      </c>
      <c r="W310" s="105">
        <v>0</v>
      </c>
      <c r="X310" s="105">
        <v>0</v>
      </c>
      <c r="Y310" s="106">
        <v>89738950.386665583</v>
      </c>
      <c r="Z310" s="106">
        <v>92735150.690764993</v>
      </c>
      <c r="AA310" s="106">
        <v>96400276.197621077</v>
      </c>
      <c r="AB310" s="108">
        <v>103264028.32750459</v>
      </c>
      <c r="AC310" s="108">
        <v>108259256.40411879</v>
      </c>
      <c r="AD310" s="108">
        <v>110940923.98425417</v>
      </c>
      <c r="AE310" s="108">
        <v>494534553.42371184</v>
      </c>
      <c r="AF310" s="108">
        <v>515611908.24680328</v>
      </c>
      <c r="AG310" s="108">
        <v>571553687.05973959</v>
      </c>
      <c r="AH310" s="108">
        <v>636362613.98871851</v>
      </c>
      <c r="AI310" s="108">
        <v>710388401.33641875</v>
      </c>
      <c r="AJ310" s="108">
        <v>719572760.12910795</v>
      </c>
      <c r="AK310" s="108">
        <v>476731670.49605906</v>
      </c>
      <c r="AL310" s="108">
        <v>503163669.55989414</v>
      </c>
      <c r="AM310" s="108">
        <v>562910683.69374835</v>
      </c>
      <c r="AN310" s="108">
        <v>661163236.77158785</v>
      </c>
      <c r="AO310" s="108">
        <v>758270985.54766464</v>
      </c>
      <c r="AP310" s="108">
        <v>762788221.563609</v>
      </c>
      <c r="AQ310" s="108">
        <v>65111266.672430195</v>
      </c>
      <c r="AR310" s="108">
        <v>65308265.767231487</v>
      </c>
      <c r="AS310" s="108">
        <v>78001868.786502942</v>
      </c>
      <c r="AT310" s="108">
        <v>92383191.710198805</v>
      </c>
      <c r="AU310" s="108">
        <v>102313314.843256</v>
      </c>
      <c r="AV310" s="108">
        <v>102343437.86759391</v>
      </c>
    </row>
    <row r="311" spans="1:48" x14ac:dyDescent="0.35">
      <c r="A311" s="107">
        <f xml:space="preserve"> ROW( slrImpacts[[#This Row],[row_id]] ) - ROW( slrImpacts[[#Headers],[row_id]] )</f>
        <v>310</v>
      </c>
      <c r="B311" s="104">
        <v>2006</v>
      </c>
      <c r="C311" s="104" t="s">
        <v>221</v>
      </c>
      <c r="D311" s="104" t="s">
        <v>87</v>
      </c>
      <c r="E311" s="104" t="s">
        <v>922</v>
      </c>
      <c r="F311" s="104"/>
      <c r="G311" s="105">
        <v>0</v>
      </c>
      <c r="H311" s="105">
        <v>0</v>
      </c>
      <c r="I311" s="105">
        <v>0</v>
      </c>
      <c r="J311" s="105">
        <v>0</v>
      </c>
      <c r="K311" s="105">
        <v>0</v>
      </c>
      <c r="L311" s="105">
        <v>0</v>
      </c>
      <c r="M311" s="106">
        <v>1120456183.7104595</v>
      </c>
      <c r="N311" s="106">
        <v>1180889880.7433319</v>
      </c>
      <c r="O311" s="106">
        <v>1334460008.9611986</v>
      </c>
      <c r="P311" s="106">
        <v>1536952456.9852202</v>
      </c>
      <c r="Q311" s="106">
        <v>1767290679.0528986</v>
      </c>
      <c r="R311" s="106">
        <v>1810694363.8620365</v>
      </c>
      <c r="S311" s="105">
        <v>0</v>
      </c>
      <c r="T311" s="105">
        <v>0</v>
      </c>
      <c r="U311" s="105">
        <v>0</v>
      </c>
      <c r="V311" s="105">
        <v>0</v>
      </c>
      <c r="W311" s="105">
        <v>0</v>
      </c>
      <c r="X311" s="105">
        <v>0</v>
      </c>
      <c r="Y311" s="106">
        <v>90569040.158032089</v>
      </c>
      <c r="Z311" s="106">
        <v>93857543.412633389</v>
      </c>
      <c r="AA311" s="106">
        <v>97943946.082538038</v>
      </c>
      <c r="AB311" s="108">
        <v>105554453.37545227</v>
      </c>
      <c r="AC311" s="108">
        <v>111140567.17756027</v>
      </c>
      <c r="AD311" s="108">
        <v>114200977.69277577</v>
      </c>
      <c r="AE311" s="108">
        <v>506239632.09574717</v>
      </c>
      <c r="AF311" s="108">
        <v>530396166.43180364</v>
      </c>
      <c r="AG311" s="108">
        <v>595094333.43621039</v>
      </c>
      <c r="AH311" s="108">
        <v>671049541.55192399</v>
      </c>
      <c r="AI311" s="108">
        <v>759203231.1064657</v>
      </c>
      <c r="AJ311" s="108">
        <v>771056102.51430011</v>
      </c>
      <c r="AK311" s="108">
        <v>499472002.46942651</v>
      </c>
      <c r="AL311" s="108">
        <v>530462250.74741709</v>
      </c>
      <c r="AM311" s="108">
        <v>601503524.60864794</v>
      </c>
      <c r="AN311" s="108">
        <v>720006007.13436782</v>
      </c>
      <c r="AO311" s="108">
        <v>839753824.17426157</v>
      </c>
      <c r="AP311" s="108">
        <v>846821060.01533413</v>
      </c>
      <c r="AQ311" s="108">
        <v>66860500.540410593</v>
      </c>
      <c r="AR311" s="108">
        <v>67283160.851607412</v>
      </c>
      <c r="AS311" s="108">
        <v>81572920.597853944</v>
      </c>
      <c r="AT311" s="108">
        <v>97931558.310374871</v>
      </c>
      <c r="AU311" s="108">
        <v>109772622.22581914</v>
      </c>
      <c r="AV311" s="108">
        <v>110213244.71579318</v>
      </c>
    </row>
    <row r="312" spans="1:48" x14ac:dyDescent="0.35">
      <c r="A312" s="107">
        <f xml:space="preserve"> ROW( slrImpacts[[#This Row],[row_id]] ) - ROW( slrImpacts[[#Headers],[row_id]] )</f>
        <v>311</v>
      </c>
      <c r="B312" s="104">
        <v>2007</v>
      </c>
      <c r="C312" s="104" t="s">
        <v>221</v>
      </c>
      <c r="D312" s="104" t="s">
        <v>87</v>
      </c>
      <c r="E312" s="104" t="s">
        <v>922</v>
      </c>
      <c r="F312" s="104"/>
      <c r="G312" s="105">
        <v>0</v>
      </c>
      <c r="H312" s="105">
        <v>0</v>
      </c>
      <c r="I312" s="105">
        <v>0</v>
      </c>
      <c r="J312" s="105">
        <v>0</v>
      </c>
      <c r="K312" s="105">
        <v>0</v>
      </c>
      <c r="L312" s="105">
        <v>0</v>
      </c>
      <c r="M312" s="106">
        <v>1171583785.5080211</v>
      </c>
      <c r="N312" s="106">
        <v>1244820361.9890351</v>
      </c>
      <c r="O312" s="106">
        <v>1434826273.4171169</v>
      </c>
      <c r="P312" s="106">
        <v>1687440748.5283873</v>
      </c>
      <c r="Q312" s="106">
        <v>1975508813.9935608</v>
      </c>
      <c r="R312" s="106">
        <v>2032644540.1515212</v>
      </c>
      <c r="S312" s="105">
        <v>0</v>
      </c>
      <c r="T312" s="105">
        <v>0</v>
      </c>
      <c r="U312" s="105">
        <v>0</v>
      </c>
      <c r="V312" s="105">
        <v>0</v>
      </c>
      <c r="W312" s="105">
        <v>0</v>
      </c>
      <c r="X312" s="105">
        <v>0</v>
      </c>
      <c r="Y312" s="106">
        <v>92211914.603132918</v>
      </c>
      <c r="Z312" s="106">
        <v>96084495.210116625</v>
      </c>
      <c r="AA312" s="106">
        <v>100956572.60766198</v>
      </c>
      <c r="AB312" s="108">
        <v>109967103.67462155</v>
      </c>
      <c r="AC312" s="108">
        <v>116644159.2308057</v>
      </c>
      <c r="AD312" s="108">
        <v>120442325.17692406</v>
      </c>
      <c r="AE312" s="108">
        <v>528702965.18462759</v>
      </c>
      <c r="AF312" s="108">
        <v>558545927.80974519</v>
      </c>
      <c r="AG312" s="108">
        <v>639116794.84285796</v>
      </c>
      <c r="AH312" s="108">
        <v>735571266.60855746</v>
      </c>
      <c r="AI312" s="108">
        <v>848261996.05663168</v>
      </c>
      <c r="AJ312" s="108">
        <v>864997105.65035737</v>
      </c>
      <c r="AK312" s="108">
        <v>541702947.56988156</v>
      </c>
      <c r="AL312" s="108">
        <v>580897690.16689384</v>
      </c>
      <c r="AM312" s="108">
        <v>672295855.65949547</v>
      </c>
      <c r="AN312" s="108">
        <v>825994172.03824162</v>
      </c>
      <c r="AO312" s="108">
        <v>984266402.37246192</v>
      </c>
      <c r="AP312" s="108">
        <v>996505583.65417123</v>
      </c>
      <c r="AQ312" s="108">
        <v>70219954.505239263</v>
      </c>
      <c r="AR312" s="108">
        <v>71132607.100065827</v>
      </c>
      <c r="AS312" s="108">
        <v>88324650.647640541</v>
      </c>
      <c r="AT312" s="108">
        <v>108189881.6550668</v>
      </c>
      <c r="AU312" s="108">
        <v>123479644.80113043</v>
      </c>
      <c r="AV312" s="108">
        <v>124864825.96195041</v>
      </c>
    </row>
    <row r="313" spans="1:48" x14ac:dyDescent="0.35">
      <c r="A313" s="107">
        <f xml:space="preserve"> ROW( slrImpacts[[#This Row],[row_id]] ) - ROW( slrImpacts[[#Headers],[row_id]] )</f>
        <v>312</v>
      </c>
      <c r="B313" s="104">
        <v>2008</v>
      </c>
      <c r="C313" s="104" t="s">
        <v>221</v>
      </c>
      <c r="D313" s="104" t="s">
        <v>87</v>
      </c>
      <c r="E313" s="104" t="s">
        <v>922</v>
      </c>
      <c r="F313" s="104"/>
      <c r="G313" s="105">
        <v>0</v>
      </c>
      <c r="H313" s="105">
        <v>0</v>
      </c>
      <c r="I313" s="105">
        <v>0</v>
      </c>
      <c r="J313" s="105">
        <v>0</v>
      </c>
      <c r="K313" s="105">
        <v>0</v>
      </c>
      <c r="L313" s="105">
        <v>0</v>
      </c>
      <c r="M313" s="106">
        <v>1225509175.0156891</v>
      </c>
      <c r="N313" s="106">
        <v>1312659117.9775646</v>
      </c>
      <c r="O313" s="106">
        <v>1544130674.0137038</v>
      </c>
      <c r="P313" s="106">
        <v>1854522644.8745394</v>
      </c>
      <c r="Q313" s="106">
        <v>2208442592.3516431</v>
      </c>
      <c r="R313" s="106">
        <v>2282639497.8250561</v>
      </c>
      <c r="S313" s="105">
        <v>0</v>
      </c>
      <c r="T313" s="105">
        <v>0</v>
      </c>
      <c r="U313" s="105">
        <v>0</v>
      </c>
      <c r="V313" s="105">
        <v>0</v>
      </c>
      <c r="W313" s="105">
        <v>0</v>
      </c>
      <c r="X313" s="105">
        <v>0</v>
      </c>
      <c r="Y313" s="106">
        <v>93958323.83104974</v>
      </c>
      <c r="Z313" s="106">
        <v>98415878.066448495</v>
      </c>
      <c r="AA313" s="106">
        <v>104131020.7013191</v>
      </c>
      <c r="AB313" s="108">
        <v>114575544.77291447</v>
      </c>
      <c r="AC313" s="108">
        <v>122370424.11849962</v>
      </c>
      <c r="AD313" s="108">
        <v>127032951.0059842</v>
      </c>
      <c r="AE313" s="108">
        <v>554077175.52842247</v>
      </c>
      <c r="AF313" s="108">
        <v>590433607.70677984</v>
      </c>
      <c r="AG313" s="108">
        <v>689161581.15762663</v>
      </c>
      <c r="AH313" s="108">
        <v>809739382.48158336</v>
      </c>
      <c r="AI313" s="108">
        <v>951450980.76541507</v>
      </c>
      <c r="AJ313" s="108">
        <v>975902606.88907623</v>
      </c>
      <c r="AK313" s="108">
        <v>588454974.6673882</v>
      </c>
      <c r="AL313" s="108">
        <v>637343655.73681915</v>
      </c>
      <c r="AM313" s="108">
        <v>753661602.89008474</v>
      </c>
      <c r="AN313" s="108">
        <v>949931356.24143386</v>
      </c>
      <c r="AO313" s="108">
        <v>1154766957.8651218</v>
      </c>
      <c r="AP313" s="108">
        <v>1175531181.9940958</v>
      </c>
      <c r="AQ313" s="108">
        <v>73767363.202010021</v>
      </c>
      <c r="AR313" s="108">
        <v>75431022.222239465</v>
      </c>
      <c r="AS313" s="108">
        <v>95672988.90968962</v>
      </c>
      <c r="AT313" s="108">
        <v>119237107.68688391</v>
      </c>
      <c r="AU313" s="108">
        <v>138772086.42178306</v>
      </c>
      <c r="AV313" s="108">
        <v>141730903.4851566</v>
      </c>
    </row>
    <row r="314" spans="1:48" x14ac:dyDescent="0.35">
      <c r="A314" s="107">
        <f xml:space="preserve"> ROW( slrImpacts[[#This Row],[row_id]] ) - ROW( slrImpacts[[#Headers],[row_id]] )</f>
        <v>313</v>
      </c>
      <c r="B314" s="104">
        <v>2009</v>
      </c>
      <c r="C314" s="104" t="s">
        <v>221</v>
      </c>
      <c r="D314" s="104" t="s">
        <v>87</v>
      </c>
      <c r="E314" s="104" t="s">
        <v>922</v>
      </c>
      <c r="F314" s="104"/>
      <c r="G314" s="105">
        <v>0</v>
      </c>
      <c r="H314" s="105">
        <v>0</v>
      </c>
      <c r="I314" s="105">
        <v>0</v>
      </c>
      <c r="J314" s="105">
        <v>0</v>
      </c>
      <c r="K314" s="105">
        <v>0</v>
      </c>
      <c r="L314" s="105">
        <v>0</v>
      </c>
      <c r="M314" s="106">
        <v>1282429552.8805656</v>
      </c>
      <c r="N314" s="106">
        <v>1384689228.7333593</v>
      </c>
      <c r="O314" s="106">
        <v>1663096109.0682511</v>
      </c>
      <c r="P314" s="106">
        <v>2039968605.0758953</v>
      </c>
      <c r="Q314" s="106">
        <v>2468932496.4941564</v>
      </c>
      <c r="R314" s="106">
        <v>2564093434.0239348</v>
      </c>
      <c r="S314" s="105">
        <v>0</v>
      </c>
      <c r="T314" s="105">
        <v>0</v>
      </c>
      <c r="U314" s="105">
        <v>0</v>
      </c>
      <c r="V314" s="105">
        <v>0</v>
      </c>
      <c r="W314" s="105">
        <v>0</v>
      </c>
      <c r="X314" s="105">
        <v>0</v>
      </c>
      <c r="Y314" s="106">
        <v>95799522.3913849</v>
      </c>
      <c r="Z314" s="106">
        <v>100836416.53205219</v>
      </c>
      <c r="AA314" s="106">
        <v>107445547.95459008</v>
      </c>
      <c r="AB314" s="108">
        <v>119358885.19032857</v>
      </c>
      <c r="AC314" s="108">
        <v>128365182.58942264</v>
      </c>
      <c r="AD314" s="108">
        <v>133971500.13244137</v>
      </c>
      <c r="AE314" s="108">
        <v>582725347.3957628</v>
      </c>
      <c r="AF314" s="108">
        <v>626534522.99454212</v>
      </c>
      <c r="AG314" s="108">
        <v>746076233.22152519</v>
      </c>
      <c r="AH314" s="108">
        <v>895182750.31927836</v>
      </c>
      <c r="AI314" s="108">
        <v>1072167493.7250006</v>
      </c>
      <c r="AJ314" s="108">
        <v>1107434996.0529876</v>
      </c>
      <c r="AK314" s="108">
        <v>640345163.56210816</v>
      </c>
      <c r="AL314" s="108">
        <v>700818996.59592342</v>
      </c>
      <c r="AM314" s="108">
        <v>847744332.68446743</v>
      </c>
      <c r="AN314" s="108">
        <v>1095210568.8742058</v>
      </c>
      <c r="AO314" s="108">
        <v>1356718083.2730148</v>
      </c>
      <c r="AP314" s="108">
        <v>1390312699.4329681</v>
      </c>
      <c r="AQ314" s="108">
        <v>77541784.629090667</v>
      </c>
      <c r="AR314" s="108">
        <v>80250743.002972916</v>
      </c>
      <c r="AS314" s="108">
        <v>103694110.26691078</v>
      </c>
      <c r="AT314" s="108">
        <v>131172425.28939945</v>
      </c>
      <c r="AU314" s="108">
        <v>155855160.298069</v>
      </c>
      <c r="AV314" s="108">
        <v>161147311.42552063</v>
      </c>
    </row>
    <row r="315" spans="1:48" x14ac:dyDescent="0.35">
      <c r="A315" s="107">
        <f xml:space="preserve"> ROW( slrImpacts[[#This Row],[row_id]] ) - ROW( slrImpacts[[#Headers],[row_id]] )</f>
        <v>314</v>
      </c>
      <c r="B315" s="104">
        <v>2010</v>
      </c>
      <c r="C315" s="104" t="s">
        <v>221</v>
      </c>
      <c r="D315" s="104" t="s">
        <v>87</v>
      </c>
      <c r="E315" s="104" t="s">
        <v>922</v>
      </c>
      <c r="F315" s="104"/>
      <c r="G315" s="105">
        <v>0</v>
      </c>
      <c r="H315" s="105">
        <v>0</v>
      </c>
      <c r="I315" s="105">
        <v>0</v>
      </c>
      <c r="J315" s="105">
        <v>0</v>
      </c>
      <c r="K315" s="105">
        <v>0</v>
      </c>
      <c r="L315" s="105">
        <v>0</v>
      </c>
      <c r="M315" s="106">
        <v>1342311111.9814296</v>
      </c>
      <c r="N315" s="106">
        <v>1460971562.9543035</v>
      </c>
      <c r="O315" s="106">
        <v>1792364147.3764377</v>
      </c>
      <c r="P315" s="106">
        <v>2245332577.2729449</v>
      </c>
      <c r="Q315" s="106">
        <v>2759831063.679347</v>
      </c>
      <c r="R315" s="106">
        <v>2880950142.3823161</v>
      </c>
      <c r="S315" s="105">
        <v>0</v>
      </c>
      <c r="T315" s="105">
        <v>0</v>
      </c>
      <c r="U315" s="105">
        <v>0</v>
      </c>
      <c r="V315" s="105">
        <v>0</v>
      </c>
      <c r="W315" s="105">
        <v>0</v>
      </c>
      <c r="X315" s="105">
        <v>0</v>
      </c>
      <c r="Y315" s="106">
        <v>97752147.250519305</v>
      </c>
      <c r="Z315" s="106">
        <v>103384940.07551993</v>
      </c>
      <c r="AA315" s="106">
        <v>110934606.64818755</v>
      </c>
      <c r="AB315" s="108">
        <v>124352785.08013399</v>
      </c>
      <c r="AC315" s="108">
        <v>134616604.03100047</v>
      </c>
      <c r="AD315" s="108">
        <v>141294135.15546972</v>
      </c>
      <c r="AE315" s="108">
        <v>614972814.63084698</v>
      </c>
      <c r="AF315" s="108">
        <v>667308985.55532253</v>
      </c>
      <c r="AG315" s="108">
        <v>810768287.97680593</v>
      </c>
      <c r="AH315" s="108">
        <v>994701903.17320716</v>
      </c>
      <c r="AI315" s="108">
        <v>1213602861.1592617</v>
      </c>
      <c r="AJ315" s="108">
        <v>1263360750.1211996</v>
      </c>
      <c r="AK315" s="108">
        <v>697885008.87505686</v>
      </c>
      <c r="AL315" s="108">
        <v>772151137.56662989</v>
      </c>
      <c r="AM315" s="108">
        <v>956431887.00103903</v>
      </c>
      <c r="AN315" s="108">
        <v>1265755085.2312503</v>
      </c>
      <c r="AO315" s="108">
        <v>1594806586.738831</v>
      </c>
      <c r="AP315" s="108">
        <v>1646600046.1971009</v>
      </c>
      <c r="AQ315" s="108">
        <v>81518534.022862568</v>
      </c>
      <c r="AR315" s="108">
        <v>85599688.18335411</v>
      </c>
      <c r="AS315" s="108">
        <v>112441638.33807236</v>
      </c>
      <c r="AT315" s="108">
        <v>144059425.36541948</v>
      </c>
      <c r="AU315" s="108">
        <v>174824490.6922105</v>
      </c>
      <c r="AV315" s="108">
        <v>183336308.44713378</v>
      </c>
    </row>
    <row r="316" spans="1:48" x14ac:dyDescent="0.35">
      <c r="A316" s="107">
        <f xml:space="preserve"> ROW( slrImpacts[[#This Row],[row_id]] ) - ROW( slrImpacts[[#Headers],[row_id]] )</f>
        <v>315</v>
      </c>
      <c r="B316" s="104">
        <v>2011</v>
      </c>
      <c r="C316" s="104" t="s">
        <v>221</v>
      </c>
      <c r="D316" s="104" t="s">
        <v>87</v>
      </c>
      <c r="E316" s="104" t="s">
        <v>922</v>
      </c>
      <c r="F316" s="104"/>
      <c r="G316" s="105">
        <v>0</v>
      </c>
      <c r="H316" s="105">
        <v>0</v>
      </c>
      <c r="I316" s="105">
        <v>0</v>
      </c>
      <c r="J316" s="105">
        <v>0</v>
      </c>
      <c r="K316" s="105">
        <v>0</v>
      </c>
      <c r="L316" s="105">
        <v>0</v>
      </c>
      <c r="M316" s="106">
        <v>1405488077.9881485</v>
      </c>
      <c r="N316" s="106">
        <v>1542002657.8750608</v>
      </c>
      <c r="O316" s="106">
        <v>1933111435.818706</v>
      </c>
      <c r="P316" s="106">
        <v>2472842860.1357069</v>
      </c>
      <c r="Q316" s="106">
        <v>3084823613.3155508</v>
      </c>
      <c r="R316" s="106">
        <v>3237533207.8106227</v>
      </c>
      <c r="S316" s="105">
        <v>0</v>
      </c>
      <c r="T316" s="105">
        <v>0</v>
      </c>
      <c r="U316" s="105">
        <v>0</v>
      </c>
      <c r="V316" s="105">
        <v>0</v>
      </c>
      <c r="W316" s="105">
        <v>0</v>
      </c>
      <c r="X316" s="105">
        <v>0</v>
      </c>
      <c r="Y316" s="106">
        <v>99803936.428576037</v>
      </c>
      <c r="Z316" s="106">
        <v>106039293.67313212</v>
      </c>
      <c r="AA316" s="106">
        <v>114584920.79092549</v>
      </c>
      <c r="AB316" s="108">
        <v>129537259.30039252</v>
      </c>
      <c r="AC316" s="108">
        <v>141097090.10417834</v>
      </c>
      <c r="AD316" s="108">
        <v>149001033.38633665</v>
      </c>
      <c r="AE316" s="108">
        <v>650886546.90429842</v>
      </c>
      <c r="AF316" s="108">
        <v>712894248.36970568</v>
      </c>
      <c r="AG316" s="108">
        <v>884035094.43789661</v>
      </c>
      <c r="AH316" s="108">
        <v>1109884936.5427015</v>
      </c>
      <c r="AI316" s="108">
        <v>1379385778.1398234</v>
      </c>
      <c r="AJ316" s="108">
        <v>1448289387.2020738</v>
      </c>
      <c r="AK316" s="108">
        <v>761654443.24835265</v>
      </c>
      <c r="AL316" s="108">
        <v>852341645.53263223</v>
      </c>
      <c r="AM316" s="108">
        <v>1082027148.9822125</v>
      </c>
      <c r="AN316" s="108">
        <v>1466143418.5859292</v>
      </c>
      <c r="AO316" s="108">
        <v>1875122636.5718284</v>
      </c>
      <c r="AP316" s="108">
        <v>1951523049.0677829</v>
      </c>
      <c r="AQ316" s="108">
        <v>85722546.538213953</v>
      </c>
      <c r="AR316" s="108">
        <v>91556574.011381567</v>
      </c>
      <c r="AS316" s="108">
        <v>122002151.18365015</v>
      </c>
      <c r="AT316" s="108">
        <v>157910805.2866174</v>
      </c>
      <c r="AU316" s="108">
        <v>195900516.74675956</v>
      </c>
      <c r="AV316" s="108">
        <v>208741329.86714298</v>
      </c>
    </row>
    <row r="317" spans="1:48" x14ac:dyDescent="0.35">
      <c r="A317" s="107">
        <f xml:space="preserve"> ROW( slrImpacts[[#This Row],[row_id]] ) - ROW( slrImpacts[[#Headers],[row_id]] )</f>
        <v>316</v>
      </c>
      <c r="B317" s="104">
        <v>2012</v>
      </c>
      <c r="C317" s="104" t="s">
        <v>221</v>
      </c>
      <c r="D317" s="104" t="s">
        <v>87</v>
      </c>
      <c r="E317" s="104" t="s">
        <v>922</v>
      </c>
      <c r="F317" s="104"/>
      <c r="G317" s="105">
        <v>0</v>
      </c>
      <c r="H317" s="105">
        <v>0</v>
      </c>
      <c r="I317" s="105">
        <v>0</v>
      </c>
      <c r="J317" s="105">
        <v>0</v>
      </c>
      <c r="K317" s="105">
        <v>0</v>
      </c>
      <c r="L317" s="105">
        <v>0</v>
      </c>
      <c r="M317" s="106">
        <v>1472181196.4697556</v>
      </c>
      <c r="N317" s="106">
        <v>1628101126.3458452</v>
      </c>
      <c r="O317" s="106">
        <v>2085771195.1133239</v>
      </c>
      <c r="P317" s="106">
        <v>2724126506.8656688</v>
      </c>
      <c r="Q317" s="106">
        <v>3447957853.3288937</v>
      </c>
      <c r="R317" s="106">
        <v>3638478356.2242975</v>
      </c>
      <c r="S317" s="105">
        <v>0</v>
      </c>
      <c r="T317" s="105">
        <v>0</v>
      </c>
      <c r="U317" s="105">
        <v>0</v>
      </c>
      <c r="V317" s="105">
        <v>0</v>
      </c>
      <c r="W317" s="105">
        <v>0</v>
      </c>
      <c r="X317" s="105">
        <v>0</v>
      </c>
      <c r="Y317" s="106">
        <v>101963732.04882084</v>
      </c>
      <c r="Z317" s="106">
        <v>108802888.62282734</v>
      </c>
      <c r="AA317" s="106">
        <v>118410840.44972998</v>
      </c>
      <c r="AB317" s="108">
        <v>134933022.96556428</v>
      </c>
      <c r="AC317" s="108">
        <v>147869027.54862919</v>
      </c>
      <c r="AD317" s="108">
        <v>157124882.92501578</v>
      </c>
      <c r="AE317" s="108">
        <v>691042067.65979874</v>
      </c>
      <c r="AF317" s="108">
        <v>764125769.86791837</v>
      </c>
      <c r="AG317" s="108">
        <v>967612176.08860564</v>
      </c>
      <c r="AH317" s="108">
        <v>1243697899.2939394</v>
      </c>
      <c r="AI317" s="108">
        <v>1573216713.5978348</v>
      </c>
      <c r="AJ317" s="108">
        <v>1665586777.0399718</v>
      </c>
      <c r="AK317" s="108">
        <v>833435788.88085496</v>
      </c>
      <c r="AL317" s="108">
        <v>943814925.81786013</v>
      </c>
      <c r="AM317" s="108">
        <v>1229068814.1976221</v>
      </c>
      <c r="AN317" s="108">
        <v>1701400949.0945377</v>
      </c>
      <c r="AO317" s="108">
        <v>2206242321.1642008</v>
      </c>
      <c r="AP317" s="108">
        <v>2316946159.1928573</v>
      </c>
      <c r="AQ317" s="108">
        <v>90108205.523833692</v>
      </c>
      <c r="AR317" s="108">
        <v>98085204.404843107</v>
      </c>
      <c r="AS317" s="108">
        <v>132393763.90557355</v>
      </c>
      <c r="AT317" s="108">
        <v>172892787.21893382</v>
      </c>
      <c r="AU317" s="108">
        <v>219104030.80324647</v>
      </c>
      <c r="AV317" s="108">
        <v>237494700.20998496</v>
      </c>
    </row>
    <row r="318" spans="1:48" x14ac:dyDescent="0.35">
      <c r="A318" s="107">
        <f xml:space="preserve"> ROW( slrImpacts[[#This Row],[row_id]] ) - ROW( slrImpacts[[#Headers],[row_id]] )</f>
        <v>317</v>
      </c>
      <c r="B318" s="104">
        <v>2013</v>
      </c>
      <c r="C318" s="104" t="s">
        <v>221</v>
      </c>
      <c r="D318" s="104" t="s">
        <v>87</v>
      </c>
      <c r="E318" s="104" t="s">
        <v>922</v>
      </c>
      <c r="F318" s="104"/>
      <c r="G318" s="105">
        <v>0</v>
      </c>
      <c r="H318" s="105">
        <v>0</v>
      </c>
      <c r="I318" s="105">
        <v>0</v>
      </c>
      <c r="J318" s="105">
        <v>0</v>
      </c>
      <c r="K318" s="105">
        <v>0</v>
      </c>
      <c r="L318" s="105">
        <v>0</v>
      </c>
      <c r="M318" s="106">
        <v>1542720812.1705885</v>
      </c>
      <c r="N318" s="106">
        <v>1719682945.0911651</v>
      </c>
      <c r="O318" s="106">
        <v>2251832600.1845202</v>
      </c>
      <c r="P318" s="106">
        <v>3002190907.5910091</v>
      </c>
      <c r="Q318" s="106">
        <v>3853933511.0502315</v>
      </c>
      <c r="R318" s="106">
        <v>4089676480.8582983</v>
      </c>
      <c r="S318" s="105">
        <v>0</v>
      </c>
      <c r="T318" s="105">
        <v>0</v>
      </c>
      <c r="U318" s="105">
        <v>0</v>
      </c>
      <c r="V318" s="105">
        <v>0</v>
      </c>
      <c r="W318" s="105">
        <v>0</v>
      </c>
      <c r="X318" s="105">
        <v>0</v>
      </c>
      <c r="Y318" s="106">
        <v>104235123.34759867</v>
      </c>
      <c r="Z318" s="106">
        <v>111676697.25317404</v>
      </c>
      <c r="AA318" s="106">
        <v>122415665.98785064</v>
      </c>
      <c r="AB318" s="108">
        <v>140543421.46406707</v>
      </c>
      <c r="AC318" s="108">
        <v>154911839.24404159</v>
      </c>
      <c r="AD318" s="108">
        <v>165672612.74114871</v>
      </c>
      <c r="AE318" s="108">
        <v>736003767.30328345</v>
      </c>
      <c r="AF318" s="108">
        <v>821822808.83927608</v>
      </c>
      <c r="AG318" s="108">
        <v>1063333196.2373052</v>
      </c>
      <c r="AH318" s="108">
        <v>1399779168.441288</v>
      </c>
      <c r="AI318" s="108">
        <v>1800196961.5587118</v>
      </c>
      <c r="AJ318" s="108">
        <v>1922764367.5250893</v>
      </c>
      <c r="AK318" s="108">
        <v>913511442.83532727</v>
      </c>
      <c r="AL318" s="108">
        <v>1047198362.6393954</v>
      </c>
      <c r="AM318" s="108">
        <v>1399787821.7343321</v>
      </c>
      <c r="AN318" s="108">
        <v>1977873520.0421088</v>
      </c>
      <c r="AO318" s="108">
        <v>2595921819.534112</v>
      </c>
      <c r="AP318" s="108">
        <v>2751436011.8171196</v>
      </c>
      <c r="AQ318" s="108">
        <v>94751251.630704507</v>
      </c>
      <c r="AR318" s="108">
        <v>105316381.60010001</v>
      </c>
      <c r="AS318" s="108">
        <v>143703443.20790038</v>
      </c>
      <c r="AT318" s="108">
        <v>189022223.07074729</v>
      </c>
      <c r="AU318" s="108">
        <v>244821586.17077127</v>
      </c>
      <c r="AV318" s="108">
        <v>270175977.26612294</v>
      </c>
    </row>
    <row r="319" spans="1:48" x14ac:dyDescent="0.35">
      <c r="A319" s="107">
        <f xml:space="preserve"> ROW( slrImpacts[[#This Row],[row_id]] ) - ROW( slrImpacts[[#Headers],[row_id]] )</f>
        <v>318</v>
      </c>
      <c r="B319" s="104">
        <v>2014</v>
      </c>
      <c r="C319" s="104" t="s">
        <v>221</v>
      </c>
      <c r="D319" s="104" t="s">
        <v>87</v>
      </c>
      <c r="E319" s="104" t="s">
        <v>922</v>
      </c>
      <c r="F319" s="104"/>
      <c r="G319" s="105">
        <v>0</v>
      </c>
      <c r="H319" s="105">
        <v>0</v>
      </c>
      <c r="I319" s="105">
        <v>0</v>
      </c>
      <c r="J319" s="105">
        <v>0</v>
      </c>
      <c r="K319" s="105">
        <v>0</v>
      </c>
      <c r="L319" s="105">
        <v>0</v>
      </c>
      <c r="M319" s="106">
        <v>1617165970.5672231</v>
      </c>
      <c r="N319" s="106">
        <v>1817002064.9807351</v>
      </c>
      <c r="O319" s="106">
        <v>2432235949.6165047</v>
      </c>
      <c r="P319" s="106">
        <v>3309831450.2248907</v>
      </c>
      <c r="Q319" s="106">
        <v>4307410997.9666348</v>
      </c>
      <c r="R319" s="106">
        <v>4596188837.1964922</v>
      </c>
      <c r="S319" s="105">
        <v>0</v>
      </c>
      <c r="T319" s="105">
        <v>0</v>
      </c>
      <c r="U319" s="105">
        <v>0</v>
      </c>
      <c r="V319" s="105">
        <v>0</v>
      </c>
      <c r="W319" s="105">
        <v>0</v>
      </c>
      <c r="X319" s="105">
        <v>0</v>
      </c>
      <c r="Y319" s="106">
        <v>106624431.70202743</v>
      </c>
      <c r="Z319" s="106">
        <v>114691875.40771227</v>
      </c>
      <c r="AA319" s="106">
        <v>126616870.60852686</v>
      </c>
      <c r="AB319" s="108">
        <v>146387620.24186525</v>
      </c>
      <c r="AC319" s="108">
        <v>162252177.59095937</v>
      </c>
      <c r="AD319" s="108">
        <v>174686978.26220575</v>
      </c>
      <c r="AE319" s="108">
        <v>785920668.2566638</v>
      </c>
      <c r="AF319" s="108">
        <v>886436796.87169337</v>
      </c>
      <c r="AG319" s="108">
        <v>1172522998.2084734</v>
      </c>
      <c r="AH319" s="108">
        <v>1581079821.0097547</v>
      </c>
      <c r="AI319" s="108">
        <v>2066033704.4365671</v>
      </c>
      <c r="AJ319" s="108">
        <v>2227652286.4662237</v>
      </c>
      <c r="AK319" s="108">
        <v>1003033162.7928644</v>
      </c>
      <c r="AL319" s="108">
        <v>1164352543.5873084</v>
      </c>
      <c r="AM319" s="108">
        <v>1597986819.6436906</v>
      </c>
      <c r="AN319" s="108">
        <v>2299429458.4426174</v>
      </c>
      <c r="AO319" s="108">
        <v>3054896442.833137</v>
      </c>
      <c r="AP319" s="108">
        <v>3268152488.9272008</v>
      </c>
      <c r="AQ319" s="108">
        <v>99654517.288599148</v>
      </c>
      <c r="AR319" s="108">
        <v>113298678.39179775</v>
      </c>
      <c r="AS319" s="108">
        <v>155970752.53362453</v>
      </c>
      <c r="AT319" s="108">
        <v>206352366.91576314</v>
      </c>
      <c r="AU319" s="108">
        <v>273241753.38381839</v>
      </c>
      <c r="AV319" s="108">
        <v>307208521.10570103</v>
      </c>
    </row>
    <row r="320" spans="1:48" x14ac:dyDescent="0.35">
      <c r="A320" s="107">
        <f xml:space="preserve"> ROW( slrImpacts[[#This Row],[row_id]] ) - ROW( slrImpacts[[#Headers],[row_id]] )</f>
        <v>319</v>
      </c>
      <c r="B320" s="104">
        <v>2015</v>
      </c>
      <c r="C320" s="104" t="s">
        <v>221</v>
      </c>
      <c r="D320" s="104" t="s">
        <v>87</v>
      </c>
      <c r="E320" s="104" t="s">
        <v>922</v>
      </c>
      <c r="F320" s="104"/>
      <c r="G320" s="105">
        <v>0</v>
      </c>
      <c r="H320" s="105">
        <v>0</v>
      </c>
      <c r="I320" s="105">
        <v>0</v>
      </c>
      <c r="J320" s="105">
        <v>0</v>
      </c>
      <c r="K320" s="105">
        <v>0</v>
      </c>
      <c r="L320" s="105">
        <v>0</v>
      </c>
      <c r="M320" s="106">
        <v>1695864959.4949794</v>
      </c>
      <c r="N320" s="106">
        <v>1920497651.9500024</v>
      </c>
      <c r="O320" s="106">
        <v>2628314424.5428324</v>
      </c>
      <c r="P320" s="106">
        <v>3649823144.6471953</v>
      </c>
      <c r="Q320" s="106">
        <v>4814331393.0030918</v>
      </c>
      <c r="R320" s="106">
        <v>5165485419.5453186</v>
      </c>
      <c r="S320" s="105">
        <v>0</v>
      </c>
      <c r="T320" s="105">
        <v>0</v>
      </c>
      <c r="U320" s="105">
        <v>0</v>
      </c>
      <c r="V320" s="105">
        <v>0</v>
      </c>
      <c r="W320" s="105">
        <v>0</v>
      </c>
      <c r="X320" s="105">
        <v>0</v>
      </c>
      <c r="Y320" s="106">
        <v>109130198.74122171</v>
      </c>
      <c r="Z320" s="106">
        <v>117829246.5217448</v>
      </c>
      <c r="AA320" s="106">
        <v>131004867.28847764</v>
      </c>
      <c r="AB320" s="108">
        <v>152453772.33669034</v>
      </c>
      <c r="AC320" s="108">
        <v>169862142.09515905</v>
      </c>
      <c r="AD320" s="108">
        <v>184167615.30287507</v>
      </c>
      <c r="AE320" s="108">
        <v>841763909.7542541</v>
      </c>
      <c r="AF320" s="108">
        <v>959443301.12900627</v>
      </c>
      <c r="AG320" s="108">
        <v>1298107845.8578467</v>
      </c>
      <c r="AH320" s="108">
        <v>1791010634.3219118</v>
      </c>
      <c r="AI320" s="108">
        <v>2375858404.4956098</v>
      </c>
      <c r="AJ320" s="108">
        <v>2588638827.7139506</v>
      </c>
      <c r="AK320" s="108">
        <v>1103923872.2935393</v>
      </c>
      <c r="AL320" s="108">
        <v>1298193237.2449803</v>
      </c>
      <c r="AM320" s="108">
        <v>1829430776.6233115</v>
      </c>
      <c r="AN320" s="108">
        <v>2677685063.3038106</v>
      </c>
      <c r="AO320" s="108">
        <v>3596955913.5100055</v>
      </c>
      <c r="AP320" s="108">
        <v>3885803134.3421359</v>
      </c>
      <c r="AQ320" s="108">
        <v>104817114.96858186</v>
      </c>
      <c r="AR320" s="108">
        <v>122092390.2773257</v>
      </c>
      <c r="AS320" s="108">
        <v>169284559.23593855</v>
      </c>
      <c r="AT320" s="108">
        <v>224856118.49031848</v>
      </c>
      <c r="AU320" s="108">
        <v>304557544.91708505</v>
      </c>
      <c r="AV320" s="108">
        <v>349038409.5083937</v>
      </c>
    </row>
    <row r="321" spans="1:48" x14ac:dyDescent="0.35">
      <c r="A321" s="107">
        <f xml:space="preserve"> ROW( slrImpacts[[#This Row],[row_id]] ) - ROW( slrImpacts[[#Headers],[row_id]] )</f>
        <v>320</v>
      </c>
      <c r="B321" s="104">
        <v>2016</v>
      </c>
      <c r="C321" s="104" t="s">
        <v>221</v>
      </c>
      <c r="D321" s="104" t="s">
        <v>87</v>
      </c>
      <c r="E321" s="104" t="s">
        <v>922</v>
      </c>
      <c r="F321" s="104"/>
      <c r="G321" s="105">
        <v>0</v>
      </c>
      <c r="H321" s="105">
        <v>0</v>
      </c>
      <c r="I321" s="105">
        <v>0</v>
      </c>
      <c r="J321" s="105">
        <v>0</v>
      </c>
      <c r="K321" s="105">
        <v>0</v>
      </c>
      <c r="L321" s="105">
        <v>0</v>
      </c>
      <c r="M321" s="106">
        <v>1778837986.6543708</v>
      </c>
      <c r="N321" s="106">
        <v>2030673548.9071958</v>
      </c>
      <c r="O321" s="106">
        <v>2843074606.0144339</v>
      </c>
      <c r="P321" s="106">
        <v>4031772846.5223632</v>
      </c>
      <c r="Q321" s="106">
        <v>5400123751.3642006</v>
      </c>
      <c r="R321" s="106">
        <v>5839306887.6563854</v>
      </c>
      <c r="S321" s="105">
        <v>0</v>
      </c>
      <c r="T321" s="105">
        <v>0</v>
      </c>
      <c r="U321" s="105">
        <v>0</v>
      </c>
      <c r="V321" s="105">
        <v>0</v>
      </c>
      <c r="W321" s="105">
        <v>0</v>
      </c>
      <c r="X321" s="105">
        <v>0</v>
      </c>
      <c r="Y321" s="106">
        <v>111751249.79183739</v>
      </c>
      <c r="Z321" s="106">
        <v>121115341.22543798</v>
      </c>
      <c r="AA321" s="106">
        <v>135675097.99474221</v>
      </c>
      <c r="AB321" s="108">
        <v>158958698.74044859</v>
      </c>
      <c r="AC321" s="108">
        <v>178381874.02590966</v>
      </c>
      <c r="AD321" s="108">
        <v>195090828.83380124</v>
      </c>
      <c r="AE321" s="108">
        <v>904254357.44179118</v>
      </c>
      <c r="AF321" s="108">
        <v>1042024977.817319</v>
      </c>
      <c r="AG321" s="108">
        <v>1443148710.2363615</v>
      </c>
      <c r="AH321" s="108">
        <v>2041929301.6113832</v>
      </c>
      <c r="AI321" s="108">
        <v>2762250924.7440114</v>
      </c>
      <c r="AJ321" s="108">
        <v>3052594392.0709658</v>
      </c>
      <c r="AK321" s="108">
        <v>1214664759.1717994</v>
      </c>
      <c r="AL321" s="108">
        <v>1449376544.156008</v>
      </c>
      <c r="AM321" s="108">
        <v>2099373863.1247542</v>
      </c>
      <c r="AN321" s="108">
        <v>3126771754.7846227</v>
      </c>
      <c r="AO321" s="108">
        <v>4269656935.1239853</v>
      </c>
      <c r="AP321" s="108">
        <v>4676554912.5726881</v>
      </c>
      <c r="AQ321" s="108">
        <v>110358876.40212695</v>
      </c>
      <c r="AR321" s="108">
        <v>131529855.5286348</v>
      </c>
      <c r="AS321" s="108">
        <v>183991302.34295252</v>
      </c>
      <c r="AT321" s="108">
        <v>246063904.62369123</v>
      </c>
      <c r="AU321" s="108">
        <v>341206409.20918876</v>
      </c>
      <c r="AV321" s="108">
        <v>399120081.84904563</v>
      </c>
    </row>
    <row r="322" spans="1:48" x14ac:dyDescent="0.35">
      <c r="A322" s="107">
        <f xml:space="preserve"> ROW( slrImpacts[[#This Row],[row_id]] ) - ROW( slrImpacts[[#Headers],[row_id]] )</f>
        <v>321</v>
      </c>
      <c r="B322" s="104">
        <v>2017</v>
      </c>
      <c r="C322" s="104" t="s">
        <v>221</v>
      </c>
      <c r="D322" s="104" t="s">
        <v>87</v>
      </c>
      <c r="E322" s="104" t="s">
        <v>922</v>
      </c>
      <c r="F322" s="104"/>
      <c r="G322" s="105">
        <v>0</v>
      </c>
      <c r="H322" s="105">
        <v>0</v>
      </c>
      <c r="I322" s="105">
        <v>0</v>
      </c>
      <c r="J322" s="105">
        <v>0</v>
      </c>
      <c r="K322" s="105">
        <v>0</v>
      </c>
      <c r="L322" s="105">
        <v>0</v>
      </c>
      <c r="M322" s="106">
        <v>1865889064.255687</v>
      </c>
      <c r="N322" s="106">
        <v>2147462432.0379524</v>
      </c>
      <c r="O322" s="106">
        <v>3076432287.6316385</v>
      </c>
      <c r="P322" s="106">
        <v>4458479723.0687294</v>
      </c>
      <c r="Q322" s="106">
        <v>6076957784.7457504</v>
      </c>
      <c r="R322" s="106">
        <v>6634247202.1793108</v>
      </c>
      <c r="S322" s="105">
        <v>0</v>
      </c>
      <c r="T322" s="105">
        <v>0</v>
      </c>
      <c r="U322" s="105">
        <v>0</v>
      </c>
      <c r="V322" s="105">
        <v>0</v>
      </c>
      <c r="W322" s="105">
        <v>0</v>
      </c>
      <c r="X322" s="105">
        <v>0</v>
      </c>
      <c r="Y322" s="106">
        <v>114419915.14736204</v>
      </c>
      <c r="Z322" s="106">
        <v>124510907.02960376</v>
      </c>
      <c r="AA322" s="106">
        <v>140538292.18494308</v>
      </c>
      <c r="AB322" s="108">
        <v>165904954.64634767</v>
      </c>
      <c r="AC322" s="108">
        <v>187872642.42656934</v>
      </c>
      <c r="AD322" s="108">
        <v>207556339.99743626</v>
      </c>
      <c r="AE322" s="108">
        <v>972805818.00318384</v>
      </c>
      <c r="AF322" s="108">
        <v>1134103484.4584267</v>
      </c>
      <c r="AG322" s="108">
        <v>1609476342.3336415</v>
      </c>
      <c r="AH322" s="108">
        <v>2340878122.1310444</v>
      </c>
      <c r="AI322" s="108">
        <v>3241601148.2412276</v>
      </c>
      <c r="AJ322" s="108">
        <v>3644480489.8474436</v>
      </c>
      <c r="AK322" s="108">
        <v>1336943039.6823323</v>
      </c>
      <c r="AL322" s="108">
        <v>1619595087.8785546</v>
      </c>
      <c r="AM322" s="108">
        <v>2413021909.7606907</v>
      </c>
      <c r="AN322" s="108">
        <v>3664254646.564239</v>
      </c>
      <c r="AO322" s="108">
        <v>5110928611.6543036</v>
      </c>
      <c r="AP322" s="108">
        <v>5686672642.0792017</v>
      </c>
      <c r="AQ322" s="108">
        <v>116288038.805023</v>
      </c>
      <c r="AR322" s="108">
        <v>141463692.60970634</v>
      </c>
      <c r="AS322" s="108">
        <v>200014314.77372712</v>
      </c>
      <c r="AT322" s="108">
        <v>270363267.86988336</v>
      </c>
      <c r="AU322" s="108">
        <v>383925254.42512149</v>
      </c>
      <c r="AV322" s="108">
        <v>458643048.36893195</v>
      </c>
    </row>
    <row r="323" spans="1:48" x14ac:dyDescent="0.35">
      <c r="A323" s="107">
        <f xml:space="preserve"> ROW( slrImpacts[[#This Row],[row_id]] ) - ROW( slrImpacts[[#Headers],[row_id]] )</f>
        <v>322</v>
      </c>
      <c r="B323" s="104">
        <v>2018</v>
      </c>
      <c r="C323" s="104" t="s">
        <v>221</v>
      </c>
      <c r="D323" s="104" t="s">
        <v>87</v>
      </c>
      <c r="E323" s="104" t="s">
        <v>922</v>
      </c>
      <c r="F323" s="104"/>
      <c r="G323" s="105">
        <v>0</v>
      </c>
      <c r="H323" s="105">
        <v>0</v>
      </c>
      <c r="I323" s="105">
        <v>0</v>
      </c>
      <c r="J323" s="105">
        <v>0</v>
      </c>
      <c r="K323" s="105">
        <v>0</v>
      </c>
      <c r="L323" s="105">
        <v>0</v>
      </c>
      <c r="M323" s="106">
        <v>1957096111.1483746</v>
      </c>
      <c r="N323" s="106">
        <v>2271170905.7518392</v>
      </c>
      <c r="O323" s="106">
        <v>3330445743.0099101</v>
      </c>
      <c r="P323" s="106">
        <v>4935707593.2143698</v>
      </c>
      <c r="Q323" s="106">
        <v>6855649467.4516239</v>
      </c>
      <c r="R323" s="106">
        <v>7569810023.4918346</v>
      </c>
      <c r="S323" s="105">
        <v>0</v>
      </c>
      <c r="T323" s="105">
        <v>0</v>
      </c>
      <c r="U323" s="105">
        <v>0</v>
      </c>
      <c r="V323" s="105">
        <v>0</v>
      </c>
      <c r="W323" s="105">
        <v>0</v>
      </c>
      <c r="X323" s="105">
        <v>0</v>
      </c>
      <c r="Y323" s="106">
        <v>117127378.95021601</v>
      </c>
      <c r="Z323" s="106">
        <v>127981692.72114621</v>
      </c>
      <c r="AA323" s="106">
        <v>145637635.27717009</v>
      </c>
      <c r="AB323" s="108">
        <v>173306069.95183975</v>
      </c>
      <c r="AC323" s="108">
        <v>198449939.92754626</v>
      </c>
      <c r="AD323" s="108">
        <v>221762833.664621</v>
      </c>
      <c r="AE323" s="108">
        <v>1048529129.932788</v>
      </c>
      <c r="AF323" s="108">
        <v>1237184873.5776391</v>
      </c>
      <c r="AG323" s="108">
        <v>1800486510.6056802</v>
      </c>
      <c r="AH323" s="108">
        <v>2696106670.087924</v>
      </c>
      <c r="AI323" s="108">
        <v>3835292098.6649237</v>
      </c>
      <c r="AJ323" s="108">
        <v>4396582810.9167252</v>
      </c>
      <c r="AK323" s="108">
        <v>1471447492.6167436</v>
      </c>
      <c r="AL323" s="108">
        <v>1813016460.0583391</v>
      </c>
      <c r="AM323" s="108">
        <v>2778052732.4726973</v>
      </c>
      <c r="AN323" s="108">
        <v>4302155868.108325</v>
      </c>
      <c r="AO323" s="108">
        <v>6149029735.7920504</v>
      </c>
      <c r="AP323" s="108">
        <v>6967183727.4896135</v>
      </c>
      <c r="AQ323" s="108">
        <v>122577245.89874133</v>
      </c>
      <c r="AR323" s="108">
        <v>151863683.86084664</v>
      </c>
      <c r="AS323" s="108">
        <v>217485249.39863154</v>
      </c>
      <c r="AT323" s="108">
        <v>298164198.78802127</v>
      </c>
      <c r="AU323" s="108">
        <v>433314339.01878577</v>
      </c>
      <c r="AV323" s="108">
        <v>528723720.844356</v>
      </c>
    </row>
    <row r="324" spans="1:48" x14ac:dyDescent="0.35">
      <c r="A324" s="107">
        <f xml:space="preserve"> ROW( slrImpacts[[#This Row],[row_id]] ) - ROW( slrImpacts[[#Headers],[row_id]] )</f>
        <v>323</v>
      </c>
      <c r="B324" s="104">
        <v>2019</v>
      </c>
      <c r="C324" s="104" t="s">
        <v>221</v>
      </c>
      <c r="D324" s="104" t="s">
        <v>87</v>
      </c>
      <c r="E324" s="104" t="s">
        <v>922</v>
      </c>
      <c r="F324" s="104"/>
      <c r="G324" s="105">
        <v>0</v>
      </c>
      <c r="H324" s="105">
        <v>0</v>
      </c>
      <c r="I324" s="105">
        <v>0</v>
      </c>
      <c r="J324" s="105">
        <v>0</v>
      </c>
      <c r="K324" s="105">
        <v>0</v>
      </c>
      <c r="L324" s="105">
        <v>0</v>
      </c>
      <c r="M324" s="106">
        <v>2052837009.4670897</v>
      </c>
      <c r="N324" s="106">
        <v>2402416018.736331</v>
      </c>
      <c r="O324" s="106">
        <v>3607599082.0799332</v>
      </c>
      <c r="P324" s="106">
        <v>5470009283.2419882</v>
      </c>
      <c r="Q324" s="106">
        <v>7751605243.0542088</v>
      </c>
      <c r="R324" s="106">
        <v>8668389525.3712082</v>
      </c>
      <c r="S324" s="105">
        <v>0</v>
      </c>
      <c r="T324" s="105">
        <v>0</v>
      </c>
      <c r="U324" s="105">
        <v>0</v>
      </c>
      <c r="V324" s="105">
        <v>0</v>
      </c>
      <c r="W324" s="105">
        <v>0</v>
      </c>
      <c r="X324" s="105">
        <v>0</v>
      </c>
      <c r="Y324" s="106">
        <v>119891858.30573148</v>
      </c>
      <c r="Z324" s="106">
        <v>131548529.53969942</v>
      </c>
      <c r="AA324" s="106">
        <v>150943415.58224514</v>
      </c>
      <c r="AB324" s="108">
        <v>181195494.79682362</v>
      </c>
      <c r="AC324" s="108">
        <v>210157410.25414544</v>
      </c>
      <c r="AD324" s="108">
        <v>237825986.64328521</v>
      </c>
      <c r="AE324" s="108">
        <v>1131363102.1856854</v>
      </c>
      <c r="AF324" s="108">
        <v>1352542358.6168995</v>
      </c>
      <c r="AG324" s="108">
        <v>2019778978.8039427</v>
      </c>
      <c r="AH324" s="108">
        <v>3118824651.9045429</v>
      </c>
      <c r="AI324" s="108">
        <v>4568079225.1869135</v>
      </c>
      <c r="AJ324" s="108">
        <v>5347743187.1187525</v>
      </c>
      <c r="AK324" s="108">
        <v>1620955064.1309319</v>
      </c>
      <c r="AL324" s="108">
        <v>2030857649.0395195</v>
      </c>
      <c r="AM324" s="108">
        <v>3201279075.7763491</v>
      </c>
      <c r="AN324" s="108">
        <v>5063593439.6694069</v>
      </c>
      <c r="AO324" s="108">
        <v>7433794524.9888096</v>
      </c>
      <c r="AP324" s="108">
        <v>8578052129.8858671</v>
      </c>
      <c r="AQ324" s="108">
        <v>129371816.10799481</v>
      </c>
      <c r="AR324" s="108">
        <v>162689926.29298621</v>
      </c>
      <c r="AS324" s="108">
        <v>236590250.97139144</v>
      </c>
      <c r="AT324" s="108">
        <v>329861579.06622678</v>
      </c>
      <c r="AU324" s="108">
        <v>490629489.32972401</v>
      </c>
      <c r="AV324" s="108">
        <v>610767014.98235464</v>
      </c>
    </row>
    <row r="325" spans="1:48" x14ac:dyDescent="0.35">
      <c r="A325" s="107">
        <f xml:space="preserve"> ROW( slrImpacts[[#This Row],[row_id]] ) - ROW( slrImpacts[[#Headers],[row_id]] )</f>
        <v>324</v>
      </c>
      <c r="B325" s="104">
        <v>2020</v>
      </c>
      <c r="C325" s="104" t="s">
        <v>221</v>
      </c>
      <c r="D325" s="104" t="s">
        <v>87</v>
      </c>
      <c r="E325" s="104" t="s">
        <v>922</v>
      </c>
      <c r="F325" s="104"/>
      <c r="G325" s="105">
        <v>0</v>
      </c>
      <c r="H325" s="105">
        <v>0</v>
      </c>
      <c r="I325" s="105">
        <v>0</v>
      </c>
      <c r="J325" s="105">
        <v>0</v>
      </c>
      <c r="K325" s="105">
        <v>0</v>
      </c>
      <c r="L325" s="105">
        <v>0</v>
      </c>
      <c r="M325" s="106">
        <v>2153106747.3196054</v>
      </c>
      <c r="N325" s="106">
        <v>2541393149.2356515</v>
      </c>
      <c r="O325" s="106">
        <v>3908991185.1846004</v>
      </c>
      <c r="P325" s="106">
        <v>6066214332.7262449</v>
      </c>
      <c r="Q325" s="106">
        <v>8780519596.023056</v>
      </c>
      <c r="R325" s="106">
        <v>9954843775.2498417</v>
      </c>
      <c r="S325" s="105">
        <v>0</v>
      </c>
      <c r="T325" s="105">
        <v>0</v>
      </c>
      <c r="U325" s="105">
        <v>0</v>
      </c>
      <c r="V325" s="105">
        <v>0</v>
      </c>
      <c r="W325" s="105">
        <v>0</v>
      </c>
      <c r="X325" s="105">
        <v>0</v>
      </c>
      <c r="Y325" s="106">
        <v>122720168.20608361</v>
      </c>
      <c r="Z325" s="106">
        <v>135248305.02456218</v>
      </c>
      <c r="AA325" s="106">
        <v>156519847.14654544</v>
      </c>
      <c r="AB325" s="108">
        <v>189637470.33401507</v>
      </c>
      <c r="AC325" s="108">
        <v>223084647.56168938</v>
      </c>
      <c r="AD325" s="108">
        <v>256024589.81691912</v>
      </c>
      <c r="AE325" s="108">
        <v>1223007671.086097</v>
      </c>
      <c r="AF325" s="108">
        <v>1482076459.2004988</v>
      </c>
      <c r="AG325" s="108">
        <v>2272093032.5150499</v>
      </c>
      <c r="AH325" s="108">
        <v>3621945512.1454015</v>
      </c>
      <c r="AI325" s="108">
        <v>5466352250.3747005</v>
      </c>
      <c r="AJ325" s="108">
        <v>6539852621.1180038</v>
      </c>
      <c r="AK325" s="108">
        <v>1784516239.5924625</v>
      </c>
      <c r="AL325" s="108">
        <v>2274803353.0680661</v>
      </c>
      <c r="AM325" s="108">
        <v>3690285366.4213347</v>
      </c>
      <c r="AN325" s="108">
        <v>5961609549.0373049</v>
      </c>
      <c r="AO325" s="108">
        <v>8999965407.6388474</v>
      </c>
      <c r="AP325" s="108">
        <v>10578784075.666536</v>
      </c>
      <c r="AQ325" s="108">
        <v>136571027.88420868</v>
      </c>
      <c r="AR325" s="108">
        <v>173994779.92893961</v>
      </c>
      <c r="AS325" s="108">
        <v>257358963.71242398</v>
      </c>
      <c r="AT325" s="108">
        <v>365815177.0728488</v>
      </c>
      <c r="AU325" s="108">
        <v>556378635.12331712</v>
      </c>
      <c r="AV325" s="108">
        <v>706147179.90714526</v>
      </c>
    </row>
    <row r="326" spans="1:48" x14ac:dyDescent="0.35">
      <c r="A326" s="107">
        <f xml:space="preserve"> ROW( slrImpacts[[#This Row],[row_id]] ) - ROW( slrImpacts[[#Headers],[row_id]] )</f>
        <v>325</v>
      </c>
      <c r="B326" s="104">
        <v>2021</v>
      </c>
      <c r="C326" s="104" t="s">
        <v>221</v>
      </c>
      <c r="D326" s="104" t="s">
        <v>87</v>
      </c>
      <c r="E326" s="104" t="s">
        <v>922</v>
      </c>
      <c r="F326" s="104"/>
      <c r="G326" s="105">
        <v>0</v>
      </c>
      <c r="H326" s="105">
        <v>0</v>
      </c>
      <c r="I326" s="105">
        <v>0</v>
      </c>
      <c r="J326" s="105">
        <v>0</v>
      </c>
      <c r="K326" s="105">
        <v>0</v>
      </c>
      <c r="L326" s="105">
        <v>0</v>
      </c>
      <c r="M326" s="106">
        <v>2258062155.3307328</v>
      </c>
      <c r="N326" s="106">
        <v>2688447806.0819702</v>
      </c>
      <c r="O326" s="106">
        <v>4236814554.9915695</v>
      </c>
      <c r="P326" s="106">
        <v>6731310971.0187502</v>
      </c>
      <c r="Q326" s="106">
        <v>9958560269.61833</v>
      </c>
      <c r="R326" s="106">
        <v>11456445712.028429</v>
      </c>
      <c r="S326" s="105">
        <v>0</v>
      </c>
      <c r="T326" s="105">
        <v>0</v>
      </c>
      <c r="U326" s="105">
        <v>0</v>
      </c>
      <c r="V326" s="105">
        <v>0</v>
      </c>
      <c r="W326" s="105">
        <v>0</v>
      </c>
      <c r="X326" s="105">
        <v>0</v>
      </c>
      <c r="Y326" s="106">
        <v>125570782.78995681</v>
      </c>
      <c r="Z326" s="106">
        <v>139019998.08183563</v>
      </c>
      <c r="AA326" s="106">
        <v>162344717.26201046</v>
      </c>
      <c r="AB326" s="108">
        <v>198622253.65686259</v>
      </c>
      <c r="AC326" s="108">
        <v>237357005.89970678</v>
      </c>
      <c r="AD326" s="108">
        <v>276454582.2652244</v>
      </c>
      <c r="AE326" s="108">
        <v>1324612756.771626</v>
      </c>
      <c r="AF326" s="108">
        <v>1627425909.1990197</v>
      </c>
      <c r="AG326" s="108">
        <v>2562123152.3897524</v>
      </c>
      <c r="AH326" s="108">
        <v>4217271776.1792841</v>
      </c>
      <c r="AI326" s="108">
        <v>6563642819.46628</v>
      </c>
      <c r="AJ326" s="108">
        <v>8021261999.1467295</v>
      </c>
      <c r="AK326" s="108">
        <v>1965677611.8010008</v>
      </c>
      <c r="AL326" s="108">
        <v>2549899977.6383829</v>
      </c>
      <c r="AM326" s="108">
        <v>4258675900.8257275</v>
      </c>
      <c r="AN326" s="108">
        <v>7026338965.2216625</v>
      </c>
      <c r="AO326" s="108">
        <v>10910849358.492474</v>
      </c>
      <c r="AP326" s="108">
        <v>13053806748.893421</v>
      </c>
      <c r="AQ326" s="108">
        <v>144290555.90643105</v>
      </c>
      <c r="AR326" s="108">
        <v>185746240.61387834</v>
      </c>
      <c r="AS326" s="108">
        <v>280012254.97173274</v>
      </c>
      <c r="AT326" s="108">
        <v>406568357.23119885</v>
      </c>
      <c r="AU326" s="108">
        <v>631858382.02418959</v>
      </c>
      <c r="AV326" s="108">
        <v>816887289.7162323</v>
      </c>
    </row>
    <row r="327" spans="1:48" x14ac:dyDescent="0.35">
      <c r="A327" s="107">
        <f xml:space="preserve"> ROW( slrImpacts[[#This Row],[row_id]] ) - ROW( slrImpacts[[#Headers],[row_id]] )</f>
        <v>326</v>
      </c>
      <c r="B327" s="104">
        <v>2022</v>
      </c>
      <c r="C327" s="104" t="s">
        <v>221</v>
      </c>
      <c r="D327" s="104" t="s">
        <v>87</v>
      </c>
      <c r="E327" s="104" t="s">
        <v>922</v>
      </c>
      <c r="F327" s="104"/>
      <c r="G327" s="105">
        <v>0</v>
      </c>
      <c r="H327" s="105">
        <v>0</v>
      </c>
      <c r="I327" s="105">
        <v>0</v>
      </c>
      <c r="J327" s="105">
        <v>0</v>
      </c>
      <c r="K327" s="105">
        <v>0</v>
      </c>
      <c r="L327" s="105">
        <v>0</v>
      </c>
      <c r="M327" s="106">
        <v>2367768114.3939309</v>
      </c>
      <c r="N327" s="106">
        <v>2843947825.7955403</v>
      </c>
      <c r="O327" s="106">
        <v>4592925620.2708864</v>
      </c>
      <c r="P327" s="106">
        <v>7471966752.9084044</v>
      </c>
      <c r="Q327" s="106">
        <v>11305227346.414896</v>
      </c>
      <c r="R327" s="106">
        <v>13201599153.777979</v>
      </c>
      <c r="S327" s="105">
        <v>0</v>
      </c>
      <c r="T327" s="105">
        <v>0</v>
      </c>
      <c r="U327" s="105">
        <v>0</v>
      </c>
      <c r="V327" s="105">
        <v>0</v>
      </c>
      <c r="W327" s="105">
        <v>0</v>
      </c>
      <c r="X327" s="105">
        <v>0</v>
      </c>
      <c r="Y327" s="106">
        <v>128458035.17039742</v>
      </c>
      <c r="Z327" s="106">
        <v>142924067.56078726</v>
      </c>
      <c r="AA327" s="106">
        <v>168446174.48943228</v>
      </c>
      <c r="AB327" s="108">
        <v>208243218.38647848</v>
      </c>
      <c r="AC327" s="108">
        <v>253148296.05802751</v>
      </c>
      <c r="AD327" s="108">
        <v>299443696.27378911</v>
      </c>
      <c r="AE327" s="108">
        <v>1437789342.0766091</v>
      </c>
      <c r="AF327" s="108">
        <v>1791527897.3858404</v>
      </c>
      <c r="AG327" s="108">
        <v>2896760251.9371853</v>
      </c>
      <c r="AH327" s="108">
        <v>4922313797.6236687</v>
      </c>
      <c r="AI327" s="108">
        <v>7895035057.6250877</v>
      </c>
      <c r="AJ327" s="108">
        <v>9847239572.0717335</v>
      </c>
      <c r="AK327" s="108">
        <v>2166202279.3710728</v>
      </c>
      <c r="AL327" s="108">
        <v>2859309986.730011</v>
      </c>
      <c r="AM327" s="108">
        <v>4919183601.7121887</v>
      </c>
      <c r="AN327" s="108">
        <v>8279741820.6522694</v>
      </c>
      <c r="AO327" s="108">
        <v>13215603701.425644</v>
      </c>
      <c r="AP327" s="108">
        <v>16084711159.647297</v>
      </c>
      <c r="AQ327" s="108">
        <v>152453757.71384236</v>
      </c>
      <c r="AR327" s="108">
        <v>198000283.18792787</v>
      </c>
      <c r="AS327" s="108">
        <v>304561361.89294314</v>
      </c>
      <c r="AT327" s="108">
        <v>452554139.71421885</v>
      </c>
      <c r="AU327" s="108">
        <v>717733527.56216538</v>
      </c>
      <c r="AV327" s="108">
        <v>944677360.2581358</v>
      </c>
    </row>
    <row r="328" spans="1:48" x14ac:dyDescent="0.35">
      <c r="A328" s="107">
        <f xml:space="preserve"> ROW( slrImpacts[[#This Row],[row_id]] ) - ROW( slrImpacts[[#Headers],[row_id]] )</f>
        <v>327</v>
      </c>
      <c r="B328" s="104">
        <v>2023</v>
      </c>
      <c r="C328" s="104" t="s">
        <v>221</v>
      </c>
      <c r="D328" s="104" t="s">
        <v>87</v>
      </c>
      <c r="E328" s="104" t="s">
        <v>922</v>
      </c>
      <c r="F328" s="104"/>
      <c r="G328" s="105">
        <v>0</v>
      </c>
      <c r="H328" s="105">
        <v>0</v>
      </c>
      <c r="I328" s="105">
        <v>0</v>
      </c>
      <c r="J328" s="105">
        <v>0</v>
      </c>
      <c r="K328" s="105">
        <v>0</v>
      </c>
      <c r="L328" s="105">
        <v>0</v>
      </c>
      <c r="M328" s="106">
        <v>2482522234.3104296</v>
      </c>
      <c r="N328" s="106">
        <v>3008284566.5853958</v>
      </c>
      <c r="O328" s="106">
        <v>4980553634.523674</v>
      </c>
      <c r="P328" s="106">
        <v>8297756918.1264105</v>
      </c>
      <c r="Q328" s="106">
        <v>12841303334.677423</v>
      </c>
      <c r="R328" s="106">
        <v>15222764519.411673</v>
      </c>
      <c r="S328" s="105">
        <v>0</v>
      </c>
      <c r="T328" s="105">
        <v>0</v>
      </c>
      <c r="U328" s="105">
        <v>0</v>
      </c>
      <c r="V328" s="105">
        <v>0</v>
      </c>
      <c r="W328" s="105">
        <v>0</v>
      </c>
      <c r="X328" s="105">
        <v>0</v>
      </c>
      <c r="Y328" s="106">
        <v>131379277.1319221</v>
      </c>
      <c r="Z328" s="106">
        <v>146957289.25067076</v>
      </c>
      <c r="AA328" s="106">
        <v>174830977.38025266</v>
      </c>
      <c r="AB328" s="108">
        <v>218483640.59689736</v>
      </c>
      <c r="AC328" s="108">
        <v>270489429.46116877</v>
      </c>
      <c r="AD328" s="108">
        <v>325121916.75534695</v>
      </c>
      <c r="AE328" s="108">
        <v>1563666376.4221504</v>
      </c>
      <c r="AF328" s="108">
        <v>1976263528.0444994</v>
      </c>
      <c r="AG328" s="108">
        <v>3281587344.762435</v>
      </c>
      <c r="AH328" s="108">
        <v>5754028638.3638124</v>
      </c>
      <c r="AI328" s="108">
        <v>9495898027.188303</v>
      </c>
      <c r="AJ328" s="108">
        <v>12073661832.109554</v>
      </c>
      <c r="AK328" s="108">
        <v>2385054931.108211</v>
      </c>
      <c r="AL328" s="108">
        <v>3204852396.2722206</v>
      </c>
      <c r="AM328" s="108">
        <v>5680586936.0747089</v>
      </c>
      <c r="AN328" s="108">
        <v>9750416679.3029995</v>
      </c>
      <c r="AO328" s="108">
        <v>15985321617.747086</v>
      </c>
      <c r="AP328" s="108">
        <v>19769374640.289284</v>
      </c>
      <c r="AQ328" s="108">
        <v>161198224.45982343</v>
      </c>
      <c r="AR328" s="108">
        <v>210803681.25845128</v>
      </c>
      <c r="AS328" s="108">
        <v>331178748.31169385</v>
      </c>
      <c r="AT328" s="108">
        <v>504277739.34654427</v>
      </c>
      <c r="AU328" s="108">
        <v>815530653.42396843</v>
      </c>
      <c r="AV328" s="108">
        <v>1092049059.4083643</v>
      </c>
    </row>
    <row r="329" spans="1:48" x14ac:dyDescent="0.35">
      <c r="A329" s="107">
        <f xml:space="preserve"> ROW( slrImpacts[[#This Row],[row_id]] ) - ROW( slrImpacts[[#Headers],[row_id]] )</f>
        <v>328</v>
      </c>
      <c r="B329" s="104">
        <v>2024</v>
      </c>
      <c r="C329" s="104" t="s">
        <v>221</v>
      </c>
      <c r="D329" s="104" t="s">
        <v>87</v>
      </c>
      <c r="E329" s="104" t="s">
        <v>922</v>
      </c>
      <c r="F329" s="104"/>
      <c r="G329" s="105">
        <v>0</v>
      </c>
      <c r="H329" s="105">
        <v>0</v>
      </c>
      <c r="I329" s="105">
        <v>0</v>
      </c>
      <c r="J329" s="105">
        <v>0</v>
      </c>
      <c r="K329" s="105">
        <v>0</v>
      </c>
      <c r="L329" s="105">
        <v>0</v>
      </c>
      <c r="M329" s="106">
        <v>2602425097.4430485</v>
      </c>
      <c r="N329" s="106">
        <v>3181773114.711112</v>
      </c>
      <c r="O329" s="106">
        <v>5401774177.9558258</v>
      </c>
      <c r="P329" s="106">
        <v>9217429635.9937191</v>
      </c>
      <c r="Q329" s="106">
        <v>14590763125.821863</v>
      </c>
      <c r="R329" s="106">
        <v>17553930526.809441</v>
      </c>
      <c r="S329" s="105">
        <v>0</v>
      </c>
      <c r="T329" s="105">
        <v>0</v>
      </c>
      <c r="U329" s="105">
        <v>0</v>
      </c>
      <c r="V329" s="105">
        <v>0</v>
      </c>
      <c r="W329" s="105">
        <v>0</v>
      </c>
      <c r="X329" s="105">
        <v>0</v>
      </c>
      <c r="Y329" s="106">
        <v>134386355.06310406</v>
      </c>
      <c r="Z329" s="106">
        <v>151096089.8923547</v>
      </c>
      <c r="AA329" s="106">
        <v>181509685.40638027</v>
      </c>
      <c r="AB329" s="108">
        <v>229348205.77333364</v>
      </c>
      <c r="AC329" s="108">
        <v>289471186.5118739</v>
      </c>
      <c r="AD329" s="108">
        <v>353766788.57885295</v>
      </c>
      <c r="AE329" s="108">
        <v>1702826178.5424953</v>
      </c>
      <c r="AF329" s="108">
        <v>2185996236.6242089</v>
      </c>
      <c r="AG329" s="108">
        <v>3725973270.6969471</v>
      </c>
      <c r="AH329" s="108">
        <v>6734836670.4856014</v>
      </c>
      <c r="AI329" s="108">
        <v>11411395644.733608</v>
      </c>
      <c r="AJ329" s="108">
        <v>14758617533.059008</v>
      </c>
      <c r="AK329" s="108">
        <v>2625856860.7829103</v>
      </c>
      <c r="AL329" s="108">
        <v>3591809639.3655796</v>
      </c>
      <c r="AM329" s="108">
        <v>6558910596.471158</v>
      </c>
      <c r="AN329" s="108">
        <v>11463616959.535042</v>
      </c>
      <c r="AO329" s="108">
        <v>19284426404.398693</v>
      </c>
      <c r="AP329" s="108">
        <v>24194254332.33432</v>
      </c>
      <c r="AQ329" s="108">
        <v>170471722.29980314</v>
      </c>
      <c r="AR329" s="108">
        <v>224217941.36155057</v>
      </c>
      <c r="AS329" s="108">
        <v>360103172.51892984</v>
      </c>
      <c r="AT329" s="108">
        <v>562220482.75560021</v>
      </c>
      <c r="AU329" s="108">
        <v>926240343.84654427</v>
      </c>
      <c r="AV329" s="108">
        <v>1261147857.5793648</v>
      </c>
    </row>
    <row r="330" spans="1:48" x14ac:dyDescent="0.35">
      <c r="A330" s="107">
        <f xml:space="preserve"> ROW( slrImpacts[[#This Row],[row_id]] ) - ROW( slrImpacts[[#Headers],[row_id]] )</f>
        <v>329</v>
      </c>
      <c r="B330" s="104">
        <v>2025</v>
      </c>
      <c r="C330" s="104" t="s">
        <v>221</v>
      </c>
      <c r="D330" s="104" t="s">
        <v>87</v>
      </c>
      <c r="E330" s="104" t="s">
        <v>922</v>
      </c>
      <c r="F330" s="104"/>
      <c r="G330" s="105">
        <v>0</v>
      </c>
      <c r="H330" s="105">
        <v>0</v>
      </c>
      <c r="I330" s="105">
        <v>0</v>
      </c>
      <c r="J330" s="105">
        <v>0</v>
      </c>
      <c r="K330" s="105">
        <v>0</v>
      </c>
      <c r="L330" s="105">
        <v>0</v>
      </c>
      <c r="M330" s="106">
        <v>2727796200.5539079</v>
      </c>
      <c r="N330" s="106">
        <v>3364908945.2345963</v>
      </c>
      <c r="O330" s="106">
        <v>5859544368.842248</v>
      </c>
      <c r="P330" s="106">
        <v>10239666026.116171</v>
      </c>
      <c r="Q330" s="106">
        <v>16575806883.798706</v>
      </c>
      <c r="R330" s="106">
        <v>20228908513.100559</v>
      </c>
      <c r="S330" s="105">
        <v>0</v>
      </c>
      <c r="T330" s="105">
        <v>0</v>
      </c>
      <c r="U330" s="105">
        <v>0</v>
      </c>
      <c r="V330" s="105">
        <v>0</v>
      </c>
      <c r="W330" s="105">
        <v>0</v>
      </c>
      <c r="X330" s="105">
        <v>0</v>
      </c>
      <c r="Y330" s="106">
        <v>137427997.73526737</v>
      </c>
      <c r="Z330" s="106">
        <v>155328838.50322127</v>
      </c>
      <c r="AA330" s="106">
        <v>188459932.2702764</v>
      </c>
      <c r="AB330" s="108">
        <v>240894553.62325636</v>
      </c>
      <c r="AC330" s="108">
        <v>310249651.37771016</v>
      </c>
      <c r="AD330" s="108">
        <v>385585146.7951318</v>
      </c>
      <c r="AE330" s="108">
        <v>1858673743.8458569</v>
      </c>
      <c r="AF330" s="108">
        <v>2423624435.1230717</v>
      </c>
      <c r="AG330" s="108">
        <v>4237916585.7003207</v>
      </c>
      <c r="AH330" s="108">
        <v>7887106225.370059</v>
      </c>
      <c r="AI330" s="108">
        <v>13685497106.687284</v>
      </c>
      <c r="AJ330" s="108">
        <v>17966713928.292088</v>
      </c>
      <c r="AK330" s="108">
        <v>2890607267.9881935</v>
      </c>
      <c r="AL330" s="108">
        <v>4026162845.830586</v>
      </c>
      <c r="AM330" s="108">
        <v>7568200272.95189</v>
      </c>
      <c r="AN330" s="108">
        <v>13459463807.995668</v>
      </c>
      <c r="AO330" s="108">
        <v>23196037634.033493</v>
      </c>
      <c r="AP330" s="108">
        <v>29479241115.528339</v>
      </c>
      <c r="AQ330" s="108">
        <v>180309711.30906069</v>
      </c>
      <c r="AR330" s="108">
        <v>238115300.9805969</v>
      </c>
      <c r="AS330" s="108">
        <v>391408496.36824536</v>
      </c>
      <c r="AT330" s="108">
        <v>626955250.26597214</v>
      </c>
      <c r="AU330" s="108">
        <v>1051289260.54329</v>
      </c>
      <c r="AV330" s="108">
        <v>1454327618.0176985</v>
      </c>
    </row>
    <row r="331" spans="1:48" x14ac:dyDescent="0.35">
      <c r="A331" s="107">
        <f xml:space="preserve"> ROW( slrImpacts[[#This Row],[row_id]] ) - ROW( slrImpacts[[#Headers],[row_id]] )</f>
        <v>330</v>
      </c>
      <c r="B331" s="104">
        <v>2026</v>
      </c>
      <c r="C331" s="104" t="s">
        <v>221</v>
      </c>
      <c r="D331" s="104" t="s">
        <v>87</v>
      </c>
      <c r="E331" s="104" t="s">
        <v>922</v>
      </c>
      <c r="F331" s="104"/>
      <c r="G331" s="105">
        <v>0</v>
      </c>
      <c r="H331" s="105">
        <v>0</v>
      </c>
      <c r="I331" s="105">
        <v>0</v>
      </c>
      <c r="J331" s="105">
        <v>0</v>
      </c>
      <c r="K331" s="105">
        <v>0</v>
      </c>
      <c r="L331" s="105">
        <v>0</v>
      </c>
      <c r="M331" s="106">
        <v>2858033520.3976412</v>
      </c>
      <c r="N331" s="106">
        <v>3558413548.9483128</v>
      </c>
      <c r="O331" s="106">
        <v>6360560368.7118597</v>
      </c>
      <c r="P331" s="106">
        <v>11393433465.466753</v>
      </c>
      <c r="Q331" s="106">
        <v>18894479897.531338</v>
      </c>
      <c r="R331" s="106">
        <v>23391686787.574303</v>
      </c>
      <c r="S331" s="105">
        <v>0</v>
      </c>
      <c r="T331" s="105">
        <v>0</v>
      </c>
      <c r="U331" s="105">
        <v>0</v>
      </c>
      <c r="V331" s="105">
        <v>0</v>
      </c>
      <c r="W331" s="105">
        <v>0</v>
      </c>
      <c r="X331" s="105">
        <v>0</v>
      </c>
      <c r="Y331" s="106">
        <v>140511878.73256043</v>
      </c>
      <c r="Z331" s="106">
        <v>159645087.57515946</v>
      </c>
      <c r="AA331" s="106">
        <v>195896150.91941357</v>
      </c>
      <c r="AB331" s="108">
        <v>253824336.6260646</v>
      </c>
      <c r="AC331" s="108">
        <v>334318343.08555293</v>
      </c>
      <c r="AD331" s="108">
        <v>422572283.94163531</v>
      </c>
      <c r="AE331" s="108">
        <v>2034653861.2332132</v>
      </c>
      <c r="AF331" s="108">
        <v>2691797085.435627</v>
      </c>
      <c r="AG331" s="108">
        <v>4834931901.7738066</v>
      </c>
      <c r="AH331" s="108">
        <v>9249551906.7395096</v>
      </c>
      <c r="AI331" s="108">
        <v>16394595781.558628</v>
      </c>
      <c r="AJ331" s="108">
        <v>21818467814.611069</v>
      </c>
      <c r="AK331" s="108">
        <v>3185345653.5018678</v>
      </c>
      <c r="AL331" s="108">
        <v>4507409042.3524237</v>
      </c>
      <c r="AM331" s="108">
        <v>8725657967.5097332</v>
      </c>
      <c r="AN331" s="108">
        <v>15803277134.762882</v>
      </c>
      <c r="AO331" s="108">
        <v>27855831002.422421</v>
      </c>
      <c r="AP331" s="108">
        <v>35896310045.116852</v>
      </c>
      <c r="AQ331" s="108">
        <v>190745169.36107385</v>
      </c>
      <c r="AR331" s="108">
        <v>252976286.913068</v>
      </c>
      <c r="AS331" s="108">
        <v>426589181.54441112</v>
      </c>
      <c r="AT331" s="108">
        <v>703201551.84046733</v>
      </c>
      <c r="AU331" s="108">
        <v>1202964347.4424586</v>
      </c>
      <c r="AV331" s="108">
        <v>1692387872.1812885</v>
      </c>
    </row>
    <row r="332" spans="1:48" x14ac:dyDescent="0.35">
      <c r="A332" s="107">
        <f xml:space="preserve"> ROW( slrImpacts[[#This Row],[row_id]] ) - ROW( slrImpacts[[#Headers],[row_id]] )</f>
        <v>331</v>
      </c>
      <c r="B332" s="104">
        <v>2027</v>
      </c>
      <c r="C332" s="104" t="s">
        <v>221</v>
      </c>
      <c r="D332" s="104" t="s">
        <v>87</v>
      </c>
      <c r="E332" s="104" t="s">
        <v>922</v>
      </c>
      <c r="F332" s="104"/>
      <c r="G332" s="105">
        <v>0</v>
      </c>
      <c r="H332" s="105">
        <v>0</v>
      </c>
      <c r="I332" s="105">
        <v>0</v>
      </c>
      <c r="J332" s="105">
        <v>0</v>
      </c>
      <c r="K332" s="105">
        <v>0</v>
      </c>
      <c r="L332" s="105">
        <v>0</v>
      </c>
      <c r="M332" s="106">
        <v>2993599010.8152337</v>
      </c>
      <c r="N332" s="106">
        <v>3762900651.7748733</v>
      </c>
      <c r="O332" s="106">
        <v>6907344161.1367893</v>
      </c>
      <c r="P332" s="106">
        <v>12686887776.068983</v>
      </c>
      <c r="Q332" s="106">
        <v>21566552078.372704</v>
      </c>
      <c r="R332" s="106">
        <v>27063358971.432846</v>
      </c>
      <c r="S332" s="105">
        <v>0</v>
      </c>
      <c r="T332" s="105">
        <v>0</v>
      </c>
      <c r="U332" s="105">
        <v>0</v>
      </c>
      <c r="V332" s="105">
        <v>0</v>
      </c>
      <c r="W332" s="105">
        <v>0</v>
      </c>
      <c r="X332" s="105">
        <v>0</v>
      </c>
      <c r="Y332" s="106">
        <v>143665919.05490631</v>
      </c>
      <c r="Z332" s="106">
        <v>164030627.42406073</v>
      </c>
      <c r="AA332" s="106">
        <v>203748284.28852195</v>
      </c>
      <c r="AB332" s="108">
        <v>268038648.18200749</v>
      </c>
      <c r="AC332" s="108">
        <v>361411931.07253557</v>
      </c>
      <c r="AD332" s="108">
        <v>464299618.05614281</v>
      </c>
      <c r="AE332" s="108">
        <v>2231606437.2165294</v>
      </c>
      <c r="AF332" s="108">
        <v>2994702894.3197627</v>
      </c>
      <c r="AG332" s="108">
        <v>5532808401.3477755</v>
      </c>
      <c r="AH332" s="108">
        <v>10844929429.181896</v>
      </c>
      <c r="AI332" s="108">
        <v>19564091869.02631</v>
      </c>
      <c r="AJ332" s="108">
        <v>26348591522.880035</v>
      </c>
      <c r="AK332" s="108">
        <v>3514974793.6831694</v>
      </c>
      <c r="AL332" s="108">
        <v>5046820728.8781996</v>
      </c>
      <c r="AM332" s="108">
        <v>10048276723.935251</v>
      </c>
      <c r="AN332" s="108">
        <v>18554128128.653801</v>
      </c>
      <c r="AO332" s="108">
        <v>33313482808.475868</v>
      </c>
      <c r="AP332" s="108">
        <v>43517344902.645798</v>
      </c>
      <c r="AQ332" s="108">
        <v>201751991.85875013</v>
      </c>
      <c r="AR332" s="108">
        <v>269110821.74809366</v>
      </c>
      <c r="AS332" s="108">
        <v>465783693.14362675</v>
      </c>
      <c r="AT332" s="108">
        <v>791150472.34052539</v>
      </c>
      <c r="AU332" s="108">
        <v>1383309047.1785817</v>
      </c>
      <c r="AV332" s="108">
        <v>1979959096.4377818</v>
      </c>
    </row>
    <row r="333" spans="1:48" x14ac:dyDescent="0.35">
      <c r="A333" s="107">
        <f xml:space="preserve"> ROW( slrImpacts[[#This Row],[row_id]] ) - ROW( slrImpacts[[#Headers],[row_id]] )</f>
        <v>332</v>
      </c>
      <c r="B333" s="104">
        <v>2028</v>
      </c>
      <c r="C333" s="104" t="s">
        <v>221</v>
      </c>
      <c r="D333" s="104" t="s">
        <v>87</v>
      </c>
      <c r="E333" s="104" t="s">
        <v>922</v>
      </c>
      <c r="F333" s="104"/>
      <c r="G333" s="105">
        <v>0</v>
      </c>
      <c r="H333" s="105">
        <v>0</v>
      </c>
      <c r="I333" s="105">
        <v>0</v>
      </c>
      <c r="J333" s="105">
        <v>0</v>
      </c>
      <c r="K333" s="105">
        <v>0</v>
      </c>
      <c r="L333" s="105">
        <v>0</v>
      </c>
      <c r="M333" s="106">
        <v>3134724344.800571</v>
      </c>
      <c r="N333" s="106">
        <v>3979074719.8043108</v>
      </c>
      <c r="O333" s="106">
        <v>7504234511.1820059</v>
      </c>
      <c r="P333" s="106">
        <v>14135046818.05389</v>
      </c>
      <c r="Q333" s="106">
        <v>24627824635.293327</v>
      </c>
      <c r="R333" s="106">
        <v>31286462543.802483</v>
      </c>
      <c r="S333" s="105">
        <v>0</v>
      </c>
      <c r="T333" s="105">
        <v>0</v>
      </c>
      <c r="U333" s="105">
        <v>0</v>
      </c>
      <c r="V333" s="105">
        <v>0</v>
      </c>
      <c r="W333" s="105">
        <v>0</v>
      </c>
      <c r="X333" s="105">
        <v>0</v>
      </c>
      <c r="Y333" s="106">
        <v>146850287.93826085</v>
      </c>
      <c r="Z333" s="106">
        <v>168456037.7533595</v>
      </c>
      <c r="AA333" s="106">
        <v>212045737.01721862</v>
      </c>
      <c r="AB333" s="108">
        <v>283643099.94804156</v>
      </c>
      <c r="AC333" s="108">
        <v>391951954.64631826</v>
      </c>
      <c r="AD333" s="108">
        <v>511470232.70936435</v>
      </c>
      <c r="AE333" s="108">
        <v>2452638340.9282494</v>
      </c>
      <c r="AF333" s="108">
        <v>3337628334.2949667</v>
      </c>
      <c r="AG333" s="108">
        <v>6346635842.2842159</v>
      </c>
      <c r="AH333" s="108">
        <v>12702122871.828302</v>
      </c>
      <c r="AI333" s="108">
        <v>23238940478.010765</v>
      </c>
      <c r="AJ333" s="108">
        <v>31618249823.316803</v>
      </c>
      <c r="AK333" s="108">
        <v>3883520164.9573083</v>
      </c>
      <c r="AL333" s="108">
        <v>5648794098.0515261</v>
      </c>
      <c r="AM333" s="108">
        <v>11556886667.962868</v>
      </c>
      <c r="AN333" s="108">
        <v>21743130991.019718</v>
      </c>
      <c r="AO333" s="108">
        <v>39652689256.834999</v>
      </c>
      <c r="AP333" s="108">
        <v>52469531705.766533</v>
      </c>
      <c r="AQ333" s="108">
        <v>213303748.5437524</v>
      </c>
      <c r="AR333" s="108">
        <v>286509574.3041355</v>
      </c>
      <c r="AS333" s="108">
        <v>509368315.99206465</v>
      </c>
      <c r="AT333" s="108">
        <v>891837481.40131485</v>
      </c>
      <c r="AU333" s="108">
        <v>1595996093.0891466</v>
      </c>
      <c r="AV333" s="108">
        <v>2323697210.817502</v>
      </c>
    </row>
    <row r="334" spans="1:48" x14ac:dyDescent="0.35">
      <c r="A334" s="107">
        <f xml:space="preserve"> ROW( slrImpacts[[#This Row],[row_id]] ) - ROW( slrImpacts[[#Headers],[row_id]] )</f>
        <v>333</v>
      </c>
      <c r="B334" s="104">
        <v>2029</v>
      </c>
      <c r="C334" s="104" t="s">
        <v>221</v>
      </c>
      <c r="D334" s="104" t="s">
        <v>87</v>
      </c>
      <c r="E334" s="104" t="s">
        <v>922</v>
      </c>
      <c r="F334" s="104"/>
      <c r="G334" s="105">
        <v>0</v>
      </c>
      <c r="H334" s="105">
        <v>0</v>
      </c>
      <c r="I334" s="105">
        <v>0</v>
      </c>
      <c r="J334" s="105">
        <v>0</v>
      </c>
      <c r="K334" s="105">
        <v>0</v>
      </c>
      <c r="L334" s="105">
        <v>0</v>
      </c>
      <c r="M334" s="106">
        <v>3281790124.0237789</v>
      </c>
      <c r="N334" s="106">
        <v>4207475765.5054827</v>
      </c>
      <c r="O334" s="106">
        <v>8154503258.0083046</v>
      </c>
      <c r="P334" s="106">
        <v>15752338590.115644</v>
      </c>
      <c r="Q334" s="106">
        <v>28113237598.885475</v>
      </c>
      <c r="R334" s="106">
        <v>36100982630.059525</v>
      </c>
      <c r="S334" s="105">
        <v>0</v>
      </c>
      <c r="T334" s="105">
        <v>0</v>
      </c>
      <c r="U334" s="105">
        <v>0</v>
      </c>
      <c r="V334" s="105">
        <v>0</v>
      </c>
      <c r="W334" s="105">
        <v>0</v>
      </c>
      <c r="X334" s="105">
        <v>0</v>
      </c>
      <c r="Y334" s="106">
        <v>150057093.29623008</v>
      </c>
      <c r="Z334" s="106">
        <v>172955016.59486109</v>
      </c>
      <c r="AA334" s="106">
        <v>220804821.07200232</v>
      </c>
      <c r="AB334" s="108">
        <v>300786149.86105943</v>
      </c>
      <c r="AC334" s="108">
        <v>426224043.06026727</v>
      </c>
      <c r="AD334" s="108">
        <v>564552637.7863282</v>
      </c>
      <c r="AE334" s="108">
        <v>2702895887.6061759</v>
      </c>
      <c r="AF334" s="108">
        <v>3724964016.5894766</v>
      </c>
      <c r="AG334" s="108">
        <v>7293111934.1050196</v>
      </c>
      <c r="AH334" s="108">
        <v>14855997091.573313</v>
      </c>
      <c r="AI334" s="108">
        <v>27450659267.818943</v>
      </c>
      <c r="AJ334" s="108">
        <v>37662176920.386269</v>
      </c>
      <c r="AK334" s="108">
        <v>4294630390.1412797</v>
      </c>
      <c r="AL334" s="108">
        <v>6318625593.7041731</v>
      </c>
      <c r="AM334" s="108">
        <v>13271801409.796825</v>
      </c>
      <c r="AN334" s="108">
        <v>25416477872.338055</v>
      </c>
      <c r="AO334" s="108">
        <v>46979809018.955605</v>
      </c>
      <c r="AP334" s="108">
        <v>62837904929.527847</v>
      </c>
      <c r="AQ334" s="108">
        <v>225509965.32705289</v>
      </c>
      <c r="AR334" s="108">
        <v>305260341.19100165</v>
      </c>
      <c r="AS334" s="108">
        <v>557763056.61337399</v>
      </c>
      <c r="AT334" s="108">
        <v>1006506203.4386657</v>
      </c>
      <c r="AU334" s="108">
        <v>1845954668.7008972</v>
      </c>
      <c r="AV334" s="108">
        <v>2731673496.6990137</v>
      </c>
    </row>
    <row r="335" spans="1:48" x14ac:dyDescent="0.35">
      <c r="A335" s="107">
        <f xml:space="preserve"> ROW( slrImpacts[[#This Row],[row_id]] ) - ROW( slrImpacts[[#Headers],[row_id]] )</f>
        <v>334</v>
      </c>
      <c r="B335" s="104">
        <v>2030</v>
      </c>
      <c r="C335" s="104" t="s">
        <v>221</v>
      </c>
      <c r="D335" s="104" t="s">
        <v>87</v>
      </c>
      <c r="E335" s="104" t="s">
        <v>922</v>
      </c>
      <c r="F335" s="104"/>
      <c r="G335" s="105">
        <v>0</v>
      </c>
      <c r="H335" s="105">
        <v>0</v>
      </c>
      <c r="I335" s="105">
        <v>0</v>
      </c>
      <c r="J335" s="105">
        <v>0</v>
      </c>
      <c r="K335" s="105">
        <v>0</v>
      </c>
      <c r="L335" s="105">
        <v>0</v>
      </c>
      <c r="M335" s="106">
        <v>3434940809.1364288</v>
      </c>
      <c r="N335" s="106">
        <v>4449024262.1963234</v>
      </c>
      <c r="O335" s="106">
        <v>8861821271.1753788</v>
      </c>
      <c r="P335" s="106">
        <v>17553569785.752117</v>
      </c>
      <c r="Q335" s="106">
        <v>32053718642.22197</v>
      </c>
      <c r="R335" s="106">
        <v>41537933567.342651</v>
      </c>
      <c r="S335" s="105">
        <v>0</v>
      </c>
      <c r="T335" s="105">
        <v>0</v>
      </c>
      <c r="U335" s="105">
        <v>0</v>
      </c>
      <c r="V335" s="105">
        <v>0</v>
      </c>
      <c r="W335" s="105">
        <v>0</v>
      </c>
      <c r="X335" s="105">
        <v>0</v>
      </c>
      <c r="Y335" s="106">
        <v>153320321.06804201</v>
      </c>
      <c r="Z335" s="106">
        <v>177532926.90612477</v>
      </c>
      <c r="AA335" s="106">
        <v>230093405.01054156</v>
      </c>
      <c r="AB335" s="108">
        <v>319547831.27508074</v>
      </c>
      <c r="AC335" s="108">
        <v>464609753.52448404</v>
      </c>
      <c r="AD335" s="108">
        <v>624314775.59567463</v>
      </c>
      <c r="AE335" s="108">
        <v>2984062392.9251575</v>
      </c>
      <c r="AF335" s="108">
        <v>4162933164.2630072</v>
      </c>
      <c r="AG335" s="108">
        <v>8389441308.1991367</v>
      </c>
      <c r="AH335" s="108">
        <v>17327325826.747673</v>
      </c>
      <c r="AI335" s="108">
        <v>32238107063.443302</v>
      </c>
      <c r="AJ335" s="108">
        <v>44513191112.736015</v>
      </c>
      <c r="AK335" s="108">
        <v>4753870911.9267874</v>
      </c>
      <c r="AL335" s="108">
        <v>7067638852.1187658</v>
      </c>
      <c r="AM335" s="108">
        <v>15213445165.441795</v>
      </c>
      <c r="AN335" s="108">
        <v>29650160610.236885</v>
      </c>
      <c r="AO335" s="108">
        <v>55335268724.585754</v>
      </c>
      <c r="AP335" s="108">
        <v>74619951362.436188</v>
      </c>
      <c r="AQ335" s="108">
        <v>238226277.01215437</v>
      </c>
      <c r="AR335" s="108">
        <v>325595333.41148806</v>
      </c>
      <c r="AS335" s="108">
        <v>611202599.82524347</v>
      </c>
      <c r="AT335" s="108">
        <v>1137064878.5399821</v>
      </c>
      <c r="AU335" s="108">
        <v>2137554214.3649185</v>
      </c>
      <c r="AV335" s="108">
        <v>3213339047.2067366</v>
      </c>
    </row>
    <row r="336" spans="1:48" x14ac:dyDescent="0.35">
      <c r="A336" s="107">
        <f xml:space="preserve"> ROW( slrImpacts[[#This Row],[row_id]] ) - ROW( slrImpacts[[#Headers],[row_id]] )</f>
        <v>335</v>
      </c>
      <c r="B336" s="104">
        <v>2031</v>
      </c>
      <c r="C336" s="104" t="s">
        <v>221</v>
      </c>
      <c r="D336" s="104" t="s">
        <v>87</v>
      </c>
      <c r="E336" s="104" t="s">
        <v>922</v>
      </c>
      <c r="F336" s="104"/>
      <c r="G336" s="105">
        <v>0</v>
      </c>
      <c r="H336" s="105">
        <v>0</v>
      </c>
      <c r="I336" s="105">
        <v>0</v>
      </c>
      <c r="J336" s="105">
        <v>0</v>
      </c>
      <c r="K336" s="105">
        <v>0</v>
      </c>
      <c r="L336" s="105">
        <v>0</v>
      </c>
      <c r="M336" s="106">
        <v>3594520761.9045391</v>
      </c>
      <c r="N336" s="106">
        <v>4704600803.9989843</v>
      </c>
      <c r="O336" s="106">
        <v>9632267857.3450737</v>
      </c>
      <c r="P336" s="106">
        <v>19556200494.416916</v>
      </c>
      <c r="Q336" s="106">
        <v>36481227269.995285</v>
      </c>
      <c r="R336" s="106">
        <v>47623555856.601921</v>
      </c>
      <c r="S336" s="105">
        <v>0</v>
      </c>
      <c r="T336" s="105">
        <v>0</v>
      </c>
      <c r="U336" s="105">
        <v>0</v>
      </c>
      <c r="V336" s="105">
        <v>0</v>
      </c>
      <c r="W336" s="105">
        <v>0</v>
      </c>
      <c r="X336" s="105">
        <v>0</v>
      </c>
      <c r="Y336" s="106">
        <v>156607494.2766383</v>
      </c>
      <c r="Z336" s="106">
        <v>182145262.54373008</v>
      </c>
      <c r="AA336" s="106">
        <v>239857737.48246881</v>
      </c>
      <c r="AB336" s="108">
        <v>340011624.58051014</v>
      </c>
      <c r="AC336" s="108">
        <v>507461503.38692021</v>
      </c>
      <c r="AD336" s="108">
        <v>691255384.73786235</v>
      </c>
      <c r="AE336" s="108">
        <v>3300382603.7908888</v>
      </c>
      <c r="AF336" s="108">
        <v>4656494498.8415174</v>
      </c>
      <c r="AG336" s="108">
        <v>9654350633.1787395</v>
      </c>
      <c r="AH336" s="108">
        <v>20140213623.840916</v>
      </c>
      <c r="AI336" s="108">
        <v>37623812530.824028</v>
      </c>
      <c r="AJ336" s="108">
        <v>52180038004.012604</v>
      </c>
      <c r="AK336" s="108">
        <v>5270970349.5830107</v>
      </c>
      <c r="AL336" s="108">
        <v>7898778214.059433</v>
      </c>
      <c r="AM336" s="108">
        <v>17408523724.895622</v>
      </c>
      <c r="AN336" s="108">
        <v>34481160243.696259</v>
      </c>
      <c r="AO336" s="108">
        <v>64781746615.058014</v>
      </c>
      <c r="AP336" s="108">
        <v>87869051081.790695</v>
      </c>
      <c r="AQ336" s="108">
        <v>251552791.88647255</v>
      </c>
      <c r="AR336" s="108">
        <v>347517079.34902889</v>
      </c>
      <c r="AS336" s="108">
        <v>670083612.37629163</v>
      </c>
      <c r="AT336" s="108">
        <v>1285244499.9016068</v>
      </c>
      <c r="AU336" s="108">
        <v>2475633733.8969102</v>
      </c>
      <c r="AV336" s="108">
        <v>3778300475.3316936</v>
      </c>
    </row>
    <row r="337" spans="1:48" x14ac:dyDescent="0.35">
      <c r="A337" s="107">
        <f xml:space="preserve"> ROW( slrImpacts[[#This Row],[row_id]] ) - ROW( slrImpacts[[#Headers],[row_id]] )</f>
        <v>336</v>
      </c>
      <c r="B337" s="104">
        <v>2032</v>
      </c>
      <c r="C337" s="104" t="s">
        <v>221</v>
      </c>
      <c r="D337" s="104" t="s">
        <v>87</v>
      </c>
      <c r="E337" s="104" t="s">
        <v>922</v>
      </c>
      <c r="F337" s="104"/>
      <c r="G337" s="105">
        <v>0</v>
      </c>
      <c r="H337" s="105">
        <v>0</v>
      </c>
      <c r="I337" s="105">
        <v>0</v>
      </c>
      <c r="J337" s="105">
        <v>0</v>
      </c>
      <c r="K337" s="105">
        <v>0</v>
      </c>
      <c r="L337" s="105">
        <v>0</v>
      </c>
      <c r="M337" s="106">
        <v>3761083000.2835383</v>
      </c>
      <c r="N337" s="106">
        <v>4975359069.1154709</v>
      </c>
      <c r="O337" s="106">
        <v>10470931482.853121</v>
      </c>
      <c r="P337" s="106">
        <v>21777862012.877949</v>
      </c>
      <c r="Q337" s="106">
        <v>41421196224.877808</v>
      </c>
      <c r="R337" s="106">
        <v>54383373153.267578</v>
      </c>
      <c r="S337" s="105">
        <v>0</v>
      </c>
      <c r="T337" s="105">
        <v>0</v>
      </c>
      <c r="U337" s="105">
        <v>0</v>
      </c>
      <c r="V337" s="105">
        <v>0</v>
      </c>
      <c r="W337" s="105">
        <v>0</v>
      </c>
      <c r="X337" s="105">
        <v>0</v>
      </c>
      <c r="Y337" s="106">
        <v>159963456.81334418</v>
      </c>
      <c r="Z337" s="106">
        <v>186840829.90122086</v>
      </c>
      <c r="AA337" s="106">
        <v>250214153.82262841</v>
      </c>
      <c r="AB337" s="108">
        <v>362345767.8756634</v>
      </c>
      <c r="AC337" s="108">
        <v>555259196.5111711</v>
      </c>
      <c r="AD337" s="108">
        <v>766313140.28887868</v>
      </c>
      <c r="AE337" s="108">
        <v>3656129488.1790018</v>
      </c>
      <c r="AF337" s="108">
        <v>5211929827.9999495</v>
      </c>
      <c r="AG337" s="108">
        <v>11108097647.336912</v>
      </c>
      <c r="AH337" s="108">
        <v>23319436633.680805</v>
      </c>
      <c r="AI337" s="108">
        <v>43642023833.345261</v>
      </c>
      <c r="AJ337" s="108">
        <v>60658999464.102501</v>
      </c>
      <c r="AK337" s="108">
        <v>5847956601.867507</v>
      </c>
      <c r="AL337" s="108">
        <v>8821543358.0828953</v>
      </c>
      <c r="AM337" s="108">
        <v>19879083015.644444</v>
      </c>
      <c r="AN337" s="108">
        <v>39949941297.750153</v>
      </c>
      <c r="AO337" s="108">
        <v>75339339713.047089</v>
      </c>
      <c r="AP337" s="108">
        <v>102540129698.38396</v>
      </c>
      <c r="AQ337" s="108">
        <v>265515132.77375242</v>
      </c>
      <c r="AR337" s="108">
        <v>371214946.8616432</v>
      </c>
      <c r="AS337" s="108">
        <v>735220144.83577454</v>
      </c>
      <c r="AT337" s="108">
        <v>1452739065.8425086</v>
      </c>
      <c r="AU337" s="108">
        <v>2866994634.6698084</v>
      </c>
      <c r="AV337" s="108">
        <v>4437140664.264472</v>
      </c>
    </row>
    <row r="338" spans="1:48" x14ac:dyDescent="0.35">
      <c r="A338" s="107">
        <f xml:space="preserve"> ROW( slrImpacts[[#This Row],[row_id]] ) - ROW( slrImpacts[[#Headers],[row_id]] )</f>
        <v>337</v>
      </c>
      <c r="B338" s="104">
        <v>2033</v>
      </c>
      <c r="C338" s="104" t="s">
        <v>221</v>
      </c>
      <c r="D338" s="104" t="s">
        <v>87</v>
      </c>
      <c r="E338" s="104" t="s">
        <v>922</v>
      </c>
      <c r="F338" s="104"/>
      <c r="G338" s="105">
        <v>0</v>
      </c>
      <c r="H338" s="105">
        <v>0</v>
      </c>
      <c r="I338" s="105">
        <v>0</v>
      </c>
      <c r="J338" s="105">
        <v>0</v>
      </c>
      <c r="K338" s="105">
        <v>0</v>
      </c>
      <c r="L338" s="105">
        <v>0</v>
      </c>
      <c r="M338" s="106">
        <v>3934975259.4035559</v>
      </c>
      <c r="N338" s="106">
        <v>5262387669.5025225</v>
      </c>
      <c r="O338" s="106">
        <v>11383691616.344805</v>
      </c>
      <c r="P338" s="106">
        <v>24234844398.850597</v>
      </c>
      <c r="Q338" s="106">
        <v>46891249249.418007</v>
      </c>
      <c r="R338" s="106">
        <v>61833079198.491966</v>
      </c>
      <c r="S338" s="105">
        <v>0</v>
      </c>
      <c r="T338" s="105">
        <v>0</v>
      </c>
      <c r="U338" s="105">
        <v>0</v>
      </c>
      <c r="V338" s="105">
        <v>0</v>
      </c>
      <c r="W338" s="105">
        <v>0</v>
      </c>
      <c r="X338" s="105">
        <v>0</v>
      </c>
      <c r="Y338" s="106">
        <v>163407805.04434091</v>
      </c>
      <c r="Z338" s="106">
        <v>191583818.1778895</v>
      </c>
      <c r="AA338" s="106">
        <v>261143904.06492585</v>
      </c>
      <c r="AB338" s="108">
        <v>386628973.09327728</v>
      </c>
      <c r="AC338" s="108">
        <v>608528329.3906101</v>
      </c>
      <c r="AD338" s="108">
        <v>850414413.91545057</v>
      </c>
      <c r="AE338" s="108">
        <v>4057230105.7268281</v>
      </c>
      <c r="AF338" s="108">
        <v>5838573263.2365799</v>
      </c>
      <c r="AG338" s="108">
        <v>12769016531.949831</v>
      </c>
      <c r="AH338" s="108">
        <v>26899738268.083622</v>
      </c>
      <c r="AI338" s="108">
        <v>50286376278.172379</v>
      </c>
      <c r="AJ338" s="108">
        <v>69940515239.089981</v>
      </c>
      <c r="AK338" s="108">
        <v>6492390855.1519642</v>
      </c>
      <c r="AL338" s="108">
        <v>9845183540.112915</v>
      </c>
      <c r="AM338" s="108">
        <v>22651330189.812119</v>
      </c>
      <c r="AN338" s="108">
        <v>46099003530.14621</v>
      </c>
      <c r="AO338" s="108">
        <v>87019966306.274658</v>
      </c>
      <c r="AP338" s="108">
        <v>118582905160.02797</v>
      </c>
      <c r="AQ338" s="108">
        <v>280250561.47258478</v>
      </c>
      <c r="AR338" s="108">
        <v>396666236.74978822</v>
      </c>
      <c r="AS338" s="108">
        <v>806944581.5471611</v>
      </c>
      <c r="AT338" s="108">
        <v>1641424139.8432033</v>
      </c>
      <c r="AU338" s="108">
        <v>3317422461.717577</v>
      </c>
      <c r="AV338" s="108">
        <v>5200980714.6382389</v>
      </c>
    </row>
    <row r="339" spans="1:48" x14ac:dyDescent="0.35">
      <c r="A339" s="107">
        <f xml:space="preserve"> ROW( slrImpacts[[#This Row],[row_id]] ) - ROW( slrImpacts[[#Headers],[row_id]] )</f>
        <v>338</v>
      </c>
      <c r="B339" s="104">
        <v>2034</v>
      </c>
      <c r="C339" s="104" t="s">
        <v>221</v>
      </c>
      <c r="D339" s="104" t="s">
        <v>87</v>
      </c>
      <c r="E339" s="104" t="s">
        <v>922</v>
      </c>
      <c r="F339" s="104"/>
      <c r="G339" s="105">
        <v>0</v>
      </c>
      <c r="H339" s="105">
        <v>0</v>
      </c>
      <c r="I339" s="105">
        <v>0</v>
      </c>
      <c r="J339" s="105">
        <v>0</v>
      </c>
      <c r="K339" s="105">
        <v>0</v>
      </c>
      <c r="L339" s="105">
        <v>0</v>
      </c>
      <c r="M339" s="106">
        <v>4116767591.767982</v>
      </c>
      <c r="N339" s="106">
        <v>5566649852.8534708</v>
      </c>
      <c r="O339" s="106">
        <v>12377732724.573114</v>
      </c>
      <c r="P339" s="106">
        <v>26943610300.053116</v>
      </c>
      <c r="Q339" s="106">
        <v>52908363199.958054</v>
      </c>
      <c r="R339" s="106">
        <v>69982540343.16687</v>
      </c>
      <c r="S339" s="105">
        <v>0</v>
      </c>
      <c r="T339" s="105">
        <v>0</v>
      </c>
      <c r="U339" s="105">
        <v>0</v>
      </c>
      <c r="V339" s="105">
        <v>0</v>
      </c>
      <c r="W339" s="105">
        <v>0</v>
      </c>
      <c r="X339" s="105">
        <v>0</v>
      </c>
      <c r="Y339" s="106">
        <v>166910863.05517772</v>
      </c>
      <c r="Z339" s="106">
        <v>196374093.74377614</v>
      </c>
      <c r="AA339" s="106">
        <v>272673162.74252337</v>
      </c>
      <c r="AB339" s="108">
        <v>413046214.53638577</v>
      </c>
      <c r="AC339" s="108">
        <v>667731600.31475365</v>
      </c>
      <c r="AD339" s="108">
        <v>944331689.72625101</v>
      </c>
      <c r="AE339" s="108">
        <v>4507667365.7845678</v>
      </c>
      <c r="AF339" s="108">
        <v>6541408360.3840275</v>
      </c>
      <c r="AG339" s="108">
        <v>14657893756.89798</v>
      </c>
      <c r="AH339" s="108">
        <v>30884683873.866581</v>
      </c>
      <c r="AI339" s="108">
        <v>57556731192.605042</v>
      </c>
      <c r="AJ339" s="108">
        <v>79985493113.703796</v>
      </c>
      <c r="AK339" s="108">
        <v>7210608818.8527765</v>
      </c>
      <c r="AL339" s="108">
        <v>10983698811.054203</v>
      </c>
      <c r="AM339" s="108">
        <v>25750440645.320152</v>
      </c>
      <c r="AN339" s="108">
        <v>53018185286.326576</v>
      </c>
      <c r="AO339" s="108">
        <v>99790683092.142441</v>
      </c>
      <c r="AP339" s="108">
        <v>135876131312.95601</v>
      </c>
      <c r="AQ339" s="108">
        <v>295675971.6789071</v>
      </c>
      <c r="AR339" s="108">
        <v>424077858.730654</v>
      </c>
      <c r="AS339" s="108">
        <v>885534029.72441304</v>
      </c>
      <c r="AT339" s="108">
        <v>1853602652.7249901</v>
      </c>
      <c r="AU339" s="108">
        <v>3832556824.8389401</v>
      </c>
      <c r="AV339" s="108">
        <v>6081061363.4562225</v>
      </c>
    </row>
    <row r="340" spans="1:48" x14ac:dyDescent="0.35">
      <c r="A340" s="107">
        <f xml:space="preserve"> ROW( slrImpacts[[#This Row],[row_id]] ) - ROW( slrImpacts[[#Headers],[row_id]] )</f>
        <v>339</v>
      </c>
      <c r="B340" s="104">
        <v>2035</v>
      </c>
      <c r="C340" s="104" t="s">
        <v>221</v>
      </c>
      <c r="D340" s="104" t="s">
        <v>87</v>
      </c>
      <c r="E340" s="104" t="s">
        <v>922</v>
      </c>
      <c r="F340" s="104"/>
      <c r="G340" s="105">
        <v>0</v>
      </c>
      <c r="H340" s="105">
        <v>0</v>
      </c>
      <c r="I340" s="105">
        <v>0</v>
      </c>
      <c r="J340" s="105">
        <v>0</v>
      </c>
      <c r="K340" s="105">
        <v>0</v>
      </c>
      <c r="L340" s="105">
        <v>0</v>
      </c>
      <c r="M340" s="106">
        <v>4306652690.0198374</v>
      </c>
      <c r="N340" s="106">
        <v>5889578885.6572123</v>
      </c>
      <c r="O340" s="106">
        <v>13458429434.632198</v>
      </c>
      <c r="P340" s="106">
        <v>29918227665.18079</v>
      </c>
      <c r="Q340" s="106">
        <v>59486517253.153419</v>
      </c>
      <c r="R340" s="106">
        <v>78830137602.009308</v>
      </c>
      <c r="S340" s="105">
        <v>0</v>
      </c>
      <c r="T340" s="105">
        <v>0</v>
      </c>
      <c r="U340" s="105">
        <v>0</v>
      </c>
      <c r="V340" s="105">
        <v>0</v>
      </c>
      <c r="W340" s="105">
        <v>0</v>
      </c>
      <c r="X340" s="105">
        <v>0</v>
      </c>
      <c r="Y340" s="106">
        <v>170427440.64506456</v>
      </c>
      <c r="Z340" s="106">
        <v>201250306.5035007</v>
      </c>
      <c r="AA340" s="106">
        <v>284787049.62800264</v>
      </c>
      <c r="AB340" s="108">
        <v>441785596.53648293</v>
      </c>
      <c r="AC340" s="108">
        <v>733496876.6432296</v>
      </c>
      <c r="AD340" s="108">
        <v>1048983850.0519596</v>
      </c>
      <c r="AE340" s="108">
        <v>5012392716.4137077</v>
      </c>
      <c r="AF340" s="108">
        <v>7327391906.4015131</v>
      </c>
      <c r="AG340" s="108">
        <v>16792415456.801064</v>
      </c>
      <c r="AH340" s="108">
        <v>35288342391.832169</v>
      </c>
      <c r="AI340" s="108">
        <v>65450649100.723694</v>
      </c>
      <c r="AJ340" s="108">
        <v>90749793849.331711</v>
      </c>
      <c r="AK340" s="108">
        <v>8012039304.6425123</v>
      </c>
      <c r="AL340" s="108">
        <v>12238944034.787235</v>
      </c>
      <c r="AM340" s="108">
        <v>29208244706.148365</v>
      </c>
      <c r="AN340" s="108">
        <v>60727553259.468056</v>
      </c>
      <c r="AO340" s="108">
        <v>113642283220.65871</v>
      </c>
      <c r="AP340" s="108">
        <v>154309643896.11279</v>
      </c>
      <c r="AQ340" s="108">
        <v>311889023.85932738</v>
      </c>
      <c r="AR340" s="108">
        <v>453480256.85143346</v>
      </c>
      <c r="AS340" s="108">
        <v>971629204.13699698</v>
      </c>
      <c r="AT340" s="108">
        <v>2091727342.1283281</v>
      </c>
      <c r="AU340" s="108">
        <v>4420271299.4405918</v>
      </c>
      <c r="AV340" s="108">
        <v>7090085448.8216333</v>
      </c>
    </row>
    <row r="341" spans="1:48" x14ac:dyDescent="0.35">
      <c r="A341" s="107">
        <f xml:space="preserve"> ROW( slrImpacts[[#This Row],[row_id]] ) - ROW( slrImpacts[[#Headers],[row_id]] )</f>
        <v>340</v>
      </c>
      <c r="B341" s="104">
        <v>2036</v>
      </c>
      <c r="C341" s="104" t="s">
        <v>221</v>
      </c>
      <c r="D341" s="104" t="s">
        <v>87</v>
      </c>
      <c r="E341" s="104" t="s">
        <v>922</v>
      </c>
      <c r="F341" s="104"/>
      <c r="G341" s="105">
        <v>0</v>
      </c>
      <c r="H341" s="105">
        <v>0</v>
      </c>
      <c r="I341" s="105">
        <v>0</v>
      </c>
      <c r="J341" s="105">
        <v>0</v>
      </c>
      <c r="K341" s="105">
        <v>0</v>
      </c>
      <c r="L341" s="105">
        <v>0</v>
      </c>
      <c r="M341" s="106">
        <v>4504678904.8373766</v>
      </c>
      <c r="N341" s="106">
        <v>6231091917.9059763</v>
      </c>
      <c r="O341" s="106">
        <v>14657176533.620199</v>
      </c>
      <c r="P341" s="106">
        <v>33257718922.034721</v>
      </c>
      <c r="Q341" s="106">
        <v>66807906955.964348</v>
      </c>
      <c r="R341" s="106">
        <v>88627274803.700729</v>
      </c>
      <c r="S341" s="105">
        <v>0</v>
      </c>
      <c r="T341" s="105">
        <v>0</v>
      </c>
      <c r="U341" s="105">
        <v>0</v>
      </c>
      <c r="V341" s="105">
        <v>0</v>
      </c>
      <c r="W341" s="105">
        <v>0</v>
      </c>
      <c r="X341" s="105">
        <v>0</v>
      </c>
      <c r="Y341" s="106">
        <v>174038329.57633081</v>
      </c>
      <c r="Z341" s="106">
        <v>206333363.17253533</v>
      </c>
      <c r="AA341" s="106">
        <v>298054493.58887386</v>
      </c>
      <c r="AB341" s="108">
        <v>473941841.19598114</v>
      </c>
      <c r="AC341" s="108">
        <v>808991092.78357685</v>
      </c>
      <c r="AD341" s="108">
        <v>1171770747.4542301</v>
      </c>
      <c r="AE341" s="108">
        <v>5580107874.586031</v>
      </c>
      <c r="AF341" s="108">
        <v>8206785859.8650198</v>
      </c>
      <c r="AG341" s="108">
        <v>19204020354.614597</v>
      </c>
      <c r="AH341" s="108">
        <v>40255188888.724266</v>
      </c>
      <c r="AI341" s="108">
        <v>74240438333.699448</v>
      </c>
      <c r="AJ341" s="108">
        <v>102515167818.47733</v>
      </c>
      <c r="AK341" s="108">
        <v>8897254768.5403042</v>
      </c>
      <c r="AL341" s="108">
        <v>13625301659.954746</v>
      </c>
      <c r="AM341" s="108">
        <v>33137443872.154263</v>
      </c>
      <c r="AN341" s="108">
        <v>69529926280.659088</v>
      </c>
      <c r="AO341" s="108">
        <v>128981115268.93372</v>
      </c>
      <c r="AP341" s="108">
        <v>174083046646.73416</v>
      </c>
      <c r="AQ341" s="108">
        <v>329143017.56430453</v>
      </c>
      <c r="AR341" s="108">
        <v>485524121.11624092</v>
      </c>
      <c r="AS341" s="108">
        <v>1069722584.5932388</v>
      </c>
      <c r="AT341" s="108">
        <v>2368734905.6630664</v>
      </c>
      <c r="AU341" s="108">
        <v>5120295995.0817471</v>
      </c>
      <c r="AV341" s="108">
        <v>8296875596.9915762</v>
      </c>
    </row>
    <row r="342" spans="1:48" x14ac:dyDescent="0.35">
      <c r="A342" s="107">
        <f xml:space="preserve"> ROW( slrImpacts[[#This Row],[row_id]] ) - ROW( slrImpacts[[#Headers],[row_id]] )</f>
        <v>341</v>
      </c>
      <c r="B342" s="104">
        <v>2037</v>
      </c>
      <c r="C342" s="104" t="s">
        <v>221</v>
      </c>
      <c r="D342" s="104" t="s">
        <v>87</v>
      </c>
      <c r="E342" s="104" t="s">
        <v>922</v>
      </c>
      <c r="F342" s="104"/>
      <c r="G342" s="105">
        <v>0</v>
      </c>
      <c r="H342" s="105">
        <v>0</v>
      </c>
      <c r="I342" s="105">
        <v>0</v>
      </c>
      <c r="J342" s="105">
        <v>0</v>
      </c>
      <c r="K342" s="105">
        <v>0</v>
      </c>
      <c r="L342" s="105">
        <v>0</v>
      </c>
      <c r="M342" s="106">
        <v>4712253113.5806293</v>
      </c>
      <c r="N342" s="106">
        <v>6592689628.7773752</v>
      </c>
      <c r="O342" s="106">
        <v>15981572037.961254</v>
      </c>
      <c r="P342" s="106">
        <v>36965536509.789932</v>
      </c>
      <c r="Q342" s="106">
        <v>74809735217.024185</v>
      </c>
      <c r="R342" s="106">
        <v>99264775630.376907</v>
      </c>
      <c r="S342" s="105">
        <v>0</v>
      </c>
      <c r="T342" s="105">
        <v>0</v>
      </c>
      <c r="U342" s="105">
        <v>0</v>
      </c>
      <c r="V342" s="105">
        <v>0</v>
      </c>
      <c r="W342" s="105">
        <v>0</v>
      </c>
      <c r="X342" s="105">
        <v>0</v>
      </c>
      <c r="Y342" s="106">
        <v>177756278.21782395</v>
      </c>
      <c r="Z342" s="106">
        <v>211683878.38863432</v>
      </c>
      <c r="AA342" s="106">
        <v>312233981.15958363</v>
      </c>
      <c r="AB342" s="108">
        <v>509122321.38673007</v>
      </c>
      <c r="AC342" s="108">
        <v>893749611.71841288</v>
      </c>
      <c r="AD342" s="108">
        <v>1312734966.8363955</v>
      </c>
      <c r="AE342" s="108">
        <v>6213389692.2072124</v>
      </c>
      <c r="AF342" s="108">
        <v>9185632160.4413929</v>
      </c>
      <c r="AG342" s="108">
        <v>21907947550.917873</v>
      </c>
      <c r="AH342" s="108">
        <v>45800036663.615036</v>
      </c>
      <c r="AI342" s="108">
        <v>83871920198.946381</v>
      </c>
      <c r="AJ342" s="108">
        <v>115135667537.3983</v>
      </c>
      <c r="AK342" s="108">
        <v>9877270846.3267231</v>
      </c>
      <c r="AL342" s="108">
        <v>15162661330.201597</v>
      </c>
      <c r="AM342" s="108">
        <v>37574298705.270988</v>
      </c>
      <c r="AN342" s="108">
        <v>79497204042.629105</v>
      </c>
      <c r="AO342" s="108">
        <v>145675162733.13626</v>
      </c>
      <c r="AP342" s="108">
        <v>194798509273.16302</v>
      </c>
      <c r="AQ342" s="108">
        <v>347536285.51996511</v>
      </c>
      <c r="AR342" s="108">
        <v>519943858.4612664</v>
      </c>
      <c r="AS342" s="108">
        <v>1180040124.1463239</v>
      </c>
      <c r="AT342" s="108">
        <v>2685439185.0240941</v>
      </c>
      <c r="AU342" s="108">
        <v>5937674683.697238</v>
      </c>
      <c r="AV342" s="108">
        <v>9705146872.237711</v>
      </c>
    </row>
    <row r="343" spans="1:48" x14ac:dyDescent="0.35">
      <c r="A343" s="107">
        <f xml:space="preserve"> ROW( slrImpacts[[#This Row],[row_id]] ) - ROW( slrImpacts[[#Headers],[row_id]] )</f>
        <v>342</v>
      </c>
      <c r="B343" s="104">
        <v>2038</v>
      </c>
      <c r="C343" s="104" t="s">
        <v>221</v>
      </c>
      <c r="D343" s="104" t="s">
        <v>87</v>
      </c>
      <c r="E343" s="104" t="s">
        <v>922</v>
      </c>
      <c r="F343" s="104"/>
      <c r="G343" s="105">
        <v>0</v>
      </c>
      <c r="H343" s="105">
        <v>0</v>
      </c>
      <c r="I343" s="105">
        <v>0</v>
      </c>
      <c r="J343" s="105">
        <v>0</v>
      </c>
      <c r="K343" s="105">
        <v>0</v>
      </c>
      <c r="L343" s="105">
        <v>0</v>
      </c>
      <c r="M343" s="106">
        <v>4929517694.206625</v>
      </c>
      <c r="N343" s="106">
        <v>6974530529.9432402</v>
      </c>
      <c r="O343" s="106">
        <v>17441286863.977715</v>
      </c>
      <c r="P343" s="106">
        <v>41060911125.918114</v>
      </c>
      <c r="Q343" s="106">
        <v>83488422491.33078</v>
      </c>
      <c r="R343" s="106">
        <v>110698601262.50613</v>
      </c>
      <c r="S343" s="105">
        <v>0</v>
      </c>
      <c r="T343" s="105">
        <v>0</v>
      </c>
      <c r="U343" s="105">
        <v>0</v>
      </c>
      <c r="V343" s="105">
        <v>0</v>
      </c>
      <c r="W343" s="105">
        <v>0</v>
      </c>
      <c r="X343" s="105">
        <v>0</v>
      </c>
      <c r="Y343" s="106">
        <v>181529670.14374551</v>
      </c>
      <c r="Z343" s="106">
        <v>217245913.00945064</v>
      </c>
      <c r="AA343" s="106">
        <v>327528378.04081458</v>
      </c>
      <c r="AB343" s="108">
        <v>547502358.07656157</v>
      </c>
      <c r="AC343" s="108">
        <v>988995904.82034922</v>
      </c>
      <c r="AD343" s="108">
        <v>1474381599.7367103</v>
      </c>
      <c r="AE343" s="108">
        <v>6919388189.1174316</v>
      </c>
      <c r="AF343" s="108">
        <v>10271855819.918474</v>
      </c>
      <c r="AG343" s="108">
        <v>24907022679.328766</v>
      </c>
      <c r="AH343" s="108">
        <v>51914876992.645218</v>
      </c>
      <c r="AI343" s="108">
        <v>94295240441.591156</v>
      </c>
      <c r="AJ343" s="108">
        <v>128512017751.08803</v>
      </c>
      <c r="AK343" s="108">
        <v>10952598744.626625</v>
      </c>
      <c r="AL343" s="108">
        <v>16853782951.932762</v>
      </c>
      <c r="AM343" s="108">
        <v>42564249355.43531</v>
      </c>
      <c r="AN343" s="108">
        <v>90585209456.86496</v>
      </c>
      <c r="AO343" s="108">
        <v>163515561548.68533</v>
      </c>
      <c r="AP343" s="108">
        <v>216154841130.55984</v>
      </c>
      <c r="AQ343" s="108">
        <v>367051708.18078381</v>
      </c>
      <c r="AR343" s="108">
        <v>556815977.59669912</v>
      </c>
      <c r="AS343" s="108">
        <v>1303596668.1655874</v>
      </c>
      <c r="AT343" s="108">
        <v>3045851345.9147553</v>
      </c>
      <c r="AU343" s="108">
        <v>6884204363.7638474</v>
      </c>
      <c r="AV343" s="108">
        <v>11334736811.496889</v>
      </c>
    </row>
    <row r="344" spans="1:48" x14ac:dyDescent="0.35">
      <c r="A344" s="107">
        <f xml:space="preserve"> ROW( slrImpacts[[#This Row],[row_id]] ) - ROW( slrImpacts[[#Headers],[row_id]] )</f>
        <v>343</v>
      </c>
      <c r="B344" s="104">
        <v>2039</v>
      </c>
      <c r="C344" s="104" t="s">
        <v>221</v>
      </c>
      <c r="D344" s="104" t="s">
        <v>87</v>
      </c>
      <c r="E344" s="104" t="s">
        <v>922</v>
      </c>
      <c r="F344" s="104"/>
      <c r="G344" s="105">
        <v>0</v>
      </c>
      <c r="H344" s="105">
        <v>0</v>
      </c>
      <c r="I344" s="105">
        <v>0</v>
      </c>
      <c r="J344" s="105">
        <v>0</v>
      </c>
      <c r="K344" s="105">
        <v>0</v>
      </c>
      <c r="L344" s="105">
        <v>0</v>
      </c>
      <c r="M344" s="106">
        <v>5156914498.8734579</v>
      </c>
      <c r="N344" s="106">
        <v>7378130241.9028082</v>
      </c>
      <c r="O344" s="106">
        <v>19048329841.835453</v>
      </c>
      <c r="P344" s="106">
        <v>45556569903.813698</v>
      </c>
      <c r="Q344" s="106">
        <v>92825913601.805695</v>
      </c>
      <c r="R344" s="106">
        <v>122878982790.50128</v>
      </c>
      <c r="S344" s="105">
        <v>0</v>
      </c>
      <c r="T344" s="105">
        <v>0</v>
      </c>
      <c r="U344" s="105">
        <v>0</v>
      </c>
      <c r="V344" s="105">
        <v>0</v>
      </c>
      <c r="W344" s="105">
        <v>0</v>
      </c>
      <c r="X344" s="105">
        <v>0</v>
      </c>
      <c r="Y344" s="106">
        <v>185364441.22764325</v>
      </c>
      <c r="Z344" s="106">
        <v>223083580.26529446</v>
      </c>
      <c r="AA344" s="106">
        <v>344000539.93451411</v>
      </c>
      <c r="AB344" s="108">
        <v>589411953.78736067</v>
      </c>
      <c r="AC344" s="108">
        <v>1095398635.242733</v>
      </c>
      <c r="AD344" s="108">
        <v>1658313968.7699325</v>
      </c>
      <c r="AE344" s="108">
        <v>7705829206.3914185</v>
      </c>
      <c r="AF344" s="108">
        <v>11473199917.536219</v>
      </c>
      <c r="AG344" s="108">
        <v>28212491348.868797</v>
      </c>
      <c r="AH344" s="108">
        <v>58610290443.229897</v>
      </c>
      <c r="AI344" s="108">
        <v>105465341630.93636</v>
      </c>
      <c r="AJ344" s="108">
        <v>142497058061.76776</v>
      </c>
      <c r="AK344" s="108">
        <v>12133229999.141247</v>
      </c>
      <c r="AL344" s="108">
        <v>18708631263.178791</v>
      </c>
      <c r="AM344" s="108">
        <v>48136868322.335281</v>
      </c>
      <c r="AN344" s="108">
        <v>102815245735.98445</v>
      </c>
      <c r="AO344" s="108">
        <v>182361101831.7345</v>
      </c>
      <c r="AP344" s="108">
        <v>237802676338.67041</v>
      </c>
      <c r="AQ344" s="108">
        <v>387786268.94539303</v>
      </c>
      <c r="AR344" s="108">
        <v>596072681.99483061</v>
      </c>
      <c r="AS344" s="108">
        <v>1441079059.2589171</v>
      </c>
      <c r="AT344" s="108">
        <v>3454799583.8652472</v>
      </c>
      <c r="AU344" s="108">
        <v>7972093669.6996393</v>
      </c>
      <c r="AV344" s="108">
        <v>13205183469.163176</v>
      </c>
    </row>
    <row r="345" spans="1:48" x14ac:dyDescent="0.35">
      <c r="A345" s="107">
        <f xml:space="preserve"> ROW( slrImpacts[[#This Row],[row_id]] ) - ROW( slrImpacts[[#Headers],[row_id]] )</f>
        <v>344</v>
      </c>
      <c r="B345" s="104">
        <v>2040</v>
      </c>
      <c r="C345" s="104" t="s">
        <v>221</v>
      </c>
      <c r="D345" s="104" t="s">
        <v>87</v>
      </c>
      <c r="E345" s="104" t="s">
        <v>922</v>
      </c>
      <c r="F345" s="104"/>
      <c r="G345" s="105">
        <v>0</v>
      </c>
      <c r="H345" s="105">
        <v>0</v>
      </c>
      <c r="I345" s="105">
        <v>0</v>
      </c>
      <c r="J345" s="105">
        <v>0</v>
      </c>
      <c r="K345" s="105">
        <v>0</v>
      </c>
      <c r="L345" s="105">
        <v>0</v>
      </c>
      <c r="M345" s="106">
        <v>5394903942.7348967</v>
      </c>
      <c r="N345" s="106">
        <v>7804459693.0167217</v>
      </c>
      <c r="O345" s="106">
        <v>20814563944.919701</v>
      </c>
      <c r="P345" s="106">
        <v>50468635077.139915</v>
      </c>
      <c r="Q345" s="106">
        <v>102806735111.68784</v>
      </c>
      <c r="R345" s="106">
        <v>135737720174.06982</v>
      </c>
      <c r="S345" s="105">
        <v>0</v>
      </c>
      <c r="T345" s="105">
        <v>0</v>
      </c>
      <c r="U345" s="105">
        <v>0</v>
      </c>
      <c r="V345" s="105">
        <v>0</v>
      </c>
      <c r="W345" s="105">
        <v>0</v>
      </c>
      <c r="X345" s="105">
        <v>0</v>
      </c>
      <c r="Y345" s="106">
        <v>189351304.35691547</v>
      </c>
      <c r="Z345" s="106">
        <v>229221600.16501671</v>
      </c>
      <c r="AA345" s="106">
        <v>361639779.81481314</v>
      </c>
      <c r="AB345" s="108">
        <v>635126762.96382928</v>
      </c>
      <c r="AC345" s="108">
        <v>1214351860.6092458</v>
      </c>
      <c r="AD345" s="108">
        <v>1867001494.1102877</v>
      </c>
      <c r="AE345" s="108">
        <v>8576903069.5321522</v>
      </c>
      <c r="AF345" s="108">
        <v>12798506967.586901</v>
      </c>
      <c r="AG345" s="108">
        <v>31833115180.555252</v>
      </c>
      <c r="AH345" s="108">
        <v>65887496216.024055</v>
      </c>
      <c r="AI345" s="108">
        <v>117325252367.95287</v>
      </c>
      <c r="AJ345" s="108">
        <v>156979950116.14722</v>
      </c>
      <c r="AK345" s="108">
        <v>13433872653.92321</v>
      </c>
      <c r="AL345" s="108">
        <v>20754557245.102409</v>
      </c>
      <c r="AM345" s="108">
        <v>54363258902.421951</v>
      </c>
      <c r="AN345" s="108">
        <v>116224717567.90672</v>
      </c>
      <c r="AO345" s="108">
        <v>201979920262.52551</v>
      </c>
      <c r="AP345" s="108">
        <v>259469612903.02563</v>
      </c>
      <c r="AQ345" s="108">
        <v>409800684.41222537</v>
      </c>
      <c r="AR345" s="108">
        <v>638172866.05655301</v>
      </c>
      <c r="AS345" s="108">
        <v>1594308561.8372705</v>
      </c>
      <c r="AT345" s="108">
        <v>3916884421.5824471</v>
      </c>
      <c r="AU345" s="108">
        <v>9215977323.2457867</v>
      </c>
      <c r="AV345" s="108">
        <v>15332883135.493847</v>
      </c>
    </row>
    <row r="346" spans="1:48" x14ac:dyDescent="0.35">
      <c r="A346" s="107">
        <f xml:space="preserve"> ROW( slrImpacts[[#This Row],[row_id]] ) - ROW( slrImpacts[[#Headers],[row_id]] )</f>
        <v>345</v>
      </c>
      <c r="B346" s="104">
        <v>2041</v>
      </c>
      <c r="C346" s="104" t="s">
        <v>221</v>
      </c>
      <c r="D346" s="104" t="s">
        <v>87</v>
      </c>
      <c r="E346" s="104" t="s">
        <v>922</v>
      </c>
      <c r="F346" s="104"/>
      <c r="G346" s="105">
        <v>0</v>
      </c>
      <c r="H346" s="105">
        <v>0</v>
      </c>
      <c r="I346" s="105">
        <v>0</v>
      </c>
      <c r="J346" s="105">
        <v>0</v>
      </c>
      <c r="K346" s="105">
        <v>0</v>
      </c>
      <c r="L346" s="105">
        <v>0</v>
      </c>
      <c r="M346" s="106">
        <v>5643884049.5687828</v>
      </c>
      <c r="N346" s="106">
        <v>8254585394.7774935</v>
      </c>
      <c r="O346" s="106">
        <v>22751559957.558006</v>
      </c>
      <c r="P346" s="106">
        <v>55803019164.288208</v>
      </c>
      <c r="Q346" s="106">
        <v>113397942588.23674</v>
      </c>
      <c r="R346" s="106">
        <v>149204227848.95062</v>
      </c>
      <c r="S346" s="105">
        <v>0</v>
      </c>
      <c r="T346" s="105">
        <v>0</v>
      </c>
      <c r="U346" s="105">
        <v>0</v>
      </c>
      <c r="V346" s="105">
        <v>0</v>
      </c>
      <c r="W346" s="105">
        <v>0</v>
      </c>
      <c r="X346" s="105">
        <v>0</v>
      </c>
      <c r="Y346" s="106">
        <v>193386045.9811247</v>
      </c>
      <c r="Z346" s="106">
        <v>235638684.06401718</v>
      </c>
      <c r="AA346" s="106">
        <v>380505941.55678725</v>
      </c>
      <c r="AB346" s="108">
        <v>684955623.63287115</v>
      </c>
      <c r="AC346" s="108">
        <v>1347071097.0793991</v>
      </c>
      <c r="AD346" s="108">
        <v>2102730896.2613871</v>
      </c>
      <c r="AE346" s="108">
        <v>9541696587.505127</v>
      </c>
      <c r="AF346" s="108">
        <v>14255445198.907358</v>
      </c>
      <c r="AG346" s="108">
        <v>35784282874.850464</v>
      </c>
      <c r="AH346" s="108">
        <v>73720852219.969635</v>
      </c>
      <c r="AI346" s="108">
        <v>129790215518.74211</v>
      </c>
      <c r="AJ346" s="108">
        <v>171825845900.75125</v>
      </c>
      <c r="AK346" s="108">
        <v>14855432269.644186</v>
      </c>
      <c r="AL346" s="108">
        <v>22994710087.925056</v>
      </c>
      <c r="AM346" s="108">
        <v>61247317015.163788</v>
      </c>
      <c r="AN346" s="108">
        <v>130693580266.30115</v>
      </c>
      <c r="AO346" s="108">
        <v>222161271394.4707</v>
      </c>
      <c r="AP346" s="108">
        <v>280945059017.27802</v>
      </c>
      <c r="AQ346" s="108">
        <v>433137139.75485331</v>
      </c>
      <c r="AR346" s="108">
        <v>683094331.68866801</v>
      </c>
      <c r="AS346" s="108">
        <v>1765015888.1633613</v>
      </c>
      <c r="AT346" s="108">
        <v>4437124333.5653744</v>
      </c>
      <c r="AU346" s="108">
        <v>10626885240.552814</v>
      </c>
      <c r="AV346" s="108">
        <v>17738603353.947159</v>
      </c>
    </row>
    <row r="347" spans="1:48" x14ac:dyDescent="0.35">
      <c r="A347" s="107">
        <f xml:space="preserve"> ROW( slrImpacts[[#This Row],[row_id]] ) - ROW( slrImpacts[[#Headers],[row_id]] )</f>
        <v>346</v>
      </c>
      <c r="B347" s="104">
        <v>2042</v>
      </c>
      <c r="C347" s="104" t="s">
        <v>221</v>
      </c>
      <c r="D347" s="104" t="s">
        <v>87</v>
      </c>
      <c r="E347" s="104" t="s">
        <v>922</v>
      </c>
      <c r="F347" s="104"/>
      <c r="G347" s="105">
        <v>0</v>
      </c>
      <c r="H347" s="105">
        <v>0</v>
      </c>
      <c r="I347" s="105">
        <v>0</v>
      </c>
      <c r="J347" s="105">
        <v>0</v>
      </c>
      <c r="K347" s="105">
        <v>0</v>
      </c>
      <c r="L347" s="105">
        <v>0</v>
      </c>
      <c r="M347" s="106">
        <v>5904507565.2776308</v>
      </c>
      <c r="N347" s="106">
        <v>8729661962.6258221</v>
      </c>
      <c r="O347" s="106">
        <v>24870472541.046597</v>
      </c>
      <c r="P347" s="106">
        <v>61565965066.342316</v>
      </c>
      <c r="Q347" s="106">
        <v>124562397801.39633</v>
      </c>
      <c r="R347" s="106">
        <v>163208757656.32581</v>
      </c>
      <c r="S347" s="105">
        <v>0</v>
      </c>
      <c r="T347" s="105">
        <v>0</v>
      </c>
      <c r="U347" s="105">
        <v>0</v>
      </c>
      <c r="V347" s="105">
        <v>0</v>
      </c>
      <c r="W347" s="105">
        <v>0</v>
      </c>
      <c r="X347" s="105">
        <v>0</v>
      </c>
      <c r="Y347" s="106">
        <v>197541857.06354526</v>
      </c>
      <c r="Z347" s="106">
        <v>242381448.01544732</v>
      </c>
      <c r="AA347" s="106">
        <v>400802424.04928219</v>
      </c>
      <c r="AB347" s="108">
        <v>739228535.41103363</v>
      </c>
      <c r="AC347" s="108">
        <v>1494401059.0080013</v>
      </c>
      <c r="AD347" s="108">
        <v>2367143203.8203993</v>
      </c>
      <c r="AE347" s="108">
        <v>10607103942.963135</v>
      </c>
      <c r="AF347" s="108">
        <v>15845830514.130232</v>
      </c>
      <c r="AG347" s="108">
        <v>40066886919.29599</v>
      </c>
      <c r="AH347" s="108">
        <v>82103446602.895721</v>
      </c>
      <c r="AI347" s="108">
        <v>142780451509.86993</v>
      </c>
      <c r="AJ347" s="108">
        <v>186924915601.65039</v>
      </c>
      <c r="AK347" s="108">
        <v>16402609710.629246</v>
      </c>
      <c r="AL347" s="108">
        <v>25439784717.82267</v>
      </c>
      <c r="AM347" s="108">
        <v>68847496324.906891</v>
      </c>
      <c r="AN347" s="108">
        <v>146223371389.93399</v>
      </c>
      <c r="AO347" s="108">
        <v>242673888011.39828</v>
      </c>
      <c r="AP347" s="108">
        <v>302010583054.03125</v>
      </c>
      <c r="AQ347" s="108">
        <v>457903679.3774457</v>
      </c>
      <c r="AR347" s="108">
        <v>731029889.59193563</v>
      </c>
      <c r="AS347" s="108">
        <v>1954303095.305922</v>
      </c>
      <c r="AT347" s="108">
        <v>5022814993.8374901</v>
      </c>
      <c r="AU347" s="108">
        <v>12218971586.418686</v>
      </c>
      <c r="AV347" s="108">
        <v>20439677747.568153</v>
      </c>
    </row>
    <row r="348" spans="1:48" x14ac:dyDescent="0.35">
      <c r="A348" s="107">
        <f xml:space="preserve"> ROW( slrImpacts[[#This Row],[row_id]] ) - ROW( slrImpacts[[#Headers],[row_id]] )</f>
        <v>347</v>
      </c>
      <c r="B348" s="104">
        <v>2043</v>
      </c>
      <c r="C348" s="104" t="s">
        <v>221</v>
      </c>
      <c r="D348" s="104" t="s">
        <v>87</v>
      </c>
      <c r="E348" s="104" t="s">
        <v>922</v>
      </c>
      <c r="F348" s="104"/>
      <c r="G348" s="105">
        <v>0</v>
      </c>
      <c r="H348" s="105">
        <v>0</v>
      </c>
      <c r="I348" s="105">
        <v>0</v>
      </c>
      <c r="J348" s="105">
        <v>0</v>
      </c>
      <c r="K348" s="105">
        <v>0</v>
      </c>
      <c r="L348" s="105">
        <v>0</v>
      </c>
      <c r="M348" s="106">
        <v>6176973903.8007669</v>
      </c>
      <c r="N348" s="106">
        <v>9230697048.5152702</v>
      </c>
      <c r="O348" s="106">
        <v>27182629832.424828</v>
      </c>
      <c r="P348" s="106">
        <v>67763478843.41674</v>
      </c>
      <c r="Q348" s="106">
        <v>136258501514.41542</v>
      </c>
      <c r="R348" s="106">
        <v>177671458005.49353</v>
      </c>
      <c r="S348" s="105">
        <v>0</v>
      </c>
      <c r="T348" s="105">
        <v>0</v>
      </c>
      <c r="U348" s="105">
        <v>0</v>
      </c>
      <c r="V348" s="105">
        <v>0</v>
      </c>
      <c r="W348" s="105">
        <v>0</v>
      </c>
      <c r="X348" s="105">
        <v>0</v>
      </c>
      <c r="Y348" s="106">
        <v>201817046.18948624</v>
      </c>
      <c r="Z348" s="106">
        <v>249393207.22713292</v>
      </c>
      <c r="AA348" s="106">
        <v>422362644.14607561</v>
      </c>
      <c r="AB348" s="108">
        <v>798130825.38125169</v>
      </c>
      <c r="AC348" s="108">
        <v>1657904453.6827164</v>
      </c>
      <c r="AD348" s="108">
        <v>2662598146.3315024</v>
      </c>
      <c r="AE348" s="108">
        <v>11785688141.875793</v>
      </c>
      <c r="AF348" s="108">
        <v>17582498821.048218</v>
      </c>
      <c r="AG348" s="108">
        <v>44673510699.803688</v>
      </c>
      <c r="AH348" s="108">
        <v>91021315908.541794</v>
      </c>
      <c r="AI348" s="108">
        <v>156177722632.28619</v>
      </c>
      <c r="AJ348" s="108">
        <v>202172369633.61249</v>
      </c>
      <c r="AK348" s="108">
        <v>18087989486.263634</v>
      </c>
      <c r="AL348" s="108">
        <v>28119174342.124027</v>
      </c>
      <c r="AM348" s="108">
        <v>77166195266.280533</v>
      </c>
      <c r="AN348" s="108">
        <v>162703916330.35251</v>
      </c>
      <c r="AO348" s="108">
        <v>263341318954.96973</v>
      </c>
      <c r="AP348" s="108">
        <v>322488457728.35211</v>
      </c>
      <c r="AQ348" s="108">
        <v>484140101.33804005</v>
      </c>
      <c r="AR348" s="108">
        <v>782166156.75757289</v>
      </c>
      <c r="AS348" s="108">
        <v>2163544826.6999106</v>
      </c>
      <c r="AT348" s="108">
        <v>5678516621.0101175</v>
      </c>
      <c r="AU348" s="108">
        <v>14004347837.998549</v>
      </c>
      <c r="AV348" s="108">
        <v>23453712438.801392</v>
      </c>
    </row>
    <row r="349" spans="1:48" x14ac:dyDescent="0.35">
      <c r="A349" s="107">
        <f xml:space="preserve"> ROW( slrImpacts[[#This Row],[row_id]] ) - ROW( slrImpacts[[#Headers],[row_id]] )</f>
        <v>348</v>
      </c>
      <c r="B349" s="104">
        <v>2044</v>
      </c>
      <c r="C349" s="104" t="s">
        <v>221</v>
      </c>
      <c r="D349" s="104" t="s">
        <v>87</v>
      </c>
      <c r="E349" s="104" t="s">
        <v>922</v>
      </c>
      <c r="F349" s="104"/>
      <c r="G349" s="105">
        <v>0</v>
      </c>
      <c r="H349" s="105">
        <v>0</v>
      </c>
      <c r="I349" s="105">
        <v>0</v>
      </c>
      <c r="J349" s="105">
        <v>0</v>
      </c>
      <c r="K349" s="105">
        <v>0</v>
      </c>
      <c r="L349" s="105">
        <v>0</v>
      </c>
      <c r="M349" s="106">
        <v>6462608100.9631634</v>
      </c>
      <c r="N349" s="106">
        <v>9760233233.4558048</v>
      </c>
      <c r="O349" s="106">
        <v>29699306236.646328</v>
      </c>
      <c r="P349" s="106">
        <v>74402906877.7939</v>
      </c>
      <c r="Q349" s="106">
        <v>148436471323.15912</v>
      </c>
      <c r="R349" s="106">
        <v>192520912185.18399</v>
      </c>
      <c r="S349" s="105">
        <v>0</v>
      </c>
      <c r="T349" s="105">
        <v>0</v>
      </c>
      <c r="U349" s="105">
        <v>0</v>
      </c>
      <c r="V349" s="105">
        <v>0</v>
      </c>
      <c r="W349" s="105">
        <v>0</v>
      </c>
      <c r="X349" s="105">
        <v>0</v>
      </c>
      <c r="Y349" s="106">
        <v>206167410.64992505</v>
      </c>
      <c r="Z349" s="106">
        <v>256743177.43702409</v>
      </c>
      <c r="AA349" s="106">
        <v>445460798.59003472</v>
      </c>
      <c r="AB349" s="108">
        <v>862121610.27224076</v>
      </c>
      <c r="AC349" s="108">
        <v>1838259181.2865868</v>
      </c>
      <c r="AD349" s="108">
        <v>2990254980.0277009</v>
      </c>
      <c r="AE349" s="108">
        <v>13078606839.128202</v>
      </c>
      <c r="AF349" s="108">
        <v>19467911306.127777</v>
      </c>
      <c r="AG349" s="108">
        <v>49612945683.257744</v>
      </c>
      <c r="AH349" s="108">
        <v>100414410859.91609</v>
      </c>
      <c r="AI349" s="108">
        <v>169921810004.52637</v>
      </c>
      <c r="AJ349" s="108">
        <v>217477611281.53845</v>
      </c>
      <c r="AK349" s="108">
        <v>19925004605.634338</v>
      </c>
      <c r="AL349" s="108">
        <v>31028854189.210037</v>
      </c>
      <c r="AM349" s="108">
        <v>86254688687.706818</v>
      </c>
      <c r="AN349" s="108">
        <v>180047000607.95816</v>
      </c>
      <c r="AO349" s="108">
        <v>283997743653.51825</v>
      </c>
      <c r="AP349" s="108">
        <v>342253100529.20459</v>
      </c>
      <c r="AQ349" s="108">
        <v>511856502.58067882</v>
      </c>
      <c r="AR349" s="108">
        <v>836650557.531142</v>
      </c>
      <c r="AS349" s="108">
        <v>2394400984.2384534</v>
      </c>
      <c r="AT349" s="108">
        <v>6409408799.0023947</v>
      </c>
      <c r="AU349" s="108">
        <v>15994283602.300003</v>
      </c>
      <c r="AV349" s="108">
        <v>26798584822.876892</v>
      </c>
    </row>
    <row r="350" spans="1:48" x14ac:dyDescent="0.35">
      <c r="A350" s="107">
        <f xml:space="preserve"> ROW( slrImpacts[[#This Row],[row_id]] ) - ROW( slrImpacts[[#Headers],[row_id]] )</f>
        <v>349</v>
      </c>
      <c r="B350" s="104">
        <v>2045</v>
      </c>
      <c r="C350" s="104" t="s">
        <v>221</v>
      </c>
      <c r="D350" s="104" t="s">
        <v>87</v>
      </c>
      <c r="E350" s="104" t="s">
        <v>922</v>
      </c>
      <c r="F350" s="104"/>
      <c r="G350" s="105">
        <v>0</v>
      </c>
      <c r="H350" s="105">
        <v>0</v>
      </c>
      <c r="I350" s="105">
        <v>0</v>
      </c>
      <c r="J350" s="105">
        <v>0</v>
      </c>
      <c r="K350" s="105">
        <v>0</v>
      </c>
      <c r="L350" s="105">
        <v>0</v>
      </c>
      <c r="M350" s="106">
        <v>6761221701.9341354</v>
      </c>
      <c r="N350" s="106">
        <v>10319040763.002619</v>
      </c>
      <c r="O350" s="106">
        <v>32429491194.186615</v>
      </c>
      <c r="P350" s="106">
        <v>81480386668.677094</v>
      </c>
      <c r="Q350" s="106">
        <v>161051248199.37103</v>
      </c>
      <c r="R350" s="106">
        <v>207690933673.61087</v>
      </c>
      <c r="S350" s="105">
        <v>0</v>
      </c>
      <c r="T350" s="105">
        <v>0</v>
      </c>
      <c r="U350" s="105">
        <v>0</v>
      </c>
      <c r="V350" s="105">
        <v>0</v>
      </c>
      <c r="W350" s="105">
        <v>0</v>
      </c>
      <c r="X350" s="105">
        <v>0</v>
      </c>
      <c r="Y350" s="106">
        <v>210643011.5575982</v>
      </c>
      <c r="Z350" s="106">
        <v>264442291.07619441</v>
      </c>
      <c r="AA350" s="106">
        <v>470124776.03057265</v>
      </c>
      <c r="AB350" s="108">
        <v>931617431.82537591</v>
      </c>
      <c r="AC350" s="108">
        <v>2037143807.3625913</v>
      </c>
      <c r="AD350" s="108">
        <v>3352819382.6965251</v>
      </c>
      <c r="AE350" s="108">
        <v>14488873592.024912</v>
      </c>
      <c r="AF350" s="108">
        <v>21516512854.256512</v>
      </c>
      <c r="AG350" s="108">
        <v>54868822145.01046</v>
      </c>
      <c r="AH350" s="108">
        <v>110288920546.85719</v>
      </c>
      <c r="AI350" s="108">
        <v>183931194779.36063</v>
      </c>
      <c r="AJ350" s="108">
        <v>232780172219.09</v>
      </c>
      <c r="AK350" s="108">
        <v>21915674789.863895</v>
      </c>
      <c r="AL350" s="108">
        <v>34185883317.695827</v>
      </c>
      <c r="AM350" s="108">
        <v>96087595102.445007</v>
      </c>
      <c r="AN350" s="108">
        <v>198127712744.59412</v>
      </c>
      <c r="AO350" s="108">
        <v>304481248202.66919</v>
      </c>
      <c r="AP350" s="108">
        <v>361202719325.87445</v>
      </c>
      <c r="AQ350" s="108">
        <v>541196506.84209132</v>
      </c>
      <c r="AR350" s="108">
        <v>894529973.95203042</v>
      </c>
      <c r="AS350" s="108">
        <v>2649345390.0181026</v>
      </c>
      <c r="AT350" s="108">
        <v>7222331248.6901655</v>
      </c>
      <c r="AU350" s="108">
        <v>18202726891.788963</v>
      </c>
      <c r="AV350" s="108">
        <v>30495204552.972015</v>
      </c>
    </row>
    <row r="351" spans="1:48" x14ac:dyDescent="0.35">
      <c r="A351" s="107">
        <f xml:space="preserve"> ROW( slrImpacts[[#This Row],[row_id]] ) - ROW( slrImpacts[[#Headers],[row_id]] )</f>
        <v>350</v>
      </c>
      <c r="B351" s="104">
        <v>2046</v>
      </c>
      <c r="C351" s="104" t="s">
        <v>221</v>
      </c>
      <c r="D351" s="104" t="s">
        <v>87</v>
      </c>
      <c r="E351" s="104" t="s">
        <v>922</v>
      </c>
      <c r="F351" s="104"/>
      <c r="G351" s="105">
        <v>0</v>
      </c>
      <c r="H351" s="105">
        <v>0</v>
      </c>
      <c r="I351" s="105">
        <v>0</v>
      </c>
      <c r="J351" s="105">
        <v>0</v>
      </c>
      <c r="K351" s="105">
        <v>0</v>
      </c>
      <c r="L351" s="105">
        <v>0</v>
      </c>
      <c r="M351" s="106">
        <v>7078569514.8610601</v>
      </c>
      <c r="N351" s="106">
        <v>10909882024.893099</v>
      </c>
      <c r="O351" s="106">
        <v>35420598811.542618</v>
      </c>
      <c r="P351" s="106">
        <v>89097905134.028458</v>
      </c>
      <c r="Q351" s="106">
        <v>174251545934.54828</v>
      </c>
      <c r="R351" s="106">
        <v>223374937190.74323</v>
      </c>
      <c r="S351" s="105">
        <v>0</v>
      </c>
      <c r="T351" s="105">
        <v>0</v>
      </c>
      <c r="U351" s="105">
        <v>0</v>
      </c>
      <c r="V351" s="105">
        <v>0</v>
      </c>
      <c r="W351" s="105">
        <v>0</v>
      </c>
      <c r="X351" s="105">
        <v>0</v>
      </c>
      <c r="Y351" s="106">
        <v>215214598.21857485</v>
      </c>
      <c r="Z351" s="106">
        <v>272391978.73058754</v>
      </c>
      <c r="AA351" s="106">
        <v>496573926.73985201</v>
      </c>
      <c r="AB351" s="108">
        <v>1007883741.4156268</v>
      </c>
      <c r="AC351" s="108">
        <v>2259205946.3204088</v>
      </c>
      <c r="AD351" s="108">
        <v>3759567864.6287756</v>
      </c>
      <c r="AE351" s="108">
        <v>16015484357.739304</v>
      </c>
      <c r="AF351" s="108">
        <v>23733879213.820145</v>
      </c>
      <c r="AG351" s="108">
        <v>60524007119.929001</v>
      </c>
      <c r="AH351" s="108">
        <v>120753522771.36752</v>
      </c>
      <c r="AI351" s="108">
        <v>198305758787.0928</v>
      </c>
      <c r="AJ351" s="108">
        <v>248222531129.53391</v>
      </c>
      <c r="AK351" s="108">
        <v>24077174188.270573</v>
      </c>
      <c r="AL351" s="108">
        <v>37626084731.141388</v>
      </c>
      <c r="AM351" s="108">
        <v>106875798579.49164</v>
      </c>
      <c r="AN351" s="108">
        <v>217019290502.05432</v>
      </c>
      <c r="AO351" s="108">
        <v>324843226612.13635</v>
      </c>
      <c r="AP351" s="108">
        <v>379394027449.4801</v>
      </c>
      <c r="AQ351" s="108">
        <v>571569594.8715024</v>
      </c>
      <c r="AR351" s="108">
        <v>955110941.61682415</v>
      </c>
      <c r="AS351" s="108">
        <v>2928935500.5300584</v>
      </c>
      <c r="AT351" s="108">
        <v>8134259946.1499777</v>
      </c>
      <c r="AU351" s="108">
        <v>20673439563.954506</v>
      </c>
      <c r="AV351" s="108">
        <v>34632750430.142708</v>
      </c>
    </row>
    <row r="352" spans="1:48" x14ac:dyDescent="0.35">
      <c r="A352" s="107">
        <f xml:space="preserve"> ROW( slrImpacts[[#This Row],[row_id]] ) - ROW( slrImpacts[[#Headers],[row_id]] )</f>
        <v>351</v>
      </c>
      <c r="B352" s="104">
        <v>2047</v>
      </c>
      <c r="C352" s="104" t="s">
        <v>221</v>
      </c>
      <c r="D352" s="104" t="s">
        <v>87</v>
      </c>
      <c r="E352" s="104" t="s">
        <v>922</v>
      </c>
      <c r="F352" s="104"/>
      <c r="G352" s="105">
        <v>0</v>
      </c>
      <c r="H352" s="105">
        <v>0</v>
      </c>
      <c r="I352" s="105">
        <v>0</v>
      </c>
      <c r="J352" s="105">
        <v>0</v>
      </c>
      <c r="K352" s="105">
        <v>0</v>
      </c>
      <c r="L352" s="105">
        <v>0</v>
      </c>
      <c r="M352" s="106">
        <v>7416110185.5336123</v>
      </c>
      <c r="N352" s="106">
        <v>11535533003.262676</v>
      </c>
      <c r="O352" s="106">
        <v>38662768849.841515</v>
      </c>
      <c r="P352" s="106">
        <v>97174990767.527878</v>
      </c>
      <c r="Q352" s="106">
        <v>187808815665.77206</v>
      </c>
      <c r="R352" s="106">
        <v>239248892175.92978</v>
      </c>
      <c r="S352" s="105">
        <v>0</v>
      </c>
      <c r="T352" s="105">
        <v>0</v>
      </c>
      <c r="U352" s="105">
        <v>0</v>
      </c>
      <c r="V352" s="105">
        <v>0</v>
      </c>
      <c r="W352" s="105">
        <v>0</v>
      </c>
      <c r="X352" s="105">
        <v>0</v>
      </c>
      <c r="Y352" s="106">
        <v>219877788.36652479</v>
      </c>
      <c r="Z352" s="106">
        <v>280453907.06458849</v>
      </c>
      <c r="AA352" s="106">
        <v>524368842.11496204</v>
      </c>
      <c r="AB352" s="108">
        <v>1090319157.9323187</v>
      </c>
      <c r="AC352" s="108">
        <v>2503290714.2757206</v>
      </c>
      <c r="AD352" s="108">
        <v>4206407667.1313086</v>
      </c>
      <c r="AE352" s="108">
        <v>17658927208.853863</v>
      </c>
      <c r="AF352" s="108">
        <v>26113475026.018826</v>
      </c>
      <c r="AG352" s="108">
        <v>66584146975.297783</v>
      </c>
      <c r="AH352" s="108">
        <v>131636696286.54135</v>
      </c>
      <c r="AI352" s="108">
        <v>212676512071.34409</v>
      </c>
      <c r="AJ352" s="108">
        <v>263395708287.6214</v>
      </c>
      <c r="AK352" s="108">
        <v>26416530240.758354</v>
      </c>
      <c r="AL352" s="108">
        <v>41345415967.078331</v>
      </c>
      <c r="AM352" s="108">
        <v>118520495993.14024</v>
      </c>
      <c r="AN352" s="108">
        <v>236295910683.94888</v>
      </c>
      <c r="AO352" s="108">
        <v>344458053252.20367</v>
      </c>
      <c r="AP352" s="108">
        <v>396356185022.80652</v>
      </c>
      <c r="AQ352" s="108">
        <v>602769958.86080706</v>
      </c>
      <c r="AR352" s="108">
        <v>1018226863.5290118</v>
      </c>
      <c r="AS352" s="108">
        <v>3231310300.0137906</v>
      </c>
      <c r="AT352" s="108">
        <v>9139907186.9237633</v>
      </c>
      <c r="AU352" s="108">
        <v>23389891900.190823</v>
      </c>
      <c r="AV352" s="108">
        <v>39181623862.787697</v>
      </c>
    </row>
    <row r="353" spans="1:48" x14ac:dyDescent="0.35">
      <c r="A353" s="107">
        <f xml:space="preserve"> ROW( slrImpacts[[#This Row],[row_id]] ) - ROW( slrImpacts[[#Headers],[row_id]] )</f>
        <v>352</v>
      </c>
      <c r="B353" s="104">
        <v>2048</v>
      </c>
      <c r="C353" s="104" t="s">
        <v>221</v>
      </c>
      <c r="D353" s="104" t="s">
        <v>87</v>
      </c>
      <c r="E353" s="104" t="s">
        <v>922</v>
      </c>
      <c r="F353" s="104"/>
      <c r="G353" s="105">
        <v>0</v>
      </c>
      <c r="H353" s="105">
        <v>0</v>
      </c>
      <c r="I353" s="105">
        <v>0</v>
      </c>
      <c r="J353" s="105">
        <v>0</v>
      </c>
      <c r="K353" s="105">
        <v>0</v>
      </c>
      <c r="L353" s="105">
        <v>0</v>
      </c>
      <c r="M353" s="106">
        <v>7774291386.806036</v>
      </c>
      <c r="N353" s="106">
        <v>12197102999.121281</v>
      </c>
      <c r="O353" s="106">
        <v>42162631487.897995</v>
      </c>
      <c r="P353" s="106">
        <v>105700570839.26186</v>
      </c>
      <c r="Q353" s="106">
        <v>201669454857.68216</v>
      </c>
      <c r="R353" s="106">
        <v>255238045040.16943</v>
      </c>
      <c r="S353" s="105">
        <v>0</v>
      </c>
      <c r="T353" s="105">
        <v>0</v>
      </c>
      <c r="U353" s="105">
        <v>0</v>
      </c>
      <c r="V353" s="105">
        <v>0</v>
      </c>
      <c r="W353" s="105">
        <v>0</v>
      </c>
      <c r="X353" s="105">
        <v>0</v>
      </c>
      <c r="Y353" s="106">
        <v>224594649.69878501</v>
      </c>
      <c r="Z353" s="106">
        <v>288677526.44577926</v>
      </c>
      <c r="AA353" s="106">
        <v>553740405.33222282</v>
      </c>
      <c r="AB353" s="108">
        <v>1179299243.210279</v>
      </c>
      <c r="AC353" s="108">
        <v>2770874803.2987652</v>
      </c>
      <c r="AD353" s="108">
        <v>4695222376.4304142</v>
      </c>
      <c r="AE353" s="108">
        <v>19424207900.012138</v>
      </c>
      <c r="AF353" s="108">
        <v>28678655514.006443</v>
      </c>
      <c r="AG353" s="108">
        <v>73025431416.356369</v>
      </c>
      <c r="AH353" s="108">
        <v>142876511292.44693</v>
      </c>
      <c r="AI353" s="108">
        <v>226970501540.95468</v>
      </c>
      <c r="AJ353" s="108">
        <v>278279561773.68176</v>
      </c>
      <c r="AK353" s="108">
        <v>28944241484.00491</v>
      </c>
      <c r="AL353" s="108">
        <v>45360982500.493515</v>
      </c>
      <c r="AM353" s="108">
        <v>131039636613.7059</v>
      </c>
      <c r="AN353" s="108">
        <v>255745510024.79431</v>
      </c>
      <c r="AO353" s="108">
        <v>363187577066.09412</v>
      </c>
      <c r="AP353" s="108">
        <v>412088217725.03912</v>
      </c>
      <c r="AQ353" s="108">
        <v>634783934.63216054</v>
      </c>
      <c r="AR353" s="108">
        <v>1083780957.3770616</v>
      </c>
      <c r="AS353" s="108">
        <v>3557412344.683063</v>
      </c>
      <c r="AT353" s="108">
        <v>10247260026.672203</v>
      </c>
      <c r="AU353" s="108">
        <v>26362999537.771938</v>
      </c>
      <c r="AV353" s="108">
        <v>44159621786.264259</v>
      </c>
    </row>
    <row r="354" spans="1:48" x14ac:dyDescent="0.35">
      <c r="A354" s="107">
        <f xml:space="preserve"> ROW( slrImpacts[[#This Row],[row_id]] ) - ROW( slrImpacts[[#Headers],[row_id]] )</f>
        <v>353</v>
      </c>
      <c r="B354" s="104">
        <v>2049</v>
      </c>
      <c r="C354" s="104" t="s">
        <v>221</v>
      </c>
      <c r="D354" s="104" t="s">
        <v>87</v>
      </c>
      <c r="E354" s="104" t="s">
        <v>922</v>
      </c>
      <c r="F354" s="104"/>
      <c r="G354" s="105">
        <v>0</v>
      </c>
      <c r="H354" s="105">
        <v>0</v>
      </c>
      <c r="I354" s="105">
        <v>0</v>
      </c>
      <c r="J354" s="105">
        <v>0</v>
      </c>
      <c r="K354" s="105">
        <v>0</v>
      </c>
      <c r="L354" s="105">
        <v>0</v>
      </c>
      <c r="M354" s="106">
        <v>8154819646.6350126</v>
      </c>
      <c r="N354" s="106">
        <v>12897626996.997952</v>
      </c>
      <c r="O354" s="106">
        <v>45932325160.873489</v>
      </c>
      <c r="P354" s="106">
        <v>114659884307.3262</v>
      </c>
      <c r="Q354" s="106">
        <v>215765318399.88916</v>
      </c>
      <c r="R354" s="106">
        <v>271289216115.98715</v>
      </c>
      <c r="S354" s="105">
        <v>0</v>
      </c>
      <c r="T354" s="105">
        <v>0</v>
      </c>
      <c r="U354" s="105">
        <v>0</v>
      </c>
      <c r="V354" s="105">
        <v>0</v>
      </c>
      <c r="W354" s="105">
        <v>0</v>
      </c>
      <c r="X354" s="105">
        <v>0</v>
      </c>
      <c r="Y354" s="106">
        <v>229388509.98383668</v>
      </c>
      <c r="Z354" s="106">
        <v>297089468.05317158</v>
      </c>
      <c r="AA354" s="106">
        <v>584561172.77525616</v>
      </c>
      <c r="AB354" s="108">
        <v>1275662887.7879062</v>
      </c>
      <c r="AC354" s="108">
        <v>3062690722.0286574</v>
      </c>
      <c r="AD354" s="108">
        <v>5226616241.7791119</v>
      </c>
      <c r="AE354" s="108">
        <v>21314566099.256657</v>
      </c>
      <c r="AF354" s="108">
        <v>31423365683.689236</v>
      </c>
      <c r="AG354" s="108">
        <v>79844890046.93895</v>
      </c>
      <c r="AH354" s="108">
        <v>154417996449.90622</v>
      </c>
      <c r="AI354" s="108">
        <v>241131273468.5062</v>
      </c>
      <c r="AJ354" s="108">
        <v>292850361016.98206</v>
      </c>
      <c r="AK354" s="108">
        <v>31672557883.367619</v>
      </c>
      <c r="AL354" s="108">
        <v>49682957384.843269</v>
      </c>
      <c r="AM354" s="108">
        <v>144370114376.10086</v>
      </c>
      <c r="AN354" s="108">
        <v>275245588792.9411</v>
      </c>
      <c r="AO354" s="108">
        <v>381044610083.13721</v>
      </c>
      <c r="AP354" s="108">
        <v>426644113177.42798</v>
      </c>
      <c r="AQ354" s="108">
        <v>667678367.45396018</v>
      </c>
      <c r="AR354" s="108">
        <v>1151968014.1393733</v>
      </c>
      <c r="AS354" s="108">
        <v>3908879986.5274987</v>
      </c>
      <c r="AT354" s="108">
        <v>11457806113.370422</v>
      </c>
      <c r="AU354" s="108">
        <v>29601313180.694302</v>
      </c>
      <c r="AV354" s="108">
        <v>49585559047.457527</v>
      </c>
    </row>
    <row r="355" spans="1:48" x14ac:dyDescent="0.35">
      <c r="A355" s="107">
        <f xml:space="preserve"> ROW( slrImpacts[[#This Row],[row_id]] ) - ROW( slrImpacts[[#Headers],[row_id]] )</f>
        <v>354</v>
      </c>
      <c r="B355" s="104">
        <v>2050</v>
      </c>
      <c r="C355" s="104" t="s">
        <v>221</v>
      </c>
      <c r="D355" s="104" t="s">
        <v>87</v>
      </c>
      <c r="E355" s="104" t="s">
        <v>922</v>
      </c>
      <c r="F355" s="104"/>
      <c r="G355" s="105">
        <v>0</v>
      </c>
      <c r="H355" s="105">
        <v>0</v>
      </c>
      <c r="I355" s="105">
        <v>0</v>
      </c>
      <c r="J355" s="105">
        <v>0</v>
      </c>
      <c r="K355" s="105">
        <v>0</v>
      </c>
      <c r="L355" s="105">
        <v>0</v>
      </c>
      <c r="M355" s="106">
        <v>8559134216.3297434</v>
      </c>
      <c r="N355" s="106">
        <v>13638971031.393562</v>
      </c>
      <c r="O355" s="106">
        <v>49974921321.640968</v>
      </c>
      <c r="P355" s="106">
        <v>124040290751.94705</v>
      </c>
      <c r="Q355" s="106">
        <v>230044158357.09753</v>
      </c>
      <c r="R355" s="106">
        <v>287362976357.32013</v>
      </c>
      <c r="S355" s="105">
        <v>0</v>
      </c>
      <c r="T355" s="105">
        <v>0</v>
      </c>
      <c r="U355" s="105">
        <v>0</v>
      </c>
      <c r="V355" s="105">
        <v>0</v>
      </c>
      <c r="W355" s="105">
        <v>0</v>
      </c>
      <c r="X355" s="105">
        <v>0</v>
      </c>
      <c r="Y355" s="106">
        <v>234324340.32599851</v>
      </c>
      <c r="Z355" s="106">
        <v>305617740.86780369</v>
      </c>
      <c r="AA355" s="106">
        <v>616922569.00430238</v>
      </c>
      <c r="AB355" s="108">
        <v>1379606162.377888</v>
      </c>
      <c r="AC355" s="108">
        <v>3380048463.6364851</v>
      </c>
      <c r="AD355" s="108">
        <v>5800657097.2086334</v>
      </c>
      <c r="AE355" s="108">
        <v>23331135641.809944</v>
      </c>
      <c r="AF355" s="108">
        <v>34349412478.832085</v>
      </c>
      <c r="AG355" s="108">
        <v>87020689362.91507</v>
      </c>
      <c r="AH355" s="108">
        <v>166208859026.45071</v>
      </c>
      <c r="AI355" s="108">
        <v>255113906301.96774</v>
      </c>
      <c r="AJ355" s="108">
        <v>307136632343.6391</v>
      </c>
      <c r="AK355" s="108">
        <v>34620984952.657288</v>
      </c>
      <c r="AL355" s="108">
        <v>54346097261.851982</v>
      </c>
      <c r="AM355" s="108">
        <v>158509558223.21817</v>
      </c>
      <c r="AN355" s="108">
        <v>294664079379.60388</v>
      </c>
      <c r="AO355" s="108">
        <v>397953101095.49573</v>
      </c>
      <c r="AP355" s="108">
        <v>440116284738.26105</v>
      </c>
      <c r="AQ355" s="108">
        <v>701396395.89111853</v>
      </c>
      <c r="AR355" s="108">
        <v>1222810163.9950554</v>
      </c>
      <c r="AS355" s="108">
        <v>4286883674.0263286</v>
      </c>
      <c r="AT355" s="108">
        <v>12779746667.506701</v>
      </c>
      <c r="AU355" s="108">
        <v>33115763653.606922</v>
      </c>
      <c r="AV355" s="108">
        <v>55476507330.129112</v>
      </c>
    </row>
    <row r="356" spans="1:48" x14ac:dyDescent="0.35">
      <c r="A356" s="107">
        <f xml:space="preserve"> ROW( slrImpacts[[#This Row],[row_id]] ) - ROW( slrImpacts[[#Headers],[row_id]] )</f>
        <v>355</v>
      </c>
      <c r="B356" s="104">
        <v>2051</v>
      </c>
      <c r="C356" s="104" t="s">
        <v>221</v>
      </c>
      <c r="D356" s="104" t="s">
        <v>87</v>
      </c>
      <c r="E356" s="104" t="s">
        <v>922</v>
      </c>
      <c r="F356" s="104"/>
      <c r="G356" s="105">
        <v>0</v>
      </c>
      <c r="H356" s="105">
        <v>0</v>
      </c>
      <c r="I356" s="105">
        <v>0</v>
      </c>
      <c r="J356" s="105">
        <v>0</v>
      </c>
      <c r="K356" s="105">
        <v>0</v>
      </c>
      <c r="L356" s="105">
        <v>0</v>
      </c>
      <c r="M356" s="106">
        <v>8987892246.3703575</v>
      </c>
      <c r="N356" s="106">
        <v>14423407906.526924</v>
      </c>
      <c r="O356" s="106">
        <v>54292809957.439102</v>
      </c>
      <c r="P356" s="106">
        <v>133818487337.67773</v>
      </c>
      <c r="Q356" s="106">
        <v>244457315619.99213</v>
      </c>
      <c r="R356" s="106">
        <v>303441762876.62488</v>
      </c>
      <c r="S356" s="105">
        <v>0</v>
      </c>
      <c r="T356" s="105">
        <v>0</v>
      </c>
      <c r="U356" s="105">
        <v>0</v>
      </c>
      <c r="V356" s="105">
        <v>0</v>
      </c>
      <c r="W356" s="105">
        <v>0</v>
      </c>
      <c r="X356" s="105">
        <v>0</v>
      </c>
      <c r="Y356" s="106">
        <v>239309415.65348125</v>
      </c>
      <c r="Z356" s="106">
        <v>314332546.15593928</v>
      </c>
      <c r="AA356" s="106">
        <v>651029760.78671193</v>
      </c>
      <c r="AB356" s="108">
        <v>1491703908.499284</v>
      </c>
      <c r="AC356" s="108">
        <v>3723823732.3606195</v>
      </c>
      <c r="AD356" s="108">
        <v>6417233761.991066</v>
      </c>
      <c r="AE356" s="108">
        <v>25467472995.615356</v>
      </c>
      <c r="AF356" s="108">
        <v>37456717807.258011</v>
      </c>
      <c r="AG356" s="108">
        <v>94540735637.327835</v>
      </c>
      <c r="AH356" s="108">
        <v>178184803761.78146</v>
      </c>
      <c r="AI356" s="108">
        <v>268893587137.8269</v>
      </c>
      <c r="AJ356" s="108">
        <v>321155753890.76447</v>
      </c>
      <c r="AK356" s="108">
        <v>37792829898.829468</v>
      </c>
      <c r="AL356" s="108">
        <v>59341412447.232483</v>
      </c>
      <c r="AM356" s="108">
        <v>173350080278.72952</v>
      </c>
      <c r="AN356" s="108">
        <v>313796023934.50995</v>
      </c>
      <c r="AO356" s="108">
        <v>413909985134.35156</v>
      </c>
      <c r="AP356" s="108">
        <v>452558958670.93274</v>
      </c>
      <c r="AQ356" s="108">
        <v>735818087.34408796</v>
      </c>
      <c r="AR356" s="108">
        <v>1296321169.2617531</v>
      </c>
      <c r="AS356" s="108">
        <v>4692592786.7049141</v>
      </c>
      <c r="AT356" s="108">
        <v>14218126517.370581</v>
      </c>
      <c r="AU356" s="108">
        <v>36915466019.122375</v>
      </c>
      <c r="AV356" s="108">
        <v>61850638905.932037</v>
      </c>
    </row>
    <row r="357" spans="1:48" x14ac:dyDescent="0.35">
      <c r="A357" s="107">
        <f xml:space="preserve"> ROW( slrImpacts[[#This Row],[row_id]] ) - ROW( slrImpacts[[#Headers],[row_id]] )</f>
        <v>356</v>
      </c>
      <c r="B357" s="104">
        <v>2052</v>
      </c>
      <c r="C357" s="104" t="s">
        <v>221</v>
      </c>
      <c r="D357" s="104" t="s">
        <v>87</v>
      </c>
      <c r="E357" s="104" t="s">
        <v>922</v>
      </c>
      <c r="F357" s="104"/>
      <c r="G357" s="105">
        <v>0</v>
      </c>
      <c r="H357" s="105">
        <v>0</v>
      </c>
      <c r="I357" s="105">
        <v>0</v>
      </c>
      <c r="J357" s="105">
        <v>0</v>
      </c>
      <c r="K357" s="105">
        <v>0</v>
      </c>
      <c r="L357" s="105">
        <v>0</v>
      </c>
      <c r="M357" s="106">
        <v>9442939071.0328083</v>
      </c>
      <c r="N357" s="106">
        <v>15253307299.862743</v>
      </c>
      <c r="O357" s="106">
        <v>58890523082.476364</v>
      </c>
      <c r="P357" s="106">
        <v>143971027916.7475</v>
      </c>
      <c r="Q357" s="106">
        <v>258966203683.43863</v>
      </c>
      <c r="R357" s="106">
        <v>319499366607.5321</v>
      </c>
      <c r="S357" s="105">
        <v>0</v>
      </c>
      <c r="T357" s="105">
        <v>0</v>
      </c>
      <c r="U357" s="105">
        <v>0</v>
      </c>
      <c r="V357" s="105">
        <v>0</v>
      </c>
      <c r="W357" s="105">
        <v>0</v>
      </c>
      <c r="X357" s="105">
        <v>0</v>
      </c>
      <c r="Y357" s="106">
        <v>244408165.56455547</v>
      </c>
      <c r="Z357" s="106">
        <v>323170461.44998813</v>
      </c>
      <c r="AA357" s="106">
        <v>686989146.50060964</v>
      </c>
      <c r="AB357" s="108">
        <v>1612201652.1549745</v>
      </c>
      <c r="AC357" s="108">
        <v>4094550645.40484</v>
      </c>
      <c r="AD357" s="108">
        <v>7076065570.5840015</v>
      </c>
      <c r="AE357" s="108">
        <v>27732867931.739113</v>
      </c>
      <c r="AF357" s="108">
        <v>40744318509.528168</v>
      </c>
      <c r="AG357" s="108">
        <v>102380984212.81023</v>
      </c>
      <c r="AH357" s="108">
        <v>190307644337.54691</v>
      </c>
      <c r="AI357" s="108">
        <v>282461663688.00134</v>
      </c>
      <c r="AJ357" s="108">
        <v>334943045892.83319</v>
      </c>
      <c r="AK357" s="108">
        <v>41202112636.738998</v>
      </c>
      <c r="AL357" s="108">
        <v>64686080932.387154</v>
      </c>
      <c r="AM357" s="108">
        <v>188889013007.94388</v>
      </c>
      <c r="AN357" s="108">
        <v>332603905274.31647</v>
      </c>
      <c r="AO357" s="108">
        <v>428943512112.14105</v>
      </c>
      <c r="AP357" s="108">
        <v>464070258729.7713</v>
      </c>
      <c r="AQ357" s="108">
        <v>771079440.53205109</v>
      </c>
      <c r="AR357" s="108">
        <v>1372593780.2971342</v>
      </c>
      <c r="AS357" s="108">
        <v>5127119793.9218273</v>
      </c>
      <c r="AT357" s="108">
        <v>15776649437.516016</v>
      </c>
      <c r="AU357" s="108">
        <v>41009255338.666405</v>
      </c>
      <c r="AV357" s="108">
        <v>68711565939.836578</v>
      </c>
    </row>
    <row r="358" spans="1:48" x14ac:dyDescent="0.35">
      <c r="A358" s="107">
        <f xml:space="preserve"> ROW( slrImpacts[[#This Row],[row_id]] ) - ROW( slrImpacts[[#Headers],[row_id]] )</f>
        <v>357</v>
      </c>
      <c r="B358" s="104">
        <v>2053</v>
      </c>
      <c r="C358" s="104" t="s">
        <v>221</v>
      </c>
      <c r="D358" s="104" t="s">
        <v>87</v>
      </c>
      <c r="E358" s="104" t="s">
        <v>922</v>
      </c>
      <c r="F358" s="104"/>
      <c r="G358" s="105">
        <v>0</v>
      </c>
      <c r="H358" s="105">
        <v>0</v>
      </c>
      <c r="I358" s="105">
        <v>0</v>
      </c>
      <c r="J358" s="105">
        <v>0</v>
      </c>
      <c r="K358" s="105">
        <v>0</v>
      </c>
      <c r="L358" s="105">
        <v>0</v>
      </c>
      <c r="M358" s="106">
        <v>9925417946.997282</v>
      </c>
      <c r="N358" s="106">
        <v>16130590142.236385</v>
      </c>
      <c r="O358" s="106">
        <v>63776650396.470253</v>
      </c>
      <c r="P358" s="106">
        <v>154477307747.55972</v>
      </c>
      <c r="Q358" s="106">
        <v>273539257570.58838</v>
      </c>
      <c r="R358" s="106">
        <v>335521377619.27777</v>
      </c>
      <c r="S358" s="105">
        <v>0</v>
      </c>
      <c r="T358" s="105">
        <v>0</v>
      </c>
      <c r="U358" s="105">
        <v>0</v>
      </c>
      <c r="V358" s="105">
        <v>0</v>
      </c>
      <c r="W358" s="105">
        <v>0</v>
      </c>
      <c r="X358" s="105">
        <v>0</v>
      </c>
      <c r="Y358" s="106">
        <v>249604966.8259573</v>
      </c>
      <c r="Z358" s="106">
        <v>332121086.37101686</v>
      </c>
      <c r="AA358" s="106">
        <v>724844075.52413189</v>
      </c>
      <c r="AB358" s="108">
        <v>1741759955.1298184</v>
      </c>
      <c r="AC358" s="108">
        <v>4492912747.2963905</v>
      </c>
      <c r="AD358" s="108">
        <v>7777743238.5666332</v>
      </c>
      <c r="AE358" s="108">
        <v>30126187924.134907</v>
      </c>
      <c r="AF358" s="108">
        <v>44216302904.936012</v>
      </c>
      <c r="AG358" s="108">
        <v>110507820592.82515</v>
      </c>
      <c r="AH358" s="108">
        <v>202526105673.18753</v>
      </c>
      <c r="AI358" s="108">
        <v>295823285280.6864</v>
      </c>
      <c r="AJ358" s="108">
        <v>348531731409.68829</v>
      </c>
      <c r="AK358" s="108">
        <v>44865664801.060173</v>
      </c>
      <c r="AL358" s="108">
        <v>70404623821.078384</v>
      </c>
      <c r="AM358" s="108">
        <v>205017618301.42902</v>
      </c>
      <c r="AN358" s="108">
        <v>350964951189.13586</v>
      </c>
      <c r="AO358" s="108">
        <v>443117073432.69073</v>
      </c>
      <c r="AP358" s="108">
        <v>474714670859.00647</v>
      </c>
      <c r="AQ358" s="108">
        <v>807157730.24870551</v>
      </c>
      <c r="AR358" s="108">
        <v>1451708720.6015203</v>
      </c>
      <c r="AS358" s="108">
        <v>5592439325.6043282</v>
      </c>
      <c r="AT358" s="108">
        <v>17457816013.032505</v>
      </c>
      <c r="AU358" s="108">
        <v>45407620664.696831</v>
      </c>
      <c r="AV358" s="108">
        <v>76069236115.745956</v>
      </c>
    </row>
    <row r="359" spans="1:48" x14ac:dyDescent="0.35">
      <c r="A359" s="107">
        <f xml:space="preserve"> ROW( slrImpacts[[#This Row],[row_id]] ) - ROW( slrImpacts[[#Headers],[row_id]] )</f>
        <v>358</v>
      </c>
      <c r="B359" s="104">
        <v>2054</v>
      </c>
      <c r="C359" s="104" t="s">
        <v>221</v>
      </c>
      <c r="D359" s="104" t="s">
        <v>87</v>
      </c>
      <c r="E359" s="104" t="s">
        <v>922</v>
      </c>
      <c r="F359" s="104"/>
      <c r="G359" s="105">
        <v>0</v>
      </c>
      <c r="H359" s="105">
        <v>0</v>
      </c>
      <c r="I359" s="105">
        <v>0</v>
      </c>
      <c r="J359" s="105">
        <v>0</v>
      </c>
      <c r="K359" s="105">
        <v>0</v>
      </c>
      <c r="L359" s="105">
        <v>0</v>
      </c>
      <c r="M359" s="106">
        <v>10436838867.282938</v>
      </c>
      <c r="N359" s="106">
        <v>17057066987.394838</v>
      </c>
      <c r="O359" s="106">
        <v>68949619365.853745</v>
      </c>
      <c r="P359" s="106">
        <v>165303672337.14853</v>
      </c>
      <c r="Q359" s="106">
        <v>288156014601.59497</v>
      </c>
      <c r="R359" s="106">
        <v>351501352980.71802</v>
      </c>
      <c r="S359" s="105">
        <v>0</v>
      </c>
      <c r="T359" s="105">
        <v>0</v>
      </c>
      <c r="U359" s="105">
        <v>0</v>
      </c>
      <c r="V359" s="105">
        <v>0</v>
      </c>
      <c r="W359" s="105">
        <v>0</v>
      </c>
      <c r="X359" s="105">
        <v>0</v>
      </c>
      <c r="Y359" s="106">
        <v>254856792.17667603</v>
      </c>
      <c r="Z359" s="106">
        <v>341335009.22304398</v>
      </c>
      <c r="AA359" s="106">
        <v>764704788.97946811</v>
      </c>
      <c r="AB359" s="108">
        <v>1881056782.2666156</v>
      </c>
      <c r="AC359" s="108">
        <v>4919195371.0719461</v>
      </c>
      <c r="AD359" s="108">
        <v>8520538015.0154352</v>
      </c>
      <c r="AE359" s="108">
        <v>32651631554.785686</v>
      </c>
      <c r="AF359" s="108">
        <v>47866832162.272041</v>
      </c>
      <c r="AG359" s="108">
        <v>118916495450.06462</v>
      </c>
      <c r="AH359" s="108">
        <v>214795499468.34064</v>
      </c>
      <c r="AI359" s="108">
        <v>309004011245.68475</v>
      </c>
      <c r="AJ359" s="108">
        <v>361947804543.56848</v>
      </c>
      <c r="AK359" s="108">
        <v>48790713550.054367</v>
      </c>
      <c r="AL359" s="108">
        <v>76486676407.774033</v>
      </c>
      <c r="AM359" s="108">
        <v>221684385462.62839</v>
      </c>
      <c r="AN359" s="108">
        <v>368866806801.5531</v>
      </c>
      <c r="AO359" s="108">
        <v>456457096852.80219</v>
      </c>
      <c r="AP359" s="108">
        <v>484597397618.54565</v>
      </c>
      <c r="AQ359" s="108">
        <v>844027754.29404461</v>
      </c>
      <c r="AR359" s="108">
        <v>1533702332.7674308</v>
      </c>
      <c r="AS359" s="108">
        <v>6089129571.0936184</v>
      </c>
      <c r="AT359" s="108">
        <v>19270744234.727245</v>
      </c>
      <c r="AU359" s="108">
        <v>50123330516.308937</v>
      </c>
      <c r="AV359" s="108">
        <v>83925086732.242172</v>
      </c>
    </row>
    <row r="360" spans="1:48" x14ac:dyDescent="0.35">
      <c r="A360" s="107">
        <f xml:space="preserve"> ROW( slrImpacts[[#This Row],[row_id]] ) - ROW( slrImpacts[[#Headers],[row_id]] )</f>
        <v>359</v>
      </c>
      <c r="B360" s="104">
        <v>2055</v>
      </c>
      <c r="C360" s="104" t="s">
        <v>221</v>
      </c>
      <c r="D360" s="104" t="s">
        <v>87</v>
      </c>
      <c r="E360" s="104" t="s">
        <v>922</v>
      </c>
      <c r="F360" s="104"/>
      <c r="G360" s="105">
        <v>0</v>
      </c>
      <c r="H360" s="105">
        <v>0</v>
      </c>
      <c r="I360" s="105">
        <v>0</v>
      </c>
      <c r="J360" s="105">
        <v>0</v>
      </c>
      <c r="K360" s="105">
        <v>0</v>
      </c>
      <c r="L360" s="105">
        <v>0</v>
      </c>
      <c r="M360" s="106">
        <v>10978508515.343132</v>
      </c>
      <c r="N360" s="106">
        <v>18034570940.196156</v>
      </c>
      <c r="O360" s="106">
        <v>74413817758.984177</v>
      </c>
      <c r="P360" s="106">
        <v>176418277424.88925</v>
      </c>
      <c r="Q360" s="106">
        <v>302819088275.56323</v>
      </c>
      <c r="R360" s="106">
        <v>367438942549.4201</v>
      </c>
      <c r="S360" s="105">
        <v>0</v>
      </c>
      <c r="T360" s="105">
        <v>0</v>
      </c>
      <c r="U360" s="105">
        <v>0</v>
      </c>
      <c r="V360" s="105">
        <v>0</v>
      </c>
      <c r="W360" s="105">
        <v>0</v>
      </c>
      <c r="X360" s="105">
        <v>0</v>
      </c>
      <c r="Y360" s="106">
        <v>260203702.70519093</v>
      </c>
      <c r="Z360" s="106">
        <v>350669840.09936094</v>
      </c>
      <c r="AA360" s="106">
        <v>806600656.92838323</v>
      </c>
      <c r="AB360" s="108">
        <v>2030625282.3227372</v>
      </c>
      <c r="AC360" s="108">
        <v>5374696701.2533751</v>
      </c>
      <c r="AD360" s="108">
        <v>9304149310.1861916</v>
      </c>
      <c r="AE360" s="108">
        <v>35304063045.132469</v>
      </c>
      <c r="AF360" s="108">
        <v>51693930688.328773</v>
      </c>
      <c r="AG360" s="108">
        <v>127587837716.41925</v>
      </c>
      <c r="AH360" s="108">
        <v>227105752296.54962</v>
      </c>
      <c r="AI360" s="108">
        <v>322018520076.35071</v>
      </c>
      <c r="AJ360" s="108">
        <v>375179183387.06433</v>
      </c>
      <c r="AK360" s="108">
        <v>52995550548.613754</v>
      </c>
      <c r="AL360" s="108">
        <v>82977936819.799698</v>
      </c>
      <c r="AM360" s="108">
        <v>238788850874.97351</v>
      </c>
      <c r="AN360" s="108">
        <v>386252573917.12231</v>
      </c>
      <c r="AO360" s="108">
        <v>468995990188.49603</v>
      </c>
      <c r="AP360" s="108">
        <v>493778391015.54401</v>
      </c>
      <c r="AQ360" s="108">
        <v>881719651.04270673</v>
      </c>
      <c r="AR360" s="108">
        <v>1618903059.4249988</v>
      </c>
      <c r="AS360" s="108">
        <v>6619510716.8757753</v>
      </c>
      <c r="AT360" s="108">
        <v>21215805211.564785</v>
      </c>
      <c r="AU360" s="108">
        <v>55166792468.89946</v>
      </c>
      <c r="AV360" s="108">
        <v>92276185866.46991</v>
      </c>
    </row>
    <row r="361" spans="1:48" x14ac:dyDescent="0.35">
      <c r="A361" s="107">
        <f xml:space="preserve"> ROW( slrImpacts[[#This Row],[row_id]] ) - ROW( slrImpacts[[#Headers],[row_id]] )</f>
        <v>360</v>
      </c>
      <c r="B361" s="104">
        <v>2056</v>
      </c>
      <c r="C361" s="104" t="s">
        <v>221</v>
      </c>
      <c r="D361" s="104" t="s">
        <v>87</v>
      </c>
      <c r="E361" s="104" t="s">
        <v>922</v>
      </c>
      <c r="F361" s="104"/>
      <c r="G361" s="105">
        <v>0</v>
      </c>
      <c r="H361" s="105">
        <v>0</v>
      </c>
      <c r="I361" s="105">
        <v>0</v>
      </c>
      <c r="J361" s="105">
        <v>0</v>
      </c>
      <c r="K361" s="105">
        <v>0</v>
      </c>
      <c r="L361" s="105">
        <v>0</v>
      </c>
      <c r="M361" s="106">
        <v>11541366767.806307</v>
      </c>
      <c r="N361" s="106">
        <v>19060765358.574574</v>
      </c>
      <c r="O361" s="106">
        <v>80212999399.161758</v>
      </c>
      <c r="P361" s="106">
        <v>187891283219.14798</v>
      </c>
      <c r="Q361" s="106">
        <v>317551947925.42975</v>
      </c>
      <c r="R361" s="106">
        <v>383436121972.3136</v>
      </c>
      <c r="S361" s="105">
        <v>0</v>
      </c>
      <c r="T361" s="105">
        <v>0</v>
      </c>
      <c r="U361" s="105">
        <v>0</v>
      </c>
      <c r="V361" s="105">
        <v>0</v>
      </c>
      <c r="W361" s="105">
        <v>0</v>
      </c>
      <c r="X361" s="105">
        <v>0</v>
      </c>
      <c r="Y361" s="106">
        <v>265633552.92937499</v>
      </c>
      <c r="Z361" s="106">
        <v>360238172.43714243</v>
      </c>
      <c r="AA361" s="106">
        <v>851248441.81816232</v>
      </c>
      <c r="AB361" s="108">
        <v>2194368226.2537584</v>
      </c>
      <c r="AC361" s="108">
        <v>5867267912.7543783</v>
      </c>
      <c r="AD361" s="108">
        <v>10141565504.152721</v>
      </c>
      <c r="AE361" s="108">
        <v>38054374244.263329</v>
      </c>
      <c r="AF361" s="108">
        <v>55670705991.298363</v>
      </c>
      <c r="AG361" s="108">
        <v>136512141049.05789</v>
      </c>
      <c r="AH361" s="108">
        <v>239515360282.2847</v>
      </c>
      <c r="AI361" s="108">
        <v>334998480994.70758</v>
      </c>
      <c r="AJ361" s="108">
        <v>388290714275.90912</v>
      </c>
      <c r="AK361" s="108">
        <v>57403108432.252838</v>
      </c>
      <c r="AL361" s="108">
        <v>89824550955.855606</v>
      </c>
      <c r="AM361" s="108">
        <v>256292927194.49228</v>
      </c>
      <c r="AN361" s="108">
        <v>403130650238.4552</v>
      </c>
      <c r="AO361" s="108">
        <v>480818509323.64404</v>
      </c>
      <c r="AP361" s="108">
        <v>502352060895.36792</v>
      </c>
      <c r="AQ361" s="108">
        <v>921064279.36634803</v>
      </c>
      <c r="AR361" s="108">
        <v>1708381681.5942581</v>
      </c>
      <c r="AS361" s="108">
        <v>7198285371.6706161</v>
      </c>
      <c r="AT361" s="108">
        <v>23346907393.073448</v>
      </c>
      <c r="AU361" s="108">
        <v>60634617461.085564</v>
      </c>
      <c r="AV361" s="108">
        <v>101270271853.43248</v>
      </c>
    </row>
    <row r="362" spans="1:48" x14ac:dyDescent="0.35">
      <c r="A362" s="107">
        <f xml:space="preserve"> ROW( slrImpacts[[#This Row],[row_id]] ) - ROW( slrImpacts[[#Headers],[row_id]] )</f>
        <v>361</v>
      </c>
      <c r="B362" s="104">
        <v>2057</v>
      </c>
      <c r="C362" s="104" t="s">
        <v>221</v>
      </c>
      <c r="D362" s="104" t="s">
        <v>87</v>
      </c>
      <c r="E362" s="104" t="s">
        <v>922</v>
      </c>
      <c r="F362" s="104"/>
      <c r="G362" s="105">
        <v>0</v>
      </c>
      <c r="H362" s="105">
        <v>0</v>
      </c>
      <c r="I362" s="105">
        <v>0</v>
      </c>
      <c r="J362" s="105">
        <v>0</v>
      </c>
      <c r="K362" s="105">
        <v>0</v>
      </c>
      <c r="L362" s="105">
        <v>0</v>
      </c>
      <c r="M362" s="106">
        <v>12121867999.947737</v>
      </c>
      <c r="N362" s="106">
        <v>20136226597.126659</v>
      </c>
      <c r="O362" s="106">
        <v>86311649658.401993</v>
      </c>
      <c r="P362" s="106">
        <v>199587194423.84253</v>
      </c>
      <c r="Q362" s="106">
        <v>332145681487.90253</v>
      </c>
      <c r="R362" s="106">
        <v>399232231766.38593</v>
      </c>
      <c r="S362" s="105">
        <v>0</v>
      </c>
      <c r="T362" s="105">
        <v>0</v>
      </c>
      <c r="U362" s="105">
        <v>0</v>
      </c>
      <c r="V362" s="105">
        <v>0</v>
      </c>
      <c r="W362" s="105">
        <v>0</v>
      </c>
      <c r="X362" s="105">
        <v>0</v>
      </c>
      <c r="Y362" s="106">
        <v>271151749.1959399</v>
      </c>
      <c r="Z362" s="106">
        <v>370103263.67369574</v>
      </c>
      <c r="AA362" s="106">
        <v>898790104.52482128</v>
      </c>
      <c r="AB362" s="108">
        <v>2372384623.9039164</v>
      </c>
      <c r="AC362" s="108">
        <v>6394691667.2316933</v>
      </c>
      <c r="AD362" s="108">
        <v>11024180509.188995</v>
      </c>
      <c r="AE362" s="108">
        <v>40927979264.115265</v>
      </c>
      <c r="AF362" s="108">
        <v>59790841575.257729</v>
      </c>
      <c r="AG362" s="108">
        <v>145600878251.57257</v>
      </c>
      <c r="AH362" s="108">
        <v>251852270905.21643</v>
      </c>
      <c r="AI362" s="108">
        <v>347777134747.2608</v>
      </c>
      <c r="AJ362" s="108">
        <v>401026116237.95715</v>
      </c>
      <c r="AK362" s="108">
        <v>62025205296.882286</v>
      </c>
      <c r="AL362" s="108">
        <v>97042053339.133865</v>
      </c>
      <c r="AM362" s="108">
        <v>273904733167.69177</v>
      </c>
      <c r="AN362" s="108">
        <v>419311573134.15131</v>
      </c>
      <c r="AO362" s="108">
        <v>491757821197.12073</v>
      </c>
      <c r="AP362" s="108">
        <v>510262017696.2995</v>
      </c>
      <c r="AQ362" s="108">
        <v>962638201.34458661</v>
      </c>
      <c r="AR362" s="108">
        <v>1803715674.6611991</v>
      </c>
      <c r="AS362" s="108">
        <v>7828755333.1143875</v>
      </c>
      <c r="AT362" s="108">
        <v>25661796056.888615</v>
      </c>
      <c r="AU362" s="108">
        <v>66509149433.305405</v>
      </c>
      <c r="AV362" s="108">
        <v>110824791767.33014</v>
      </c>
    </row>
    <row r="363" spans="1:48" x14ac:dyDescent="0.35">
      <c r="A363" s="107">
        <f xml:space="preserve"> ROW( slrImpacts[[#This Row],[row_id]] ) - ROW( slrImpacts[[#Headers],[row_id]] )</f>
        <v>362</v>
      </c>
      <c r="B363" s="104">
        <v>2058</v>
      </c>
      <c r="C363" s="104" t="s">
        <v>221</v>
      </c>
      <c r="D363" s="104" t="s">
        <v>87</v>
      </c>
      <c r="E363" s="104" t="s">
        <v>922</v>
      </c>
      <c r="F363" s="104"/>
      <c r="G363" s="105">
        <v>0</v>
      </c>
      <c r="H363" s="105">
        <v>0</v>
      </c>
      <c r="I363" s="105">
        <v>0</v>
      </c>
      <c r="J363" s="105">
        <v>0</v>
      </c>
      <c r="K363" s="105">
        <v>0</v>
      </c>
      <c r="L363" s="105">
        <v>0</v>
      </c>
      <c r="M363" s="106">
        <v>12720197517.37043</v>
      </c>
      <c r="N363" s="106">
        <v>21262853185.760895</v>
      </c>
      <c r="O363" s="106">
        <v>92708188548.350601</v>
      </c>
      <c r="P363" s="106">
        <v>211467580880.53622</v>
      </c>
      <c r="Q363" s="106">
        <v>346596083659.61365</v>
      </c>
      <c r="R363" s="106">
        <v>414834750695.58081</v>
      </c>
      <c r="S363" s="105">
        <v>0</v>
      </c>
      <c r="T363" s="105">
        <v>0</v>
      </c>
      <c r="U363" s="105">
        <v>0</v>
      </c>
      <c r="V363" s="105">
        <v>0</v>
      </c>
      <c r="W363" s="105">
        <v>0</v>
      </c>
      <c r="X363" s="105">
        <v>0</v>
      </c>
      <c r="Y363" s="106">
        <v>276732454.96328193</v>
      </c>
      <c r="Z363" s="106">
        <v>380169229.67166013</v>
      </c>
      <c r="AA363" s="106">
        <v>949346985.89213443</v>
      </c>
      <c r="AB363" s="108">
        <v>2565665749.1113009</v>
      </c>
      <c r="AC363" s="108">
        <v>6957335732.6376276</v>
      </c>
      <c r="AD363" s="108">
        <v>11950326695.139757</v>
      </c>
      <c r="AE363" s="108">
        <v>43912498890.501495</v>
      </c>
      <c r="AF363" s="108">
        <v>64056597151.019371</v>
      </c>
      <c r="AG363" s="108">
        <v>154807660389.88007</v>
      </c>
      <c r="AH363" s="108">
        <v>264099983338.30746</v>
      </c>
      <c r="AI363" s="108">
        <v>360385191362.53412</v>
      </c>
      <c r="AJ363" s="108">
        <v>413363123214.44434</v>
      </c>
      <c r="AK363" s="108">
        <v>66855868840.92717</v>
      </c>
      <c r="AL363" s="108">
        <v>104622293059.85547</v>
      </c>
      <c r="AM363" s="108">
        <v>291538704052.05029</v>
      </c>
      <c r="AN363" s="108">
        <v>434788669810.94843</v>
      </c>
      <c r="AO363" s="108">
        <v>501906472885.34351</v>
      </c>
      <c r="AP363" s="108">
        <v>517638516816.54596</v>
      </c>
      <c r="AQ363" s="108">
        <v>1006578432.1872767</v>
      </c>
      <c r="AR363" s="108">
        <v>1904831241.17119</v>
      </c>
      <c r="AS363" s="108">
        <v>8514677439.1670485</v>
      </c>
      <c r="AT363" s="108">
        <v>28173361743.891506</v>
      </c>
      <c r="AU363" s="108">
        <v>72804258848.884796</v>
      </c>
      <c r="AV363" s="108">
        <v>120916301766.67529</v>
      </c>
    </row>
    <row r="364" spans="1:48" x14ac:dyDescent="0.35">
      <c r="A364" s="107">
        <f xml:space="preserve"> ROW( slrImpacts[[#This Row],[row_id]] ) - ROW( slrImpacts[[#Headers],[row_id]] )</f>
        <v>363</v>
      </c>
      <c r="B364" s="104">
        <v>2059</v>
      </c>
      <c r="C364" s="104" t="s">
        <v>221</v>
      </c>
      <c r="D364" s="104" t="s">
        <v>87</v>
      </c>
      <c r="E364" s="104" t="s">
        <v>922</v>
      </c>
      <c r="F364" s="104"/>
      <c r="G364" s="105">
        <v>0</v>
      </c>
      <c r="H364" s="105">
        <v>0</v>
      </c>
      <c r="I364" s="105">
        <v>0</v>
      </c>
      <c r="J364" s="105">
        <v>0</v>
      </c>
      <c r="K364" s="105">
        <v>0</v>
      </c>
      <c r="L364" s="105">
        <v>0</v>
      </c>
      <c r="M364" s="106">
        <v>13337362051.646475</v>
      </c>
      <c r="N364" s="106">
        <v>22441519232.890316</v>
      </c>
      <c r="O364" s="106">
        <v>99398757343.571472</v>
      </c>
      <c r="P364" s="106">
        <v>223503701090.47113</v>
      </c>
      <c r="Q364" s="106">
        <v>360892098283.84283</v>
      </c>
      <c r="R364" s="106">
        <v>430253121128.03101</v>
      </c>
      <c r="S364" s="105">
        <v>0</v>
      </c>
      <c r="T364" s="105">
        <v>0</v>
      </c>
      <c r="U364" s="105">
        <v>0</v>
      </c>
      <c r="V364" s="105">
        <v>0</v>
      </c>
      <c r="W364" s="105">
        <v>0</v>
      </c>
      <c r="X364" s="105">
        <v>0</v>
      </c>
      <c r="Y364" s="106">
        <v>282429117.89962775</v>
      </c>
      <c r="Z364" s="106">
        <v>390527845.0313096</v>
      </c>
      <c r="AA364" s="106">
        <v>1003016659.9600604</v>
      </c>
      <c r="AB364" s="108">
        <v>2775016316.2887702</v>
      </c>
      <c r="AC364" s="108">
        <v>7555120787.1974049</v>
      </c>
      <c r="AD364" s="108">
        <v>12917610982.258093</v>
      </c>
      <c r="AE364" s="108">
        <v>47005133505.505768</v>
      </c>
      <c r="AF364" s="108">
        <v>68432289515.858604</v>
      </c>
      <c r="AG364" s="108">
        <v>164122929155.46368</v>
      </c>
      <c r="AH364" s="108">
        <v>276244798727.49298</v>
      </c>
      <c r="AI364" s="108">
        <v>372848165030.30554</v>
      </c>
      <c r="AJ364" s="108">
        <v>425280122737.35095</v>
      </c>
      <c r="AK364" s="108">
        <v>71898756694.911026</v>
      </c>
      <c r="AL364" s="108">
        <v>112568343345.31966</v>
      </c>
      <c r="AM364" s="108">
        <v>309109378212.68317</v>
      </c>
      <c r="AN364" s="108">
        <v>449577768033.44891</v>
      </c>
      <c r="AO364" s="108">
        <v>511361077572.98889</v>
      </c>
      <c r="AP364" s="108">
        <v>524583217734.37213</v>
      </c>
      <c r="AQ364" s="108">
        <v>1053049718.3248059</v>
      </c>
      <c r="AR364" s="108">
        <v>2012280250.2116816</v>
      </c>
      <c r="AS364" s="108">
        <v>9259871294.0224781</v>
      </c>
      <c r="AT364" s="108">
        <v>30883089895.145187</v>
      </c>
      <c r="AU364" s="108">
        <v>79522136416.523987</v>
      </c>
      <c r="AV364" s="108">
        <v>131505957893.64677</v>
      </c>
    </row>
    <row r="365" spans="1:48" x14ac:dyDescent="0.35">
      <c r="A365" s="107">
        <f xml:space="preserve"> ROW( slrImpacts[[#This Row],[row_id]] ) - ROW( slrImpacts[[#Headers],[row_id]] )</f>
        <v>364</v>
      </c>
      <c r="B365" s="104">
        <v>2060</v>
      </c>
      <c r="C365" s="104" t="s">
        <v>221</v>
      </c>
      <c r="D365" s="104" t="s">
        <v>87</v>
      </c>
      <c r="E365" s="104" t="s">
        <v>922</v>
      </c>
      <c r="F365" s="104"/>
      <c r="G365" s="105">
        <v>0</v>
      </c>
      <c r="H365" s="105">
        <v>0</v>
      </c>
      <c r="I365" s="105">
        <v>0</v>
      </c>
      <c r="J365" s="105">
        <v>0</v>
      </c>
      <c r="K365" s="105">
        <v>0</v>
      </c>
      <c r="L365" s="105">
        <v>0</v>
      </c>
      <c r="M365" s="106">
        <v>13973840401.999861</v>
      </c>
      <c r="N365" s="106">
        <v>23674983486.351341</v>
      </c>
      <c r="O365" s="106">
        <v>106377742488.09082</v>
      </c>
      <c r="P365" s="106">
        <v>235667031408.83365</v>
      </c>
      <c r="Q365" s="106">
        <v>375041006073.39868</v>
      </c>
      <c r="R365" s="106">
        <v>445501991718.70605</v>
      </c>
      <c r="S365" s="105">
        <v>0</v>
      </c>
      <c r="T365" s="105">
        <v>0</v>
      </c>
      <c r="U365" s="105">
        <v>0</v>
      </c>
      <c r="V365" s="105">
        <v>0</v>
      </c>
      <c r="W365" s="105">
        <v>0</v>
      </c>
      <c r="X365" s="105">
        <v>0</v>
      </c>
      <c r="Y365" s="106">
        <v>288238080.2413252</v>
      </c>
      <c r="Z365" s="106">
        <v>401200794.82722843</v>
      </c>
      <c r="AA365" s="106">
        <v>1060059198.1456422</v>
      </c>
      <c r="AB365" s="108">
        <v>3000946073.4719706</v>
      </c>
      <c r="AC365" s="108">
        <v>8187881163.6111517</v>
      </c>
      <c r="AD365" s="108">
        <v>13923842370.636143</v>
      </c>
      <c r="AE365" s="108">
        <v>50204026899.028809</v>
      </c>
      <c r="AF365" s="108">
        <v>72930770751.56102</v>
      </c>
      <c r="AG365" s="108">
        <v>173515666281.99548</v>
      </c>
      <c r="AH365" s="108">
        <v>288296306588.18842</v>
      </c>
      <c r="AI365" s="108">
        <v>385182492339.0285</v>
      </c>
      <c r="AJ365" s="108">
        <v>436770160121.409</v>
      </c>
      <c r="AK365" s="108">
        <v>77147174889.691849</v>
      </c>
      <c r="AL365" s="108">
        <v>120870256783.63087</v>
      </c>
      <c r="AM365" s="108">
        <v>326556508929.33221</v>
      </c>
      <c r="AN365" s="108">
        <v>463707942576.74817</v>
      </c>
      <c r="AO365" s="108">
        <v>520192074009.1756</v>
      </c>
      <c r="AP365" s="108">
        <v>531192734500.85242</v>
      </c>
      <c r="AQ365" s="108">
        <v>1102061832.1887064</v>
      </c>
      <c r="AR365" s="108">
        <v>2125931475.6018302</v>
      </c>
      <c r="AS365" s="108">
        <v>10067195233.301125</v>
      </c>
      <c r="AT365" s="108">
        <v>33806275356.631462</v>
      </c>
      <c r="AU365" s="108">
        <v>86667340051.002594</v>
      </c>
      <c r="AV365" s="108">
        <v>142552107520.19452</v>
      </c>
    </row>
    <row r="366" spans="1:48" x14ac:dyDescent="0.35">
      <c r="A366" s="107">
        <f xml:space="preserve"> ROW( slrImpacts[[#This Row],[row_id]] ) - ROW( slrImpacts[[#Headers],[row_id]] )</f>
        <v>365</v>
      </c>
      <c r="B366" s="104">
        <v>2061</v>
      </c>
      <c r="C366" s="104" t="s">
        <v>221</v>
      </c>
      <c r="D366" s="104" t="s">
        <v>87</v>
      </c>
      <c r="E366" s="104" t="s">
        <v>922</v>
      </c>
      <c r="F366" s="104"/>
      <c r="G366" s="105">
        <v>0</v>
      </c>
      <c r="H366" s="105">
        <v>0</v>
      </c>
      <c r="I366" s="105">
        <v>0</v>
      </c>
      <c r="J366" s="105">
        <v>0</v>
      </c>
      <c r="K366" s="105">
        <v>0</v>
      </c>
      <c r="L366" s="105">
        <v>0</v>
      </c>
      <c r="M366" s="106">
        <v>14630588366.551605</v>
      </c>
      <c r="N366" s="106">
        <v>24964376043.610432</v>
      </c>
      <c r="O366" s="106">
        <v>113635107280.94485</v>
      </c>
      <c r="P366" s="106">
        <v>247922441390.62329</v>
      </c>
      <c r="Q366" s="106">
        <v>389033781195.3855</v>
      </c>
      <c r="R366" s="106">
        <v>460583274513.77478</v>
      </c>
      <c r="S366" s="105">
        <v>0</v>
      </c>
      <c r="T366" s="105">
        <v>0</v>
      </c>
      <c r="U366" s="105">
        <v>0</v>
      </c>
      <c r="V366" s="105">
        <v>0</v>
      </c>
      <c r="W366" s="105">
        <v>0</v>
      </c>
      <c r="X366" s="105">
        <v>0</v>
      </c>
      <c r="Y366" s="106">
        <v>294102397.16659462</v>
      </c>
      <c r="Z366" s="106">
        <v>412187107.18006241</v>
      </c>
      <c r="AA366" s="106">
        <v>1120794766.0978525</v>
      </c>
      <c r="AB366" s="108">
        <v>3244547381.7575874</v>
      </c>
      <c r="AC366" s="108">
        <v>8854675372.8024979</v>
      </c>
      <c r="AD366" s="108">
        <v>14967246453.59602</v>
      </c>
      <c r="AE366" s="108">
        <v>53515446251.409103</v>
      </c>
      <c r="AF366" s="108">
        <v>77543515411.618271</v>
      </c>
      <c r="AG366" s="108">
        <v>182988111362.56168</v>
      </c>
      <c r="AH366" s="108">
        <v>300243253584.70929</v>
      </c>
      <c r="AI366" s="108">
        <v>397362945721.29272</v>
      </c>
      <c r="AJ366" s="108">
        <v>447819995711.56647</v>
      </c>
      <c r="AK366" s="108">
        <v>82614249437.035812</v>
      </c>
      <c r="AL366" s="108">
        <v>129530727986.21587</v>
      </c>
      <c r="AM366" s="108">
        <v>343794706563.57184</v>
      </c>
      <c r="AN366" s="108">
        <v>477175711310.92267</v>
      </c>
      <c r="AO366" s="108">
        <v>528462047508.04254</v>
      </c>
      <c r="AP366" s="108">
        <v>537531347039.30408</v>
      </c>
      <c r="AQ366" s="108">
        <v>1153802048.1830628</v>
      </c>
      <c r="AR366" s="108">
        <v>2246670148.0850244</v>
      </c>
      <c r="AS366" s="108">
        <v>10940646953.103964</v>
      </c>
      <c r="AT366" s="108">
        <v>36948672884.427849</v>
      </c>
      <c r="AU366" s="108">
        <v>94238346653.499054</v>
      </c>
      <c r="AV366" s="108">
        <v>154008967043.26401</v>
      </c>
    </row>
    <row r="367" spans="1:48" x14ac:dyDescent="0.35">
      <c r="A367" s="107">
        <f xml:space="preserve"> ROW( slrImpacts[[#This Row],[row_id]] ) - ROW( slrImpacts[[#Headers],[row_id]] )</f>
        <v>366</v>
      </c>
      <c r="B367" s="104">
        <v>2062</v>
      </c>
      <c r="C367" s="104" t="s">
        <v>221</v>
      </c>
      <c r="D367" s="104" t="s">
        <v>87</v>
      </c>
      <c r="E367" s="104" t="s">
        <v>922</v>
      </c>
      <c r="F367" s="104"/>
      <c r="G367" s="105">
        <v>0</v>
      </c>
      <c r="H367" s="105">
        <v>0</v>
      </c>
      <c r="I367" s="105">
        <v>0</v>
      </c>
      <c r="J367" s="105">
        <v>0</v>
      </c>
      <c r="K367" s="105">
        <v>0</v>
      </c>
      <c r="L367" s="105">
        <v>0</v>
      </c>
      <c r="M367" s="106">
        <v>15307296590.613289</v>
      </c>
      <c r="N367" s="106">
        <v>26311660094.736309</v>
      </c>
      <c r="O367" s="106">
        <v>121172611988.81747</v>
      </c>
      <c r="P367" s="106">
        <v>260244883702.42096</v>
      </c>
      <c r="Q367" s="106">
        <v>402870630560.73871</v>
      </c>
      <c r="R367" s="106">
        <v>475509249865.64728</v>
      </c>
      <c r="S367" s="105">
        <v>0</v>
      </c>
      <c r="T367" s="105">
        <v>0</v>
      </c>
      <c r="U367" s="105">
        <v>0</v>
      </c>
      <c r="V367" s="105">
        <v>0</v>
      </c>
      <c r="W367" s="105">
        <v>0</v>
      </c>
      <c r="X367" s="105">
        <v>0</v>
      </c>
      <c r="Y367" s="106">
        <v>300073164.67073619</v>
      </c>
      <c r="Z367" s="106">
        <v>423434028.62110418</v>
      </c>
      <c r="AA367" s="106">
        <v>1185194118.4834256</v>
      </c>
      <c r="AB367" s="108">
        <v>3506090108.2231259</v>
      </c>
      <c r="AC367" s="108">
        <v>9554894535.3997135</v>
      </c>
      <c r="AD367" s="108">
        <v>16046007069.839373</v>
      </c>
      <c r="AE367" s="108">
        <v>56933017309.994499</v>
      </c>
      <c r="AF367" s="108">
        <v>82238737830.969299</v>
      </c>
      <c r="AG367" s="108">
        <v>192518585011.04346</v>
      </c>
      <c r="AH367" s="108">
        <v>312085018918.15857</v>
      </c>
      <c r="AI367" s="108">
        <v>409366983667.99866</v>
      </c>
      <c r="AJ367" s="108">
        <v>458422415216.49963</v>
      </c>
      <c r="AK367" s="108">
        <v>88276737453.454544</v>
      </c>
      <c r="AL367" s="108">
        <v>138521952001.95441</v>
      </c>
      <c r="AM367" s="108">
        <v>360784598852.87274</v>
      </c>
      <c r="AN367" s="108">
        <v>490036326620.32959</v>
      </c>
      <c r="AO367" s="108">
        <v>536258347665.14624</v>
      </c>
      <c r="AP367" s="108">
        <v>543678174135.50665</v>
      </c>
      <c r="AQ367" s="108">
        <v>1208362368.2560794</v>
      </c>
      <c r="AR367" s="108">
        <v>2374601515.431561</v>
      </c>
      <c r="AS367" s="108">
        <v>11885524184.213182</v>
      </c>
      <c r="AT367" s="108">
        <v>40321250448.224884</v>
      </c>
      <c r="AU367" s="108">
        <v>102234268666.18607</v>
      </c>
      <c r="AV367" s="108">
        <v>165837814038.38339</v>
      </c>
    </row>
    <row r="368" spans="1:48" x14ac:dyDescent="0.35">
      <c r="A368" s="107">
        <f xml:space="preserve"> ROW( slrImpacts[[#This Row],[row_id]] ) - ROW( slrImpacts[[#Headers],[row_id]] )</f>
        <v>367</v>
      </c>
      <c r="B368" s="104">
        <v>2063</v>
      </c>
      <c r="C368" s="104" t="s">
        <v>221</v>
      </c>
      <c r="D368" s="104" t="s">
        <v>87</v>
      </c>
      <c r="E368" s="104" t="s">
        <v>922</v>
      </c>
      <c r="F368" s="104"/>
      <c r="G368" s="105">
        <v>0</v>
      </c>
      <c r="H368" s="105">
        <v>0</v>
      </c>
      <c r="I368" s="105">
        <v>0</v>
      </c>
      <c r="J368" s="105">
        <v>0</v>
      </c>
      <c r="K368" s="105">
        <v>0</v>
      </c>
      <c r="L368" s="105">
        <v>0</v>
      </c>
      <c r="M368" s="106">
        <v>16005386634.145933</v>
      </c>
      <c r="N368" s="106">
        <v>27719140058.11808</v>
      </c>
      <c r="O368" s="106">
        <v>128984658582.84319</v>
      </c>
      <c r="P368" s="106">
        <v>272620602991.55124</v>
      </c>
      <c r="Q368" s="106">
        <v>416557686154.06873</v>
      </c>
      <c r="R368" s="106">
        <v>490307177292.19604</v>
      </c>
      <c r="S368" s="105">
        <v>0</v>
      </c>
      <c r="T368" s="105">
        <v>0</v>
      </c>
      <c r="U368" s="105">
        <v>0</v>
      </c>
      <c r="V368" s="105">
        <v>0</v>
      </c>
      <c r="W368" s="105">
        <v>0</v>
      </c>
      <c r="X368" s="105">
        <v>0</v>
      </c>
      <c r="Y368" s="106">
        <v>306152165.24618036</v>
      </c>
      <c r="Z368" s="106">
        <v>435049013.02510041</v>
      </c>
      <c r="AA368" s="106">
        <v>1253396833.7475524</v>
      </c>
      <c r="AB368" s="108">
        <v>3786614669.3919525</v>
      </c>
      <c r="AC368" s="108">
        <v>10288341523.515903</v>
      </c>
      <c r="AD368" s="108">
        <v>17157702168.786812</v>
      </c>
      <c r="AE368" s="108">
        <v>60445260621.148964</v>
      </c>
      <c r="AF368" s="108">
        <v>87032110810.344208</v>
      </c>
      <c r="AG368" s="108">
        <v>202089739534.98169</v>
      </c>
      <c r="AH368" s="108">
        <v>323840583731.93689</v>
      </c>
      <c r="AI368" s="108">
        <v>421164152074.11371</v>
      </c>
      <c r="AJ368" s="108">
        <v>468582437653.90442</v>
      </c>
      <c r="AK368" s="108">
        <v>94146100375.759079</v>
      </c>
      <c r="AL368" s="108">
        <v>147848303132.39764</v>
      </c>
      <c r="AM368" s="108">
        <v>377455921469.27087</v>
      </c>
      <c r="AN368" s="108">
        <v>502302423959.05914</v>
      </c>
      <c r="AO368" s="108">
        <v>543660371592.38379</v>
      </c>
      <c r="AP368" s="108">
        <v>549686541268.27753</v>
      </c>
      <c r="AQ368" s="108">
        <v>1265851002.3137608</v>
      </c>
      <c r="AR368" s="108">
        <v>2509991492.9818878</v>
      </c>
      <c r="AS368" s="108">
        <v>12902632706.438566</v>
      </c>
      <c r="AT368" s="108">
        <v>43931469652.204552</v>
      </c>
      <c r="AU368" s="108">
        <v>110641010381.08904</v>
      </c>
      <c r="AV368" s="108">
        <v>177994069054.37009</v>
      </c>
    </row>
    <row r="369" spans="1:48" x14ac:dyDescent="0.35">
      <c r="A369" s="107">
        <f xml:space="preserve"> ROW( slrImpacts[[#This Row],[row_id]] ) - ROW( slrImpacts[[#Headers],[row_id]] )</f>
        <v>368</v>
      </c>
      <c r="B369" s="104">
        <v>2064</v>
      </c>
      <c r="C369" s="104" t="s">
        <v>221</v>
      </c>
      <c r="D369" s="104" t="s">
        <v>87</v>
      </c>
      <c r="E369" s="104" t="s">
        <v>922</v>
      </c>
      <c r="F369" s="104"/>
      <c r="G369" s="105">
        <v>0</v>
      </c>
      <c r="H369" s="105">
        <v>0</v>
      </c>
      <c r="I369" s="105">
        <v>0</v>
      </c>
      <c r="J369" s="105">
        <v>0</v>
      </c>
      <c r="K369" s="105">
        <v>0</v>
      </c>
      <c r="L369" s="105">
        <v>0</v>
      </c>
      <c r="M369" s="106">
        <v>16725465840.557646</v>
      </c>
      <c r="N369" s="106">
        <v>29187875961.773552</v>
      </c>
      <c r="O369" s="106">
        <v>137058694704.16222</v>
      </c>
      <c r="P369" s="106">
        <v>285036747736.46954</v>
      </c>
      <c r="Q369" s="106">
        <v>430099370044.5108</v>
      </c>
      <c r="R369" s="106">
        <v>504995883181.4621</v>
      </c>
      <c r="S369" s="105">
        <v>0</v>
      </c>
      <c r="T369" s="105">
        <v>0</v>
      </c>
      <c r="U369" s="105">
        <v>0</v>
      </c>
      <c r="V369" s="105">
        <v>0</v>
      </c>
      <c r="W369" s="105">
        <v>0</v>
      </c>
      <c r="X369" s="105">
        <v>0</v>
      </c>
      <c r="Y369" s="106">
        <v>312329441.95520931</v>
      </c>
      <c r="Z369" s="106">
        <v>447053586.94797301</v>
      </c>
      <c r="AA369" s="106">
        <v>1325565245.0668681</v>
      </c>
      <c r="AB369" s="108">
        <v>4086523745.862936</v>
      </c>
      <c r="AC369" s="108">
        <v>11054507058.151537</v>
      </c>
      <c r="AD369" s="108">
        <v>18300043190.322803</v>
      </c>
      <c r="AE369" s="108">
        <v>64047904448.168922</v>
      </c>
      <c r="AF369" s="108">
        <v>91915384672.514679</v>
      </c>
      <c r="AG369" s="108">
        <v>211710176762.5759</v>
      </c>
      <c r="AH369" s="108">
        <v>335521577705.74274</v>
      </c>
      <c r="AI369" s="108">
        <v>432727118513.70251</v>
      </c>
      <c r="AJ369" s="108">
        <v>478305298233.68579</v>
      </c>
      <c r="AK369" s="108">
        <v>100169855024.59824</v>
      </c>
      <c r="AL369" s="108">
        <v>157435014752.60013</v>
      </c>
      <c r="AM369" s="108">
        <v>393769812726.62744</v>
      </c>
      <c r="AN369" s="108">
        <v>514003289260.39545</v>
      </c>
      <c r="AO369" s="108">
        <v>550729098628.94189</v>
      </c>
      <c r="AP369" s="108">
        <v>555593331884.80322</v>
      </c>
      <c r="AQ369" s="108">
        <v>1326509758.6250055</v>
      </c>
      <c r="AR369" s="108">
        <v>2653099586.1778126</v>
      </c>
      <c r="AS369" s="108">
        <v>13997001086.34903</v>
      </c>
      <c r="AT369" s="108">
        <v>47788563656.146507</v>
      </c>
      <c r="AU369" s="108">
        <v>119447954846.89594</v>
      </c>
      <c r="AV369" s="108">
        <v>190430926210.72971</v>
      </c>
    </row>
    <row r="370" spans="1:48" x14ac:dyDescent="0.35">
      <c r="A370" s="107">
        <f xml:space="preserve"> ROW( slrImpacts[[#This Row],[row_id]] ) - ROW( slrImpacts[[#Headers],[row_id]] )</f>
        <v>369</v>
      </c>
      <c r="B370" s="104">
        <v>2065</v>
      </c>
      <c r="C370" s="104" t="s">
        <v>221</v>
      </c>
      <c r="D370" s="104" t="s">
        <v>87</v>
      </c>
      <c r="E370" s="104" t="s">
        <v>922</v>
      </c>
      <c r="F370" s="104"/>
      <c r="G370" s="105">
        <v>0</v>
      </c>
      <c r="H370" s="105">
        <v>0</v>
      </c>
      <c r="I370" s="105">
        <v>0</v>
      </c>
      <c r="J370" s="105">
        <v>0</v>
      </c>
      <c r="K370" s="105">
        <v>0</v>
      </c>
      <c r="L370" s="105">
        <v>0</v>
      </c>
      <c r="M370" s="106">
        <v>17467975870.00383</v>
      </c>
      <c r="N370" s="106">
        <v>30720860850.092518</v>
      </c>
      <c r="O370" s="106">
        <v>145389633328.44339</v>
      </c>
      <c r="P370" s="106">
        <v>297483317240.42242</v>
      </c>
      <c r="Q370" s="106">
        <v>443500734714.31677</v>
      </c>
      <c r="R370" s="106">
        <v>519591537847.30389</v>
      </c>
      <c r="S370" s="105">
        <v>0</v>
      </c>
      <c r="T370" s="105">
        <v>0</v>
      </c>
      <c r="U370" s="105">
        <v>0</v>
      </c>
      <c r="V370" s="105">
        <v>0</v>
      </c>
      <c r="W370" s="105">
        <v>0</v>
      </c>
      <c r="X370" s="105">
        <v>0</v>
      </c>
      <c r="Y370" s="106">
        <v>318577173.41075927</v>
      </c>
      <c r="Z370" s="106">
        <v>459190013.16962731</v>
      </c>
      <c r="AA370" s="106">
        <v>1402197722.600332</v>
      </c>
      <c r="AB370" s="108">
        <v>4406373914.4720764</v>
      </c>
      <c r="AC370" s="108">
        <v>11853008123.144808</v>
      </c>
      <c r="AD370" s="108">
        <v>19471741114.990307</v>
      </c>
      <c r="AE370" s="108">
        <v>67739166993.449051</v>
      </c>
      <c r="AF370" s="108">
        <v>96872091653.740097</v>
      </c>
      <c r="AG370" s="108">
        <v>221352800082.19193</v>
      </c>
      <c r="AH370" s="108">
        <v>347136696160.74719</v>
      </c>
      <c r="AI370" s="108">
        <v>444035239788.28809</v>
      </c>
      <c r="AJ370" s="108">
        <v>487607145928.03857</v>
      </c>
      <c r="AK370" s="108">
        <v>106391172708.39832</v>
      </c>
      <c r="AL370" s="108">
        <v>167329286777.70169</v>
      </c>
      <c r="AM370" s="108">
        <v>409721212118.59064</v>
      </c>
      <c r="AN370" s="108">
        <v>525150380485.61749</v>
      </c>
      <c r="AO370" s="108">
        <v>557526230863.72266</v>
      </c>
      <c r="AP370" s="108">
        <v>561427913285.0072</v>
      </c>
      <c r="AQ370" s="108">
        <v>1390378293.940259</v>
      </c>
      <c r="AR370" s="108">
        <v>2804328874.2511587</v>
      </c>
      <c r="AS370" s="108">
        <v>15170784220.430153</v>
      </c>
      <c r="AT370" s="108">
        <v>51900257531.113327</v>
      </c>
      <c r="AU370" s="108">
        <v>128636651382.55008</v>
      </c>
      <c r="AV370" s="108">
        <v>203103948346.22006</v>
      </c>
    </row>
    <row r="371" spans="1:48" x14ac:dyDescent="0.35">
      <c r="A371" s="107">
        <f xml:space="preserve"> ROW( slrImpacts[[#This Row],[row_id]] ) - ROW( slrImpacts[[#Headers],[row_id]] )</f>
        <v>370</v>
      </c>
      <c r="B371" s="104">
        <v>2066</v>
      </c>
      <c r="C371" s="104" t="s">
        <v>221</v>
      </c>
      <c r="D371" s="104" t="s">
        <v>87</v>
      </c>
      <c r="E371" s="104" t="s">
        <v>922</v>
      </c>
      <c r="F371" s="104"/>
      <c r="G371" s="105">
        <v>0</v>
      </c>
      <c r="H371" s="105">
        <v>0</v>
      </c>
      <c r="I371" s="105">
        <v>0</v>
      </c>
      <c r="J371" s="105">
        <v>0</v>
      </c>
      <c r="K371" s="105">
        <v>0</v>
      </c>
      <c r="L371" s="105">
        <v>0</v>
      </c>
      <c r="M371" s="106">
        <v>18226262218.975811</v>
      </c>
      <c r="N371" s="106">
        <v>32304915553.955097</v>
      </c>
      <c r="O371" s="106">
        <v>154020785389.21573</v>
      </c>
      <c r="P371" s="106">
        <v>310074053106.98657</v>
      </c>
      <c r="Q371" s="106">
        <v>456842151712.66168</v>
      </c>
      <c r="R371" s="106">
        <v>534153970485.99524</v>
      </c>
      <c r="S371" s="105">
        <v>0</v>
      </c>
      <c r="T371" s="105">
        <v>0</v>
      </c>
      <c r="U371" s="105">
        <v>0</v>
      </c>
      <c r="V371" s="105">
        <v>0</v>
      </c>
      <c r="W371" s="105">
        <v>0</v>
      </c>
      <c r="X371" s="105">
        <v>0</v>
      </c>
      <c r="Y371" s="106">
        <v>325055932.97225976</v>
      </c>
      <c r="Z371" s="106">
        <v>471821946.69334638</v>
      </c>
      <c r="AA371" s="106">
        <v>1484989536.142324</v>
      </c>
      <c r="AB371" s="108">
        <v>4756034594.6776218</v>
      </c>
      <c r="AC371" s="108">
        <v>12700098831.340771</v>
      </c>
      <c r="AD371" s="108">
        <v>20684508511.20591</v>
      </c>
      <c r="AE371" s="108">
        <v>71507452500.950699</v>
      </c>
      <c r="AF371" s="108">
        <v>101902875781.47842</v>
      </c>
      <c r="AG371" s="108">
        <v>231042714999.5719</v>
      </c>
      <c r="AH371" s="108">
        <v>358759432701.34991</v>
      </c>
      <c r="AI371" s="108">
        <v>455117747609.28046</v>
      </c>
      <c r="AJ371" s="108">
        <v>496553867332.85864</v>
      </c>
      <c r="AK371" s="108">
        <v>112798562202.49922</v>
      </c>
      <c r="AL371" s="108">
        <v>177511489561.61938</v>
      </c>
      <c r="AM371" s="108">
        <v>425356562157.01422</v>
      </c>
      <c r="AN371" s="108">
        <v>535795445437.57758</v>
      </c>
      <c r="AO371" s="108">
        <v>564097271352.21069</v>
      </c>
      <c r="AP371" s="108">
        <v>567200213890.89807</v>
      </c>
      <c r="AQ371" s="108">
        <v>1456915407.2049046</v>
      </c>
      <c r="AR371" s="108">
        <v>2963478180.3694787</v>
      </c>
      <c r="AS371" s="108">
        <v>16437718893.704473</v>
      </c>
      <c r="AT371" s="108">
        <v>56349555595.694519</v>
      </c>
      <c r="AU371" s="108">
        <v>138362216670.89133</v>
      </c>
      <c r="AV371" s="108">
        <v>216097479548.93033</v>
      </c>
    </row>
    <row r="372" spans="1:48" x14ac:dyDescent="0.35">
      <c r="A372" s="107">
        <f xml:space="preserve"> ROW( slrImpacts[[#This Row],[row_id]] ) - ROW( slrImpacts[[#Headers],[row_id]] )</f>
        <v>371</v>
      </c>
      <c r="B372" s="104">
        <v>2067</v>
      </c>
      <c r="C372" s="104" t="s">
        <v>221</v>
      </c>
      <c r="D372" s="104" t="s">
        <v>87</v>
      </c>
      <c r="E372" s="104" t="s">
        <v>922</v>
      </c>
      <c r="F372" s="104"/>
      <c r="G372" s="105">
        <v>0</v>
      </c>
      <c r="H372" s="105">
        <v>0</v>
      </c>
      <c r="I372" s="105">
        <v>0</v>
      </c>
      <c r="J372" s="105">
        <v>0</v>
      </c>
      <c r="K372" s="105">
        <v>0</v>
      </c>
      <c r="L372" s="105">
        <v>0</v>
      </c>
      <c r="M372" s="106">
        <v>19012479788.050171</v>
      </c>
      <c r="N372" s="106">
        <v>33946190370.912022</v>
      </c>
      <c r="O372" s="106">
        <v>162895894447.28125</v>
      </c>
      <c r="P372" s="106">
        <v>322711547842.1391</v>
      </c>
      <c r="Q372" s="106">
        <v>470086700895.6778</v>
      </c>
      <c r="R372" s="106">
        <v>548577363810.38257</v>
      </c>
      <c r="S372" s="105">
        <v>0</v>
      </c>
      <c r="T372" s="105">
        <v>0</v>
      </c>
      <c r="U372" s="105">
        <v>0</v>
      </c>
      <c r="V372" s="105">
        <v>0</v>
      </c>
      <c r="W372" s="105">
        <v>0</v>
      </c>
      <c r="X372" s="105">
        <v>0</v>
      </c>
      <c r="Y372" s="106">
        <v>331724074.7811231</v>
      </c>
      <c r="Z372" s="106">
        <v>484804978.81253439</v>
      </c>
      <c r="AA372" s="106">
        <v>1573900751.973974</v>
      </c>
      <c r="AB372" s="108">
        <v>5133263997.7978621</v>
      </c>
      <c r="AC372" s="108">
        <v>13587552418.829821</v>
      </c>
      <c r="AD372" s="108">
        <v>21922387046.926945</v>
      </c>
      <c r="AE372" s="108">
        <v>75377693581.150665</v>
      </c>
      <c r="AF372" s="108">
        <v>106991954545.43869</v>
      </c>
      <c r="AG372" s="108">
        <v>240765994897.53033</v>
      </c>
      <c r="AH372" s="108">
        <v>370289596069.92432</v>
      </c>
      <c r="AI372" s="108">
        <v>465846552292.10492</v>
      </c>
      <c r="AJ372" s="108">
        <v>505112445680.48785</v>
      </c>
      <c r="AK372" s="108">
        <v>119478942196.86501</v>
      </c>
      <c r="AL372" s="108">
        <v>188006778410.34836</v>
      </c>
      <c r="AM372" s="108">
        <v>440642677964.07153</v>
      </c>
      <c r="AN372" s="108">
        <v>545900184493.48022</v>
      </c>
      <c r="AO372" s="108">
        <v>570470592446.00928</v>
      </c>
      <c r="AP372" s="108">
        <v>572932110688.172</v>
      </c>
      <c r="AQ372" s="108">
        <v>1525531978.9818196</v>
      </c>
      <c r="AR372" s="108">
        <v>3129682882.6102796</v>
      </c>
      <c r="AS372" s="108">
        <v>17790488801.822941</v>
      </c>
      <c r="AT372" s="108">
        <v>61108523592.383057</v>
      </c>
      <c r="AU372" s="108">
        <v>148519739533.21313</v>
      </c>
      <c r="AV372" s="108">
        <v>229201326675.6127</v>
      </c>
    </row>
    <row r="373" spans="1:48" x14ac:dyDescent="0.35">
      <c r="A373" s="107">
        <f xml:space="preserve"> ROW( slrImpacts[[#This Row],[row_id]] ) - ROW( slrImpacts[[#Headers],[row_id]] )</f>
        <v>372</v>
      </c>
      <c r="B373" s="104">
        <v>2068</v>
      </c>
      <c r="C373" s="104" t="s">
        <v>221</v>
      </c>
      <c r="D373" s="104" t="s">
        <v>87</v>
      </c>
      <c r="E373" s="104" t="s">
        <v>922</v>
      </c>
      <c r="F373" s="104"/>
      <c r="G373" s="105">
        <v>0</v>
      </c>
      <c r="H373" s="105">
        <v>0</v>
      </c>
      <c r="I373" s="105">
        <v>0</v>
      </c>
      <c r="J373" s="105">
        <v>0</v>
      </c>
      <c r="K373" s="105">
        <v>0</v>
      </c>
      <c r="L373" s="105">
        <v>0</v>
      </c>
      <c r="M373" s="106">
        <v>19825635786.1684</v>
      </c>
      <c r="N373" s="106">
        <v>35645960085.241112</v>
      </c>
      <c r="O373" s="106">
        <v>172001522713.54297</v>
      </c>
      <c r="P373" s="106">
        <v>335386096412.38788</v>
      </c>
      <c r="Q373" s="106">
        <v>483244639272.33588</v>
      </c>
      <c r="R373" s="106">
        <v>562869634068.45679</v>
      </c>
      <c r="S373" s="105">
        <v>0</v>
      </c>
      <c r="T373" s="105">
        <v>0</v>
      </c>
      <c r="U373" s="105">
        <v>0</v>
      </c>
      <c r="V373" s="105">
        <v>0</v>
      </c>
      <c r="W373" s="105">
        <v>0</v>
      </c>
      <c r="X373" s="105">
        <v>0</v>
      </c>
      <c r="Y373" s="106">
        <v>338643119.59223443</v>
      </c>
      <c r="Z373" s="106">
        <v>498260663.07858628</v>
      </c>
      <c r="AA373" s="106">
        <v>1669240722.4094529</v>
      </c>
      <c r="AB373" s="108">
        <v>5539061899.1320314</v>
      </c>
      <c r="AC373" s="108">
        <v>14514500959.621819</v>
      </c>
      <c r="AD373" s="108">
        <v>23183228109.135479</v>
      </c>
      <c r="AE373" s="108">
        <v>79337005836.542053</v>
      </c>
      <c r="AF373" s="108">
        <v>112130032867.57292</v>
      </c>
      <c r="AG373" s="108">
        <v>250502924554.42804</v>
      </c>
      <c r="AH373" s="108">
        <v>381742507229.19238</v>
      </c>
      <c r="AI373" s="108">
        <v>476214378631.14221</v>
      </c>
      <c r="AJ373" s="108">
        <v>513367636607.25531</v>
      </c>
      <c r="AK373" s="108">
        <v>126410773524.85211</v>
      </c>
      <c r="AL373" s="108">
        <v>198774426716.93015</v>
      </c>
      <c r="AM373" s="108">
        <v>455588693550.63177</v>
      </c>
      <c r="AN373" s="108">
        <v>555489098652.10425</v>
      </c>
      <c r="AO373" s="108">
        <v>576697557312.71216</v>
      </c>
      <c r="AP373" s="108">
        <v>578641226249.75574</v>
      </c>
      <c r="AQ373" s="108">
        <v>1596106781.7748895</v>
      </c>
      <c r="AR373" s="108">
        <v>3302722983.5401464</v>
      </c>
      <c r="AS373" s="108">
        <v>19231048039.539879</v>
      </c>
      <c r="AT373" s="108">
        <v>66183809243.063103</v>
      </c>
      <c r="AU373" s="108">
        <v>159072118625.629</v>
      </c>
      <c r="AV373" s="108">
        <v>242373522821.86661</v>
      </c>
    </row>
    <row r="374" spans="1:48" x14ac:dyDescent="0.35">
      <c r="A374" s="107">
        <f xml:space="preserve"> ROW( slrImpacts[[#This Row],[row_id]] ) - ROW( slrImpacts[[#Headers],[row_id]] )</f>
        <v>373</v>
      </c>
      <c r="B374" s="104">
        <v>2069</v>
      </c>
      <c r="C374" s="104" t="s">
        <v>221</v>
      </c>
      <c r="D374" s="104" t="s">
        <v>87</v>
      </c>
      <c r="E374" s="104" t="s">
        <v>922</v>
      </c>
      <c r="F374" s="104"/>
      <c r="G374" s="105">
        <v>0</v>
      </c>
      <c r="H374" s="105">
        <v>0</v>
      </c>
      <c r="I374" s="105">
        <v>0</v>
      </c>
      <c r="J374" s="105">
        <v>0</v>
      </c>
      <c r="K374" s="105">
        <v>0</v>
      </c>
      <c r="L374" s="105">
        <v>0</v>
      </c>
      <c r="M374" s="106">
        <v>20667210661.515724</v>
      </c>
      <c r="N374" s="106">
        <v>37403309323.59388</v>
      </c>
      <c r="O374" s="106">
        <v>181315567034.47559</v>
      </c>
      <c r="P374" s="106">
        <v>348098365668.92542</v>
      </c>
      <c r="Q374" s="106">
        <v>496325598469.18646</v>
      </c>
      <c r="R374" s="106">
        <v>577034453507.58032</v>
      </c>
      <c r="S374" s="105">
        <v>0</v>
      </c>
      <c r="T374" s="105">
        <v>0</v>
      </c>
      <c r="U374" s="105">
        <v>0</v>
      </c>
      <c r="V374" s="105">
        <v>0</v>
      </c>
      <c r="W374" s="105">
        <v>0</v>
      </c>
      <c r="X374" s="105">
        <v>0</v>
      </c>
      <c r="Y374" s="106">
        <v>345830862.85058624</v>
      </c>
      <c r="Z374" s="106">
        <v>512300266.18042815</v>
      </c>
      <c r="AA374" s="106">
        <v>1771298019.6320577</v>
      </c>
      <c r="AB374" s="108">
        <v>5973737263.9589014</v>
      </c>
      <c r="AC374" s="108">
        <v>15478048389.752781</v>
      </c>
      <c r="AD374" s="108">
        <v>24464694493.794205</v>
      </c>
      <c r="AE374" s="108">
        <v>83379814704.251892</v>
      </c>
      <c r="AF374" s="108">
        <v>117310701072.55002</v>
      </c>
      <c r="AG374" s="108">
        <v>260241158085.13965</v>
      </c>
      <c r="AH374" s="108">
        <v>393129722920.69043</v>
      </c>
      <c r="AI374" s="108">
        <v>486207840713.84943</v>
      </c>
      <c r="AJ374" s="108">
        <v>521393222402.3938</v>
      </c>
      <c r="AK374" s="108">
        <v>133620932983.69803</v>
      </c>
      <c r="AL374" s="108">
        <v>209843782992.19263</v>
      </c>
      <c r="AM374" s="108">
        <v>470182975194.5271</v>
      </c>
      <c r="AN374" s="108">
        <v>564625747254.06531</v>
      </c>
      <c r="AO374" s="108">
        <v>582811975624.43604</v>
      </c>
      <c r="AP374" s="108">
        <v>584339159522.922</v>
      </c>
      <c r="AQ374" s="108">
        <v>1668630044.5258603</v>
      </c>
      <c r="AR374" s="108">
        <v>3482579340.7417254</v>
      </c>
      <c r="AS374" s="108">
        <v>20762407342.386349</v>
      </c>
      <c r="AT374" s="108">
        <v>71586015833.475998</v>
      </c>
      <c r="AU374" s="108">
        <v>169985363541.30353</v>
      </c>
      <c r="AV374" s="108">
        <v>255575776193.034</v>
      </c>
    </row>
    <row r="375" spans="1:48" x14ac:dyDescent="0.35">
      <c r="A375" s="107">
        <f xml:space="preserve"> ROW( slrImpacts[[#This Row],[row_id]] ) - ROW( slrImpacts[[#Headers],[row_id]] )</f>
        <v>374</v>
      </c>
      <c r="B375" s="104">
        <v>2070</v>
      </c>
      <c r="C375" s="104" t="s">
        <v>221</v>
      </c>
      <c r="D375" s="104" t="s">
        <v>87</v>
      </c>
      <c r="E375" s="104" t="s">
        <v>922</v>
      </c>
      <c r="F375" s="104"/>
      <c r="G375" s="105">
        <v>0</v>
      </c>
      <c r="H375" s="105">
        <v>0</v>
      </c>
      <c r="I375" s="105">
        <v>0</v>
      </c>
      <c r="J375" s="105">
        <v>0</v>
      </c>
      <c r="K375" s="105">
        <v>0</v>
      </c>
      <c r="L375" s="105">
        <v>0</v>
      </c>
      <c r="M375" s="106">
        <v>21538494914.117538</v>
      </c>
      <c r="N375" s="106">
        <v>39222383640.207748</v>
      </c>
      <c r="O375" s="106">
        <v>190826572587.64673</v>
      </c>
      <c r="P375" s="106">
        <v>360839944497.25378</v>
      </c>
      <c r="Q375" s="106">
        <v>509346913619.68781</v>
      </c>
      <c r="R375" s="106">
        <v>591069488909.81714</v>
      </c>
      <c r="S375" s="105">
        <v>0</v>
      </c>
      <c r="T375" s="105">
        <v>0</v>
      </c>
      <c r="U375" s="105">
        <v>0</v>
      </c>
      <c r="V375" s="105">
        <v>0</v>
      </c>
      <c r="W375" s="105">
        <v>0</v>
      </c>
      <c r="X375" s="105">
        <v>0</v>
      </c>
      <c r="Y375" s="106">
        <v>353223658.06886804</v>
      </c>
      <c r="Z375" s="106">
        <v>526763209.55648726</v>
      </c>
      <c r="AA375" s="106">
        <v>1880590082.3859565</v>
      </c>
      <c r="AB375" s="108">
        <v>6438027516.5921173</v>
      </c>
      <c r="AC375" s="108">
        <v>16477828463.080456</v>
      </c>
      <c r="AD375" s="108">
        <v>25765731371.006805</v>
      </c>
      <c r="AE375" s="108">
        <v>87501897449.274994</v>
      </c>
      <c r="AF375" s="108">
        <v>122535661118.21182</v>
      </c>
      <c r="AG375" s="108">
        <v>269984132979.69965</v>
      </c>
      <c r="AH375" s="108">
        <v>404465030264.31226</v>
      </c>
      <c r="AI375" s="108">
        <v>495829408169.72589</v>
      </c>
      <c r="AJ375" s="108">
        <v>529244107752.198</v>
      </c>
      <c r="AK375" s="108">
        <v>141084247076.65295</v>
      </c>
      <c r="AL375" s="108">
        <v>221163466749.9054</v>
      </c>
      <c r="AM375" s="108">
        <v>484418507121.09686</v>
      </c>
      <c r="AN375" s="108">
        <v>573342915851.76331</v>
      </c>
      <c r="AO375" s="108">
        <v>588839116587.91919</v>
      </c>
      <c r="AP375" s="108">
        <v>590034561598.79639</v>
      </c>
      <c r="AQ375" s="108">
        <v>1743053273.7353575</v>
      </c>
      <c r="AR375" s="108">
        <v>3670027911.7441754</v>
      </c>
      <c r="AS375" s="108">
        <v>22386809141.729786</v>
      </c>
      <c r="AT375" s="108">
        <v>77327757096.860672</v>
      </c>
      <c r="AU375" s="108">
        <v>181231955735.33231</v>
      </c>
      <c r="AV375" s="108">
        <v>268773113620.98706</v>
      </c>
    </row>
    <row r="376" spans="1:48" x14ac:dyDescent="0.35">
      <c r="A376" s="107">
        <f xml:space="preserve"> ROW( slrImpacts[[#This Row],[row_id]] ) - ROW( slrImpacts[[#Headers],[row_id]] )</f>
        <v>375</v>
      </c>
      <c r="B376" s="104">
        <v>2071</v>
      </c>
      <c r="C376" s="104" t="s">
        <v>221</v>
      </c>
      <c r="D376" s="104" t="s">
        <v>87</v>
      </c>
      <c r="E376" s="104" t="s">
        <v>922</v>
      </c>
      <c r="F376" s="104"/>
      <c r="G376" s="105">
        <v>0</v>
      </c>
      <c r="H376" s="105">
        <v>0</v>
      </c>
      <c r="I376" s="105">
        <v>0</v>
      </c>
      <c r="J376" s="105">
        <v>0</v>
      </c>
      <c r="K376" s="105">
        <v>0</v>
      </c>
      <c r="L376" s="105">
        <v>0</v>
      </c>
      <c r="M376" s="106">
        <v>22438425722.497894</v>
      </c>
      <c r="N376" s="106">
        <v>41098469752.745445</v>
      </c>
      <c r="O376" s="106">
        <v>200505045083.88882</v>
      </c>
      <c r="P376" s="106">
        <v>373588123707.51447</v>
      </c>
      <c r="Q376" s="106">
        <v>522298380211.08398</v>
      </c>
      <c r="R376" s="106">
        <v>604948320177.35535</v>
      </c>
      <c r="S376" s="105">
        <v>0</v>
      </c>
      <c r="T376" s="105">
        <v>0</v>
      </c>
      <c r="U376" s="105">
        <v>0</v>
      </c>
      <c r="V376" s="105">
        <v>0</v>
      </c>
      <c r="W376" s="105">
        <v>0</v>
      </c>
      <c r="X376" s="105">
        <v>0</v>
      </c>
      <c r="Y376" s="106">
        <v>360873592.46279907</v>
      </c>
      <c r="Z376" s="106">
        <v>541700190.92377567</v>
      </c>
      <c r="AA376" s="106">
        <v>1997400866.6260786</v>
      </c>
      <c r="AB376" s="108">
        <v>6932089972.954545</v>
      </c>
      <c r="AC376" s="108">
        <v>17512199869.484734</v>
      </c>
      <c r="AD376" s="108">
        <v>27084230777.740383</v>
      </c>
      <c r="AE376" s="108">
        <v>91706685361.993256</v>
      </c>
      <c r="AF376" s="108">
        <v>127800412357.3187</v>
      </c>
      <c r="AG376" s="108">
        <v>279723921036.8551</v>
      </c>
      <c r="AH376" s="108">
        <v>415741655650.75085</v>
      </c>
      <c r="AI376" s="108">
        <v>505074293951.8078</v>
      </c>
      <c r="AJ376" s="108">
        <v>536951264304.98761</v>
      </c>
      <c r="AK376" s="108">
        <v>148798284910.51025</v>
      </c>
      <c r="AL376" s="108">
        <v>232717697544.01065</v>
      </c>
      <c r="AM376" s="108">
        <v>498272842194.67786</v>
      </c>
      <c r="AN376" s="108">
        <v>581663003133.56323</v>
      </c>
      <c r="AO376" s="108">
        <v>594786928088.83545</v>
      </c>
      <c r="AP376" s="108">
        <v>595715910205.42981</v>
      </c>
      <c r="AQ376" s="108">
        <v>1819787086.3372812</v>
      </c>
      <c r="AR376" s="108">
        <v>3864576435.5904641</v>
      </c>
      <c r="AS376" s="108">
        <v>24105054545.817986</v>
      </c>
      <c r="AT376" s="108">
        <v>83411023562.039871</v>
      </c>
      <c r="AU376" s="108">
        <v>192772141499.15234</v>
      </c>
      <c r="AV376" s="108">
        <v>281927391770.87024</v>
      </c>
    </row>
    <row r="377" spans="1:48" x14ac:dyDescent="0.35">
      <c r="A377" s="107">
        <f xml:space="preserve"> ROW( slrImpacts[[#This Row],[row_id]] ) - ROW( slrImpacts[[#Headers],[row_id]] )</f>
        <v>376</v>
      </c>
      <c r="B377" s="104">
        <v>2072</v>
      </c>
      <c r="C377" s="104" t="s">
        <v>221</v>
      </c>
      <c r="D377" s="104" t="s">
        <v>87</v>
      </c>
      <c r="E377" s="104" t="s">
        <v>922</v>
      </c>
      <c r="F377" s="104"/>
      <c r="G377" s="105">
        <v>0</v>
      </c>
      <c r="H377" s="105">
        <v>0</v>
      </c>
      <c r="I377" s="105">
        <v>0</v>
      </c>
      <c r="J377" s="105">
        <v>0</v>
      </c>
      <c r="K377" s="105">
        <v>0</v>
      </c>
      <c r="L377" s="105">
        <v>0</v>
      </c>
      <c r="M377" s="106">
        <v>23367107598.379669</v>
      </c>
      <c r="N377" s="106">
        <v>43035399026.920052</v>
      </c>
      <c r="O377" s="106">
        <v>210341860335.29248</v>
      </c>
      <c r="P377" s="106">
        <v>386347873044.98389</v>
      </c>
      <c r="Q377" s="106">
        <v>535202561167.19867</v>
      </c>
      <c r="R377" s="106">
        <v>618676013419.25781</v>
      </c>
      <c r="S377" s="105">
        <v>0</v>
      </c>
      <c r="T377" s="105">
        <v>0</v>
      </c>
      <c r="U377" s="105">
        <v>0</v>
      </c>
      <c r="V377" s="105">
        <v>0</v>
      </c>
      <c r="W377" s="105">
        <v>0</v>
      </c>
      <c r="X377" s="105">
        <v>0</v>
      </c>
      <c r="Y377" s="106">
        <v>368680549.31761116</v>
      </c>
      <c r="Z377" s="106">
        <v>557110890.35946691</v>
      </c>
      <c r="AA377" s="106">
        <v>2121980249.9033792</v>
      </c>
      <c r="AB377" s="108">
        <v>7456640749.9768639</v>
      </c>
      <c r="AC377" s="108">
        <v>18579718708.228226</v>
      </c>
      <c r="AD377" s="108">
        <v>28418456996.640617</v>
      </c>
      <c r="AE377" s="108">
        <v>95967488756.811508</v>
      </c>
      <c r="AF377" s="108">
        <v>133080766787.96539</v>
      </c>
      <c r="AG377" s="108">
        <v>289454166179.96387</v>
      </c>
      <c r="AH377" s="108">
        <v>426958259311.94922</v>
      </c>
      <c r="AI377" s="108">
        <v>513982742841.97278</v>
      </c>
      <c r="AJ377" s="108">
        <v>544554164975.00177</v>
      </c>
      <c r="AK377" s="108">
        <v>156730379363.7211</v>
      </c>
      <c r="AL377" s="108">
        <v>244459359562.54962</v>
      </c>
      <c r="AM377" s="108">
        <v>511754040899.71576</v>
      </c>
      <c r="AN377" s="108">
        <v>589636180912.39172</v>
      </c>
      <c r="AO377" s="108">
        <v>600689461692.96277</v>
      </c>
      <c r="AP377" s="108">
        <v>601404259452.797</v>
      </c>
      <c r="AQ377" s="108">
        <v>1899191768.3737984</v>
      </c>
      <c r="AR377" s="108">
        <v>4066750649.9824619</v>
      </c>
      <c r="AS377" s="108">
        <v>25920986959.732487</v>
      </c>
      <c r="AT377" s="108">
        <v>89838604777.311539</v>
      </c>
      <c r="AU377" s="108">
        <v>204564324378.17157</v>
      </c>
      <c r="AV377" s="108">
        <v>295007630074.93402</v>
      </c>
    </row>
    <row r="378" spans="1:48" x14ac:dyDescent="0.35">
      <c r="A378" s="107">
        <f xml:space="preserve"> ROW( slrImpacts[[#This Row],[row_id]] ) - ROW( slrImpacts[[#Headers],[row_id]] )</f>
        <v>377</v>
      </c>
      <c r="B378" s="104">
        <v>2073</v>
      </c>
      <c r="C378" s="104" t="s">
        <v>221</v>
      </c>
      <c r="D378" s="104" t="s">
        <v>87</v>
      </c>
      <c r="E378" s="104" t="s">
        <v>922</v>
      </c>
      <c r="F378" s="104"/>
      <c r="G378" s="105">
        <v>0</v>
      </c>
      <c r="H378" s="105">
        <v>0</v>
      </c>
      <c r="I378" s="105">
        <v>0</v>
      </c>
      <c r="J378" s="105">
        <v>0</v>
      </c>
      <c r="K378" s="105">
        <v>0</v>
      </c>
      <c r="L378" s="105">
        <v>0</v>
      </c>
      <c r="M378" s="106">
        <v>24327310781.824951</v>
      </c>
      <c r="N378" s="106">
        <v>45031256231.977631</v>
      </c>
      <c r="O378" s="106">
        <v>220313337443.94772</v>
      </c>
      <c r="P378" s="106">
        <v>399115144691.84497</v>
      </c>
      <c r="Q378" s="106">
        <v>548066650090.75085</v>
      </c>
      <c r="R378" s="106">
        <v>632250837922.86401</v>
      </c>
      <c r="S378" s="105">
        <v>0</v>
      </c>
      <c r="T378" s="105">
        <v>0</v>
      </c>
      <c r="U378" s="105">
        <v>0</v>
      </c>
      <c r="V378" s="105">
        <v>0</v>
      </c>
      <c r="W378" s="105">
        <v>0</v>
      </c>
      <c r="X378" s="105">
        <v>0</v>
      </c>
      <c r="Y378" s="106">
        <v>376761981.95795238</v>
      </c>
      <c r="Z378" s="106">
        <v>573031418.08562422</v>
      </c>
      <c r="AA378" s="106">
        <v>2254870240.7697611</v>
      </c>
      <c r="AB378" s="108">
        <v>8011863776.3352642</v>
      </c>
      <c r="AC378" s="108">
        <v>19678973017.394531</v>
      </c>
      <c r="AD378" s="108">
        <v>29767632722.952454</v>
      </c>
      <c r="AE378" s="108">
        <v>100299389200.3269</v>
      </c>
      <c r="AF378" s="108">
        <v>138395016011.74359</v>
      </c>
      <c r="AG378" s="108">
        <v>299164223554.02087</v>
      </c>
      <c r="AH378" s="108">
        <v>438114678571.43134</v>
      </c>
      <c r="AI378" s="108">
        <v>522590067323.99017</v>
      </c>
      <c r="AJ378" s="108">
        <v>552083770456.60193</v>
      </c>
      <c r="AK378" s="108">
        <v>164947257437.59329</v>
      </c>
      <c r="AL378" s="108">
        <v>256452235724.73727</v>
      </c>
      <c r="AM378" s="108">
        <v>524863060388.62</v>
      </c>
      <c r="AN378" s="108">
        <v>597305646670.33069</v>
      </c>
      <c r="AO378" s="108">
        <v>606559815330.63025</v>
      </c>
      <c r="AP378" s="108">
        <v>607104147859.72388</v>
      </c>
      <c r="AQ378" s="108">
        <v>1980693263.929163</v>
      </c>
      <c r="AR378" s="108">
        <v>4276286743.6621675</v>
      </c>
      <c r="AS378" s="108">
        <v>27836030516.101349</v>
      </c>
      <c r="AT378" s="108">
        <v>96619161969.400085</v>
      </c>
      <c r="AU378" s="108">
        <v>216573093581.08188</v>
      </c>
      <c r="AV378" s="108">
        <v>307982185694.50037</v>
      </c>
    </row>
    <row r="379" spans="1:48" x14ac:dyDescent="0.35">
      <c r="A379" s="107">
        <f xml:space="preserve"> ROW( slrImpacts[[#This Row],[row_id]] ) - ROW( slrImpacts[[#Headers],[row_id]] )</f>
        <v>378</v>
      </c>
      <c r="B379" s="104">
        <v>2074</v>
      </c>
      <c r="C379" s="104" t="s">
        <v>221</v>
      </c>
      <c r="D379" s="104" t="s">
        <v>87</v>
      </c>
      <c r="E379" s="104" t="s">
        <v>922</v>
      </c>
      <c r="F379" s="104"/>
      <c r="G379" s="105">
        <v>0</v>
      </c>
      <c r="H379" s="105">
        <v>0</v>
      </c>
      <c r="I379" s="105">
        <v>0</v>
      </c>
      <c r="J379" s="105">
        <v>0</v>
      </c>
      <c r="K379" s="105">
        <v>0</v>
      </c>
      <c r="L379" s="105">
        <v>0</v>
      </c>
      <c r="M379" s="106">
        <v>25317434497.439289</v>
      </c>
      <c r="N379" s="106">
        <v>47085567737.544861</v>
      </c>
      <c r="O379" s="106">
        <v>230403244172.57663</v>
      </c>
      <c r="P379" s="106">
        <v>411889107757.88055</v>
      </c>
      <c r="Q379" s="106">
        <v>560894905482.58057</v>
      </c>
      <c r="R379" s="106">
        <v>645667342609.96997</v>
      </c>
      <c r="S379" s="105">
        <v>0</v>
      </c>
      <c r="T379" s="105">
        <v>0</v>
      </c>
      <c r="U379" s="105">
        <v>0</v>
      </c>
      <c r="V379" s="105">
        <v>0</v>
      </c>
      <c r="W379" s="105">
        <v>0</v>
      </c>
      <c r="X379" s="105">
        <v>0</v>
      </c>
      <c r="Y379" s="106">
        <v>385064004.8649649</v>
      </c>
      <c r="Z379" s="106">
        <v>589409385.88221204</v>
      </c>
      <c r="AA379" s="106">
        <v>2396202527.2613063</v>
      </c>
      <c r="AB379" s="108">
        <v>8597883479.2664547</v>
      </c>
      <c r="AC379" s="108">
        <v>20809204443.965637</v>
      </c>
      <c r="AD379" s="108">
        <v>31130432668.408478</v>
      </c>
      <c r="AE379" s="108">
        <v>104686670673.33246</v>
      </c>
      <c r="AF379" s="108">
        <v>143712486656.58212</v>
      </c>
      <c r="AG379" s="108">
        <v>308856978961.63251</v>
      </c>
      <c r="AH379" s="108">
        <v>449195668433.32446</v>
      </c>
      <c r="AI379" s="108">
        <v>530949529722.36249</v>
      </c>
      <c r="AJ379" s="108">
        <v>559555868971.88452</v>
      </c>
      <c r="AK379" s="108">
        <v>173401646626.40479</v>
      </c>
      <c r="AL379" s="108">
        <v>268625377088.65906</v>
      </c>
      <c r="AM379" s="108">
        <v>537614439657.41467</v>
      </c>
      <c r="AN379" s="108">
        <v>604709419175.74707</v>
      </c>
      <c r="AO379" s="108">
        <v>612410697576.91858</v>
      </c>
      <c r="AP379" s="108">
        <v>612817186854.19238</v>
      </c>
      <c r="AQ379" s="108">
        <v>2064313791.8918283</v>
      </c>
      <c r="AR379" s="108">
        <v>4494291956.8157291</v>
      </c>
      <c r="AS379" s="108">
        <v>29853315397.083817</v>
      </c>
      <c r="AT379" s="108">
        <v>103751671405.76065</v>
      </c>
      <c r="AU379" s="108">
        <v>228775806504.68713</v>
      </c>
      <c r="AV379" s="108">
        <v>320830327980.22772</v>
      </c>
    </row>
    <row r="380" spans="1:48" x14ac:dyDescent="0.35">
      <c r="A380" s="107">
        <f xml:space="preserve"> ROW( slrImpacts[[#This Row],[row_id]] ) - ROW( slrImpacts[[#Headers],[row_id]] )</f>
        <v>379</v>
      </c>
      <c r="B380" s="104">
        <v>2075</v>
      </c>
      <c r="C380" s="104" t="s">
        <v>221</v>
      </c>
      <c r="D380" s="104" t="s">
        <v>87</v>
      </c>
      <c r="E380" s="104" t="s">
        <v>922</v>
      </c>
      <c r="F380" s="104"/>
      <c r="G380" s="105">
        <v>0</v>
      </c>
      <c r="H380" s="105">
        <v>0</v>
      </c>
      <c r="I380" s="105">
        <v>0</v>
      </c>
      <c r="J380" s="105">
        <v>0</v>
      </c>
      <c r="K380" s="105">
        <v>0</v>
      </c>
      <c r="L380" s="105">
        <v>0</v>
      </c>
      <c r="M380" s="106">
        <v>26338555416.970806</v>
      </c>
      <c r="N380" s="106">
        <v>49200996741.430107</v>
      </c>
      <c r="O380" s="106">
        <v>240592968417.13757</v>
      </c>
      <c r="P380" s="106">
        <v>424666707307.05444</v>
      </c>
      <c r="Q380" s="106">
        <v>573691565799.40137</v>
      </c>
      <c r="R380" s="106">
        <v>658927080641.6062</v>
      </c>
      <c r="S380" s="105">
        <v>0</v>
      </c>
      <c r="T380" s="105">
        <v>0</v>
      </c>
      <c r="U380" s="105">
        <v>0</v>
      </c>
      <c r="V380" s="105">
        <v>0</v>
      </c>
      <c r="W380" s="105">
        <v>0</v>
      </c>
      <c r="X380" s="105">
        <v>0</v>
      </c>
      <c r="Y380" s="106">
        <v>393638767.57839644</v>
      </c>
      <c r="Z380" s="106">
        <v>606317169.18901145</v>
      </c>
      <c r="AA380" s="106">
        <v>2546541806.367115</v>
      </c>
      <c r="AB380" s="108">
        <v>9215296162.1970196</v>
      </c>
      <c r="AC380" s="108">
        <v>21968697421.865414</v>
      </c>
      <c r="AD380" s="108">
        <v>32505895897.34911</v>
      </c>
      <c r="AE380" s="108">
        <v>109123802333.6526</v>
      </c>
      <c r="AF380" s="108">
        <v>149043451623.14682</v>
      </c>
      <c r="AG380" s="108">
        <v>318530905863.04535</v>
      </c>
      <c r="AH380" s="108">
        <v>460176842566.67755</v>
      </c>
      <c r="AI380" s="108">
        <v>539102906672.62384</v>
      </c>
      <c r="AJ380" s="108">
        <v>566985931479.8197</v>
      </c>
      <c r="AK380" s="108">
        <v>182107741222.30795</v>
      </c>
      <c r="AL380" s="108">
        <v>280998411507.27283</v>
      </c>
      <c r="AM380" s="108">
        <v>550017697383.64709</v>
      </c>
      <c r="AN380" s="108">
        <v>611880344908.95789</v>
      </c>
      <c r="AO380" s="108">
        <v>618250461607.77527</v>
      </c>
      <c r="AP380" s="108">
        <v>618545921075.34021</v>
      </c>
      <c r="AQ380" s="108">
        <v>2150192483.0536318</v>
      </c>
      <c r="AR380" s="108">
        <v>4720261409.9383841</v>
      </c>
      <c r="AS380" s="108">
        <v>31973323760.347149</v>
      </c>
      <c r="AT380" s="108">
        <v>111232414437.75986</v>
      </c>
      <c r="AU380" s="108">
        <v>241136724299.19125</v>
      </c>
      <c r="AV380" s="108">
        <v>333537575332.60876</v>
      </c>
    </row>
    <row r="381" spans="1:48" x14ac:dyDescent="0.35">
      <c r="A381" s="107">
        <f xml:space="preserve"> ROW( slrImpacts[[#This Row],[row_id]] ) - ROW( slrImpacts[[#Headers],[row_id]] )</f>
        <v>380</v>
      </c>
      <c r="B381" s="104">
        <v>2076</v>
      </c>
      <c r="C381" s="104" t="s">
        <v>221</v>
      </c>
      <c r="D381" s="104" t="s">
        <v>87</v>
      </c>
      <c r="E381" s="104" t="s">
        <v>922</v>
      </c>
      <c r="F381" s="104"/>
      <c r="G381" s="105">
        <v>0</v>
      </c>
      <c r="H381" s="105">
        <v>0</v>
      </c>
      <c r="I381" s="105">
        <v>0</v>
      </c>
      <c r="J381" s="105">
        <v>0</v>
      </c>
      <c r="K381" s="105">
        <v>0</v>
      </c>
      <c r="L381" s="105">
        <v>0</v>
      </c>
      <c r="M381" s="106">
        <v>27367681332.821579</v>
      </c>
      <c r="N381" s="106">
        <v>51354970859.096161</v>
      </c>
      <c r="O381" s="106">
        <v>250899869947.62201</v>
      </c>
      <c r="P381" s="106">
        <v>437479468269.72388</v>
      </c>
      <c r="Q381" s="106">
        <v>586612900237.00586</v>
      </c>
      <c r="R381" s="106">
        <v>672164560137.55518</v>
      </c>
      <c r="S381" s="105">
        <v>0</v>
      </c>
      <c r="T381" s="105">
        <v>0</v>
      </c>
      <c r="U381" s="105">
        <v>0</v>
      </c>
      <c r="V381" s="105">
        <v>0</v>
      </c>
      <c r="W381" s="105">
        <v>0</v>
      </c>
      <c r="X381" s="105">
        <v>0</v>
      </c>
      <c r="Y381" s="106">
        <v>402293714.82780755</v>
      </c>
      <c r="Z381" s="106">
        <v>623755917.98500836</v>
      </c>
      <c r="AA381" s="106">
        <v>2706869489.4928713</v>
      </c>
      <c r="AB381" s="108">
        <v>9866633722.0596943</v>
      </c>
      <c r="AC381" s="108">
        <v>23162291539.029781</v>
      </c>
      <c r="AD381" s="108">
        <v>33904770158.935932</v>
      </c>
      <c r="AE381" s="108">
        <v>113566447392.07141</v>
      </c>
      <c r="AF381" s="108">
        <v>154369721208.40515</v>
      </c>
      <c r="AG381" s="108">
        <v>328237476214.70483</v>
      </c>
      <c r="AH381" s="108">
        <v>471076347724.9953</v>
      </c>
      <c r="AI381" s="108">
        <v>547104483635.66528</v>
      </c>
      <c r="AJ381" s="108">
        <v>574398629008.505</v>
      </c>
      <c r="AK381" s="108">
        <v>191004280146.2692</v>
      </c>
      <c r="AL381" s="108">
        <v>293484418806.92902</v>
      </c>
      <c r="AM381" s="108">
        <v>562069243512.08948</v>
      </c>
      <c r="AN381" s="108">
        <v>618834660310.70605</v>
      </c>
      <c r="AO381" s="108">
        <v>624062861999.16248</v>
      </c>
      <c r="AP381" s="108">
        <v>624272184345.50818</v>
      </c>
      <c r="AQ381" s="108">
        <v>2237136163.0423746</v>
      </c>
      <c r="AR381" s="108">
        <v>4951722982.6701317</v>
      </c>
      <c r="AS381" s="108">
        <v>34213532736.283234</v>
      </c>
      <c r="AT381" s="108">
        <v>119090412267.69664</v>
      </c>
      <c r="AU381" s="108">
        <v>253707559272.08911</v>
      </c>
      <c r="AV381" s="108">
        <v>346149554846.46399</v>
      </c>
    </row>
    <row r="382" spans="1:48" x14ac:dyDescent="0.35">
      <c r="A382" s="107">
        <f xml:space="preserve"> ROW( slrImpacts[[#This Row],[row_id]] ) - ROW( slrImpacts[[#Headers],[row_id]] )</f>
        <v>381</v>
      </c>
      <c r="B382" s="104">
        <v>2077</v>
      </c>
      <c r="C382" s="104" t="s">
        <v>221</v>
      </c>
      <c r="D382" s="104" t="s">
        <v>87</v>
      </c>
      <c r="E382" s="104" t="s">
        <v>922</v>
      </c>
      <c r="F382" s="104"/>
      <c r="G382" s="105">
        <v>0</v>
      </c>
      <c r="H382" s="105">
        <v>0</v>
      </c>
      <c r="I382" s="105">
        <v>0</v>
      </c>
      <c r="J382" s="105">
        <v>0</v>
      </c>
      <c r="K382" s="105">
        <v>0</v>
      </c>
      <c r="L382" s="105">
        <v>0</v>
      </c>
      <c r="M382" s="106">
        <v>28409400027.127316</v>
      </c>
      <c r="N382" s="106">
        <v>53562030970.079292</v>
      </c>
      <c r="O382" s="106">
        <v>261255272445.3396</v>
      </c>
      <c r="P382" s="106">
        <v>450201787172.79956</v>
      </c>
      <c r="Q382" s="106">
        <v>599565273424.28882</v>
      </c>
      <c r="R382" s="106">
        <v>685334648699.13232</v>
      </c>
      <c r="S382" s="105">
        <v>0</v>
      </c>
      <c r="T382" s="105">
        <v>0</v>
      </c>
      <c r="U382" s="105">
        <v>0</v>
      </c>
      <c r="V382" s="105">
        <v>0</v>
      </c>
      <c r="W382" s="105">
        <v>0</v>
      </c>
      <c r="X382" s="105">
        <v>0</v>
      </c>
      <c r="Y382" s="106">
        <v>410865850.57420903</v>
      </c>
      <c r="Z382" s="106">
        <v>641516852.27172852</v>
      </c>
      <c r="AA382" s="106">
        <v>2875805849.973187</v>
      </c>
      <c r="AB382" s="108">
        <v>10543155942.112349</v>
      </c>
      <c r="AC382" s="108">
        <v>24370884933.206814</v>
      </c>
      <c r="AD382" s="108">
        <v>35312895722.457741</v>
      </c>
      <c r="AE382" s="108">
        <v>118031835691.35916</v>
      </c>
      <c r="AF382" s="108">
        <v>159687117453.39941</v>
      </c>
      <c r="AG382" s="108">
        <v>337928123066.82703</v>
      </c>
      <c r="AH382" s="108">
        <v>481793675320.50793</v>
      </c>
      <c r="AI382" s="108">
        <v>554933734042.40283</v>
      </c>
      <c r="AJ382" s="108">
        <v>581774579751.95667</v>
      </c>
      <c r="AK382" s="108">
        <v>200113929560.66119</v>
      </c>
      <c r="AL382" s="108">
        <v>306020783867.66162</v>
      </c>
      <c r="AM382" s="108">
        <v>573687551661.39221</v>
      </c>
      <c r="AN382" s="108">
        <v>625595443927.78552</v>
      </c>
      <c r="AO382" s="108">
        <v>629872430693.88818</v>
      </c>
      <c r="AP382" s="108">
        <v>630017301074.83472</v>
      </c>
      <c r="AQ382" s="108">
        <v>2325340536.2194242</v>
      </c>
      <c r="AR382" s="108">
        <v>5189394796.2150497</v>
      </c>
      <c r="AS382" s="108">
        <v>36567763830.692368</v>
      </c>
      <c r="AT382" s="108">
        <v>127248606031.69298</v>
      </c>
      <c r="AU382" s="108">
        <v>266286342808.77429</v>
      </c>
      <c r="AV382" s="108">
        <v>358517669399.56677</v>
      </c>
    </row>
    <row r="383" spans="1:48" x14ac:dyDescent="0.35">
      <c r="A383" s="107">
        <f xml:space="preserve"> ROW( slrImpacts[[#This Row],[row_id]] ) - ROW( slrImpacts[[#Headers],[row_id]] )</f>
        <v>382</v>
      </c>
      <c r="B383" s="104">
        <v>2078</v>
      </c>
      <c r="C383" s="104" t="s">
        <v>221</v>
      </c>
      <c r="D383" s="104" t="s">
        <v>87</v>
      </c>
      <c r="E383" s="104" t="s">
        <v>922</v>
      </c>
      <c r="F383" s="104"/>
      <c r="G383" s="105">
        <v>0</v>
      </c>
      <c r="H383" s="105">
        <v>0</v>
      </c>
      <c r="I383" s="105">
        <v>0</v>
      </c>
      <c r="J383" s="105">
        <v>0</v>
      </c>
      <c r="K383" s="105">
        <v>0</v>
      </c>
      <c r="L383" s="105">
        <v>0</v>
      </c>
      <c r="M383" s="106">
        <v>29462762605.829605</v>
      </c>
      <c r="N383" s="106">
        <v>55820291458.970573</v>
      </c>
      <c r="O383" s="106">
        <v>271652294529.91849</v>
      </c>
      <c r="P383" s="106">
        <v>462828770553.46436</v>
      </c>
      <c r="Q383" s="106">
        <v>612544698399.19861</v>
      </c>
      <c r="R383" s="106">
        <v>698455269346.88623</v>
      </c>
      <c r="S383" s="105">
        <v>0</v>
      </c>
      <c r="T383" s="105">
        <v>0</v>
      </c>
      <c r="U383" s="105">
        <v>0</v>
      </c>
      <c r="V383" s="105">
        <v>0</v>
      </c>
      <c r="W383" s="105">
        <v>0</v>
      </c>
      <c r="X383" s="105">
        <v>0</v>
      </c>
      <c r="Y383" s="106">
        <v>419381144.12230182</v>
      </c>
      <c r="Z383" s="106">
        <v>659656596.74034572</v>
      </c>
      <c r="AA383" s="106">
        <v>3053463082.5222731</v>
      </c>
      <c r="AB383" s="108">
        <v>11243660559.012482</v>
      </c>
      <c r="AC383" s="108">
        <v>25594171982.026569</v>
      </c>
      <c r="AD383" s="108">
        <v>36728940179.589905</v>
      </c>
      <c r="AE383" s="108">
        <v>122502181121.01726</v>
      </c>
      <c r="AF383" s="108">
        <v>165016734993.64523</v>
      </c>
      <c r="AG383" s="108">
        <v>347611642531.03796</v>
      </c>
      <c r="AH383" s="108">
        <v>492298330712.7049</v>
      </c>
      <c r="AI383" s="108">
        <v>562628690309.43396</v>
      </c>
      <c r="AJ383" s="108">
        <v>589115352117.76404</v>
      </c>
      <c r="AK383" s="108">
        <v>209397411064.99667</v>
      </c>
      <c r="AL383" s="108">
        <v>318629026602.8288</v>
      </c>
      <c r="AM383" s="108">
        <v>584913864351.4447</v>
      </c>
      <c r="AN383" s="108">
        <v>632193291432.44385</v>
      </c>
      <c r="AO383" s="108">
        <v>635685868695.37292</v>
      </c>
      <c r="AP383" s="108">
        <v>635782871112.96838</v>
      </c>
      <c r="AQ383" s="108">
        <v>2415383459.8058457</v>
      </c>
      <c r="AR383" s="108">
        <v>5433034078.2424707</v>
      </c>
      <c r="AS383" s="108">
        <v>39032587152.359055</v>
      </c>
      <c r="AT383" s="108">
        <v>135681986083.58121</v>
      </c>
      <c r="AU383" s="108">
        <v>278833187624.43109</v>
      </c>
      <c r="AV383" s="108">
        <v>370634810438.75873</v>
      </c>
    </row>
    <row r="384" spans="1:48" x14ac:dyDescent="0.35">
      <c r="A384" s="107">
        <f xml:space="preserve"> ROW( slrImpacts[[#This Row],[row_id]] ) - ROW( slrImpacts[[#Headers],[row_id]] )</f>
        <v>383</v>
      </c>
      <c r="B384" s="104">
        <v>2079</v>
      </c>
      <c r="C384" s="104" t="s">
        <v>221</v>
      </c>
      <c r="D384" s="104" t="s">
        <v>87</v>
      </c>
      <c r="E384" s="104" t="s">
        <v>922</v>
      </c>
      <c r="F384" s="104"/>
      <c r="G384" s="105">
        <v>0</v>
      </c>
      <c r="H384" s="105">
        <v>0</v>
      </c>
      <c r="I384" s="105">
        <v>0</v>
      </c>
      <c r="J384" s="105">
        <v>0</v>
      </c>
      <c r="K384" s="105">
        <v>0</v>
      </c>
      <c r="L384" s="105">
        <v>0</v>
      </c>
      <c r="M384" s="106">
        <v>30529062261.721924</v>
      </c>
      <c r="N384" s="106">
        <v>58128955882.197548</v>
      </c>
      <c r="O384" s="106">
        <v>282083858204.5567</v>
      </c>
      <c r="P384" s="106">
        <v>475368425339.68219</v>
      </c>
      <c r="Q384" s="106">
        <v>625536708839.19861</v>
      </c>
      <c r="R384" s="106">
        <v>711544853060.85742</v>
      </c>
      <c r="S384" s="105">
        <v>0</v>
      </c>
      <c r="T384" s="105">
        <v>0</v>
      </c>
      <c r="U384" s="105">
        <v>0</v>
      </c>
      <c r="V384" s="105">
        <v>0</v>
      </c>
      <c r="W384" s="105">
        <v>0</v>
      </c>
      <c r="X384" s="105">
        <v>0</v>
      </c>
      <c r="Y384" s="106">
        <v>427820630.47289938</v>
      </c>
      <c r="Z384" s="106">
        <v>678099865.99109745</v>
      </c>
      <c r="AA384" s="106">
        <v>3240330859.6971836</v>
      </c>
      <c r="AB384" s="108">
        <v>11967911213.230232</v>
      </c>
      <c r="AC384" s="108">
        <v>26829323689.616001</v>
      </c>
      <c r="AD384" s="108">
        <v>38152036971.461792</v>
      </c>
      <c r="AE384" s="108">
        <v>126968493237.86797</v>
      </c>
      <c r="AF384" s="108">
        <v>170346753926.03867</v>
      </c>
      <c r="AG384" s="108">
        <v>357274328826.12451</v>
      </c>
      <c r="AH384" s="108">
        <v>502570698737.55859</v>
      </c>
      <c r="AI384" s="108">
        <v>570215644247.03198</v>
      </c>
      <c r="AJ384" s="108">
        <v>596420790227.57056</v>
      </c>
      <c r="AK384" s="108">
        <v>218802257515.74661</v>
      </c>
      <c r="AL384" s="108">
        <v>331220113061.21069</v>
      </c>
      <c r="AM384" s="108">
        <v>595742256490.84204</v>
      </c>
      <c r="AN384" s="108">
        <v>638666497952.08557</v>
      </c>
      <c r="AO384" s="108">
        <v>641507675186.23157</v>
      </c>
      <c r="AP384" s="108">
        <v>641569645524.01379</v>
      </c>
      <c r="AQ384" s="108">
        <v>2507320205.6008224</v>
      </c>
      <c r="AR384" s="108">
        <v>5682616418.635725</v>
      </c>
      <c r="AS384" s="108">
        <v>41611789776.789032</v>
      </c>
      <c r="AT384" s="108">
        <v>144376807396.01749</v>
      </c>
      <c r="AU384" s="108">
        <v>291336561829.59351</v>
      </c>
      <c r="AV384" s="108">
        <v>382483581067.81427</v>
      </c>
    </row>
    <row r="385" spans="1:48" x14ac:dyDescent="0.35">
      <c r="A385" s="107">
        <f xml:space="preserve"> ROW( slrImpacts[[#This Row],[row_id]] ) - ROW( slrImpacts[[#Headers],[row_id]] )</f>
        <v>384</v>
      </c>
      <c r="B385" s="104">
        <v>2080</v>
      </c>
      <c r="C385" s="104" t="s">
        <v>221</v>
      </c>
      <c r="D385" s="104" t="s">
        <v>87</v>
      </c>
      <c r="E385" s="104" t="s">
        <v>922</v>
      </c>
      <c r="F385" s="104"/>
      <c r="G385" s="105">
        <v>0</v>
      </c>
      <c r="H385" s="105">
        <v>0</v>
      </c>
      <c r="I385" s="105">
        <v>0</v>
      </c>
      <c r="J385" s="105">
        <v>0</v>
      </c>
      <c r="K385" s="105">
        <v>0</v>
      </c>
      <c r="L385" s="105">
        <v>0</v>
      </c>
      <c r="M385" s="106">
        <v>31606922236.0121</v>
      </c>
      <c r="N385" s="106">
        <v>60490942645.988441</v>
      </c>
      <c r="O385" s="106">
        <v>292544263987.89819</v>
      </c>
      <c r="P385" s="106">
        <v>487821001371.44879</v>
      </c>
      <c r="Q385" s="106">
        <v>638535037896.19385</v>
      </c>
      <c r="R385" s="106">
        <v>724617471658.74316</v>
      </c>
      <c r="S385" s="105">
        <v>0</v>
      </c>
      <c r="T385" s="105">
        <v>0</v>
      </c>
      <c r="U385" s="105">
        <v>0</v>
      </c>
      <c r="V385" s="105">
        <v>0</v>
      </c>
      <c r="W385" s="105">
        <v>0</v>
      </c>
      <c r="X385" s="105">
        <v>0</v>
      </c>
      <c r="Y385" s="106">
        <v>436146164.9114219</v>
      </c>
      <c r="Z385" s="106">
        <v>696879582.25010335</v>
      </c>
      <c r="AA385" s="106">
        <v>3436490623.9668794</v>
      </c>
      <c r="AB385" s="108">
        <v>12714323177.458811</v>
      </c>
      <c r="AC385" s="108">
        <v>28076290693.356857</v>
      </c>
      <c r="AD385" s="108">
        <v>39581968087.395279</v>
      </c>
      <c r="AE385" s="108">
        <v>131429361336.10806</v>
      </c>
      <c r="AF385" s="108">
        <v>175685760363.92676</v>
      </c>
      <c r="AG385" s="108">
        <v>366932288878.41479</v>
      </c>
      <c r="AH385" s="108">
        <v>512592164762.20026</v>
      </c>
      <c r="AI385" s="108">
        <v>577725669066.29626</v>
      </c>
      <c r="AJ385" s="108">
        <v>603685105986.03748</v>
      </c>
      <c r="AK385" s="108">
        <v>228388088785.87585</v>
      </c>
      <c r="AL385" s="108">
        <v>343842387880.1897</v>
      </c>
      <c r="AM385" s="108">
        <v>606210156547.48206</v>
      </c>
      <c r="AN385" s="108">
        <v>645038572315.4823</v>
      </c>
      <c r="AO385" s="108">
        <v>647341126890.58533</v>
      </c>
      <c r="AP385" s="108">
        <v>647378147147.85901</v>
      </c>
      <c r="AQ385" s="108">
        <v>2600586905.6392837</v>
      </c>
      <c r="AR385" s="108">
        <v>5939490367.2665758</v>
      </c>
      <c r="AS385" s="108">
        <v>44311138430.340714</v>
      </c>
      <c r="AT385" s="108">
        <v>153313663384.62564</v>
      </c>
      <c r="AU385" s="108">
        <v>303770697805.37738</v>
      </c>
      <c r="AV385" s="108">
        <v>394042478186.77875</v>
      </c>
    </row>
    <row r="386" spans="1:48" x14ac:dyDescent="0.35">
      <c r="A386" s="107">
        <f xml:space="preserve"> ROW( slrImpacts[[#This Row],[row_id]] ) - ROW( slrImpacts[[#Headers],[row_id]] )</f>
        <v>385</v>
      </c>
      <c r="B386" s="104">
        <v>2081</v>
      </c>
      <c r="C386" s="104" t="s">
        <v>221</v>
      </c>
      <c r="D386" s="104" t="s">
        <v>87</v>
      </c>
      <c r="E386" s="104" t="s">
        <v>922</v>
      </c>
      <c r="F386" s="104"/>
      <c r="G386" s="105">
        <v>0</v>
      </c>
      <c r="H386" s="105">
        <v>0</v>
      </c>
      <c r="I386" s="105">
        <v>0</v>
      </c>
      <c r="J386" s="105">
        <v>0</v>
      </c>
      <c r="K386" s="105">
        <v>0</v>
      </c>
      <c r="L386" s="105">
        <v>0</v>
      </c>
      <c r="M386" s="106">
        <v>32696243651.619564</v>
      </c>
      <c r="N386" s="106">
        <v>62902537624.951637</v>
      </c>
      <c r="O386" s="106">
        <v>303034808931.48346</v>
      </c>
      <c r="P386" s="106">
        <v>500198863080.85059</v>
      </c>
      <c r="Q386" s="106">
        <v>651528503505.89417</v>
      </c>
      <c r="R386" s="106">
        <v>737691502524.177</v>
      </c>
      <c r="S386" s="105">
        <v>0</v>
      </c>
      <c r="T386" s="105">
        <v>0</v>
      </c>
      <c r="U386" s="105">
        <v>0</v>
      </c>
      <c r="V386" s="105">
        <v>0</v>
      </c>
      <c r="W386" s="105">
        <v>0</v>
      </c>
      <c r="X386" s="105">
        <v>0</v>
      </c>
      <c r="Y386" s="106">
        <v>444452516.88084137</v>
      </c>
      <c r="Z386" s="106">
        <v>716047046.59536326</v>
      </c>
      <c r="AA386" s="106">
        <v>3642778535.1007333</v>
      </c>
      <c r="AB386" s="108">
        <v>13482510946.767851</v>
      </c>
      <c r="AC386" s="108">
        <v>29333323402.950077</v>
      </c>
      <c r="AD386" s="108">
        <v>41017601715.934525</v>
      </c>
      <c r="AE386" s="108">
        <v>135885641071.97395</v>
      </c>
      <c r="AF386" s="108">
        <v>181036268356.46866</v>
      </c>
      <c r="AG386" s="108">
        <v>376557056789.96619</v>
      </c>
      <c r="AH386" s="108">
        <v>522312802575.11316</v>
      </c>
      <c r="AI386" s="108">
        <v>585136481135.63403</v>
      </c>
      <c r="AJ386" s="108">
        <v>610866903024.21936</v>
      </c>
      <c r="AK386" s="108">
        <v>238103388022.23831</v>
      </c>
      <c r="AL386" s="108">
        <v>356439564868.12457</v>
      </c>
      <c r="AM386" s="108">
        <v>616262403960.51135</v>
      </c>
      <c r="AN386" s="108">
        <v>651267671466.14355</v>
      </c>
      <c r="AO386" s="108">
        <v>653130034799.68091</v>
      </c>
      <c r="AP386" s="108">
        <v>653150888975.78772</v>
      </c>
      <c r="AQ386" s="108">
        <v>2695537322.1075616</v>
      </c>
      <c r="AR386" s="108">
        <v>6201317764.0499592</v>
      </c>
      <c r="AS386" s="108">
        <v>47122667771.521439</v>
      </c>
      <c r="AT386" s="108">
        <v>162446774457.14243</v>
      </c>
      <c r="AU386" s="108">
        <v>316052922880.37598</v>
      </c>
      <c r="AV386" s="108">
        <v>405248417098.79999</v>
      </c>
    </row>
    <row r="387" spans="1:48" x14ac:dyDescent="0.35">
      <c r="A387" s="107">
        <f xml:space="preserve"> ROW( slrImpacts[[#This Row],[row_id]] ) - ROW( slrImpacts[[#Headers],[row_id]] )</f>
        <v>386</v>
      </c>
      <c r="B387" s="104">
        <v>2082</v>
      </c>
      <c r="C387" s="104" t="s">
        <v>221</v>
      </c>
      <c r="D387" s="104" t="s">
        <v>87</v>
      </c>
      <c r="E387" s="104" t="s">
        <v>922</v>
      </c>
      <c r="F387" s="104"/>
      <c r="G387" s="105">
        <v>0</v>
      </c>
      <c r="H387" s="105">
        <v>0</v>
      </c>
      <c r="I387" s="105">
        <v>0</v>
      </c>
      <c r="J387" s="105">
        <v>0</v>
      </c>
      <c r="K387" s="105">
        <v>0</v>
      </c>
      <c r="L387" s="105">
        <v>0</v>
      </c>
      <c r="M387" s="106">
        <v>33797612683.604336</v>
      </c>
      <c r="N387" s="106">
        <v>65370387404.998055</v>
      </c>
      <c r="O387" s="106">
        <v>313559778214.39136</v>
      </c>
      <c r="P387" s="106">
        <v>512520653432.68713</v>
      </c>
      <c r="Q387" s="106">
        <v>664533093182.22009</v>
      </c>
      <c r="R387" s="106">
        <v>750802831530.97864</v>
      </c>
      <c r="S387" s="105">
        <v>0</v>
      </c>
      <c r="T387" s="105">
        <v>0</v>
      </c>
      <c r="U387" s="105">
        <v>0</v>
      </c>
      <c r="V387" s="105">
        <v>0</v>
      </c>
      <c r="W387" s="105">
        <v>0</v>
      </c>
      <c r="X387" s="105">
        <v>0</v>
      </c>
      <c r="Y387" s="106">
        <v>452681057.70298767</v>
      </c>
      <c r="Z387" s="106">
        <v>735601266.20982921</v>
      </c>
      <c r="AA387" s="106">
        <v>3858930211.6578889</v>
      </c>
      <c r="AB387" s="108">
        <v>14271302817.713781</v>
      </c>
      <c r="AC387" s="108">
        <v>30600681014.242714</v>
      </c>
      <c r="AD387" s="108">
        <v>42458963306.875854</v>
      </c>
      <c r="AE387" s="108">
        <v>140318900408.83963</v>
      </c>
      <c r="AF387" s="108">
        <v>186364681781.89423</v>
      </c>
      <c r="AG387" s="108">
        <v>386163746197.08856</v>
      </c>
      <c r="AH387" s="108">
        <v>531741170842.87036</v>
      </c>
      <c r="AI387" s="108">
        <v>592486984651.80835</v>
      </c>
      <c r="AJ387" s="108">
        <v>617974442482.01868</v>
      </c>
      <c r="AK387" s="108">
        <v>247957178096.21887</v>
      </c>
      <c r="AL387" s="108">
        <v>369038818466.56476</v>
      </c>
      <c r="AM387" s="108">
        <v>625946010020.3833</v>
      </c>
      <c r="AN387" s="108">
        <v>657397327758.89063</v>
      </c>
      <c r="AO387" s="108">
        <v>658897077670.38489</v>
      </c>
      <c r="AP387" s="108">
        <v>658908523510.88379</v>
      </c>
      <c r="AQ387" s="108">
        <v>2791881455.9911542</v>
      </c>
      <c r="AR387" s="108">
        <v>6468975488.9160519</v>
      </c>
      <c r="AS387" s="108">
        <v>50052641838.269081</v>
      </c>
      <c r="AT387" s="108">
        <v>171753262301.43851</v>
      </c>
      <c r="AU387" s="108">
        <v>328173359086.99414</v>
      </c>
      <c r="AV387" s="108">
        <v>416093857499.23175</v>
      </c>
    </row>
    <row r="388" spans="1:48" x14ac:dyDescent="0.35">
      <c r="A388" s="107">
        <f xml:space="preserve"> ROW( slrImpacts[[#This Row],[row_id]] ) - ROW( slrImpacts[[#Headers],[row_id]] )</f>
        <v>387</v>
      </c>
      <c r="B388" s="104">
        <v>2083</v>
      </c>
      <c r="C388" s="104" t="s">
        <v>221</v>
      </c>
      <c r="D388" s="104" t="s">
        <v>87</v>
      </c>
      <c r="E388" s="104" t="s">
        <v>922</v>
      </c>
      <c r="F388" s="104"/>
      <c r="G388" s="105">
        <v>0</v>
      </c>
      <c r="H388" s="105">
        <v>0</v>
      </c>
      <c r="I388" s="105">
        <v>0</v>
      </c>
      <c r="J388" s="105">
        <v>0</v>
      </c>
      <c r="K388" s="105">
        <v>0</v>
      </c>
      <c r="L388" s="105">
        <v>0</v>
      </c>
      <c r="M388" s="106">
        <v>34909527188.787651</v>
      </c>
      <c r="N388" s="106">
        <v>67888548152.306389</v>
      </c>
      <c r="O388" s="106">
        <v>324115648379.96802</v>
      </c>
      <c r="P388" s="106">
        <v>524792405194.87292</v>
      </c>
      <c r="Q388" s="106">
        <v>677535713319.427</v>
      </c>
      <c r="R388" s="106">
        <v>763960684318.56116</v>
      </c>
      <c r="S388" s="105">
        <v>0</v>
      </c>
      <c r="T388" s="105">
        <v>0</v>
      </c>
      <c r="U388" s="105">
        <v>0</v>
      </c>
      <c r="V388" s="105">
        <v>0</v>
      </c>
      <c r="W388" s="105">
        <v>0</v>
      </c>
      <c r="X388" s="105">
        <v>0</v>
      </c>
      <c r="Y388" s="106">
        <v>461030793.04532087</v>
      </c>
      <c r="Z388" s="106">
        <v>755549471.2160604</v>
      </c>
      <c r="AA388" s="106">
        <v>4084822624.0208831</v>
      </c>
      <c r="AB388" s="108">
        <v>15079738699.813412</v>
      </c>
      <c r="AC388" s="108">
        <v>31878589821.050755</v>
      </c>
      <c r="AD388" s="108">
        <v>43906920342.680954</v>
      </c>
      <c r="AE388" s="108">
        <v>144735448776.47711</v>
      </c>
      <c r="AF388" s="108">
        <v>191703939806.17325</v>
      </c>
      <c r="AG388" s="108">
        <v>395747136855.84106</v>
      </c>
      <c r="AH388" s="108">
        <v>540880982662.37964</v>
      </c>
      <c r="AI388" s="108">
        <v>599787157584.61169</v>
      </c>
      <c r="AJ388" s="108">
        <v>625003295616.98181</v>
      </c>
      <c r="AK388" s="108">
        <v>257943938751.39233</v>
      </c>
      <c r="AL388" s="108">
        <v>381619903666.1095</v>
      </c>
      <c r="AM388" s="108">
        <v>635271064829.31555</v>
      </c>
      <c r="AN388" s="108">
        <v>663444775829.60547</v>
      </c>
      <c r="AO388" s="108">
        <v>664645000310.75732</v>
      </c>
      <c r="AP388" s="108">
        <v>664651228929.51306</v>
      </c>
      <c r="AQ388" s="108">
        <v>2889162508.9932227</v>
      </c>
      <c r="AR388" s="108">
        <v>6742207851.4933462</v>
      </c>
      <c r="AS388" s="108">
        <v>53102267950.704651</v>
      </c>
      <c r="AT388" s="108">
        <v>181218125494.77127</v>
      </c>
      <c r="AU388" s="108">
        <v>340123132023.54797</v>
      </c>
      <c r="AV388" s="108">
        <v>426566426779.84784</v>
      </c>
    </row>
    <row r="389" spans="1:48" x14ac:dyDescent="0.35">
      <c r="A389" s="107">
        <f xml:space="preserve"> ROW( slrImpacts[[#This Row],[row_id]] ) - ROW( slrImpacts[[#Headers],[row_id]] )</f>
        <v>388</v>
      </c>
      <c r="B389" s="104">
        <v>2084</v>
      </c>
      <c r="C389" s="104" t="s">
        <v>221</v>
      </c>
      <c r="D389" s="104" t="s">
        <v>87</v>
      </c>
      <c r="E389" s="104" t="s">
        <v>922</v>
      </c>
      <c r="F389" s="104"/>
      <c r="G389" s="105">
        <v>0</v>
      </c>
      <c r="H389" s="105">
        <v>0</v>
      </c>
      <c r="I389" s="105">
        <v>0</v>
      </c>
      <c r="J389" s="105">
        <v>0</v>
      </c>
      <c r="K389" s="105">
        <v>0</v>
      </c>
      <c r="L389" s="105">
        <v>0</v>
      </c>
      <c r="M389" s="106">
        <v>36031278749.640846</v>
      </c>
      <c r="N389" s="106">
        <v>70459964573.168716</v>
      </c>
      <c r="O389" s="106">
        <v>334708470806.47388</v>
      </c>
      <c r="P389" s="106">
        <v>537023036347.24451</v>
      </c>
      <c r="Q389" s="106">
        <v>690535854014.29004</v>
      </c>
      <c r="R389" s="106">
        <v>777166704750.63989</v>
      </c>
      <c r="S389" s="105">
        <v>0</v>
      </c>
      <c r="T389" s="105">
        <v>0</v>
      </c>
      <c r="U389" s="105">
        <v>0</v>
      </c>
      <c r="V389" s="105">
        <v>0</v>
      </c>
      <c r="W389" s="105">
        <v>0</v>
      </c>
      <c r="X389" s="105">
        <v>0</v>
      </c>
      <c r="Y389" s="106">
        <v>469286770.09706742</v>
      </c>
      <c r="Z389" s="106">
        <v>775898213.43802059</v>
      </c>
      <c r="AA389" s="106">
        <v>4321376495.7562923</v>
      </c>
      <c r="AB389" s="108">
        <v>15908071444.959591</v>
      </c>
      <c r="AC389" s="108">
        <v>33165648312.188225</v>
      </c>
      <c r="AD389" s="108">
        <v>45358991633.263771</v>
      </c>
      <c r="AE389" s="108">
        <v>149130993968.84961</v>
      </c>
      <c r="AF389" s="108">
        <v>197056082032.53912</v>
      </c>
      <c r="AG389" s="108">
        <v>405321844985.12402</v>
      </c>
      <c r="AH389" s="108">
        <v>549741518722.60876</v>
      </c>
      <c r="AI389" s="108">
        <v>607046391189.11475</v>
      </c>
      <c r="AJ389" s="108">
        <v>631946752136.50708</v>
      </c>
      <c r="AK389" s="108">
        <v>267985428057.48074</v>
      </c>
      <c r="AL389" s="108">
        <v>394083305112.02441</v>
      </c>
      <c r="AM389" s="108">
        <v>644262796540.76636</v>
      </c>
      <c r="AN389" s="108">
        <v>669423534389.63208</v>
      </c>
      <c r="AO389" s="108">
        <v>670375767401.66602</v>
      </c>
      <c r="AP389" s="108">
        <v>670379133941.75281</v>
      </c>
      <c r="AQ389" s="108">
        <v>2986954680.0059476</v>
      </c>
      <c r="AR389" s="108">
        <v>7020606917.6812782</v>
      </c>
      <c r="AS389" s="108">
        <v>56266389289.016228</v>
      </c>
      <c r="AT389" s="108">
        <v>190805409649.26169</v>
      </c>
      <c r="AU389" s="108">
        <v>351887353992.89435</v>
      </c>
      <c r="AV389" s="108">
        <v>436652399127.0918</v>
      </c>
    </row>
    <row r="390" spans="1:48" x14ac:dyDescent="0.35">
      <c r="A390" s="107">
        <f xml:space="preserve"> ROW( slrImpacts[[#This Row],[row_id]] ) - ROW( slrImpacts[[#Headers],[row_id]] )</f>
        <v>389</v>
      </c>
      <c r="B390" s="104">
        <v>2085</v>
      </c>
      <c r="C390" s="104" t="s">
        <v>221</v>
      </c>
      <c r="D390" s="104" t="s">
        <v>87</v>
      </c>
      <c r="E390" s="104" t="s">
        <v>922</v>
      </c>
      <c r="F390" s="104"/>
      <c r="G390" s="105">
        <v>0</v>
      </c>
      <c r="H390" s="105">
        <v>0</v>
      </c>
      <c r="I390" s="105">
        <v>0</v>
      </c>
      <c r="J390" s="105">
        <v>0</v>
      </c>
      <c r="K390" s="105">
        <v>0</v>
      </c>
      <c r="L390" s="105">
        <v>0</v>
      </c>
      <c r="M390" s="106">
        <v>37162332550.471664</v>
      </c>
      <c r="N390" s="106">
        <v>73083039901.289749</v>
      </c>
      <c r="O390" s="106">
        <v>345332297643.64502</v>
      </c>
      <c r="P390" s="106">
        <v>549219043340.71191</v>
      </c>
      <c r="Q390" s="106">
        <v>703542712930.83411</v>
      </c>
      <c r="R390" s="106">
        <v>790428709953.55237</v>
      </c>
      <c r="S390" s="105">
        <v>0</v>
      </c>
      <c r="T390" s="105">
        <v>0</v>
      </c>
      <c r="U390" s="105">
        <v>0</v>
      </c>
      <c r="V390" s="105">
        <v>0</v>
      </c>
      <c r="W390" s="105">
        <v>0</v>
      </c>
      <c r="X390" s="105">
        <v>0</v>
      </c>
      <c r="Y390" s="106">
        <v>477491502.21900254</v>
      </c>
      <c r="Z390" s="106">
        <v>796743828.95483696</v>
      </c>
      <c r="AA390" s="106">
        <v>4568397922.5582352</v>
      </c>
      <c r="AB390" s="108">
        <v>16754914833.663567</v>
      </c>
      <c r="AC390" s="108">
        <v>34460210359.321587</v>
      </c>
      <c r="AD390" s="108">
        <v>46814390992.526199</v>
      </c>
      <c r="AE390" s="108">
        <v>153505068712.68567</v>
      </c>
      <c r="AF390" s="108">
        <v>202404902482.05698</v>
      </c>
      <c r="AG390" s="108">
        <v>414889367455.70715</v>
      </c>
      <c r="AH390" s="108">
        <v>558338799672.97266</v>
      </c>
      <c r="AI390" s="108">
        <v>614271388112.43372</v>
      </c>
      <c r="AJ390" s="108">
        <v>638801342903.15857</v>
      </c>
      <c r="AK390" s="108">
        <v>278122047636.98236</v>
      </c>
      <c r="AL390" s="108">
        <v>406505708676.55127</v>
      </c>
      <c r="AM390" s="108">
        <v>652938937004.65308</v>
      </c>
      <c r="AN390" s="108">
        <v>675341842087.59216</v>
      </c>
      <c r="AO390" s="108">
        <v>676090586524.00818</v>
      </c>
      <c r="AP390" s="108">
        <v>676092353562.80713</v>
      </c>
      <c r="AQ390" s="108">
        <v>3086148845.0510759</v>
      </c>
      <c r="AR390" s="108">
        <v>7304399254.5670662</v>
      </c>
      <c r="AS390" s="108">
        <v>59555180059.696587</v>
      </c>
      <c r="AT390" s="108">
        <v>200505049097.55374</v>
      </c>
      <c r="AU390" s="108">
        <v>363453816244.8371</v>
      </c>
      <c r="AV390" s="108">
        <v>446334024348.17712</v>
      </c>
    </row>
    <row r="391" spans="1:48" x14ac:dyDescent="0.35">
      <c r="A391" s="107">
        <f xml:space="preserve"> ROW( slrImpacts[[#This Row],[row_id]] ) - ROW( slrImpacts[[#Headers],[row_id]] )</f>
        <v>390</v>
      </c>
      <c r="B391" s="104">
        <v>2086</v>
      </c>
      <c r="C391" s="104" t="s">
        <v>221</v>
      </c>
      <c r="D391" s="104" t="s">
        <v>87</v>
      </c>
      <c r="E391" s="104" t="s">
        <v>922</v>
      </c>
      <c r="F391" s="104"/>
      <c r="G391" s="105">
        <v>0</v>
      </c>
      <c r="H391" s="105">
        <v>0</v>
      </c>
      <c r="I391" s="105">
        <v>0</v>
      </c>
      <c r="J391" s="105">
        <v>0</v>
      </c>
      <c r="K391" s="105">
        <v>0</v>
      </c>
      <c r="L391" s="105">
        <v>0</v>
      </c>
      <c r="M391" s="106">
        <v>38277456377.137398</v>
      </c>
      <c r="N391" s="106">
        <v>75737380880.272598</v>
      </c>
      <c r="O391" s="106">
        <v>356009076553.92023</v>
      </c>
      <c r="P391" s="106">
        <v>561465021577.39478</v>
      </c>
      <c r="Q391" s="106">
        <v>716600209487.12854</v>
      </c>
      <c r="R391" s="106">
        <v>803770950150.36829</v>
      </c>
      <c r="S391" s="105">
        <v>0</v>
      </c>
      <c r="T391" s="105">
        <v>0</v>
      </c>
      <c r="U391" s="105">
        <v>0</v>
      </c>
      <c r="V391" s="105">
        <v>0</v>
      </c>
      <c r="W391" s="105">
        <v>0</v>
      </c>
      <c r="X391" s="105">
        <v>0</v>
      </c>
      <c r="Y391" s="106">
        <v>485506872.07381064</v>
      </c>
      <c r="Z391" s="106">
        <v>817872796.29736423</v>
      </c>
      <c r="AA391" s="106">
        <v>4830692358.9301901</v>
      </c>
      <c r="AB391" s="108">
        <v>17634997301.643101</v>
      </c>
      <c r="AC391" s="108">
        <v>35782141352.834129</v>
      </c>
      <c r="AD391" s="108">
        <v>48288957119.857689</v>
      </c>
      <c r="AE391" s="108">
        <v>157874237717.63168</v>
      </c>
      <c r="AF391" s="108">
        <v>207715789106.11319</v>
      </c>
      <c r="AG391" s="108">
        <v>424456525858.08478</v>
      </c>
      <c r="AH391" s="108">
        <v>566725167261.80359</v>
      </c>
      <c r="AI391" s="108">
        <v>621479685208.64697</v>
      </c>
      <c r="AJ391" s="108">
        <v>645570164680.98096</v>
      </c>
      <c r="AK391" s="108">
        <v>288402868715.21136</v>
      </c>
      <c r="AL391" s="108">
        <v>418859166693.06421</v>
      </c>
      <c r="AM391" s="108">
        <v>661309929706.66248</v>
      </c>
      <c r="AN391" s="108">
        <v>681189980725.2334</v>
      </c>
      <c r="AO391" s="108">
        <v>681770367316.65344</v>
      </c>
      <c r="AP391" s="108">
        <v>681771224611.84399</v>
      </c>
      <c r="AQ391" s="108">
        <v>3183471806.5114465</v>
      </c>
      <c r="AR391" s="108">
        <v>7593034659.2384415</v>
      </c>
      <c r="AS391" s="108">
        <v>63013869275.561554</v>
      </c>
      <c r="AT391" s="108">
        <v>210491376934.43652</v>
      </c>
      <c r="AU391" s="108">
        <v>374956418965.1582</v>
      </c>
      <c r="AV391" s="108">
        <v>455657299726.35583</v>
      </c>
    </row>
    <row r="392" spans="1:48" x14ac:dyDescent="0.35">
      <c r="A392" s="107">
        <f xml:space="preserve"> ROW( slrImpacts[[#This Row],[row_id]] ) - ROW( slrImpacts[[#Headers],[row_id]] )</f>
        <v>391</v>
      </c>
      <c r="B392" s="104">
        <v>2087</v>
      </c>
      <c r="C392" s="104" t="s">
        <v>221</v>
      </c>
      <c r="D392" s="104" t="s">
        <v>87</v>
      </c>
      <c r="E392" s="104" t="s">
        <v>922</v>
      </c>
      <c r="F392" s="104"/>
      <c r="G392" s="105">
        <v>0</v>
      </c>
      <c r="H392" s="105">
        <v>0</v>
      </c>
      <c r="I392" s="105">
        <v>0</v>
      </c>
      <c r="J392" s="105">
        <v>0</v>
      </c>
      <c r="K392" s="105">
        <v>0</v>
      </c>
      <c r="L392" s="105">
        <v>0</v>
      </c>
      <c r="M392" s="106">
        <v>39399021084.272644</v>
      </c>
      <c r="N392" s="106">
        <v>78444890668.097366</v>
      </c>
      <c r="O392" s="106">
        <v>366703686576.0451</v>
      </c>
      <c r="P392" s="106">
        <v>573734965975.73059</v>
      </c>
      <c r="Q392" s="106">
        <v>729560250455.44031</v>
      </c>
      <c r="R392" s="106">
        <v>817064217945.86255</v>
      </c>
      <c r="S392" s="105">
        <v>0</v>
      </c>
      <c r="T392" s="105">
        <v>0</v>
      </c>
      <c r="U392" s="105">
        <v>0</v>
      </c>
      <c r="V392" s="105">
        <v>0</v>
      </c>
      <c r="W392" s="105">
        <v>0</v>
      </c>
      <c r="X392" s="105">
        <v>0</v>
      </c>
      <c r="Y392" s="106">
        <v>493588523.16272092</v>
      </c>
      <c r="Z392" s="106">
        <v>839590572.89178789</v>
      </c>
      <c r="AA392" s="106">
        <v>5107316987.9459438</v>
      </c>
      <c r="AB392" s="108">
        <v>18545349575.305744</v>
      </c>
      <c r="AC392" s="108">
        <v>37124083415.33107</v>
      </c>
      <c r="AD392" s="108">
        <v>49768493163.480667</v>
      </c>
      <c r="AE392" s="108">
        <v>162265444940.21002</v>
      </c>
      <c r="AF392" s="108">
        <v>213002337495.83066</v>
      </c>
      <c r="AG392" s="108">
        <v>433984397584.35138</v>
      </c>
      <c r="AH392" s="108">
        <v>574880467200.78992</v>
      </c>
      <c r="AI392" s="108">
        <v>628655268702.89136</v>
      </c>
      <c r="AJ392" s="108">
        <v>652229608117.3042</v>
      </c>
      <c r="AK392" s="108">
        <v>298833577780.72076</v>
      </c>
      <c r="AL392" s="108">
        <v>431177967945.85248</v>
      </c>
      <c r="AM392" s="108">
        <v>669385056942.41541</v>
      </c>
      <c r="AN392" s="108">
        <v>686991475629.14233</v>
      </c>
      <c r="AO392" s="108">
        <v>687436370876.245</v>
      </c>
      <c r="AP392" s="108">
        <v>687436740523.23181</v>
      </c>
      <c r="AQ392" s="108">
        <v>3280077812.7201791</v>
      </c>
      <c r="AR392" s="108">
        <v>7889055846.6114368</v>
      </c>
      <c r="AS392" s="108">
        <v>66633657439.073303</v>
      </c>
      <c r="AT392" s="108">
        <v>220713798616.17889</v>
      </c>
      <c r="AU392" s="108">
        <v>386289786286.84229</v>
      </c>
      <c r="AV392" s="108">
        <v>464525304289.61682</v>
      </c>
    </row>
    <row r="393" spans="1:48" x14ac:dyDescent="0.35">
      <c r="A393" s="107">
        <f xml:space="preserve"> ROW( slrImpacts[[#This Row],[row_id]] ) - ROW( slrImpacts[[#Headers],[row_id]] )</f>
        <v>392</v>
      </c>
      <c r="B393" s="104">
        <v>2088</v>
      </c>
      <c r="C393" s="104" t="s">
        <v>221</v>
      </c>
      <c r="D393" s="104" t="s">
        <v>87</v>
      </c>
      <c r="E393" s="104" t="s">
        <v>922</v>
      </c>
      <c r="F393" s="104"/>
      <c r="G393" s="105">
        <v>0</v>
      </c>
      <c r="H393" s="105">
        <v>0</v>
      </c>
      <c r="I393" s="105">
        <v>0</v>
      </c>
      <c r="J393" s="105">
        <v>0</v>
      </c>
      <c r="K393" s="105">
        <v>0</v>
      </c>
      <c r="L393" s="105">
        <v>0</v>
      </c>
      <c r="M393" s="106">
        <v>40527352239.194191</v>
      </c>
      <c r="N393" s="106">
        <v>81202332399.473267</v>
      </c>
      <c r="O393" s="106">
        <v>377421077438.60834</v>
      </c>
      <c r="P393" s="106">
        <v>586031167077.74829</v>
      </c>
      <c r="Q393" s="106">
        <v>742440034033.29846</v>
      </c>
      <c r="R393" s="106">
        <v>830314984272.5437</v>
      </c>
      <c r="S393" s="105">
        <v>0</v>
      </c>
      <c r="T393" s="105">
        <v>0</v>
      </c>
      <c r="U393" s="105">
        <v>0</v>
      </c>
      <c r="V393" s="105">
        <v>0</v>
      </c>
      <c r="W393" s="105">
        <v>0</v>
      </c>
      <c r="X393" s="105">
        <v>0</v>
      </c>
      <c r="Y393" s="106">
        <v>501748181.49968886</v>
      </c>
      <c r="Z393" s="106">
        <v>861881183.26194024</v>
      </c>
      <c r="AA393" s="106">
        <v>5399526015.1204643</v>
      </c>
      <c r="AB393" s="108">
        <v>19484312444.304043</v>
      </c>
      <c r="AC393" s="108">
        <v>38484969677.859711</v>
      </c>
      <c r="AD393" s="108">
        <v>51251321109.621147</v>
      </c>
      <c r="AE393" s="108">
        <v>166681214116.24185</v>
      </c>
      <c r="AF393" s="108">
        <v>218261856120.24136</v>
      </c>
      <c r="AG393" s="108">
        <v>443477514747.23682</v>
      </c>
      <c r="AH393" s="108">
        <v>582836752485.99548</v>
      </c>
      <c r="AI393" s="108">
        <v>635794336342.48767</v>
      </c>
      <c r="AJ393" s="108">
        <v>658771522845.47717</v>
      </c>
      <c r="AK393" s="108">
        <v>309352890172.00092</v>
      </c>
      <c r="AL393" s="108">
        <v>443454370851.48474</v>
      </c>
      <c r="AM393" s="108">
        <v>677200506111.27222</v>
      </c>
      <c r="AN393" s="108">
        <v>692751181027.64514</v>
      </c>
      <c r="AO393" s="108">
        <v>693088903852.3938</v>
      </c>
      <c r="AP393" s="108">
        <v>693088989624.85779</v>
      </c>
      <c r="AQ393" s="108">
        <v>3376423311.0686965</v>
      </c>
      <c r="AR393" s="108">
        <v>8193485816.8457956</v>
      </c>
      <c r="AS393" s="108">
        <v>70418407372.485931</v>
      </c>
      <c r="AT393" s="108">
        <v>231138007048.83771</v>
      </c>
      <c r="AU393" s="108">
        <v>397433618171.99481</v>
      </c>
      <c r="AV393" s="108">
        <v>472916927698.88489</v>
      </c>
    </row>
    <row r="394" spans="1:48" x14ac:dyDescent="0.35">
      <c r="A394" s="107">
        <f xml:space="preserve"> ROW( slrImpacts[[#This Row],[row_id]] ) - ROW( slrImpacts[[#Headers],[row_id]] )</f>
        <v>393</v>
      </c>
      <c r="B394" s="104">
        <v>2089</v>
      </c>
      <c r="C394" s="104" t="s">
        <v>221</v>
      </c>
      <c r="D394" s="104" t="s">
        <v>87</v>
      </c>
      <c r="E394" s="104" t="s">
        <v>922</v>
      </c>
      <c r="F394" s="104"/>
      <c r="G394" s="105">
        <v>0</v>
      </c>
      <c r="H394" s="105">
        <v>0</v>
      </c>
      <c r="I394" s="105">
        <v>0</v>
      </c>
      <c r="J394" s="105">
        <v>0</v>
      </c>
      <c r="K394" s="105">
        <v>0</v>
      </c>
      <c r="L394" s="105">
        <v>0</v>
      </c>
      <c r="M394" s="106">
        <v>41661484562.68399</v>
      </c>
      <c r="N394" s="106">
        <v>84012175356.497681</v>
      </c>
      <c r="O394" s="106">
        <v>388157617943.73505</v>
      </c>
      <c r="P394" s="106">
        <v>598354617754.83716</v>
      </c>
      <c r="Q394" s="106">
        <v>755258860581.40527</v>
      </c>
      <c r="R394" s="106">
        <v>843521457197.26685</v>
      </c>
      <c r="S394" s="105">
        <v>0</v>
      </c>
      <c r="T394" s="105">
        <v>0</v>
      </c>
      <c r="U394" s="105">
        <v>0</v>
      </c>
      <c r="V394" s="105">
        <v>0</v>
      </c>
      <c r="W394" s="105">
        <v>0</v>
      </c>
      <c r="X394" s="105">
        <v>0</v>
      </c>
      <c r="Y394" s="106">
        <v>509976909.4815166</v>
      </c>
      <c r="Z394" s="106">
        <v>884643654.92784894</v>
      </c>
      <c r="AA394" s="106">
        <v>5707326145.9241858</v>
      </c>
      <c r="AB394" s="108">
        <v>20451825647.226425</v>
      </c>
      <c r="AC394" s="108">
        <v>39862450511.906029</v>
      </c>
      <c r="AD394" s="108">
        <v>52735080768.911674</v>
      </c>
      <c r="AE394" s="108">
        <v>171122539046.18851</v>
      </c>
      <c r="AF394" s="108">
        <v>223494852213.4567</v>
      </c>
      <c r="AG394" s="108">
        <v>452942264156.47778</v>
      </c>
      <c r="AH394" s="108">
        <v>590629448283.78442</v>
      </c>
      <c r="AI394" s="108">
        <v>642891652396.05078</v>
      </c>
      <c r="AJ394" s="108">
        <v>665189267463.93506</v>
      </c>
      <c r="AK394" s="108">
        <v>320007304721.10052</v>
      </c>
      <c r="AL394" s="108">
        <v>455677973417.62579</v>
      </c>
      <c r="AM394" s="108">
        <v>684768305928.53699</v>
      </c>
      <c r="AN394" s="108">
        <v>698474114309.3208</v>
      </c>
      <c r="AO394" s="108">
        <v>698728039258.51904</v>
      </c>
      <c r="AP394" s="108">
        <v>698728055927.38782</v>
      </c>
      <c r="AQ394" s="108">
        <v>3472285779.1016326</v>
      </c>
      <c r="AR394" s="108">
        <v>8505424617.4465151</v>
      </c>
      <c r="AS394" s="108">
        <v>74373848588.648361</v>
      </c>
      <c r="AT394" s="108">
        <v>241755527905.04211</v>
      </c>
      <c r="AU394" s="108">
        <v>408377112765.57715</v>
      </c>
      <c r="AV394" s="108">
        <v>480807391573.65442</v>
      </c>
    </row>
    <row r="395" spans="1:48" x14ac:dyDescent="0.35">
      <c r="A395" s="107">
        <f xml:space="preserve"> ROW( slrImpacts[[#This Row],[row_id]] ) - ROW( slrImpacts[[#Headers],[row_id]] )</f>
        <v>394</v>
      </c>
      <c r="B395" s="104">
        <v>2090</v>
      </c>
      <c r="C395" s="104" t="s">
        <v>221</v>
      </c>
      <c r="D395" s="104" t="s">
        <v>87</v>
      </c>
      <c r="E395" s="104" t="s">
        <v>922</v>
      </c>
      <c r="F395" s="104"/>
      <c r="G395" s="105">
        <v>0</v>
      </c>
      <c r="H395" s="105">
        <v>0</v>
      </c>
      <c r="I395" s="105">
        <v>0</v>
      </c>
      <c r="J395" s="105">
        <v>0</v>
      </c>
      <c r="K395" s="105">
        <v>0</v>
      </c>
      <c r="L395" s="105">
        <v>0</v>
      </c>
      <c r="M395" s="106">
        <v>42801273906.606163</v>
      </c>
      <c r="N395" s="106">
        <v>86876475156.6427</v>
      </c>
      <c r="O395" s="106">
        <v>398914341983.14355</v>
      </c>
      <c r="P395" s="106">
        <v>610706361095.86609</v>
      </c>
      <c r="Q395" s="106">
        <v>768033093654.72803</v>
      </c>
      <c r="R395" s="106">
        <v>856689283360.72241</v>
      </c>
      <c r="S395" s="105">
        <v>0</v>
      </c>
      <c r="T395" s="105">
        <v>0</v>
      </c>
      <c r="U395" s="105">
        <v>0</v>
      </c>
      <c r="V395" s="105">
        <v>0</v>
      </c>
      <c r="W395" s="105">
        <v>0</v>
      </c>
      <c r="X395" s="105">
        <v>0</v>
      </c>
      <c r="Y395" s="106">
        <v>518274379.80305982</v>
      </c>
      <c r="Z395" s="106">
        <v>908014250.45687449</v>
      </c>
      <c r="AA395" s="106">
        <v>6030637560.3790684</v>
      </c>
      <c r="AB395" s="108">
        <v>21445941172.166931</v>
      </c>
      <c r="AC395" s="108">
        <v>41256706442.4347</v>
      </c>
      <c r="AD395" s="108">
        <v>54218838979.465225</v>
      </c>
      <c r="AE395" s="108">
        <v>175572624254.13934</v>
      </c>
      <c r="AF395" s="108">
        <v>228711501580.68704</v>
      </c>
      <c r="AG395" s="108">
        <v>462392411478.53143</v>
      </c>
      <c r="AH395" s="108">
        <v>598277650015.19043</v>
      </c>
      <c r="AI395" s="108">
        <v>649938171834.55298</v>
      </c>
      <c r="AJ395" s="108">
        <v>671475593956.77222</v>
      </c>
      <c r="AK395" s="108">
        <v>330839481799.70941</v>
      </c>
      <c r="AL395" s="108">
        <v>467894230434.4068</v>
      </c>
      <c r="AM395" s="108">
        <v>692108933060.37122</v>
      </c>
      <c r="AN395" s="108">
        <v>704166469105.25</v>
      </c>
      <c r="AO395" s="108">
        <v>704354017017.82654</v>
      </c>
      <c r="AP395" s="108">
        <v>704354018986.28638</v>
      </c>
      <c r="AQ395" s="108">
        <v>3566794584.2974172</v>
      </c>
      <c r="AR395" s="108">
        <v>8825931012.8863964</v>
      </c>
      <c r="AS395" s="108">
        <v>78504949293.090744</v>
      </c>
      <c r="AT395" s="108">
        <v>252538173236.54099</v>
      </c>
      <c r="AU395" s="108">
        <v>419090001929.21173</v>
      </c>
      <c r="AV395" s="108">
        <v>488178923477.82703</v>
      </c>
    </row>
    <row r="396" spans="1:48" x14ac:dyDescent="0.35">
      <c r="A396" s="107">
        <f xml:space="preserve"> ROW( slrImpacts[[#This Row],[row_id]] ) - ROW( slrImpacts[[#Headers],[row_id]] )</f>
        <v>395</v>
      </c>
      <c r="B396" s="104">
        <v>2091</v>
      </c>
      <c r="C396" s="104" t="s">
        <v>221</v>
      </c>
      <c r="D396" s="104" t="s">
        <v>87</v>
      </c>
      <c r="E396" s="104" t="s">
        <v>922</v>
      </c>
      <c r="F396" s="104"/>
      <c r="G396" s="105">
        <v>0</v>
      </c>
      <c r="H396" s="105">
        <v>0</v>
      </c>
      <c r="I396" s="105">
        <v>0</v>
      </c>
      <c r="J396" s="105">
        <v>0</v>
      </c>
      <c r="K396" s="105">
        <v>0</v>
      </c>
      <c r="L396" s="105">
        <v>0</v>
      </c>
      <c r="M396" s="106">
        <v>43944285405.254883</v>
      </c>
      <c r="N396" s="106">
        <v>89787189776.500427</v>
      </c>
      <c r="O396" s="106">
        <v>409675435818.75897</v>
      </c>
      <c r="P396" s="106">
        <v>623068749210.92114</v>
      </c>
      <c r="Q396" s="106">
        <v>780758623366.85657</v>
      </c>
      <c r="R396" s="106">
        <v>869807565340.56665</v>
      </c>
      <c r="S396" s="105">
        <v>0</v>
      </c>
      <c r="T396" s="105">
        <v>0</v>
      </c>
      <c r="U396" s="105">
        <v>0</v>
      </c>
      <c r="V396" s="105">
        <v>0</v>
      </c>
      <c r="W396" s="105">
        <v>0</v>
      </c>
      <c r="X396" s="105">
        <v>0</v>
      </c>
      <c r="Y396" s="106">
        <v>526639652.70868677</v>
      </c>
      <c r="Z396" s="106">
        <v>931943160.57492459</v>
      </c>
      <c r="AA396" s="106">
        <v>6370232543.7951813</v>
      </c>
      <c r="AB396" s="108">
        <v>22466314811.748425</v>
      </c>
      <c r="AC396" s="108">
        <v>42666308197.99221</v>
      </c>
      <c r="AD396" s="108">
        <v>55698885194.263931</v>
      </c>
      <c r="AE396" s="108">
        <v>180031576001.13199</v>
      </c>
      <c r="AF396" s="108">
        <v>233889403779.32053</v>
      </c>
      <c r="AG396" s="108">
        <v>471805077805.74377</v>
      </c>
      <c r="AH396" s="108">
        <v>605788420551.28149</v>
      </c>
      <c r="AI396" s="108">
        <v>656908248553.52625</v>
      </c>
      <c r="AJ396" s="108">
        <v>677608306508.495</v>
      </c>
      <c r="AK396" s="108">
        <v>341765392115.33215</v>
      </c>
      <c r="AL396" s="108">
        <v>480017533201.94226</v>
      </c>
      <c r="AM396" s="108">
        <v>699225077358.05237</v>
      </c>
      <c r="AN396" s="108">
        <v>709810217272.71545</v>
      </c>
      <c r="AO396" s="108">
        <v>709946031692.93982</v>
      </c>
      <c r="AP396" s="108">
        <v>709946031708.36792</v>
      </c>
      <c r="AQ396" s="108">
        <v>3660858691.2006011</v>
      </c>
      <c r="AR396" s="108">
        <v>9152724342.0967312</v>
      </c>
      <c r="AS396" s="108">
        <v>82812282262.084457</v>
      </c>
      <c r="AT396" s="108">
        <v>263457212370.42374</v>
      </c>
      <c r="AU396" s="108">
        <v>429550274501.81976</v>
      </c>
      <c r="AV396" s="108">
        <v>495013219489.38971</v>
      </c>
    </row>
    <row r="397" spans="1:48" x14ac:dyDescent="0.35">
      <c r="A397" s="107">
        <f xml:space="preserve"> ROW( slrImpacts[[#This Row],[row_id]] ) - ROW( slrImpacts[[#Headers],[row_id]] )</f>
        <v>396</v>
      </c>
      <c r="B397" s="104">
        <v>2092</v>
      </c>
      <c r="C397" s="104" t="s">
        <v>221</v>
      </c>
      <c r="D397" s="104" t="s">
        <v>87</v>
      </c>
      <c r="E397" s="104" t="s">
        <v>922</v>
      </c>
      <c r="F397" s="104"/>
      <c r="G397" s="105">
        <v>0</v>
      </c>
      <c r="H397" s="105">
        <v>0</v>
      </c>
      <c r="I397" s="105">
        <v>0</v>
      </c>
      <c r="J397" s="105">
        <v>0</v>
      </c>
      <c r="K397" s="105">
        <v>0</v>
      </c>
      <c r="L397" s="105">
        <v>0</v>
      </c>
      <c r="M397" s="106">
        <v>45088745475.347099</v>
      </c>
      <c r="N397" s="106">
        <v>92746277942.576035</v>
      </c>
      <c r="O397" s="106">
        <v>420436096441.0354</v>
      </c>
      <c r="P397" s="106">
        <v>635432382045.01135</v>
      </c>
      <c r="Q397" s="106">
        <v>793444772384.05286</v>
      </c>
      <c r="R397" s="106">
        <v>882895220952.97888</v>
      </c>
      <c r="S397" s="105">
        <v>0</v>
      </c>
      <c r="T397" s="105">
        <v>0</v>
      </c>
      <c r="U397" s="105">
        <v>0</v>
      </c>
      <c r="V397" s="105">
        <v>0</v>
      </c>
      <c r="W397" s="105">
        <v>0</v>
      </c>
      <c r="X397" s="105">
        <v>0</v>
      </c>
      <c r="Y397" s="106">
        <v>535037262.86204088</v>
      </c>
      <c r="Z397" s="106">
        <v>956362858.8152988</v>
      </c>
      <c r="AA397" s="106">
        <v>6725847565.8502998</v>
      </c>
      <c r="AB397" s="108">
        <v>23511986554.216404</v>
      </c>
      <c r="AC397" s="108">
        <v>44089575607.732727</v>
      </c>
      <c r="AD397" s="108">
        <v>57173247611.547874</v>
      </c>
      <c r="AE397" s="108">
        <v>184499519358.02664</v>
      </c>
      <c r="AF397" s="108">
        <v>239033024919.93073</v>
      </c>
      <c r="AG397" s="108">
        <v>481204564496.38995</v>
      </c>
      <c r="AH397" s="108">
        <v>613211204040.24377</v>
      </c>
      <c r="AI397" s="108">
        <v>663833455321.45898</v>
      </c>
      <c r="AJ397" s="108">
        <v>683620182221.81042</v>
      </c>
      <c r="AK397" s="108">
        <v>352826602042.58954</v>
      </c>
      <c r="AL397" s="108">
        <v>492086335506.63531</v>
      </c>
      <c r="AM397" s="108">
        <v>706181355982.54309</v>
      </c>
      <c r="AN397" s="108">
        <v>715465798133.60327</v>
      </c>
      <c r="AO397" s="108">
        <v>715561384797.50305</v>
      </c>
      <c r="AP397" s="108">
        <v>715561384797.50623</v>
      </c>
      <c r="AQ397" s="108">
        <v>3753656603.9315162</v>
      </c>
      <c r="AR397" s="108">
        <v>9488656866.3799038</v>
      </c>
      <c r="AS397" s="108">
        <v>87307345421.752991</v>
      </c>
      <c r="AT397" s="108">
        <v>274512210286.57059</v>
      </c>
      <c r="AU397" s="108">
        <v>439793637779.66602</v>
      </c>
      <c r="AV397" s="108">
        <v>501361843783.94568</v>
      </c>
    </row>
    <row r="398" spans="1:48" x14ac:dyDescent="0.35">
      <c r="A398" s="107">
        <f xml:space="preserve"> ROW( slrImpacts[[#This Row],[row_id]] ) - ROW( slrImpacts[[#Headers],[row_id]] )</f>
        <v>397</v>
      </c>
      <c r="B398" s="104">
        <v>2093</v>
      </c>
      <c r="C398" s="104" t="s">
        <v>221</v>
      </c>
      <c r="D398" s="104" t="s">
        <v>87</v>
      </c>
      <c r="E398" s="104" t="s">
        <v>922</v>
      </c>
      <c r="F398" s="104"/>
      <c r="G398" s="105">
        <v>0</v>
      </c>
      <c r="H398" s="105">
        <v>0</v>
      </c>
      <c r="I398" s="105">
        <v>0</v>
      </c>
      <c r="J398" s="105">
        <v>0</v>
      </c>
      <c r="K398" s="105">
        <v>0</v>
      </c>
      <c r="L398" s="105">
        <v>0</v>
      </c>
      <c r="M398" s="106">
        <v>46234863045.96283</v>
      </c>
      <c r="N398" s="106">
        <v>95752438507.215027</v>
      </c>
      <c r="O398" s="106">
        <v>431195570065.08502</v>
      </c>
      <c r="P398" s="106">
        <v>647797322802.02246</v>
      </c>
      <c r="Q398" s="106">
        <v>806097091212.76892</v>
      </c>
      <c r="R398" s="106">
        <v>895960822084.89954</v>
      </c>
      <c r="S398" s="105">
        <v>0</v>
      </c>
      <c r="T398" s="105">
        <v>0</v>
      </c>
      <c r="U398" s="105">
        <v>0</v>
      </c>
      <c r="V398" s="105">
        <v>0</v>
      </c>
      <c r="W398" s="105">
        <v>0</v>
      </c>
      <c r="X398" s="105">
        <v>0</v>
      </c>
      <c r="Y398" s="106">
        <v>543484173.80973017</v>
      </c>
      <c r="Z398" s="106">
        <v>981334016.31478393</v>
      </c>
      <c r="AA398" s="106">
        <v>7097525922.638833</v>
      </c>
      <c r="AB398" s="108">
        <v>24582324959.98542</v>
      </c>
      <c r="AC398" s="108">
        <v>45525664520.497696</v>
      </c>
      <c r="AD398" s="108">
        <v>58640488279.18383</v>
      </c>
      <c r="AE398" s="108">
        <v>188975895036.22137</v>
      </c>
      <c r="AF398" s="108">
        <v>244161847530.82153</v>
      </c>
      <c r="AG398" s="108">
        <v>490595104052.03033</v>
      </c>
      <c r="AH398" s="108">
        <v>620564626878.26099</v>
      </c>
      <c r="AI398" s="108">
        <v>670704694181.83264</v>
      </c>
      <c r="AJ398" s="108">
        <v>689509417716.98779</v>
      </c>
      <c r="AK398" s="108">
        <v>363995183719.86194</v>
      </c>
      <c r="AL398" s="108">
        <v>504087736771.02838</v>
      </c>
      <c r="AM398" s="108">
        <v>713008487898.43115</v>
      </c>
      <c r="AN398" s="108">
        <v>721135491533.6626</v>
      </c>
      <c r="AO398" s="108">
        <v>721200093996.06055</v>
      </c>
      <c r="AP398" s="108">
        <v>721200093996.06055</v>
      </c>
      <c r="AQ398" s="108">
        <v>3845026151.2994523</v>
      </c>
      <c r="AR398" s="108">
        <v>9834421455.0553169</v>
      </c>
      <c r="AS398" s="108">
        <v>91994798580.36821</v>
      </c>
      <c r="AT398" s="108">
        <v>285693499818.82269</v>
      </c>
      <c r="AU398" s="108">
        <v>449798383033.67316</v>
      </c>
      <c r="AV398" s="108">
        <v>507230619358.62756</v>
      </c>
    </row>
    <row r="399" spans="1:48" x14ac:dyDescent="0.35">
      <c r="A399" s="107">
        <f xml:space="preserve"> ROW( slrImpacts[[#This Row],[row_id]] ) - ROW( slrImpacts[[#Headers],[row_id]] )</f>
        <v>398</v>
      </c>
      <c r="B399" s="104">
        <v>2094</v>
      </c>
      <c r="C399" s="104" t="s">
        <v>221</v>
      </c>
      <c r="D399" s="104" t="s">
        <v>87</v>
      </c>
      <c r="E399" s="104" t="s">
        <v>922</v>
      </c>
      <c r="F399" s="104"/>
      <c r="G399" s="105">
        <v>0</v>
      </c>
      <c r="H399" s="105">
        <v>0</v>
      </c>
      <c r="I399" s="105">
        <v>0</v>
      </c>
      <c r="J399" s="105">
        <v>0</v>
      </c>
      <c r="K399" s="105">
        <v>0</v>
      </c>
      <c r="L399" s="105">
        <v>0</v>
      </c>
      <c r="M399" s="106">
        <v>47382595715.203369</v>
      </c>
      <c r="N399" s="106">
        <v>98807046665.806259</v>
      </c>
      <c r="O399" s="106">
        <v>441954657819.94214</v>
      </c>
      <c r="P399" s="106">
        <v>660157326936.35388</v>
      </c>
      <c r="Q399" s="106">
        <v>818726006426.10657</v>
      </c>
      <c r="R399" s="106">
        <v>909020486542.89331</v>
      </c>
      <c r="S399" s="105">
        <v>0</v>
      </c>
      <c r="T399" s="105">
        <v>0</v>
      </c>
      <c r="U399" s="105">
        <v>0</v>
      </c>
      <c r="V399" s="105">
        <v>0</v>
      </c>
      <c r="W399" s="105">
        <v>0</v>
      </c>
      <c r="X399" s="105">
        <v>0</v>
      </c>
      <c r="Y399" s="106">
        <v>551890485.77434576</v>
      </c>
      <c r="Z399" s="106">
        <v>1006974184.7025075</v>
      </c>
      <c r="AA399" s="106">
        <v>7486506660.4139585</v>
      </c>
      <c r="AB399" s="108">
        <v>25676524035.001415</v>
      </c>
      <c r="AC399" s="108">
        <v>46972989966.034378</v>
      </c>
      <c r="AD399" s="108">
        <v>60098078335.826355</v>
      </c>
      <c r="AE399" s="108">
        <v>193465800509.30069</v>
      </c>
      <c r="AF399" s="108">
        <v>249259308318.25574</v>
      </c>
      <c r="AG399" s="108">
        <v>499980262953.89587</v>
      </c>
      <c r="AH399" s="108">
        <v>627859996165.39209</v>
      </c>
      <c r="AI399" s="108">
        <v>677516536402.6665</v>
      </c>
      <c r="AJ399" s="108">
        <v>695275755574.271</v>
      </c>
      <c r="AK399" s="108">
        <v>375226328217.39569</v>
      </c>
      <c r="AL399" s="108">
        <v>515976337960.13983</v>
      </c>
      <c r="AM399" s="108">
        <v>719715376282.71741</v>
      </c>
      <c r="AN399" s="108">
        <v>726820538773.6637</v>
      </c>
      <c r="AO399" s="108">
        <v>726862169621.37964</v>
      </c>
      <c r="AP399" s="108">
        <v>726862169621.37964</v>
      </c>
      <c r="AQ399" s="108">
        <v>3935030522.9337382</v>
      </c>
      <c r="AR399" s="108">
        <v>10189259517.793535</v>
      </c>
      <c r="AS399" s="108">
        <v>96878027507.045456</v>
      </c>
      <c r="AT399" s="108">
        <v>296971790368.37286</v>
      </c>
      <c r="AU399" s="108">
        <v>459548542206.77881</v>
      </c>
      <c r="AV399" s="108">
        <v>512636881512.55145</v>
      </c>
    </row>
    <row r="400" spans="1:48" x14ac:dyDescent="0.35">
      <c r="A400" s="107">
        <f xml:space="preserve"> ROW( slrImpacts[[#This Row],[row_id]] ) - ROW( slrImpacts[[#Headers],[row_id]] )</f>
        <v>399</v>
      </c>
      <c r="B400" s="104">
        <v>2095</v>
      </c>
      <c r="C400" s="104" t="s">
        <v>221</v>
      </c>
      <c r="D400" s="104" t="s">
        <v>87</v>
      </c>
      <c r="E400" s="104" t="s">
        <v>922</v>
      </c>
      <c r="F400" s="104"/>
      <c r="G400" s="105">
        <v>0</v>
      </c>
      <c r="H400" s="105">
        <v>0</v>
      </c>
      <c r="I400" s="105">
        <v>0</v>
      </c>
      <c r="J400" s="105">
        <v>0</v>
      </c>
      <c r="K400" s="105">
        <v>0</v>
      </c>
      <c r="L400" s="105">
        <v>0</v>
      </c>
      <c r="M400" s="106">
        <v>48530843268.047554</v>
      </c>
      <c r="N400" s="106">
        <v>101907696443.35942</v>
      </c>
      <c r="O400" s="106">
        <v>452702712222.6214</v>
      </c>
      <c r="P400" s="106">
        <v>672510066417.70496</v>
      </c>
      <c r="Q400" s="106">
        <v>831332768539.7594</v>
      </c>
      <c r="R400" s="106">
        <v>922088617624.3645</v>
      </c>
      <c r="S400" s="105">
        <v>0</v>
      </c>
      <c r="T400" s="105">
        <v>0</v>
      </c>
      <c r="U400" s="105">
        <v>0</v>
      </c>
      <c r="V400" s="105">
        <v>0</v>
      </c>
      <c r="W400" s="105">
        <v>0</v>
      </c>
      <c r="X400" s="105">
        <v>0</v>
      </c>
      <c r="Y400" s="106">
        <v>560350905.95559907</v>
      </c>
      <c r="Z400" s="106">
        <v>1033113953.0062909</v>
      </c>
      <c r="AA400" s="106">
        <v>7892400164.0623598</v>
      </c>
      <c r="AB400" s="108">
        <v>26792872337.639259</v>
      </c>
      <c r="AC400" s="108">
        <v>48431299854.469315</v>
      </c>
      <c r="AD400" s="108">
        <v>61545760390.257454</v>
      </c>
      <c r="AE400" s="108">
        <v>197956220561.65829</v>
      </c>
      <c r="AF400" s="108">
        <v>254324909405.24557</v>
      </c>
      <c r="AG400" s="108">
        <v>509359317835.55298</v>
      </c>
      <c r="AH400" s="108">
        <v>635110599725.58508</v>
      </c>
      <c r="AI400" s="108">
        <v>684269605315.98157</v>
      </c>
      <c r="AJ400" s="108">
        <v>700920739528.12134</v>
      </c>
      <c r="AK400" s="108">
        <v>386598211444.95563</v>
      </c>
      <c r="AL400" s="108">
        <v>527835971304.45996</v>
      </c>
      <c r="AM400" s="108">
        <v>726323221148.05469</v>
      </c>
      <c r="AN400" s="108">
        <v>732521923357.18481</v>
      </c>
      <c r="AO400" s="108">
        <v>732547616416.48145</v>
      </c>
      <c r="AP400" s="108">
        <v>732547616416.48145</v>
      </c>
      <c r="AQ400" s="108">
        <v>4025346798.9277229</v>
      </c>
      <c r="AR400" s="108">
        <v>10553838454.984314</v>
      </c>
      <c r="AS400" s="108">
        <v>101965836573.13773</v>
      </c>
      <c r="AT400" s="108">
        <v>308339492975.36865</v>
      </c>
      <c r="AU400" s="108">
        <v>469019155932.26703</v>
      </c>
      <c r="AV400" s="108">
        <v>517601538546.73309</v>
      </c>
    </row>
    <row r="401" spans="1:48" x14ac:dyDescent="0.35">
      <c r="A401" s="107">
        <f xml:space="preserve"> ROW( slrImpacts[[#This Row],[row_id]] ) - ROW( slrImpacts[[#Headers],[row_id]] )</f>
        <v>400</v>
      </c>
      <c r="B401" s="104">
        <v>2096</v>
      </c>
      <c r="C401" s="104" t="s">
        <v>221</v>
      </c>
      <c r="D401" s="104" t="s">
        <v>87</v>
      </c>
      <c r="E401" s="104" t="s">
        <v>922</v>
      </c>
      <c r="F401" s="104"/>
      <c r="G401" s="105">
        <v>0</v>
      </c>
      <c r="H401" s="105">
        <v>0</v>
      </c>
      <c r="I401" s="105">
        <v>0</v>
      </c>
      <c r="J401" s="105">
        <v>0</v>
      </c>
      <c r="K401" s="105">
        <v>0</v>
      </c>
      <c r="L401" s="105">
        <v>0</v>
      </c>
      <c r="M401" s="106">
        <v>49082218773.487747</v>
      </c>
      <c r="N401" s="106">
        <v>103417885514.64864</v>
      </c>
      <c r="O401" s="106">
        <v>458105289071.03021</v>
      </c>
      <c r="P401" s="106">
        <v>678790110187.37976</v>
      </c>
      <c r="Q401" s="106">
        <v>837698763065.67944</v>
      </c>
      <c r="R401" s="106">
        <v>928625476983.39514</v>
      </c>
      <c r="S401" s="105">
        <v>0</v>
      </c>
      <c r="T401" s="105">
        <v>0</v>
      </c>
      <c r="U401" s="105">
        <v>0</v>
      </c>
      <c r="V401" s="105">
        <v>0</v>
      </c>
      <c r="W401" s="105">
        <v>0</v>
      </c>
      <c r="X401" s="105">
        <v>0</v>
      </c>
      <c r="Y401" s="106">
        <v>564479770.75360215</v>
      </c>
      <c r="Z401" s="106">
        <v>1045837233.7089499</v>
      </c>
      <c r="AA401" s="106">
        <v>8090895087.9759722</v>
      </c>
      <c r="AB401" s="108">
        <v>27356799458.713448</v>
      </c>
      <c r="AC401" s="108">
        <v>49176138884.791496</v>
      </c>
      <c r="AD401" s="108">
        <v>62293668421.412376</v>
      </c>
      <c r="AE401" s="108">
        <v>200226175294.69415</v>
      </c>
      <c r="AF401" s="108">
        <v>256845285106.39581</v>
      </c>
      <c r="AG401" s="108">
        <v>514062775780.93878</v>
      </c>
      <c r="AH401" s="108">
        <v>638781073375.11829</v>
      </c>
      <c r="AI401" s="108">
        <v>687706765133.68677</v>
      </c>
      <c r="AJ401" s="108">
        <v>703828474920.99731</v>
      </c>
      <c r="AK401" s="108">
        <v>392281294866.99103</v>
      </c>
      <c r="AL401" s="108">
        <v>533800629748.22186</v>
      </c>
      <c r="AM401" s="108">
        <v>729653575901.14478</v>
      </c>
      <c r="AN401" s="108">
        <v>735352925721.38269</v>
      </c>
      <c r="AO401" s="108">
        <v>735369546016.21765</v>
      </c>
      <c r="AP401" s="108">
        <v>735369546016.21765</v>
      </c>
      <c r="AQ401" s="108">
        <v>4068270183.917964</v>
      </c>
      <c r="AR401" s="108">
        <v>10730534749.906715</v>
      </c>
      <c r="AS401" s="108">
        <v>104447476431.03371</v>
      </c>
      <c r="AT401" s="108">
        <v>314203425686.98767</v>
      </c>
      <c r="AU401" s="108">
        <v>474065420740.84338</v>
      </c>
      <c r="AV401" s="108">
        <v>520368775212.633</v>
      </c>
    </row>
    <row r="402" spans="1:48" x14ac:dyDescent="0.35">
      <c r="A402" s="107">
        <f xml:space="preserve"> ROW( slrImpacts[[#This Row],[row_id]] ) - ROW( slrImpacts[[#Headers],[row_id]] )</f>
        <v>401</v>
      </c>
      <c r="B402" s="104">
        <v>2097</v>
      </c>
      <c r="C402" s="104" t="s">
        <v>221</v>
      </c>
      <c r="D402" s="104" t="s">
        <v>87</v>
      </c>
      <c r="E402" s="104" t="s">
        <v>922</v>
      </c>
      <c r="F402" s="104"/>
      <c r="G402" s="105">
        <v>0</v>
      </c>
      <c r="H402" s="105">
        <v>0</v>
      </c>
      <c r="I402" s="105">
        <v>0</v>
      </c>
      <c r="J402" s="105">
        <v>0</v>
      </c>
      <c r="K402" s="105">
        <v>0</v>
      </c>
      <c r="L402" s="105">
        <v>0</v>
      </c>
      <c r="M402" s="106">
        <v>49641394413.182175</v>
      </c>
      <c r="N402" s="106">
        <v>104950162862.00638</v>
      </c>
      <c r="O402" s="106">
        <v>463500130426.43243</v>
      </c>
      <c r="P402" s="106">
        <v>685039542395.65747</v>
      </c>
      <c r="Q402" s="106">
        <v>844049374352.02209</v>
      </c>
      <c r="R402" s="106">
        <v>935152526999.10339</v>
      </c>
      <c r="S402" s="105">
        <v>0</v>
      </c>
      <c r="T402" s="105">
        <v>0</v>
      </c>
      <c r="U402" s="105">
        <v>0</v>
      </c>
      <c r="V402" s="105">
        <v>0</v>
      </c>
      <c r="W402" s="105">
        <v>0</v>
      </c>
      <c r="X402" s="105">
        <v>0</v>
      </c>
      <c r="Y402" s="106">
        <v>568654798.72715008</v>
      </c>
      <c r="Z402" s="106">
        <v>1058850070.897453</v>
      </c>
      <c r="AA402" s="106">
        <v>8293541858.5063581</v>
      </c>
      <c r="AB402" s="108">
        <v>27923466243.51199</v>
      </c>
      <c r="AC402" s="108">
        <v>49917865828.671288</v>
      </c>
      <c r="AD402" s="108">
        <v>63031630425.332779</v>
      </c>
      <c r="AE402" s="108">
        <v>202496354273.38016</v>
      </c>
      <c r="AF402" s="108">
        <v>259364758774.24985</v>
      </c>
      <c r="AG402" s="108">
        <v>518761502523.50922</v>
      </c>
      <c r="AH402" s="108">
        <v>642416362423.71912</v>
      </c>
      <c r="AI402" s="108">
        <v>691116709133.92627</v>
      </c>
      <c r="AJ402" s="108">
        <v>706684208638.73499</v>
      </c>
      <c r="AK402" s="108">
        <v>397993010636.31531</v>
      </c>
      <c r="AL402" s="108">
        <v>539760586405.26703</v>
      </c>
      <c r="AM402" s="108">
        <v>732953132046.83105</v>
      </c>
      <c r="AN402" s="108">
        <v>738194876901.37146</v>
      </c>
      <c r="AO402" s="108">
        <v>738205681679.23389</v>
      </c>
      <c r="AP402" s="108">
        <v>738205681679.23389</v>
      </c>
      <c r="AQ402" s="108">
        <v>4111830080.6521916</v>
      </c>
      <c r="AR402" s="108">
        <v>10910796802.730883</v>
      </c>
      <c r="AS402" s="108">
        <v>106982590873.75668</v>
      </c>
      <c r="AT402" s="108">
        <v>320034233605.54144</v>
      </c>
      <c r="AU402" s="108">
        <v>478964714398.0484</v>
      </c>
      <c r="AV402" s="108">
        <v>522927929932.29877</v>
      </c>
    </row>
    <row r="403" spans="1:48" x14ac:dyDescent="0.35">
      <c r="A403" s="107">
        <f xml:space="preserve"> ROW( slrImpacts[[#This Row],[row_id]] ) - ROW( slrImpacts[[#Headers],[row_id]] )</f>
        <v>402</v>
      </c>
      <c r="B403" s="104">
        <v>2098</v>
      </c>
      <c r="C403" s="104" t="s">
        <v>221</v>
      </c>
      <c r="D403" s="104" t="s">
        <v>87</v>
      </c>
      <c r="E403" s="104" t="s">
        <v>922</v>
      </c>
      <c r="F403" s="104"/>
      <c r="G403" s="105">
        <v>0</v>
      </c>
      <c r="H403" s="105">
        <v>0</v>
      </c>
      <c r="I403" s="105">
        <v>0</v>
      </c>
      <c r="J403" s="105">
        <v>0</v>
      </c>
      <c r="K403" s="105">
        <v>0</v>
      </c>
      <c r="L403" s="105">
        <v>0</v>
      </c>
      <c r="M403" s="106">
        <v>50207805100.177902</v>
      </c>
      <c r="N403" s="106">
        <v>106503038077.50116</v>
      </c>
      <c r="O403" s="106">
        <v>468890610796.58508</v>
      </c>
      <c r="P403" s="106">
        <v>691253702571.51208</v>
      </c>
      <c r="Q403" s="106">
        <v>850382742487.57178</v>
      </c>
      <c r="R403" s="106">
        <v>941675384979.99792</v>
      </c>
      <c r="S403" s="105">
        <v>0</v>
      </c>
      <c r="T403" s="105">
        <v>0</v>
      </c>
      <c r="U403" s="105">
        <v>0</v>
      </c>
      <c r="V403" s="105">
        <v>0</v>
      </c>
      <c r="W403" s="105">
        <v>0</v>
      </c>
      <c r="X403" s="105">
        <v>0</v>
      </c>
      <c r="Y403" s="106">
        <v>572877622.76698256</v>
      </c>
      <c r="Z403" s="106">
        <v>1072026065.5455701</v>
      </c>
      <c r="AA403" s="106">
        <v>8501052870.0200691</v>
      </c>
      <c r="AB403" s="108">
        <v>28492264734.808338</v>
      </c>
      <c r="AC403" s="108">
        <v>50655940767.855438</v>
      </c>
      <c r="AD403" s="108">
        <v>63760059981.404823</v>
      </c>
      <c r="AE403" s="108">
        <v>204762156985.17361</v>
      </c>
      <c r="AF403" s="108">
        <v>261890672176.14539</v>
      </c>
      <c r="AG403" s="108">
        <v>523454599689.57196</v>
      </c>
      <c r="AH403" s="108">
        <v>646020272875.49902</v>
      </c>
      <c r="AI403" s="108">
        <v>694493987023.37122</v>
      </c>
      <c r="AJ403" s="108">
        <v>709485714408.45496</v>
      </c>
      <c r="AK403" s="108">
        <v>403725434641.08771</v>
      </c>
      <c r="AL403" s="108">
        <v>545674060311.44897</v>
      </c>
      <c r="AM403" s="108">
        <v>736224984310.60596</v>
      </c>
      <c r="AN403" s="108">
        <v>741046411313.2572</v>
      </c>
      <c r="AO403" s="108">
        <v>741053549217.28845</v>
      </c>
      <c r="AP403" s="108">
        <v>741053549217.28845</v>
      </c>
      <c r="AQ403" s="108">
        <v>4156049665.5876155</v>
      </c>
      <c r="AR403" s="108">
        <v>11094742525.445692</v>
      </c>
      <c r="AS403" s="108">
        <v>109572090549.83632</v>
      </c>
      <c r="AT403" s="108">
        <v>325816453457.33557</v>
      </c>
      <c r="AU403" s="108">
        <v>483715455399.75116</v>
      </c>
      <c r="AV403" s="108">
        <v>525288629812.47668</v>
      </c>
    </row>
    <row r="404" spans="1:48" x14ac:dyDescent="0.35">
      <c r="A404" s="107">
        <f xml:space="preserve"> ROW( slrImpacts[[#This Row],[row_id]] ) - ROW( slrImpacts[[#Headers],[row_id]] )</f>
        <v>403</v>
      </c>
      <c r="B404" s="104">
        <v>2099</v>
      </c>
      <c r="C404" s="104" t="s">
        <v>221</v>
      </c>
      <c r="D404" s="104" t="s">
        <v>87</v>
      </c>
      <c r="E404" s="104" t="s">
        <v>922</v>
      </c>
      <c r="F404" s="104"/>
      <c r="G404" s="105">
        <v>0</v>
      </c>
      <c r="H404" s="105">
        <v>0</v>
      </c>
      <c r="I404" s="105">
        <v>0</v>
      </c>
      <c r="J404" s="105">
        <v>0</v>
      </c>
      <c r="K404" s="105">
        <v>0</v>
      </c>
      <c r="L404" s="105">
        <v>0</v>
      </c>
      <c r="M404" s="106">
        <v>50781953211.123207</v>
      </c>
      <c r="N404" s="106">
        <v>108078203705.05563</v>
      </c>
      <c r="O404" s="106">
        <v>474267746013.87225</v>
      </c>
      <c r="P404" s="106">
        <v>697430224703.86206</v>
      </c>
      <c r="Q404" s="106">
        <v>856693276675.23389</v>
      </c>
      <c r="R404" s="106">
        <v>948193127572.34644</v>
      </c>
      <c r="S404" s="105">
        <v>0</v>
      </c>
      <c r="T404" s="105">
        <v>0</v>
      </c>
      <c r="U404" s="105">
        <v>0</v>
      </c>
      <c r="V404" s="105">
        <v>0</v>
      </c>
      <c r="W404" s="105">
        <v>0</v>
      </c>
      <c r="X404" s="105">
        <v>0</v>
      </c>
      <c r="Y404" s="106">
        <v>577124488.16819441</v>
      </c>
      <c r="Z404" s="106">
        <v>1085327806.070487</v>
      </c>
      <c r="AA404" s="106">
        <v>8712565052.8437309</v>
      </c>
      <c r="AB404" s="108">
        <v>29063121596.858803</v>
      </c>
      <c r="AC404" s="108">
        <v>51390731501.147095</v>
      </c>
      <c r="AD404" s="108">
        <v>64477995415.804733</v>
      </c>
      <c r="AE404" s="108">
        <v>207003083391.16922</v>
      </c>
      <c r="AF404" s="108">
        <v>264415129454.66638</v>
      </c>
      <c r="AG404" s="108">
        <v>528144443661.71643</v>
      </c>
      <c r="AH404" s="108">
        <v>649596042092.99561</v>
      </c>
      <c r="AI404" s="108">
        <v>697836566365.69336</v>
      </c>
      <c r="AJ404" s="108">
        <v>712230592194.50708</v>
      </c>
      <c r="AK404" s="108">
        <v>409500110551.24567</v>
      </c>
      <c r="AL404" s="108">
        <v>551575175167.36731</v>
      </c>
      <c r="AM404" s="108">
        <v>739466872053.49622</v>
      </c>
      <c r="AN404" s="108">
        <v>743904302246.68884</v>
      </c>
      <c r="AO404" s="108">
        <v>743909140290.09351</v>
      </c>
      <c r="AP404" s="108">
        <v>743909140290.09351</v>
      </c>
      <c r="AQ404" s="108">
        <v>4200828873.3495188</v>
      </c>
      <c r="AR404" s="108">
        <v>11280595998.071293</v>
      </c>
      <c r="AS404" s="108">
        <v>112214359570.73651</v>
      </c>
      <c r="AT404" s="108">
        <v>331561364243.29285</v>
      </c>
      <c r="AU404" s="108">
        <v>488314810323.43787</v>
      </c>
      <c r="AV404" s="108">
        <v>527455506748.99567</v>
      </c>
    </row>
    <row r="405" spans="1:48" x14ac:dyDescent="0.35">
      <c r="A405" s="107">
        <f xml:space="preserve"> ROW( slrImpacts[[#This Row],[row_id]] ) - ROW( slrImpacts[[#Headers],[row_id]] )</f>
        <v>404</v>
      </c>
      <c r="B405" s="104">
        <v>2100</v>
      </c>
      <c r="C405" s="104" t="s">
        <v>221</v>
      </c>
      <c r="D405" s="104" t="s">
        <v>87</v>
      </c>
      <c r="E405" s="104" t="s">
        <v>922</v>
      </c>
      <c r="F405" s="104"/>
      <c r="G405" s="105">
        <v>0</v>
      </c>
      <c r="H405" s="105">
        <v>0</v>
      </c>
      <c r="I405" s="105">
        <v>0</v>
      </c>
      <c r="J405" s="105">
        <v>0</v>
      </c>
      <c r="K405" s="105">
        <v>0</v>
      </c>
      <c r="L405" s="105">
        <v>0</v>
      </c>
      <c r="M405" s="106">
        <v>51363521050.866135</v>
      </c>
      <c r="N405" s="106">
        <v>109673722945.88809</v>
      </c>
      <c r="O405" s="106">
        <v>479629646115.36115</v>
      </c>
      <c r="P405" s="106">
        <v>703561863446.01526</v>
      </c>
      <c r="Q405" s="106">
        <v>862968983592.88538</v>
      </c>
      <c r="R405" s="106">
        <v>954712062534.89612</v>
      </c>
      <c r="S405" s="105">
        <v>0</v>
      </c>
      <c r="T405" s="105">
        <v>0</v>
      </c>
      <c r="U405" s="105">
        <v>0</v>
      </c>
      <c r="V405" s="105">
        <v>0</v>
      </c>
      <c r="W405" s="105">
        <v>0</v>
      </c>
      <c r="X405" s="105">
        <v>0</v>
      </c>
      <c r="Y405" s="106">
        <v>581423660.35129356</v>
      </c>
      <c r="Z405" s="106">
        <v>1098923829.3999197</v>
      </c>
      <c r="AA405" s="106">
        <v>8928471121.7275639</v>
      </c>
      <c r="AB405" s="108">
        <v>29635199476.055408</v>
      </c>
      <c r="AC405" s="108">
        <v>52122048023.601051</v>
      </c>
      <c r="AD405" s="108">
        <v>65185681496.850883</v>
      </c>
      <c r="AE405" s="108">
        <v>209228773514.77649</v>
      </c>
      <c r="AF405" s="108">
        <v>266934942863.47031</v>
      </c>
      <c r="AG405" s="108">
        <v>532822538921.50653</v>
      </c>
      <c r="AH405" s="108">
        <v>653142032228.02197</v>
      </c>
      <c r="AI405" s="108">
        <v>701136539384.54712</v>
      </c>
      <c r="AJ405" s="108">
        <v>714913405305.26453</v>
      </c>
      <c r="AK405" s="108">
        <v>415290101246.50623</v>
      </c>
      <c r="AL405" s="108">
        <v>557425040737.67554</v>
      </c>
      <c r="AM405" s="108">
        <v>742672160478.52649</v>
      </c>
      <c r="AN405" s="108">
        <v>746762416393.34558</v>
      </c>
      <c r="AO405" s="108">
        <v>746765632050.63245</v>
      </c>
      <c r="AP405" s="108">
        <v>746765632050.63245</v>
      </c>
      <c r="AQ405" s="108">
        <v>4245060676.4077454</v>
      </c>
      <c r="AR405" s="108">
        <v>11470529921.383133</v>
      </c>
      <c r="AS405" s="108">
        <v>114912574915.37762</v>
      </c>
      <c r="AT405" s="108">
        <v>337245930145.50281</v>
      </c>
      <c r="AU405" s="108">
        <v>492756299322.31281</v>
      </c>
      <c r="AV405" s="108">
        <v>529440593950.70361</v>
      </c>
    </row>
    <row r="406" spans="1:48" x14ac:dyDescent="0.35">
      <c r="A406" s="107">
        <f xml:space="preserve"> ROW( slrImpacts[[#This Row],[row_id]] ) - ROW( slrImpacts[[#Headers],[row_id]] )</f>
        <v>405</v>
      </c>
      <c r="B406" s="104">
        <v>2000</v>
      </c>
      <c r="C406" s="104" t="s">
        <v>221</v>
      </c>
      <c r="D406" s="104" t="s">
        <v>88</v>
      </c>
      <c r="E406" s="104" t="s">
        <v>922</v>
      </c>
      <c r="F406" s="104"/>
      <c r="G406" s="105">
        <v>0</v>
      </c>
      <c r="H406" s="105">
        <v>0</v>
      </c>
      <c r="I406" s="105">
        <v>0</v>
      </c>
      <c r="J406" s="105">
        <v>0</v>
      </c>
      <c r="K406" s="105">
        <v>0</v>
      </c>
      <c r="L406" s="105">
        <v>0</v>
      </c>
      <c r="M406" s="106">
        <v>0</v>
      </c>
      <c r="N406" s="106">
        <v>0</v>
      </c>
      <c r="O406" s="106">
        <v>0</v>
      </c>
      <c r="P406" s="106">
        <v>0</v>
      </c>
      <c r="Q406" s="106">
        <v>0</v>
      </c>
      <c r="R406" s="106">
        <v>0</v>
      </c>
      <c r="S406" s="105">
        <v>0</v>
      </c>
      <c r="T406" s="105">
        <v>0</v>
      </c>
      <c r="U406" s="105">
        <v>0</v>
      </c>
      <c r="V406" s="105">
        <v>0</v>
      </c>
      <c r="W406" s="105">
        <v>0</v>
      </c>
      <c r="X406" s="105">
        <v>0</v>
      </c>
      <c r="Y406" s="106">
        <v>0</v>
      </c>
      <c r="Z406" s="106">
        <v>0</v>
      </c>
      <c r="AA406" s="106">
        <v>0</v>
      </c>
      <c r="AB406" s="108">
        <v>0</v>
      </c>
      <c r="AC406" s="108">
        <v>0</v>
      </c>
      <c r="AD406" s="108">
        <v>0</v>
      </c>
      <c r="AE406" s="108">
        <v>0</v>
      </c>
      <c r="AF406" s="108">
        <v>0</v>
      </c>
      <c r="AG406" s="108">
        <v>0</v>
      </c>
      <c r="AH406" s="108">
        <v>0</v>
      </c>
      <c r="AI406" s="108">
        <v>0</v>
      </c>
      <c r="AJ406" s="108">
        <v>0</v>
      </c>
      <c r="AK406" s="108">
        <v>0</v>
      </c>
      <c r="AL406" s="108">
        <v>0</v>
      </c>
      <c r="AM406" s="108">
        <v>0</v>
      </c>
      <c r="AN406" s="108">
        <v>0</v>
      </c>
      <c r="AO406" s="108">
        <v>0</v>
      </c>
      <c r="AP406" s="108">
        <v>0</v>
      </c>
      <c r="AQ406" s="108">
        <v>0</v>
      </c>
      <c r="AR406" s="108">
        <v>0</v>
      </c>
      <c r="AS406" s="108">
        <v>0</v>
      </c>
      <c r="AT406" s="108">
        <v>0</v>
      </c>
      <c r="AU406" s="108">
        <v>0</v>
      </c>
      <c r="AV406" s="108">
        <v>0</v>
      </c>
    </row>
    <row r="407" spans="1:48" x14ac:dyDescent="0.35">
      <c r="A407" s="107">
        <f xml:space="preserve"> ROW( slrImpacts[[#This Row],[row_id]] ) - ROW( slrImpacts[[#Headers],[row_id]] )</f>
        <v>406</v>
      </c>
      <c r="B407" s="104">
        <v>2001</v>
      </c>
      <c r="C407" s="104" t="s">
        <v>221</v>
      </c>
      <c r="D407" s="104" t="s">
        <v>88</v>
      </c>
      <c r="E407" s="104" t="s">
        <v>922</v>
      </c>
      <c r="F407" s="104"/>
      <c r="G407" s="105">
        <v>0</v>
      </c>
      <c r="H407" s="105">
        <v>0</v>
      </c>
      <c r="I407" s="105">
        <v>0</v>
      </c>
      <c r="J407" s="105">
        <v>0</v>
      </c>
      <c r="K407" s="105">
        <v>0</v>
      </c>
      <c r="L407" s="105">
        <v>0</v>
      </c>
      <c r="M407" s="106">
        <v>174177741.84110004</v>
      </c>
      <c r="N407" s="106">
        <v>179612271.92525867</v>
      </c>
      <c r="O407" s="106">
        <v>192684701.84534374</v>
      </c>
      <c r="P407" s="106">
        <v>208511787.97758365</v>
      </c>
      <c r="Q407" s="106">
        <v>221340208.15143287</v>
      </c>
      <c r="R407" s="106">
        <v>227089560.59150776</v>
      </c>
      <c r="S407" s="105">
        <v>0</v>
      </c>
      <c r="T407" s="105">
        <v>0</v>
      </c>
      <c r="U407" s="105">
        <v>0</v>
      </c>
      <c r="V407" s="105">
        <v>0</v>
      </c>
      <c r="W407" s="105">
        <v>0</v>
      </c>
      <c r="X407" s="105">
        <v>0</v>
      </c>
      <c r="Y407" s="106">
        <v>7579906.0546893105</v>
      </c>
      <c r="Z407" s="106">
        <v>7739997.8466424942</v>
      </c>
      <c r="AA407" s="106">
        <v>7934625.7734314138</v>
      </c>
      <c r="AB407" s="108">
        <v>8285483.5551776038</v>
      </c>
      <c r="AC407" s="108">
        <v>8522961.4729518928</v>
      </c>
      <c r="AD407" s="108">
        <v>8656067.5817545056</v>
      </c>
      <c r="AE407" s="108">
        <v>129321649.57999066</v>
      </c>
      <c r="AF407" s="108">
        <v>132138939.68365842</v>
      </c>
      <c r="AG407" s="108">
        <v>139205693.24750674</v>
      </c>
      <c r="AH407" s="108">
        <v>147563504.2834233</v>
      </c>
      <c r="AI407" s="108">
        <v>21938046.75525016</v>
      </c>
      <c r="AJ407" s="108">
        <v>156995408.50605047</v>
      </c>
      <c r="AK407" s="108">
        <v>47789792.636999421</v>
      </c>
      <c r="AL407" s="108">
        <v>49211128.034579277</v>
      </c>
      <c r="AM407" s="108">
        <v>52232049.218313806</v>
      </c>
      <c r="AN407" s="108">
        <v>56602159.866833985</v>
      </c>
      <c r="AO407" s="108">
        <v>60843818.710166052</v>
      </c>
      <c r="AP407" s="108">
        <v>61041091.968120433</v>
      </c>
      <c r="AQ407" s="108">
        <v>8980890.5257171411</v>
      </c>
      <c r="AR407" s="108">
        <v>8991392.3023303282</v>
      </c>
      <c r="AS407" s="108">
        <v>10043452.431365943</v>
      </c>
      <c r="AT407" s="108">
        <v>11166202.107510369</v>
      </c>
      <c r="AU407" s="108">
        <v>11885138.203189207</v>
      </c>
      <c r="AV407" s="108">
        <v>11886679.05334327</v>
      </c>
    </row>
    <row r="408" spans="1:48" x14ac:dyDescent="0.35">
      <c r="A408" s="107">
        <f xml:space="preserve"> ROW( slrImpacts[[#This Row],[row_id]] ) - ROW( slrImpacts[[#Headers],[row_id]] )</f>
        <v>407</v>
      </c>
      <c r="B408" s="104">
        <v>2002</v>
      </c>
      <c r="C408" s="104" t="s">
        <v>221</v>
      </c>
      <c r="D408" s="104" t="s">
        <v>88</v>
      </c>
      <c r="E408" s="104" t="s">
        <v>922</v>
      </c>
      <c r="F408" s="104"/>
      <c r="G408" s="105">
        <v>0</v>
      </c>
      <c r="H408" s="105">
        <v>0</v>
      </c>
      <c r="I408" s="105">
        <v>0</v>
      </c>
      <c r="J408" s="105">
        <v>0</v>
      </c>
      <c r="K408" s="105">
        <v>0</v>
      </c>
      <c r="L408" s="105">
        <v>0</v>
      </c>
      <c r="M408" s="106">
        <v>178289245.39576155</v>
      </c>
      <c r="N408" s="106">
        <v>184667768.91603878</v>
      </c>
      <c r="O408" s="106">
        <v>200271659.90749228</v>
      </c>
      <c r="P408" s="106">
        <v>219421079.68546608</v>
      </c>
      <c r="Q408" s="106">
        <v>235765832.67976126</v>
      </c>
      <c r="R408" s="106">
        <v>242223942.500314</v>
      </c>
      <c r="S408" s="105">
        <v>0</v>
      </c>
      <c r="T408" s="105">
        <v>0</v>
      </c>
      <c r="U408" s="105">
        <v>0</v>
      </c>
      <c r="V408" s="105">
        <v>0</v>
      </c>
      <c r="W408" s="105">
        <v>0</v>
      </c>
      <c r="X408" s="105">
        <v>0</v>
      </c>
      <c r="Y408" s="106">
        <v>7644855.0536719551</v>
      </c>
      <c r="Z408" s="106">
        <v>7830452.9936852334</v>
      </c>
      <c r="AA408" s="106">
        <v>8056642.0634778989</v>
      </c>
      <c r="AB408" s="108">
        <v>8467269.3975948133</v>
      </c>
      <c r="AC408" s="108">
        <v>8746554.5685357656</v>
      </c>
      <c r="AD408" s="108">
        <v>8906097.2586598452</v>
      </c>
      <c r="AE408" s="108">
        <v>131480726.64862692</v>
      </c>
      <c r="AF408" s="108">
        <v>134848421.69302359</v>
      </c>
      <c r="AG408" s="108">
        <v>143326199.77912873</v>
      </c>
      <c r="AH408" s="108">
        <v>153526167.12534672</v>
      </c>
      <c r="AI408" s="108">
        <v>23686818.908244994</v>
      </c>
      <c r="AJ408" s="108">
        <v>165412451.10724521</v>
      </c>
      <c r="AK408" s="108">
        <v>49829478.338609464</v>
      </c>
      <c r="AL408" s="108">
        <v>51584837.395451829</v>
      </c>
      <c r="AM408" s="108">
        <v>55369786.079005346</v>
      </c>
      <c r="AN408" s="108">
        <v>60949897.003760986</v>
      </c>
      <c r="AO408" s="108">
        <v>66499567.007510498</v>
      </c>
      <c r="AP408" s="108">
        <v>66742014.544334136</v>
      </c>
      <c r="AQ408" s="108">
        <v>9212031.8496811111</v>
      </c>
      <c r="AR408" s="108">
        <v>9224276.0095287431</v>
      </c>
      <c r="AS408" s="108">
        <v>10477157.220097616</v>
      </c>
      <c r="AT408" s="108">
        <v>11839087.66610945</v>
      </c>
      <c r="AU408" s="108">
        <v>12721768.64011642</v>
      </c>
      <c r="AV408" s="108">
        <v>12723609.355978891</v>
      </c>
    </row>
    <row r="409" spans="1:48" x14ac:dyDescent="0.35">
      <c r="A409" s="107">
        <f xml:space="preserve"> ROW( slrImpacts[[#This Row],[row_id]] ) - ROW( slrImpacts[[#Headers],[row_id]] )</f>
        <v>408</v>
      </c>
      <c r="B409" s="104">
        <v>2003</v>
      </c>
      <c r="C409" s="104" t="s">
        <v>221</v>
      </c>
      <c r="D409" s="104" t="s">
        <v>88</v>
      </c>
      <c r="E409" s="104" t="s">
        <v>922</v>
      </c>
      <c r="F409" s="104"/>
      <c r="G409" s="105">
        <v>0</v>
      </c>
      <c r="H409" s="105">
        <v>0</v>
      </c>
      <c r="I409" s="105">
        <v>0</v>
      </c>
      <c r="J409" s="105">
        <v>0</v>
      </c>
      <c r="K409" s="105">
        <v>0</v>
      </c>
      <c r="L409" s="105">
        <v>0</v>
      </c>
      <c r="M409" s="106">
        <v>182538075.8252663</v>
      </c>
      <c r="N409" s="106">
        <v>189919293.38627958</v>
      </c>
      <c r="O409" s="106">
        <v>208265758.51975611</v>
      </c>
      <c r="P409" s="106">
        <v>231059684.27865583</v>
      </c>
      <c r="Q409" s="106">
        <v>251354444.39486292</v>
      </c>
      <c r="R409" s="106">
        <v>258605840.53441572</v>
      </c>
      <c r="S409" s="105">
        <v>0</v>
      </c>
      <c r="T409" s="105">
        <v>0</v>
      </c>
      <c r="U409" s="105">
        <v>0</v>
      </c>
      <c r="V409" s="105">
        <v>0</v>
      </c>
      <c r="W409" s="105">
        <v>0</v>
      </c>
      <c r="X409" s="105">
        <v>0</v>
      </c>
      <c r="Y409" s="106">
        <v>7710209.4802334895</v>
      </c>
      <c r="Z409" s="106">
        <v>7921487.8643187899</v>
      </c>
      <c r="AA409" s="106">
        <v>8180752.107434717</v>
      </c>
      <c r="AB409" s="108">
        <v>8653839.9082553815</v>
      </c>
      <c r="AC409" s="108">
        <v>8979562.2175609693</v>
      </c>
      <c r="AD409" s="108">
        <v>9164981.2929654121</v>
      </c>
      <c r="AE409" s="108">
        <v>133691871.43299547</v>
      </c>
      <c r="AF409" s="108">
        <v>137657794.73983434</v>
      </c>
      <c r="AG409" s="108">
        <v>147696737.33420825</v>
      </c>
      <c r="AH409" s="108">
        <v>159930661.53915149</v>
      </c>
      <c r="AI409" s="108">
        <v>25639662.365900576</v>
      </c>
      <c r="AJ409" s="108">
        <v>174688675.82455236</v>
      </c>
      <c r="AK409" s="108">
        <v>51967075.889217421</v>
      </c>
      <c r="AL409" s="108">
        <v>54095091.17316059</v>
      </c>
      <c r="AM409" s="108">
        <v>58744041.417127013</v>
      </c>
      <c r="AN409" s="108">
        <v>65820787.83333838</v>
      </c>
      <c r="AO409" s="108">
        <v>72884466.578974023</v>
      </c>
      <c r="AP409" s="108">
        <v>73182924.208190039</v>
      </c>
      <c r="AQ409" s="108">
        <v>9449700.6146144792</v>
      </c>
      <c r="AR409" s="108">
        <v>9463729.2076768037</v>
      </c>
      <c r="AS409" s="108">
        <v>10932068.568815174</v>
      </c>
      <c r="AT409" s="108">
        <v>12556446.032175133</v>
      </c>
      <c r="AU409" s="108">
        <v>13623610.22768878</v>
      </c>
      <c r="AV409" s="108">
        <v>13625983.710000988</v>
      </c>
    </row>
    <row r="410" spans="1:48" x14ac:dyDescent="0.35">
      <c r="A410" s="107">
        <f xml:space="preserve"> ROW( slrImpacts[[#This Row],[row_id]] ) - ROW( slrImpacts[[#Headers],[row_id]] )</f>
        <v>409</v>
      </c>
      <c r="B410" s="104">
        <v>2004</v>
      </c>
      <c r="C410" s="104" t="s">
        <v>221</v>
      </c>
      <c r="D410" s="104" t="s">
        <v>88</v>
      </c>
      <c r="E410" s="104" t="s">
        <v>922</v>
      </c>
      <c r="F410" s="104"/>
      <c r="G410" s="105">
        <v>0</v>
      </c>
      <c r="H410" s="105">
        <v>0</v>
      </c>
      <c r="I410" s="105">
        <v>0</v>
      </c>
      <c r="J410" s="105">
        <v>0</v>
      </c>
      <c r="K410" s="105">
        <v>0</v>
      </c>
      <c r="L410" s="105">
        <v>0</v>
      </c>
      <c r="M410" s="106">
        <v>186909501.60987005</v>
      </c>
      <c r="N410" s="106">
        <v>195354796.15889579</v>
      </c>
      <c r="O410" s="106">
        <v>216662288.94813415</v>
      </c>
      <c r="P410" s="106">
        <v>243476117.21377131</v>
      </c>
      <c r="Q410" s="106">
        <v>268186473.68528697</v>
      </c>
      <c r="R410" s="106">
        <v>276304075.5076009</v>
      </c>
      <c r="S410" s="105">
        <v>0</v>
      </c>
      <c r="T410" s="105">
        <v>0</v>
      </c>
      <c r="U410" s="105">
        <v>0</v>
      </c>
      <c r="V410" s="105">
        <v>0</v>
      </c>
      <c r="W410" s="105">
        <v>0</v>
      </c>
      <c r="X410" s="105">
        <v>0</v>
      </c>
      <c r="Y410" s="106">
        <v>7775991.7594141541</v>
      </c>
      <c r="Z410" s="106">
        <v>8013881.7328832708</v>
      </c>
      <c r="AA410" s="106">
        <v>8307051.4226282565</v>
      </c>
      <c r="AB410" s="108">
        <v>8845342.6753915846</v>
      </c>
      <c r="AC410" s="108">
        <v>9220642.9113860726</v>
      </c>
      <c r="AD410" s="108">
        <v>9433072.5318091605</v>
      </c>
      <c r="AE410" s="108">
        <v>135968724.2570489</v>
      </c>
      <c r="AF410" s="108">
        <v>140584756.14944553</v>
      </c>
      <c r="AG410" s="108">
        <v>152343981.94178802</v>
      </c>
      <c r="AH410" s="108">
        <v>166978879.75362626</v>
      </c>
      <c r="AI410" s="108">
        <v>27819546.918835193</v>
      </c>
      <c r="AJ410" s="108">
        <v>184907051.11689496</v>
      </c>
      <c r="AK410" s="108">
        <v>54271987.556759328</v>
      </c>
      <c r="AL410" s="108">
        <v>56818940.842415504</v>
      </c>
      <c r="AM410" s="108">
        <v>62458781.178117976</v>
      </c>
      <c r="AN410" s="108">
        <v>71255736.872558206</v>
      </c>
      <c r="AO410" s="108">
        <v>80238459.364163324</v>
      </c>
      <c r="AP410" s="108">
        <v>80646353.736889288</v>
      </c>
      <c r="AQ410" s="108">
        <v>9696414.0646676663</v>
      </c>
      <c r="AR410" s="108">
        <v>9712291.579539014</v>
      </c>
      <c r="AS410" s="108">
        <v>11412207.931413181</v>
      </c>
      <c r="AT410" s="108">
        <v>13328262.266434213</v>
      </c>
      <c r="AU410" s="108">
        <v>14599792.396045798</v>
      </c>
      <c r="AV410" s="108">
        <v>14602651.967738425</v>
      </c>
    </row>
    <row r="411" spans="1:48" x14ac:dyDescent="0.35">
      <c r="A411" s="107">
        <f xml:space="preserve"> ROW( slrImpacts[[#This Row],[row_id]] ) - ROW( slrImpacts[[#Headers],[row_id]] )</f>
        <v>410</v>
      </c>
      <c r="B411" s="104">
        <v>2005</v>
      </c>
      <c r="C411" s="104" t="s">
        <v>221</v>
      </c>
      <c r="D411" s="104" t="s">
        <v>88</v>
      </c>
      <c r="E411" s="104" t="s">
        <v>922</v>
      </c>
      <c r="F411" s="104"/>
      <c r="G411" s="105">
        <v>0</v>
      </c>
      <c r="H411" s="105">
        <v>0</v>
      </c>
      <c r="I411" s="105">
        <v>0</v>
      </c>
      <c r="J411" s="105">
        <v>0</v>
      </c>
      <c r="K411" s="105">
        <v>0</v>
      </c>
      <c r="L411" s="105">
        <v>0</v>
      </c>
      <c r="M411" s="106">
        <v>191351049.15888134</v>
      </c>
      <c r="N411" s="106">
        <v>200913983.62970224</v>
      </c>
      <c r="O411" s="106">
        <v>225394627.9049046</v>
      </c>
      <c r="P411" s="106">
        <v>256688354.90124935</v>
      </c>
      <c r="Q411" s="106">
        <v>286259394.04543781</v>
      </c>
      <c r="R411" s="106">
        <v>295419716.94384289</v>
      </c>
      <c r="S411" s="105">
        <v>0</v>
      </c>
      <c r="T411" s="105">
        <v>0</v>
      </c>
      <c r="U411" s="105">
        <v>0</v>
      </c>
      <c r="V411" s="105">
        <v>0</v>
      </c>
      <c r="W411" s="105">
        <v>0</v>
      </c>
      <c r="X411" s="105">
        <v>0</v>
      </c>
      <c r="Y411" s="106">
        <v>7842208.2379943579</v>
      </c>
      <c r="Z411" s="106">
        <v>8106058.0573467808</v>
      </c>
      <c r="AA411" s="106">
        <v>8431002.2033558823</v>
      </c>
      <c r="AB411" s="108">
        <v>9037011.6303904075</v>
      </c>
      <c r="AC411" s="108">
        <v>9462717.3851594534</v>
      </c>
      <c r="AD411" s="108">
        <v>9705004.7274287213</v>
      </c>
      <c r="AE411" s="108">
        <v>138300140.8015697</v>
      </c>
      <c r="AF411" s="108">
        <v>143602209.48314241</v>
      </c>
      <c r="AG411" s="108">
        <v>157259885.30269197</v>
      </c>
      <c r="AH411" s="108">
        <v>174512260.56868866</v>
      </c>
      <c r="AI411" s="108">
        <v>30179736.456716046</v>
      </c>
      <c r="AJ411" s="108">
        <v>196082216.74343503</v>
      </c>
      <c r="AK411" s="108">
        <v>56613140.622656077</v>
      </c>
      <c r="AL411" s="108">
        <v>59613619.509010665</v>
      </c>
      <c r="AM411" s="108">
        <v>66355399.355553672</v>
      </c>
      <c r="AN411" s="108">
        <v>77133743.707795188</v>
      </c>
      <c r="AO411" s="108">
        <v>88430949.89187412</v>
      </c>
      <c r="AP411" s="108">
        <v>88931702.43374294</v>
      </c>
      <c r="AQ411" s="108">
        <v>9949368.6504667178</v>
      </c>
      <c r="AR411" s="108">
        <v>9967189.5336440876</v>
      </c>
      <c r="AS411" s="108">
        <v>11914567.802902797</v>
      </c>
      <c r="AT411" s="108">
        <v>14149117.18248518</v>
      </c>
      <c r="AU411" s="108">
        <v>15649385.381067639</v>
      </c>
      <c r="AV411" s="108">
        <v>15652734.842561688</v>
      </c>
    </row>
    <row r="412" spans="1:48" x14ac:dyDescent="0.35">
      <c r="A412" s="107">
        <f xml:space="preserve"> ROW( slrImpacts[[#This Row],[row_id]] ) - ROW( slrImpacts[[#Headers],[row_id]] )</f>
        <v>411</v>
      </c>
      <c r="B412" s="104">
        <v>2006</v>
      </c>
      <c r="C412" s="104" t="s">
        <v>221</v>
      </c>
      <c r="D412" s="104" t="s">
        <v>88</v>
      </c>
      <c r="E412" s="104" t="s">
        <v>922</v>
      </c>
      <c r="F412" s="104"/>
      <c r="G412" s="105">
        <v>0</v>
      </c>
      <c r="H412" s="105">
        <v>0</v>
      </c>
      <c r="I412" s="105">
        <v>0</v>
      </c>
      <c r="J412" s="105">
        <v>0</v>
      </c>
      <c r="K412" s="105">
        <v>0</v>
      </c>
      <c r="L412" s="105">
        <v>0</v>
      </c>
      <c r="M412" s="106">
        <v>196021915.27564704</v>
      </c>
      <c r="N412" s="106">
        <v>206774578.15872604</v>
      </c>
      <c r="O412" s="106">
        <v>234851258.67660964</v>
      </c>
      <c r="P412" s="106">
        <v>271190413.1679579</v>
      </c>
      <c r="Q412" s="106">
        <v>306060169.2854737</v>
      </c>
      <c r="R412" s="106">
        <v>316511519.32000786</v>
      </c>
      <c r="S412" s="105">
        <v>0</v>
      </c>
      <c r="T412" s="105">
        <v>0</v>
      </c>
      <c r="U412" s="105">
        <v>0</v>
      </c>
      <c r="V412" s="105">
        <v>0</v>
      </c>
      <c r="W412" s="105">
        <v>0</v>
      </c>
      <c r="X412" s="105">
        <v>0</v>
      </c>
      <c r="Y412" s="106">
        <v>7917852.5306396568</v>
      </c>
      <c r="Z412" s="106">
        <v>8206901.8993171398</v>
      </c>
      <c r="AA412" s="106">
        <v>8566629.9781621676</v>
      </c>
      <c r="AB412" s="108">
        <v>9238874.6386521421</v>
      </c>
      <c r="AC412" s="108">
        <v>9715862.1473247707</v>
      </c>
      <c r="AD412" s="108">
        <v>9992351.543440057</v>
      </c>
      <c r="AE412" s="108">
        <v>141232016.27888134</v>
      </c>
      <c r="AF412" s="108">
        <v>147324938.9661108</v>
      </c>
      <c r="AG412" s="108">
        <v>163131557.64699996</v>
      </c>
      <c r="AH412" s="108">
        <v>183241303.18654731</v>
      </c>
      <c r="AI412" s="108">
        <v>32824826.310782965</v>
      </c>
      <c r="AJ412" s="108">
        <v>209083333.98392081</v>
      </c>
      <c r="AK412" s="108">
        <v>59196805.956509434</v>
      </c>
      <c r="AL412" s="108">
        <v>62716137.641604744</v>
      </c>
      <c r="AM412" s="108">
        <v>70753230.269499853</v>
      </c>
      <c r="AN412" s="108">
        <v>83787499.905370921</v>
      </c>
      <c r="AO412" s="108">
        <v>97671588.161959514</v>
      </c>
      <c r="AP412" s="108">
        <v>98456269.898804888</v>
      </c>
      <c r="AQ412" s="108">
        <v>10217132.730890367</v>
      </c>
      <c r="AR412" s="108">
        <v>10269122.157257732</v>
      </c>
      <c r="AS412" s="108">
        <v>12462129.123255739</v>
      </c>
      <c r="AT412" s="108">
        <v>15003337.55164393</v>
      </c>
      <c r="AU412" s="108">
        <v>16794645.922708999</v>
      </c>
      <c r="AV412" s="108">
        <v>16861625.690513343</v>
      </c>
    </row>
    <row r="413" spans="1:48" x14ac:dyDescent="0.35">
      <c r="A413" s="107">
        <f xml:space="preserve"> ROW( slrImpacts[[#This Row],[row_id]] ) - ROW( slrImpacts[[#Headers],[row_id]] )</f>
        <v>412</v>
      </c>
      <c r="B413" s="104">
        <v>2007</v>
      </c>
      <c r="C413" s="104" t="s">
        <v>221</v>
      </c>
      <c r="D413" s="104" t="s">
        <v>88</v>
      </c>
      <c r="E413" s="104" t="s">
        <v>922</v>
      </c>
      <c r="F413" s="104"/>
      <c r="G413" s="105">
        <v>0</v>
      </c>
      <c r="H413" s="105">
        <v>0</v>
      </c>
      <c r="I413" s="105">
        <v>0</v>
      </c>
      <c r="J413" s="105">
        <v>0</v>
      </c>
      <c r="K413" s="105">
        <v>0</v>
      </c>
      <c r="L413" s="105">
        <v>0</v>
      </c>
      <c r="M413" s="106">
        <v>205059660.98627278</v>
      </c>
      <c r="N413" s="106">
        <v>218050784.28074902</v>
      </c>
      <c r="O413" s="106">
        <v>252758668.09446484</v>
      </c>
      <c r="P413" s="106">
        <v>298242971.74771833</v>
      </c>
      <c r="Q413" s="106">
        <v>342619315.33358562</v>
      </c>
      <c r="R413" s="106">
        <v>355346253.44413775</v>
      </c>
      <c r="S413" s="105">
        <v>0</v>
      </c>
      <c r="T413" s="105">
        <v>0</v>
      </c>
      <c r="U413" s="105">
        <v>0</v>
      </c>
      <c r="V413" s="105">
        <v>0</v>
      </c>
      <c r="W413" s="105">
        <v>0</v>
      </c>
      <c r="X413" s="105">
        <v>0</v>
      </c>
      <c r="Y413" s="106">
        <v>8067431.3870623698</v>
      </c>
      <c r="Z413" s="106">
        <v>8407393.4839459527</v>
      </c>
      <c r="AA413" s="106">
        <v>8834202.3494742196</v>
      </c>
      <c r="AB413" s="108">
        <v>9630641.8972265385</v>
      </c>
      <c r="AC413" s="108">
        <v>10202540.480339056</v>
      </c>
      <c r="AD413" s="108">
        <v>10546168.370490506</v>
      </c>
      <c r="AE413" s="108">
        <v>146895258.05062735</v>
      </c>
      <c r="AF413" s="108">
        <v>154458741.56974202</v>
      </c>
      <c r="AG413" s="108">
        <v>174165100.81545213</v>
      </c>
      <c r="AH413" s="108">
        <v>199646827.39868796</v>
      </c>
      <c r="AI413" s="108">
        <v>37617350.031579629</v>
      </c>
      <c r="AJ413" s="108">
        <v>232875322.63204354</v>
      </c>
      <c r="AK413" s="108">
        <v>64048962.013605393</v>
      </c>
      <c r="AL413" s="108">
        <v>68509043.332225859</v>
      </c>
      <c r="AM413" s="108">
        <v>78888182.561288759</v>
      </c>
      <c r="AN413" s="108">
        <v>95850487.557450429</v>
      </c>
      <c r="AO413" s="108">
        <v>114153627.05072702</v>
      </c>
      <c r="AP413" s="108">
        <v>115524402.32063542</v>
      </c>
      <c r="AQ413" s="108">
        <v>10730807.43464957</v>
      </c>
      <c r="AR413" s="108">
        <v>10856916.364445958</v>
      </c>
      <c r="AS413" s="108">
        <v>13496498.153630808</v>
      </c>
      <c r="AT413" s="108">
        <v>16582570.809135921</v>
      </c>
      <c r="AU413" s="108">
        <v>18897822.71420154</v>
      </c>
      <c r="AV413" s="108">
        <v>19110538.74218145</v>
      </c>
    </row>
    <row r="414" spans="1:48" x14ac:dyDescent="0.35">
      <c r="A414" s="107">
        <f xml:space="preserve"> ROW( slrImpacts[[#This Row],[row_id]] ) - ROW( slrImpacts[[#Headers],[row_id]] )</f>
        <v>413</v>
      </c>
      <c r="B414" s="104">
        <v>2008</v>
      </c>
      <c r="C414" s="104" t="s">
        <v>221</v>
      </c>
      <c r="D414" s="104" t="s">
        <v>88</v>
      </c>
      <c r="E414" s="104" t="s">
        <v>922</v>
      </c>
      <c r="F414" s="104"/>
      <c r="G414" s="105">
        <v>0</v>
      </c>
      <c r="H414" s="105">
        <v>0</v>
      </c>
      <c r="I414" s="105">
        <v>0</v>
      </c>
      <c r="J414" s="105">
        <v>0</v>
      </c>
      <c r="K414" s="105">
        <v>0</v>
      </c>
      <c r="L414" s="105">
        <v>0</v>
      </c>
      <c r="M414" s="106">
        <v>214607954.59353006</v>
      </c>
      <c r="N414" s="106">
        <v>230037915.96316639</v>
      </c>
      <c r="O414" s="106">
        <v>272288248.43456519</v>
      </c>
      <c r="P414" s="106">
        <v>328365836.09523106</v>
      </c>
      <c r="Q414" s="106">
        <v>383686770.17770463</v>
      </c>
      <c r="R414" s="106">
        <v>399150306.30311573</v>
      </c>
      <c r="S414" s="105">
        <v>0</v>
      </c>
      <c r="T414" s="105">
        <v>0</v>
      </c>
      <c r="U414" s="105">
        <v>0</v>
      </c>
      <c r="V414" s="105">
        <v>0</v>
      </c>
      <c r="W414" s="105">
        <v>0</v>
      </c>
      <c r="X414" s="105">
        <v>0</v>
      </c>
      <c r="Y414" s="106">
        <v>8228007.1609944534</v>
      </c>
      <c r="Z414" s="106">
        <v>8619335.4952255916</v>
      </c>
      <c r="AA414" s="106">
        <v>9118042.0876396224</v>
      </c>
      <c r="AB414" s="108">
        <v>10042167.508138243</v>
      </c>
      <c r="AC414" s="108">
        <v>10712498.384816539</v>
      </c>
      <c r="AD414" s="108">
        <v>11133885.888392041</v>
      </c>
      <c r="AE414" s="108">
        <v>153454140.73162591</v>
      </c>
      <c r="AF414" s="108">
        <v>162714933.9783622</v>
      </c>
      <c r="AG414" s="108">
        <v>186946764.52077767</v>
      </c>
      <c r="AH414" s="108">
        <v>218705328.55369639</v>
      </c>
      <c r="AI414" s="108">
        <v>43174344.334473811</v>
      </c>
      <c r="AJ414" s="108">
        <v>261153396.40578949</v>
      </c>
      <c r="AK414" s="108">
        <v>69417932.497939155</v>
      </c>
      <c r="AL414" s="108">
        <v>74992936.310664624</v>
      </c>
      <c r="AM414" s="108">
        <v>88238976.081135869</v>
      </c>
      <c r="AN414" s="108">
        <v>109961034.6168692</v>
      </c>
      <c r="AO414" s="108">
        <v>133582649.01003905</v>
      </c>
      <c r="AP414" s="108">
        <v>135919464.86868605</v>
      </c>
      <c r="AQ414" s="108">
        <v>11272954.015890323</v>
      </c>
      <c r="AR414" s="108">
        <v>11514253.945294484</v>
      </c>
      <c r="AS414" s="108">
        <v>14624727.147401329</v>
      </c>
      <c r="AT414" s="108">
        <v>18282326.048056636</v>
      </c>
      <c r="AU414" s="108">
        <v>21246569.075685762</v>
      </c>
      <c r="AV414" s="108">
        <v>21703199.542984098</v>
      </c>
    </row>
    <row r="415" spans="1:48" x14ac:dyDescent="0.35">
      <c r="A415" s="107">
        <f xml:space="preserve"> ROW( slrImpacts[[#This Row],[row_id]] ) - ROW( slrImpacts[[#Headers],[row_id]] )</f>
        <v>414</v>
      </c>
      <c r="B415" s="104">
        <v>2009</v>
      </c>
      <c r="C415" s="104" t="s">
        <v>221</v>
      </c>
      <c r="D415" s="104" t="s">
        <v>88</v>
      </c>
      <c r="E415" s="104" t="s">
        <v>922</v>
      </c>
      <c r="F415" s="104"/>
      <c r="G415" s="105">
        <v>0</v>
      </c>
      <c r="H415" s="105">
        <v>0</v>
      </c>
      <c r="I415" s="105">
        <v>0</v>
      </c>
      <c r="J415" s="105">
        <v>0</v>
      </c>
      <c r="K415" s="105">
        <v>0</v>
      </c>
      <c r="L415" s="105">
        <v>0</v>
      </c>
      <c r="M415" s="106">
        <v>224696009.28476664</v>
      </c>
      <c r="N415" s="106">
        <v>242781257.55727839</v>
      </c>
      <c r="O415" s="106">
        <v>293568973.78392416</v>
      </c>
      <c r="P415" s="106">
        <v>361873005.92126733</v>
      </c>
      <c r="Q415" s="106">
        <v>429781331.22327298</v>
      </c>
      <c r="R415" s="106">
        <v>448524689.48472655</v>
      </c>
      <c r="S415" s="105">
        <v>0</v>
      </c>
      <c r="T415" s="105">
        <v>0</v>
      </c>
      <c r="U415" s="105">
        <v>0</v>
      </c>
      <c r="V415" s="105">
        <v>0</v>
      </c>
      <c r="W415" s="105">
        <v>0</v>
      </c>
      <c r="X415" s="105">
        <v>0</v>
      </c>
      <c r="Y415" s="106">
        <v>8398705.2738295589</v>
      </c>
      <c r="Z415" s="106">
        <v>8841174.1994835213</v>
      </c>
      <c r="AA415" s="106">
        <v>9415946.775981579</v>
      </c>
      <c r="AB415" s="108">
        <v>10471407.81205708</v>
      </c>
      <c r="AC415" s="108">
        <v>11249168.861570038</v>
      </c>
      <c r="AD415" s="108">
        <v>11755577.78026107</v>
      </c>
      <c r="AE415" s="108">
        <v>161017015.15464896</v>
      </c>
      <c r="AF415" s="108">
        <v>172235025.51074412</v>
      </c>
      <c r="AG415" s="108">
        <v>201730120.77351961</v>
      </c>
      <c r="AH415" s="108">
        <v>240858186.326083</v>
      </c>
      <c r="AI415" s="108">
        <v>49609595.931840762</v>
      </c>
      <c r="AJ415" s="108">
        <v>294905474.29794872</v>
      </c>
      <c r="AK415" s="108">
        <v>75380745.048637748</v>
      </c>
      <c r="AL415" s="108">
        <v>82291439.083153471</v>
      </c>
      <c r="AM415" s="108">
        <v>99057755.244631216</v>
      </c>
      <c r="AN415" s="108">
        <v>126499514.47371382</v>
      </c>
      <c r="AO415" s="108">
        <v>156586271.19118357</v>
      </c>
      <c r="AP415" s="108">
        <v>160370021.95975864</v>
      </c>
      <c r="AQ415" s="108">
        <v>11850110.025431987</v>
      </c>
      <c r="AR415" s="108">
        <v>12252902.64218726</v>
      </c>
      <c r="AS415" s="108">
        <v>15857603.366041116</v>
      </c>
      <c r="AT415" s="108">
        <v>20120473.471910585</v>
      </c>
      <c r="AU415" s="108">
        <v>23873327.978703983</v>
      </c>
      <c r="AV415" s="108">
        <v>24692758.878335025</v>
      </c>
    </row>
    <row r="416" spans="1:48" x14ac:dyDescent="0.35">
      <c r="A416" s="107">
        <f xml:space="preserve"> ROW( slrImpacts[[#This Row],[row_id]] ) - ROW( slrImpacts[[#Headers],[row_id]] )</f>
        <v>415</v>
      </c>
      <c r="B416" s="104">
        <v>2010</v>
      </c>
      <c r="C416" s="104" t="s">
        <v>221</v>
      </c>
      <c r="D416" s="104" t="s">
        <v>88</v>
      </c>
      <c r="E416" s="104" t="s">
        <v>922</v>
      </c>
      <c r="F416" s="104"/>
      <c r="G416" s="105">
        <v>0</v>
      </c>
      <c r="H416" s="105">
        <v>0</v>
      </c>
      <c r="I416" s="105">
        <v>0</v>
      </c>
      <c r="J416" s="105">
        <v>0</v>
      </c>
      <c r="K416" s="105">
        <v>0</v>
      </c>
      <c r="L416" s="105">
        <v>0</v>
      </c>
      <c r="M416" s="106">
        <v>235322676.81029069</v>
      </c>
      <c r="N416" s="106">
        <v>256297406.53434846</v>
      </c>
      <c r="O416" s="106">
        <v>316720910.06604135</v>
      </c>
      <c r="P416" s="106">
        <v>399072177.15023547</v>
      </c>
      <c r="Q416" s="106">
        <v>481450320.12097597</v>
      </c>
      <c r="R416" s="106">
        <v>504157066.80294734</v>
      </c>
      <c r="S416" s="105">
        <v>0</v>
      </c>
      <c r="T416" s="105">
        <v>0</v>
      </c>
      <c r="U416" s="105">
        <v>0</v>
      </c>
      <c r="V416" s="105">
        <v>0</v>
      </c>
      <c r="W416" s="105">
        <v>0</v>
      </c>
      <c r="X416" s="105">
        <v>0</v>
      </c>
      <c r="Y416" s="106">
        <v>8581102.5861677006</v>
      </c>
      <c r="Z416" s="106">
        <v>9076147.9004856236</v>
      </c>
      <c r="AA416" s="106">
        <v>9731355.3743551895</v>
      </c>
      <c r="AB416" s="108">
        <v>10921887.212470112</v>
      </c>
      <c r="AC416" s="108">
        <v>11811279.503779106</v>
      </c>
      <c r="AD416" s="108">
        <v>12414663.416584192</v>
      </c>
      <c r="AE416" s="108">
        <v>169691511.11711323</v>
      </c>
      <c r="AF416" s="108">
        <v>183165975.37041134</v>
      </c>
      <c r="AG416" s="108">
        <v>218801934.18185908</v>
      </c>
      <c r="AH416" s="108">
        <v>266984898.40929261</v>
      </c>
      <c r="AI416" s="108">
        <v>57065445.833787426</v>
      </c>
      <c r="AJ416" s="108">
        <v>335155561.84376359</v>
      </c>
      <c r="AK416" s="108">
        <v>81993861.185277924</v>
      </c>
      <c r="AL416" s="108">
        <v>90493735.908413053</v>
      </c>
      <c r="AM416" s="108">
        <v>111553720.78512925</v>
      </c>
      <c r="AN416" s="108">
        <v>145912124.01281184</v>
      </c>
      <c r="AO416" s="108">
        <v>183660575.02482527</v>
      </c>
      <c r="AP416" s="108">
        <v>189495347.25047347</v>
      </c>
      <c r="AQ416" s="108">
        <v>12457063.129451673</v>
      </c>
      <c r="AR416" s="108">
        <v>13072807.878436998</v>
      </c>
      <c r="AS416" s="108">
        <v>17204842.456729382</v>
      </c>
      <c r="AT416" s="108">
        <v>22106359.811203301</v>
      </c>
      <c r="AU416" s="108">
        <v>26790677.783893447</v>
      </c>
      <c r="AV416" s="108">
        <v>28111664.584994841</v>
      </c>
    </row>
    <row r="417" spans="1:48" x14ac:dyDescent="0.35">
      <c r="A417" s="107">
        <f xml:space="preserve"> ROW( slrImpacts[[#This Row],[row_id]] ) - ROW( slrImpacts[[#Headers],[row_id]] )</f>
        <v>416</v>
      </c>
      <c r="B417" s="104">
        <v>2011</v>
      </c>
      <c r="C417" s="104" t="s">
        <v>221</v>
      </c>
      <c r="D417" s="104" t="s">
        <v>88</v>
      </c>
      <c r="E417" s="104" t="s">
        <v>922</v>
      </c>
      <c r="F417" s="104"/>
      <c r="G417" s="105">
        <v>0</v>
      </c>
      <c r="H417" s="105">
        <v>0</v>
      </c>
      <c r="I417" s="105">
        <v>0</v>
      </c>
      <c r="J417" s="105">
        <v>0</v>
      </c>
      <c r="K417" s="105">
        <v>0</v>
      </c>
      <c r="L417" s="105">
        <v>0</v>
      </c>
      <c r="M417" s="106">
        <v>246544802.5845688</v>
      </c>
      <c r="N417" s="106">
        <v>270676384.89228565</v>
      </c>
      <c r="O417" s="106">
        <v>341953628.25247473</v>
      </c>
      <c r="P417" s="106">
        <v>440363318.20925266</v>
      </c>
      <c r="Q417" s="106">
        <v>539368595.52785814</v>
      </c>
      <c r="R417" s="106">
        <v>566803912.45320129</v>
      </c>
      <c r="S417" s="105">
        <v>0</v>
      </c>
      <c r="T417" s="105">
        <v>0</v>
      </c>
      <c r="U417" s="105">
        <v>0</v>
      </c>
      <c r="V417" s="105">
        <v>0</v>
      </c>
      <c r="W417" s="105">
        <v>0</v>
      </c>
      <c r="X417" s="105">
        <v>0</v>
      </c>
      <c r="Y417" s="106">
        <v>8774200.3622919824</v>
      </c>
      <c r="Z417" s="106">
        <v>9322931.537822539</v>
      </c>
      <c r="AA417" s="106">
        <v>10063116.614227243</v>
      </c>
      <c r="AB417" s="108">
        <v>11391822.14344524</v>
      </c>
      <c r="AC417" s="108">
        <v>12397864.850339279</v>
      </c>
      <c r="AD417" s="108">
        <v>13111569.858943643</v>
      </c>
      <c r="AE417" s="108">
        <v>179481377.40950617</v>
      </c>
      <c r="AF417" s="108">
        <v>195531953.16639522</v>
      </c>
      <c r="AG417" s="108">
        <v>238352190.94676244</v>
      </c>
      <c r="AH417" s="108">
        <v>297475053.1902684</v>
      </c>
      <c r="AI417" s="108">
        <v>65684706.083453909</v>
      </c>
      <c r="AJ417" s="108">
        <v>383138044.37045687</v>
      </c>
      <c r="AK417" s="108">
        <v>89323453.766744852</v>
      </c>
      <c r="AL417" s="108">
        <v>99714923.267075211</v>
      </c>
      <c r="AM417" s="108">
        <v>125994387.42061405</v>
      </c>
      <c r="AN417" s="108">
        <v>168713264.74364492</v>
      </c>
      <c r="AO417" s="108">
        <v>215478980.36121511</v>
      </c>
      <c r="AP417" s="108">
        <v>224093419.71601635</v>
      </c>
      <c r="AQ417" s="108">
        <v>13099281.426474942</v>
      </c>
      <c r="AR417" s="108">
        <v>13987203.43967195</v>
      </c>
      <c r="AS417" s="108">
        <v>18680080.551590677</v>
      </c>
      <c r="AT417" s="108">
        <v>24240732.034187492</v>
      </c>
      <c r="AU417" s="108">
        <v>30036371.050015427</v>
      </c>
      <c r="AV417" s="108">
        <v>32031189.700193118</v>
      </c>
    </row>
    <row r="418" spans="1:48" x14ac:dyDescent="0.35">
      <c r="A418" s="107">
        <f xml:space="preserve"> ROW( slrImpacts[[#This Row],[row_id]] ) - ROW( slrImpacts[[#Headers],[row_id]] )</f>
        <v>417</v>
      </c>
      <c r="B418" s="104">
        <v>2012</v>
      </c>
      <c r="C418" s="104" t="s">
        <v>221</v>
      </c>
      <c r="D418" s="104" t="s">
        <v>88</v>
      </c>
      <c r="E418" s="104" t="s">
        <v>922</v>
      </c>
      <c r="F418" s="104"/>
      <c r="G418" s="105">
        <v>0</v>
      </c>
      <c r="H418" s="105">
        <v>0</v>
      </c>
      <c r="I418" s="105">
        <v>0</v>
      </c>
      <c r="J418" s="105">
        <v>0</v>
      </c>
      <c r="K418" s="105">
        <v>0</v>
      </c>
      <c r="L418" s="105">
        <v>0</v>
      </c>
      <c r="M418" s="106">
        <v>258405631.01999485</v>
      </c>
      <c r="N418" s="106">
        <v>285981799.80291319</v>
      </c>
      <c r="O418" s="106">
        <v>369363656.00111437</v>
      </c>
      <c r="P418" s="106">
        <v>486078751.212587</v>
      </c>
      <c r="Q418" s="106">
        <v>604277143.67498708</v>
      </c>
      <c r="R418" s="106">
        <v>637269682.54405701</v>
      </c>
      <c r="S418" s="105">
        <v>0</v>
      </c>
      <c r="T418" s="105">
        <v>0</v>
      </c>
      <c r="U418" s="105">
        <v>0</v>
      </c>
      <c r="V418" s="105">
        <v>0</v>
      </c>
      <c r="W418" s="105">
        <v>0</v>
      </c>
      <c r="X418" s="105">
        <v>0</v>
      </c>
      <c r="Y418" s="106">
        <v>8978935.364551723</v>
      </c>
      <c r="Z418" s="106">
        <v>9581862.8940361626</v>
      </c>
      <c r="AA418" s="106">
        <v>10412868.552924803</v>
      </c>
      <c r="AB418" s="108">
        <v>11883580.567202808</v>
      </c>
      <c r="AC418" s="108">
        <v>13014005.600922864</v>
      </c>
      <c r="AD418" s="108">
        <v>13849898.501321839</v>
      </c>
      <c r="AE418" s="108">
        <v>190581255.92255414</v>
      </c>
      <c r="AF418" s="108">
        <v>209604311.28703851</v>
      </c>
      <c r="AG418" s="108">
        <v>260939028.09330752</v>
      </c>
      <c r="AH418" s="108">
        <v>333179293.92564636</v>
      </c>
      <c r="AI418" s="108">
        <v>75647669.340144172</v>
      </c>
      <c r="AJ418" s="108">
        <v>439535421.89335668</v>
      </c>
      <c r="AK418" s="108">
        <v>97578479.093810812</v>
      </c>
      <c r="AL418" s="108">
        <v>110237278.39815477</v>
      </c>
      <c r="AM418" s="108">
        <v>142903833.52161992</v>
      </c>
      <c r="AN418" s="108">
        <v>195449201.793347</v>
      </c>
      <c r="AO418" s="108">
        <v>253022958.98451364</v>
      </c>
      <c r="AP418" s="108">
        <v>265490054.3750146</v>
      </c>
      <c r="AQ418" s="108">
        <v>13769289.750796024</v>
      </c>
      <c r="AR418" s="108">
        <v>14990757.06241684</v>
      </c>
      <c r="AS418" s="108">
        <v>20285713.240153886</v>
      </c>
      <c r="AT418" s="108">
        <v>26551324.336902406</v>
      </c>
      <c r="AU418" s="108">
        <v>33613109.308271609</v>
      </c>
      <c r="AV418" s="108">
        <v>36473538.243398502</v>
      </c>
    </row>
    <row r="419" spans="1:48" x14ac:dyDescent="0.35">
      <c r="A419" s="107">
        <f xml:space="preserve"> ROW( slrImpacts[[#This Row],[row_id]] ) - ROW( slrImpacts[[#Headers],[row_id]] )</f>
        <v>418</v>
      </c>
      <c r="B419" s="104">
        <v>2013</v>
      </c>
      <c r="C419" s="104" t="s">
        <v>221</v>
      </c>
      <c r="D419" s="104" t="s">
        <v>88</v>
      </c>
      <c r="E419" s="104" t="s">
        <v>922</v>
      </c>
      <c r="F419" s="104"/>
      <c r="G419" s="105">
        <v>0</v>
      </c>
      <c r="H419" s="105">
        <v>0</v>
      </c>
      <c r="I419" s="105">
        <v>0</v>
      </c>
      <c r="J419" s="105">
        <v>0</v>
      </c>
      <c r="K419" s="105">
        <v>0</v>
      </c>
      <c r="L419" s="105">
        <v>0</v>
      </c>
      <c r="M419" s="106">
        <v>270964118.19193441</v>
      </c>
      <c r="N419" s="106">
        <v>302284730.36522311</v>
      </c>
      <c r="O419" s="106">
        <v>399215564.86790341</v>
      </c>
      <c r="P419" s="106">
        <v>536773718.77530831</v>
      </c>
      <c r="Q419" s="106">
        <v>677006641.29693949</v>
      </c>
      <c r="R419" s="106">
        <v>716541439.53033948</v>
      </c>
      <c r="S419" s="105">
        <v>0</v>
      </c>
      <c r="T419" s="105">
        <v>0</v>
      </c>
      <c r="U419" s="105">
        <v>0</v>
      </c>
      <c r="V419" s="105">
        <v>0</v>
      </c>
      <c r="W419" s="105">
        <v>0</v>
      </c>
      <c r="X419" s="105">
        <v>0</v>
      </c>
      <c r="Y419" s="106">
        <v>9195539.8438561428</v>
      </c>
      <c r="Z419" s="106">
        <v>9852923.8275067005</v>
      </c>
      <c r="AA419" s="106">
        <v>10780777.116695095</v>
      </c>
      <c r="AB419" s="108">
        <v>12397349.601907555</v>
      </c>
      <c r="AC419" s="108">
        <v>13657594.850640897</v>
      </c>
      <c r="AD419" s="108">
        <v>14630095.626841079</v>
      </c>
      <c r="AE419" s="108">
        <v>203182253.31481454</v>
      </c>
      <c r="AF419" s="108">
        <v>225652786.65255821</v>
      </c>
      <c r="AG419" s="108">
        <v>287126800.90321743</v>
      </c>
      <c r="AH419" s="108">
        <v>375203191.0059427</v>
      </c>
      <c r="AI419" s="108">
        <v>87165634.989230812</v>
      </c>
      <c r="AJ419" s="108">
        <v>506421377.30421245</v>
      </c>
      <c r="AK419" s="108">
        <v>106780513.4443256</v>
      </c>
      <c r="AL419" s="108">
        <v>122123652.27164683</v>
      </c>
      <c r="AM419" s="108">
        <v>162517111.59788927</v>
      </c>
      <c r="AN419" s="108">
        <v>226823812.53666687</v>
      </c>
      <c r="AO419" s="108">
        <v>297078900.15208048</v>
      </c>
      <c r="AP419" s="108">
        <v>314581692.81040746</v>
      </c>
      <c r="AQ419" s="108">
        <v>14478567.071580095</v>
      </c>
      <c r="AR419" s="108">
        <v>16103910.577620126</v>
      </c>
      <c r="AS419" s="108">
        <v>22036618.039884709</v>
      </c>
      <c r="AT419" s="108">
        <v>29040277.357002791</v>
      </c>
      <c r="AU419" s="108">
        <v>37581536.339142278</v>
      </c>
      <c r="AV419" s="108">
        <v>41530197.07234747</v>
      </c>
    </row>
    <row r="420" spans="1:48" x14ac:dyDescent="0.35">
      <c r="A420" s="107">
        <f xml:space="preserve"> ROW( slrImpacts[[#This Row],[row_id]] ) - ROW( slrImpacts[[#Headers],[row_id]] )</f>
        <v>419</v>
      </c>
      <c r="B420" s="104">
        <v>2014</v>
      </c>
      <c r="C420" s="104" t="s">
        <v>221</v>
      </c>
      <c r="D420" s="104" t="s">
        <v>88</v>
      </c>
      <c r="E420" s="104" t="s">
        <v>922</v>
      </c>
      <c r="F420" s="104"/>
      <c r="G420" s="105">
        <v>0</v>
      </c>
      <c r="H420" s="105">
        <v>0</v>
      </c>
      <c r="I420" s="105">
        <v>0</v>
      </c>
      <c r="J420" s="105">
        <v>0</v>
      </c>
      <c r="K420" s="105">
        <v>0</v>
      </c>
      <c r="L420" s="105">
        <v>0</v>
      </c>
      <c r="M420" s="106">
        <v>284222667.39352852</v>
      </c>
      <c r="N420" s="106">
        <v>319623930.38959587</v>
      </c>
      <c r="O420" s="106">
        <v>431684139.59016848</v>
      </c>
      <c r="P420" s="106">
        <v>592971307.08726346</v>
      </c>
      <c r="Q420" s="106">
        <v>758422014.78194475</v>
      </c>
      <c r="R420" s="106">
        <v>805445782.79233062</v>
      </c>
      <c r="S420" s="105">
        <v>0</v>
      </c>
      <c r="T420" s="105">
        <v>0</v>
      </c>
      <c r="U420" s="105">
        <v>0</v>
      </c>
      <c r="V420" s="105">
        <v>0</v>
      </c>
      <c r="W420" s="105">
        <v>0</v>
      </c>
      <c r="X420" s="105">
        <v>0</v>
      </c>
      <c r="Y420" s="106">
        <v>9424848.6331348233</v>
      </c>
      <c r="Z420" s="106">
        <v>10138829.159043059</v>
      </c>
      <c r="AA420" s="106">
        <v>11168720.667453779</v>
      </c>
      <c r="AB420" s="108">
        <v>12935324.187199224</v>
      </c>
      <c r="AC420" s="108">
        <v>14331554.705894411</v>
      </c>
      <c r="AD420" s="108">
        <v>15456890.211676931</v>
      </c>
      <c r="AE420" s="108">
        <v>217293171.83696949</v>
      </c>
      <c r="AF420" s="108">
        <v>243757442.35469729</v>
      </c>
      <c r="AG420" s="108">
        <v>317230384.40235156</v>
      </c>
      <c r="AH420" s="108">
        <v>424251270.16578227</v>
      </c>
      <c r="AI420" s="108">
        <v>100473998.32101129</v>
      </c>
      <c r="AJ420" s="108">
        <v>585776371.27226281</v>
      </c>
      <c r="AK420" s="108">
        <v>117070329.75336386</v>
      </c>
      <c r="AL420" s="108">
        <v>135597306.46096265</v>
      </c>
      <c r="AM420" s="108">
        <v>185273994.19840857</v>
      </c>
      <c r="AN420" s="108">
        <v>263250515.97638527</v>
      </c>
      <c r="AO420" s="108">
        <v>348875955.35901064</v>
      </c>
      <c r="AP420" s="108">
        <v>372818936.52438527</v>
      </c>
      <c r="AQ420" s="108">
        <v>15228420.462112851</v>
      </c>
      <c r="AR420" s="108">
        <v>17335000.322191354</v>
      </c>
      <c r="AS420" s="108">
        <v>23941070.637707505</v>
      </c>
      <c r="AT420" s="108">
        <v>31717942.940150831</v>
      </c>
      <c r="AU420" s="108">
        <v>41973361.517955668</v>
      </c>
      <c r="AV420" s="108">
        <v>47269929.509396985</v>
      </c>
    </row>
    <row r="421" spans="1:48" x14ac:dyDescent="0.35">
      <c r="A421" s="107">
        <f xml:space="preserve"> ROW( slrImpacts[[#This Row],[row_id]] ) - ROW( slrImpacts[[#Headers],[row_id]] )</f>
        <v>420</v>
      </c>
      <c r="B421" s="104">
        <v>2015</v>
      </c>
      <c r="C421" s="104" t="s">
        <v>221</v>
      </c>
      <c r="D421" s="104" t="s">
        <v>88</v>
      </c>
      <c r="E421" s="104" t="s">
        <v>922</v>
      </c>
      <c r="F421" s="104"/>
      <c r="G421" s="105">
        <v>0</v>
      </c>
      <c r="H421" s="105">
        <v>0</v>
      </c>
      <c r="I421" s="105">
        <v>0</v>
      </c>
      <c r="J421" s="105">
        <v>0</v>
      </c>
      <c r="K421" s="105">
        <v>0</v>
      </c>
      <c r="L421" s="105">
        <v>0</v>
      </c>
      <c r="M421" s="106">
        <v>298237829.9497934</v>
      </c>
      <c r="N421" s="106">
        <v>338072541.89689088</v>
      </c>
      <c r="O421" s="106">
        <v>466885128.86326045</v>
      </c>
      <c r="P421" s="106">
        <v>654940519.03413212</v>
      </c>
      <c r="Q421" s="106">
        <v>849201383.62828326</v>
      </c>
      <c r="R421" s="106">
        <v>904845664.80445766</v>
      </c>
      <c r="S421" s="105">
        <v>0</v>
      </c>
      <c r="T421" s="105">
        <v>0</v>
      </c>
      <c r="U421" s="105">
        <v>0</v>
      </c>
      <c r="V421" s="105">
        <v>0</v>
      </c>
      <c r="W421" s="105">
        <v>0</v>
      </c>
      <c r="X421" s="105">
        <v>0</v>
      </c>
      <c r="Y421" s="106">
        <v>9662229.4910489582</v>
      </c>
      <c r="Z421" s="106">
        <v>10433572.882679526</v>
      </c>
      <c r="AA421" s="106">
        <v>11575652.515318833</v>
      </c>
      <c r="AB421" s="108">
        <v>13496133.050532233</v>
      </c>
      <c r="AC421" s="108">
        <v>15034618.635658208</v>
      </c>
      <c r="AD421" s="108">
        <v>16324142.139864257</v>
      </c>
      <c r="AE421" s="108">
        <v>233215517.37729973</v>
      </c>
      <c r="AF421" s="108">
        <v>264378077.16333976</v>
      </c>
      <c r="AG421" s="108">
        <v>351962155.90677953</v>
      </c>
      <c r="AH421" s="108">
        <v>480828488.72514033</v>
      </c>
      <c r="AI421" s="108">
        <v>115541965.18193904</v>
      </c>
      <c r="AJ421" s="108">
        <v>679150515.29031408</v>
      </c>
      <c r="AK421" s="108">
        <v>128508499.81554183</v>
      </c>
      <c r="AL421" s="108">
        <v>150763656.14064184</v>
      </c>
      <c r="AM421" s="108">
        <v>211413535.88055089</v>
      </c>
      <c r="AN421" s="108">
        <v>305591277.80330247</v>
      </c>
      <c r="AO421" s="108">
        <v>409114143.65122521</v>
      </c>
      <c r="AP421" s="108">
        <v>440853184.42608345</v>
      </c>
      <c r="AQ421" s="108">
        <v>16016406.909397343</v>
      </c>
      <c r="AR421" s="108">
        <v>18690165.812386964</v>
      </c>
      <c r="AS421" s="108">
        <v>26008271.252866615</v>
      </c>
      <c r="AT421" s="108">
        <v>34575560.077920571</v>
      </c>
      <c r="AU421" s="108">
        <v>46809718.952266164</v>
      </c>
      <c r="AV421" s="108">
        <v>53750644.094758615</v>
      </c>
    </row>
    <row r="422" spans="1:48" x14ac:dyDescent="0.35">
      <c r="A422" s="107">
        <f xml:space="preserve"> ROW( slrImpacts[[#This Row],[row_id]] ) - ROW( slrImpacts[[#Headers],[row_id]] )</f>
        <v>421</v>
      </c>
      <c r="B422" s="104">
        <v>2016</v>
      </c>
      <c r="C422" s="104" t="s">
        <v>221</v>
      </c>
      <c r="D422" s="104" t="s">
        <v>88</v>
      </c>
      <c r="E422" s="104" t="s">
        <v>922</v>
      </c>
      <c r="F422" s="104"/>
      <c r="G422" s="105">
        <v>0</v>
      </c>
      <c r="H422" s="105">
        <v>0</v>
      </c>
      <c r="I422" s="105">
        <v>0</v>
      </c>
      <c r="J422" s="105">
        <v>0</v>
      </c>
      <c r="K422" s="105">
        <v>0</v>
      </c>
      <c r="L422" s="105">
        <v>0</v>
      </c>
      <c r="M422" s="106">
        <v>313079825.71706802</v>
      </c>
      <c r="N422" s="106">
        <v>357801641.80548579</v>
      </c>
      <c r="O422" s="106">
        <v>505556112.10458481</v>
      </c>
      <c r="P422" s="106">
        <v>724493931.89633501</v>
      </c>
      <c r="Q422" s="106">
        <v>953702476.9025948</v>
      </c>
      <c r="R422" s="106">
        <v>1022385070.3464811</v>
      </c>
      <c r="S422" s="105">
        <v>0</v>
      </c>
      <c r="T422" s="105">
        <v>0</v>
      </c>
      <c r="U422" s="105">
        <v>0</v>
      </c>
      <c r="V422" s="105">
        <v>0</v>
      </c>
      <c r="W422" s="105">
        <v>0</v>
      </c>
      <c r="X422" s="105">
        <v>0</v>
      </c>
      <c r="Y422" s="106">
        <v>9911534.2304170709</v>
      </c>
      <c r="Z422" s="106">
        <v>10744496.403584549</v>
      </c>
      <c r="AA422" s="106">
        <v>12014206.319539659</v>
      </c>
      <c r="AB422" s="108">
        <v>14103708.09940874</v>
      </c>
      <c r="AC422" s="108">
        <v>15828424.353388814</v>
      </c>
      <c r="AD422" s="108">
        <v>17329584.938567795</v>
      </c>
      <c r="AE422" s="108">
        <v>251209647.11786905</v>
      </c>
      <c r="AF422" s="108">
        <v>287918480.13101017</v>
      </c>
      <c r="AG422" s="108">
        <v>392325913.71751851</v>
      </c>
      <c r="AH422" s="108">
        <v>548456371.83804739</v>
      </c>
      <c r="AI422" s="108">
        <v>134164510.34935009</v>
      </c>
      <c r="AJ422" s="108">
        <v>798971333.64982927</v>
      </c>
      <c r="AK422" s="108">
        <v>141139295.84738776</v>
      </c>
      <c r="AL422" s="108">
        <v>167984780.21707889</v>
      </c>
      <c r="AM422" s="108">
        <v>241987552.34763625</v>
      </c>
      <c r="AN422" s="108">
        <v>355934346.56757063</v>
      </c>
      <c r="AO422" s="108">
        <v>483908019.08757132</v>
      </c>
      <c r="AP422" s="108">
        <v>527923827.8689062</v>
      </c>
      <c r="AQ422" s="108">
        <v>16865785.021186564</v>
      </c>
      <c r="AR422" s="108">
        <v>20147432.280993111</v>
      </c>
      <c r="AS422" s="108">
        <v>28295070.218189418</v>
      </c>
      <c r="AT422" s="108">
        <v>37856976.619054459</v>
      </c>
      <c r="AU422" s="108">
        <v>52484540.316222258</v>
      </c>
      <c r="AV422" s="108">
        <v>61525648.398513302</v>
      </c>
    </row>
    <row r="423" spans="1:48" x14ac:dyDescent="0.35">
      <c r="A423" s="107">
        <f xml:space="preserve"> ROW( slrImpacts[[#This Row],[row_id]] ) - ROW( slrImpacts[[#Headers],[row_id]] )</f>
        <v>422</v>
      </c>
      <c r="B423" s="104">
        <v>2017</v>
      </c>
      <c r="C423" s="104" t="s">
        <v>221</v>
      </c>
      <c r="D423" s="104" t="s">
        <v>88</v>
      </c>
      <c r="E423" s="104" t="s">
        <v>922</v>
      </c>
      <c r="F423" s="104"/>
      <c r="G423" s="105">
        <v>0</v>
      </c>
      <c r="H423" s="105">
        <v>0</v>
      </c>
      <c r="I423" s="105">
        <v>0</v>
      </c>
      <c r="J423" s="105">
        <v>0</v>
      </c>
      <c r="K423" s="105">
        <v>0</v>
      </c>
      <c r="L423" s="105">
        <v>0</v>
      </c>
      <c r="M423" s="106">
        <v>328640758.93178982</v>
      </c>
      <c r="N423" s="106">
        <v>378712531.68367338</v>
      </c>
      <c r="O423" s="106">
        <v>547575238.5364567</v>
      </c>
      <c r="P423" s="106">
        <v>802031220.90419698</v>
      </c>
      <c r="Q423" s="106">
        <v>1073638469.3769649</v>
      </c>
      <c r="R423" s="106">
        <v>1160588482.4959898</v>
      </c>
      <c r="S423" s="105">
        <v>0</v>
      </c>
      <c r="T423" s="105">
        <v>0</v>
      </c>
      <c r="U423" s="105">
        <v>0</v>
      </c>
      <c r="V423" s="105">
        <v>0</v>
      </c>
      <c r="W423" s="105">
        <v>0</v>
      </c>
      <c r="X423" s="105">
        <v>0</v>
      </c>
      <c r="Y423" s="106">
        <v>10164588.536631759</v>
      </c>
      <c r="Z423" s="106">
        <v>11064847.920323914</v>
      </c>
      <c r="AA423" s="106">
        <v>12471349.810154131</v>
      </c>
      <c r="AB423" s="108">
        <v>14752184.179805288</v>
      </c>
      <c r="AC423" s="108">
        <v>16711745.32751422</v>
      </c>
      <c r="AD423" s="108">
        <v>18476560.749506451</v>
      </c>
      <c r="AE423" s="108">
        <v>270999402.16492373</v>
      </c>
      <c r="AF423" s="108">
        <v>314214727.33087081</v>
      </c>
      <c r="AG423" s="108">
        <v>438556707.27176887</v>
      </c>
      <c r="AH423" s="108">
        <v>628627425.10709167</v>
      </c>
      <c r="AI423" s="108">
        <v>157082333.40870366</v>
      </c>
      <c r="AJ423" s="108">
        <v>950937863.68618488</v>
      </c>
      <c r="AK423" s="108">
        <v>155088555.92270312</v>
      </c>
      <c r="AL423" s="108">
        <v>187346546.7511268</v>
      </c>
      <c r="AM423" s="108">
        <v>277438869.14487714</v>
      </c>
      <c r="AN423" s="108">
        <v>416073666.84486467</v>
      </c>
      <c r="AO423" s="108">
        <v>577232094.5858835</v>
      </c>
      <c r="AP423" s="108">
        <v>638808176.02106702</v>
      </c>
      <c r="AQ423" s="108">
        <v>17774944.561064817</v>
      </c>
      <c r="AR423" s="108">
        <v>21679416.484784473</v>
      </c>
      <c r="AS423" s="108">
        <v>30785363.524750125</v>
      </c>
      <c r="AT423" s="108">
        <v>41617514.642978549</v>
      </c>
      <c r="AU423" s="108">
        <v>59103939.954985797</v>
      </c>
      <c r="AV423" s="108">
        <v>70772720.955892965</v>
      </c>
    </row>
    <row r="424" spans="1:48" x14ac:dyDescent="0.35">
      <c r="A424" s="107">
        <f xml:space="preserve"> ROW( slrImpacts[[#This Row],[row_id]] ) - ROW( slrImpacts[[#Headers],[row_id]] )</f>
        <v>423</v>
      </c>
      <c r="B424" s="104">
        <v>2018</v>
      </c>
      <c r="C424" s="104" t="s">
        <v>221</v>
      </c>
      <c r="D424" s="104" t="s">
        <v>88</v>
      </c>
      <c r="E424" s="104" t="s">
        <v>922</v>
      </c>
      <c r="F424" s="104"/>
      <c r="G424" s="105">
        <v>0</v>
      </c>
      <c r="H424" s="105">
        <v>0</v>
      </c>
      <c r="I424" s="105">
        <v>0</v>
      </c>
      <c r="J424" s="105">
        <v>0</v>
      </c>
      <c r="K424" s="105">
        <v>0</v>
      </c>
      <c r="L424" s="105">
        <v>0</v>
      </c>
      <c r="M424" s="106">
        <v>344943334.52672738</v>
      </c>
      <c r="N424" s="106">
        <v>400872900.56839246</v>
      </c>
      <c r="O424" s="106">
        <v>593324361.48528206</v>
      </c>
      <c r="P424" s="106">
        <v>888498563.20829988</v>
      </c>
      <c r="Q424" s="106">
        <v>1210645564.8215721</v>
      </c>
      <c r="R424" s="106">
        <v>1322532283.5632372</v>
      </c>
      <c r="S424" s="105">
        <v>0</v>
      </c>
      <c r="T424" s="105">
        <v>0</v>
      </c>
      <c r="U424" s="105">
        <v>0</v>
      </c>
      <c r="V424" s="105">
        <v>0</v>
      </c>
      <c r="W424" s="105">
        <v>0</v>
      </c>
      <c r="X424" s="105">
        <v>0</v>
      </c>
      <c r="Y424" s="106">
        <v>10421301.253427865</v>
      </c>
      <c r="Z424" s="106">
        <v>11392333.362222727</v>
      </c>
      <c r="AA424" s="106">
        <v>12950793.597864332</v>
      </c>
      <c r="AB424" s="108">
        <v>15444165.624544511</v>
      </c>
      <c r="AC424" s="108">
        <v>17695846.911235381</v>
      </c>
      <c r="AD424" s="108">
        <v>19783024.246589188</v>
      </c>
      <c r="AE424" s="108">
        <v>292918947.82025748</v>
      </c>
      <c r="AF424" s="108">
        <v>343731797.75610989</v>
      </c>
      <c r="AG424" s="108">
        <v>491568509.30240828</v>
      </c>
      <c r="AH424" s="108">
        <v>723320160.67447114</v>
      </c>
      <c r="AI424" s="108">
        <v>185233906.64923522</v>
      </c>
      <c r="AJ424" s="108">
        <v>1142796880.843776</v>
      </c>
      <c r="AK424" s="108">
        <v>170426277.55936092</v>
      </c>
      <c r="AL424" s="108">
        <v>209356018.13728249</v>
      </c>
      <c r="AM424" s="108">
        <v>318681953.57239693</v>
      </c>
      <c r="AN424" s="108">
        <v>487255761.70084566</v>
      </c>
      <c r="AO424" s="108">
        <v>692080256.29396951</v>
      </c>
      <c r="AP424" s="108">
        <v>778994163.4130044</v>
      </c>
      <c r="AQ424" s="108">
        <v>18741737.230532154</v>
      </c>
      <c r="AR424" s="108">
        <v>23285286.70492924</v>
      </c>
      <c r="AS424" s="108">
        <v>33500633.299519151</v>
      </c>
      <c r="AT424" s="108">
        <v>45925888.808338515</v>
      </c>
      <c r="AU424" s="108">
        <v>66768831.44089216</v>
      </c>
      <c r="AV424" s="108">
        <v>81682201.617701098</v>
      </c>
    </row>
    <row r="425" spans="1:48" x14ac:dyDescent="0.35">
      <c r="A425" s="107">
        <f xml:space="preserve"> ROW( slrImpacts[[#This Row],[row_id]] ) - ROW( slrImpacts[[#Headers],[row_id]] )</f>
        <v>424</v>
      </c>
      <c r="B425" s="104">
        <v>2019</v>
      </c>
      <c r="C425" s="104" t="s">
        <v>221</v>
      </c>
      <c r="D425" s="104" t="s">
        <v>88</v>
      </c>
      <c r="E425" s="104" t="s">
        <v>922</v>
      </c>
      <c r="F425" s="104"/>
      <c r="G425" s="105">
        <v>0</v>
      </c>
      <c r="H425" s="105">
        <v>0</v>
      </c>
      <c r="I425" s="105">
        <v>0</v>
      </c>
      <c r="J425" s="105">
        <v>0</v>
      </c>
      <c r="K425" s="105">
        <v>0</v>
      </c>
      <c r="L425" s="105">
        <v>0</v>
      </c>
      <c r="M425" s="106">
        <v>362050943.11568058</v>
      </c>
      <c r="N425" s="106">
        <v>424388280.79692405</v>
      </c>
      <c r="O425" s="106">
        <v>643232463.32971013</v>
      </c>
      <c r="P425" s="106">
        <v>984975322.64649534</v>
      </c>
      <c r="Q425" s="106">
        <v>1366997302.0536563</v>
      </c>
      <c r="R425" s="106">
        <v>1511796458.508229</v>
      </c>
      <c r="S425" s="105">
        <v>0</v>
      </c>
      <c r="T425" s="105">
        <v>0</v>
      </c>
      <c r="U425" s="105">
        <v>0</v>
      </c>
      <c r="V425" s="105">
        <v>0</v>
      </c>
      <c r="W425" s="105">
        <v>0</v>
      </c>
      <c r="X425" s="105">
        <v>0</v>
      </c>
      <c r="Y425" s="106">
        <v>10683354.674804399</v>
      </c>
      <c r="Z425" s="106">
        <v>11728461.087317312</v>
      </c>
      <c r="AA425" s="106">
        <v>13450188.423731752</v>
      </c>
      <c r="AB425" s="108">
        <v>16181617.522195924</v>
      </c>
      <c r="AC425" s="108">
        <v>18784853.434998192</v>
      </c>
      <c r="AD425" s="108">
        <v>21260264.061302043</v>
      </c>
      <c r="AE425" s="108">
        <v>316862888.02498871</v>
      </c>
      <c r="AF425" s="108">
        <v>376805100.12493449</v>
      </c>
      <c r="AG425" s="108">
        <v>552214801.07087278</v>
      </c>
      <c r="AH425" s="108">
        <v>835236742.47130609</v>
      </c>
      <c r="AI425" s="108">
        <v>219730914.81947863</v>
      </c>
      <c r="AJ425" s="108">
        <v>1383741520.0872064</v>
      </c>
      <c r="AK425" s="108">
        <v>187465881.16581857</v>
      </c>
      <c r="AL425" s="108">
        <v>234100677.82324848</v>
      </c>
      <c r="AM425" s="108">
        <v>366402159.52058953</v>
      </c>
      <c r="AN425" s="108">
        <v>572039426.47978306</v>
      </c>
      <c r="AO425" s="108">
        <v>833902559.91476846</v>
      </c>
      <c r="AP425" s="108">
        <v>954815597.79653299</v>
      </c>
      <c r="AQ425" s="108">
        <v>19788530.855414163</v>
      </c>
      <c r="AR425" s="108">
        <v>24956434.795142904</v>
      </c>
      <c r="AS425" s="108">
        <v>36470914.254169174</v>
      </c>
      <c r="AT425" s="108">
        <v>50842073.971412137</v>
      </c>
      <c r="AU425" s="108">
        <v>75676843.027368873</v>
      </c>
      <c r="AV425" s="108">
        <v>94466234.818202391</v>
      </c>
    </row>
    <row r="426" spans="1:48" x14ac:dyDescent="0.35">
      <c r="A426" s="107">
        <f xml:space="preserve"> ROW( slrImpacts[[#This Row],[row_id]] ) - ROW( slrImpacts[[#Headers],[row_id]] )</f>
        <v>425</v>
      </c>
      <c r="B426" s="104">
        <v>2020</v>
      </c>
      <c r="C426" s="104" t="s">
        <v>221</v>
      </c>
      <c r="D426" s="104" t="s">
        <v>88</v>
      </c>
      <c r="E426" s="104" t="s">
        <v>922</v>
      </c>
      <c r="F426" s="104"/>
      <c r="G426" s="105">
        <v>0</v>
      </c>
      <c r="H426" s="105">
        <v>0</v>
      </c>
      <c r="I426" s="105">
        <v>0</v>
      </c>
      <c r="J426" s="105">
        <v>0</v>
      </c>
      <c r="K426" s="105">
        <v>0</v>
      </c>
      <c r="L426" s="105">
        <v>0</v>
      </c>
      <c r="M426" s="106">
        <v>379961513.66743392</v>
      </c>
      <c r="N426" s="106">
        <v>449297031.5410108</v>
      </c>
      <c r="O426" s="106">
        <v>697497887.38954687</v>
      </c>
      <c r="P426" s="106">
        <v>1092245822.0568359</v>
      </c>
      <c r="Q426" s="106">
        <v>1544951989.8793802</v>
      </c>
      <c r="R426" s="106">
        <v>1732188005.5248222</v>
      </c>
      <c r="S426" s="105">
        <v>0</v>
      </c>
      <c r="T426" s="105">
        <v>0</v>
      </c>
      <c r="U426" s="105">
        <v>0</v>
      </c>
      <c r="V426" s="105">
        <v>0</v>
      </c>
      <c r="W426" s="105">
        <v>0</v>
      </c>
      <c r="X426" s="105">
        <v>0</v>
      </c>
      <c r="Y426" s="106">
        <v>10950698.54304307</v>
      </c>
      <c r="Z426" s="106">
        <v>12076142.958061388</v>
      </c>
      <c r="AA426" s="106">
        <v>13975141.198903663</v>
      </c>
      <c r="AB426" s="108">
        <v>16970820.71251573</v>
      </c>
      <c r="AC426" s="108">
        <v>19986658.069304131</v>
      </c>
      <c r="AD426" s="108">
        <v>22933903.169215616</v>
      </c>
      <c r="AE426" s="108">
        <v>343382966.02033091</v>
      </c>
      <c r="AF426" s="108">
        <v>413939226.36273432</v>
      </c>
      <c r="AG426" s="108">
        <v>621674847.61393201</v>
      </c>
      <c r="AH426" s="108">
        <v>967401265.4710623</v>
      </c>
      <c r="AI426" s="108">
        <v>261870509.91095522</v>
      </c>
      <c r="AJ426" s="108">
        <v>1683723945.8564506</v>
      </c>
      <c r="AK426" s="108">
        <v>206075323.79629344</v>
      </c>
      <c r="AL426" s="108">
        <v>261767499.18073171</v>
      </c>
      <c r="AM426" s="108">
        <v>421432236.4332124</v>
      </c>
      <c r="AN426" s="108">
        <v>671759386.63186169</v>
      </c>
      <c r="AO426" s="108">
        <v>1006276280.2852772</v>
      </c>
      <c r="AP426" s="108">
        <v>1172504179.0773869</v>
      </c>
      <c r="AQ426" s="108">
        <v>20899644.034365248</v>
      </c>
      <c r="AR426" s="108">
        <v>26703735.611316752</v>
      </c>
      <c r="AS426" s="108">
        <v>39700441.876176707</v>
      </c>
      <c r="AT426" s="108">
        <v>56421244.065575577</v>
      </c>
      <c r="AU426" s="108">
        <v>85909752.603472918</v>
      </c>
      <c r="AV426" s="108">
        <v>109349130.390908</v>
      </c>
    </row>
    <row r="427" spans="1:48" x14ac:dyDescent="0.35">
      <c r="A427" s="107">
        <f xml:space="preserve"> ROW( slrImpacts[[#This Row],[row_id]] ) - ROW( slrImpacts[[#Headers],[row_id]] )</f>
        <v>426</v>
      </c>
      <c r="B427" s="104">
        <v>2021</v>
      </c>
      <c r="C427" s="104" t="s">
        <v>221</v>
      </c>
      <c r="D427" s="104" t="s">
        <v>88</v>
      </c>
      <c r="E427" s="104" t="s">
        <v>922</v>
      </c>
      <c r="F427" s="104"/>
      <c r="G427" s="105">
        <v>0</v>
      </c>
      <c r="H427" s="105">
        <v>0</v>
      </c>
      <c r="I427" s="105">
        <v>0</v>
      </c>
      <c r="J427" s="105">
        <v>0</v>
      </c>
      <c r="K427" s="105">
        <v>0</v>
      </c>
      <c r="L427" s="105">
        <v>0</v>
      </c>
      <c r="M427" s="106">
        <v>398721682.29340267</v>
      </c>
      <c r="N427" s="106">
        <v>475678550.82985795</v>
      </c>
      <c r="O427" s="106">
        <v>756483451.32627976</v>
      </c>
      <c r="P427" s="106">
        <v>1211440938.4940944</v>
      </c>
      <c r="Q427" s="106">
        <v>1746854119.8907416</v>
      </c>
      <c r="R427" s="106">
        <v>1987948207.4290178</v>
      </c>
      <c r="S427" s="105">
        <v>0</v>
      </c>
      <c r="T427" s="105">
        <v>0</v>
      </c>
      <c r="U427" s="105">
        <v>0</v>
      </c>
      <c r="V427" s="105">
        <v>0</v>
      </c>
      <c r="W427" s="105">
        <v>0</v>
      </c>
      <c r="X427" s="105">
        <v>0</v>
      </c>
      <c r="Y427" s="106">
        <v>11220031.224311806</v>
      </c>
      <c r="Z427" s="106">
        <v>12430743.921073126</v>
      </c>
      <c r="AA427" s="106">
        <v>14523651.387354502</v>
      </c>
      <c r="AB427" s="108">
        <v>17811007.29852657</v>
      </c>
      <c r="AC427" s="108">
        <v>21314062.908134911</v>
      </c>
      <c r="AD427" s="108">
        <v>24814143.813082278</v>
      </c>
      <c r="AE427" s="108">
        <v>372799835.93526942</v>
      </c>
      <c r="AF427" s="108">
        <v>455563826.75340152</v>
      </c>
      <c r="AG427" s="108">
        <v>701084179.4512676</v>
      </c>
      <c r="AH427" s="108">
        <v>1122416548.4891896</v>
      </c>
      <c r="AI427" s="108">
        <v>313082200.7606914</v>
      </c>
      <c r="AJ427" s="108">
        <v>2053968545.4207292</v>
      </c>
      <c r="AK427" s="108">
        <v>226677953.91995892</v>
      </c>
      <c r="AL427" s="108">
        <v>292941205.14268529</v>
      </c>
      <c r="AM427" s="108">
        <v>485285731.26328737</v>
      </c>
      <c r="AN427" s="108">
        <v>789728403.04950416</v>
      </c>
      <c r="AO427" s="108">
        <v>1216199231.4477177</v>
      </c>
      <c r="AP427" s="108">
        <v>1441280500.8398671</v>
      </c>
      <c r="AQ427" s="108">
        <v>22093932.885989793</v>
      </c>
      <c r="AR427" s="108">
        <v>28519446.616610721</v>
      </c>
      <c r="AS427" s="108">
        <v>43223461.191055365</v>
      </c>
      <c r="AT427" s="108">
        <v>62751198.141397074</v>
      </c>
      <c r="AU427" s="108">
        <v>97673075.705944762</v>
      </c>
      <c r="AV427" s="108">
        <v>126643992.19650632</v>
      </c>
    </row>
    <row r="428" spans="1:48" x14ac:dyDescent="0.35">
      <c r="A428" s="107">
        <f xml:space="preserve"> ROW( slrImpacts[[#This Row],[row_id]] ) - ROW( slrImpacts[[#Headers],[row_id]] )</f>
        <v>427</v>
      </c>
      <c r="B428" s="104">
        <v>2022</v>
      </c>
      <c r="C428" s="104" t="s">
        <v>221</v>
      </c>
      <c r="D428" s="104" t="s">
        <v>88</v>
      </c>
      <c r="E428" s="104" t="s">
        <v>922</v>
      </c>
      <c r="F428" s="104"/>
      <c r="G428" s="105">
        <v>0</v>
      </c>
      <c r="H428" s="105">
        <v>0</v>
      </c>
      <c r="I428" s="105">
        <v>0</v>
      </c>
      <c r="J428" s="105">
        <v>0</v>
      </c>
      <c r="K428" s="105">
        <v>0</v>
      </c>
      <c r="L428" s="105">
        <v>0</v>
      </c>
      <c r="M428" s="106">
        <v>418324188.88719732</v>
      </c>
      <c r="N428" s="106">
        <v>503588414.89077246</v>
      </c>
      <c r="O428" s="106">
        <v>820525627.25498092</v>
      </c>
      <c r="P428" s="106">
        <v>1343638389.6513219</v>
      </c>
      <c r="Q428" s="106">
        <v>1975486630.8960631</v>
      </c>
      <c r="R428" s="106">
        <v>2283411593.1820564</v>
      </c>
      <c r="S428" s="105">
        <v>0</v>
      </c>
      <c r="T428" s="105">
        <v>0</v>
      </c>
      <c r="U428" s="105">
        <v>0</v>
      </c>
      <c r="V428" s="105">
        <v>0</v>
      </c>
      <c r="W428" s="105">
        <v>0</v>
      </c>
      <c r="X428" s="105">
        <v>0</v>
      </c>
      <c r="Y428" s="106">
        <v>11492450.194937669</v>
      </c>
      <c r="Z428" s="106">
        <v>12797383.279903976</v>
      </c>
      <c r="AA428" s="106">
        <v>15099011.134161213</v>
      </c>
      <c r="AB428" s="108">
        <v>18711090.537200309</v>
      </c>
      <c r="AC428" s="108">
        <v>22782190.611142978</v>
      </c>
      <c r="AD428" s="108">
        <v>26930244.752382204</v>
      </c>
      <c r="AE428" s="108">
        <v>405580210.79431564</v>
      </c>
      <c r="AF428" s="108">
        <v>502448494.98163879</v>
      </c>
      <c r="AG428" s="108">
        <v>792153898.49148011</v>
      </c>
      <c r="AH428" s="108">
        <v>1304406939.4544666</v>
      </c>
      <c r="AI428" s="108">
        <v>374968612.92658275</v>
      </c>
      <c r="AJ428" s="108">
        <v>2507248807.1799655</v>
      </c>
      <c r="AK428" s="108">
        <v>249464616.87397528</v>
      </c>
      <c r="AL428" s="108">
        <v>327943553.70847142</v>
      </c>
      <c r="AM428" s="108">
        <v>559299986.85904872</v>
      </c>
      <c r="AN428" s="108">
        <v>928250776.49176276</v>
      </c>
      <c r="AO428" s="108">
        <v>1469021907.729275</v>
      </c>
      <c r="AP428" s="108">
        <v>1770007258.4833605</v>
      </c>
      <c r="AQ428" s="108">
        <v>23358731.069324013</v>
      </c>
      <c r="AR428" s="108">
        <v>30414555.345083944</v>
      </c>
      <c r="AS428" s="108">
        <v>47039682.720227882</v>
      </c>
      <c r="AT428" s="108">
        <v>69898917.77358067</v>
      </c>
      <c r="AU428" s="108">
        <v>111072293.01547956</v>
      </c>
      <c r="AV428" s="108">
        <v>146621800.88677767</v>
      </c>
    </row>
    <row r="429" spans="1:48" x14ac:dyDescent="0.35">
      <c r="A429" s="107">
        <f xml:space="preserve"> ROW( slrImpacts[[#This Row],[row_id]] ) - ROW( slrImpacts[[#Headers],[row_id]] )</f>
        <v>428</v>
      </c>
      <c r="B429" s="104">
        <v>2023</v>
      </c>
      <c r="C429" s="104" t="s">
        <v>221</v>
      </c>
      <c r="D429" s="104" t="s">
        <v>88</v>
      </c>
      <c r="E429" s="104" t="s">
        <v>922</v>
      </c>
      <c r="F429" s="104"/>
      <c r="G429" s="105">
        <v>0</v>
      </c>
      <c r="H429" s="105">
        <v>0</v>
      </c>
      <c r="I429" s="105">
        <v>0</v>
      </c>
      <c r="J429" s="105">
        <v>0</v>
      </c>
      <c r="K429" s="105">
        <v>0</v>
      </c>
      <c r="L429" s="105">
        <v>0</v>
      </c>
      <c r="M429" s="106">
        <v>438834335.28897101</v>
      </c>
      <c r="N429" s="106">
        <v>533107702.66194451</v>
      </c>
      <c r="O429" s="106">
        <v>890127177.74951637</v>
      </c>
      <c r="P429" s="106">
        <v>1490304775.3595941</v>
      </c>
      <c r="Q429" s="106">
        <v>2233759770.8553047</v>
      </c>
      <c r="R429" s="106">
        <v>2623477923.992384</v>
      </c>
      <c r="S429" s="105">
        <v>0</v>
      </c>
      <c r="T429" s="105">
        <v>0</v>
      </c>
      <c r="U429" s="105">
        <v>0</v>
      </c>
      <c r="V429" s="105">
        <v>0</v>
      </c>
      <c r="W429" s="105">
        <v>0</v>
      </c>
      <c r="X429" s="105">
        <v>0</v>
      </c>
      <c r="Y429" s="106">
        <v>11767563.303674273</v>
      </c>
      <c r="Z429" s="106">
        <v>13174897.577691535</v>
      </c>
      <c r="AA429" s="106">
        <v>15700743.666958461</v>
      </c>
      <c r="AB429" s="108">
        <v>19668925.963549968</v>
      </c>
      <c r="AC429" s="108">
        <v>24394266.414819896</v>
      </c>
      <c r="AD429" s="108">
        <v>29296036.246539883</v>
      </c>
      <c r="AE429" s="108">
        <v>441994498.67304033</v>
      </c>
      <c r="AF429" s="108">
        <v>555022812.56639469</v>
      </c>
      <c r="AG429" s="108">
        <v>896085221.79414248</v>
      </c>
      <c r="AH429" s="108">
        <v>1517204599.2791057</v>
      </c>
      <c r="AI429" s="108">
        <v>449235238.14917898</v>
      </c>
      <c r="AJ429" s="108">
        <v>3056516197.78124</v>
      </c>
      <c r="AK429" s="108">
        <v>274269287.41377616</v>
      </c>
      <c r="AL429" s="108">
        <v>366941680.8739711</v>
      </c>
      <c r="AM429" s="108">
        <v>644368010.77756584</v>
      </c>
      <c r="AN429" s="108">
        <v>1090335423.2529624</v>
      </c>
      <c r="AO429" s="108">
        <v>1772341008.4689515</v>
      </c>
      <c r="AP429" s="108">
        <v>2169158654.6302471</v>
      </c>
      <c r="AQ429" s="108">
        <v>24715845.031037401</v>
      </c>
      <c r="AR429" s="108">
        <v>32394346.531416025</v>
      </c>
      <c r="AS429" s="108">
        <v>51178245.967475943</v>
      </c>
      <c r="AT429" s="108">
        <v>77949512.773603112</v>
      </c>
      <c r="AU429" s="108">
        <v>126349504.30343476</v>
      </c>
      <c r="AV429" s="108">
        <v>169679969.2260401</v>
      </c>
    </row>
    <row r="430" spans="1:48" x14ac:dyDescent="0.35">
      <c r="A430" s="107">
        <f xml:space="preserve"> ROW( slrImpacts[[#This Row],[row_id]] ) - ROW( slrImpacts[[#Headers],[row_id]] )</f>
        <v>429</v>
      </c>
      <c r="B430" s="104">
        <v>2024</v>
      </c>
      <c r="C430" s="104" t="s">
        <v>221</v>
      </c>
      <c r="D430" s="104" t="s">
        <v>88</v>
      </c>
      <c r="E430" s="104" t="s">
        <v>922</v>
      </c>
      <c r="F430" s="104"/>
      <c r="G430" s="105">
        <v>0</v>
      </c>
      <c r="H430" s="105">
        <v>0</v>
      </c>
      <c r="I430" s="105">
        <v>0</v>
      </c>
      <c r="J430" s="105">
        <v>0</v>
      </c>
      <c r="K430" s="105">
        <v>0</v>
      </c>
      <c r="L430" s="105">
        <v>0</v>
      </c>
      <c r="M430" s="106">
        <v>460271508.69835776</v>
      </c>
      <c r="N430" s="106">
        <v>564284293.54193926</v>
      </c>
      <c r="O430" s="106">
        <v>965641605.85549068</v>
      </c>
      <c r="P430" s="106">
        <v>1652772127.7203817</v>
      </c>
      <c r="Q430" s="106">
        <v>2524996445.4227118</v>
      </c>
      <c r="R430" s="106">
        <v>3013330277.8476224</v>
      </c>
      <c r="S430" s="105">
        <v>0</v>
      </c>
      <c r="T430" s="105">
        <v>0</v>
      </c>
      <c r="U430" s="105">
        <v>0</v>
      </c>
      <c r="V430" s="105">
        <v>0</v>
      </c>
      <c r="W430" s="105">
        <v>0</v>
      </c>
      <c r="X430" s="105">
        <v>0</v>
      </c>
      <c r="Y430" s="106">
        <v>12050271.557780694</v>
      </c>
      <c r="Z430" s="106">
        <v>13561848.800242862</v>
      </c>
      <c r="AA430" s="106">
        <v>16330246.26467053</v>
      </c>
      <c r="AB430" s="108">
        <v>20686403.100633424</v>
      </c>
      <c r="AC430" s="108">
        <v>26160964.356494248</v>
      </c>
      <c r="AD430" s="108">
        <v>31936327.609760851</v>
      </c>
      <c r="AE430" s="108">
        <v>482028525.75078714</v>
      </c>
      <c r="AF430" s="108">
        <v>614559736.31786299</v>
      </c>
      <c r="AG430" s="108">
        <v>1015458198.9012994</v>
      </c>
      <c r="AH430" s="108">
        <v>1766513795.114007</v>
      </c>
      <c r="AI430" s="108">
        <v>537838515.07978499</v>
      </c>
      <c r="AJ430" s="108">
        <v>3714763620.1305685</v>
      </c>
      <c r="AK430" s="108">
        <v>301554089.38742006</v>
      </c>
      <c r="AL430" s="108">
        <v>410590973.38194489</v>
      </c>
      <c r="AM430" s="108">
        <v>742372794.55802798</v>
      </c>
      <c r="AN430" s="108">
        <v>1278788416.1590736</v>
      </c>
      <c r="AO430" s="108">
        <v>2133372820.8362362</v>
      </c>
      <c r="AP430" s="108">
        <v>2647934183.9869471</v>
      </c>
      <c r="AQ430" s="108">
        <v>26159144.267129425</v>
      </c>
      <c r="AR430" s="108">
        <v>34468966.993109003</v>
      </c>
      <c r="AS430" s="108">
        <v>55676989.879714444</v>
      </c>
      <c r="AT430" s="108">
        <v>86971042.238775954</v>
      </c>
      <c r="AU430" s="108">
        <v>143671312.45769817</v>
      </c>
      <c r="AV430" s="108">
        <v>196161156.42532763</v>
      </c>
    </row>
    <row r="431" spans="1:48" x14ac:dyDescent="0.35">
      <c r="A431" s="107">
        <f xml:space="preserve"> ROW( slrImpacts[[#This Row],[row_id]] ) - ROW( slrImpacts[[#Headers],[row_id]] )</f>
        <v>430</v>
      </c>
      <c r="B431" s="104">
        <v>2025</v>
      </c>
      <c r="C431" s="104" t="s">
        <v>221</v>
      </c>
      <c r="D431" s="104" t="s">
        <v>88</v>
      </c>
      <c r="E431" s="104" t="s">
        <v>922</v>
      </c>
      <c r="F431" s="104"/>
      <c r="G431" s="105">
        <v>0</v>
      </c>
      <c r="H431" s="105">
        <v>0</v>
      </c>
      <c r="I431" s="105">
        <v>0</v>
      </c>
      <c r="J431" s="105">
        <v>0</v>
      </c>
      <c r="K431" s="105">
        <v>0</v>
      </c>
      <c r="L431" s="105">
        <v>0</v>
      </c>
      <c r="M431" s="106">
        <v>482646315.83231461</v>
      </c>
      <c r="N431" s="106">
        <v>597045159.75716531</v>
      </c>
      <c r="O431" s="106">
        <v>1047161752.3115742</v>
      </c>
      <c r="P431" s="106">
        <v>1831950648.2601576</v>
      </c>
      <c r="Q431" s="106">
        <v>2851701861.3767333</v>
      </c>
      <c r="R431" s="106">
        <v>3456897623.1615868</v>
      </c>
      <c r="S431" s="105">
        <v>0</v>
      </c>
      <c r="T431" s="105">
        <v>0</v>
      </c>
      <c r="U431" s="105">
        <v>0</v>
      </c>
      <c r="V431" s="105">
        <v>0</v>
      </c>
      <c r="W431" s="105">
        <v>0</v>
      </c>
      <c r="X431" s="105">
        <v>0</v>
      </c>
      <c r="Y431" s="106">
        <v>12335726.397650223</v>
      </c>
      <c r="Z431" s="106">
        <v>13957600.669387214</v>
      </c>
      <c r="AA431" s="106">
        <v>16985867.698802553</v>
      </c>
      <c r="AB431" s="108">
        <v>21759691.260319781</v>
      </c>
      <c r="AC431" s="108">
        <v>28076692.063935734</v>
      </c>
      <c r="AD431" s="108">
        <v>34855275.30776123</v>
      </c>
      <c r="AE431" s="108">
        <v>526413000.2025367</v>
      </c>
      <c r="AF431" s="108">
        <v>681125298.24282193</v>
      </c>
      <c r="AG431" s="108">
        <v>1151532546.3910508</v>
      </c>
      <c r="AH431" s="108">
        <v>2054243484.9917312</v>
      </c>
      <c r="AI431" s="108">
        <v>642454062.32579589</v>
      </c>
      <c r="AJ431" s="108">
        <v>4495628454.5328512</v>
      </c>
      <c r="AK431" s="108">
        <v>331139472.82274973</v>
      </c>
      <c r="AL431" s="108">
        <v>459080979.05810308</v>
      </c>
      <c r="AM431" s="108">
        <v>852871902.61776865</v>
      </c>
      <c r="AN431" s="108">
        <v>1493417544.6784487</v>
      </c>
      <c r="AO431" s="108">
        <v>2552231034.9747276</v>
      </c>
      <c r="AP431" s="108">
        <v>3213523526.5530348</v>
      </c>
      <c r="AQ431" s="108">
        <v>27690688.408082396</v>
      </c>
      <c r="AR431" s="108">
        <v>36615490.401123822</v>
      </c>
      <c r="AS431" s="108">
        <v>60538658.142922468</v>
      </c>
      <c r="AT431" s="108">
        <v>97047939.348848656</v>
      </c>
      <c r="AU431" s="108">
        <v>163247541.41395435</v>
      </c>
      <c r="AV431" s="108">
        <v>226433795.01226377</v>
      </c>
    </row>
    <row r="432" spans="1:48" x14ac:dyDescent="0.35">
      <c r="A432" s="107">
        <f xml:space="preserve"> ROW( slrImpacts[[#This Row],[row_id]] ) - ROW( slrImpacts[[#Headers],[row_id]] )</f>
        <v>431</v>
      </c>
      <c r="B432" s="104">
        <v>2026</v>
      </c>
      <c r="C432" s="104" t="s">
        <v>221</v>
      </c>
      <c r="D432" s="104" t="s">
        <v>88</v>
      </c>
      <c r="E432" s="104" t="s">
        <v>922</v>
      </c>
      <c r="F432" s="104"/>
      <c r="G432" s="105">
        <v>0</v>
      </c>
      <c r="H432" s="105">
        <v>0</v>
      </c>
      <c r="I432" s="105">
        <v>0</v>
      </c>
      <c r="J432" s="105">
        <v>0</v>
      </c>
      <c r="K432" s="105">
        <v>0</v>
      </c>
      <c r="L432" s="105">
        <v>0</v>
      </c>
      <c r="M432" s="106">
        <v>505938312.92953891</v>
      </c>
      <c r="N432" s="106">
        <v>631662194.35724616</v>
      </c>
      <c r="O432" s="106">
        <v>1136226891.8783345</v>
      </c>
      <c r="P432" s="106">
        <v>2033040461.5255411</v>
      </c>
      <c r="Q432" s="106">
        <v>3229033466.1480379</v>
      </c>
      <c r="R432" s="106">
        <v>3977802869.5726328</v>
      </c>
      <c r="S432" s="105">
        <v>0</v>
      </c>
      <c r="T432" s="105">
        <v>0</v>
      </c>
      <c r="U432" s="105">
        <v>0</v>
      </c>
      <c r="V432" s="105">
        <v>0</v>
      </c>
      <c r="W432" s="105">
        <v>0</v>
      </c>
      <c r="X432" s="105">
        <v>0</v>
      </c>
      <c r="Y432" s="106">
        <v>12629679.404905487</v>
      </c>
      <c r="Z432" s="106">
        <v>14365321.143108625</v>
      </c>
      <c r="AA432" s="106">
        <v>17686680.354617618</v>
      </c>
      <c r="AB432" s="108">
        <v>22962025.876175627</v>
      </c>
      <c r="AC432" s="108">
        <v>30296809.138961639</v>
      </c>
      <c r="AD432" s="108">
        <v>38260446.683804579</v>
      </c>
      <c r="AE432" s="108">
        <v>576400798.55026925</v>
      </c>
      <c r="AF432" s="108">
        <v>755714004.19575715</v>
      </c>
      <c r="AG432" s="108">
        <v>1308667799.4463544</v>
      </c>
      <c r="AH432" s="108">
        <v>2392058422.6250796</v>
      </c>
      <c r="AI432" s="108">
        <v>768571962.07771242</v>
      </c>
      <c r="AJ432" s="108">
        <v>5426986956.0756273</v>
      </c>
      <c r="AK432" s="108">
        <v>364202908.64989573</v>
      </c>
      <c r="AL432" s="108">
        <v>512926420.83924353</v>
      </c>
      <c r="AM432" s="108">
        <v>979696936.56539047</v>
      </c>
      <c r="AN432" s="108">
        <v>1745407999.9782679</v>
      </c>
      <c r="AO432" s="108">
        <v>3051289357.4703193</v>
      </c>
      <c r="AP432" s="108">
        <v>3901082366.6263251</v>
      </c>
      <c r="AQ432" s="108">
        <v>29315881.013259046</v>
      </c>
      <c r="AR432" s="108">
        <v>38914842.415094487</v>
      </c>
      <c r="AS432" s="108">
        <v>66007596.830957942</v>
      </c>
      <c r="AT432" s="108">
        <v>108935413.47600234</v>
      </c>
      <c r="AU432" s="108">
        <v>187022021.54782969</v>
      </c>
      <c r="AV432" s="108">
        <v>263789714.03172335</v>
      </c>
    </row>
    <row r="433" spans="1:48" x14ac:dyDescent="0.35">
      <c r="A433" s="107">
        <f xml:space="preserve"> ROW( slrImpacts[[#This Row],[row_id]] ) - ROW( slrImpacts[[#Headers],[row_id]] )</f>
        <v>432</v>
      </c>
      <c r="B433" s="104">
        <v>2027</v>
      </c>
      <c r="C433" s="104" t="s">
        <v>221</v>
      </c>
      <c r="D433" s="104" t="s">
        <v>88</v>
      </c>
      <c r="E433" s="104" t="s">
        <v>922</v>
      </c>
      <c r="F433" s="104"/>
      <c r="G433" s="105">
        <v>0</v>
      </c>
      <c r="H433" s="105">
        <v>0</v>
      </c>
      <c r="I433" s="105">
        <v>0</v>
      </c>
      <c r="J433" s="105">
        <v>0</v>
      </c>
      <c r="K433" s="105">
        <v>0</v>
      </c>
      <c r="L433" s="105">
        <v>0</v>
      </c>
      <c r="M433" s="106">
        <v>530220584.10879201</v>
      </c>
      <c r="N433" s="106">
        <v>668236212.73465276</v>
      </c>
      <c r="O433" s="106">
        <v>1233070086.569757</v>
      </c>
      <c r="P433" s="106">
        <v>2257033585.7393703</v>
      </c>
      <c r="Q433" s="106">
        <v>3659167214.1364884</v>
      </c>
      <c r="R433" s="106">
        <v>4578243883.8129768</v>
      </c>
      <c r="S433" s="105">
        <v>0</v>
      </c>
      <c r="T433" s="105">
        <v>0</v>
      </c>
      <c r="U433" s="105">
        <v>0</v>
      </c>
      <c r="V433" s="105">
        <v>0</v>
      </c>
      <c r="W433" s="105">
        <v>0</v>
      </c>
      <c r="X433" s="105">
        <v>0</v>
      </c>
      <c r="Y433" s="106">
        <v>12930075.46315066</v>
      </c>
      <c r="Z433" s="106">
        <v>14779912.806373574</v>
      </c>
      <c r="AA433" s="106">
        <v>18426103.850110061</v>
      </c>
      <c r="AB433" s="108">
        <v>24285064.656093497</v>
      </c>
      <c r="AC433" s="108">
        <v>32799820.378522925</v>
      </c>
      <c r="AD433" s="108">
        <v>42112723.652620539</v>
      </c>
      <c r="AE433" s="108">
        <v>631962453.09567666</v>
      </c>
      <c r="AF433" s="108">
        <v>839254118.90135241</v>
      </c>
      <c r="AG433" s="108">
        <v>1490829379.5215802</v>
      </c>
      <c r="AH433" s="108">
        <v>2784348684.6069517</v>
      </c>
      <c r="AI433" s="108">
        <v>918230878.4372133</v>
      </c>
      <c r="AJ433" s="108">
        <v>6514687788.0520859</v>
      </c>
      <c r="AK433" s="108">
        <v>401107933.82702863</v>
      </c>
      <c r="AL433" s="108">
        <v>573144296.24345934</v>
      </c>
      <c r="AM433" s="108">
        <v>1124134412.0415554</v>
      </c>
      <c r="AN433" s="108">
        <v>2040647849.1569436</v>
      </c>
      <c r="AO433" s="108">
        <v>3634712882.7521691</v>
      </c>
      <c r="AP433" s="108">
        <v>4717126967.8528728</v>
      </c>
      <c r="AQ433" s="108">
        <v>31025499.771881178</v>
      </c>
      <c r="AR433" s="108">
        <v>41412881.742804125</v>
      </c>
      <c r="AS433" s="108">
        <v>72102699.092704624</v>
      </c>
      <c r="AT433" s="108">
        <v>122658862.81085914</v>
      </c>
      <c r="AU433" s="108">
        <v>215308348.64302835</v>
      </c>
      <c r="AV433" s="108">
        <v>308958579.14473015</v>
      </c>
    </row>
    <row r="434" spans="1:48" x14ac:dyDescent="0.35">
      <c r="A434" s="107">
        <f xml:space="preserve"> ROW( slrImpacts[[#This Row],[row_id]] ) - ROW( slrImpacts[[#Headers],[row_id]] )</f>
        <v>433</v>
      </c>
      <c r="B434" s="104">
        <v>2028</v>
      </c>
      <c r="C434" s="104" t="s">
        <v>221</v>
      </c>
      <c r="D434" s="104" t="s">
        <v>88</v>
      </c>
      <c r="E434" s="104" t="s">
        <v>922</v>
      </c>
      <c r="F434" s="104"/>
      <c r="G434" s="105">
        <v>0</v>
      </c>
      <c r="H434" s="105">
        <v>0</v>
      </c>
      <c r="I434" s="105">
        <v>0</v>
      </c>
      <c r="J434" s="105">
        <v>0</v>
      </c>
      <c r="K434" s="105">
        <v>0</v>
      </c>
      <c r="L434" s="105">
        <v>0</v>
      </c>
      <c r="M434" s="106">
        <v>555534538.88669026</v>
      </c>
      <c r="N434" s="106">
        <v>706879618.35572851</v>
      </c>
      <c r="O434" s="106">
        <v>1338402855.5645061</v>
      </c>
      <c r="P434" s="106">
        <v>2506132443.3161702</v>
      </c>
      <c r="Q434" s="106">
        <v>4146980438.6240249</v>
      </c>
      <c r="R434" s="106">
        <v>5264803291.9549894</v>
      </c>
      <c r="S434" s="105">
        <v>0</v>
      </c>
      <c r="T434" s="105">
        <v>0</v>
      </c>
      <c r="U434" s="105">
        <v>0</v>
      </c>
      <c r="V434" s="105">
        <v>0</v>
      </c>
      <c r="W434" s="105">
        <v>0</v>
      </c>
      <c r="X434" s="105">
        <v>0</v>
      </c>
      <c r="Y434" s="106">
        <v>13234274.319908848</v>
      </c>
      <c r="Z434" s="106">
        <v>15198932.197613049</v>
      </c>
      <c r="AA434" s="106">
        <v>19207792.374614324</v>
      </c>
      <c r="AB434" s="108">
        <v>25739365.191069651</v>
      </c>
      <c r="AC434" s="108">
        <v>35627245.10636013</v>
      </c>
      <c r="AD434" s="108">
        <v>46481556.384457551</v>
      </c>
      <c r="AE434" s="108">
        <v>693814381.24829471</v>
      </c>
      <c r="AF434" s="108">
        <v>932932338.59080315</v>
      </c>
      <c r="AG434" s="108">
        <v>1701596941.9753344</v>
      </c>
      <c r="AH434" s="108">
        <v>3237433623.8440933</v>
      </c>
      <c r="AI434" s="108">
        <v>1094556790.0338366</v>
      </c>
      <c r="AJ434" s="108">
        <v>7772643102.7146263</v>
      </c>
      <c r="AK434" s="108">
        <v>442325943.35101062</v>
      </c>
      <c r="AL434" s="108">
        <v>640243924.84511077</v>
      </c>
      <c r="AM434" s="108">
        <v>1288504613.6860595</v>
      </c>
      <c r="AN434" s="108">
        <v>2382368643.0286708</v>
      </c>
      <c r="AO434" s="108">
        <v>4311478476.900795</v>
      </c>
      <c r="AP434" s="108">
        <v>5675411595.2069054</v>
      </c>
      <c r="AQ434" s="108">
        <v>32817436.776809655</v>
      </c>
      <c r="AR434" s="108">
        <v>44111338.989248209</v>
      </c>
      <c r="AS434" s="108">
        <v>78884254.708561003</v>
      </c>
      <c r="AT434" s="108">
        <v>138383302.33537668</v>
      </c>
      <c r="AU434" s="108">
        <v>248699058.22799227</v>
      </c>
      <c r="AV434" s="108">
        <v>363005105.99559188</v>
      </c>
    </row>
    <row r="435" spans="1:48" x14ac:dyDescent="0.35">
      <c r="A435" s="107">
        <f xml:space="preserve"> ROW( slrImpacts[[#This Row],[row_id]] ) - ROW( slrImpacts[[#Headers],[row_id]] )</f>
        <v>434</v>
      </c>
      <c r="B435" s="104">
        <v>2029</v>
      </c>
      <c r="C435" s="104" t="s">
        <v>221</v>
      </c>
      <c r="D435" s="104" t="s">
        <v>88</v>
      </c>
      <c r="E435" s="104" t="s">
        <v>922</v>
      </c>
      <c r="F435" s="104"/>
      <c r="G435" s="105">
        <v>0</v>
      </c>
      <c r="H435" s="105">
        <v>0</v>
      </c>
      <c r="I435" s="105">
        <v>0</v>
      </c>
      <c r="J435" s="105">
        <v>0</v>
      </c>
      <c r="K435" s="105">
        <v>0</v>
      </c>
      <c r="L435" s="105">
        <v>0</v>
      </c>
      <c r="M435" s="106">
        <v>581961049.74224365</v>
      </c>
      <c r="N435" s="106">
        <v>747659669.48427296</v>
      </c>
      <c r="O435" s="106">
        <v>1452672014.7476437</v>
      </c>
      <c r="P435" s="106">
        <v>2782479087.4978871</v>
      </c>
      <c r="Q435" s="106">
        <v>4697704523.0656919</v>
      </c>
      <c r="R435" s="106">
        <v>6043926113.1673632</v>
      </c>
      <c r="S435" s="105">
        <v>0</v>
      </c>
      <c r="T435" s="105">
        <v>0</v>
      </c>
      <c r="U435" s="105">
        <v>0</v>
      </c>
      <c r="V435" s="105">
        <v>0</v>
      </c>
      <c r="W435" s="105">
        <v>0</v>
      </c>
      <c r="X435" s="105">
        <v>0</v>
      </c>
      <c r="Y435" s="106">
        <v>13540910.810928078</v>
      </c>
      <c r="Z435" s="106">
        <v>15625337.105449397</v>
      </c>
      <c r="AA435" s="106">
        <v>20032549.43670997</v>
      </c>
      <c r="AB435" s="108">
        <v>27338488.741606411</v>
      </c>
      <c r="AC435" s="108">
        <v>38806522.246438816</v>
      </c>
      <c r="AD435" s="108">
        <v>51413398.441933177</v>
      </c>
      <c r="AE435" s="108">
        <v>763409757.28380692</v>
      </c>
      <c r="AF435" s="108">
        <v>1037725062.8739829</v>
      </c>
      <c r="AG435" s="108">
        <v>1944923933.5189953</v>
      </c>
      <c r="AH435" s="108">
        <v>3760031470.1898232</v>
      </c>
      <c r="AI435" s="108">
        <v>1301206156.0435526</v>
      </c>
      <c r="AJ435" s="108">
        <v>9209266405.0823803</v>
      </c>
      <c r="AK435" s="108">
        <v>488203576.76302361</v>
      </c>
      <c r="AL435" s="108">
        <v>714759745.89528608</v>
      </c>
      <c r="AM435" s="108">
        <v>1474862282.7048535</v>
      </c>
      <c r="AN435" s="108">
        <v>2775330175.7836494</v>
      </c>
      <c r="AO435" s="108">
        <v>5092889828.9442997</v>
      </c>
      <c r="AP435" s="108">
        <v>6785242765.9451342</v>
      </c>
      <c r="AQ435" s="108">
        <v>34707464.087233044</v>
      </c>
      <c r="AR435" s="108">
        <v>47018229.458749227</v>
      </c>
      <c r="AS435" s="108">
        <v>86419626.725174233</v>
      </c>
      <c r="AT435" s="108">
        <v>156315283.50835776</v>
      </c>
      <c r="AU435" s="108">
        <v>287972685.76307392</v>
      </c>
      <c r="AV435" s="108">
        <v>427172806.28353477</v>
      </c>
    </row>
    <row r="436" spans="1:48" x14ac:dyDescent="0.35">
      <c r="A436" s="107">
        <f xml:space="preserve"> ROW( slrImpacts[[#This Row],[row_id]] ) - ROW( slrImpacts[[#Headers],[row_id]] )</f>
        <v>435</v>
      </c>
      <c r="B436" s="104">
        <v>2030</v>
      </c>
      <c r="C436" s="104" t="s">
        <v>221</v>
      </c>
      <c r="D436" s="104" t="s">
        <v>88</v>
      </c>
      <c r="E436" s="104" t="s">
        <v>922</v>
      </c>
      <c r="F436" s="104"/>
      <c r="G436" s="105">
        <v>0</v>
      </c>
      <c r="H436" s="105">
        <v>0</v>
      </c>
      <c r="I436" s="105">
        <v>0</v>
      </c>
      <c r="J436" s="105">
        <v>0</v>
      </c>
      <c r="K436" s="105">
        <v>0</v>
      </c>
      <c r="L436" s="105">
        <v>0</v>
      </c>
      <c r="M436" s="106">
        <v>609507685.48622596</v>
      </c>
      <c r="N436" s="106">
        <v>790734551.62014019</v>
      </c>
      <c r="O436" s="106">
        <v>1576422459.397449</v>
      </c>
      <c r="P436" s="106">
        <v>3088232322.468349</v>
      </c>
      <c r="Q436" s="106">
        <v>5315705348.6126518</v>
      </c>
      <c r="R436" s="106">
        <v>6920557733.1147242</v>
      </c>
      <c r="S436" s="105">
        <v>0</v>
      </c>
      <c r="T436" s="105">
        <v>0</v>
      </c>
      <c r="U436" s="105">
        <v>0</v>
      </c>
      <c r="V436" s="105">
        <v>0</v>
      </c>
      <c r="W436" s="105">
        <v>0</v>
      </c>
      <c r="X436" s="105">
        <v>0</v>
      </c>
      <c r="Y436" s="106">
        <v>13852542.629724409</v>
      </c>
      <c r="Z436" s="106">
        <v>16059545.198186617</v>
      </c>
      <c r="AA436" s="106">
        <v>20906338.952374455</v>
      </c>
      <c r="AB436" s="108">
        <v>29090918.070034355</v>
      </c>
      <c r="AC436" s="108">
        <v>42372956.989628807</v>
      </c>
      <c r="AD436" s="108">
        <v>56979248.563894503</v>
      </c>
      <c r="AE436" s="108">
        <v>840988348.84067535</v>
      </c>
      <c r="AF436" s="108">
        <v>1154995581.1158962</v>
      </c>
      <c r="AG436" s="108">
        <v>2224936528.2450943</v>
      </c>
      <c r="AH436" s="108">
        <v>4355738132.2682981</v>
      </c>
      <c r="AI436" s="108">
        <v>1541836076.8521326</v>
      </c>
      <c r="AJ436" s="108">
        <v>10832868139.750038</v>
      </c>
      <c r="AK436" s="108">
        <v>539381006.17791259</v>
      </c>
      <c r="AL436" s="108">
        <v>797922449.49379432</v>
      </c>
      <c r="AM436" s="108">
        <v>1685266914.9280121</v>
      </c>
      <c r="AN436" s="108">
        <v>3227778972.9199662</v>
      </c>
      <c r="AO436" s="108">
        <v>5983419284.4810467</v>
      </c>
      <c r="AP436" s="108">
        <v>8046626609.1929436</v>
      </c>
      <c r="AQ436" s="108">
        <v>36674125.935068794</v>
      </c>
      <c r="AR436" s="108">
        <v>50175014.530174166</v>
      </c>
      <c r="AS436" s="108">
        <v>94747489.775058284</v>
      </c>
      <c r="AT436" s="108">
        <v>176760213.69119287</v>
      </c>
      <c r="AU436" s="108">
        <v>333822363.47029829</v>
      </c>
      <c r="AV436" s="108">
        <v>502991664.19110668</v>
      </c>
    </row>
    <row r="437" spans="1:48" x14ac:dyDescent="0.35">
      <c r="A437" s="107">
        <f xml:space="preserve"> ROW( slrImpacts[[#This Row],[row_id]] ) - ROW( slrImpacts[[#Headers],[row_id]] )</f>
        <v>436</v>
      </c>
      <c r="B437" s="104">
        <v>2031</v>
      </c>
      <c r="C437" s="104" t="s">
        <v>221</v>
      </c>
      <c r="D437" s="104" t="s">
        <v>88</v>
      </c>
      <c r="E437" s="104" t="s">
        <v>922</v>
      </c>
      <c r="F437" s="104"/>
      <c r="G437" s="105">
        <v>0</v>
      </c>
      <c r="H437" s="105">
        <v>0</v>
      </c>
      <c r="I437" s="105">
        <v>0</v>
      </c>
      <c r="J437" s="105">
        <v>0</v>
      </c>
      <c r="K437" s="105">
        <v>0</v>
      </c>
      <c r="L437" s="105">
        <v>0</v>
      </c>
      <c r="M437" s="106">
        <v>638261725.22796631</v>
      </c>
      <c r="N437" s="106">
        <v>836268630.3686403</v>
      </c>
      <c r="O437" s="106">
        <v>1710594140.514909</v>
      </c>
      <c r="P437" s="106">
        <v>3425988955.1185718</v>
      </c>
      <c r="Q437" s="106">
        <v>6005635648.038661</v>
      </c>
      <c r="R437" s="106">
        <v>7899359684.8305769</v>
      </c>
      <c r="S437" s="105">
        <v>0</v>
      </c>
      <c r="T437" s="105">
        <v>0</v>
      </c>
      <c r="U437" s="105">
        <v>0</v>
      </c>
      <c r="V437" s="105">
        <v>0</v>
      </c>
      <c r="W437" s="105">
        <v>0</v>
      </c>
      <c r="X437" s="105">
        <v>0</v>
      </c>
      <c r="Y437" s="106">
        <v>14167308.48062234</v>
      </c>
      <c r="Z437" s="106">
        <v>16497635.233654592</v>
      </c>
      <c r="AA437" s="106">
        <v>21825792.187730804</v>
      </c>
      <c r="AB437" s="108">
        <v>31004613.004955739</v>
      </c>
      <c r="AC437" s="108">
        <v>46362572.668198101</v>
      </c>
      <c r="AD437" s="108">
        <v>63233102.332969651</v>
      </c>
      <c r="AE437" s="108">
        <v>927358518.14255917</v>
      </c>
      <c r="AF437" s="108">
        <v>1285831120.3348451</v>
      </c>
      <c r="AG437" s="108">
        <v>2546002878.5893273</v>
      </c>
      <c r="AH437" s="108">
        <v>5029670378.7105684</v>
      </c>
      <c r="AI437" s="108">
        <v>1820351341.1373115</v>
      </c>
      <c r="AJ437" s="108">
        <v>12646332445.55378</v>
      </c>
      <c r="AK437" s="108">
        <v>596972783.12272608</v>
      </c>
      <c r="AL437" s="108">
        <v>890039599.3947916</v>
      </c>
      <c r="AM437" s="108">
        <v>1922752514.2243512</v>
      </c>
      <c r="AN437" s="108">
        <v>3743705413.602735</v>
      </c>
      <c r="AO437" s="108">
        <v>6990014161.5028152</v>
      </c>
      <c r="AP437" s="108">
        <v>9465967657.487421</v>
      </c>
      <c r="AQ437" s="108">
        <v>38728057.165131755</v>
      </c>
      <c r="AR437" s="108">
        <v>53579298.03371644</v>
      </c>
      <c r="AS437" s="108">
        <v>103921003.93200298</v>
      </c>
      <c r="AT437" s="108">
        <v>199970304.71549395</v>
      </c>
      <c r="AU437" s="108">
        <v>386993980.96887749</v>
      </c>
      <c r="AV437" s="108">
        <v>591972499.57483327</v>
      </c>
    </row>
    <row r="438" spans="1:48" x14ac:dyDescent="0.35">
      <c r="A438" s="107">
        <f xml:space="preserve"> ROW( slrImpacts[[#This Row],[row_id]] ) - ROW( slrImpacts[[#Headers],[row_id]] )</f>
        <v>437</v>
      </c>
      <c r="B438" s="104">
        <v>2032</v>
      </c>
      <c r="C438" s="104" t="s">
        <v>221</v>
      </c>
      <c r="D438" s="104" t="s">
        <v>88</v>
      </c>
      <c r="E438" s="104" t="s">
        <v>922</v>
      </c>
      <c r="F438" s="104"/>
      <c r="G438" s="105">
        <v>0</v>
      </c>
      <c r="H438" s="105">
        <v>0</v>
      </c>
      <c r="I438" s="105">
        <v>0</v>
      </c>
      <c r="J438" s="105">
        <v>0</v>
      </c>
      <c r="K438" s="105">
        <v>0</v>
      </c>
      <c r="L438" s="105">
        <v>0</v>
      </c>
      <c r="M438" s="106">
        <v>668305154.14350557</v>
      </c>
      <c r="N438" s="106">
        <v>884413771.18436742</v>
      </c>
      <c r="O438" s="106">
        <v>1855941356.9916332</v>
      </c>
      <c r="P438" s="106">
        <v>3798269815.7022977</v>
      </c>
      <c r="Q438" s="106">
        <v>6771544160.355504</v>
      </c>
      <c r="R438" s="106">
        <v>8984890594.1858406</v>
      </c>
      <c r="S438" s="105">
        <v>0</v>
      </c>
      <c r="T438" s="105">
        <v>0</v>
      </c>
      <c r="U438" s="105">
        <v>0</v>
      </c>
      <c r="V438" s="105">
        <v>0</v>
      </c>
      <c r="W438" s="105">
        <v>0</v>
      </c>
      <c r="X438" s="105">
        <v>0</v>
      </c>
      <c r="Y438" s="106">
        <v>14489231.766657304</v>
      </c>
      <c r="Z438" s="106">
        <v>16943931.224596001</v>
      </c>
      <c r="AA438" s="106">
        <v>22801152.429170243</v>
      </c>
      <c r="AB438" s="108">
        <v>33096163.911478817</v>
      </c>
      <c r="AC438" s="108">
        <v>50821469.844260134</v>
      </c>
      <c r="AD438" s="108">
        <v>70266919.808082819</v>
      </c>
      <c r="AE438" s="108">
        <v>1023467744.7395272</v>
      </c>
      <c r="AF438" s="108">
        <v>1431680849.5472858</v>
      </c>
      <c r="AG438" s="108">
        <v>2912866323.9111385</v>
      </c>
      <c r="AH438" s="108">
        <v>5787261410.9797001</v>
      </c>
      <c r="AI438" s="108">
        <v>2140658699.4349234</v>
      </c>
      <c r="AJ438" s="108">
        <v>14650152240.341034</v>
      </c>
      <c r="AK438" s="108">
        <v>661031800.13767505</v>
      </c>
      <c r="AL438" s="108">
        <v>992152218.67431772</v>
      </c>
      <c r="AM438" s="108">
        <v>2189644655.2935586</v>
      </c>
      <c r="AN438" s="108">
        <v>4327308418.5107727</v>
      </c>
      <c r="AO438" s="108">
        <v>8114141002.6513882</v>
      </c>
      <c r="AP438" s="108">
        <v>11038792931.892254</v>
      </c>
      <c r="AQ438" s="108">
        <v>40875792.363890171</v>
      </c>
      <c r="AR438" s="108">
        <v>57264450.718781494</v>
      </c>
      <c r="AS438" s="108">
        <v>114068006.55213636</v>
      </c>
      <c r="AT438" s="108">
        <v>226233754.72945875</v>
      </c>
      <c r="AU438" s="108">
        <v>448579685.75932652</v>
      </c>
      <c r="AV438" s="108">
        <v>695812920.20278609</v>
      </c>
    </row>
    <row r="439" spans="1:48" x14ac:dyDescent="0.35">
      <c r="A439" s="107">
        <f xml:space="preserve"> ROW( slrImpacts[[#This Row],[row_id]] ) - ROW( slrImpacts[[#Headers],[row_id]] )</f>
        <v>438</v>
      </c>
      <c r="B439" s="104">
        <v>2033</v>
      </c>
      <c r="C439" s="104" t="s">
        <v>221</v>
      </c>
      <c r="D439" s="104" t="s">
        <v>88</v>
      </c>
      <c r="E439" s="104" t="s">
        <v>922</v>
      </c>
      <c r="F439" s="104"/>
      <c r="G439" s="105">
        <v>0</v>
      </c>
      <c r="H439" s="105">
        <v>0</v>
      </c>
      <c r="I439" s="105">
        <v>0</v>
      </c>
      <c r="J439" s="105">
        <v>0</v>
      </c>
      <c r="K439" s="105">
        <v>0</v>
      </c>
      <c r="L439" s="105">
        <v>0</v>
      </c>
      <c r="M439" s="106">
        <v>699717825.64968967</v>
      </c>
      <c r="N439" s="106">
        <v>935379029.58790672</v>
      </c>
      <c r="O439" s="106">
        <v>2013328248.6325352</v>
      </c>
      <c r="P439" s="106">
        <v>4207576992.4126444</v>
      </c>
      <c r="Q439" s="106">
        <v>7616286014.9898281</v>
      </c>
      <c r="R439" s="106">
        <v>10180185015.671223</v>
      </c>
      <c r="S439" s="105">
        <v>0</v>
      </c>
      <c r="T439" s="105">
        <v>0</v>
      </c>
      <c r="U439" s="105">
        <v>0</v>
      </c>
      <c r="V439" s="105">
        <v>0</v>
      </c>
      <c r="W439" s="105">
        <v>0</v>
      </c>
      <c r="X439" s="105">
        <v>0</v>
      </c>
      <c r="Y439" s="106">
        <v>14819419.064453105</v>
      </c>
      <c r="Z439" s="106">
        <v>17394805.170742068</v>
      </c>
      <c r="AA439" s="106">
        <v>23829414.006749287</v>
      </c>
      <c r="AB439" s="108">
        <v>35372709.397181325</v>
      </c>
      <c r="AC439" s="108">
        <v>55801652.34690211</v>
      </c>
      <c r="AD439" s="108">
        <v>78169964.386370644</v>
      </c>
      <c r="AE439" s="108">
        <v>1131036714.0304341</v>
      </c>
      <c r="AF439" s="108">
        <v>1594541316.4098537</v>
      </c>
      <c r="AG439" s="108">
        <v>3328780283.2936277</v>
      </c>
      <c r="AH439" s="108">
        <v>6637279281.0565338</v>
      </c>
      <c r="AI439" s="108">
        <v>2506759520.8946886</v>
      </c>
      <c r="AJ439" s="108">
        <v>16843445294.462645</v>
      </c>
      <c r="AK439" s="108">
        <v>732471102.12664342</v>
      </c>
      <c r="AL439" s="108">
        <v>1105294301.5420485</v>
      </c>
      <c r="AM439" s="108">
        <v>2488787009.7238984</v>
      </c>
      <c r="AN439" s="108">
        <v>4982926284.9058847</v>
      </c>
      <c r="AO439" s="108">
        <v>9357708276.6251698</v>
      </c>
      <c r="AP439" s="108">
        <v>12760381307.201099</v>
      </c>
      <c r="AQ439" s="108">
        <v>43138454.561667912</v>
      </c>
      <c r="AR439" s="108">
        <v>61220917.240239732</v>
      </c>
      <c r="AS439" s="108">
        <v>125248639.94352852</v>
      </c>
      <c r="AT439" s="108">
        <v>255840514.78537455</v>
      </c>
      <c r="AU439" s="108">
        <v>519499322.93952513</v>
      </c>
      <c r="AV439" s="108">
        <v>816246219.89923632</v>
      </c>
    </row>
    <row r="440" spans="1:48" x14ac:dyDescent="0.35">
      <c r="A440" s="107">
        <f xml:space="preserve"> ROW( slrImpacts[[#This Row],[row_id]] ) - ROW( slrImpacts[[#Headers],[row_id]] )</f>
        <v>439</v>
      </c>
      <c r="B440" s="104">
        <v>2034</v>
      </c>
      <c r="C440" s="104" t="s">
        <v>221</v>
      </c>
      <c r="D440" s="104" t="s">
        <v>88</v>
      </c>
      <c r="E440" s="104" t="s">
        <v>922</v>
      </c>
      <c r="F440" s="104"/>
      <c r="G440" s="105">
        <v>0</v>
      </c>
      <c r="H440" s="105">
        <v>0</v>
      </c>
      <c r="I440" s="105">
        <v>0</v>
      </c>
      <c r="J440" s="105">
        <v>0</v>
      </c>
      <c r="K440" s="105">
        <v>0</v>
      </c>
      <c r="L440" s="105">
        <v>0</v>
      </c>
      <c r="M440" s="106">
        <v>732585173.19406235</v>
      </c>
      <c r="N440" s="106">
        <v>989251062.30809081</v>
      </c>
      <c r="O440" s="106">
        <v>2183894767.3819938</v>
      </c>
      <c r="P440" s="106">
        <v>4656313679.2510805</v>
      </c>
      <c r="Q440" s="106">
        <v>8542945689.375556</v>
      </c>
      <c r="R440" s="106">
        <v>11487388650.426174</v>
      </c>
      <c r="S440" s="105">
        <v>0</v>
      </c>
      <c r="T440" s="105">
        <v>0</v>
      </c>
      <c r="U440" s="105">
        <v>0</v>
      </c>
      <c r="V440" s="105">
        <v>0</v>
      </c>
      <c r="W440" s="105">
        <v>0</v>
      </c>
      <c r="X440" s="105">
        <v>0</v>
      </c>
      <c r="Y440" s="106">
        <v>15155743.780653046</v>
      </c>
      <c r="Z440" s="106">
        <v>17851025.163366996</v>
      </c>
      <c r="AA440" s="106">
        <v>24914262.61141964</v>
      </c>
      <c r="AB440" s="108">
        <v>37853308.038139999</v>
      </c>
      <c r="AC440" s="108">
        <v>61349454.345966838</v>
      </c>
      <c r="AD440" s="108">
        <v>87020694.581395537</v>
      </c>
      <c r="AE440" s="108">
        <v>1250536282.3844631</v>
      </c>
      <c r="AF440" s="108">
        <v>1775643545.8691154</v>
      </c>
      <c r="AG440" s="108">
        <v>3799637995.3275366</v>
      </c>
      <c r="AH440" s="108">
        <v>7579387965.8045206</v>
      </c>
      <c r="AI440" s="108">
        <v>2922456285.0299063</v>
      </c>
      <c r="AJ440" s="108">
        <v>19219030982.093788</v>
      </c>
      <c r="AK440" s="108">
        <v>811936657.84474993</v>
      </c>
      <c r="AL440" s="108">
        <v>1230940178.982688</v>
      </c>
      <c r="AM440" s="108">
        <v>2822632637.7051806</v>
      </c>
      <c r="AN440" s="108">
        <v>5720708364.7348318</v>
      </c>
      <c r="AO440" s="108">
        <v>10717255194.684662</v>
      </c>
      <c r="AP440" s="108">
        <v>14618351162.859257</v>
      </c>
      <c r="AQ440" s="108">
        <v>45504318.669494234</v>
      </c>
      <c r="AR440" s="108">
        <v>65486802.834637634</v>
      </c>
      <c r="AS440" s="108">
        <v>137510197.36410779</v>
      </c>
      <c r="AT440" s="108">
        <v>289164309.99803865</v>
      </c>
      <c r="AU440" s="108">
        <v>600657334.13151431</v>
      </c>
      <c r="AV440" s="108">
        <v>955094399.68219078</v>
      </c>
    </row>
    <row r="441" spans="1:48" x14ac:dyDescent="0.35">
      <c r="A441" s="107">
        <f xml:space="preserve"> ROW( slrImpacts[[#This Row],[row_id]] ) - ROW( slrImpacts[[#Headers],[row_id]] )</f>
        <v>440</v>
      </c>
      <c r="B441" s="104">
        <v>2035</v>
      </c>
      <c r="C441" s="104" t="s">
        <v>221</v>
      </c>
      <c r="D441" s="104" t="s">
        <v>88</v>
      </c>
      <c r="E441" s="104" t="s">
        <v>922</v>
      </c>
      <c r="F441" s="104"/>
      <c r="G441" s="105">
        <v>0</v>
      </c>
      <c r="H441" s="105">
        <v>0</v>
      </c>
      <c r="I441" s="105">
        <v>0</v>
      </c>
      <c r="J441" s="105">
        <v>0</v>
      </c>
      <c r="K441" s="105">
        <v>0</v>
      </c>
      <c r="L441" s="105">
        <v>0</v>
      </c>
      <c r="M441" s="106">
        <v>766780165.74159038</v>
      </c>
      <c r="N441" s="106">
        <v>1046260060.8673154</v>
      </c>
      <c r="O441" s="106">
        <v>2367810731.7268162</v>
      </c>
      <c r="P441" s="106">
        <v>5145321670.2882109</v>
      </c>
      <c r="Q441" s="106">
        <v>9553127982.4585457</v>
      </c>
      <c r="R441" s="106">
        <v>12906614865.18327</v>
      </c>
      <c r="S441" s="105">
        <v>0</v>
      </c>
      <c r="T441" s="105">
        <v>0</v>
      </c>
      <c r="U441" s="105">
        <v>0</v>
      </c>
      <c r="V441" s="105">
        <v>0</v>
      </c>
      <c r="W441" s="105">
        <v>0</v>
      </c>
      <c r="X441" s="105">
        <v>0</v>
      </c>
      <c r="Y441" s="106">
        <v>15494018.595238151</v>
      </c>
      <c r="Z441" s="106">
        <v>18315659.409218851</v>
      </c>
      <c r="AA441" s="106">
        <v>26045766.209904347</v>
      </c>
      <c r="AB441" s="108">
        <v>40524947.234826565</v>
      </c>
      <c r="AC441" s="108">
        <v>67233026.642897815</v>
      </c>
      <c r="AD441" s="108">
        <v>96895532.622924179</v>
      </c>
      <c r="AE441" s="108">
        <v>1383107067.8512397</v>
      </c>
      <c r="AF441" s="108">
        <v>1975996311.1611748</v>
      </c>
      <c r="AG441" s="108">
        <v>4321787721.3000946</v>
      </c>
      <c r="AH441" s="108">
        <v>8615315686.2906322</v>
      </c>
      <c r="AI441" s="108">
        <v>3388560834.6918402</v>
      </c>
      <c r="AJ441" s="108">
        <v>21764060441.663628</v>
      </c>
      <c r="AK441" s="108">
        <v>899582969.45044458</v>
      </c>
      <c r="AL441" s="108">
        <v>1366361205.2836254</v>
      </c>
      <c r="AM441" s="108">
        <v>3188340590.7640791</v>
      </c>
      <c r="AN441" s="108">
        <v>6535058505.0163336</v>
      </c>
      <c r="AO441" s="108">
        <v>12177617783.825586</v>
      </c>
      <c r="AP441" s="108">
        <v>16585790392.523424</v>
      </c>
      <c r="AQ441" s="108">
        <v>47984230.40310996</v>
      </c>
      <c r="AR441" s="108">
        <v>70066089.6272697</v>
      </c>
      <c r="AS441" s="108">
        <v>150948146.94711334</v>
      </c>
      <c r="AT441" s="108">
        <v>326588961.30644685</v>
      </c>
      <c r="AU441" s="108">
        <v>693201756.3058393</v>
      </c>
      <c r="AV441" s="108">
        <v>1114252603.3252976</v>
      </c>
    </row>
    <row r="442" spans="1:48" x14ac:dyDescent="0.35">
      <c r="A442" s="107">
        <f xml:space="preserve"> ROW( slrImpacts[[#This Row],[row_id]] ) - ROW( slrImpacts[[#Headers],[row_id]] )</f>
        <v>441</v>
      </c>
      <c r="B442" s="104">
        <v>2036</v>
      </c>
      <c r="C442" s="104" t="s">
        <v>221</v>
      </c>
      <c r="D442" s="104" t="s">
        <v>88</v>
      </c>
      <c r="E442" s="104" t="s">
        <v>922</v>
      </c>
      <c r="F442" s="104"/>
      <c r="G442" s="105">
        <v>0</v>
      </c>
      <c r="H442" s="105">
        <v>0</v>
      </c>
      <c r="I442" s="105">
        <v>0</v>
      </c>
      <c r="J442" s="105">
        <v>0</v>
      </c>
      <c r="K442" s="105">
        <v>0</v>
      </c>
      <c r="L442" s="105">
        <v>0</v>
      </c>
      <c r="M442" s="106">
        <v>802458323.78213763</v>
      </c>
      <c r="N442" s="106">
        <v>1106621700.3524954</v>
      </c>
      <c r="O442" s="106">
        <v>2570730729.1374464</v>
      </c>
      <c r="P442" s="106">
        <v>5691071174.7146435</v>
      </c>
      <c r="Q442" s="106">
        <v>10675706208.354954</v>
      </c>
      <c r="R442" s="106">
        <v>14477225681.959795</v>
      </c>
      <c r="S442" s="105">
        <v>0</v>
      </c>
      <c r="T442" s="105">
        <v>0</v>
      </c>
      <c r="U442" s="105">
        <v>0</v>
      </c>
      <c r="V442" s="105">
        <v>0</v>
      </c>
      <c r="W442" s="105">
        <v>0</v>
      </c>
      <c r="X442" s="105">
        <v>0</v>
      </c>
      <c r="Y442" s="106">
        <v>15841087.477018232</v>
      </c>
      <c r="Z442" s="106">
        <v>18799876.87256195</v>
      </c>
      <c r="AA442" s="106">
        <v>27285397.135203715</v>
      </c>
      <c r="AB442" s="108">
        <v>43527590.664738916</v>
      </c>
      <c r="AC442" s="108">
        <v>74021804.671459809</v>
      </c>
      <c r="AD442" s="108">
        <v>108525749.27932076</v>
      </c>
      <c r="AE442" s="108">
        <v>1531429564.0593998</v>
      </c>
      <c r="AF442" s="108">
        <v>2198699774.5983772</v>
      </c>
      <c r="AG442" s="108">
        <v>4908383580.081872</v>
      </c>
      <c r="AH442" s="108">
        <v>9785135866.5487862</v>
      </c>
      <c r="AI442" s="108">
        <v>3934100804.7942462</v>
      </c>
      <c r="AJ442" s="108">
        <v>24556104908.259682</v>
      </c>
      <c r="AK442" s="108">
        <v>996615226.86791027</v>
      </c>
      <c r="AL442" s="108">
        <v>1516060926.4433222</v>
      </c>
      <c r="AM442" s="108">
        <v>3605484512.4713082</v>
      </c>
      <c r="AN442" s="108">
        <v>7469593374.2541924</v>
      </c>
      <c r="AO442" s="108">
        <v>13805590627.789072</v>
      </c>
      <c r="AP442" s="108">
        <v>18705594411.829533</v>
      </c>
      <c r="AQ442" s="108">
        <v>50626115.493405938</v>
      </c>
      <c r="AR442" s="108">
        <v>75057476.473580182</v>
      </c>
      <c r="AS442" s="108">
        <v>166276145.02621666</v>
      </c>
      <c r="AT442" s="108">
        <v>370165067.04738945</v>
      </c>
      <c r="AU442" s="108">
        <v>803481255.96167994</v>
      </c>
      <c r="AV442" s="108">
        <v>1304744217.4541597</v>
      </c>
    </row>
    <row r="443" spans="1:48" x14ac:dyDescent="0.35">
      <c r="A443" s="107">
        <f xml:space="preserve"> ROW( slrImpacts[[#This Row],[row_id]] ) - ROW( slrImpacts[[#Headers],[row_id]] )</f>
        <v>442</v>
      </c>
      <c r="B443" s="104">
        <v>2037</v>
      </c>
      <c r="C443" s="104" t="s">
        <v>221</v>
      </c>
      <c r="D443" s="104" t="s">
        <v>88</v>
      </c>
      <c r="E443" s="104" t="s">
        <v>922</v>
      </c>
      <c r="F443" s="104"/>
      <c r="G443" s="105">
        <v>0</v>
      </c>
      <c r="H443" s="105">
        <v>0</v>
      </c>
      <c r="I443" s="105">
        <v>0</v>
      </c>
      <c r="J443" s="105">
        <v>0</v>
      </c>
      <c r="K443" s="105">
        <v>0</v>
      </c>
      <c r="L443" s="105">
        <v>0</v>
      </c>
      <c r="M443" s="106">
        <v>839782767.05854094</v>
      </c>
      <c r="N443" s="106">
        <v>1170427545.9860375</v>
      </c>
      <c r="O443" s="106">
        <v>2793404600.6456289</v>
      </c>
      <c r="P443" s="106">
        <v>6293623948.6095524</v>
      </c>
      <c r="Q443" s="106">
        <v>11901823764.335756</v>
      </c>
      <c r="R443" s="106">
        <v>16182096774.893034</v>
      </c>
      <c r="S443" s="105">
        <v>0</v>
      </c>
      <c r="T443" s="105">
        <v>0</v>
      </c>
      <c r="U443" s="105">
        <v>0</v>
      </c>
      <c r="V443" s="105">
        <v>0</v>
      </c>
      <c r="W443" s="105">
        <v>0</v>
      </c>
      <c r="X443" s="105">
        <v>0</v>
      </c>
      <c r="Y443" s="106">
        <v>16197766.639866207</v>
      </c>
      <c r="Z443" s="106">
        <v>19309628.948125463</v>
      </c>
      <c r="AA443" s="106">
        <v>28612007.02003279</v>
      </c>
      <c r="AB443" s="108">
        <v>46817402.260918386</v>
      </c>
      <c r="AC443" s="108">
        <v>81653542.443782866</v>
      </c>
      <c r="AD443" s="108">
        <v>121911989.17552008</v>
      </c>
      <c r="AE443" s="108">
        <v>1695706056.3688304</v>
      </c>
      <c r="AF443" s="108">
        <v>2444718298.9459829</v>
      </c>
      <c r="AG443" s="108">
        <v>5563789753.0400324</v>
      </c>
      <c r="AH443" s="108">
        <v>11090522591.320992</v>
      </c>
      <c r="AI443" s="108">
        <v>4563381563.9797993</v>
      </c>
      <c r="AJ443" s="108">
        <v>27564756601.9109</v>
      </c>
      <c r="AK443" s="108">
        <v>1103844308.4217081</v>
      </c>
      <c r="AL443" s="108">
        <v>1681700650.606575</v>
      </c>
      <c r="AM443" s="108">
        <v>4075779794.2987809</v>
      </c>
      <c r="AN443" s="108">
        <v>8528149860.5711212</v>
      </c>
      <c r="AO443" s="108">
        <v>15580259089.650188</v>
      </c>
      <c r="AP443" s="108">
        <v>20931361020.797638</v>
      </c>
      <c r="AQ443" s="108">
        <v>53446976.303528845</v>
      </c>
      <c r="AR443" s="108">
        <v>80417682.520386934</v>
      </c>
      <c r="AS443" s="108">
        <v>183517629.40493038</v>
      </c>
      <c r="AT443" s="108">
        <v>420013314.74166143</v>
      </c>
      <c r="AU443" s="108">
        <v>932309617.09591222</v>
      </c>
      <c r="AV443" s="108">
        <v>1527116732.2037306</v>
      </c>
    </row>
    <row r="444" spans="1:48" x14ac:dyDescent="0.35">
      <c r="A444" s="107">
        <f xml:space="preserve"> ROW( slrImpacts[[#This Row],[row_id]] ) - ROW( slrImpacts[[#Headers],[row_id]] )</f>
        <v>443</v>
      </c>
      <c r="B444" s="104">
        <v>2038</v>
      </c>
      <c r="C444" s="104" t="s">
        <v>221</v>
      </c>
      <c r="D444" s="104" t="s">
        <v>88</v>
      </c>
      <c r="E444" s="104" t="s">
        <v>922</v>
      </c>
      <c r="F444" s="104"/>
      <c r="G444" s="105">
        <v>0</v>
      </c>
      <c r="H444" s="105">
        <v>0</v>
      </c>
      <c r="I444" s="105">
        <v>0</v>
      </c>
      <c r="J444" s="105">
        <v>0</v>
      </c>
      <c r="K444" s="105">
        <v>0</v>
      </c>
      <c r="L444" s="105">
        <v>0</v>
      </c>
      <c r="M444" s="106">
        <v>878751034.70847225</v>
      </c>
      <c r="N444" s="106">
        <v>1237675968.318872</v>
      </c>
      <c r="O444" s="106">
        <v>3037142736.3558087</v>
      </c>
      <c r="P444" s="106">
        <v>6955795460.1066246</v>
      </c>
      <c r="Q444" s="106">
        <v>13231839224.255644</v>
      </c>
      <c r="R444" s="106">
        <v>18015260159.640858</v>
      </c>
      <c r="S444" s="105">
        <v>0</v>
      </c>
      <c r="T444" s="105">
        <v>0</v>
      </c>
      <c r="U444" s="105">
        <v>0</v>
      </c>
      <c r="V444" s="105">
        <v>0</v>
      </c>
      <c r="W444" s="105">
        <v>0</v>
      </c>
      <c r="X444" s="105">
        <v>0</v>
      </c>
      <c r="Y444" s="106">
        <v>16560523.941992668</v>
      </c>
      <c r="Z444" s="106">
        <v>19839231.473432258</v>
      </c>
      <c r="AA444" s="106">
        <v>30045254.834660362</v>
      </c>
      <c r="AB444" s="108">
        <v>50412457.072122</v>
      </c>
      <c r="AC444" s="108">
        <v>90243083.150572866</v>
      </c>
      <c r="AD444" s="108">
        <v>137302505.93401346</v>
      </c>
      <c r="AE444" s="108">
        <v>1877163250.3254018</v>
      </c>
      <c r="AF444" s="108">
        <v>2715856035.1935925</v>
      </c>
      <c r="AG444" s="108">
        <v>6286891148.6408043</v>
      </c>
      <c r="AH444" s="108">
        <v>12529494165.840723</v>
      </c>
      <c r="AI444" s="108">
        <v>5282747882.6755438</v>
      </c>
      <c r="AJ444" s="108">
        <v>30769580491.045784</v>
      </c>
      <c r="AK444" s="108">
        <v>1221425660.9540048</v>
      </c>
      <c r="AL444" s="108">
        <v>1863629367.4829943</v>
      </c>
      <c r="AM444" s="108">
        <v>4604703241.9686594</v>
      </c>
      <c r="AN444" s="108">
        <v>9706391646.6882744</v>
      </c>
      <c r="AO444" s="108">
        <v>17480068914.602512</v>
      </c>
      <c r="AP444" s="108">
        <v>23231458955.354652</v>
      </c>
      <c r="AQ444" s="108">
        <v>56445741.566281997</v>
      </c>
      <c r="AR444" s="108">
        <v>86156462.042695999</v>
      </c>
      <c r="AS444" s="108">
        <v>202852101.58755496</v>
      </c>
      <c r="AT444" s="108">
        <v>476767256.83829725</v>
      </c>
      <c r="AU444" s="108">
        <v>1081580457.4554312</v>
      </c>
      <c r="AV444" s="108">
        <v>1784610933.1557329</v>
      </c>
    </row>
    <row r="445" spans="1:48" x14ac:dyDescent="0.35">
      <c r="A445" s="107">
        <f xml:space="preserve"> ROW( slrImpacts[[#This Row],[row_id]] ) - ROW( slrImpacts[[#Headers],[row_id]] )</f>
        <v>444</v>
      </c>
      <c r="B445" s="104">
        <v>2039</v>
      </c>
      <c r="C445" s="104" t="s">
        <v>221</v>
      </c>
      <c r="D445" s="104" t="s">
        <v>88</v>
      </c>
      <c r="E445" s="104" t="s">
        <v>922</v>
      </c>
      <c r="F445" s="104"/>
      <c r="G445" s="105">
        <v>0</v>
      </c>
      <c r="H445" s="105">
        <v>0</v>
      </c>
      <c r="I445" s="105">
        <v>0</v>
      </c>
      <c r="J445" s="105">
        <v>0</v>
      </c>
      <c r="K445" s="105">
        <v>0</v>
      </c>
      <c r="L445" s="105">
        <v>0</v>
      </c>
      <c r="M445" s="106">
        <v>919453904.16316831</v>
      </c>
      <c r="N445" s="106">
        <v>1308632192.7526879</v>
      </c>
      <c r="O445" s="106">
        <v>3303756105.759068</v>
      </c>
      <c r="P445" s="106">
        <v>7679811026.5179453</v>
      </c>
      <c r="Q445" s="106">
        <v>14664559289.492971</v>
      </c>
      <c r="R445" s="106">
        <v>19970023949.103729</v>
      </c>
      <c r="S445" s="105">
        <v>0</v>
      </c>
      <c r="T445" s="105">
        <v>0</v>
      </c>
      <c r="U445" s="105">
        <v>0</v>
      </c>
      <c r="V445" s="105">
        <v>0</v>
      </c>
      <c r="W445" s="105">
        <v>0</v>
      </c>
      <c r="X445" s="105">
        <v>0</v>
      </c>
      <c r="Y445" s="106">
        <v>16928198.706743442</v>
      </c>
      <c r="Z445" s="106">
        <v>20395065.573226921</v>
      </c>
      <c r="AA445" s="106">
        <v>31591827.574711535</v>
      </c>
      <c r="AB445" s="108">
        <v>54344611.624597974</v>
      </c>
      <c r="AC445" s="108">
        <v>99848375.288157314</v>
      </c>
      <c r="AD445" s="108">
        <v>154853629.45696151</v>
      </c>
      <c r="AE445" s="108">
        <v>2078211034.5760183</v>
      </c>
      <c r="AF445" s="108">
        <v>3013856133.2765131</v>
      </c>
      <c r="AG445" s="108">
        <v>7079970968.5225248</v>
      </c>
      <c r="AH445" s="108">
        <v>14107803215.714184</v>
      </c>
      <c r="AI445" s="108">
        <v>6097648577.1898098</v>
      </c>
      <c r="AJ445" s="108">
        <v>34136012857.137959</v>
      </c>
      <c r="AK445" s="108">
        <v>1350194788.7548442</v>
      </c>
      <c r="AL445" s="108">
        <v>2062642490.6897337</v>
      </c>
      <c r="AM445" s="108">
        <v>5194799666.4274845</v>
      </c>
      <c r="AN445" s="108">
        <v>11006688624.018946</v>
      </c>
      <c r="AO445" s="108">
        <v>19490509011.331974</v>
      </c>
      <c r="AP445" s="108">
        <v>25567905086.590435</v>
      </c>
      <c r="AQ445" s="108">
        <v>59638423.659201689</v>
      </c>
      <c r="AR445" s="108">
        <v>92267730.163278624</v>
      </c>
      <c r="AS445" s="108">
        <v>224390464.57719564</v>
      </c>
      <c r="AT445" s="108">
        <v>541196299.68457711</v>
      </c>
      <c r="AU445" s="108">
        <v>1253255563.4088919</v>
      </c>
      <c r="AV445" s="108">
        <v>2080345799.6028924</v>
      </c>
    </row>
    <row r="446" spans="1:48" x14ac:dyDescent="0.35">
      <c r="A446" s="107">
        <f xml:space="preserve"> ROW( slrImpacts[[#This Row],[row_id]] ) - ROW( slrImpacts[[#Headers],[row_id]] )</f>
        <v>445</v>
      </c>
      <c r="B446" s="104">
        <v>2040</v>
      </c>
      <c r="C446" s="104" t="s">
        <v>221</v>
      </c>
      <c r="D446" s="104" t="s">
        <v>88</v>
      </c>
      <c r="E446" s="104" t="s">
        <v>922</v>
      </c>
      <c r="F446" s="104"/>
      <c r="G446" s="105">
        <v>0</v>
      </c>
      <c r="H446" s="105">
        <v>0</v>
      </c>
      <c r="I446" s="105">
        <v>0</v>
      </c>
      <c r="J446" s="105">
        <v>0</v>
      </c>
      <c r="K446" s="105">
        <v>0</v>
      </c>
      <c r="L446" s="105">
        <v>0</v>
      </c>
      <c r="M446" s="106">
        <v>961903974.28181469</v>
      </c>
      <c r="N446" s="106">
        <v>1383437259.0420706</v>
      </c>
      <c r="O446" s="106">
        <v>3594916685.6139188</v>
      </c>
      <c r="P446" s="106">
        <v>8468553131.3722095</v>
      </c>
      <c r="Q446" s="106">
        <v>16197958685.506571</v>
      </c>
      <c r="R446" s="106">
        <v>22036715155.919102</v>
      </c>
      <c r="S446" s="105">
        <v>0</v>
      </c>
      <c r="T446" s="105">
        <v>0</v>
      </c>
      <c r="U446" s="105">
        <v>0</v>
      </c>
      <c r="V446" s="105">
        <v>0</v>
      </c>
      <c r="W446" s="105">
        <v>0</v>
      </c>
      <c r="X446" s="105">
        <v>0</v>
      </c>
      <c r="Y446" s="106">
        <v>17310230.434560716</v>
      </c>
      <c r="Z446" s="106">
        <v>20979753.151707035</v>
      </c>
      <c r="AA446" s="106">
        <v>33249737.42076375</v>
      </c>
      <c r="AB446" s="108">
        <v>58641082.918920763</v>
      </c>
      <c r="AC446" s="108">
        <v>110600535.43012777</v>
      </c>
      <c r="AD446" s="108">
        <v>174808233.71686965</v>
      </c>
      <c r="AE446" s="108">
        <v>2299654921.1708083</v>
      </c>
      <c r="AF446" s="108">
        <v>3340725261.5407467</v>
      </c>
      <c r="AG446" s="108">
        <v>7944811202.3448629</v>
      </c>
      <c r="AH446" s="108">
        <v>15825624033.633812</v>
      </c>
      <c r="AI446" s="108">
        <v>7012149655.0698709</v>
      </c>
      <c r="AJ446" s="108">
        <v>37639244815.449394</v>
      </c>
      <c r="AK446" s="108">
        <v>1491946851.4614034</v>
      </c>
      <c r="AL446" s="108">
        <v>2281943103.3319426</v>
      </c>
      <c r="AM446" s="108">
        <v>5854365117.2858686</v>
      </c>
      <c r="AN446" s="108">
        <v>12434722561.12398</v>
      </c>
      <c r="AO446" s="108">
        <v>21588040327.508255</v>
      </c>
      <c r="AP446" s="108">
        <v>27911821886.609264</v>
      </c>
      <c r="AQ446" s="108">
        <v>63034703.520627625</v>
      </c>
      <c r="AR446" s="108">
        <v>98823629.923381045</v>
      </c>
      <c r="AS446" s="108">
        <v>248411935.37398183</v>
      </c>
      <c r="AT446" s="108">
        <v>614041013.3848033</v>
      </c>
      <c r="AU446" s="108">
        <v>1449661425.6934283</v>
      </c>
      <c r="AV446" s="108">
        <v>2416975940.6035719</v>
      </c>
    </row>
    <row r="447" spans="1:48" x14ac:dyDescent="0.35">
      <c r="A447" s="107">
        <f xml:space="preserve"> ROW( slrImpacts[[#This Row],[row_id]] ) - ROW( slrImpacts[[#Headers],[row_id]] )</f>
        <v>446</v>
      </c>
      <c r="B447" s="104">
        <v>2041</v>
      </c>
      <c r="C447" s="104" t="s">
        <v>221</v>
      </c>
      <c r="D447" s="104" t="s">
        <v>88</v>
      </c>
      <c r="E447" s="104" t="s">
        <v>922</v>
      </c>
      <c r="F447" s="104"/>
      <c r="G447" s="105">
        <v>0</v>
      </c>
      <c r="H447" s="105">
        <v>0</v>
      </c>
      <c r="I447" s="105">
        <v>0</v>
      </c>
      <c r="J447" s="105">
        <v>0</v>
      </c>
      <c r="K447" s="105">
        <v>0</v>
      </c>
      <c r="L447" s="105">
        <v>0</v>
      </c>
      <c r="M447" s="106">
        <v>1006220851.1214211</v>
      </c>
      <c r="N447" s="106">
        <v>1462266243.1465397</v>
      </c>
      <c r="O447" s="106">
        <v>3912191074.473814</v>
      </c>
      <c r="P447" s="106">
        <v>9323242749.1646671</v>
      </c>
      <c r="Q447" s="106">
        <v>17828642688.897404</v>
      </c>
      <c r="R447" s="106">
        <v>24205400264.185429</v>
      </c>
      <c r="S447" s="105">
        <v>0</v>
      </c>
      <c r="T447" s="105">
        <v>0</v>
      </c>
      <c r="U447" s="105">
        <v>0</v>
      </c>
      <c r="V447" s="105">
        <v>0</v>
      </c>
      <c r="W447" s="105">
        <v>0</v>
      </c>
      <c r="X447" s="105">
        <v>0</v>
      </c>
      <c r="Y447" s="106">
        <v>17697303.571992271</v>
      </c>
      <c r="Z447" s="106">
        <v>21590667.950168442</v>
      </c>
      <c r="AA447" s="106">
        <v>35025950.322745338</v>
      </c>
      <c r="AB447" s="108">
        <v>63331002.571240768</v>
      </c>
      <c r="AC447" s="108">
        <v>122609894.83038792</v>
      </c>
      <c r="AD447" s="108">
        <v>197389829.29485789</v>
      </c>
      <c r="AE447" s="108">
        <v>2543026071.89328</v>
      </c>
      <c r="AF447" s="108">
        <v>3698175183.1638398</v>
      </c>
      <c r="AG447" s="108">
        <v>8886167441.2828789</v>
      </c>
      <c r="AH447" s="108">
        <v>17678218306.143372</v>
      </c>
      <c r="AI447" s="108">
        <v>8028309129.4224977</v>
      </c>
      <c r="AJ447" s="108">
        <v>41245720874.796417</v>
      </c>
      <c r="AK447" s="108">
        <v>1646555079.2664008</v>
      </c>
      <c r="AL447" s="108">
        <v>2521686858.2086654</v>
      </c>
      <c r="AM447" s="108">
        <v>6583437071.5319643</v>
      </c>
      <c r="AN447" s="108">
        <v>13977134181.399569</v>
      </c>
      <c r="AO447" s="108">
        <v>23749974352.557743</v>
      </c>
      <c r="AP447" s="108">
        <v>30240286403.828781</v>
      </c>
      <c r="AQ447" s="108">
        <v>66639972.79237169</v>
      </c>
      <c r="AR447" s="108">
        <v>105815386.4372247</v>
      </c>
      <c r="AS447" s="108">
        <v>275189432.47130281</v>
      </c>
      <c r="AT447" s="108">
        <v>696073898.7883693</v>
      </c>
      <c r="AU447" s="108">
        <v>1672546614.9376214</v>
      </c>
      <c r="AV447" s="108">
        <v>2797743702.7181277</v>
      </c>
    </row>
    <row r="448" spans="1:48" x14ac:dyDescent="0.35">
      <c r="A448" s="107">
        <f xml:space="preserve"> ROW( slrImpacts[[#This Row],[row_id]] ) - ROW( slrImpacts[[#Headers],[row_id]] )</f>
        <v>447</v>
      </c>
      <c r="B448" s="104">
        <v>2042</v>
      </c>
      <c r="C448" s="104" t="s">
        <v>221</v>
      </c>
      <c r="D448" s="104" t="s">
        <v>88</v>
      </c>
      <c r="E448" s="104" t="s">
        <v>922</v>
      </c>
      <c r="F448" s="104"/>
      <c r="G448" s="105">
        <v>0</v>
      </c>
      <c r="H448" s="105">
        <v>0</v>
      </c>
      <c r="I448" s="105">
        <v>0</v>
      </c>
      <c r="J448" s="105">
        <v>0</v>
      </c>
      <c r="K448" s="105">
        <v>0</v>
      </c>
      <c r="L448" s="105">
        <v>0</v>
      </c>
      <c r="M448" s="106">
        <v>1052469331.6349379</v>
      </c>
      <c r="N448" s="106">
        <v>1545280987.9872575</v>
      </c>
      <c r="O448" s="106">
        <v>4257264617.3030152</v>
      </c>
      <c r="P448" s="106">
        <v>10244911839.145681</v>
      </c>
      <c r="Q448" s="106">
        <v>19552373972.772293</v>
      </c>
      <c r="R448" s="106">
        <v>26465552479.916412</v>
      </c>
      <c r="S448" s="105">
        <v>0</v>
      </c>
      <c r="T448" s="105">
        <v>0</v>
      </c>
      <c r="U448" s="105">
        <v>0</v>
      </c>
      <c r="V448" s="105">
        <v>0</v>
      </c>
      <c r="W448" s="105">
        <v>0</v>
      </c>
      <c r="X448" s="105">
        <v>0</v>
      </c>
      <c r="Y448" s="106">
        <v>18095424.819010701</v>
      </c>
      <c r="Z448" s="106">
        <v>22232736.087216202</v>
      </c>
      <c r="AA448" s="106">
        <v>36938038.990411505</v>
      </c>
      <c r="AB448" s="108">
        <v>68448081.62664111</v>
      </c>
      <c r="AC448" s="108">
        <v>135951097.47290477</v>
      </c>
      <c r="AD448" s="108">
        <v>222760707.21392408</v>
      </c>
      <c r="AE448" s="108">
        <v>2810830939.9156861</v>
      </c>
      <c r="AF448" s="108">
        <v>4085626059.1642919</v>
      </c>
      <c r="AG448" s="108">
        <v>9902689523.1874733</v>
      </c>
      <c r="AH448" s="108">
        <v>19667363120.821182</v>
      </c>
      <c r="AI448" s="108">
        <v>9146423393.5364513</v>
      </c>
      <c r="AJ448" s="108">
        <v>44928030665.679138</v>
      </c>
      <c r="AK448" s="108">
        <v>1814522032.9476256</v>
      </c>
      <c r="AL448" s="108">
        <v>2782855617.8976164</v>
      </c>
      <c r="AM448" s="108">
        <v>7388345046.4560871</v>
      </c>
      <c r="AN448" s="108">
        <v>15635010096.047588</v>
      </c>
      <c r="AO448" s="108">
        <v>25951314618.127552</v>
      </c>
      <c r="AP448" s="108">
        <v>32529356888.425182</v>
      </c>
      <c r="AQ448" s="108">
        <v>70476209.767985716</v>
      </c>
      <c r="AR448" s="108">
        <v>113273197.31544863</v>
      </c>
      <c r="AS448" s="108">
        <v>304909295.98018378</v>
      </c>
      <c r="AT448" s="108">
        <v>788477064.5682739</v>
      </c>
      <c r="AU448" s="108">
        <v>1924187891.9776959</v>
      </c>
      <c r="AV448" s="108">
        <v>3225478384.989902</v>
      </c>
    </row>
    <row r="449" spans="1:48" x14ac:dyDescent="0.35">
      <c r="A449" s="107">
        <f xml:space="preserve"> ROW( slrImpacts[[#This Row],[row_id]] ) - ROW( slrImpacts[[#Headers],[row_id]] )</f>
        <v>448</v>
      </c>
      <c r="B449" s="104">
        <v>2043</v>
      </c>
      <c r="C449" s="104" t="s">
        <v>221</v>
      </c>
      <c r="D449" s="104" t="s">
        <v>88</v>
      </c>
      <c r="E449" s="104" t="s">
        <v>922</v>
      </c>
      <c r="F449" s="104"/>
      <c r="G449" s="105">
        <v>0</v>
      </c>
      <c r="H449" s="105">
        <v>0</v>
      </c>
      <c r="I449" s="105">
        <v>0</v>
      </c>
      <c r="J449" s="105">
        <v>0</v>
      </c>
      <c r="K449" s="105">
        <v>0</v>
      </c>
      <c r="L449" s="105">
        <v>0</v>
      </c>
      <c r="M449" s="106">
        <v>1100643290.6386478</v>
      </c>
      <c r="N449" s="106">
        <v>1632626693.0313418</v>
      </c>
      <c r="O449" s="106">
        <v>4631703297.3337622</v>
      </c>
      <c r="P449" s="106">
        <v>11234986794.059834</v>
      </c>
      <c r="Q449" s="106">
        <v>21363644495.114197</v>
      </c>
      <c r="R449" s="106">
        <v>28805337638.100246</v>
      </c>
      <c r="S449" s="105">
        <v>0</v>
      </c>
      <c r="T449" s="105">
        <v>0</v>
      </c>
      <c r="U449" s="105">
        <v>0</v>
      </c>
      <c r="V449" s="105">
        <v>0</v>
      </c>
      <c r="W449" s="105">
        <v>0</v>
      </c>
      <c r="X449" s="105">
        <v>0</v>
      </c>
      <c r="Y449" s="106">
        <v>18504085.164387368</v>
      </c>
      <c r="Z449" s="106">
        <v>22900148.546560109</v>
      </c>
      <c r="AA449" s="106">
        <v>38971776.412237115</v>
      </c>
      <c r="AB449" s="108">
        <v>74009440.444154814</v>
      </c>
      <c r="AC449" s="108">
        <v>150770873.62409985</v>
      </c>
      <c r="AD449" s="108">
        <v>251153281.93972245</v>
      </c>
      <c r="AE449" s="108">
        <v>3105864373.0564017</v>
      </c>
      <c r="AF449" s="108">
        <v>4506970036.3786993</v>
      </c>
      <c r="AG449" s="108">
        <v>10993002539.794548</v>
      </c>
      <c r="AH449" s="108">
        <v>21790861209.095184</v>
      </c>
      <c r="AI449" s="108">
        <v>10365348995.956438</v>
      </c>
      <c r="AJ449" s="108">
        <v>48659248252.26329</v>
      </c>
      <c r="AK449" s="108">
        <v>1997275518.928791</v>
      </c>
      <c r="AL449" s="108">
        <v>3068957982.9596834</v>
      </c>
      <c r="AM449" s="108">
        <v>8269267326.2699099</v>
      </c>
      <c r="AN449" s="108">
        <v>17396685507.917843</v>
      </c>
      <c r="AO449" s="108">
        <v>28174540779.453064</v>
      </c>
      <c r="AP449" s="108">
        <v>34759449328.344246</v>
      </c>
      <c r="AQ449" s="108">
        <v>74547696.398621142</v>
      </c>
      <c r="AR449" s="108">
        <v>121227594.50484392</v>
      </c>
      <c r="AS449" s="108">
        <v>337788466.66632861</v>
      </c>
      <c r="AT449" s="108">
        <v>891949373.75661123</v>
      </c>
      <c r="AU449" s="108">
        <v>2206507730.2399073</v>
      </c>
      <c r="AV449" s="108">
        <v>3702937127.683362</v>
      </c>
    </row>
    <row r="450" spans="1:48" x14ac:dyDescent="0.35">
      <c r="A450" s="107">
        <f xml:space="preserve"> ROW( slrImpacts[[#This Row],[row_id]] ) - ROW( slrImpacts[[#Headers],[row_id]] )</f>
        <v>449</v>
      </c>
      <c r="B450" s="104">
        <v>2044</v>
      </c>
      <c r="C450" s="104" t="s">
        <v>221</v>
      </c>
      <c r="D450" s="104" t="s">
        <v>88</v>
      </c>
      <c r="E450" s="104" t="s">
        <v>922</v>
      </c>
      <c r="F450" s="104"/>
      <c r="G450" s="105">
        <v>0</v>
      </c>
      <c r="H450" s="105">
        <v>0</v>
      </c>
      <c r="I450" s="105">
        <v>0</v>
      </c>
      <c r="J450" s="105">
        <v>0</v>
      </c>
      <c r="K450" s="105">
        <v>0</v>
      </c>
      <c r="L450" s="105">
        <v>0</v>
      </c>
      <c r="M450" s="106">
        <v>1151012105.8486128</v>
      </c>
      <c r="N450" s="106">
        <v>1724731606.2371252</v>
      </c>
      <c r="O450" s="106">
        <v>5037211554.6299725</v>
      </c>
      <c r="P450" s="106">
        <v>12295092547.726339</v>
      </c>
      <c r="Q450" s="106">
        <v>23256008136.254448</v>
      </c>
      <c r="R450" s="106">
        <v>31214489191.291348</v>
      </c>
      <c r="S450" s="105">
        <v>0</v>
      </c>
      <c r="T450" s="105">
        <v>0</v>
      </c>
      <c r="U450" s="105">
        <v>0</v>
      </c>
      <c r="V450" s="105">
        <v>0</v>
      </c>
      <c r="W450" s="105">
        <v>0</v>
      </c>
      <c r="X450" s="105">
        <v>0</v>
      </c>
      <c r="Y450" s="106">
        <v>18920686.849212676</v>
      </c>
      <c r="Z450" s="106">
        <v>23599673.237654589</v>
      </c>
      <c r="AA450" s="106">
        <v>41153161.282815553</v>
      </c>
      <c r="AB450" s="108">
        <v>80060808.741911277</v>
      </c>
      <c r="AC450" s="108">
        <v>167123693.86027825</v>
      </c>
      <c r="AD450" s="108">
        <v>282686104.26529121</v>
      </c>
      <c r="AE450" s="108">
        <v>3428289699.5168095</v>
      </c>
      <c r="AF450" s="108">
        <v>4963001273.890646</v>
      </c>
      <c r="AG450" s="108">
        <v>12162242582.483156</v>
      </c>
      <c r="AH450" s="108">
        <v>24034055699.700176</v>
      </c>
      <c r="AI450" s="108">
        <v>11682609300.238735</v>
      </c>
      <c r="AJ450" s="108">
        <v>52417540302.608742</v>
      </c>
      <c r="AK450" s="108">
        <v>2196281982.2732439</v>
      </c>
      <c r="AL450" s="108">
        <v>3379047087.6130605</v>
      </c>
      <c r="AM450" s="108">
        <v>9231919960.4230232</v>
      </c>
      <c r="AN450" s="108">
        <v>19253200510.915054</v>
      </c>
      <c r="AO450" s="108">
        <v>30400714987.817131</v>
      </c>
      <c r="AP450" s="108">
        <v>36916043549.092468</v>
      </c>
      <c r="AQ450" s="108">
        <v>78856150.353281334</v>
      </c>
      <c r="AR450" s="108">
        <v>129703701.27459233</v>
      </c>
      <c r="AS450" s="108">
        <v>374086404.39157313</v>
      </c>
      <c r="AT450" s="108">
        <v>1007353686.165707</v>
      </c>
      <c r="AU450" s="108">
        <v>2521291776.0541787</v>
      </c>
      <c r="AV450" s="108">
        <v>4233105431.747262</v>
      </c>
    </row>
    <row r="451" spans="1:48" x14ac:dyDescent="0.35">
      <c r="A451" s="107">
        <f xml:space="preserve"> ROW( slrImpacts[[#This Row],[row_id]] ) - ROW( slrImpacts[[#Headers],[row_id]] )</f>
        <v>450</v>
      </c>
      <c r="B451" s="104">
        <v>2045</v>
      </c>
      <c r="C451" s="104" t="s">
        <v>221</v>
      </c>
      <c r="D451" s="104" t="s">
        <v>88</v>
      </c>
      <c r="E451" s="104" t="s">
        <v>922</v>
      </c>
      <c r="F451" s="104"/>
      <c r="G451" s="105">
        <v>0</v>
      </c>
      <c r="H451" s="105">
        <v>0</v>
      </c>
      <c r="I451" s="105">
        <v>0</v>
      </c>
      <c r="J451" s="105">
        <v>0</v>
      </c>
      <c r="K451" s="105">
        <v>0</v>
      </c>
      <c r="L451" s="105">
        <v>0</v>
      </c>
      <c r="M451" s="106">
        <v>1203423861.378258</v>
      </c>
      <c r="N451" s="106">
        <v>1820900472.170841</v>
      </c>
      <c r="O451" s="106">
        <v>5474060719.0776777</v>
      </c>
      <c r="P451" s="106">
        <v>13424347377.411587</v>
      </c>
      <c r="Q451" s="106">
        <v>25223286401.840328</v>
      </c>
      <c r="R451" s="106">
        <v>33682631531.769905</v>
      </c>
      <c r="S451" s="105">
        <v>0</v>
      </c>
      <c r="T451" s="105">
        <v>0</v>
      </c>
      <c r="U451" s="105">
        <v>0</v>
      </c>
      <c r="V451" s="105">
        <v>0</v>
      </c>
      <c r="W451" s="105">
        <v>0</v>
      </c>
      <c r="X451" s="105">
        <v>0</v>
      </c>
      <c r="Y451" s="106">
        <v>19348320.812369224</v>
      </c>
      <c r="Z451" s="106">
        <v>24332447.250670385</v>
      </c>
      <c r="AA451" s="106">
        <v>43476058.996368416</v>
      </c>
      <c r="AB451" s="108">
        <v>86638963.429059893</v>
      </c>
      <c r="AC451" s="108">
        <v>185086330.72652727</v>
      </c>
      <c r="AD451" s="108">
        <v>317547684.90004039</v>
      </c>
      <c r="AE451" s="108">
        <v>3772057026.3036566</v>
      </c>
      <c r="AF451" s="108">
        <v>5447607803.1262093</v>
      </c>
      <c r="AG451" s="108">
        <v>13403235606.852432</v>
      </c>
      <c r="AH451" s="108">
        <v>26397714582.981339</v>
      </c>
      <c r="AI451" s="108">
        <v>13093624218.67704</v>
      </c>
      <c r="AJ451" s="108">
        <v>56158651970.039291</v>
      </c>
      <c r="AK451" s="108">
        <v>2407850280.3356533</v>
      </c>
      <c r="AL451" s="108">
        <v>3710147461.4939499</v>
      </c>
      <c r="AM451" s="108">
        <v>10269731123.096361</v>
      </c>
      <c r="AN451" s="108">
        <v>21174230848.83662</v>
      </c>
      <c r="AO451" s="108">
        <v>32601932968.450829</v>
      </c>
      <c r="AP451" s="108">
        <v>38975246695.246078</v>
      </c>
      <c r="AQ451" s="108">
        <v>83423474.851402923</v>
      </c>
      <c r="AR451" s="108">
        <v>138701725.36889821</v>
      </c>
      <c r="AS451" s="108">
        <v>414199750.42791802</v>
      </c>
      <c r="AT451" s="108">
        <v>1135645478.3436637</v>
      </c>
      <c r="AU451" s="108">
        <v>2870584017.1736536</v>
      </c>
      <c r="AV451" s="108">
        <v>4818910089.1026325</v>
      </c>
    </row>
    <row r="452" spans="1:48" x14ac:dyDescent="0.35">
      <c r="A452" s="107">
        <f xml:space="preserve"> ROW( slrImpacts[[#This Row],[row_id]] ) - ROW( slrImpacts[[#Headers],[row_id]] )</f>
        <v>451</v>
      </c>
      <c r="B452" s="104">
        <v>2046</v>
      </c>
      <c r="C452" s="104" t="s">
        <v>221</v>
      </c>
      <c r="D452" s="104" t="s">
        <v>88</v>
      </c>
      <c r="E452" s="104" t="s">
        <v>922</v>
      </c>
      <c r="F452" s="104"/>
      <c r="G452" s="105">
        <v>0</v>
      </c>
      <c r="H452" s="105">
        <v>0</v>
      </c>
      <c r="I452" s="105">
        <v>0</v>
      </c>
      <c r="J452" s="105">
        <v>0</v>
      </c>
      <c r="K452" s="105">
        <v>0</v>
      </c>
      <c r="L452" s="105">
        <v>0</v>
      </c>
      <c r="M452" s="106">
        <v>1259220024.451894</v>
      </c>
      <c r="N452" s="106">
        <v>1922783364.1618986</v>
      </c>
      <c r="O452" s="106">
        <v>5952242811.1914053</v>
      </c>
      <c r="P452" s="106">
        <v>14644253404.102722</v>
      </c>
      <c r="Q452" s="106">
        <v>27295828841.83173</v>
      </c>
      <c r="R452" s="106">
        <v>36246487457.914879</v>
      </c>
      <c r="S452" s="105">
        <v>0</v>
      </c>
      <c r="T452" s="105">
        <v>0</v>
      </c>
      <c r="U452" s="105">
        <v>0</v>
      </c>
      <c r="V452" s="105">
        <v>0</v>
      </c>
      <c r="W452" s="105">
        <v>0</v>
      </c>
      <c r="X452" s="105">
        <v>0</v>
      </c>
      <c r="Y452" s="106">
        <v>19785100.105836499</v>
      </c>
      <c r="Z452" s="106">
        <v>25088227.819845211</v>
      </c>
      <c r="AA452" s="106">
        <v>45977834.982661165</v>
      </c>
      <c r="AB452" s="108">
        <v>93896874.177156672</v>
      </c>
      <c r="AC452" s="108">
        <v>205425575.26027545</v>
      </c>
      <c r="AD452" s="108">
        <v>356705289.18769425</v>
      </c>
      <c r="AE452" s="108">
        <v>4141575645.8351765</v>
      </c>
      <c r="AF452" s="108">
        <v>5972021263.1312037</v>
      </c>
      <c r="AG452" s="108">
        <v>14746891497.338652</v>
      </c>
      <c r="AH452" s="108">
        <v>28916593844.570625</v>
      </c>
      <c r="AI452" s="108">
        <v>14630878820.566931</v>
      </c>
      <c r="AJ452" s="108">
        <v>59947280388.79245</v>
      </c>
      <c r="AK452" s="108">
        <v>2638270086.5023131</v>
      </c>
      <c r="AL452" s="108">
        <v>4073723126.8838882</v>
      </c>
      <c r="AM452" s="108">
        <v>11415947248.137362</v>
      </c>
      <c r="AN452" s="108">
        <v>23192403394.128872</v>
      </c>
      <c r="AO452" s="108">
        <v>34808958280.782585</v>
      </c>
      <c r="AP452" s="108">
        <v>40970445651.342064</v>
      </c>
      <c r="AQ452" s="108">
        <v>88156845.405030042</v>
      </c>
      <c r="AR452" s="108">
        <v>148134007.9161433</v>
      </c>
      <c r="AS452" s="108">
        <v>458196367.63144946</v>
      </c>
      <c r="AT452" s="108">
        <v>1279658088.4769406</v>
      </c>
      <c r="AU452" s="108">
        <v>3261625300.8110833</v>
      </c>
      <c r="AV452" s="108">
        <v>5474953634.334115</v>
      </c>
    </row>
    <row r="453" spans="1:48" x14ac:dyDescent="0.35">
      <c r="A453" s="107">
        <f xml:space="preserve"> ROW( slrImpacts[[#This Row],[row_id]] ) - ROW( slrImpacts[[#Headers],[row_id]] )</f>
        <v>452</v>
      </c>
      <c r="B453" s="104">
        <v>2047</v>
      </c>
      <c r="C453" s="104" t="s">
        <v>221</v>
      </c>
      <c r="D453" s="104" t="s">
        <v>88</v>
      </c>
      <c r="E453" s="104" t="s">
        <v>922</v>
      </c>
      <c r="F453" s="104"/>
      <c r="G453" s="105">
        <v>0</v>
      </c>
      <c r="H453" s="105">
        <v>0</v>
      </c>
      <c r="I453" s="105">
        <v>0</v>
      </c>
      <c r="J453" s="105">
        <v>0</v>
      </c>
      <c r="K453" s="105">
        <v>0</v>
      </c>
      <c r="L453" s="105">
        <v>0</v>
      </c>
      <c r="M453" s="106">
        <v>1318542194.9896965</v>
      </c>
      <c r="N453" s="106">
        <v>2030676419.1289451</v>
      </c>
      <c r="O453" s="106">
        <v>6469937159.2055435</v>
      </c>
      <c r="P453" s="106">
        <v>15942388713.286001</v>
      </c>
      <c r="Q453" s="106">
        <v>29439634814.676067</v>
      </c>
      <c r="R453" s="106">
        <v>38857742734.343605</v>
      </c>
      <c r="S453" s="105">
        <v>0</v>
      </c>
      <c r="T453" s="105">
        <v>0</v>
      </c>
      <c r="U453" s="105">
        <v>0</v>
      </c>
      <c r="V453" s="105">
        <v>0</v>
      </c>
      <c r="W453" s="105">
        <v>0</v>
      </c>
      <c r="X453" s="105">
        <v>0</v>
      </c>
      <c r="Y453" s="106">
        <v>20230403.187057752</v>
      </c>
      <c r="Z453" s="106">
        <v>25853920.274558116</v>
      </c>
      <c r="AA453" s="106">
        <v>48608595.324904054</v>
      </c>
      <c r="AB453" s="108">
        <v>101755460.28089997</v>
      </c>
      <c r="AC453" s="108">
        <v>227783334.97226137</v>
      </c>
      <c r="AD453" s="108">
        <v>399770140.3377353</v>
      </c>
      <c r="AE453" s="108">
        <v>4536283552.7408895</v>
      </c>
      <c r="AF453" s="108">
        <v>6533470126.7586184</v>
      </c>
      <c r="AG453" s="108">
        <v>16191416395.13022</v>
      </c>
      <c r="AH453" s="108">
        <v>31549549973.637074</v>
      </c>
      <c r="AI453" s="108">
        <v>16264515401.928791</v>
      </c>
      <c r="AJ453" s="108">
        <v>63676042519.996552</v>
      </c>
      <c r="AK453" s="108">
        <v>2887463053.8455019</v>
      </c>
      <c r="AL453" s="108">
        <v>4466723305.1007185</v>
      </c>
      <c r="AM453" s="108">
        <v>12654580052.470789</v>
      </c>
      <c r="AN453" s="108">
        <v>25255612767.381271</v>
      </c>
      <c r="AO453" s="108">
        <v>36940171826.933861</v>
      </c>
      <c r="AP453" s="108">
        <v>42834812794.121399</v>
      </c>
      <c r="AQ453" s="108">
        <v>93020125.34418121</v>
      </c>
      <c r="AR453" s="108">
        <v>157976204.88567454</v>
      </c>
      <c r="AS453" s="108">
        <v>505807221.59070212</v>
      </c>
      <c r="AT453" s="108">
        <v>1438574499.8517125</v>
      </c>
      <c r="AU453" s="108">
        <v>3691789874.4677844</v>
      </c>
      <c r="AV453" s="108">
        <v>6196480019.9012842</v>
      </c>
    </row>
    <row r="454" spans="1:48" x14ac:dyDescent="0.35">
      <c r="A454" s="107">
        <f xml:space="preserve"> ROW( slrImpacts[[#This Row],[row_id]] ) - ROW( slrImpacts[[#Headers],[row_id]] )</f>
        <v>453</v>
      </c>
      <c r="B454" s="104">
        <v>2048</v>
      </c>
      <c r="C454" s="104" t="s">
        <v>221</v>
      </c>
      <c r="D454" s="104" t="s">
        <v>88</v>
      </c>
      <c r="E454" s="104" t="s">
        <v>922</v>
      </c>
      <c r="F454" s="104"/>
      <c r="G454" s="105">
        <v>0</v>
      </c>
      <c r="H454" s="105">
        <v>0</v>
      </c>
      <c r="I454" s="105">
        <v>0</v>
      </c>
      <c r="J454" s="105">
        <v>0</v>
      </c>
      <c r="K454" s="105">
        <v>0</v>
      </c>
      <c r="L454" s="105">
        <v>0</v>
      </c>
      <c r="M454" s="106">
        <v>1381442734.1926429</v>
      </c>
      <c r="N454" s="106">
        <v>2144809036.0296073</v>
      </c>
      <c r="O454" s="106">
        <v>7028308148.0876417</v>
      </c>
      <c r="P454" s="106">
        <v>17317599335.322021</v>
      </c>
      <c r="Q454" s="106">
        <v>31647132489.418247</v>
      </c>
      <c r="R454" s="106">
        <v>41505522079.304024</v>
      </c>
      <c r="S454" s="105">
        <v>0</v>
      </c>
      <c r="T454" s="105">
        <v>0</v>
      </c>
      <c r="U454" s="105">
        <v>0</v>
      </c>
      <c r="V454" s="105">
        <v>0</v>
      </c>
      <c r="W454" s="105">
        <v>0</v>
      </c>
      <c r="X454" s="105">
        <v>0</v>
      </c>
      <c r="Y454" s="106">
        <v>20681446.025350016</v>
      </c>
      <c r="Z454" s="106">
        <v>26634591.320970651</v>
      </c>
      <c r="AA454" s="106">
        <v>51391693.937721677</v>
      </c>
      <c r="AB454" s="108">
        <v>110252883.1256149</v>
      </c>
      <c r="AC454" s="108">
        <v>252302527.8251189</v>
      </c>
      <c r="AD454" s="108">
        <v>446929044.09065634</v>
      </c>
      <c r="AE454" s="108">
        <v>4957133109.5400572</v>
      </c>
      <c r="AF454" s="108">
        <v>7138269925.3565874</v>
      </c>
      <c r="AG454" s="108">
        <v>17731977628.623974</v>
      </c>
      <c r="AH454" s="108">
        <v>34283483470.908405</v>
      </c>
      <c r="AI454" s="108">
        <v>17985446705.528458</v>
      </c>
      <c r="AJ454" s="108">
        <v>67337418070.208717</v>
      </c>
      <c r="AK454" s="108">
        <v>3156388690.9828801</v>
      </c>
      <c r="AL454" s="108">
        <v>4890866727.6352253</v>
      </c>
      <c r="AM454" s="108">
        <v>13988469859.253401</v>
      </c>
      <c r="AN454" s="108">
        <v>27341787454.228889</v>
      </c>
      <c r="AO454" s="108">
        <v>38980114872.323593</v>
      </c>
      <c r="AP454" s="108">
        <v>44566991352.659676</v>
      </c>
      <c r="AQ454" s="108">
        <v>98009805.983823076</v>
      </c>
      <c r="AR454" s="108">
        <v>168218209.03260958</v>
      </c>
      <c r="AS454" s="108">
        <v>557195327.63789511</v>
      </c>
      <c r="AT454" s="108">
        <v>1613679513.3451979</v>
      </c>
      <c r="AU454" s="108">
        <v>4162784766.6403623</v>
      </c>
      <c r="AV454" s="108">
        <v>6986290050.9604321</v>
      </c>
    </row>
    <row r="455" spans="1:48" x14ac:dyDescent="0.35">
      <c r="A455" s="107">
        <f xml:space="preserve"> ROW( slrImpacts[[#This Row],[row_id]] ) - ROW( slrImpacts[[#Headers],[row_id]] )</f>
        <v>454</v>
      </c>
      <c r="B455" s="104">
        <v>2049</v>
      </c>
      <c r="C455" s="104" t="s">
        <v>221</v>
      </c>
      <c r="D455" s="104" t="s">
        <v>88</v>
      </c>
      <c r="E455" s="104" t="s">
        <v>922</v>
      </c>
      <c r="F455" s="104"/>
      <c r="G455" s="105">
        <v>0</v>
      </c>
      <c r="H455" s="105">
        <v>0</v>
      </c>
      <c r="I455" s="105">
        <v>0</v>
      </c>
      <c r="J455" s="105">
        <v>0</v>
      </c>
      <c r="K455" s="105">
        <v>0</v>
      </c>
      <c r="L455" s="105">
        <v>0</v>
      </c>
      <c r="M455" s="106">
        <v>1448258536.9578412</v>
      </c>
      <c r="N455" s="106">
        <v>2265649195.8692474</v>
      </c>
      <c r="O455" s="106">
        <v>7629732455.5102043</v>
      </c>
      <c r="P455" s="106">
        <v>18768362767.213314</v>
      </c>
      <c r="Q455" s="106">
        <v>33908385722.851917</v>
      </c>
      <c r="R455" s="106">
        <v>44181440165.672775</v>
      </c>
      <c r="S455" s="105">
        <v>0</v>
      </c>
      <c r="T455" s="105">
        <v>0</v>
      </c>
      <c r="U455" s="105">
        <v>0</v>
      </c>
      <c r="V455" s="105">
        <v>0</v>
      </c>
      <c r="W455" s="105">
        <v>0</v>
      </c>
      <c r="X455" s="105">
        <v>0</v>
      </c>
      <c r="Y455" s="106">
        <v>21139421.754724689</v>
      </c>
      <c r="Z455" s="106">
        <v>27433393.481096677</v>
      </c>
      <c r="AA455" s="106">
        <v>54318148.368384898</v>
      </c>
      <c r="AB455" s="108">
        <v>119474555.78160742</v>
      </c>
      <c r="AC455" s="108">
        <v>279045018.32372236</v>
      </c>
      <c r="AD455" s="108">
        <v>498242065.6096881</v>
      </c>
      <c r="AE455" s="108">
        <v>5405377844.7637243</v>
      </c>
      <c r="AF455" s="108">
        <v>7785544598.1299553</v>
      </c>
      <c r="AG455" s="108">
        <v>19370063748.097919</v>
      </c>
      <c r="AH455" s="108">
        <v>37105812213.966438</v>
      </c>
      <c r="AI455" s="108">
        <v>19783983826.993565</v>
      </c>
      <c r="AJ455" s="108">
        <v>70922499859.174255</v>
      </c>
      <c r="AK455" s="108">
        <v>3446459458.7086272</v>
      </c>
      <c r="AL455" s="108">
        <v>5347416782.0178757</v>
      </c>
      <c r="AM455" s="108">
        <v>15411066664.337994</v>
      </c>
      <c r="AN455" s="108">
        <v>29437619336.971054</v>
      </c>
      <c r="AO455" s="108">
        <v>40929460822.654915</v>
      </c>
      <c r="AP455" s="108">
        <v>46171746373.284302</v>
      </c>
      <c r="AQ455" s="108">
        <v>103137129.87565337</v>
      </c>
      <c r="AR455" s="108">
        <v>178895036.36742797</v>
      </c>
      <c r="AS455" s="108">
        <v>612603538.93095899</v>
      </c>
      <c r="AT455" s="108">
        <v>1805283252.0765309</v>
      </c>
      <c r="AU455" s="108">
        <v>4676034903.0927429</v>
      </c>
      <c r="AV455" s="108">
        <v>7847387498.4750738</v>
      </c>
    </row>
    <row r="456" spans="1:48" x14ac:dyDescent="0.35">
      <c r="A456" s="107">
        <f xml:space="preserve"> ROW( slrImpacts[[#This Row],[row_id]] ) - ROW( slrImpacts[[#Headers],[row_id]] )</f>
        <v>455</v>
      </c>
      <c r="B456" s="104">
        <v>2050</v>
      </c>
      <c r="C456" s="104" t="s">
        <v>221</v>
      </c>
      <c r="D456" s="104" t="s">
        <v>88</v>
      </c>
      <c r="E456" s="104" t="s">
        <v>922</v>
      </c>
      <c r="F456" s="104"/>
      <c r="G456" s="105">
        <v>0</v>
      </c>
      <c r="H456" s="105">
        <v>0</v>
      </c>
      <c r="I456" s="105">
        <v>0</v>
      </c>
      <c r="J456" s="105">
        <v>0</v>
      </c>
      <c r="K456" s="105">
        <v>0</v>
      </c>
      <c r="L456" s="105">
        <v>0</v>
      </c>
      <c r="M456" s="106">
        <v>1519213253.0218937</v>
      </c>
      <c r="N456" s="106">
        <v>2393564496.0883989</v>
      </c>
      <c r="O456" s="106">
        <v>8274951730.3446913</v>
      </c>
      <c r="P456" s="106">
        <v>20293077841.109047</v>
      </c>
      <c r="Q456" s="106">
        <v>36215584938.342278</v>
      </c>
      <c r="R456" s="106">
        <v>46879312559.696518</v>
      </c>
      <c r="S456" s="105">
        <v>0</v>
      </c>
      <c r="T456" s="105">
        <v>0</v>
      </c>
      <c r="U456" s="105">
        <v>0</v>
      </c>
      <c r="V456" s="105">
        <v>0</v>
      </c>
      <c r="W456" s="105">
        <v>0</v>
      </c>
      <c r="X456" s="105">
        <v>0</v>
      </c>
      <c r="Y456" s="106">
        <v>21611081.405866541</v>
      </c>
      <c r="Z456" s="106">
        <v>28242075.155663852</v>
      </c>
      <c r="AA456" s="106">
        <v>57390509.941058561</v>
      </c>
      <c r="AB456" s="108">
        <v>129438449.55538209</v>
      </c>
      <c r="AC456" s="108">
        <v>308126278.37969232</v>
      </c>
      <c r="AD456" s="108">
        <v>553700036.78750896</v>
      </c>
      <c r="AE456" s="108">
        <v>5880484291.8729134</v>
      </c>
      <c r="AF456" s="108">
        <v>8473971518.3470898</v>
      </c>
      <c r="AG456" s="108">
        <v>21099655544.328266</v>
      </c>
      <c r="AH456" s="108">
        <v>40002949757.058525</v>
      </c>
      <c r="AI456" s="108">
        <v>21652308920.026642</v>
      </c>
      <c r="AJ456" s="108">
        <v>74436773899.734848</v>
      </c>
      <c r="AK456" s="108">
        <v>3760033187.2077503</v>
      </c>
      <c r="AL456" s="108">
        <v>5840435035.1172752</v>
      </c>
      <c r="AM456" s="108">
        <v>16923115016.084351</v>
      </c>
      <c r="AN456" s="108">
        <v>31529022462.322983</v>
      </c>
      <c r="AO456" s="108">
        <v>42779004396.605515</v>
      </c>
      <c r="AP456" s="108">
        <v>47658982921.251183</v>
      </c>
      <c r="AQ456" s="108">
        <v>108392511.66878913</v>
      </c>
      <c r="AR456" s="108">
        <v>189996165.20865709</v>
      </c>
      <c r="AS456" s="108">
        <v>672197418.03364778</v>
      </c>
      <c r="AT456" s="108">
        <v>2014658712.0573378</v>
      </c>
      <c r="AU456" s="108">
        <v>5233275471.109107</v>
      </c>
      <c r="AV456" s="108">
        <v>8782463572.1432056</v>
      </c>
    </row>
    <row r="457" spans="1:48" x14ac:dyDescent="0.35">
      <c r="A457" s="107">
        <f xml:space="preserve"> ROW( slrImpacts[[#This Row],[row_id]] ) - ROW( slrImpacts[[#Headers],[row_id]] )</f>
        <v>456</v>
      </c>
      <c r="B457" s="104">
        <v>2051</v>
      </c>
      <c r="C457" s="104" t="s">
        <v>221</v>
      </c>
      <c r="D457" s="104" t="s">
        <v>88</v>
      </c>
      <c r="E457" s="104" t="s">
        <v>922</v>
      </c>
      <c r="F457" s="104"/>
      <c r="G457" s="105">
        <v>0</v>
      </c>
      <c r="H457" s="105">
        <v>0</v>
      </c>
      <c r="I457" s="105">
        <v>0</v>
      </c>
      <c r="J457" s="105">
        <v>0</v>
      </c>
      <c r="K457" s="105">
        <v>0</v>
      </c>
      <c r="L457" s="105">
        <v>0</v>
      </c>
      <c r="M457" s="106">
        <v>1594414602.3154457</v>
      </c>
      <c r="N457" s="106">
        <v>2528945025.953589</v>
      </c>
      <c r="O457" s="106">
        <v>8964569461.144598</v>
      </c>
      <c r="P457" s="106">
        <v>21888260180.799332</v>
      </c>
      <c r="Q457" s="106">
        <v>38561788203.989265</v>
      </c>
      <c r="R457" s="106">
        <v>49596242124.727028</v>
      </c>
      <c r="S457" s="105">
        <v>0</v>
      </c>
      <c r="T457" s="105">
        <v>0</v>
      </c>
      <c r="U457" s="105">
        <v>0</v>
      </c>
      <c r="V457" s="105">
        <v>0</v>
      </c>
      <c r="W457" s="105">
        <v>0</v>
      </c>
      <c r="X457" s="105">
        <v>0</v>
      </c>
      <c r="Y457" s="106">
        <v>22087623.484873071</v>
      </c>
      <c r="Z457" s="106">
        <v>29068267.988076612</v>
      </c>
      <c r="AA457" s="106">
        <v>60632851.273426399</v>
      </c>
      <c r="AB457" s="108">
        <v>140198336.39986792</v>
      </c>
      <c r="AC457" s="108">
        <v>339620528.19247651</v>
      </c>
      <c r="AD457" s="108">
        <v>613286085.74691975</v>
      </c>
      <c r="AE457" s="108">
        <v>6381096656.7157335</v>
      </c>
      <c r="AF457" s="108">
        <v>9205550986.2963848</v>
      </c>
      <c r="AG457" s="108">
        <v>22921094283.03281</v>
      </c>
      <c r="AH457" s="108">
        <v>42959045950.908974</v>
      </c>
      <c r="AI457" s="108">
        <v>23583429967.804462</v>
      </c>
      <c r="AJ457" s="108">
        <v>77881466971.868866</v>
      </c>
      <c r="AK457" s="108">
        <v>4097478151.3114524</v>
      </c>
      <c r="AL457" s="108">
        <v>6368893191.8462639</v>
      </c>
      <c r="AM457" s="108">
        <v>18512710244.161247</v>
      </c>
      <c r="AN457" s="108">
        <v>33592670928.218479</v>
      </c>
      <c r="AO457" s="108">
        <v>44526979542.717773</v>
      </c>
      <c r="AP457" s="108">
        <v>49033486365.475067</v>
      </c>
      <c r="AQ457" s="108">
        <v>113758606.22778903</v>
      </c>
      <c r="AR457" s="108">
        <v>201533448.78814209</v>
      </c>
      <c r="AS457" s="108">
        <v>736195207.05343413</v>
      </c>
      <c r="AT457" s="108">
        <v>2242638496.0786157</v>
      </c>
      <c r="AU457" s="108">
        <v>5836011947.3334417</v>
      </c>
      <c r="AV457" s="108">
        <v>9794364139.5702591</v>
      </c>
    </row>
    <row r="458" spans="1:48" x14ac:dyDescent="0.35">
      <c r="A458" s="107">
        <f xml:space="preserve"> ROW( slrImpacts[[#This Row],[row_id]] ) - ROW( slrImpacts[[#Headers],[row_id]] )</f>
        <v>457</v>
      </c>
      <c r="B458" s="104">
        <v>2052</v>
      </c>
      <c r="C458" s="104" t="s">
        <v>221</v>
      </c>
      <c r="D458" s="104" t="s">
        <v>88</v>
      </c>
      <c r="E458" s="104" t="s">
        <v>922</v>
      </c>
      <c r="F458" s="104"/>
      <c r="G458" s="105">
        <v>0</v>
      </c>
      <c r="H458" s="105">
        <v>0</v>
      </c>
      <c r="I458" s="105">
        <v>0</v>
      </c>
      <c r="J458" s="105">
        <v>0</v>
      </c>
      <c r="K458" s="105">
        <v>0</v>
      </c>
      <c r="L458" s="105">
        <v>0</v>
      </c>
      <c r="M458" s="106">
        <v>1674179905.9457347</v>
      </c>
      <c r="N458" s="106">
        <v>2672192002.7247071</v>
      </c>
      <c r="O458" s="106">
        <v>9700027888.1194954</v>
      </c>
      <c r="P458" s="106">
        <v>23550917315.043415</v>
      </c>
      <c r="Q458" s="106">
        <v>40940794873.144287</v>
      </c>
      <c r="R458" s="106">
        <v>52328230359.681305</v>
      </c>
      <c r="S458" s="105">
        <v>0</v>
      </c>
      <c r="T458" s="105">
        <v>0</v>
      </c>
      <c r="U458" s="105">
        <v>0</v>
      </c>
      <c r="V458" s="105">
        <v>0</v>
      </c>
      <c r="W458" s="105">
        <v>0</v>
      </c>
      <c r="X458" s="105">
        <v>0</v>
      </c>
      <c r="Y458" s="106">
        <v>22575451.830991015</v>
      </c>
      <c r="Z458" s="106">
        <v>29905593.198974852</v>
      </c>
      <c r="AA458" s="106">
        <v>64054901.45720581</v>
      </c>
      <c r="AB458" s="108">
        <v>151781566.70475572</v>
      </c>
      <c r="AC458" s="108">
        <v>373581166.39413244</v>
      </c>
      <c r="AD458" s="108">
        <v>676971882.8792429</v>
      </c>
      <c r="AE458" s="108">
        <v>6909778068.6362286</v>
      </c>
      <c r="AF458" s="108">
        <v>9980358385.7844124</v>
      </c>
      <c r="AG458" s="108">
        <v>24828656362.137913</v>
      </c>
      <c r="AH458" s="108">
        <v>45965132358.541214</v>
      </c>
      <c r="AI458" s="108">
        <v>25571560876.992523</v>
      </c>
      <c r="AJ458" s="108">
        <v>81264018061.577988</v>
      </c>
      <c r="AK458" s="108">
        <v>4460027430.8360596</v>
      </c>
      <c r="AL458" s="108">
        <v>6934283092.8704319</v>
      </c>
      <c r="AM458" s="108">
        <v>20180535649.054348</v>
      </c>
      <c r="AN458" s="108">
        <v>35625017362.493286</v>
      </c>
      <c r="AO458" s="108">
        <v>46176027883.775627</v>
      </c>
      <c r="AP458" s="108">
        <v>50305503405.326324</v>
      </c>
      <c r="AQ458" s="108">
        <v>119255271.61932865</v>
      </c>
      <c r="AR458" s="108">
        <v>213530796.96808997</v>
      </c>
      <c r="AS458" s="108">
        <v>804770085.58068764</v>
      </c>
      <c r="AT458" s="108">
        <v>2489767503.4154739</v>
      </c>
      <c r="AU458" s="108">
        <v>6485584322.9972687</v>
      </c>
      <c r="AV458" s="108">
        <v>10883532255.088717</v>
      </c>
    </row>
    <row r="459" spans="1:48" x14ac:dyDescent="0.35">
      <c r="A459" s="107">
        <f xml:space="preserve"> ROW( slrImpacts[[#This Row],[row_id]] ) - ROW( slrImpacts[[#Headers],[row_id]] )</f>
        <v>458</v>
      </c>
      <c r="B459" s="104">
        <v>2053</v>
      </c>
      <c r="C459" s="104" t="s">
        <v>221</v>
      </c>
      <c r="D459" s="104" t="s">
        <v>88</v>
      </c>
      <c r="E459" s="104" t="s">
        <v>922</v>
      </c>
      <c r="F459" s="104"/>
      <c r="G459" s="105">
        <v>0</v>
      </c>
      <c r="H459" s="105">
        <v>0</v>
      </c>
      <c r="I459" s="105">
        <v>0</v>
      </c>
      <c r="J459" s="105">
        <v>0</v>
      </c>
      <c r="K459" s="105">
        <v>0</v>
      </c>
      <c r="L459" s="105">
        <v>0</v>
      </c>
      <c r="M459" s="106">
        <v>1758683401.8745484</v>
      </c>
      <c r="N459" s="106">
        <v>2823593344.4834499</v>
      </c>
      <c r="O459" s="106">
        <v>10482912808.015657</v>
      </c>
      <c r="P459" s="106">
        <v>25278540682.717533</v>
      </c>
      <c r="Q459" s="106">
        <v>43347851872.830193</v>
      </c>
      <c r="R459" s="106">
        <v>55073759207.909103</v>
      </c>
      <c r="S459" s="105">
        <v>0</v>
      </c>
      <c r="T459" s="105">
        <v>0</v>
      </c>
      <c r="U459" s="105">
        <v>0</v>
      </c>
      <c r="V459" s="105">
        <v>0</v>
      </c>
      <c r="W459" s="105">
        <v>0</v>
      </c>
      <c r="X459" s="105">
        <v>0</v>
      </c>
      <c r="Y459" s="106">
        <v>23072051.58026563</v>
      </c>
      <c r="Z459" s="106">
        <v>30752365.199578352</v>
      </c>
      <c r="AA459" s="106">
        <v>67660268.315111771</v>
      </c>
      <c r="AB459" s="108">
        <v>164254240.40604675</v>
      </c>
      <c r="AC459" s="108">
        <v>410066150.25838822</v>
      </c>
      <c r="AD459" s="108">
        <v>744806370.08043814</v>
      </c>
      <c r="AE459" s="108">
        <v>7465328449.1095858</v>
      </c>
      <c r="AF459" s="108">
        <v>10798627288.563181</v>
      </c>
      <c r="AG459" s="108">
        <v>26814940740.13055</v>
      </c>
      <c r="AH459" s="108">
        <v>49005851873.44236</v>
      </c>
      <c r="AI459" s="108">
        <v>27613317372.682846</v>
      </c>
      <c r="AJ459" s="108">
        <v>84590670729.779816</v>
      </c>
      <c r="AK459" s="108">
        <v>4849923110.7752743</v>
      </c>
      <c r="AL459" s="108">
        <v>7540017770.6178379</v>
      </c>
      <c r="AM459" s="108">
        <v>21915211761.895298</v>
      </c>
      <c r="AN459" s="108">
        <v>37612227440.713493</v>
      </c>
      <c r="AO459" s="108">
        <v>47732989275.333855</v>
      </c>
      <c r="AP459" s="108">
        <v>51481700205.107979</v>
      </c>
      <c r="AQ459" s="108">
        <v>124880036.33378738</v>
      </c>
      <c r="AR459" s="108">
        <v>226001239.3876175</v>
      </c>
      <c r="AS459" s="108">
        <v>878239644.8923198</v>
      </c>
      <c r="AT459" s="108">
        <v>2756550874.8904271</v>
      </c>
      <c r="AU459" s="108">
        <v>7183725373.6596184</v>
      </c>
      <c r="AV459" s="108">
        <v>12051518797.48245</v>
      </c>
    </row>
    <row r="460" spans="1:48" x14ac:dyDescent="0.35">
      <c r="A460" s="107">
        <f xml:space="preserve"> ROW( slrImpacts[[#This Row],[row_id]] ) - ROW( slrImpacts[[#Headers],[row_id]] )</f>
        <v>459</v>
      </c>
      <c r="B460" s="104">
        <v>2054</v>
      </c>
      <c r="C460" s="104" t="s">
        <v>221</v>
      </c>
      <c r="D460" s="104" t="s">
        <v>88</v>
      </c>
      <c r="E460" s="104" t="s">
        <v>922</v>
      </c>
      <c r="F460" s="104"/>
      <c r="G460" s="105">
        <v>0</v>
      </c>
      <c r="H460" s="105">
        <v>0</v>
      </c>
      <c r="I460" s="105">
        <v>0</v>
      </c>
      <c r="J460" s="105">
        <v>0</v>
      </c>
      <c r="K460" s="105">
        <v>0</v>
      </c>
      <c r="L460" s="105">
        <v>0</v>
      </c>
      <c r="M460" s="106">
        <v>1848202302.8430042</v>
      </c>
      <c r="N460" s="106">
        <v>2983512644.1259446</v>
      </c>
      <c r="O460" s="106">
        <v>11313377833.724968</v>
      </c>
      <c r="P460" s="106">
        <v>27066088297.493233</v>
      </c>
      <c r="Q460" s="106">
        <v>45779566448.80587</v>
      </c>
      <c r="R460" s="106">
        <v>57832255009.580559</v>
      </c>
      <c r="S460" s="105">
        <v>0</v>
      </c>
      <c r="T460" s="105">
        <v>0</v>
      </c>
      <c r="U460" s="105">
        <v>0</v>
      </c>
      <c r="V460" s="105">
        <v>0</v>
      </c>
      <c r="W460" s="105">
        <v>0</v>
      </c>
      <c r="X460" s="105">
        <v>0</v>
      </c>
      <c r="Y460" s="106">
        <v>23574342.036047421</v>
      </c>
      <c r="Z460" s="106">
        <v>31624294.68943771</v>
      </c>
      <c r="AA460" s="106">
        <v>71462951.231012627</v>
      </c>
      <c r="AB460" s="108">
        <v>177687663.90158337</v>
      </c>
      <c r="AC460" s="108">
        <v>449104113.25712371</v>
      </c>
      <c r="AD460" s="108">
        <v>816615393.5658294</v>
      </c>
      <c r="AE460" s="108">
        <v>8050136048.7596245</v>
      </c>
      <c r="AF460" s="108">
        <v>11660379973.736977</v>
      </c>
      <c r="AG460" s="108">
        <v>28882106318.111603</v>
      </c>
      <c r="AH460" s="108">
        <v>52069525472.961868</v>
      </c>
      <c r="AI460" s="108">
        <v>29705515419.610722</v>
      </c>
      <c r="AJ460" s="108">
        <v>87863616189.834244</v>
      </c>
      <c r="AK460" s="108">
        <v>5267542702.1370125</v>
      </c>
      <c r="AL460" s="108">
        <v>8183993092.0418482</v>
      </c>
      <c r="AM460" s="108">
        <v>23710834199.912262</v>
      </c>
      <c r="AN460" s="108">
        <v>39552938192.701096</v>
      </c>
      <c r="AO460" s="108">
        <v>49199557422.08934</v>
      </c>
      <c r="AP460" s="108">
        <v>52573149096.417183</v>
      </c>
      <c r="AQ460" s="108">
        <v>130627243.49440685</v>
      </c>
      <c r="AR460" s="108">
        <v>238952047.73048627</v>
      </c>
      <c r="AS460" s="108">
        <v>956669149.11632776</v>
      </c>
      <c r="AT460" s="108">
        <v>3044410621.7101145</v>
      </c>
      <c r="AU460" s="108">
        <v>7932493446.5545511</v>
      </c>
      <c r="AV460" s="108">
        <v>13298546133.866024</v>
      </c>
    </row>
    <row r="461" spans="1:48" x14ac:dyDescent="0.35">
      <c r="A461" s="107">
        <f xml:space="preserve"> ROW( slrImpacts[[#This Row],[row_id]] ) - ROW( slrImpacts[[#Headers],[row_id]] )</f>
        <v>460</v>
      </c>
      <c r="B461" s="104">
        <v>2055</v>
      </c>
      <c r="C461" s="104" t="s">
        <v>221</v>
      </c>
      <c r="D461" s="104" t="s">
        <v>88</v>
      </c>
      <c r="E461" s="104" t="s">
        <v>922</v>
      </c>
      <c r="F461" s="104"/>
      <c r="G461" s="105">
        <v>0</v>
      </c>
      <c r="H461" s="105">
        <v>0</v>
      </c>
      <c r="I461" s="105">
        <v>0</v>
      </c>
      <c r="J461" s="105">
        <v>0</v>
      </c>
      <c r="K461" s="105">
        <v>0</v>
      </c>
      <c r="L461" s="105">
        <v>0</v>
      </c>
      <c r="M461" s="106">
        <v>1942019812.0545011</v>
      </c>
      <c r="N461" s="106">
        <v>3151436387.5762687</v>
      </c>
      <c r="O461" s="106">
        <v>12191339738.746296</v>
      </c>
      <c r="P461" s="106">
        <v>28908553633.690205</v>
      </c>
      <c r="Q461" s="106">
        <v>48198598400.741043</v>
      </c>
      <c r="R461" s="106">
        <v>60604090263.22821</v>
      </c>
      <c r="S461" s="105">
        <v>0</v>
      </c>
      <c r="T461" s="105">
        <v>0</v>
      </c>
      <c r="U461" s="105">
        <v>0</v>
      </c>
      <c r="V461" s="105">
        <v>0</v>
      </c>
      <c r="W461" s="105">
        <v>0</v>
      </c>
      <c r="X461" s="105">
        <v>0</v>
      </c>
      <c r="Y461" s="106">
        <v>24085591.174391165</v>
      </c>
      <c r="Z461" s="106">
        <v>32496056.168450464</v>
      </c>
      <c r="AA461" s="106">
        <v>75427773.972279966</v>
      </c>
      <c r="AB461" s="108">
        <v>191162610.95925239</v>
      </c>
      <c r="AC461" s="108">
        <v>490702776.66801059</v>
      </c>
      <c r="AD461" s="108">
        <v>892061944.19420242</v>
      </c>
      <c r="AE461" s="108">
        <v>8661109604.9677162</v>
      </c>
      <c r="AF461" s="108">
        <v>12565099427.774509</v>
      </c>
      <c r="AG461" s="108">
        <v>31021069862.366615</v>
      </c>
      <c r="AH461" s="108">
        <v>55151602207.506187</v>
      </c>
      <c r="AI461" s="108">
        <v>31802456207.611546</v>
      </c>
      <c r="AJ461" s="108">
        <v>91058274571.318604</v>
      </c>
      <c r="AK461" s="108">
        <v>5710199349.9805288</v>
      </c>
      <c r="AL461" s="108">
        <v>8868508421.6410255</v>
      </c>
      <c r="AM461" s="108">
        <v>25537720036.848656</v>
      </c>
      <c r="AN461" s="108">
        <v>41428930244.010811</v>
      </c>
      <c r="AO461" s="108">
        <v>50579397825.211975</v>
      </c>
      <c r="AP461" s="108">
        <v>53586337106.200241</v>
      </c>
      <c r="AQ461" s="108">
        <v>136497496.03451249</v>
      </c>
      <c r="AR461" s="108">
        <v>252429653.62543622</v>
      </c>
      <c r="AS461" s="108">
        <v>1040361244.8443028</v>
      </c>
      <c r="AT461" s="108">
        <v>3353375352.2915897</v>
      </c>
      <c r="AU461" s="108">
        <v>8733019254.8714314</v>
      </c>
      <c r="AV461" s="108">
        <v>14619763245.415934</v>
      </c>
    </row>
    <row r="462" spans="1:48" x14ac:dyDescent="0.35">
      <c r="A462" s="107">
        <f xml:space="preserve"> ROW( slrImpacts[[#This Row],[row_id]] ) - ROW( slrImpacts[[#Headers],[row_id]] )</f>
        <v>461</v>
      </c>
      <c r="B462" s="104">
        <v>2056</v>
      </c>
      <c r="C462" s="104" t="s">
        <v>221</v>
      </c>
      <c r="D462" s="104" t="s">
        <v>88</v>
      </c>
      <c r="E462" s="104" t="s">
        <v>922</v>
      </c>
      <c r="F462" s="104"/>
      <c r="G462" s="105">
        <v>0</v>
      </c>
      <c r="H462" s="105">
        <v>0</v>
      </c>
      <c r="I462" s="105">
        <v>0</v>
      </c>
      <c r="J462" s="105">
        <v>0</v>
      </c>
      <c r="K462" s="105">
        <v>0</v>
      </c>
      <c r="L462" s="105">
        <v>0</v>
      </c>
      <c r="M462" s="106">
        <v>2039396688.8943715</v>
      </c>
      <c r="N462" s="106">
        <v>3327380572.1534081</v>
      </c>
      <c r="O462" s="106">
        <v>13124255781.598116</v>
      </c>
      <c r="P462" s="106">
        <v>30814623479.257683</v>
      </c>
      <c r="Q462" s="106">
        <v>50640928123.387489</v>
      </c>
      <c r="R462" s="106">
        <v>63408198320.342598</v>
      </c>
      <c r="S462" s="105">
        <v>0</v>
      </c>
      <c r="T462" s="105">
        <v>0</v>
      </c>
      <c r="U462" s="105">
        <v>0</v>
      </c>
      <c r="V462" s="105">
        <v>0</v>
      </c>
      <c r="W462" s="105">
        <v>0</v>
      </c>
      <c r="X462" s="105">
        <v>0</v>
      </c>
      <c r="Y462" s="106">
        <v>24604796.702564768</v>
      </c>
      <c r="Z462" s="106">
        <v>33389887.553409483</v>
      </c>
      <c r="AA462" s="106">
        <v>79665394.639444187</v>
      </c>
      <c r="AB462" s="108">
        <v>205917080.88670659</v>
      </c>
      <c r="AC462" s="108">
        <v>535759181.21018207</v>
      </c>
      <c r="AD462" s="108">
        <v>972732679.78121209</v>
      </c>
      <c r="AE462" s="108">
        <v>9300858716.5616531</v>
      </c>
      <c r="AF462" s="108">
        <v>13515809357.87324</v>
      </c>
      <c r="AG462" s="108">
        <v>33234050474.827744</v>
      </c>
      <c r="AH462" s="108">
        <v>58270958678.647675</v>
      </c>
      <c r="AI462" s="108">
        <v>33972980036.641727</v>
      </c>
      <c r="AJ462" s="108">
        <v>94225598531.345047</v>
      </c>
      <c r="AK462" s="108">
        <v>6177657082.1430597</v>
      </c>
      <c r="AL462" s="108">
        <v>9595427043.6123047</v>
      </c>
      <c r="AM462" s="108">
        <v>27414108575.676861</v>
      </c>
      <c r="AN462" s="108">
        <v>43269252935.349243</v>
      </c>
      <c r="AO462" s="108">
        <v>51891908368.788132</v>
      </c>
      <c r="AP462" s="108">
        <v>54543620567.293541</v>
      </c>
      <c r="AQ462" s="108">
        <v>142630696.41996869</v>
      </c>
      <c r="AR462" s="108">
        <v>266582161.77542886</v>
      </c>
      <c r="AS462" s="108">
        <v>1131760096.4065309</v>
      </c>
      <c r="AT462" s="108">
        <v>3692072720.6729708</v>
      </c>
      <c r="AU462" s="108">
        <v>9601243228.5692806</v>
      </c>
      <c r="AV462" s="108">
        <v>16042757682.985142</v>
      </c>
    </row>
    <row r="463" spans="1:48" x14ac:dyDescent="0.35">
      <c r="A463" s="107">
        <f xml:space="preserve"> ROW( slrImpacts[[#This Row],[row_id]] ) - ROW( slrImpacts[[#Headers],[row_id]] )</f>
        <v>462</v>
      </c>
      <c r="B463" s="104">
        <v>2057</v>
      </c>
      <c r="C463" s="104" t="s">
        <v>221</v>
      </c>
      <c r="D463" s="104" t="s">
        <v>88</v>
      </c>
      <c r="E463" s="104" t="s">
        <v>922</v>
      </c>
      <c r="F463" s="104"/>
      <c r="G463" s="105">
        <v>0</v>
      </c>
      <c r="H463" s="105">
        <v>0</v>
      </c>
      <c r="I463" s="105">
        <v>0</v>
      </c>
      <c r="J463" s="105">
        <v>0</v>
      </c>
      <c r="K463" s="105">
        <v>0</v>
      </c>
      <c r="L463" s="105">
        <v>0</v>
      </c>
      <c r="M463" s="106">
        <v>2139524213.4752262</v>
      </c>
      <c r="N463" s="106">
        <v>3510085652.7882051</v>
      </c>
      <c r="O463" s="106">
        <v>14104984368.827707</v>
      </c>
      <c r="P463" s="106">
        <v>32759062132.458019</v>
      </c>
      <c r="Q463" s="106">
        <v>53069089952.824898</v>
      </c>
      <c r="R463" s="106">
        <v>66199411732.351791</v>
      </c>
      <c r="S463" s="105">
        <v>0</v>
      </c>
      <c r="T463" s="105">
        <v>0</v>
      </c>
      <c r="U463" s="105">
        <v>0</v>
      </c>
      <c r="V463" s="105">
        <v>0</v>
      </c>
      <c r="W463" s="105">
        <v>0</v>
      </c>
      <c r="X463" s="105">
        <v>0</v>
      </c>
      <c r="Y463" s="106">
        <v>25131018.404356994</v>
      </c>
      <c r="Z463" s="106">
        <v>34311203.701763451</v>
      </c>
      <c r="AA463" s="106">
        <v>84179003.542332485</v>
      </c>
      <c r="AB463" s="108">
        <v>221954059.29577872</v>
      </c>
      <c r="AC463" s="108">
        <v>584013065.5514555</v>
      </c>
      <c r="AD463" s="108">
        <v>1057734529.9141227</v>
      </c>
      <c r="AE463" s="108">
        <v>9971947143.422842</v>
      </c>
      <c r="AF463" s="108">
        <v>14501701812.081196</v>
      </c>
      <c r="AG463" s="108">
        <v>35498430810.942253</v>
      </c>
      <c r="AH463" s="108">
        <v>61376288902.929337</v>
      </c>
      <c r="AI463" s="108">
        <v>36180611661.854683</v>
      </c>
      <c r="AJ463" s="108">
        <v>97266088819.643356</v>
      </c>
      <c r="AK463" s="108">
        <v>6667569012.2076817</v>
      </c>
      <c r="AL463" s="108">
        <v>10361734173.574984</v>
      </c>
      <c r="AM463" s="108">
        <v>29305021108.608192</v>
      </c>
      <c r="AN463" s="108">
        <v>45036279825.171959</v>
      </c>
      <c r="AO463" s="108">
        <v>53107442334.111252</v>
      </c>
      <c r="AP463" s="108">
        <v>55426731969.563652</v>
      </c>
      <c r="AQ463" s="108">
        <v>149111239.71781078</v>
      </c>
      <c r="AR463" s="108">
        <v>281636980.76632488</v>
      </c>
      <c r="AS463" s="108">
        <v>1231382469.2543509</v>
      </c>
      <c r="AT463" s="108">
        <v>4059935401.5021877</v>
      </c>
      <c r="AU463" s="108">
        <v>10534169149.961899</v>
      </c>
      <c r="AV463" s="108">
        <v>17554012814.860371</v>
      </c>
    </row>
    <row r="464" spans="1:48" x14ac:dyDescent="0.35">
      <c r="A464" s="107">
        <f xml:space="preserve"> ROW( slrImpacts[[#This Row],[row_id]] ) - ROW( slrImpacts[[#Headers],[row_id]] )</f>
        <v>463</v>
      </c>
      <c r="B464" s="104">
        <v>2058</v>
      </c>
      <c r="C464" s="104" t="s">
        <v>221</v>
      </c>
      <c r="D464" s="104" t="s">
        <v>88</v>
      </c>
      <c r="E464" s="104" t="s">
        <v>922</v>
      </c>
      <c r="F464" s="104"/>
      <c r="G464" s="105">
        <v>0</v>
      </c>
      <c r="H464" s="105">
        <v>0</v>
      </c>
      <c r="I464" s="105">
        <v>0</v>
      </c>
      <c r="J464" s="105">
        <v>0</v>
      </c>
      <c r="K464" s="105">
        <v>0</v>
      </c>
      <c r="L464" s="105">
        <v>0</v>
      </c>
      <c r="M464" s="106">
        <v>2242443221.9241271</v>
      </c>
      <c r="N464" s="106">
        <v>3699877763.5252447</v>
      </c>
      <c r="O464" s="106">
        <v>15133345872.019339</v>
      </c>
      <c r="P464" s="106">
        <v>34736019538.793358</v>
      </c>
      <c r="Q464" s="106">
        <v>55482503606.724968</v>
      </c>
      <c r="R464" s="106">
        <v>68980779486.336212</v>
      </c>
      <c r="S464" s="105">
        <v>0</v>
      </c>
      <c r="T464" s="105">
        <v>0</v>
      </c>
      <c r="U464" s="105">
        <v>0</v>
      </c>
      <c r="V464" s="105">
        <v>0</v>
      </c>
      <c r="W464" s="105">
        <v>0</v>
      </c>
      <c r="X464" s="105">
        <v>0</v>
      </c>
      <c r="Y464" s="106">
        <v>25664263.546406504</v>
      </c>
      <c r="Z464" s="106">
        <v>35252607.571590334</v>
      </c>
      <c r="AA464" s="106">
        <v>88984927.685987592</v>
      </c>
      <c r="AB464" s="108">
        <v>239361725.3570227</v>
      </c>
      <c r="AC464" s="108">
        <v>635495922.79693258</v>
      </c>
      <c r="AD464" s="108">
        <v>1146903898.1069863</v>
      </c>
      <c r="AE464" s="108">
        <v>10670320688.507402</v>
      </c>
      <c r="AF464" s="108">
        <v>15525187664.037996</v>
      </c>
      <c r="AG464" s="108">
        <v>37802781509.166649</v>
      </c>
      <c r="AH464" s="108">
        <v>64462209594.02787</v>
      </c>
      <c r="AI464" s="108">
        <v>38422305939.959732</v>
      </c>
      <c r="AJ464" s="108">
        <v>100167229628.27484</v>
      </c>
      <c r="AK464" s="108">
        <v>7179244980.552763</v>
      </c>
      <c r="AL464" s="108">
        <v>11166602916.772657</v>
      </c>
      <c r="AM464" s="108">
        <v>31200646630.235958</v>
      </c>
      <c r="AN464" s="108">
        <v>46728676790.723595</v>
      </c>
      <c r="AO464" s="108">
        <v>54235735637.471252</v>
      </c>
      <c r="AP464" s="108">
        <v>56250037384.84819</v>
      </c>
      <c r="AQ464" s="108">
        <v>155958544.32453412</v>
      </c>
      <c r="AR464" s="108">
        <v>297575509.68024963</v>
      </c>
      <c r="AS464" s="108">
        <v>1339816139.2156022</v>
      </c>
      <c r="AT464" s="108">
        <v>4459119953.0479708</v>
      </c>
      <c r="AU464" s="108">
        <v>11534096886.346998</v>
      </c>
      <c r="AV464" s="108">
        <v>19149563016.775764</v>
      </c>
    </row>
    <row r="465" spans="1:48" x14ac:dyDescent="0.35">
      <c r="A465" s="107">
        <f xml:space="preserve"> ROW( slrImpacts[[#This Row],[row_id]] ) - ROW( slrImpacts[[#Headers],[row_id]] )</f>
        <v>464</v>
      </c>
      <c r="B465" s="104">
        <v>2059</v>
      </c>
      <c r="C465" s="104" t="s">
        <v>221</v>
      </c>
      <c r="D465" s="104" t="s">
        <v>88</v>
      </c>
      <c r="E465" s="104" t="s">
        <v>922</v>
      </c>
      <c r="F465" s="104"/>
      <c r="G465" s="105">
        <v>0</v>
      </c>
      <c r="H465" s="105">
        <v>0</v>
      </c>
      <c r="I465" s="105">
        <v>0</v>
      </c>
      <c r="J465" s="105">
        <v>0</v>
      </c>
      <c r="K465" s="105">
        <v>0</v>
      </c>
      <c r="L465" s="105">
        <v>0</v>
      </c>
      <c r="M465" s="106">
        <v>2348252992.4161096</v>
      </c>
      <c r="N465" s="106">
        <v>3896678161.6517634</v>
      </c>
      <c r="O465" s="106">
        <v>16209100582.81955</v>
      </c>
      <c r="P465" s="106">
        <v>36740753082.306267</v>
      </c>
      <c r="Q465" s="106">
        <v>57879655101.713188</v>
      </c>
      <c r="R465" s="106">
        <v>71755035861.399658</v>
      </c>
      <c r="S465" s="105">
        <v>0</v>
      </c>
      <c r="T465" s="105">
        <v>0</v>
      </c>
      <c r="U465" s="105">
        <v>0</v>
      </c>
      <c r="V465" s="105">
        <v>0</v>
      </c>
      <c r="W465" s="105">
        <v>0</v>
      </c>
      <c r="X465" s="105">
        <v>0</v>
      </c>
      <c r="Y465" s="106">
        <v>26207303.050490551</v>
      </c>
      <c r="Z465" s="106">
        <v>36221480.767043255</v>
      </c>
      <c r="AA465" s="106">
        <v>94090860.675939426</v>
      </c>
      <c r="AB465" s="108">
        <v>258207547.28453258</v>
      </c>
      <c r="AC465" s="108">
        <v>690188009.78899455</v>
      </c>
      <c r="AD465" s="108">
        <v>1239989362.65395</v>
      </c>
      <c r="AE465" s="108">
        <v>11397800927.518715</v>
      </c>
      <c r="AF465" s="108">
        <v>16578121367.9865</v>
      </c>
      <c r="AG465" s="108">
        <v>40143645552.779243</v>
      </c>
      <c r="AH465" s="108">
        <v>67522979984.82048</v>
      </c>
      <c r="AI465" s="108">
        <v>40692811289.398529</v>
      </c>
      <c r="AJ465" s="108">
        <v>102918142829.81784</v>
      </c>
      <c r="AK465" s="108">
        <v>7713595002.7789974</v>
      </c>
      <c r="AL465" s="108">
        <v>12011107659.415216</v>
      </c>
      <c r="AM465" s="108">
        <v>33092208867.924049</v>
      </c>
      <c r="AN465" s="108">
        <v>48347707554.092087</v>
      </c>
      <c r="AO465" s="108">
        <v>55287357612.857384</v>
      </c>
      <c r="AP465" s="108">
        <v>57024734605.800743</v>
      </c>
      <c r="AQ465" s="108">
        <v>163210307.22842309</v>
      </c>
      <c r="AR465" s="108">
        <v>314491368.27127367</v>
      </c>
      <c r="AS465" s="108">
        <v>1457705684.2686617</v>
      </c>
      <c r="AT465" s="108">
        <v>4889853049.164257</v>
      </c>
      <c r="AU465" s="108">
        <v>12601168329.761715</v>
      </c>
      <c r="AV465" s="108">
        <v>20823485788.076412</v>
      </c>
    </row>
    <row r="466" spans="1:48" x14ac:dyDescent="0.35">
      <c r="A466" s="107">
        <f xml:space="preserve"> ROW( slrImpacts[[#This Row],[row_id]] ) - ROW( slrImpacts[[#Headers],[row_id]] )</f>
        <v>465</v>
      </c>
      <c r="B466" s="104">
        <v>2060</v>
      </c>
      <c r="C466" s="104" t="s">
        <v>221</v>
      </c>
      <c r="D466" s="104" t="s">
        <v>88</v>
      </c>
      <c r="E466" s="104" t="s">
        <v>922</v>
      </c>
      <c r="F466" s="104"/>
      <c r="G466" s="105">
        <v>0</v>
      </c>
      <c r="H466" s="105">
        <v>0</v>
      </c>
      <c r="I466" s="105">
        <v>0</v>
      </c>
      <c r="J466" s="105">
        <v>0</v>
      </c>
      <c r="K466" s="105">
        <v>0</v>
      </c>
      <c r="L466" s="105">
        <v>0</v>
      </c>
      <c r="M466" s="106">
        <v>2456996513.7211499</v>
      </c>
      <c r="N466" s="106">
        <v>4100874868.4976602</v>
      </c>
      <c r="O466" s="106">
        <v>17331098576.921326</v>
      </c>
      <c r="P466" s="106">
        <v>38769349649.14032</v>
      </c>
      <c r="Q466" s="106">
        <v>60262219505.110352</v>
      </c>
      <c r="R466" s="106">
        <v>74527052571.912964</v>
      </c>
      <c r="S466" s="105">
        <v>0</v>
      </c>
      <c r="T466" s="105">
        <v>0</v>
      </c>
      <c r="U466" s="105">
        <v>0</v>
      </c>
      <c r="V466" s="105">
        <v>0</v>
      </c>
      <c r="W466" s="105">
        <v>0</v>
      </c>
      <c r="X466" s="105">
        <v>0</v>
      </c>
      <c r="Y466" s="106">
        <v>26760214.33082068</v>
      </c>
      <c r="Z466" s="106">
        <v>37219299.212223545</v>
      </c>
      <c r="AA466" s="106">
        <v>99520005.617096677</v>
      </c>
      <c r="AB466" s="108">
        <v>278530975.89805013</v>
      </c>
      <c r="AC466" s="108">
        <v>748076372.30432022</v>
      </c>
      <c r="AD466" s="108">
        <v>1336771839.0867324</v>
      </c>
      <c r="AE466" s="108">
        <v>12152165790.494238</v>
      </c>
      <c r="AF466" s="108">
        <v>17663048835.334255</v>
      </c>
      <c r="AG466" s="108">
        <v>42511563060.117241</v>
      </c>
      <c r="AH466" s="108">
        <v>70560798229.157471</v>
      </c>
      <c r="AI466" s="108">
        <v>42981325467.625549</v>
      </c>
      <c r="AJ466" s="108">
        <v>105516155676.21516</v>
      </c>
      <c r="AK466" s="108">
        <v>8269432872.7397175</v>
      </c>
      <c r="AL466" s="108">
        <v>12893670651.00993</v>
      </c>
      <c r="AM466" s="108">
        <v>34972598352.425438</v>
      </c>
      <c r="AN466" s="108">
        <v>49896099092.73571</v>
      </c>
      <c r="AO466" s="108">
        <v>56269908273.356728</v>
      </c>
      <c r="AP466" s="108">
        <v>57761448649.775551</v>
      </c>
      <c r="AQ466" s="108">
        <v>170857175.67350343</v>
      </c>
      <c r="AR466" s="108">
        <v>332353694.95125073</v>
      </c>
      <c r="AS466" s="108">
        <v>1585488824.0307279</v>
      </c>
      <c r="AT466" s="108">
        <v>5354522489.4588976</v>
      </c>
      <c r="AU466" s="108">
        <v>13736208869.189529</v>
      </c>
      <c r="AV466" s="108">
        <v>22569111654.775822</v>
      </c>
    </row>
    <row r="467" spans="1:48" x14ac:dyDescent="0.35">
      <c r="A467" s="107">
        <f xml:space="preserve"> ROW( slrImpacts[[#This Row],[row_id]] ) - ROW( slrImpacts[[#Headers],[row_id]] )</f>
        <v>466</v>
      </c>
      <c r="B467" s="104">
        <v>2061</v>
      </c>
      <c r="C467" s="104" t="s">
        <v>221</v>
      </c>
      <c r="D467" s="104" t="s">
        <v>88</v>
      </c>
      <c r="E467" s="104" t="s">
        <v>922</v>
      </c>
      <c r="F467" s="104"/>
      <c r="G467" s="105">
        <v>0</v>
      </c>
      <c r="H467" s="105">
        <v>0</v>
      </c>
      <c r="I467" s="105">
        <v>0</v>
      </c>
      <c r="J467" s="105">
        <v>0</v>
      </c>
      <c r="K467" s="105">
        <v>0</v>
      </c>
      <c r="L467" s="105">
        <v>0</v>
      </c>
      <c r="M467" s="106">
        <v>2568767727.7183609</v>
      </c>
      <c r="N467" s="106">
        <v>4312525078.4988461</v>
      </c>
      <c r="O467" s="106">
        <v>18497653632.995625</v>
      </c>
      <c r="P467" s="106">
        <v>40815849473.029282</v>
      </c>
      <c r="Q467" s="106">
        <v>62628951303.038773</v>
      </c>
      <c r="R467" s="106">
        <v>77298901835.339447</v>
      </c>
      <c r="S467" s="105">
        <v>0</v>
      </c>
      <c r="T467" s="105">
        <v>0</v>
      </c>
      <c r="U467" s="105">
        <v>0</v>
      </c>
      <c r="V467" s="105">
        <v>0</v>
      </c>
      <c r="W467" s="105">
        <v>0</v>
      </c>
      <c r="X467" s="105">
        <v>0</v>
      </c>
      <c r="Y467" s="106">
        <v>27319524.151326843</v>
      </c>
      <c r="Z467" s="106">
        <v>38249300.973545223</v>
      </c>
      <c r="AA467" s="106">
        <v>105305339.98686576</v>
      </c>
      <c r="AB467" s="108">
        <v>300432242.71908259</v>
      </c>
      <c r="AC467" s="108">
        <v>809090936.11475241</v>
      </c>
      <c r="AD467" s="108">
        <v>1437085745.5026557</v>
      </c>
      <c r="AE467" s="108">
        <v>12937032641.61639</v>
      </c>
      <c r="AF467" s="108">
        <v>18780195067.59346</v>
      </c>
      <c r="AG467" s="108">
        <v>44910146809.804176</v>
      </c>
      <c r="AH467" s="108">
        <v>73570906228.695419</v>
      </c>
      <c r="AI467" s="108">
        <v>45269985626.890289</v>
      </c>
      <c r="AJ467" s="108">
        <v>107959008819.45607</v>
      </c>
      <c r="AK467" s="108">
        <v>8848196802.941515</v>
      </c>
      <c r="AL467" s="108">
        <v>13814731180.8172</v>
      </c>
      <c r="AM467" s="108">
        <v>36832465754.24881</v>
      </c>
      <c r="AN467" s="108">
        <v>51373341302.073959</v>
      </c>
      <c r="AO467" s="108">
        <v>57190275526.950432</v>
      </c>
      <c r="AP467" s="108">
        <v>58467409214.938614</v>
      </c>
      <c r="AQ467" s="108">
        <v>178941254.21797368</v>
      </c>
      <c r="AR467" s="108">
        <v>351320217.25910336</v>
      </c>
      <c r="AS467" s="108">
        <v>1723821069.8873584</v>
      </c>
      <c r="AT467" s="108">
        <v>5854007287.5903902</v>
      </c>
      <c r="AU467" s="108">
        <v>14938722521.31352</v>
      </c>
      <c r="AV467" s="108">
        <v>24379370303.78767</v>
      </c>
    </row>
    <row r="468" spans="1:48" x14ac:dyDescent="0.35">
      <c r="A468" s="107">
        <f xml:space="preserve"> ROW( slrImpacts[[#This Row],[row_id]] ) - ROW( slrImpacts[[#Headers],[row_id]] )</f>
        <v>467</v>
      </c>
      <c r="B468" s="104">
        <v>2062</v>
      </c>
      <c r="C468" s="104" t="s">
        <v>221</v>
      </c>
      <c r="D468" s="104" t="s">
        <v>88</v>
      </c>
      <c r="E468" s="104" t="s">
        <v>922</v>
      </c>
      <c r="F468" s="104"/>
      <c r="G468" s="105">
        <v>0</v>
      </c>
      <c r="H468" s="105">
        <v>0</v>
      </c>
      <c r="I468" s="105">
        <v>0</v>
      </c>
      <c r="J468" s="105">
        <v>0</v>
      </c>
      <c r="K468" s="105">
        <v>0</v>
      </c>
      <c r="L468" s="105">
        <v>0</v>
      </c>
      <c r="M468" s="106">
        <v>2683581203.7468843</v>
      </c>
      <c r="N468" s="106">
        <v>4531797387.9450808</v>
      </c>
      <c r="O468" s="106">
        <v>19709571182.119705</v>
      </c>
      <c r="P468" s="106">
        <v>42876289746.824036</v>
      </c>
      <c r="Q468" s="106">
        <v>64980771404.531738</v>
      </c>
      <c r="R468" s="106">
        <v>80074699679.661545</v>
      </c>
      <c r="S468" s="105">
        <v>0</v>
      </c>
      <c r="T468" s="105">
        <v>0</v>
      </c>
      <c r="U468" s="105">
        <v>0</v>
      </c>
      <c r="V468" s="105">
        <v>0</v>
      </c>
      <c r="W468" s="105">
        <v>0</v>
      </c>
      <c r="X468" s="105">
        <v>0</v>
      </c>
      <c r="Y468" s="106">
        <v>27887632.899358954</v>
      </c>
      <c r="Z468" s="106">
        <v>39302755.162000284</v>
      </c>
      <c r="AA468" s="106">
        <v>111444673.61005637</v>
      </c>
      <c r="AB468" s="108">
        <v>323930546.07253212</v>
      </c>
      <c r="AC468" s="108">
        <v>873167052.48813653</v>
      </c>
      <c r="AD468" s="108">
        <v>1540748038.8895345</v>
      </c>
      <c r="AE468" s="108">
        <v>13749283211.962433</v>
      </c>
      <c r="AF468" s="108">
        <v>19919318706.669109</v>
      </c>
      <c r="AG468" s="108">
        <v>47331065794.754974</v>
      </c>
      <c r="AH468" s="108">
        <v>76552941669.256729</v>
      </c>
      <c r="AI468" s="108">
        <v>47537847231.764465</v>
      </c>
      <c r="AJ468" s="108">
        <v>110247509940.54437</v>
      </c>
      <c r="AK468" s="108">
        <v>9447044229.4610119</v>
      </c>
      <c r="AL468" s="108">
        <v>14770920236.320749</v>
      </c>
      <c r="AM468" s="108">
        <v>38667399113.898613</v>
      </c>
      <c r="AN468" s="108">
        <v>52785113066.139908</v>
      </c>
      <c r="AO468" s="108">
        <v>58058008778.021263</v>
      </c>
      <c r="AP468" s="108">
        <v>59151580082.336693</v>
      </c>
      <c r="AQ468" s="108">
        <v>187462072.21213406</v>
      </c>
      <c r="AR468" s="108">
        <v>371395181.20439506</v>
      </c>
      <c r="AS468" s="108">
        <v>1873544417.9993765</v>
      </c>
      <c r="AT468" s="108">
        <v>6390116740.8556213</v>
      </c>
      <c r="AU468" s="108">
        <v>16208374311.445467</v>
      </c>
      <c r="AV468" s="108">
        <v>26248182452.591099</v>
      </c>
    </row>
    <row r="469" spans="1:48" x14ac:dyDescent="0.35">
      <c r="A469" s="107">
        <f xml:space="preserve"> ROW( slrImpacts[[#This Row],[row_id]] ) - ROW( slrImpacts[[#Headers],[row_id]] )</f>
        <v>468</v>
      </c>
      <c r="B469" s="104">
        <v>2063</v>
      </c>
      <c r="C469" s="104" t="s">
        <v>221</v>
      </c>
      <c r="D469" s="104" t="s">
        <v>88</v>
      </c>
      <c r="E469" s="104" t="s">
        <v>922</v>
      </c>
      <c r="F469" s="104"/>
      <c r="G469" s="105">
        <v>0</v>
      </c>
      <c r="H469" s="105">
        <v>0</v>
      </c>
      <c r="I469" s="105">
        <v>0</v>
      </c>
      <c r="J469" s="105">
        <v>0</v>
      </c>
      <c r="K469" s="105">
        <v>0</v>
      </c>
      <c r="L469" s="105">
        <v>0</v>
      </c>
      <c r="M469" s="106">
        <v>2801537154.0137753</v>
      </c>
      <c r="N469" s="106">
        <v>4758940648.4682035</v>
      </c>
      <c r="O469" s="106">
        <v>20965767151.225845</v>
      </c>
      <c r="P469" s="106">
        <v>44948249572.580452</v>
      </c>
      <c r="Q469" s="106">
        <v>67319364175.418365</v>
      </c>
      <c r="R469" s="106">
        <v>82860380769.996597</v>
      </c>
      <c r="S469" s="105">
        <v>0</v>
      </c>
      <c r="T469" s="105">
        <v>0</v>
      </c>
      <c r="U469" s="105">
        <v>0</v>
      </c>
      <c r="V469" s="105">
        <v>0</v>
      </c>
      <c r="W469" s="105">
        <v>0</v>
      </c>
      <c r="X469" s="105">
        <v>0</v>
      </c>
      <c r="Y469" s="106">
        <v>28464583.320624456</v>
      </c>
      <c r="Z469" s="106">
        <v>40390893.779770359</v>
      </c>
      <c r="AA469" s="106">
        <v>117951111.83160233</v>
      </c>
      <c r="AB469" s="108">
        <v>349115391.46065801</v>
      </c>
      <c r="AC469" s="108">
        <v>940277484.87933159</v>
      </c>
      <c r="AD469" s="108">
        <v>1647527209.8975298</v>
      </c>
      <c r="AE469" s="108">
        <v>14589310272.066425</v>
      </c>
      <c r="AF469" s="108">
        <v>21085989908.140629</v>
      </c>
      <c r="AG469" s="108">
        <v>49768670345.569626</v>
      </c>
      <c r="AH469" s="108">
        <v>79511011928.893433</v>
      </c>
      <c r="AI469" s="108">
        <v>49762854714.315727</v>
      </c>
      <c r="AJ469" s="108">
        <v>112385736740.67743</v>
      </c>
      <c r="AK469" s="108">
        <v>10068086674.427423</v>
      </c>
      <c r="AL469" s="108">
        <v>15763812914.938166</v>
      </c>
      <c r="AM469" s="108">
        <v>40469450395.11512</v>
      </c>
      <c r="AN469" s="108">
        <v>54132545286.780876</v>
      </c>
      <c r="AO469" s="108">
        <v>58881777214.533615</v>
      </c>
      <c r="AP469" s="108">
        <v>59820119481.067436</v>
      </c>
      <c r="AQ469" s="108">
        <v>196439165.21590471</v>
      </c>
      <c r="AR469" s="108">
        <v>392599018.50975257</v>
      </c>
      <c r="AS469" s="108">
        <v>2034783356.8310621</v>
      </c>
      <c r="AT469" s="108">
        <v>6964138529.7847137</v>
      </c>
      <c r="AU469" s="108">
        <v>17543201323.833599</v>
      </c>
      <c r="AV469" s="108">
        <v>28169058295.716057</v>
      </c>
    </row>
    <row r="470" spans="1:48" x14ac:dyDescent="0.35">
      <c r="A470" s="107">
        <f xml:space="preserve"> ROW( slrImpacts[[#This Row],[row_id]] ) - ROW( slrImpacts[[#Headers],[row_id]] )</f>
        <v>469</v>
      </c>
      <c r="B470" s="104">
        <v>2064</v>
      </c>
      <c r="C470" s="104" t="s">
        <v>221</v>
      </c>
      <c r="D470" s="104" t="s">
        <v>88</v>
      </c>
      <c r="E470" s="104" t="s">
        <v>922</v>
      </c>
      <c r="F470" s="104"/>
      <c r="G470" s="105">
        <v>0</v>
      </c>
      <c r="H470" s="105">
        <v>0</v>
      </c>
      <c r="I470" s="105">
        <v>0</v>
      </c>
      <c r="J470" s="105">
        <v>0</v>
      </c>
      <c r="K470" s="105">
        <v>0</v>
      </c>
      <c r="L470" s="105">
        <v>0</v>
      </c>
      <c r="M470" s="106">
        <v>2922724008.9503675</v>
      </c>
      <c r="N470" s="106">
        <v>4993934339.8209896</v>
      </c>
      <c r="O470" s="106">
        <v>22264490986.872677</v>
      </c>
      <c r="P470" s="106">
        <v>47029519739.566429</v>
      </c>
      <c r="Q470" s="106">
        <v>69645875031.776794</v>
      </c>
      <c r="R470" s="106">
        <v>85659936213.199554</v>
      </c>
      <c r="S470" s="105">
        <v>0</v>
      </c>
      <c r="T470" s="105">
        <v>0</v>
      </c>
      <c r="U470" s="105">
        <v>0</v>
      </c>
      <c r="V470" s="105">
        <v>0</v>
      </c>
      <c r="W470" s="105">
        <v>0</v>
      </c>
      <c r="X470" s="105">
        <v>0</v>
      </c>
      <c r="Y470" s="106">
        <v>29051418.701827005</v>
      </c>
      <c r="Z470" s="106">
        <v>41517192.133742325</v>
      </c>
      <c r="AA470" s="106">
        <v>124843117.64034203</v>
      </c>
      <c r="AB470" s="108">
        <v>376015868.21035218</v>
      </c>
      <c r="AC470" s="108">
        <v>1010385318.8221482</v>
      </c>
      <c r="AD470" s="108">
        <v>1757197511.7850032</v>
      </c>
      <c r="AE470" s="108">
        <v>15454295871.434816</v>
      </c>
      <c r="AF470" s="108">
        <v>22280832733.446125</v>
      </c>
      <c r="AG470" s="108">
        <v>52225680235.868866</v>
      </c>
      <c r="AH470" s="108">
        <v>82448420086.602203</v>
      </c>
      <c r="AI470" s="108">
        <v>51924365624.446594</v>
      </c>
      <c r="AJ470" s="108">
        <v>114378421006.20247</v>
      </c>
      <c r="AK470" s="108">
        <v>10704627426.483418</v>
      </c>
      <c r="AL470" s="108">
        <v>16784175785.971621</v>
      </c>
      <c r="AM470" s="108">
        <v>42233936089.097672</v>
      </c>
      <c r="AN470" s="108">
        <v>55418426071.376976</v>
      </c>
      <c r="AO470" s="108">
        <v>59668113383.965248</v>
      </c>
      <c r="AP470" s="108">
        <v>60477182184.885185</v>
      </c>
      <c r="AQ470" s="108">
        <v>205921724.20236909</v>
      </c>
      <c r="AR470" s="108">
        <v>415000113.7581979</v>
      </c>
      <c r="AS470" s="108">
        <v>2208394553.6602001</v>
      </c>
      <c r="AT470" s="108">
        <v>7577355101.2316628</v>
      </c>
      <c r="AU470" s="108">
        <v>18941253306.90197</v>
      </c>
      <c r="AV470" s="108">
        <v>30134778534.362469</v>
      </c>
    </row>
    <row r="471" spans="1:48" x14ac:dyDescent="0.35">
      <c r="A471" s="107">
        <f xml:space="preserve"> ROW( slrImpacts[[#This Row],[row_id]] ) - ROW( slrImpacts[[#Headers],[row_id]] )</f>
        <v>470</v>
      </c>
      <c r="B471" s="104">
        <v>2065</v>
      </c>
      <c r="C471" s="104" t="s">
        <v>221</v>
      </c>
      <c r="D471" s="104" t="s">
        <v>88</v>
      </c>
      <c r="E471" s="104" t="s">
        <v>922</v>
      </c>
      <c r="F471" s="104"/>
      <c r="G471" s="105">
        <v>0</v>
      </c>
      <c r="H471" s="105">
        <v>0</v>
      </c>
      <c r="I471" s="105">
        <v>0</v>
      </c>
      <c r="J471" s="105">
        <v>0</v>
      </c>
      <c r="K471" s="105">
        <v>0</v>
      </c>
      <c r="L471" s="105">
        <v>0</v>
      </c>
      <c r="M471" s="106">
        <v>3046465520.9897966</v>
      </c>
      <c r="N471" s="106">
        <v>5236965479.9117012</v>
      </c>
      <c r="O471" s="106">
        <v>23604728282.422428</v>
      </c>
      <c r="P471" s="106">
        <v>49082998767.359581</v>
      </c>
      <c r="Q471" s="106">
        <v>71957108039.874451</v>
      </c>
      <c r="R471" s="106">
        <v>88470094858.655472</v>
      </c>
      <c r="S471" s="105">
        <v>0</v>
      </c>
      <c r="T471" s="105">
        <v>0</v>
      </c>
      <c r="U471" s="105">
        <v>0</v>
      </c>
      <c r="V471" s="105">
        <v>0</v>
      </c>
      <c r="W471" s="105">
        <v>0</v>
      </c>
      <c r="X471" s="105">
        <v>0</v>
      </c>
      <c r="Y471" s="106">
        <v>29644666.488968577</v>
      </c>
      <c r="Z471" s="106">
        <v>42654897.690901443</v>
      </c>
      <c r="AA471" s="106">
        <v>131646033.28724559</v>
      </c>
      <c r="AB471" s="108">
        <v>404556356.09880936</v>
      </c>
      <c r="AC471" s="108">
        <v>1083096863.5161934</v>
      </c>
      <c r="AD471" s="108">
        <v>1869534735.803302</v>
      </c>
      <c r="AE471" s="108">
        <v>16344674755.825132</v>
      </c>
      <c r="AF471" s="108">
        <v>23496780744.674057</v>
      </c>
      <c r="AG471" s="108">
        <v>54689186231.044678</v>
      </c>
      <c r="AH471" s="108">
        <v>85329471739.72612</v>
      </c>
      <c r="AI471" s="108">
        <v>53994612402.883949</v>
      </c>
      <c r="AJ471" s="108">
        <v>116233982864.2666</v>
      </c>
      <c r="AK471" s="108">
        <v>11359240863.0788</v>
      </c>
      <c r="AL471" s="108">
        <v>17838090596.178734</v>
      </c>
      <c r="AM471" s="108">
        <v>43948492725.198006</v>
      </c>
      <c r="AN471" s="108">
        <v>56643852861.355499</v>
      </c>
      <c r="AO471" s="108">
        <v>60423863872.802254</v>
      </c>
      <c r="AP471" s="108">
        <v>61126122328.794594</v>
      </c>
      <c r="AQ471" s="108">
        <v>215904459.31326324</v>
      </c>
      <c r="AR471" s="108">
        <v>438626745.56112772</v>
      </c>
      <c r="AS471" s="108">
        <v>2394697434.5136499</v>
      </c>
      <c r="AT471" s="108">
        <v>8230657684.1321974</v>
      </c>
      <c r="AU471" s="108">
        <v>20395155405.082813</v>
      </c>
      <c r="AV471" s="108">
        <v>32138636913.665043</v>
      </c>
    </row>
    <row r="472" spans="1:48" x14ac:dyDescent="0.35">
      <c r="A472" s="107">
        <f xml:space="preserve"> ROW( slrImpacts[[#This Row],[row_id]] ) - ROW( slrImpacts[[#Headers],[row_id]] )</f>
        <v>471</v>
      </c>
      <c r="B472" s="104">
        <v>2066</v>
      </c>
      <c r="C472" s="104" t="s">
        <v>221</v>
      </c>
      <c r="D472" s="104" t="s">
        <v>88</v>
      </c>
      <c r="E472" s="104" t="s">
        <v>922</v>
      </c>
      <c r="F472" s="104"/>
      <c r="G472" s="105">
        <v>0</v>
      </c>
      <c r="H472" s="105">
        <v>0</v>
      </c>
      <c r="I472" s="105">
        <v>0</v>
      </c>
      <c r="J472" s="105">
        <v>0</v>
      </c>
      <c r="K472" s="105">
        <v>0</v>
      </c>
      <c r="L472" s="105">
        <v>0</v>
      </c>
      <c r="M472" s="106">
        <v>3172974307.6137195</v>
      </c>
      <c r="N472" s="106">
        <v>5487969831.757823</v>
      </c>
      <c r="O472" s="106">
        <v>24996546673.80859</v>
      </c>
      <c r="P472" s="106">
        <v>51163952983.505539</v>
      </c>
      <c r="Q472" s="106">
        <v>74312939483.917511</v>
      </c>
      <c r="R472" s="106">
        <v>91313253178.128616</v>
      </c>
      <c r="S472" s="105">
        <v>0</v>
      </c>
      <c r="T472" s="105">
        <v>0</v>
      </c>
      <c r="U472" s="105">
        <v>0</v>
      </c>
      <c r="V472" s="105">
        <v>0</v>
      </c>
      <c r="W472" s="105">
        <v>0</v>
      </c>
      <c r="X472" s="105">
        <v>0</v>
      </c>
      <c r="Y472" s="106">
        <v>30259742.015871786</v>
      </c>
      <c r="Z472" s="106">
        <v>43851874.177442543</v>
      </c>
      <c r="AA472" s="106">
        <v>139040848.87469757</v>
      </c>
      <c r="AB472" s="108">
        <v>436720682.52498239</v>
      </c>
      <c r="AC472" s="108">
        <v>1160353897.9295309</v>
      </c>
      <c r="AD472" s="108">
        <v>1986050721.870436</v>
      </c>
      <c r="AE472" s="108">
        <v>17257566182.417309</v>
      </c>
      <c r="AF472" s="108">
        <v>24735058267.853748</v>
      </c>
      <c r="AG472" s="108">
        <v>57168041496.701569</v>
      </c>
      <c r="AH472" s="108">
        <v>88207876413.826279</v>
      </c>
      <c r="AI472" s="108">
        <v>56023204584.676933</v>
      </c>
      <c r="AJ472" s="108">
        <v>117986448448.33339</v>
      </c>
      <c r="AK472" s="108">
        <v>12038284703.254663</v>
      </c>
      <c r="AL472" s="108">
        <v>18927235792.453274</v>
      </c>
      <c r="AM472" s="108">
        <v>45649358636.793465</v>
      </c>
      <c r="AN472" s="108">
        <v>57826188683.267433</v>
      </c>
      <c r="AO472" s="108">
        <v>61154097772.73101</v>
      </c>
      <c r="AP472" s="108">
        <v>61768137669.010719</v>
      </c>
      <c r="AQ472" s="108">
        <v>226333662.36460143</v>
      </c>
      <c r="AR472" s="108">
        <v>463528190.37965393</v>
      </c>
      <c r="AS472" s="108">
        <v>2596009733.3932195</v>
      </c>
      <c r="AT472" s="108">
        <v>8938026713.6450615</v>
      </c>
      <c r="AU472" s="108">
        <v>21934136553.880138</v>
      </c>
      <c r="AV472" s="108">
        <v>34198614583.16568</v>
      </c>
    </row>
    <row r="473" spans="1:48" x14ac:dyDescent="0.35">
      <c r="A473" s="107">
        <f xml:space="preserve"> ROW( slrImpacts[[#This Row],[row_id]] ) - ROW( slrImpacts[[#Headers],[row_id]] )</f>
        <v>472</v>
      </c>
      <c r="B473" s="104">
        <v>2067</v>
      </c>
      <c r="C473" s="104" t="s">
        <v>221</v>
      </c>
      <c r="D473" s="104" t="s">
        <v>88</v>
      </c>
      <c r="E473" s="104" t="s">
        <v>922</v>
      </c>
      <c r="F473" s="104"/>
      <c r="G473" s="105">
        <v>0</v>
      </c>
      <c r="H473" s="105">
        <v>0</v>
      </c>
      <c r="I473" s="105">
        <v>0</v>
      </c>
      <c r="J473" s="105">
        <v>0</v>
      </c>
      <c r="K473" s="105">
        <v>0</v>
      </c>
      <c r="L473" s="105">
        <v>0</v>
      </c>
      <c r="M473" s="106">
        <v>3303566259.9157076</v>
      </c>
      <c r="N473" s="106">
        <v>5748224385.4304237</v>
      </c>
      <c r="O473" s="106">
        <v>26432240125.519199</v>
      </c>
      <c r="P473" s="106">
        <v>53260559410.70697</v>
      </c>
      <c r="Q473" s="106">
        <v>76676597545.516968</v>
      </c>
      <c r="R473" s="106">
        <v>94170682917.585312</v>
      </c>
      <c r="S473" s="105">
        <v>0</v>
      </c>
      <c r="T473" s="105">
        <v>0</v>
      </c>
      <c r="U473" s="105">
        <v>0</v>
      </c>
      <c r="V473" s="105">
        <v>0</v>
      </c>
      <c r="W473" s="105">
        <v>0</v>
      </c>
      <c r="X473" s="105">
        <v>0</v>
      </c>
      <c r="Y473" s="106">
        <v>30894097.116744548</v>
      </c>
      <c r="Z473" s="106">
        <v>45084280.390465818</v>
      </c>
      <c r="AA473" s="106">
        <v>146987053.70087269</v>
      </c>
      <c r="AB473" s="108">
        <v>471424107.55202872</v>
      </c>
      <c r="AC473" s="108">
        <v>1241292849.9716065</v>
      </c>
      <c r="AD473" s="108">
        <v>2104924129.3923643</v>
      </c>
      <c r="AE473" s="108">
        <v>18197056575.676956</v>
      </c>
      <c r="AF473" s="108">
        <v>25990751309.836704</v>
      </c>
      <c r="AG473" s="108">
        <v>59654959166.267143</v>
      </c>
      <c r="AH473" s="108">
        <v>91056925317.050995</v>
      </c>
      <c r="AI473" s="108">
        <v>57929164552.687798</v>
      </c>
      <c r="AJ473" s="108">
        <v>119621359549.45531</v>
      </c>
      <c r="AK473" s="108">
        <v>12746204033.774628</v>
      </c>
      <c r="AL473" s="108">
        <v>20050756033.568062</v>
      </c>
      <c r="AM473" s="108">
        <v>47314940024.170624</v>
      </c>
      <c r="AN473" s="108">
        <v>58949457739.613617</v>
      </c>
      <c r="AO473" s="108">
        <v>61861975408.124428</v>
      </c>
      <c r="AP473" s="108">
        <v>62405680250.137299</v>
      </c>
      <c r="AQ473" s="108">
        <v>237100449.14615017</v>
      </c>
      <c r="AR473" s="108">
        <v>489601390.64276731</v>
      </c>
      <c r="AS473" s="108">
        <v>2811044058.7287822</v>
      </c>
      <c r="AT473" s="108">
        <v>9694962993.402895</v>
      </c>
      <c r="AU473" s="108">
        <v>23540961970.973637</v>
      </c>
      <c r="AV473" s="108">
        <v>36278040373.119995</v>
      </c>
    </row>
    <row r="474" spans="1:48" x14ac:dyDescent="0.35">
      <c r="A474" s="107">
        <f xml:space="preserve"> ROW( slrImpacts[[#This Row],[row_id]] ) - ROW( slrImpacts[[#Headers],[row_id]] )</f>
        <v>473</v>
      </c>
      <c r="B474" s="104">
        <v>2068</v>
      </c>
      <c r="C474" s="104" t="s">
        <v>221</v>
      </c>
      <c r="D474" s="104" t="s">
        <v>88</v>
      </c>
      <c r="E474" s="104" t="s">
        <v>922</v>
      </c>
      <c r="F474" s="104"/>
      <c r="G474" s="105">
        <v>0</v>
      </c>
      <c r="H474" s="105">
        <v>0</v>
      </c>
      <c r="I474" s="105">
        <v>0</v>
      </c>
      <c r="J474" s="105">
        <v>0</v>
      </c>
      <c r="K474" s="105">
        <v>0</v>
      </c>
      <c r="L474" s="105">
        <v>0</v>
      </c>
      <c r="M474" s="106">
        <v>3437942265.4478602</v>
      </c>
      <c r="N474" s="106">
        <v>6018045482.5266314</v>
      </c>
      <c r="O474" s="106">
        <v>27910024201.317963</v>
      </c>
      <c r="P474" s="106">
        <v>55371818342.766304</v>
      </c>
      <c r="Q474" s="106">
        <v>79051096893.002441</v>
      </c>
      <c r="R474" s="106">
        <v>97041808120.856689</v>
      </c>
      <c r="S474" s="105">
        <v>0</v>
      </c>
      <c r="T474" s="105">
        <v>0</v>
      </c>
      <c r="U474" s="105">
        <v>0</v>
      </c>
      <c r="V474" s="105">
        <v>0</v>
      </c>
      <c r="W474" s="105">
        <v>0</v>
      </c>
      <c r="X474" s="105">
        <v>0</v>
      </c>
      <c r="Y474" s="106">
        <v>31553236.556434665</v>
      </c>
      <c r="Z474" s="106">
        <v>46363691.902068965</v>
      </c>
      <c r="AA474" s="106">
        <v>155515526.8135069</v>
      </c>
      <c r="AB474" s="108">
        <v>508751163.79780221</v>
      </c>
      <c r="AC474" s="108">
        <v>1325838434.8347223</v>
      </c>
      <c r="AD474" s="108">
        <v>2225976179.3020978</v>
      </c>
      <c r="AE474" s="108">
        <v>19159111100.699547</v>
      </c>
      <c r="AF474" s="108">
        <v>27262052700.633377</v>
      </c>
      <c r="AG474" s="108">
        <v>62144126824.40004</v>
      </c>
      <c r="AH474" s="108">
        <v>93882509561.011002</v>
      </c>
      <c r="AI474" s="108">
        <v>59706224149.571785</v>
      </c>
      <c r="AJ474" s="108">
        <v>121170405296.97574</v>
      </c>
      <c r="AK474" s="108">
        <v>13481443179.579697</v>
      </c>
      <c r="AL474" s="108">
        <v>21205125553.014538</v>
      </c>
      <c r="AM474" s="108">
        <v>48945281448.703392</v>
      </c>
      <c r="AN474" s="108">
        <v>60016149819.214455</v>
      </c>
      <c r="AO474" s="108">
        <v>62553404230.746773</v>
      </c>
      <c r="AP474" s="108">
        <v>63040748167.176468</v>
      </c>
      <c r="AQ474" s="108">
        <v>248201827.83575028</v>
      </c>
      <c r="AR474" s="108">
        <v>516805097.39080316</v>
      </c>
      <c r="AS474" s="108">
        <v>3040172659.2983651</v>
      </c>
      <c r="AT474" s="108">
        <v>10502760495.643402</v>
      </c>
      <c r="AU474" s="108">
        <v>25210001974.735828</v>
      </c>
      <c r="AV474" s="108">
        <v>38370642009.303482</v>
      </c>
    </row>
    <row r="475" spans="1:48" x14ac:dyDescent="0.35">
      <c r="A475" s="107">
        <f xml:space="preserve"> ROW( slrImpacts[[#This Row],[row_id]] ) - ROW( slrImpacts[[#Headers],[row_id]] )</f>
        <v>474</v>
      </c>
      <c r="B475" s="104">
        <v>2069</v>
      </c>
      <c r="C475" s="104" t="s">
        <v>221</v>
      </c>
      <c r="D475" s="104" t="s">
        <v>88</v>
      </c>
      <c r="E475" s="104" t="s">
        <v>922</v>
      </c>
      <c r="F475" s="104"/>
      <c r="G475" s="105">
        <v>0</v>
      </c>
      <c r="H475" s="105">
        <v>0</v>
      </c>
      <c r="I475" s="105">
        <v>0</v>
      </c>
      <c r="J475" s="105">
        <v>0</v>
      </c>
      <c r="K475" s="105">
        <v>0</v>
      </c>
      <c r="L475" s="105">
        <v>0</v>
      </c>
      <c r="M475" s="106">
        <v>3576379912.2627444</v>
      </c>
      <c r="N475" s="106">
        <v>6297540471.4024067</v>
      </c>
      <c r="O475" s="106">
        <v>29426975729.052078</v>
      </c>
      <c r="P475" s="106">
        <v>57497385215.631485</v>
      </c>
      <c r="Q475" s="106">
        <v>81438979920.727463</v>
      </c>
      <c r="R475" s="106">
        <v>99923876857.939835</v>
      </c>
      <c r="S475" s="105">
        <v>0</v>
      </c>
      <c r="T475" s="105">
        <v>0</v>
      </c>
      <c r="U475" s="105">
        <v>0</v>
      </c>
      <c r="V475" s="105">
        <v>0</v>
      </c>
      <c r="W475" s="105">
        <v>0</v>
      </c>
      <c r="X475" s="105">
        <v>0</v>
      </c>
      <c r="Y475" s="106">
        <v>32237174.46915137</v>
      </c>
      <c r="Z475" s="106">
        <v>47698943.287456989</v>
      </c>
      <c r="AA475" s="106">
        <v>164645711.74011666</v>
      </c>
      <c r="AB475" s="108">
        <v>548731871.8569113</v>
      </c>
      <c r="AC475" s="108">
        <v>1413716000.1834071</v>
      </c>
      <c r="AD475" s="108">
        <v>2348955537.6246057</v>
      </c>
      <c r="AE475" s="108">
        <v>20144608913.439785</v>
      </c>
      <c r="AF475" s="108">
        <v>28547229452.497425</v>
      </c>
      <c r="AG475" s="108">
        <v>64629548261.168129</v>
      </c>
      <c r="AH475" s="108">
        <v>96686612360.748947</v>
      </c>
      <c r="AI475" s="108">
        <v>61350320264.807701</v>
      </c>
      <c r="AJ475" s="108">
        <v>122659938304.30374</v>
      </c>
      <c r="AK475" s="108">
        <v>14247217908.631487</v>
      </c>
      <c r="AL475" s="108">
        <v>22393958753.218529</v>
      </c>
      <c r="AM475" s="108">
        <v>50539495915.401588</v>
      </c>
      <c r="AN475" s="108">
        <v>61033351823.621147</v>
      </c>
      <c r="AO475" s="108">
        <v>63232223552.649811</v>
      </c>
      <c r="AP475" s="108">
        <v>63674680138.819153</v>
      </c>
      <c r="AQ475" s="108">
        <v>259640781.64798468</v>
      </c>
      <c r="AR475" s="108">
        <v>545174587.53891683</v>
      </c>
      <c r="AS475" s="108">
        <v>3283816402.9770517</v>
      </c>
      <c r="AT475" s="108">
        <v>11362915038.484041</v>
      </c>
      <c r="AU475" s="108">
        <v>26935719299.110943</v>
      </c>
      <c r="AV475" s="108">
        <v>40470808444.064781</v>
      </c>
    </row>
    <row r="476" spans="1:48" x14ac:dyDescent="0.35">
      <c r="A476" s="107">
        <f xml:space="preserve"> ROW( slrImpacts[[#This Row],[row_id]] ) - ROW( slrImpacts[[#Headers],[row_id]] )</f>
        <v>475</v>
      </c>
      <c r="B476" s="104">
        <v>2070</v>
      </c>
      <c r="C476" s="104" t="s">
        <v>221</v>
      </c>
      <c r="D476" s="104" t="s">
        <v>88</v>
      </c>
      <c r="E476" s="104" t="s">
        <v>922</v>
      </c>
      <c r="F476" s="104"/>
      <c r="G476" s="105">
        <v>0</v>
      </c>
      <c r="H476" s="105">
        <v>0</v>
      </c>
      <c r="I476" s="105">
        <v>0</v>
      </c>
      <c r="J476" s="105">
        <v>0</v>
      </c>
      <c r="K476" s="105">
        <v>0</v>
      </c>
      <c r="L476" s="105">
        <v>0</v>
      </c>
      <c r="M476" s="106">
        <v>3719003371.4082255</v>
      </c>
      <c r="N476" s="106">
        <v>6587349983.3195925</v>
      </c>
      <c r="O476" s="106">
        <v>30981326590.300938</v>
      </c>
      <c r="P476" s="106">
        <v>59636600999.624695</v>
      </c>
      <c r="Q476" s="106">
        <v>83844084243.295837</v>
      </c>
      <c r="R476" s="106">
        <v>102813010386.80508</v>
      </c>
      <c r="S476" s="105">
        <v>0</v>
      </c>
      <c r="T476" s="105">
        <v>0</v>
      </c>
      <c r="U476" s="105">
        <v>0</v>
      </c>
      <c r="V476" s="105">
        <v>0</v>
      </c>
      <c r="W476" s="105">
        <v>0</v>
      </c>
      <c r="X476" s="105">
        <v>0</v>
      </c>
      <c r="Y476" s="106">
        <v>32942635.306887385</v>
      </c>
      <c r="Z476" s="106">
        <v>49077562.879881568</v>
      </c>
      <c r="AA476" s="106">
        <v>174428548.73550755</v>
      </c>
      <c r="AB476" s="108">
        <v>591438910.17781234</v>
      </c>
      <c r="AC476" s="108">
        <v>1504907945.060029</v>
      </c>
      <c r="AD476" s="108">
        <v>2473787638.0352778</v>
      </c>
      <c r="AE476" s="108">
        <v>21150665288.815617</v>
      </c>
      <c r="AF476" s="108">
        <v>29846334074.794762</v>
      </c>
      <c r="AG476" s="108">
        <v>67111375445.554886</v>
      </c>
      <c r="AH476" s="108">
        <v>99472023128.410812</v>
      </c>
      <c r="AI476" s="108">
        <v>62862321996.69548</v>
      </c>
      <c r="AJ476" s="108">
        <v>124109051223.14742</v>
      </c>
      <c r="AK476" s="108">
        <v>15039708040.030294</v>
      </c>
      <c r="AL476" s="108">
        <v>23610526434.239151</v>
      </c>
      <c r="AM476" s="108">
        <v>52096321301.742844</v>
      </c>
      <c r="AN476" s="108">
        <v>62004324983.388275</v>
      </c>
      <c r="AO476" s="108">
        <v>63901280722.44574</v>
      </c>
      <c r="AP476" s="108">
        <v>64308462922.319099</v>
      </c>
      <c r="AQ476" s="108">
        <v>271398766.63085461</v>
      </c>
      <c r="AR476" s="108">
        <v>574798653.42614937</v>
      </c>
      <c r="AS476" s="108">
        <v>3542344516.6464539</v>
      </c>
      <c r="AT476" s="108">
        <v>12277539460.178436</v>
      </c>
      <c r="AU476" s="108">
        <v>28714262883.854359</v>
      </c>
      <c r="AV476" s="108">
        <v>42572710579.516182</v>
      </c>
    </row>
    <row r="477" spans="1:48" x14ac:dyDescent="0.35">
      <c r="A477" s="107">
        <f xml:space="preserve"> ROW( slrImpacts[[#This Row],[row_id]] ) - ROW( slrImpacts[[#Headers],[row_id]] )</f>
        <v>476</v>
      </c>
      <c r="B477" s="104">
        <v>2071</v>
      </c>
      <c r="C477" s="104" t="s">
        <v>221</v>
      </c>
      <c r="D477" s="104" t="s">
        <v>88</v>
      </c>
      <c r="E477" s="104" t="s">
        <v>922</v>
      </c>
      <c r="F477" s="104"/>
      <c r="G477" s="105">
        <v>0</v>
      </c>
      <c r="H477" s="105">
        <v>0</v>
      </c>
      <c r="I477" s="105">
        <v>0</v>
      </c>
      <c r="J477" s="105">
        <v>0</v>
      </c>
      <c r="K477" s="105">
        <v>0</v>
      </c>
      <c r="L477" s="105">
        <v>0</v>
      </c>
      <c r="M477" s="106">
        <v>3865549410.8525133</v>
      </c>
      <c r="N477" s="106">
        <v>6886791878.2373047</v>
      </c>
      <c r="O477" s="106">
        <v>32568761133.884907</v>
      </c>
      <c r="P477" s="106">
        <v>61785336530.109482</v>
      </c>
      <c r="Q477" s="106">
        <v>86265545848.845032</v>
      </c>
      <c r="R477" s="106">
        <v>105698936981.04111</v>
      </c>
      <c r="S477" s="105">
        <v>0</v>
      </c>
      <c r="T477" s="105">
        <v>0</v>
      </c>
      <c r="U477" s="105">
        <v>0</v>
      </c>
      <c r="V477" s="105">
        <v>0</v>
      </c>
      <c r="W477" s="105">
        <v>0</v>
      </c>
      <c r="X477" s="105">
        <v>0</v>
      </c>
      <c r="Y477" s="106">
        <v>33673009.989735797</v>
      </c>
      <c r="Z477" s="106">
        <v>50502847.857207373</v>
      </c>
      <c r="AA477" s="106">
        <v>184888612.13009575</v>
      </c>
      <c r="AB477" s="108">
        <v>636883398.39913714</v>
      </c>
      <c r="AC477" s="108">
        <v>1599263541.81179</v>
      </c>
      <c r="AD477" s="108">
        <v>2600261696.6286173</v>
      </c>
      <c r="AE477" s="108">
        <v>22179969866.664246</v>
      </c>
      <c r="AF477" s="108">
        <v>31160627983.251511</v>
      </c>
      <c r="AG477" s="108">
        <v>69587094082.877655</v>
      </c>
      <c r="AH477" s="108">
        <v>102236364027.05649</v>
      </c>
      <c r="AI477" s="108">
        <v>64247144296.219742</v>
      </c>
      <c r="AJ477" s="108">
        <v>125527697342.69598</v>
      </c>
      <c r="AK477" s="108">
        <v>15860087025.851921</v>
      </c>
      <c r="AL477" s="108">
        <v>24854609198.603283</v>
      </c>
      <c r="AM477" s="108">
        <v>53612811126.977783</v>
      </c>
      <c r="AN477" s="108">
        <v>62931479025.502098</v>
      </c>
      <c r="AO477" s="108">
        <v>64561570133.431435</v>
      </c>
      <c r="AP477" s="108">
        <v>64940862070.997513</v>
      </c>
      <c r="AQ477" s="108">
        <v>283543441.20371974</v>
      </c>
      <c r="AR477" s="108">
        <v>605612116.94600236</v>
      </c>
      <c r="AS477" s="108">
        <v>3815940440.6637578</v>
      </c>
      <c r="AT477" s="108">
        <v>13246851586.787848</v>
      </c>
      <c r="AU477" s="108">
        <v>30539460995.969944</v>
      </c>
      <c r="AV477" s="108">
        <v>44670288851.421623</v>
      </c>
    </row>
    <row r="478" spans="1:48" x14ac:dyDescent="0.35">
      <c r="A478" s="107">
        <f xml:space="preserve"> ROW( slrImpacts[[#This Row],[row_id]] ) - ROW( slrImpacts[[#Headers],[row_id]] )</f>
        <v>477</v>
      </c>
      <c r="B478" s="104">
        <v>2072</v>
      </c>
      <c r="C478" s="104" t="s">
        <v>221</v>
      </c>
      <c r="D478" s="104" t="s">
        <v>88</v>
      </c>
      <c r="E478" s="104" t="s">
        <v>922</v>
      </c>
      <c r="F478" s="104"/>
      <c r="G478" s="105">
        <v>0</v>
      </c>
      <c r="H478" s="105">
        <v>0</v>
      </c>
      <c r="I478" s="105">
        <v>0</v>
      </c>
      <c r="J478" s="105">
        <v>0</v>
      </c>
      <c r="K478" s="105">
        <v>0</v>
      </c>
      <c r="L478" s="105">
        <v>0</v>
      </c>
      <c r="M478" s="106">
        <v>4016240413.8475099</v>
      </c>
      <c r="N478" s="106">
        <v>7196627264.5436516</v>
      </c>
      <c r="O478" s="106">
        <v>34188034596.810238</v>
      </c>
      <c r="P478" s="106">
        <v>63945406850.787407</v>
      </c>
      <c r="Q478" s="106">
        <v>88707648988.671951</v>
      </c>
      <c r="R478" s="106">
        <v>108576966609.99966</v>
      </c>
      <c r="S478" s="105">
        <v>0</v>
      </c>
      <c r="T478" s="105">
        <v>0</v>
      </c>
      <c r="U478" s="105">
        <v>0</v>
      </c>
      <c r="V478" s="105">
        <v>0</v>
      </c>
      <c r="W478" s="105">
        <v>0</v>
      </c>
      <c r="X478" s="105">
        <v>0</v>
      </c>
      <c r="Y478" s="106">
        <v>34418526.215923436</v>
      </c>
      <c r="Z478" s="106">
        <v>51974804.025552191</v>
      </c>
      <c r="AA478" s="106">
        <v>196045340.3593725</v>
      </c>
      <c r="AB478" s="108">
        <v>685117941.51975131</v>
      </c>
      <c r="AC478" s="108">
        <v>1696661269.8737652</v>
      </c>
      <c r="AD478" s="108">
        <v>2728216680.543026</v>
      </c>
      <c r="AE478" s="108">
        <v>23225390894.901974</v>
      </c>
      <c r="AF478" s="108">
        <v>32482822931.525589</v>
      </c>
      <c r="AG478" s="108">
        <v>72053744617.080734</v>
      </c>
      <c r="AH478" s="108">
        <v>104977268372.49113</v>
      </c>
      <c r="AI478" s="108">
        <v>65518732283.953621</v>
      </c>
      <c r="AJ478" s="108">
        <v>126926700786.5647</v>
      </c>
      <c r="AK478" s="108">
        <v>16703887042.111509</v>
      </c>
      <c r="AL478" s="108">
        <v>26120186933.401516</v>
      </c>
      <c r="AM478" s="108">
        <v>55089734312.877922</v>
      </c>
      <c r="AN478" s="108">
        <v>63820113274.534889</v>
      </c>
      <c r="AO478" s="108">
        <v>65216862212.456436</v>
      </c>
      <c r="AP478" s="108">
        <v>65574190975.225174</v>
      </c>
      <c r="AQ478" s="108">
        <v>296122238.00946337</v>
      </c>
      <c r="AR478" s="108">
        <v>637697299.36585712</v>
      </c>
      <c r="AS478" s="108">
        <v>4105159965.8185253</v>
      </c>
      <c r="AT478" s="108">
        <v>14271464909.540449</v>
      </c>
      <c r="AU478" s="108">
        <v>32405205125.256287</v>
      </c>
      <c r="AV478" s="108">
        <v>46758566137.780609</v>
      </c>
    </row>
    <row r="479" spans="1:48" x14ac:dyDescent="0.35">
      <c r="A479" s="107">
        <f xml:space="preserve"> ROW( slrImpacts[[#This Row],[row_id]] ) - ROW( slrImpacts[[#Headers],[row_id]] )</f>
        <v>478</v>
      </c>
      <c r="B479" s="104">
        <v>2073</v>
      </c>
      <c r="C479" s="104" t="s">
        <v>221</v>
      </c>
      <c r="D479" s="104" t="s">
        <v>88</v>
      </c>
      <c r="E479" s="104" t="s">
        <v>922</v>
      </c>
      <c r="F479" s="104"/>
      <c r="G479" s="105">
        <v>0</v>
      </c>
      <c r="H479" s="105">
        <v>0</v>
      </c>
      <c r="I479" s="105">
        <v>0</v>
      </c>
      <c r="J479" s="105">
        <v>0</v>
      </c>
      <c r="K479" s="105">
        <v>0</v>
      </c>
      <c r="L479" s="105">
        <v>0</v>
      </c>
      <c r="M479" s="106">
        <v>4171318244.0550332</v>
      </c>
      <c r="N479" s="106">
        <v>7516680689.5949306</v>
      </c>
      <c r="O479" s="106">
        <v>35835635101.244987</v>
      </c>
      <c r="P479" s="106">
        <v>66116788694.675247</v>
      </c>
      <c r="Q479" s="106">
        <v>91171770311.97644</v>
      </c>
      <c r="R479" s="106">
        <v>111440925242.5791</v>
      </c>
      <c r="S479" s="105">
        <v>0</v>
      </c>
      <c r="T479" s="105">
        <v>0</v>
      </c>
      <c r="U479" s="105">
        <v>0</v>
      </c>
      <c r="V479" s="105">
        <v>0</v>
      </c>
      <c r="W479" s="105">
        <v>0</v>
      </c>
      <c r="X479" s="105">
        <v>0</v>
      </c>
      <c r="Y479" s="106">
        <v>35191091.03860499</v>
      </c>
      <c r="Z479" s="106">
        <v>53497737.008056603</v>
      </c>
      <c r="AA479" s="106">
        <v>207952589.9767679</v>
      </c>
      <c r="AB479" s="108">
        <v>736173105.60136044</v>
      </c>
      <c r="AC479" s="108">
        <v>1796965070.5246298</v>
      </c>
      <c r="AD479" s="108">
        <v>2857578477.7966828</v>
      </c>
      <c r="AE479" s="108">
        <v>24291958047.691463</v>
      </c>
      <c r="AF479" s="108">
        <v>33818494337.06496</v>
      </c>
      <c r="AG479" s="108">
        <v>74507596237.4077</v>
      </c>
      <c r="AH479" s="108">
        <v>107691578868.50023</v>
      </c>
      <c r="AI479" s="108">
        <v>66694083325.349434</v>
      </c>
      <c r="AJ479" s="108">
        <v>128312699845.95341</v>
      </c>
      <c r="AK479" s="108">
        <v>17579082740.088909</v>
      </c>
      <c r="AL479" s="108">
        <v>27415068398.302002</v>
      </c>
      <c r="AM479" s="108">
        <v>56527027743.041374</v>
      </c>
      <c r="AN479" s="108">
        <v>64674956046.081703</v>
      </c>
      <c r="AO479" s="108">
        <v>65868631322.572166</v>
      </c>
      <c r="AP479" s="108">
        <v>66208967298.439796</v>
      </c>
      <c r="AQ479" s="108">
        <v>309068443.58746195</v>
      </c>
      <c r="AR479" s="108">
        <v>671043193.75378549</v>
      </c>
      <c r="AS479" s="108">
        <v>4410278723.2004938</v>
      </c>
      <c r="AT479" s="108">
        <v>15352489780.034615</v>
      </c>
      <c r="AU479" s="108">
        <v>34306071697.553833</v>
      </c>
      <c r="AV479" s="108">
        <v>48832399353.691292</v>
      </c>
    </row>
    <row r="480" spans="1:48" x14ac:dyDescent="0.35">
      <c r="A480" s="107">
        <f xml:space="preserve"> ROW( slrImpacts[[#This Row],[row_id]] ) - ROW( slrImpacts[[#Headers],[row_id]] )</f>
        <v>479</v>
      </c>
      <c r="B480" s="104">
        <v>2074</v>
      </c>
      <c r="C480" s="104" t="s">
        <v>221</v>
      </c>
      <c r="D480" s="104" t="s">
        <v>88</v>
      </c>
      <c r="E480" s="104" t="s">
        <v>922</v>
      </c>
      <c r="F480" s="104"/>
      <c r="G480" s="105">
        <v>0</v>
      </c>
      <c r="H480" s="105">
        <v>0</v>
      </c>
      <c r="I480" s="105">
        <v>0</v>
      </c>
      <c r="J480" s="105">
        <v>0</v>
      </c>
      <c r="K480" s="105">
        <v>0</v>
      </c>
      <c r="L480" s="105">
        <v>0</v>
      </c>
      <c r="M480" s="106">
        <v>4330547162.5076742</v>
      </c>
      <c r="N480" s="106">
        <v>7846769747.8860235</v>
      </c>
      <c r="O480" s="106">
        <v>37509004996.802216</v>
      </c>
      <c r="P480" s="106">
        <v>68299733260.152046</v>
      </c>
      <c r="Q480" s="106">
        <v>93658790947.615372</v>
      </c>
      <c r="R480" s="106">
        <v>114283951610.56477</v>
      </c>
      <c r="S480" s="105">
        <v>0</v>
      </c>
      <c r="T480" s="105">
        <v>0</v>
      </c>
      <c r="U480" s="105">
        <v>0</v>
      </c>
      <c r="V480" s="105">
        <v>0</v>
      </c>
      <c r="W480" s="105">
        <v>0</v>
      </c>
      <c r="X480" s="105">
        <v>0</v>
      </c>
      <c r="Y480" s="106">
        <v>35986513.267054647</v>
      </c>
      <c r="Z480" s="106">
        <v>55067649.932056941</v>
      </c>
      <c r="AA480" s="106">
        <v>220618234.53414658</v>
      </c>
      <c r="AB480" s="108">
        <v>790058572.21837127</v>
      </c>
      <c r="AC480" s="108">
        <v>1900121150.6397681</v>
      </c>
      <c r="AD480" s="108">
        <v>2988227861.9446101</v>
      </c>
      <c r="AE480" s="108">
        <v>25374409584.326653</v>
      </c>
      <c r="AF480" s="108">
        <v>35159130908.580482</v>
      </c>
      <c r="AG480" s="108">
        <v>76948851676.006836</v>
      </c>
      <c r="AH480" s="108">
        <v>110371659801.24628</v>
      </c>
      <c r="AI480" s="108">
        <v>67792832728.229729</v>
      </c>
      <c r="AJ480" s="108">
        <v>129689396800.14441</v>
      </c>
      <c r="AK480" s="108">
        <v>18480246569.812069</v>
      </c>
      <c r="AL480" s="108">
        <v>28731089804.142776</v>
      </c>
      <c r="AM480" s="108">
        <v>57926147066.435768</v>
      </c>
      <c r="AN480" s="108">
        <v>65500088678.66468</v>
      </c>
      <c r="AO480" s="108">
        <v>66518321589.525108</v>
      </c>
      <c r="AP480" s="108">
        <v>66845377896.565247</v>
      </c>
      <c r="AQ480" s="108">
        <v>322387986.25304329</v>
      </c>
      <c r="AR480" s="108">
        <v>705830557.90366292</v>
      </c>
      <c r="AS480" s="108">
        <v>4731860380.8770761</v>
      </c>
      <c r="AT480" s="108">
        <v>16489767538.668926</v>
      </c>
      <c r="AU480" s="108">
        <v>36238551439.673996</v>
      </c>
      <c r="AV480" s="108">
        <v>50888051464.885895</v>
      </c>
    </row>
    <row r="481" spans="1:48" x14ac:dyDescent="0.35">
      <c r="A481" s="107">
        <f xml:space="preserve"> ROW( slrImpacts[[#This Row],[row_id]] ) - ROW( slrImpacts[[#Headers],[row_id]] )</f>
        <v>480</v>
      </c>
      <c r="B481" s="104">
        <v>2075</v>
      </c>
      <c r="C481" s="104" t="s">
        <v>221</v>
      </c>
      <c r="D481" s="104" t="s">
        <v>88</v>
      </c>
      <c r="E481" s="104" t="s">
        <v>922</v>
      </c>
      <c r="F481" s="104"/>
      <c r="G481" s="105">
        <v>0</v>
      </c>
      <c r="H481" s="105">
        <v>0</v>
      </c>
      <c r="I481" s="105">
        <v>0</v>
      </c>
      <c r="J481" s="105">
        <v>0</v>
      </c>
      <c r="K481" s="105">
        <v>0</v>
      </c>
      <c r="L481" s="105">
        <v>0</v>
      </c>
      <c r="M481" s="106">
        <v>4493814613.3714972</v>
      </c>
      <c r="N481" s="106">
        <v>8186452785.0056248</v>
      </c>
      <c r="O481" s="106">
        <v>39205087238.716103</v>
      </c>
      <c r="P481" s="106">
        <v>70494281310.661118</v>
      </c>
      <c r="Q481" s="106">
        <v>96168756616.602554</v>
      </c>
      <c r="R481" s="106">
        <v>117099941090.34512</v>
      </c>
      <c r="S481" s="105">
        <v>0</v>
      </c>
      <c r="T481" s="105">
        <v>0</v>
      </c>
      <c r="U481" s="105">
        <v>0</v>
      </c>
      <c r="V481" s="105">
        <v>0</v>
      </c>
      <c r="W481" s="105">
        <v>0</v>
      </c>
      <c r="X481" s="105">
        <v>0</v>
      </c>
      <c r="Y481" s="106">
        <v>36795447.001614586</v>
      </c>
      <c r="Z481" s="106">
        <v>56678534.857166126</v>
      </c>
      <c r="AA481" s="106">
        <v>234060666.96683532</v>
      </c>
      <c r="AB481" s="108">
        <v>846559972.27317679</v>
      </c>
      <c r="AC481" s="108">
        <v>2004658646.7784884</v>
      </c>
      <c r="AD481" s="108">
        <v>3120056823.6216826</v>
      </c>
      <c r="AE481" s="108">
        <v>26473679369.287773</v>
      </c>
      <c r="AF481" s="108">
        <v>36508554667.941757</v>
      </c>
      <c r="AG481" s="108">
        <v>79376382271.712418</v>
      </c>
      <c r="AH481" s="108">
        <v>112994159458.26602</v>
      </c>
      <c r="AI481" s="108">
        <v>68830318797.567856</v>
      </c>
      <c r="AJ481" s="108">
        <v>131017764047.02324</v>
      </c>
      <c r="AK481" s="108">
        <v>19408987224.501221</v>
      </c>
      <c r="AL481" s="108">
        <v>30045136527.723621</v>
      </c>
      <c r="AM481" s="108">
        <v>59287778470.765259</v>
      </c>
      <c r="AN481" s="108">
        <v>66299101402.015778</v>
      </c>
      <c r="AO481" s="108">
        <v>67166893724.794838</v>
      </c>
      <c r="AP481" s="108">
        <v>67483721329.169891</v>
      </c>
      <c r="AQ481" s="108">
        <v>336081543.59903312</v>
      </c>
      <c r="AR481" s="108">
        <v>741966606.29763556</v>
      </c>
      <c r="AS481" s="108">
        <v>5069902672.374424</v>
      </c>
      <c r="AT481" s="108">
        <v>17677830360.54092</v>
      </c>
      <c r="AU481" s="108">
        <v>38197589156.185295</v>
      </c>
      <c r="AV481" s="108">
        <v>52922983316.21479</v>
      </c>
    </row>
    <row r="482" spans="1:48" x14ac:dyDescent="0.35">
      <c r="A482" s="107">
        <f xml:space="preserve"> ROW( slrImpacts[[#This Row],[row_id]] ) - ROW( slrImpacts[[#Headers],[row_id]] )</f>
        <v>481</v>
      </c>
      <c r="B482" s="104">
        <v>2076</v>
      </c>
      <c r="C482" s="104" t="s">
        <v>221</v>
      </c>
      <c r="D482" s="104" t="s">
        <v>88</v>
      </c>
      <c r="E482" s="104" t="s">
        <v>922</v>
      </c>
      <c r="F482" s="104"/>
      <c r="G482" s="105">
        <v>0</v>
      </c>
      <c r="H482" s="105">
        <v>0</v>
      </c>
      <c r="I482" s="105">
        <v>0</v>
      </c>
      <c r="J482" s="105">
        <v>0</v>
      </c>
      <c r="K482" s="105">
        <v>0</v>
      </c>
      <c r="L482" s="105">
        <v>0</v>
      </c>
      <c r="M482" s="106">
        <v>4658820914.7986469</v>
      </c>
      <c r="N482" s="106">
        <v>8532528543.5021696</v>
      </c>
      <c r="O482" s="106">
        <v>40927076793.301781</v>
      </c>
      <c r="P482" s="106">
        <v>72742356893.091522</v>
      </c>
      <c r="Q482" s="106">
        <v>98743157633.103912</v>
      </c>
      <c r="R482" s="106">
        <v>119918493120.24718</v>
      </c>
      <c r="S482" s="105">
        <v>0</v>
      </c>
      <c r="T482" s="105">
        <v>0</v>
      </c>
      <c r="U482" s="105">
        <v>0</v>
      </c>
      <c r="V482" s="105">
        <v>0</v>
      </c>
      <c r="W482" s="105">
        <v>0</v>
      </c>
      <c r="X482" s="105">
        <v>0</v>
      </c>
      <c r="Y482" s="106">
        <v>37611866.887059137</v>
      </c>
      <c r="Z482" s="106">
        <v>58340701.123578772</v>
      </c>
      <c r="AA482" s="106">
        <v>248912565.68013445</v>
      </c>
      <c r="AB482" s="108">
        <v>906274006.59602308</v>
      </c>
      <c r="AC482" s="108">
        <v>2112606485.0778031</v>
      </c>
      <c r="AD482" s="108">
        <v>3254185825.5984225</v>
      </c>
      <c r="AE482" s="108">
        <v>27576643661.78664</v>
      </c>
      <c r="AF482" s="108">
        <v>37863085257.08033</v>
      </c>
      <c r="AG482" s="108">
        <v>81808535159.108902</v>
      </c>
      <c r="AH482" s="108">
        <v>115609365013.82742</v>
      </c>
      <c r="AI482" s="108">
        <v>69834957775.005295</v>
      </c>
      <c r="AJ482" s="108">
        <v>132342172746.66701</v>
      </c>
      <c r="AK482" s="108">
        <v>20361824770.787537</v>
      </c>
      <c r="AL482" s="108">
        <v>31372618727.825947</v>
      </c>
      <c r="AM482" s="108">
        <v>60624043275.123032</v>
      </c>
      <c r="AN482" s="108">
        <v>67073737119.054085</v>
      </c>
      <c r="AO482" s="108">
        <v>67812568410.198959</v>
      </c>
      <c r="AP482" s="108">
        <v>68122013679.574806</v>
      </c>
      <c r="AQ482" s="108">
        <v>349950897.16577256</v>
      </c>
      <c r="AR482" s="108">
        <v>779004566.22759855</v>
      </c>
      <c r="AS482" s="108">
        <v>5427126948.2947092</v>
      </c>
      <c r="AT482" s="108">
        <v>18925618831.089096</v>
      </c>
      <c r="AU482" s="108">
        <v>40196052566.24057</v>
      </c>
      <c r="AV482" s="108">
        <v>54943984140.065331</v>
      </c>
    </row>
    <row r="483" spans="1:48" x14ac:dyDescent="0.35">
      <c r="A483" s="107">
        <f xml:space="preserve"> ROW( slrImpacts[[#This Row],[row_id]] ) - ROW( slrImpacts[[#Headers],[row_id]] )</f>
        <v>482</v>
      </c>
      <c r="B483" s="104">
        <v>2077</v>
      </c>
      <c r="C483" s="104" t="s">
        <v>221</v>
      </c>
      <c r="D483" s="104" t="s">
        <v>88</v>
      </c>
      <c r="E483" s="104" t="s">
        <v>922</v>
      </c>
      <c r="F483" s="104"/>
      <c r="G483" s="105">
        <v>0</v>
      </c>
      <c r="H483" s="105">
        <v>0</v>
      </c>
      <c r="I483" s="105">
        <v>0</v>
      </c>
      <c r="J483" s="105">
        <v>0</v>
      </c>
      <c r="K483" s="105">
        <v>0</v>
      </c>
      <c r="L483" s="105">
        <v>0</v>
      </c>
      <c r="M483" s="106">
        <v>4825953612.1720877</v>
      </c>
      <c r="N483" s="106">
        <v>8885931518.5464592</v>
      </c>
      <c r="O483" s="106">
        <v>42661920951.622314</v>
      </c>
      <c r="P483" s="106">
        <v>74987453052.144363</v>
      </c>
      <c r="Q483" s="106">
        <v>101356952230.53848</v>
      </c>
      <c r="R483" s="106">
        <v>122714830427.44099</v>
      </c>
      <c r="S483" s="105">
        <v>0</v>
      </c>
      <c r="T483" s="105">
        <v>0</v>
      </c>
      <c r="U483" s="105">
        <v>0</v>
      </c>
      <c r="V483" s="105">
        <v>0</v>
      </c>
      <c r="W483" s="105">
        <v>0</v>
      </c>
      <c r="X483" s="105">
        <v>0</v>
      </c>
      <c r="Y483" s="106">
        <v>38420986.209359132</v>
      </c>
      <c r="Z483" s="106">
        <v>60034981.313188046</v>
      </c>
      <c r="AA483" s="106">
        <v>264562330.44047406</v>
      </c>
      <c r="AB483" s="108">
        <v>968283015.53973413</v>
      </c>
      <c r="AC483" s="108">
        <v>2221906432.9184904</v>
      </c>
      <c r="AD483" s="108">
        <v>3389153901.2845902</v>
      </c>
      <c r="AE483" s="108">
        <v>28692385677.955784</v>
      </c>
      <c r="AF483" s="108">
        <v>39223673667.204941</v>
      </c>
      <c r="AG483" s="108">
        <v>84232373301.589249</v>
      </c>
      <c r="AH483" s="108">
        <v>118152118324.95776</v>
      </c>
      <c r="AI483" s="108">
        <v>70798727748.49675</v>
      </c>
      <c r="AJ483" s="108">
        <v>133661673329.13438</v>
      </c>
      <c r="AK483" s="108">
        <v>21338444622.585209</v>
      </c>
      <c r="AL483" s="108">
        <v>32706290589.809071</v>
      </c>
      <c r="AM483" s="108">
        <v>61913614795.527817</v>
      </c>
      <c r="AN483" s="108">
        <v>67826499508.992912</v>
      </c>
      <c r="AO483" s="108">
        <v>68458043194.344566</v>
      </c>
      <c r="AP483" s="108">
        <v>68762609457.177322</v>
      </c>
      <c r="AQ483" s="108">
        <v>363997643.68726152</v>
      </c>
      <c r="AR483" s="108">
        <v>816972788.68219459</v>
      </c>
      <c r="AS483" s="108">
        <v>5802465806.948885</v>
      </c>
      <c r="AT483" s="108">
        <v>20220203566.453426</v>
      </c>
      <c r="AU483" s="108">
        <v>42198089230.384781</v>
      </c>
      <c r="AV483" s="108">
        <v>56927145769.408966</v>
      </c>
    </row>
    <row r="484" spans="1:48" x14ac:dyDescent="0.35">
      <c r="A484" s="107">
        <f xml:space="preserve"> ROW( slrImpacts[[#This Row],[row_id]] ) - ROW( slrImpacts[[#Headers],[row_id]] )</f>
        <v>483</v>
      </c>
      <c r="B484" s="104">
        <v>2078</v>
      </c>
      <c r="C484" s="104" t="s">
        <v>221</v>
      </c>
      <c r="D484" s="104" t="s">
        <v>88</v>
      </c>
      <c r="E484" s="104" t="s">
        <v>922</v>
      </c>
      <c r="F484" s="104"/>
      <c r="G484" s="105">
        <v>0</v>
      </c>
      <c r="H484" s="105">
        <v>0</v>
      </c>
      <c r="I484" s="105">
        <v>0</v>
      </c>
      <c r="J484" s="105">
        <v>0</v>
      </c>
      <c r="K484" s="105">
        <v>0</v>
      </c>
      <c r="L484" s="105">
        <v>0</v>
      </c>
      <c r="M484" s="106">
        <v>4994935031.9332857</v>
      </c>
      <c r="N484" s="106">
        <v>9246485648.7772331</v>
      </c>
      <c r="O484" s="106">
        <v>44408556268.993797</v>
      </c>
      <c r="P484" s="106">
        <v>77229785334.933304</v>
      </c>
      <c r="Q484" s="106">
        <v>104007217574.30244</v>
      </c>
      <c r="R484" s="106">
        <v>125487899039.38107</v>
      </c>
      <c r="S484" s="105">
        <v>0</v>
      </c>
      <c r="T484" s="105">
        <v>0</v>
      </c>
      <c r="U484" s="105">
        <v>0</v>
      </c>
      <c r="V484" s="105">
        <v>0</v>
      </c>
      <c r="W484" s="105">
        <v>0</v>
      </c>
      <c r="X484" s="105">
        <v>0</v>
      </c>
      <c r="Y484" s="106">
        <v>39224080.450966597</v>
      </c>
      <c r="Z484" s="106">
        <v>61764742.27486629</v>
      </c>
      <c r="AA484" s="106">
        <v>281020782.30423522</v>
      </c>
      <c r="AB484" s="108">
        <v>1032485807.8232895</v>
      </c>
      <c r="AC484" s="108">
        <v>2332537712.5743704</v>
      </c>
      <c r="AD484" s="108">
        <v>3524855025.1633253</v>
      </c>
      <c r="AE484" s="108">
        <v>29814252495.715942</v>
      </c>
      <c r="AF484" s="108">
        <v>40597230077.612679</v>
      </c>
      <c r="AG484" s="108">
        <v>86651891972.068085</v>
      </c>
      <c r="AH484" s="108">
        <v>120610287428.85786</v>
      </c>
      <c r="AI484" s="108">
        <v>71732348136.439651</v>
      </c>
      <c r="AJ484" s="108">
        <v>134977148793.41678</v>
      </c>
      <c r="AK484" s="108">
        <v>22335412446.194233</v>
      </c>
      <c r="AL484" s="108">
        <v>34049542379.132092</v>
      </c>
      <c r="AM484" s="108">
        <v>63160677494.156494</v>
      </c>
      <c r="AN484" s="108">
        <v>68560856948.9944</v>
      </c>
      <c r="AO484" s="108">
        <v>69104072135.473099</v>
      </c>
      <c r="AP484" s="108">
        <v>69405697183.591354</v>
      </c>
      <c r="AQ484" s="108">
        <v>378313297.54009604</v>
      </c>
      <c r="AR484" s="108">
        <v>855829456.92471373</v>
      </c>
      <c r="AS484" s="108">
        <v>6195430090.1760902</v>
      </c>
      <c r="AT484" s="108">
        <v>21557686093.283871</v>
      </c>
      <c r="AU484" s="108">
        <v>44197550435.340965</v>
      </c>
      <c r="AV484" s="108">
        <v>58871078285.979607</v>
      </c>
    </row>
    <row r="485" spans="1:48" x14ac:dyDescent="0.35">
      <c r="A485" s="107">
        <f xml:space="preserve"> ROW( slrImpacts[[#This Row],[row_id]] ) - ROW( slrImpacts[[#Headers],[row_id]] )</f>
        <v>484</v>
      </c>
      <c r="B485" s="104">
        <v>2079</v>
      </c>
      <c r="C485" s="104" t="s">
        <v>221</v>
      </c>
      <c r="D485" s="104" t="s">
        <v>88</v>
      </c>
      <c r="E485" s="104" t="s">
        <v>922</v>
      </c>
      <c r="F485" s="104"/>
      <c r="G485" s="105">
        <v>0</v>
      </c>
      <c r="H485" s="105">
        <v>0</v>
      </c>
      <c r="I485" s="105">
        <v>0</v>
      </c>
      <c r="J485" s="105">
        <v>0</v>
      </c>
      <c r="K485" s="105">
        <v>0</v>
      </c>
      <c r="L485" s="105">
        <v>0</v>
      </c>
      <c r="M485" s="106">
        <v>5166141834.7374563</v>
      </c>
      <c r="N485" s="106">
        <v>9614125636.10783</v>
      </c>
      <c r="O485" s="106">
        <v>46165287055.063622</v>
      </c>
      <c r="P485" s="106">
        <v>79471155704.47673</v>
      </c>
      <c r="Q485" s="106">
        <v>106687807167.8262</v>
      </c>
      <c r="R485" s="106">
        <v>128238309877.64908</v>
      </c>
      <c r="S485" s="105">
        <v>0</v>
      </c>
      <c r="T485" s="105">
        <v>0</v>
      </c>
      <c r="U485" s="105">
        <v>0</v>
      </c>
      <c r="V485" s="105">
        <v>0</v>
      </c>
      <c r="W485" s="105">
        <v>0</v>
      </c>
      <c r="X485" s="105">
        <v>0</v>
      </c>
      <c r="Y485" s="106">
        <v>40020538.489828072</v>
      </c>
      <c r="Z485" s="106">
        <v>63523373.780759297</v>
      </c>
      <c r="AA485" s="106">
        <v>298333018.49228883</v>
      </c>
      <c r="AB485" s="108">
        <v>1098860393.8725104</v>
      </c>
      <c r="AC485" s="108">
        <v>2444243451.7728381</v>
      </c>
      <c r="AD485" s="108">
        <v>3661172884.7795038</v>
      </c>
      <c r="AE485" s="108">
        <v>30940229654.894039</v>
      </c>
      <c r="AF485" s="108">
        <v>41978103630.172676</v>
      </c>
      <c r="AG485" s="108">
        <v>89062052103.254837</v>
      </c>
      <c r="AH485" s="108">
        <v>122975076312.2072</v>
      </c>
      <c r="AI485" s="108">
        <v>72642873476.325058</v>
      </c>
      <c r="AJ485" s="108">
        <v>136289122239.26024</v>
      </c>
      <c r="AK485" s="108">
        <v>23345981571.090408</v>
      </c>
      <c r="AL485" s="108">
        <v>35391443476.287834</v>
      </c>
      <c r="AM485" s="108">
        <v>64364672852.335617</v>
      </c>
      <c r="AN485" s="108">
        <v>69281203996.0905</v>
      </c>
      <c r="AO485" s="108">
        <v>69751159113.690536</v>
      </c>
      <c r="AP485" s="108">
        <v>70051364065.619919</v>
      </c>
      <c r="AQ485" s="108">
        <v>392894497.40806818</v>
      </c>
      <c r="AR485" s="108">
        <v>895590204.39525139</v>
      </c>
      <c r="AS485" s="108">
        <v>6606665722.7767096</v>
      </c>
      <c r="AT485" s="108">
        <v>22935661272.226391</v>
      </c>
      <c r="AU485" s="108">
        <v>46192411232.458824</v>
      </c>
      <c r="AV485" s="108">
        <v>60772688050.187294</v>
      </c>
    </row>
    <row r="486" spans="1:48" x14ac:dyDescent="0.35">
      <c r="A486" s="107">
        <f xml:space="preserve"> ROW( slrImpacts[[#This Row],[row_id]] ) - ROW( slrImpacts[[#Headers],[row_id]] )</f>
        <v>485</v>
      </c>
      <c r="B486" s="104">
        <v>2080</v>
      </c>
      <c r="C486" s="104" t="s">
        <v>221</v>
      </c>
      <c r="D486" s="104" t="s">
        <v>88</v>
      </c>
      <c r="E486" s="104" t="s">
        <v>922</v>
      </c>
      <c r="F486" s="104"/>
      <c r="G486" s="105">
        <v>0</v>
      </c>
      <c r="H486" s="105">
        <v>0</v>
      </c>
      <c r="I486" s="105">
        <v>0</v>
      </c>
      <c r="J486" s="105">
        <v>0</v>
      </c>
      <c r="K486" s="105">
        <v>0</v>
      </c>
      <c r="L486" s="105">
        <v>0</v>
      </c>
      <c r="M486" s="106">
        <v>5339300232.4773407</v>
      </c>
      <c r="N486" s="106">
        <v>9989060942.6746292</v>
      </c>
      <c r="O486" s="106">
        <v>47931270183.656639</v>
      </c>
      <c r="P486" s="106">
        <v>81712526332.478195</v>
      </c>
      <c r="Q486" s="106">
        <v>109393527107.98239</v>
      </c>
      <c r="R486" s="106">
        <v>130966957278.18785</v>
      </c>
      <c r="S486" s="105">
        <v>0</v>
      </c>
      <c r="T486" s="105">
        <v>0</v>
      </c>
      <c r="U486" s="105">
        <v>0</v>
      </c>
      <c r="V486" s="105">
        <v>0</v>
      </c>
      <c r="W486" s="105">
        <v>0</v>
      </c>
      <c r="X486" s="105">
        <v>0</v>
      </c>
      <c r="Y486" s="106">
        <v>40806032.979484051</v>
      </c>
      <c r="Z486" s="106">
        <v>65314376.175442897</v>
      </c>
      <c r="AA486" s="106">
        <v>316505364.84217644</v>
      </c>
      <c r="AB486" s="108">
        <v>1167251075.1286273</v>
      </c>
      <c r="AC486" s="108">
        <v>2557014454.3543243</v>
      </c>
      <c r="AD486" s="108">
        <v>3798095722.0243917</v>
      </c>
      <c r="AE486" s="108">
        <v>32069751231.012913</v>
      </c>
      <c r="AF486" s="108">
        <v>43370958804.364243</v>
      </c>
      <c r="AG486" s="108">
        <v>91468878337.114319</v>
      </c>
      <c r="AH486" s="108">
        <v>125239713680.12234</v>
      </c>
      <c r="AI486" s="108">
        <v>73536412591.960678</v>
      </c>
      <c r="AJ486" s="108">
        <v>137597363789.41553</v>
      </c>
      <c r="AK486" s="108">
        <v>24377003512.809597</v>
      </c>
      <c r="AL486" s="108">
        <v>36737174612.569984</v>
      </c>
      <c r="AM486" s="108">
        <v>65529615431.738327</v>
      </c>
      <c r="AN486" s="108">
        <v>69990195063.716736</v>
      </c>
      <c r="AO486" s="108">
        <v>70399681031.341644</v>
      </c>
      <c r="AP486" s="108">
        <v>70699669018.274887</v>
      </c>
      <c r="AQ486" s="108">
        <v>407644205.02799267</v>
      </c>
      <c r="AR486" s="108">
        <v>936461057.92817843</v>
      </c>
      <c r="AS486" s="108">
        <v>7037093971.592802</v>
      </c>
      <c r="AT486" s="108">
        <v>24351115406.599255</v>
      </c>
      <c r="AU486" s="108">
        <v>48178701632.405983</v>
      </c>
      <c r="AV486" s="108">
        <v>62628462254.06118</v>
      </c>
    </row>
    <row r="487" spans="1:48" x14ac:dyDescent="0.35">
      <c r="A487" s="107">
        <f xml:space="preserve"> ROW( slrImpacts[[#This Row],[row_id]] ) - ROW( slrImpacts[[#Headers],[row_id]] )</f>
        <v>486</v>
      </c>
      <c r="B487" s="104">
        <v>2081</v>
      </c>
      <c r="C487" s="104" t="s">
        <v>221</v>
      </c>
      <c r="D487" s="104" t="s">
        <v>88</v>
      </c>
      <c r="E487" s="104" t="s">
        <v>922</v>
      </c>
      <c r="F487" s="104"/>
      <c r="G487" s="105">
        <v>0</v>
      </c>
      <c r="H487" s="105">
        <v>0</v>
      </c>
      <c r="I487" s="105">
        <v>0</v>
      </c>
      <c r="J487" s="105">
        <v>0</v>
      </c>
      <c r="K487" s="105">
        <v>0</v>
      </c>
      <c r="L487" s="105">
        <v>0</v>
      </c>
      <c r="M487" s="106">
        <v>5514242093.2800598</v>
      </c>
      <c r="N487" s="106">
        <v>10370458490.24789</v>
      </c>
      <c r="O487" s="106">
        <v>49704373596.716812</v>
      </c>
      <c r="P487" s="106">
        <v>83953433616.998123</v>
      </c>
      <c r="Q487" s="106">
        <v>112113209570.21231</v>
      </c>
      <c r="R487" s="106">
        <v>133671467773.58559</v>
      </c>
      <c r="S487" s="105">
        <v>0</v>
      </c>
      <c r="T487" s="105">
        <v>0</v>
      </c>
      <c r="U487" s="105">
        <v>0</v>
      </c>
      <c r="V487" s="105">
        <v>0</v>
      </c>
      <c r="W487" s="105">
        <v>0</v>
      </c>
      <c r="X487" s="105">
        <v>0</v>
      </c>
      <c r="Y487" s="106">
        <v>41588929.253070362</v>
      </c>
      <c r="Z487" s="106">
        <v>67140430.331356585</v>
      </c>
      <c r="AA487" s="106">
        <v>335604203.28372502</v>
      </c>
      <c r="AB487" s="108">
        <v>1237597505.7849984</v>
      </c>
      <c r="AC487" s="108">
        <v>2670656229.9011865</v>
      </c>
      <c r="AD487" s="108">
        <v>3935416413.4234252</v>
      </c>
      <c r="AE487" s="108">
        <v>33203175072.782127</v>
      </c>
      <c r="AF487" s="108">
        <v>44776095179.796707</v>
      </c>
      <c r="AG487" s="108">
        <v>93863980821.31665</v>
      </c>
      <c r="AH487" s="108">
        <v>127388612594.83325</v>
      </c>
      <c r="AI487" s="108">
        <v>74404880297.395218</v>
      </c>
      <c r="AJ487" s="108">
        <v>138890144243.93988</v>
      </c>
      <c r="AK487" s="108">
        <v>25423964551.373085</v>
      </c>
      <c r="AL487" s="108">
        <v>38081834264.627266</v>
      </c>
      <c r="AM487" s="108">
        <v>66649450730.304665</v>
      </c>
      <c r="AN487" s="108">
        <v>70683573659.667557</v>
      </c>
      <c r="AO487" s="108">
        <v>71043738846.573624</v>
      </c>
      <c r="AP487" s="108">
        <v>71344540821.847641</v>
      </c>
      <c r="AQ487" s="108">
        <v>422627668.6317786</v>
      </c>
      <c r="AR487" s="108">
        <v>978063510.70862961</v>
      </c>
      <c r="AS487" s="108">
        <v>7485408975.4770346</v>
      </c>
      <c r="AT487" s="108">
        <v>25796540452.054615</v>
      </c>
      <c r="AU487" s="108">
        <v>50142995471.273674</v>
      </c>
      <c r="AV487" s="108">
        <v>64428663553.687508</v>
      </c>
    </row>
    <row r="488" spans="1:48" x14ac:dyDescent="0.35">
      <c r="A488" s="107">
        <f xml:space="preserve"> ROW( slrImpacts[[#This Row],[row_id]] ) - ROW( slrImpacts[[#Headers],[row_id]] )</f>
        <v>487</v>
      </c>
      <c r="B488" s="104">
        <v>2082</v>
      </c>
      <c r="C488" s="104" t="s">
        <v>221</v>
      </c>
      <c r="D488" s="104" t="s">
        <v>88</v>
      </c>
      <c r="E488" s="104" t="s">
        <v>922</v>
      </c>
      <c r="F488" s="104"/>
      <c r="G488" s="105">
        <v>0</v>
      </c>
      <c r="H488" s="105">
        <v>0</v>
      </c>
      <c r="I488" s="105">
        <v>0</v>
      </c>
      <c r="J488" s="105">
        <v>0</v>
      </c>
      <c r="K488" s="105">
        <v>0</v>
      </c>
      <c r="L488" s="105">
        <v>0</v>
      </c>
      <c r="M488" s="106">
        <v>5691157656.5984163</v>
      </c>
      <c r="N488" s="106">
        <v>10759118716.837328</v>
      </c>
      <c r="O488" s="106">
        <v>51485000101.959831</v>
      </c>
      <c r="P488" s="106">
        <v>86197605956.995651</v>
      </c>
      <c r="Q488" s="106">
        <v>114844382821.06956</v>
      </c>
      <c r="R488" s="106">
        <v>136359092526.36456</v>
      </c>
      <c r="S488" s="105">
        <v>0</v>
      </c>
      <c r="T488" s="105">
        <v>0</v>
      </c>
      <c r="U488" s="105">
        <v>0</v>
      </c>
      <c r="V488" s="105">
        <v>0</v>
      </c>
      <c r="W488" s="105">
        <v>0</v>
      </c>
      <c r="X488" s="105">
        <v>0</v>
      </c>
      <c r="Y488" s="106">
        <v>42364602.118350849</v>
      </c>
      <c r="Z488" s="106">
        <v>69003952.173533633</v>
      </c>
      <c r="AA488" s="106">
        <v>355609372.60663074</v>
      </c>
      <c r="AB488" s="108">
        <v>1309798718.5835533</v>
      </c>
      <c r="AC488" s="108">
        <v>2785188910.2393665</v>
      </c>
      <c r="AD488" s="108">
        <v>4073144528.9782491</v>
      </c>
      <c r="AE488" s="108">
        <v>34336860820.126732</v>
      </c>
      <c r="AF488" s="108">
        <v>46181260476.038353</v>
      </c>
      <c r="AG488" s="108">
        <v>96252615667.215881</v>
      </c>
      <c r="AH488" s="108">
        <v>129424239025.01808</v>
      </c>
      <c r="AI488" s="108">
        <v>75253962569.775925</v>
      </c>
      <c r="AJ488" s="108">
        <v>140170732338.74402</v>
      </c>
      <c r="AK488" s="108">
        <v>26486836023.42915</v>
      </c>
      <c r="AL488" s="108">
        <v>39427382377.121071</v>
      </c>
      <c r="AM488" s="108">
        <v>67729536226.57019</v>
      </c>
      <c r="AN488" s="108">
        <v>71366211535.375534</v>
      </c>
      <c r="AO488" s="108">
        <v>71685840310.045059</v>
      </c>
      <c r="AP488" s="108">
        <v>71988252506.807388</v>
      </c>
      <c r="AQ488" s="108">
        <v>437798354.85762691</v>
      </c>
      <c r="AR488" s="108">
        <v>1020537445.2836816</v>
      </c>
      <c r="AS488" s="108">
        <v>7952582199.0851612</v>
      </c>
      <c r="AT488" s="108">
        <v>27268550897.352592</v>
      </c>
      <c r="AU488" s="108">
        <v>52083412576.358948</v>
      </c>
      <c r="AV488" s="108">
        <v>66172152877.775085</v>
      </c>
    </row>
    <row r="489" spans="1:48" x14ac:dyDescent="0.35">
      <c r="A489" s="107">
        <f xml:space="preserve"> ROW( slrImpacts[[#This Row],[row_id]] ) - ROW( slrImpacts[[#Headers],[row_id]] )</f>
        <v>488</v>
      </c>
      <c r="B489" s="104">
        <v>2083</v>
      </c>
      <c r="C489" s="104" t="s">
        <v>221</v>
      </c>
      <c r="D489" s="104" t="s">
        <v>88</v>
      </c>
      <c r="E489" s="104" t="s">
        <v>922</v>
      </c>
      <c r="F489" s="104"/>
      <c r="G489" s="105">
        <v>0</v>
      </c>
      <c r="H489" s="105">
        <v>0</v>
      </c>
      <c r="I489" s="105">
        <v>0</v>
      </c>
      <c r="J489" s="105">
        <v>0</v>
      </c>
      <c r="K489" s="105">
        <v>0</v>
      </c>
      <c r="L489" s="105">
        <v>0</v>
      </c>
      <c r="M489" s="106">
        <v>5869645026.9081545</v>
      </c>
      <c r="N489" s="106">
        <v>11154133300.997387</v>
      </c>
      <c r="O489" s="106">
        <v>53273036557.684395</v>
      </c>
      <c r="P489" s="106">
        <v>88446500141.785141</v>
      </c>
      <c r="Q489" s="106">
        <v>117579791126.05826</v>
      </c>
      <c r="R489" s="106">
        <v>139032287734.3754</v>
      </c>
      <c r="S489" s="105">
        <v>0</v>
      </c>
      <c r="T489" s="105">
        <v>0</v>
      </c>
      <c r="U489" s="105">
        <v>0</v>
      </c>
      <c r="V489" s="105">
        <v>0</v>
      </c>
      <c r="W489" s="105">
        <v>0</v>
      </c>
      <c r="X489" s="105">
        <v>0</v>
      </c>
      <c r="Y489" s="106">
        <v>43150513.360810146</v>
      </c>
      <c r="Z489" s="106">
        <v>70901126.240435213</v>
      </c>
      <c r="AA489" s="106">
        <v>376507920.09301686</v>
      </c>
      <c r="AB489" s="108">
        <v>1383759868.7069523</v>
      </c>
      <c r="AC489" s="108">
        <v>2900604567.3033986</v>
      </c>
      <c r="AD489" s="108">
        <v>4211342854.0050907</v>
      </c>
      <c r="AE489" s="108">
        <v>35471882393.60051</v>
      </c>
      <c r="AF489" s="108">
        <v>47598104567.93322</v>
      </c>
      <c r="AG489" s="108">
        <v>98633509053.022125</v>
      </c>
      <c r="AH489" s="108">
        <v>131349985186.20392</v>
      </c>
      <c r="AI489" s="108">
        <v>76085799740.313202</v>
      </c>
      <c r="AJ489" s="108">
        <v>141438722712.20526</v>
      </c>
      <c r="AK489" s="108">
        <v>27565959062.97543</v>
      </c>
      <c r="AL489" s="108">
        <v>40772112959.774246</v>
      </c>
      <c r="AM489" s="108">
        <v>68770763174.313934</v>
      </c>
      <c r="AN489" s="108">
        <v>72040052692.54628</v>
      </c>
      <c r="AO489" s="108">
        <v>72326309550.050919</v>
      </c>
      <c r="AP489" s="108">
        <v>72630824646.976303</v>
      </c>
      <c r="AQ489" s="108">
        <v>453084665.16231138</v>
      </c>
      <c r="AR489" s="108">
        <v>1063825850.5244714</v>
      </c>
      <c r="AS489" s="108">
        <v>8438872696.2842093</v>
      </c>
      <c r="AT489" s="108">
        <v>28764565069.317932</v>
      </c>
      <c r="AU489" s="108">
        <v>53998219887.214737</v>
      </c>
      <c r="AV489" s="108">
        <v>67856944937.377945</v>
      </c>
    </row>
    <row r="490" spans="1:48" x14ac:dyDescent="0.35">
      <c r="A490" s="107">
        <f xml:space="preserve"> ROW( slrImpacts[[#This Row],[row_id]] ) - ROW( slrImpacts[[#Headers],[row_id]] )</f>
        <v>489</v>
      </c>
      <c r="B490" s="104">
        <v>2084</v>
      </c>
      <c r="C490" s="104" t="s">
        <v>221</v>
      </c>
      <c r="D490" s="104" t="s">
        <v>88</v>
      </c>
      <c r="E490" s="104" t="s">
        <v>922</v>
      </c>
      <c r="F490" s="104"/>
      <c r="G490" s="105">
        <v>0</v>
      </c>
      <c r="H490" s="105">
        <v>0</v>
      </c>
      <c r="I490" s="105">
        <v>0</v>
      </c>
      <c r="J490" s="105">
        <v>0</v>
      </c>
      <c r="K490" s="105">
        <v>0</v>
      </c>
      <c r="L490" s="105">
        <v>0</v>
      </c>
      <c r="M490" s="106">
        <v>6049698652.1557703</v>
      </c>
      <c r="N490" s="106">
        <v>11555851681.77767</v>
      </c>
      <c r="O490" s="106">
        <v>55068578867.839424</v>
      </c>
      <c r="P490" s="106">
        <v>90702272598.100525</v>
      </c>
      <c r="Q490" s="106">
        <v>120314522951.00957</v>
      </c>
      <c r="R490" s="106">
        <v>141692179297.04807</v>
      </c>
      <c r="S490" s="105">
        <v>0</v>
      </c>
      <c r="T490" s="105">
        <v>0</v>
      </c>
      <c r="U490" s="105">
        <v>0</v>
      </c>
      <c r="V490" s="105">
        <v>0</v>
      </c>
      <c r="W490" s="105">
        <v>0</v>
      </c>
      <c r="X490" s="105">
        <v>0</v>
      </c>
      <c r="Y490" s="106">
        <v>43927911.004454456</v>
      </c>
      <c r="Z490" s="106">
        <v>72836757.222681552</v>
      </c>
      <c r="AA490" s="106">
        <v>398385009.69682246</v>
      </c>
      <c r="AB490" s="108">
        <v>1459517446.9797649</v>
      </c>
      <c r="AC490" s="108">
        <v>3016792817.0586562</v>
      </c>
      <c r="AD490" s="108">
        <v>4349792187.1265802</v>
      </c>
      <c r="AE490" s="108">
        <v>36607180510.728439</v>
      </c>
      <c r="AF490" s="108">
        <v>49026928275.742264</v>
      </c>
      <c r="AG490" s="108">
        <v>101011248446.38416</v>
      </c>
      <c r="AH490" s="108">
        <v>133171765551.12367</v>
      </c>
      <c r="AI490" s="108">
        <v>76902120744.689224</v>
      </c>
      <c r="AJ490" s="108">
        <v>142693436027.45001</v>
      </c>
      <c r="AK490" s="108">
        <v>28652351327.405144</v>
      </c>
      <c r="AL490" s="108">
        <v>42104533140.997414</v>
      </c>
      <c r="AM490" s="108">
        <v>69775645818.999878</v>
      </c>
      <c r="AN490" s="108">
        <v>72706631445.801407</v>
      </c>
      <c r="AO490" s="108">
        <v>72965381596.874527</v>
      </c>
      <c r="AP490" s="108">
        <v>73272271937.115952</v>
      </c>
      <c r="AQ490" s="108">
        <v>468433053.25748658</v>
      </c>
      <c r="AR490" s="108">
        <v>1107841721.8906229</v>
      </c>
      <c r="AS490" s="108">
        <v>8943441486.4512062</v>
      </c>
      <c r="AT490" s="108">
        <v>30279224055.662918</v>
      </c>
      <c r="AU490" s="108">
        <v>55884976195.601372</v>
      </c>
      <c r="AV490" s="108">
        <v>69481072467.995361</v>
      </c>
    </row>
    <row r="491" spans="1:48" x14ac:dyDescent="0.35">
      <c r="A491" s="107">
        <f xml:space="preserve"> ROW( slrImpacts[[#This Row],[row_id]] ) - ROW( slrImpacts[[#Headers],[row_id]] )</f>
        <v>490</v>
      </c>
      <c r="B491" s="104">
        <v>2085</v>
      </c>
      <c r="C491" s="104" t="s">
        <v>221</v>
      </c>
      <c r="D491" s="104" t="s">
        <v>88</v>
      </c>
      <c r="E491" s="104" t="s">
        <v>922</v>
      </c>
      <c r="F491" s="104"/>
      <c r="G491" s="105">
        <v>0</v>
      </c>
      <c r="H491" s="105">
        <v>0</v>
      </c>
      <c r="I491" s="105">
        <v>0</v>
      </c>
      <c r="J491" s="105">
        <v>0</v>
      </c>
      <c r="K491" s="105">
        <v>0</v>
      </c>
      <c r="L491" s="105">
        <v>0</v>
      </c>
      <c r="M491" s="106">
        <v>6231218634.4003096</v>
      </c>
      <c r="N491" s="106">
        <v>11963010677.048044</v>
      </c>
      <c r="O491" s="106">
        <v>56870796497.299561</v>
      </c>
      <c r="P491" s="106">
        <v>92959944808.589859</v>
      </c>
      <c r="Q491" s="106">
        <v>123044695455.66002</v>
      </c>
      <c r="R491" s="106">
        <v>144340959626.78619</v>
      </c>
      <c r="S491" s="105">
        <v>0</v>
      </c>
      <c r="T491" s="105">
        <v>0</v>
      </c>
      <c r="U491" s="105">
        <v>0</v>
      </c>
      <c r="V491" s="105">
        <v>0</v>
      </c>
      <c r="W491" s="105">
        <v>0</v>
      </c>
      <c r="X491" s="105">
        <v>0</v>
      </c>
      <c r="Y491" s="106">
        <v>44699200.985495076</v>
      </c>
      <c r="Z491" s="106">
        <v>74782661.089526266</v>
      </c>
      <c r="AA491" s="106">
        <v>421117074.7876004</v>
      </c>
      <c r="AB491" s="108">
        <v>1536608295.3522809</v>
      </c>
      <c r="AC491" s="108">
        <v>3133604440.3149137</v>
      </c>
      <c r="AD491" s="108">
        <v>4488406927.8976164</v>
      </c>
      <c r="AE491" s="108">
        <v>37740291388.448524</v>
      </c>
      <c r="AF491" s="108">
        <v>50460378660.510162</v>
      </c>
      <c r="AG491" s="108">
        <v>103350389852.86415</v>
      </c>
      <c r="AH491" s="108">
        <v>134896890273.12587</v>
      </c>
      <c r="AI491" s="108">
        <v>77701884733.117081</v>
      </c>
      <c r="AJ491" s="108">
        <v>143933142292.63818</v>
      </c>
      <c r="AK491" s="108">
        <v>29744692424.945065</v>
      </c>
      <c r="AL491" s="108">
        <v>43433275359.582787</v>
      </c>
      <c r="AM491" s="108">
        <v>70746132963.10881</v>
      </c>
      <c r="AN491" s="108">
        <v>73366862898.228165</v>
      </c>
      <c r="AO491" s="108">
        <v>73603197366.434204</v>
      </c>
      <c r="AP491" s="108">
        <v>73912607507.173981</v>
      </c>
      <c r="AQ491" s="108">
        <v>483954573.71311516</v>
      </c>
      <c r="AR491" s="108">
        <v>1152598450.8209252</v>
      </c>
      <c r="AS491" s="108">
        <v>9467397964.4503708</v>
      </c>
      <c r="AT491" s="108">
        <v>31810739169.330505</v>
      </c>
      <c r="AU491" s="108">
        <v>57741454853.906502</v>
      </c>
      <c r="AV491" s="108">
        <v>71041854856.939987</v>
      </c>
    </row>
    <row r="492" spans="1:48" x14ac:dyDescent="0.35">
      <c r="A492" s="107">
        <f xml:space="preserve"> ROW( slrImpacts[[#This Row],[row_id]] ) - ROW( slrImpacts[[#Headers],[row_id]] )</f>
        <v>491</v>
      </c>
      <c r="B492" s="104">
        <v>2086</v>
      </c>
      <c r="C492" s="104" t="s">
        <v>221</v>
      </c>
      <c r="D492" s="104" t="s">
        <v>88</v>
      </c>
      <c r="E492" s="104" t="s">
        <v>922</v>
      </c>
      <c r="F492" s="104"/>
      <c r="G492" s="105">
        <v>0</v>
      </c>
      <c r="H492" s="105">
        <v>0</v>
      </c>
      <c r="I492" s="105">
        <v>0</v>
      </c>
      <c r="J492" s="105">
        <v>0</v>
      </c>
      <c r="K492" s="105">
        <v>0</v>
      </c>
      <c r="L492" s="105">
        <v>0</v>
      </c>
      <c r="M492" s="106">
        <v>6410833330.7503586</v>
      </c>
      <c r="N492" s="106">
        <v>12375881191.395985</v>
      </c>
      <c r="O492" s="106">
        <v>58682667905.262352</v>
      </c>
      <c r="P492" s="106">
        <v>95244251641.125748</v>
      </c>
      <c r="Q492" s="106">
        <v>125776488415.1812</v>
      </c>
      <c r="R492" s="106">
        <v>146985847355.7709</v>
      </c>
      <c r="S492" s="105">
        <v>0</v>
      </c>
      <c r="T492" s="105">
        <v>0</v>
      </c>
      <c r="U492" s="105">
        <v>0</v>
      </c>
      <c r="V492" s="105">
        <v>0</v>
      </c>
      <c r="W492" s="105">
        <v>0</v>
      </c>
      <c r="X492" s="105">
        <v>0</v>
      </c>
      <c r="Y492" s="106">
        <v>45463508.813207649</v>
      </c>
      <c r="Z492" s="106">
        <v>76762182.572242692</v>
      </c>
      <c r="AA492" s="106">
        <v>445279825.16686672</v>
      </c>
      <c r="AB492" s="108">
        <v>1616949112.9576006</v>
      </c>
      <c r="AC492" s="108">
        <v>3254133807.5143356</v>
      </c>
      <c r="AD492" s="108">
        <v>4628688845.088645</v>
      </c>
      <c r="AE492" s="108">
        <v>38879006427.472404</v>
      </c>
      <c r="AF492" s="108">
        <v>51887025437.719223</v>
      </c>
      <c r="AG492" s="108">
        <v>105687909508.69295</v>
      </c>
      <c r="AH492" s="108">
        <v>136552081465.97197</v>
      </c>
      <c r="AI492" s="108">
        <v>78491315396.504501</v>
      </c>
      <c r="AJ492" s="108">
        <v>145199466925.61691</v>
      </c>
      <c r="AK492" s="108">
        <v>30855655723.047268</v>
      </c>
      <c r="AL492" s="108">
        <v>44781445099.302483</v>
      </c>
      <c r="AM492" s="108">
        <v>71683519374.177887</v>
      </c>
      <c r="AN492" s="108">
        <v>74019699709.86171</v>
      </c>
      <c r="AO492" s="108">
        <v>74237627863.14769</v>
      </c>
      <c r="AP492" s="108">
        <v>74549625794.013931</v>
      </c>
      <c r="AQ492" s="108">
        <v>499198301.03889954</v>
      </c>
      <c r="AR492" s="108">
        <v>1198133461.1749611</v>
      </c>
      <c r="AS492" s="108">
        <v>10018547966.014671</v>
      </c>
      <c r="AT492" s="108">
        <v>33392804843.631691</v>
      </c>
      <c r="AU492" s="108">
        <v>59588839348.815857</v>
      </c>
      <c r="AV492" s="108">
        <v>72547047728.47168</v>
      </c>
    </row>
    <row r="493" spans="1:48" x14ac:dyDescent="0.35">
      <c r="A493" s="107">
        <f xml:space="preserve"> ROW( slrImpacts[[#This Row],[row_id]] ) - ROW( slrImpacts[[#Headers],[row_id]] )</f>
        <v>492</v>
      </c>
      <c r="B493" s="104">
        <v>2087</v>
      </c>
      <c r="C493" s="104" t="s">
        <v>221</v>
      </c>
      <c r="D493" s="104" t="s">
        <v>88</v>
      </c>
      <c r="E493" s="104" t="s">
        <v>922</v>
      </c>
      <c r="F493" s="104"/>
      <c r="G493" s="105">
        <v>0</v>
      </c>
      <c r="H493" s="105">
        <v>0</v>
      </c>
      <c r="I493" s="105">
        <v>0</v>
      </c>
      <c r="J493" s="105">
        <v>0</v>
      </c>
      <c r="K493" s="105">
        <v>0</v>
      </c>
      <c r="L493" s="105">
        <v>0</v>
      </c>
      <c r="M493" s="106">
        <v>6591485850.17381</v>
      </c>
      <c r="N493" s="106">
        <v>12797914496.523767</v>
      </c>
      <c r="O493" s="106">
        <v>60498716926.148354</v>
      </c>
      <c r="P493" s="106">
        <v>97551150274.692703</v>
      </c>
      <c r="Q493" s="106">
        <v>128470793706.60414</v>
      </c>
      <c r="R493" s="106">
        <v>149598835911.30606</v>
      </c>
      <c r="S493" s="105">
        <v>0</v>
      </c>
      <c r="T493" s="105">
        <v>0</v>
      </c>
      <c r="U493" s="105">
        <v>0</v>
      </c>
      <c r="V493" s="105">
        <v>0</v>
      </c>
      <c r="W493" s="105">
        <v>0</v>
      </c>
      <c r="X493" s="105">
        <v>0</v>
      </c>
      <c r="Y493" s="106">
        <v>46232600.885891661</v>
      </c>
      <c r="Z493" s="106">
        <v>78797153.220298931</v>
      </c>
      <c r="AA493" s="106">
        <v>470753735.77945763</v>
      </c>
      <c r="AB493" s="108">
        <v>1700017936.0695698</v>
      </c>
      <c r="AC493" s="108">
        <v>3376465277.7164812</v>
      </c>
      <c r="AD493" s="108">
        <v>4769295439.3021374</v>
      </c>
      <c r="AE493" s="108">
        <v>40030533072.902069</v>
      </c>
      <c r="AF493" s="108">
        <v>53310695321.297157</v>
      </c>
      <c r="AG493" s="108">
        <v>108011213619.79367</v>
      </c>
      <c r="AH493" s="108">
        <v>138126039748.15842</v>
      </c>
      <c r="AI493" s="108">
        <v>79268155859.748215</v>
      </c>
      <c r="AJ493" s="108">
        <v>146450827594.15222</v>
      </c>
      <c r="AK493" s="108">
        <v>31985468957.512589</v>
      </c>
      <c r="AL493" s="108">
        <v>46127610846.08564</v>
      </c>
      <c r="AM493" s="108">
        <v>72588444715.016281</v>
      </c>
      <c r="AN493" s="108">
        <v>74667723244.377548</v>
      </c>
      <c r="AO493" s="108">
        <v>74871017087.927902</v>
      </c>
      <c r="AP493" s="108">
        <v>75185650208.969315</v>
      </c>
      <c r="AQ493" s="108">
        <v>514358823.64714581</v>
      </c>
      <c r="AR493" s="108">
        <v>1244940980.7666769</v>
      </c>
      <c r="AS493" s="108">
        <v>10595602349.715332</v>
      </c>
      <c r="AT493" s="108">
        <v>35013447146.924423</v>
      </c>
      <c r="AU493" s="108">
        <v>61410266681.706879</v>
      </c>
      <c r="AV493" s="108">
        <v>73981335735.553741</v>
      </c>
    </row>
    <row r="494" spans="1:48" x14ac:dyDescent="0.35">
      <c r="A494" s="107">
        <f xml:space="preserve"> ROW( slrImpacts[[#This Row],[row_id]] ) - ROW( slrImpacts[[#Headers],[row_id]] )</f>
        <v>493</v>
      </c>
      <c r="B494" s="104">
        <v>2088</v>
      </c>
      <c r="C494" s="104" t="s">
        <v>221</v>
      </c>
      <c r="D494" s="104" t="s">
        <v>88</v>
      </c>
      <c r="E494" s="104" t="s">
        <v>922</v>
      </c>
      <c r="F494" s="104"/>
      <c r="G494" s="105">
        <v>0</v>
      </c>
      <c r="H494" s="105">
        <v>0</v>
      </c>
      <c r="I494" s="105">
        <v>0</v>
      </c>
      <c r="J494" s="105">
        <v>0</v>
      </c>
      <c r="K494" s="105">
        <v>0</v>
      </c>
      <c r="L494" s="105">
        <v>0</v>
      </c>
      <c r="M494" s="106">
        <v>6773179058.6002989</v>
      </c>
      <c r="N494" s="106">
        <v>13228684889.522873</v>
      </c>
      <c r="O494" s="106">
        <v>62319749000.527412</v>
      </c>
      <c r="P494" s="106">
        <v>99882093421.536362</v>
      </c>
      <c r="Q494" s="106">
        <v>131127914312.19652</v>
      </c>
      <c r="R494" s="106">
        <v>152180453899.50043</v>
      </c>
      <c r="S494" s="105">
        <v>0</v>
      </c>
      <c r="T494" s="105">
        <v>0</v>
      </c>
      <c r="U494" s="105">
        <v>0</v>
      </c>
      <c r="V494" s="105">
        <v>0</v>
      </c>
      <c r="W494" s="105">
        <v>0</v>
      </c>
      <c r="X494" s="105">
        <v>0</v>
      </c>
      <c r="Y494" s="106">
        <v>47007158.529441334</v>
      </c>
      <c r="Z494" s="106">
        <v>80884287.787419245</v>
      </c>
      <c r="AA494" s="106">
        <v>497654113.25633067</v>
      </c>
      <c r="AB494" s="108">
        <v>1785661098.181433</v>
      </c>
      <c r="AC494" s="108">
        <v>3500476592.2471962</v>
      </c>
      <c r="AD494" s="108">
        <v>4910086566.5997</v>
      </c>
      <c r="AE494" s="108">
        <v>41195587512.802513</v>
      </c>
      <c r="AF494" s="108">
        <v>54727151735.256706</v>
      </c>
      <c r="AG494" s="108">
        <v>110322889572.29277</v>
      </c>
      <c r="AH494" s="108">
        <v>139634671828.06754</v>
      </c>
      <c r="AI494" s="108">
        <v>80032365503.819458</v>
      </c>
      <c r="AJ494" s="108">
        <v>147686543607.43524</v>
      </c>
      <c r="AK494" s="108">
        <v>33126748870.148014</v>
      </c>
      <c r="AL494" s="108">
        <v>47470819019.506798</v>
      </c>
      <c r="AM494" s="108">
        <v>73464694465.852905</v>
      </c>
      <c r="AN494" s="108">
        <v>75311494267.065018</v>
      </c>
      <c r="AO494" s="108">
        <v>75503399626.489258</v>
      </c>
      <c r="AP494" s="108">
        <v>75820690835.297852</v>
      </c>
      <c r="AQ494" s="108">
        <v>529516674.21439463</v>
      </c>
      <c r="AR494" s="108">
        <v>1293167502.9095168</v>
      </c>
      <c r="AS494" s="108">
        <v>11199218801.506521</v>
      </c>
      <c r="AT494" s="108">
        <v>36667366809.111542</v>
      </c>
      <c r="AU494" s="108">
        <v>63202110836.214325</v>
      </c>
      <c r="AV494" s="108">
        <v>75341274864.998367</v>
      </c>
    </row>
    <row r="495" spans="1:48" x14ac:dyDescent="0.35">
      <c r="A495" s="107">
        <f xml:space="preserve"> ROW( slrImpacts[[#This Row],[row_id]] ) - ROW( slrImpacts[[#Headers],[row_id]] )</f>
        <v>494</v>
      </c>
      <c r="B495" s="104">
        <v>2089</v>
      </c>
      <c r="C495" s="104" t="s">
        <v>221</v>
      </c>
      <c r="D495" s="104" t="s">
        <v>88</v>
      </c>
      <c r="E495" s="104" t="s">
        <v>922</v>
      </c>
      <c r="F495" s="104"/>
      <c r="G495" s="105">
        <v>0</v>
      </c>
      <c r="H495" s="105">
        <v>0</v>
      </c>
      <c r="I495" s="105">
        <v>0</v>
      </c>
      <c r="J495" s="105">
        <v>0</v>
      </c>
      <c r="K495" s="105">
        <v>0</v>
      </c>
      <c r="L495" s="105">
        <v>0</v>
      </c>
      <c r="M495" s="106">
        <v>6955805971.1884813</v>
      </c>
      <c r="N495" s="106">
        <v>13668569979.390198</v>
      </c>
      <c r="O495" s="106">
        <v>64144791515.944511</v>
      </c>
      <c r="P495" s="106">
        <v>102237136755.09943</v>
      </c>
      <c r="Q495" s="106">
        <v>133749280504.26802</v>
      </c>
      <c r="R495" s="106">
        <v>154729607646.80447</v>
      </c>
      <c r="S495" s="105">
        <v>0</v>
      </c>
      <c r="T495" s="105">
        <v>0</v>
      </c>
      <c r="U495" s="105">
        <v>0</v>
      </c>
      <c r="V495" s="105">
        <v>0</v>
      </c>
      <c r="W495" s="105">
        <v>0</v>
      </c>
      <c r="X495" s="105">
        <v>0</v>
      </c>
      <c r="Y495" s="106">
        <v>47786564.51982753</v>
      </c>
      <c r="Z495" s="106">
        <v>83012682.44155103</v>
      </c>
      <c r="AA495" s="106">
        <v>525978942.12743509</v>
      </c>
      <c r="AB495" s="108">
        <v>1873864269.9232302</v>
      </c>
      <c r="AC495" s="108">
        <v>3625947419.5006151</v>
      </c>
      <c r="AD495" s="108">
        <v>5050840683.9778814</v>
      </c>
      <c r="AE495" s="108">
        <v>42373943744.028305</v>
      </c>
      <c r="AF495" s="108">
        <v>56135782102.858841</v>
      </c>
      <c r="AG495" s="108">
        <v>112624205235.93225</v>
      </c>
      <c r="AH495" s="108">
        <v>141091956910.90576</v>
      </c>
      <c r="AI495" s="108">
        <v>80783618448.481613</v>
      </c>
      <c r="AJ495" s="108">
        <v>148906097084.90677</v>
      </c>
      <c r="AK495" s="108">
        <v>34285238639.796272</v>
      </c>
      <c r="AL495" s="108">
        <v>48809827626.941811</v>
      </c>
      <c r="AM495" s="108">
        <v>74313574279.549454</v>
      </c>
      <c r="AN495" s="108">
        <v>75951571429.372314</v>
      </c>
      <c r="AO495" s="108">
        <v>76134783666.490891</v>
      </c>
      <c r="AP495" s="108">
        <v>76454757263.41571</v>
      </c>
      <c r="AQ495" s="108">
        <v>544637591.16897166</v>
      </c>
      <c r="AR495" s="108">
        <v>1342711593.6616216</v>
      </c>
      <c r="AS495" s="108">
        <v>11830156053.708534</v>
      </c>
      <c r="AT495" s="108">
        <v>38353344429.638863</v>
      </c>
      <c r="AU495" s="108">
        <v>64962730813.609985</v>
      </c>
      <c r="AV495" s="108">
        <v>76622543805.519852</v>
      </c>
    </row>
    <row r="496" spans="1:48" x14ac:dyDescent="0.35">
      <c r="A496" s="107">
        <f xml:space="preserve"> ROW( slrImpacts[[#This Row],[row_id]] ) - ROW( slrImpacts[[#Headers],[row_id]] )</f>
        <v>495</v>
      </c>
      <c r="B496" s="104">
        <v>2090</v>
      </c>
      <c r="C496" s="104" t="s">
        <v>221</v>
      </c>
      <c r="D496" s="104" t="s">
        <v>88</v>
      </c>
      <c r="E496" s="104" t="s">
        <v>922</v>
      </c>
      <c r="F496" s="104"/>
      <c r="G496" s="105">
        <v>0</v>
      </c>
      <c r="H496" s="105">
        <v>0</v>
      </c>
      <c r="I496" s="105">
        <v>0</v>
      </c>
      <c r="J496" s="105">
        <v>0</v>
      </c>
      <c r="K496" s="105">
        <v>0</v>
      </c>
      <c r="L496" s="105">
        <v>0</v>
      </c>
      <c r="M496" s="106">
        <v>7139283196.6434059</v>
      </c>
      <c r="N496" s="106">
        <v>14117760462.506676</v>
      </c>
      <c r="O496" s="106">
        <v>65974227102.258598</v>
      </c>
      <c r="P496" s="106">
        <v>104616844358.88953</v>
      </c>
      <c r="Q496" s="106">
        <v>136337031297.47633</v>
      </c>
      <c r="R496" s="106">
        <v>157245776168.7861</v>
      </c>
      <c r="S496" s="105">
        <v>0</v>
      </c>
      <c r="T496" s="105">
        <v>0</v>
      </c>
      <c r="U496" s="105">
        <v>0</v>
      </c>
      <c r="V496" s="105">
        <v>0</v>
      </c>
      <c r="W496" s="105">
        <v>0</v>
      </c>
      <c r="X496" s="105">
        <v>0</v>
      </c>
      <c r="Y496" s="106">
        <v>48570501.624207124</v>
      </c>
      <c r="Z496" s="106">
        <v>85197376.87538524</v>
      </c>
      <c r="AA496" s="106">
        <v>555722565.09540927</v>
      </c>
      <c r="AB496" s="108">
        <v>1964458053.8751385</v>
      </c>
      <c r="AC496" s="108">
        <v>3752869881.8061309</v>
      </c>
      <c r="AD496" s="108">
        <v>5191483368.5418339</v>
      </c>
      <c r="AE496" s="108">
        <v>43562191126.813156</v>
      </c>
      <c r="AF496" s="108">
        <v>57540773463.505318</v>
      </c>
      <c r="AG496" s="108">
        <v>114918880139.16197</v>
      </c>
      <c r="AH496" s="108">
        <v>142507764033.85928</v>
      </c>
      <c r="AI496" s="108">
        <v>81521178020.217926</v>
      </c>
      <c r="AJ496" s="108">
        <v>150108906681.49838</v>
      </c>
      <c r="AK496" s="108">
        <v>35465888377.609756</v>
      </c>
      <c r="AL496" s="108">
        <v>50149883989.384918</v>
      </c>
      <c r="AM496" s="108">
        <v>75137216410.218201</v>
      </c>
      <c r="AN496" s="108">
        <v>76588656382.226929</v>
      </c>
      <c r="AO496" s="108">
        <v>76765197047.783173</v>
      </c>
      <c r="AP496" s="108">
        <v>77087858575.146072</v>
      </c>
      <c r="AQ496" s="108">
        <v>559601120.83175969</v>
      </c>
      <c r="AR496" s="108">
        <v>1393709246.0808985</v>
      </c>
      <c r="AS496" s="108">
        <v>12489317127.157269</v>
      </c>
      <c r="AT496" s="108">
        <v>40067423637.587311</v>
      </c>
      <c r="AU496" s="108">
        <v>66687379003.838776</v>
      </c>
      <c r="AV496" s="108">
        <v>77822096995.170807</v>
      </c>
    </row>
    <row r="497" spans="1:48" x14ac:dyDescent="0.35">
      <c r="A497" s="107">
        <f xml:space="preserve"> ROW( slrImpacts[[#This Row],[row_id]] ) - ROW( slrImpacts[[#Headers],[row_id]] )</f>
        <v>496</v>
      </c>
      <c r="B497" s="104">
        <v>2091</v>
      </c>
      <c r="C497" s="104" t="s">
        <v>221</v>
      </c>
      <c r="D497" s="104" t="s">
        <v>88</v>
      </c>
      <c r="E497" s="104" t="s">
        <v>922</v>
      </c>
      <c r="F497" s="104"/>
      <c r="G497" s="105">
        <v>0</v>
      </c>
      <c r="H497" s="105">
        <v>0</v>
      </c>
      <c r="I497" s="105">
        <v>0</v>
      </c>
      <c r="J497" s="105">
        <v>0</v>
      </c>
      <c r="K497" s="105">
        <v>0</v>
      </c>
      <c r="L497" s="105">
        <v>0</v>
      </c>
      <c r="M497" s="106">
        <v>7323203571.4359369</v>
      </c>
      <c r="N497" s="106">
        <v>14575170556.234457</v>
      </c>
      <c r="O497" s="106">
        <v>67805040885.11911</v>
      </c>
      <c r="P497" s="106">
        <v>107018432378.90051</v>
      </c>
      <c r="Q497" s="106">
        <v>138890936139.85751</v>
      </c>
      <c r="R497" s="106">
        <v>159726001453.07996</v>
      </c>
      <c r="S497" s="105">
        <v>0</v>
      </c>
      <c r="T497" s="105">
        <v>0</v>
      </c>
      <c r="U497" s="105">
        <v>0</v>
      </c>
      <c r="V497" s="105">
        <v>0</v>
      </c>
      <c r="W497" s="105">
        <v>0</v>
      </c>
      <c r="X497" s="105">
        <v>0</v>
      </c>
      <c r="Y497" s="106">
        <v>49359388.901488304</v>
      </c>
      <c r="Z497" s="106">
        <v>87433834.948401555</v>
      </c>
      <c r="AA497" s="106">
        <v>586957513.09206712</v>
      </c>
      <c r="AB497" s="108">
        <v>2057411576.8682866</v>
      </c>
      <c r="AC497" s="108">
        <v>3881128088.4850802</v>
      </c>
      <c r="AD497" s="108">
        <v>5331695788.7522717</v>
      </c>
      <c r="AE497" s="108">
        <v>44759971234.921921</v>
      </c>
      <c r="AF497" s="108">
        <v>58933938133.656609</v>
      </c>
      <c r="AG497" s="108">
        <v>117201050005.24876</v>
      </c>
      <c r="AH497" s="108">
        <v>143886757734.26501</v>
      </c>
      <c r="AI497" s="108">
        <v>82242389026.056259</v>
      </c>
      <c r="AJ497" s="108">
        <v>151290707743.07944</v>
      </c>
      <c r="AK497" s="108">
        <v>36658972668.344063</v>
      </c>
      <c r="AL497" s="108">
        <v>51481534788.92807</v>
      </c>
      <c r="AM497" s="108">
        <v>75935886773.754623</v>
      </c>
      <c r="AN497" s="108">
        <v>77220743650.503983</v>
      </c>
      <c r="AO497" s="108">
        <v>77392316004.708054</v>
      </c>
      <c r="AP497" s="108">
        <v>77717656168.723282</v>
      </c>
      <c r="AQ497" s="108">
        <v>574544441.63086331</v>
      </c>
      <c r="AR497" s="108">
        <v>1445761410.1024909</v>
      </c>
      <c r="AS497" s="108">
        <v>13176825091.313372</v>
      </c>
      <c r="AT497" s="108">
        <v>41805150116.094772</v>
      </c>
      <c r="AU497" s="108">
        <v>68372526407.258766</v>
      </c>
      <c r="AV497" s="108">
        <v>78936532255.304688</v>
      </c>
    </row>
    <row r="498" spans="1:48" x14ac:dyDescent="0.35">
      <c r="A498" s="107">
        <f xml:space="preserve"> ROW( slrImpacts[[#This Row],[row_id]] ) - ROW( slrImpacts[[#Headers],[row_id]] )</f>
        <v>497</v>
      </c>
      <c r="B498" s="104">
        <v>2092</v>
      </c>
      <c r="C498" s="104" t="s">
        <v>221</v>
      </c>
      <c r="D498" s="104" t="s">
        <v>88</v>
      </c>
      <c r="E498" s="104" t="s">
        <v>922</v>
      </c>
      <c r="F498" s="104"/>
      <c r="G498" s="105">
        <v>0</v>
      </c>
      <c r="H498" s="105">
        <v>0</v>
      </c>
      <c r="I498" s="105">
        <v>0</v>
      </c>
      <c r="J498" s="105">
        <v>0</v>
      </c>
      <c r="K498" s="105">
        <v>0</v>
      </c>
      <c r="L498" s="105">
        <v>0</v>
      </c>
      <c r="M498" s="106">
        <v>7507658546.143384</v>
      </c>
      <c r="N498" s="106">
        <v>15041657750.709555</v>
      </c>
      <c r="O498" s="106">
        <v>69638818012.03331</v>
      </c>
      <c r="P498" s="106">
        <v>109442652467.02452</v>
      </c>
      <c r="Q498" s="106">
        <v>141417877515.00418</v>
      </c>
      <c r="R498" s="106">
        <v>162177289900.69803</v>
      </c>
      <c r="S498" s="105">
        <v>0</v>
      </c>
      <c r="T498" s="105">
        <v>0</v>
      </c>
      <c r="U498" s="105">
        <v>0</v>
      </c>
      <c r="V498" s="105">
        <v>0</v>
      </c>
      <c r="W498" s="105">
        <v>0</v>
      </c>
      <c r="X498" s="105">
        <v>0</v>
      </c>
      <c r="Y498" s="106">
        <v>50149765.773781024</v>
      </c>
      <c r="Z498" s="106">
        <v>89714044.474800706</v>
      </c>
      <c r="AA498" s="106">
        <v>619664820.97501385</v>
      </c>
      <c r="AB498" s="108">
        <v>2152665120.4694834</v>
      </c>
      <c r="AC498" s="108">
        <v>4010580748.5404115</v>
      </c>
      <c r="AD498" s="108">
        <v>5471381174.2775526</v>
      </c>
      <c r="AE498" s="108">
        <v>45966711764.642036</v>
      </c>
      <c r="AF498" s="108">
        <v>60314997454.325203</v>
      </c>
      <c r="AG498" s="108">
        <v>119477671062.18437</v>
      </c>
      <c r="AH498" s="108">
        <v>145246149094.90381</v>
      </c>
      <c r="AI498" s="108">
        <v>82958216878.48468</v>
      </c>
      <c r="AJ498" s="108">
        <v>152462664946.62955</v>
      </c>
      <c r="AK498" s="108">
        <v>37868972681.469582</v>
      </c>
      <c r="AL498" s="108">
        <v>52808381157.947769</v>
      </c>
      <c r="AM498" s="108">
        <v>76716351251.371887</v>
      </c>
      <c r="AN498" s="108">
        <v>77854202682.461121</v>
      </c>
      <c r="AO498" s="108">
        <v>78022167583.589676</v>
      </c>
      <c r="AP498" s="108">
        <v>78350198603.077972</v>
      </c>
      <c r="AQ498" s="108">
        <v>589345638.62902892</v>
      </c>
      <c r="AR498" s="108">
        <v>1499367539.7739975</v>
      </c>
      <c r="AS498" s="108">
        <v>13894373739.716249</v>
      </c>
      <c r="AT498" s="108">
        <v>43566942807.282875</v>
      </c>
      <c r="AU498" s="108">
        <v>70024048777.150162</v>
      </c>
      <c r="AV498" s="108">
        <v>79973600694.391876</v>
      </c>
    </row>
    <row r="499" spans="1:48" x14ac:dyDescent="0.35">
      <c r="A499" s="107">
        <f xml:space="preserve"> ROW( slrImpacts[[#This Row],[row_id]] ) - ROW( slrImpacts[[#Headers],[row_id]] )</f>
        <v>498</v>
      </c>
      <c r="B499" s="104">
        <v>2093</v>
      </c>
      <c r="C499" s="104" t="s">
        <v>221</v>
      </c>
      <c r="D499" s="104" t="s">
        <v>88</v>
      </c>
      <c r="E499" s="104" t="s">
        <v>922</v>
      </c>
      <c r="F499" s="104"/>
      <c r="G499" s="105">
        <v>0</v>
      </c>
      <c r="H499" s="105">
        <v>0</v>
      </c>
      <c r="I499" s="105">
        <v>0</v>
      </c>
      <c r="J499" s="105">
        <v>0</v>
      </c>
      <c r="K499" s="105">
        <v>0</v>
      </c>
      <c r="L499" s="105">
        <v>0</v>
      </c>
      <c r="M499" s="106">
        <v>7692657498.7828093</v>
      </c>
      <c r="N499" s="106">
        <v>15517387751.280495</v>
      </c>
      <c r="O499" s="106">
        <v>71475978077.324631</v>
      </c>
      <c r="P499" s="106">
        <v>111889187427.48836</v>
      </c>
      <c r="Q499" s="106">
        <v>143920499239.90021</v>
      </c>
      <c r="R499" s="106">
        <v>164600554771.90298</v>
      </c>
      <c r="S499" s="105">
        <v>0</v>
      </c>
      <c r="T499" s="105">
        <v>0</v>
      </c>
      <c r="U499" s="105">
        <v>0</v>
      </c>
      <c r="V499" s="105">
        <v>0</v>
      </c>
      <c r="W499" s="105">
        <v>0</v>
      </c>
      <c r="X499" s="105">
        <v>0</v>
      </c>
      <c r="Y499" s="106">
        <v>50943450.574489027</v>
      </c>
      <c r="Z499" s="106">
        <v>92045022.557104573</v>
      </c>
      <c r="AA499" s="106">
        <v>653840757.69783533</v>
      </c>
      <c r="AB499" s="108">
        <v>2250146752.5219545</v>
      </c>
      <c r="AC499" s="108">
        <v>4141147072.654911</v>
      </c>
      <c r="AD499" s="108">
        <v>5610403657.2756586</v>
      </c>
      <c r="AE499" s="108">
        <v>47182208374.645569</v>
      </c>
      <c r="AF499" s="108">
        <v>61690452102.264214</v>
      </c>
      <c r="AG499" s="108">
        <v>121749919688.75018</v>
      </c>
      <c r="AH499" s="108">
        <v>146590758912.57159</v>
      </c>
      <c r="AI499" s="108">
        <v>83667785606.425049</v>
      </c>
      <c r="AJ499" s="108">
        <v>153624646655.46085</v>
      </c>
      <c r="AK499" s="108">
        <v>39092394671.248611</v>
      </c>
      <c r="AL499" s="108">
        <v>54128985245.234413</v>
      </c>
      <c r="AM499" s="108">
        <v>77482105664.902618</v>
      </c>
      <c r="AN499" s="108">
        <v>78489300080.133133</v>
      </c>
      <c r="AO499" s="108">
        <v>78654753794.865738</v>
      </c>
      <c r="AP499" s="108">
        <v>78985487675.312546</v>
      </c>
      <c r="AQ499" s="108">
        <v>603983529.79829144</v>
      </c>
      <c r="AR499" s="108">
        <v>1554648230.0044811</v>
      </c>
      <c r="AS499" s="108">
        <v>14642822791.140818</v>
      </c>
      <c r="AT499" s="108">
        <v>45351133912.30262</v>
      </c>
      <c r="AU499" s="108">
        <v>71638507877.09787</v>
      </c>
      <c r="AV499" s="108">
        <v>80933894978.275757</v>
      </c>
    </row>
    <row r="500" spans="1:48" x14ac:dyDescent="0.35">
      <c r="A500" s="107">
        <f xml:space="preserve"> ROW( slrImpacts[[#This Row],[row_id]] ) - ROW( slrImpacts[[#Headers],[row_id]] )</f>
        <v>499</v>
      </c>
      <c r="B500" s="104">
        <v>2094</v>
      </c>
      <c r="C500" s="104" t="s">
        <v>221</v>
      </c>
      <c r="D500" s="104" t="s">
        <v>88</v>
      </c>
      <c r="E500" s="104" t="s">
        <v>922</v>
      </c>
      <c r="F500" s="104"/>
      <c r="G500" s="105">
        <v>0</v>
      </c>
      <c r="H500" s="105">
        <v>0</v>
      </c>
      <c r="I500" s="105">
        <v>0</v>
      </c>
      <c r="J500" s="105">
        <v>0</v>
      </c>
      <c r="K500" s="105">
        <v>0</v>
      </c>
      <c r="L500" s="105">
        <v>0</v>
      </c>
      <c r="M500" s="106">
        <v>7878054448.0467529</v>
      </c>
      <c r="N500" s="106">
        <v>16002064374.659243</v>
      </c>
      <c r="O500" s="106">
        <v>73316216541.027542</v>
      </c>
      <c r="P500" s="106">
        <v>114355906367.94778</v>
      </c>
      <c r="Q500" s="106">
        <v>146401913265.00351</v>
      </c>
      <c r="R500" s="106">
        <v>166998756952.89374</v>
      </c>
      <c r="S500" s="105">
        <v>0</v>
      </c>
      <c r="T500" s="105">
        <v>0</v>
      </c>
      <c r="U500" s="105">
        <v>0</v>
      </c>
      <c r="V500" s="105">
        <v>0</v>
      </c>
      <c r="W500" s="105">
        <v>0</v>
      </c>
      <c r="X500" s="105">
        <v>0</v>
      </c>
      <c r="Y500" s="106">
        <v>51731770.305312216</v>
      </c>
      <c r="Z500" s="106">
        <v>94439710.779720053</v>
      </c>
      <c r="AA500" s="106">
        <v>689605308.47642314</v>
      </c>
      <c r="AB500" s="108">
        <v>2349807175.73105</v>
      </c>
      <c r="AC500" s="108">
        <v>4272679598.758316</v>
      </c>
      <c r="AD500" s="108">
        <v>5748570926.4910498</v>
      </c>
      <c r="AE500" s="108">
        <v>48406986604.725616</v>
      </c>
      <c r="AF500" s="108">
        <v>63053556743.364723</v>
      </c>
      <c r="AG500" s="108">
        <v>124017554459.63235</v>
      </c>
      <c r="AH500" s="108">
        <v>147923661151.10614</v>
      </c>
      <c r="AI500" s="108">
        <v>84370570496.445984</v>
      </c>
      <c r="AJ500" s="108">
        <v>154776644540.9892</v>
      </c>
      <c r="AK500" s="108">
        <v>40324379278.476746</v>
      </c>
      <c r="AL500" s="108">
        <v>55438131174.440712</v>
      </c>
      <c r="AM500" s="108">
        <v>78234072871.231537</v>
      </c>
      <c r="AN500" s="108">
        <v>79126179257.54216</v>
      </c>
      <c r="AO500" s="108">
        <v>79290075813.049423</v>
      </c>
      <c r="AP500" s="108">
        <v>79623524563.225967</v>
      </c>
      <c r="AQ500" s="108">
        <v>618476856.94368649</v>
      </c>
      <c r="AR500" s="108">
        <v>1611512693.9810219</v>
      </c>
      <c r="AS500" s="108">
        <v>15422752383.515366</v>
      </c>
      <c r="AT500" s="108">
        <v>47153230129.131874</v>
      </c>
      <c r="AU500" s="108">
        <v>73213547727.319443</v>
      </c>
      <c r="AV500" s="108">
        <v>81819873233.970367</v>
      </c>
    </row>
    <row r="501" spans="1:48" x14ac:dyDescent="0.35">
      <c r="A501" s="107">
        <f xml:space="preserve"> ROW( slrImpacts[[#This Row],[row_id]] ) - ROW( slrImpacts[[#Headers],[row_id]] )</f>
        <v>500</v>
      </c>
      <c r="B501" s="104">
        <v>2095</v>
      </c>
      <c r="C501" s="104" t="s">
        <v>221</v>
      </c>
      <c r="D501" s="104" t="s">
        <v>88</v>
      </c>
      <c r="E501" s="104" t="s">
        <v>922</v>
      </c>
      <c r="F501" s="104"/>
      <c r="G501" s="105">
        <v>0</v>
      </c>
      <c r="H501" s="105">
        <v>0</v>
      </c>
      <c r="I501" s="105">
        <v>0</v>
      </c>
      <c r="J501" s="105">
        <v>0</v>
      </c>
      <c r="K501" s="105">
        <v>0</v>
      </c>
      <c r="L501" s="105">
        <v>0</v>
      </c>
      <c r="M501" s="106">
        <v>8063872731.0286722</v>
      </c>
      <c r="N501" s="106">
        <v>16495444284.297121</v>
      </c>
      <c r="O501" s="106">
        <v>75158403466.319016</v>
      </c>
      <c r="P501" s="106">
        <v>116840955829.11646</v>
      </c>
      <c r="Q501" s="106">
        <v>148863866546.44165</v>
      </c>
      <c r="R501" s="106">
        <v>169375482699.75098</v>
      </c>
      <c r="S501" s="105">
        <v>0</v>
      </c>
      <c r="T501" s="105">
        <v>0</v>
      </c>
      <c r="U501" s="105">
        <v>0</v>
      </c>
      <c r="V501" s="105">
        <v>0</v>
      </c>
      <c r="W501" s="105">
        <v>0</v>
      </c>
      <c r="X501" s="105">
        <v>0</v>
      </c>
      <c r="Y501" s="106">
        <v>52523241.438867062</v>
      </c>
      <c r="Z501" s="106">
        <v>96877811.939910278</v>
      </c>
      <c r="AA501" s="106">
        <v>726914814.46745718</v>
      </c>
      <c r="AB501" s="108">
        <v>2451462059.756278</v>
      </c>
      <c r="AC501" s="108">
        <v>4405155089.2767296</v>
      </c>
      <c r="AD501" s="108">
        <v>5885853176.6057606</v>
      </c>
      <c r="AE501" s="108">
        <v>49638531620.907242</v>
      </c>
      <c r="AF501" s="108">
        <v>64403522873.092667</v>
      </c>
      <c r="AG501" s="108">
        <v>126280090985.73007</v>
      </c>
      <c r="AH501" s="108">
        <v>149247616950.35379</v>
      </c>
      <c r="AI501" s="108">
        <v>85066621939.549774</v>
      </c>
      <c r="AJ501" s="108">
        <v>155918802450.39246</v>
      </c>
      <c r="AK501" s="108">
        <v>41574035832.062714</v>
      </c>
      <c r="AL501" s="108">
        <v>56745522028.852165</v>
      </c>
      <c r="AM501" s="108">
        <v>78974745561.864441</v>
      </c>
      <c r="AN501" s="108">
        <v>79764960113.543182</v>
      </c>
      <c r="AO501" s="108">
        <v>79928134177.264206</v>
      </c>
      <c r="AP501" s="108">
        <v>80264309808.267578</v>
      </c>
      <c r="AQ501" s="108">
        <v>633045828.79498422</v>
      </c>
      <c r="AR501" s="108">
        <v>1670072229.3786335</v>
      </c>
      <c r="AS501" s="108">
        <v>16235548688.706116</v>
      </c>
      <c r="AT501" s="108">
        <v>48972160823.87336</v>
      </c>
      <c r="AU501" s="108">
        <v>74745242610.389648</v>
      </c>
      <c r="AV501" s="108">
        <v>82634569676.170868</v>
      </c>
    </row>
    <row r="502" spans="1:48" x14ac:dyDescent="0.35">
      <c r="A502" s="107">
        <f xml:space="preserve"> ROW( slrImpacts[[#This Row],[row_id]] ) - ROW( slrImpacts[[#Headers],[row_id]] )</f>
        <v>501</v>
      </c>
      <c r="B502" s="104">
        <v>2096</v>
      </c>
      <c r="C502" s="104" t="s">
        <v>221</v>
      </c>
      <c r="D502" s="104" t="s">
        <v>88</v>
      </c>
      <c r="E502" s="104" t="s">
        <v>922</v>
      </c>
      <c r="F502" s="104"/>
      <c r="G502" s="105">
        <v>0</v>
      </c>
      <c r="H502" s="105">
        <v>0</v>
      </c>
      <c r="I502" s="105">
        <v>0</v>
      </c>
      <c r="J502" s="105">
        <v>0</v>
      </c>
      <c r="K502" s="105">
        <v>0</v>
      </c>
      <c r="L502" s="105">
        <v>0</v>
      </c>
      <c r="M502" s="106">
        <v>8153340686.7964888</v>
      </c>
      <c r="N502" s="106">
        <v>16736921518.573908</v>
      </c>
      <c r="O502" s="106">
        <v>76081608542.560959</v>
      </c>
      <c r="P502" s="106">
        <v>118098647010.17583</v>
      </c>
      <c r="Q502" s="106">
        <v>150112938503.7229</v>
      </c>
      <c r="R502" s="106">
        <v>170577628819.67737</v>
      </c>
      <c r="S502" s="105">
        <v>0</v>
      </c>
      <c r="T502" s="105">
        <v>0</v>
      </c>
      <c r="U502" s="105">
        <v>0</v>
      </c>
      <c r="V502" s="105">
        <v>0</v>
      </c>
      <c r="W502" s="105">
        <v>0</v>
      </c>
      <c r="X502" s="105">
        <v>0</v>
      </c>
      <c r="Y502" s="106">
        <v>52908731.487062328</v>
      </c>
      <c r="Z502" s="106">
        <v>98080321.44207564</v>
      </c>
      <c r="AA502" s="106">
        <v>745213017.43800318</v>
      </c>
      <c r="AB502" s="108">
        <v>2502962623.1342697</v>
      </c>
      <c r="AC502" s="108">
        <v>4472847781.800683</v>
      </c>
      <c r="AD502" s="108">
        <v>5956707964.3750372</v>
      </c>
      <c r="AE502" s="108">
        <v>50260761183.618584</v>
      </c>
      <c r="AF502" s="108">
        <v>65076632436.062119</v>
      </c>
      <c r="AG502" s="108">
        <v>127432881739.08601</v>
      </c>
      <c r="AH502" s="108">
        <v>149915674614.46597</v>
      </c>
      <c r="AI502" s="108">
        <v>85422182631.001434</v>
      </c>
      <c r="AJ502" s="108">
        <v>156496946234.61499</v>
      </c>
      <c r="AK502" s="108">
        <v>42201396223.620262</v>
      </c>
      <c r="AL502" s="108">
        <v>57402890308.692284</v>
      </c>
      <c r="AM502" s="108">
        <v>79348178801.790161</v>
      </c>
      <c r="AN502" s="108">
        <v>80082095941.14502</v>
      </c>
      <c r="AO502" s="108">
        <v>80244778261.501846</v>
      </c>
      <c r="AP502" s="108">
        <v>80582306992.649307</v>
      </c>
      <c r="AQ502" s="108">
        <v>639993668.37669849</v>
      </c>
      <c r="AR502" s="108">
        <v>1698500873.2925651</v>
      </c>
      <c r="AS502" s="108">
        <v>16632206048.991884</v>
      </c>
      <c r="AT502" s="108">
        <v>49909497267.667496</v>
      </c>
      <c r="AU502" s="108">
        <v>75560112575.180832</v>
      </c>
      <c r="AV502" s="108">
        <v>83088770683.595932</v>
      </c>
    </row>
    <row r="503" spans="1:48" x14ac:dyDescent="0.35">
      <c r="A503" s="107">
        <f xml:space="preserve"> ROW( slrImpacts[[#This Row],[row_id]] ) - ROW( slrImpacts[[#Headers],[row_id]] )</f>
        <v>502</v>
      </c>
      <c r="B503" s="104">
        <v>2097</v>
      </c>
      <c r="C503" s="104" t="s">
        <v>221</v>
      </c>
      <c r="D503" s="104" t="s">
        <v>88</v>
      </c>
      <c r="E503" s="104" t="s">
        <v>922</v>
      </c>
      <c r="F503" s="104"/>
      <c r="G503" s="105">
        <v>0</v>
      </c>
      <c r="H503" s="105">
        <v>0</v>
      </c>
      <c r="I503" s="105">
        <v>0</v>
      </c>
      <c r="J503" s="105">
        <v>0</v>
      </c>
      <c r="K503" s="105">
        <v>0</v>
      </c>
      <c r="L503" s="105">
        <v>0</v>
      </c>
      <c r="M503" s="106">
        <v>8244044164.8209343</v>
      </c>
      <c r="N503" s="106">
        <v>16982052032.831017</v>
      </c>
      <c r="O503" s="106">
        <v>77004868969.346069</v>
      </c>
      <c r="P503" s="106">
        <v>119358063740.58247</v>
      </c>
      <c r="Q503" s="106">
        <v>151353413715.298</v>
      </c>
      <c r="R503" s="106">
        <v>171767144263.20135</v>
      </c>
      <c r="S503" s="105">
        <v>0</v>
      </c>
      <c r="T503" s="105">
        <v>0</v>
      </c>
      <c r="U503" s="105">
        <v>0</v>
      </c>
      <c r="V503" s="105">
        <v>0</v>
      </c>
      <c r="W503" s="105">
        <v>0</v>
      </c>
      <c r="X503" s="105">
        <v>0</v>
      </c>
      <c r="Y503" s="106">
        <v>53298794.205800101</v>
      </c>
      <c r="Z503" s="106">
        <v>99312169.747725874</v>
      </c>
      <c r="AA503" s="106">
        <v>763888269.17049277</v>
      </c>
      <c r="AB503" s="108">
        <v>2554713336.6797915</v>
      </c>
      <c r="AC503" s="108">
        <v>4540240702.5142603</v>
      </c>
      <c r="AD503" s="108">
        <v>6026643861.5175247</v>
      </c>
      <c r="AE503" s="108">
        <v>50885110719.2127</v>
      </c>
      <c r="AF503" s="108">
        <v>65749076794.07048</v>
      </c>
      <c r="AG503" s="108">
        <v>128584674120.32664</v>
      </c>
      <c r="AH503" s="108">
        <v>150578896033.74603</v>
      </c>
      <c r="AI503" s="108">
        <v>85774729123.668259</v>
      </c>
      <c r="AJ503" s="108">
        <v>157071425517.65485</v>
      </c>
      <c r="AK503" s="108">
        <v>42832148363.378601</v>
      </c>
      <c r="AL503" s="108">
        <v>58059999670.253937</v>
      </c>
      <c r="AM503" s="108">
        <v>79718033923.105927</v>
      </c>
      <c r="AN503" s="108">
        <v>80400474288.017319</v>
      </c>
      <c r="AO503" s="108">
        <v>80563050756.60022</v>
      </c>
      <c r="AP503" s="108">
        <v>80901939647.880264</v>
      </c>
      <c r="AQ503" s="108">
        <v>647038953.34250116</v>
      </c>
      <c r="AR503" s="108">
        <v>1727496707.5847483</v>
      </c>
      <c r="AS503" s="108">
        <v>17037397054.686203</v>
      </c>
      <c r="AT503" s="108">
        <v>50842200126.470459</v>
      </c>
      <c r="AU503" s="108">
        <v>76351889878.981461</v>
      </c>
      <c r="AV503" s="108">
        <v>83509348944.122223</v>
      </c>
    </row>
    <row r="504" spans="1:48" x14ac:dyDescent="0.35">
      <c r="A504" s="107">
        <f xml:space="preserve"> ROW( slrImpacts[[#This Row],[row_id]] ) - ROW( slrImpacts[[#Headers],[row_id]] )</f>
        <v>503</v>
      </c>
      <c r="B504" s="104">
        <v>2098</v>
      </c>
      <c r="C504" s="104" t="s">
        <v>221</v>
      </c>
      <c r="D504" s="104" t="s">
        <v>88</v>
      </c>
      <c r="E504" s="104" t="s">
        <v>922</v>
      </c>
      <c r="F504" s="104"/>
      <c r="G504" s="105">
        <v>0</v>
      </c>
      <c r="H504" s="105">
        <v>0</v>
      </c>
      <c r="I504" s="105">
        <v>0</v>
      </c>
      <c r="J504" s="105">
        <v>0</v>
      </c>
      <c r="K504" s="105">
        <v>0</v>
      </c>
      <c r="L504" s="105">
        <v>0</v>
      </c>
      <c r="M504" s="106">
        <v>8335865557.7601337</v>
      </c>
      <c r="N504" s="106">
        <v>17230468377.90176</v>
      </c>
      <c r="O504" s="106">
        <v>77928519403.085648</v>
      </c>
      <c r="P504" s="106">
        <v>120618057249.80241</v>
      </c>
      <c r="Q504" s="106">
        <v>152585518626.2796</v>
      </c>
      <c r="R504" s="106">
        <v>172945298093.06607</v>
      </c>
      <c r="S504" s="105">
        <v>0</v>
      </c>
      <c r="T504" s="105">
        <v>0</v>
      </c>
      <c r="U504" s="105">
        <v>0</v>
      </c>
      <c r="V504" s="105">
        <v>0</v>
      </c>
      <c r="W504" s="105">
        <v>0</v>
      </c>
      <c r="X504" s="105">
        <v>0</v>
      </c>
      <c r="Y504" s="106">
        <v>53693730.27504167</v>
      </c>
      <c r="Z504" s="106">
        <v>100559236.42808862</v>
      </c>
      <c r="AA504" s="106">
        <v>783012669.41989779</v>
      </c>
      <c r="AB504" s="108">
        <v>2606659504.2623258</v>
      </c>
      <c r="AC504" s="108">
        <v>4607286369.3496504</v>
      </c>
      <c r="AD504" s="108">
        <v>6095701788.5024433</v>
      </c>
      <c r="AE504" s="108">
        <v>51510874284.338905</v>
      </c>
      <c r="AF504" s="108">
        <v>66421925439.568703</v>
      </c>
      <c r="AG504" s="108">
        <v>129735314777.28568</v>
      </c>
      <c r="AH504" s="108">
        <v>151237726285.11575</v>
      </c>
      <c r="AI504" s="108">
        <v>86123711277.926056</v>
      </c>
      <c r="AJ504" s="108">
        <v>157641742579.07562</v>
      </c>
      <c r="AK504" s="108">
        <v>43465273440.781273</v>
      </c>
      <c r="AL504" s="108">
        <v>58712363692.352135</v>
      </c>
      <c r="AM504" s="108">
        <v>80084687713.439835</v>
      </c>
      <c r="AN504" s="108">
        <v>80719952998.851044</v>
      </c>
      <c r="AO504" s="108">
        <v>80882675550.507294</v>
      </c>
      <c r="AP504" s="108">
        <v>81222930483.051361</v>
      </c>
      <c r="AQ504" s="108">
        <v>654198516.48160541</v>
      </c>
      <c r="AR504" s="108">
        <v>1757075031.1789331</v>
      </c>
      <c r="AS504" s="108">
        <v>17451278032.326538</v>
      </c>
      <c r="AT504" s="108">
        <v>51768012898.403633</v>
      </c>
      <c r="AU504" s="108">
        <v>77120249643.231232</v>
      </c>
      <c r="AV504" s="108">
        <v>83897710342.04924</v>
      </c>
    </row>
    <row r="505" spans="1:48" x14ac:dyDescent="0.35">
      <c r="A505" s="107">
        <f xml:space="preserve"> ROW( slrImpacts[[#This Row],[row_id]] ) - ROW( slrImpacts[[#Headers],[row_id]] )</f>
        <v>504</v>
      </c>
      <c r="B505" s="104">
        <v>2099</v>
      </c>
      <c r="C505" s="104" t="s">
        <v>221</v>
      </c>
      <c r="D505" s="104" t="s">
        <v>88</v>
      </c>
      <c r="E505" s="104" t="s">
        <v>922</v>
      </c>
      <c r="F505" s="104"/>
      <c r="G505" s="105">
        <v>0</v>
      </c>
      <c r="H505" s="105">
        <v>0</v>
      </c>
      <c r="I505" s="105">
        <v>0</v>
      </c>
      <c r="J505" s="105">
        <v>0</v>
      </c>
      <c r="K505" s="105">
        <v>0</v>
      </c>
      <c r="L505" s="105">
        <v>0</v>
      </c>
      <c r="M505" s="106">
        <v>8428828209.5930424</v>
      </c>
      <c r="N505" s="106">
        <v>17482428869.325249</v>
      </c>
      <c r="O505" s="106">
        <v>78851286510.227356</v>
      </c>
      <c r="P505" s="106">
        <v>121877384243.05228</v>
      </c>
      <c r="Q505" s="106">
        <v>153808977623.57352</v>
      </c>
      <c r="R505" s="106">
        <v>174112467883.77252</v>
      </c>
      <c r="S505" s="105">
        <v>0</v>
      </c>
      <c r="T505" s="105">
        <v>0</v>
      </c>
      <c r="U505" s="105">
        <v>0</v>
      </c>
      <c r="V505" s="105">
        <v>0</v>
      </c>
      <c r="W505" s="105">
        <v>0</v>
      </c>
      <c r="X505" s="105">
        <v>0</v>
      </c>
      <c r="Y505" s="106">
        <v>54090435.058566444</v>
      </c>
      <c r="Z505" s="106">
        <v>101817060.59405166</v>
      </c>
      <c r="AA505" s="106">
        <v>802503356.85957932</v>
      </c>
      <c r="AB505" s="108">
        <v>2658799235.979918</v>
      </c>
      <c r="AC505" s="108">
        <v>4674004810.917388</v>
      </c>
      <c r="AD505" s="108">
        <v>6163798651.0631809</v>
      </c>
      <c r="AE505" s="108">
        <v>52128923651.700966</v>
      </c>
      <c r="AF505" s="108">
        <v>67093735680.279961</v>
      </c>
      <c r="AG505" s="108">
        <v>130884684412.97771</v>
      </c>
      <c r="AH505" s="108">
        <v>151892314418.58533</v>
      </c>
      <c r="AI505" s="108">
        <v>86468926861.837372</v>
      </c>
      <c r="AJ505" s="108">
        <v>158207212189.71719</v>
      </c>
      <c r="AK505" s="108">
        <v>44103891162.738449</v>
      </c>
      <c r="AL505" s="108">
        <v>59363660741.649345</v>
      </c>
      <c r="AM505" s="108">
        <v>80447921008.621063</v>
      </c>
      <c r="AN505" s="108">
        <v>81040175813.531418</v>
      </c>
      <c r="AO505" s="108">
        <v>81203205075.32428</v>
      </c>
      <c r="AP505" s="108">
        <v>81544830018.756226</v>
      </c>
      <c r="AQ505" s="108">
        <v>661450571.4706912</v>
      </c>
      <c r="AR505" s="108">
        <v>1786997193.7412841</v>
      </c>
      <c r="AS505" s="108">
        <v>17873570298.301666</v>
      </c>
      <c r="AT505" s="108">
        <v>52688682149.211876</v>
      </c>
      <c r="AU505" s="108">
        <v>77864987767.284988</v>
      </c>
      <c r="AV505" s="108">
        <v>84254422688.158554</v>
      </c>
    </row>
    <row r="506" spans="1:48" x14ac:dyDescent="0.35">
      <c r="A506" s="107">
        <f xml:space="preserve"> ROW( slrImpacts[[#This Row],[row_id]] ) - ROW( slrImpacts[[#Headers],[row_id]] )</f>
        <v>505</v>
      </c>
      <c r="B506" s="104">
        <v>2100</v>
      </c>
      <c r="C506" s="104" t="s">
        <v>221</v>
      </c>
      <c r="D506" s="104" t="s">
        <v>88</v>
      </c>
      <c r="E506" s="104" t="s">
        <v>922</v>
      </c>
      <c r="F506" s="104"/>
      <c r="G506" s="105">
        <v>0</v>
      </c>
      <c r="H506" s="105">
        <v>0</v>
      </c>
      <c r="I506" s="105">
        <v>0</v>
      </c>
      <c r="J506" s="105">
        <v>0</v>
      </c>
      <c r="K506" s="105">
        <v>0</v>
      </c>
      <c r="L506" s="105">
        <v>0</v>
      </c>
      <c r="M506" s="106">
        <v>8523011218.2158499</v>
      </c>
      <c r="N506" s="106">
        <v>17737725011.782749</v>
      </c>
      <c r="O506" s="106">
        <v>79773043704.981552</v>
      </c>
      <c r="P506" s="106">
        <v>123134537178.53676</v>
      </c>
      <c r="Q506" s="106">
        <v>155022096066.64673</v>
      </c>
      <c r="R506" s="106">
        <v>175270691199.60904</v>
      </c>
      <c r="S506" s="105">
        <v>0</v>
      </c>
      <c r="T506" s="105">
        <v>0</v>
      </c>
      <c r="U506" s="105">
        <v>0</v>
      </c>
      <c r="V506" s="105">
        <v>0</v>
      </c>
      <c r="W506" s="105">
        <v>0</v>
      </c>
      <c r="X506" s="105">
        <v>0</v>
      </c>
      <c r="Y506" s="106">
        <v>54492108.904929899</v>
      </c>
      <c r="Z506" s="106">
        <v>103104384.75211963</v>
      </c>
      <c r="AA506" s="106">
        <v>822400050.81766415</v>
      </c>
      <c r="AB506" s="108">
        <v>2711055008.4023986</v>
      </c>
      <c r="AC506" s="108">
        <v>4740370757.402545</v>
      </c>
      <c r="AD506" s="108">
        <v>6230959008.3103638</v>
      </c>
      <c r="AE506" s="108">
        <v>52744977937.036583</v>
      </c>
      <c r="AF506" s="108">
        <v>67763412355.161171</v>
      </c>
      <c r="AG506" s="108">
        <v>132030661280.6949</v>
      </c>
      <c r="AH506" s="108">
        <v>152542032220.08597</v>
      </c>
      <c r="AI506" s="108">
        <v>86809570763.917877</v>
      </c>
      <c r="AJ506" s="108">
        <v>158766562060.67676</v>
      </c>
      <c r="AK506" s="108">
        <v>44744298166.43734</v>
      </c>
      <c r="AL506" s="108">
        <v>60009478970.44278</v>
      </c>
      <c r="AM506" s="108">
        <v>80806997234.277069</v>
      </c>
      <c r="AN506" s="108">
        <v>81360464227.024338</v>
      </c>
      <c r="AO506" s="108">
        <v>81523877212.075684</v>
      </c>
      <c r="AP506" s="108">
        <v>81866872880.39003</v>
      </c>
      <c r="AQ506" s="108">
        <v>668633020.58499765</v>
      </c>
      <c r="AR506" s="108">
        <v>1817543361.7211227</v>
      </c>
      <c r="AS506" s="108">
        <v>18304984551.776047</v>
      </c>
      <c r="AT506" s="108">
        <v>53600783152.15284</v>
      </c>
      <c r="AU506" s="108">
        <v>78585065279.775116</v>
      </c>
      <c r="AV506" s="108">
        <v>84581281656.875916</v>
      </c>
    </row>
    <row r="507" spans="1:48" x14ac:dyDescent="0.35">
      <c r="A507" s="107">
        <f xml:space="preserve"> ROW( slrImpacts[[#This Row],[row_id]] ) - ROW( slrImpacts[[#Headers],[row_id]] )</f>
        <v>506</v>
      </c>
      <c r="B507" s="104">
        <v>2000</v>
      </c>
      <c r="C507" s="104" t="s">
        <v>221</v>
      </c>
      <c r="D507" s="104" t="s">
        <v>208</v>
      </c>
      <c r="E507" s="104" t="s">
        <v>922</v>
      </c>
      <c r="F507" s="104"/>
      <c r="G507" s="105">
        <v>0</v>
      </c>
      <c r="H507" s="105">
        <v>0</v>
      </c>
      <c r="I507" s="105">
        <v>0</v>
      </c>
      <c r="J507" s="105">
        <v>0</v>
      </c>
      <c r="K507" s="105">
        <v>0</v>
      </c>
      <c r="L507" s="105">
        <v>0</v>
      </c>
      <c r="M507" s="106">
        <v>0</v>
      </c>
      <c r="N507" s="106">
        <v>0</v>
      </c>
      <c r="O507" s="106">
        <v>0</v>
      </c>
      <c r="P507" s="106">
        <v>0</v>
      </c>
      <c r="Q507" s="106">
        <v>0</v>
      </c>
      <c r="R507" s="106">
        <v>0</v>
      </c>
      <c r="S507" s="105">
        <v>0</v>
      </c>
      <c r="T507" s="105">
        <v>0</v>
      </c>
      <c r="U507" s="105">
        <v>0</v>
      </c>
      <c r="V507" s="105">
        <v>0</v>
      </c>
      <c r="W507" s="105">
        <v>0</v>
      </c>
      <c r="X507" s="105">
        <v>0</v>
      </c>
      <c r="Y507" s="106">
        <v>0</v>
      </c>
      <c r="Z507" s="106">
        <v>0</v>
      </c>
      <c r="AA507" s="106">
        <v>0</v>
      </c>
      <c r="AB507" s="108">
        <v>0</v>
      </c>
      <c r="AC507" s="108">
        <v>0</v>
      </c>
      <c r="AD507" s="108">
        <v>0</v>
      </c>
      <c r="AE507" s="108">
        <v>0</v>
      </c>
      <c r="AF507" s="108">
        <v>0</v>
      </c>
      <c r="AG507" s="108">
        <v>0</v>
      </c>
      <c r="AH507" s="108">
        <v>0</v>
      </c>
      <c r="AI507" s="108">
        <v>0</v>
      </c>
      <c r="AJ507" s="108">
        <v>0</v>
      </c>
      <c r="AK507" s="108">
        <v>0</v>
      </c>
      <c r="AL507" s="108">
        <v>0</v>
      </c>
      <c r="AM507" s="108">
        <v>0</v>
      </c>
      <c r="AN507" s="108">
        <v>0</v>
      </c>
      <c r="AO507" s="108">
        <v>0</v>
      </c>
      <c r="AP507" s="108">
        <v>0</v>
      </c>
      <c r="AQ507" s="108">
        <v>0</v>
      </c>
      <c r="AR507" s="108">
        <v>0</v>
      </c>
      <c r="AS507" s="108">
        <v>0</v>
      </c>
      <c r="AT507" s="108">
        <v>0</v>
      </c>
      <c r="AU507" s="108">
        <v>0</v>
      </c>
      <c r="AV507" s="108">
        <v>0</v>
      </c>
    </row>
    <row r="508" spans="1:48" x14ac:dyDescent="0.35">
      <c r="A508" s="107">
        <f xml:space="preserve"> ROW( slrImpacts[[#This Row],[row_id]] ) - ROW( slrImpacts[[#Headers],[row_id]] )</f>
        <v>507</v>
      </c>
      <c r="B508" s="104">
        <v>2001</v>
      </c>
      <c r="C508" s="104" t="s">
        <v>221</v>
      </c>
      <c r="D508" s="104" t="s">
        <v>208</v>
      </c>
      <c r="E508" s="104" t="s">
        <v>922</v>
      </c>
      <c r="F508" s="104"/>
      <c r="G508" s="105">
        <v>0</v>
      </c>
      <c r="H508" s="105">
        <v>0</v>
      </c>
      <c r="I508" s="105">
        <v>0</v>
      </c>
      <c r="J508" s="105">
        <v>0</v>
      </c>
      <c r="K508" s="105">
        <v>0</v>
      </c>
      <c r="L508" s="105">
        <v>0</v>
      </c>
      <c r="M508" s="106">
        <v>120713559.4884568</v>
      </c>
      <c r="N508" s="106">
        <v>123601768.64634439</v>
      </c>
      <c r="O508" s="106">
        <v>133664040.92213768</v>
      </c>
      <c r="P508" s="106">
        <v>168590697.38595504</v>
      </c>
      <c r="Q508" s="106">
        <v>206663516.77143297</v>
      </c>
      <c r="R508" s="106">
        <v>221764570.16623077</v>
      </c>
      <c r="S508" s="105">
        <v>0</v>
      </c>
      <c r="T508" s="105">
        <v>0</v>
      </c>
      <c r="U508" s="105">
        <v>0</v>
      </c>
      <c r="V508" s="105">
        <v>0</v>
      </c>
      <c r="W508" s="105">
        <v>0</v>
      </c>
      <c r="X508" s="105">
        <v>0</v>
      </c>
      <c r="Y508" s="106">
        <v>7579906.0546893105</v>
      </c>
      <c r="Z508" s="106">
        <v>7739997.8466424942</v>
      </c>
      <c r="AA508" s="106">
        <v>7934625.7734314138</v>
      </c>
      <c r="AB508" s="108">
        <v>8285483.5551776038</v>
      </c>
      <c r="AC508" s="108">
        <v>8522961.4729518928</v>
      </c>
      <c r="AD508" s="108">
        <v>8656067.5817545056</v>
      </c>
      <c r="AE508" s="108">
        <v>67057365.283310592</v>
      </c>
      <c r="AF508" s="108">
        <v>68939679.003337339</v>
      </c>
      <c r="AG508" s="108">
        <v>90369133.375188172</v>
      </c>
      <c r="AH508" s="108">
        <v>109860591.1645956</v>
      </c>
      <c r="AI508" s="108">
        <v>21938046.75525016</v>
      </c>
      <c r="AJ508" s="108">
        <v>133773654.67086476</v>
      </c>
      <c r="AK508" s="108">
        <v>40020232.240968831</v>
      </c>
      <c r="AL508" s="108">
        <v>41059444.256977461</v>
      </c>
      <c r="AM508" s="108">
        <v>45754963.354306974</v>
      </c>
      <c r="AN508" s="108">
        <v>51620615.962471634</v>
      </c>
      <c r="AO508" s="108">
        <v>58153974.297237828</v>
      </c>
      <c r="AP508" s="108">
        <v>60525325.479966246</v>
      </c>
      <c r="AQ508" s="108">
        <v>8980890.5257171411</v>
      </c>
      <c r="AR508" s="108">
        <v>8991392.3023303282</v>
      </c>
      <c r="AS508" s="108">
        <v>10043452.431365943</v>
      </c>
      <c r="AT508" s="108">
        <v>11166202.107510369</v>
      </c>
      <c r="AU508" s="108">
        <v>11885138.203189207</v>
      </c>
      <c r="AV508" s="108">
        <v>11886679.05334327</v>
      </c>
    </row>
    <row r="509" spans="1:48" x14ac:dyDescent="0.35">
      <c r="A509" s="107">
        <f xml:space="preserve"> ROW( slrImpacts[[#This Row],[row_id]] ) - ROW( slrImpacts[[#Headers],[row_id]] )</f>
        <v>508</v>
      </c>
      <c r="B509" s="104">
        <v>2002</v>
      </c>
      <c r="C509" s="104" t="s">
        <v>221</v>
      </c>
      <c r="D509" s="104" t="s">
        <v>208</v>
      </c>
      <c r="E509" s="104" t="s">
        <v>922</v>
      </c>
      <c r="F509" s="104"/>
      <c r="G509" s="105">
        <v>0</v>
      </c>
      <c r="H509" s="105">
        <v>0</v>
      </c>
      <c r="I509" s="105">
        <v>0</v>
      </c>
      <c r="J509" s="105">
        <v>0</v>
      </c>
      <c r="K509" s="105">
        <v>0</v>
      </c>
      <c r="L509" s="105">
        <v>0</v>
      </c>
      <c r="M509" s="106">
        <v>122438333.42173094</v>
      </c>
      <c r="N509" s="106">
        <v>125648331.61256255</v>
      </c>
      <c r="O509" s="106">
        <v>138170173.62482592</v>
      </c>
      <c r="P509" s="106">
        <v>176371822.98270869</v>
      </c>
      <c r="Q509" s="106">
        <v>217850102.21810853</v>
      </c>
      <c r="R509" s="106">
        <v>235717878.58892345</v>
      </c>
      <c r="S509" s="105">
        <v>0</v>
      </c>
      <c r="T509" s="105">
        <v>0</v>
      </c>
      <c r="U509" s="105">
        <v>0</v>
      </c>
      <c r="V509" s="105">
        <v>0</v>
      </c>
      <c r="W509" s="105">
        <v>0</v>
      </c>
      <c r="X509" s="105">
        <v>0</v>
      </c>
      <c r="Y509" s="106">
        <v>7644855.0536719551</v>
      </c>
      <c r="Z509" s="106">
        <v>7830452.9936852334</v>
      </c>
      <c r="AA509" s="106">
        <v>8056642.0634778989</v>
      </c>
      <c r="AB509" s="108">
        <v>8467269.3975948133</v>
      </c>
      <c r="AC509" s="108">
        <v>8746554.5685357656</v>
      </c>
      <c r="AD509" s="108">
        <v>8906097.2586598452</v>
      </c>
      <c r="AE509" s="108">
        <v>68053001.844924301</v>
      </c>
      <c r="AF509" s="108">
        <v>70293415.766035706</v>
      </c>
      <c r="AG509" s="108">
        <v>92924512.195188344</v>
      </c>
      <c r="AH509" s="108">
        <v>113885707.86680675</v>
      </c>
      <c r="AI509" s="108">
        <v>23686818.908244994</v>
      </c>
      <c r="AJ509" s="108">
        <v>140171746.47537419</v>
      </c>
      <c r="AK509" s="108">
        <v>41447363.130818345</v>
      </c>
      <c r="AL509" s="108">
        <v>42753479.909220316</v>
      </c>
      <c r="AM509" s="108">
        <v>48172887.727481321</v>
      </c>
      <c r="AN509" s="108">
        <v>55127197.062574856</v>
      </c>
      <c r="AO509" s="108">
        <v>63097431.202507913</v>
      </c>
      <c r="AP509" s="108">
        <v>65251934.482847176</v>
      </c>
      <c r="AQ509" s="108">
        <v>9212031.8496811111</v>
      </c>
      <c r="AR509" s="108">
        <v>9224276.0095287431</v>
      </c>
      <c r="AS509" s="108">
        <v>10477157.220097616</v>
      </c>
      <c r="AT509" s="108">
        <v>11839087.66610945</v>
      </c>
      <c r="AU509" s="108">
        <v>12721768.64011642</v>
      </c>
      <c r="AV509" s="108">
        <v>12723609.355978891</v>
      </c>
    </row>
    <row r="510" spans="1:48" x14ac:dyDescent="0.35">
      <c r="A510" s="107">
        <f xml:space="preserve"> ROW( slrImpacts[[#This Row],[row_id]] ) - ROW( slrImpacts[[#Headers],[row_id]] )</f>
        <v>509</v>
      </c>
      <c r="B510" s="104">
        <v>2003</v>
      </c>
      <c r="C510" s="104" t="s">
        <v>221</v>
      </c>
      <c r="D510" s="104" t="s">
        <v>208</v>
      </c>
      <c r="E510" s="104" t="s">
        <v>922</v>
      </c>
      <c r="F510" s="104"/>
      <c r="G510" s="105">
        <v>0</v>
      </c>
      <c r="H510" s="105">
        <v>0</v>
      </c>
      <c r="I510" s="105">
        <v>0</v>
      </c>
      <c r="J510" s="105">
        <v>0</v>
      </c>
      <c r="K510" s="105">
        <v>0</v>
      </c>
      <c r="L510" s="105">
        <v>0</v>
      </c>
      <c r="M510" s="106">
        <v>124100559.56839342</v>
      </c>
      <c r="N510" s="106">
        <v>127952894.49392384</v>
      </c>
      <c r="O510" s="106">
        <v>142753867.2187714</v>
      </c>
      <c r="P510" s="106">
        <v>184480116.71323133</v>
      </c>
      <c r="Q510" s="106">
        <v>229702648.93591633</v>
      </c>
      <c r="R510" s="106">
        <v>250073687.83823738</v>
      </c>
      <c r="S510" s="105">
        <v>0</v>
      </c>
      <c r="T510" s="105">
        <v>0</v>
      </c>
      <c r="U510" s="105">
        <v>0</v>
      </c>
      <c r="V510" s="105">
        <v>0</v>
      </c>
      <c r="W510" s="105">
        <v>0</v>
      </c>
      <c r="X510" s="105">
        <v>0</v>
      </c>
      <c r="Y510" s="106">
        <v>7710209.4802334895</v>
      </c>
      <c r="Z510" s="106">
        <v>7921487.8643187899</v>
      </c>
      <c r="AA510" s="106">
        <v>8180752.107434717</v>
      </c>
      <c r="AB510" s="108">
        <v>8653839.9082553815</v>
      </c>
      <c r="AC510" s="108">
        <v>8979562.2175609693</v>
      </c>
      <c r="AD510" s="108">
        <v>9164981.2929654121</v>
      </c>
      <c r="AE510" s="108">
        <v>69092464.864603892</v>
      </c>
      <c r="AF510" s="108">
        <v>71698208.117384076</v>
      </c>
      <c r="AG510" s="108">
        <v>95644094.897605315</v>
      </c>
      <c r="AH510" s="108">
        <v>118280230.36468273</v>
      </c>
      <c r="AI510" s="108">
        <v>25639662.365900576</v>
      </c>
      <c r="AJ510" s="108">
        <v>147388101.87461376</v>
      </c>
      <c r="AK510" s="108">
        <v>42923137.953059748</v>
      </c>
      <c r="AL510" s="108">
        <v>44585338.564584613</v>
      </c>
      <c r="AM510" s="108">
        <v>50824314.252954572</v>
      </c>
      <c r="AN510" s="108">
        <v>59131509.667047903</v>
      </c>
      <c r="AO510" s="108">
        <v>68411820.339093789</v>
      </c>
      <c r="AP510" s="108">
        <v>70781895.513475344</v>
      </c>
      <c r="AQ510" s="108">
        <v>9449700.6146144792</v>
      </c>
      <c r="AR510" s="108">
        <v>9463729.2076768037</v>
      </c>
      <c r="AS510" s="108">
        <v>10932068.568815174</v>
      </c>
      <c r="AT510" s="108">
        <v>12556446.032175133</v>
      </c>
      <c r="AU510" s="108">
        <v>13623610.22768878</v>
      </c>
      <c r="AV510" s="108">
        <v>13625983.710000988</v>
      </c>
    </row>
    <row r="511" spans="1:48" x14ac:dyDescent="0.35">
      <c r="A511" s="107">
        <f xml:space="preserve"> ROW( slrImpacts[[#This Row],[row_id]] ) - ROW( slrImpacts[[#Headers],[row_id]] )</f>
        <v>510</v>
      </c>
      <c r="B511" s="104">
        <v>2004</v>
      </c>
      <c r="C511" s="104" t="s">
        <v>221</v>
      </c>
      <c r="D511" s="104" t="s">
        <v>208</v>
      </c>
      <c r="E511" s="104" t="s">
        <v>922</v>
      </c>
      <c r="F511" s="104"/>
      <c r="G511" s="105">
        <v>0</v>
      </c>
      <c r="H511" s="105">
        <v>0</v>
      </c>
      <c r="I511" s="105">
        <v>0</v>
      </c>
      <c r="J511" s="105">
        <v>0</v>
      </c>
      <c r="K511" s="105">
        <v>0</v>
      </c>
      <c r="L511" s="105">
        <v>0</v>
      </c>
      <c r="M511" s="106">
        <v>125937496.43523957</v>
      </c>
      <c r="N511" s="106">
        <v>130242439.32836063</v>
      </c>
      <c r="O511" s="106">
        <v>147629590.85605195</v>
      </c>
      <c r="P511" s="106">
        <v>192957070.67048046</v>
      </c>
      <c r="Q511" s="106">
        <v>242571840.44257081</v>
      </c>
      <c r="R511" s="106">
        <v>265425154.87316173</v>
      </c>
      <c r="S511" s="105">
        <v>0</v>
      </c>
      <c r="T511" s="105">
        <v>0</v>
      </c>
      <c r="U511" s="105">
        <v>0</v>
      </c>
      <c r="V511" s="105">
        <v>0</v>
      </c>
      <c r="W511" s="105">
        <v>0</v>
      </c>
      <c r="X511" s="105">
        <v>0</v>
      </c>
      <c r="Y511" s="106">
        <v>7775991.7594141541</v>
      </c>
      <c r="Z511" s="106">
        <v>8013881.7328832708</v>
      </c>
      <c r="AA511" s="106">
        <v>8307051.4226282565</v>
      </c>
      <c r="AB511" s="108">
        <v>8845342.6753915846</v>
      </c>
      <c r="AC511" s="108">
        <v>9220642.9113860726</v>
      </c>
      <c r="AD511" s="108">
        <v>9433072.5318091605</v>
      </c>
      <c r="AE511" s="108">
        <v>70174399.189423263</v>
      </c>
      <c r="AF511" s="108">
        <v>73159093.02593258</v>
      </c>
      <c r="AG511" s="108">
        <v>98540251.582110554</v>
      </c>
      <c r="AH511" s="108">
        <v>122666050.74615808</v>
      </c>
      <c r="AI511" s="108">
        <v>27819546.918835193</v>
      </c>
      <c r="AJ511" s="108">
        <v>155027539.86782393</v>
      </c>
      <c r="AK511" s="108">
        <v>44447864.844113477</v>
      </c>
      <c r="AL511" s="108">
        <v>46479187.846651733</v>
      </c>
      <c r="AM511" s="108">
        <v>53779531.430135414</v>
      </c>
      <c r="AN511" s="108">
        <v>63664839.060935795</v>
      </c>
      <c r="AO511" s="108">
        <v>74332184.388516158</v>
      </c>
      <c r="AP511" s="108">
        <v>77333841.016517922</v>
      </c>
      <c r="AQ511" s="108">
        <v>9696414.0646676663</v>
      </c>
      <c r="AR511" s="108">
        <v>9712291.579539014</v>
      </c>
      <c r="AS511" s="108">
        <v>11412207.931413181</v>
      </c>
      <c r="AT511" s="108">
        <v>13328262.266434213</v>
      </c>
      <c r="AU511" s="108">
        <v>14599792.396045798</v>
      </c>
      <c r="AV511" s="108">
        <v>14602651.967738425</v>
      </c>
    </row>
    <row r="512" spans="1:48" x14ac:dyDescent="0.35">
      <c r="A512" s="107">
        <f xml:space="preserve"> ROW( slrImpacts[[#This Row],[row_id]] ) - ROW( slrImpacts[[#Headers],[row_id]] )</f>
        <v>511</v>
      </c>
      <c r="B512" s="104">
        <v>2005</v>
      </c>
      <c r="C512" s="104" t="s">
        <v>221</v>
      </c>
      <c r="D512" s="104" t="s">
        <v>208</v>
      </c>
      <c r="E512" s="104" t="s">
        <v>922</v>
      </c>
      <c r="F512" s="104"/>
      <c r="G512" s="105">
        <v>0</v>
      </c>
      <c r="H512" s="105">
        <v>0</v>
      </c>
      <c r="I512" s="105">
        <v>0</v>
      </c>
      <c r="J512" s="105">
        <v>0</v>
      </c>
      <c r="K512" s="105">
        <v>0</v>
      </c>
      <c r="L512" s="105">
        <v>0</v>
      </c>
      <c r="M512" s="106">
        <v>126987973.17195371</v>
      </c>
      <c r="N512" s="106">
        <v>132060718.59864429</v>
      </c>
      <c r="O512" s="106">
        <v>152244436.54343095</v>
      </c>
      <c r="P512" s="106">
        <v>201471425.84104443</v>
      </c>
      <c r="Q512" s="106">
        <v>256388880.84401664</v>
      </c>
      <c r="R512" s="106">
        <v>281061309.05527365</v>
      </c>
      <c r="S512" s="105">
        <v>0</v>
      </c>
      <c r="T512" s="105">
        <v>0</v>
      </c>
      <c r="U512" s="105">
        <v>0</v>
      </c>
      <c r="V512" s="105">
        <v>0</v>
      </c>
      <c r="W512" s="105">
        <v>0</v>
      </c>
      <c r="X512" s="105">
        <v>0</v>
      </c>
      <c r="Y512" s="106">
        <v>7625079.8034042204</v>
      </c>
      <c r="Z512" s="106">
        <v>7953023.6464109933</v>
      </c>
      <c r="AA512" s="106">
        <v>8407150.3504289109</v>
      </c>
      <c r="AB512" s="108">
        <v>9036833.8777442165</v>
      </c>
      <c r="AC512" s="108">
        <v>9462528.3572701942</v>
      </c>
      <c r="AD512" s="108">
        <v>9704810.3384153433</v>
      </c>
      <c r="AE512" s="108">
        <v>71002268.733082503</v>
      </c>
      <c r="AF512" s="108">
        <v>74402207.913757041</v>
      </c>
      <c r="AG512" s="108">
        <v>101319825.86473045</v>
      </c>
      <c r="AH512" s="108">
        <v>126777363.17452794</v>
      </c>
      <c r="AI512" s="108">
        <v>30177862.608811334</v>
      </c>
      <c r="AJ512" s="108">
        <v>163164094.21397004</v>
      </c>
      <c r="AK512" s="108">
        <v>46014507.157871045</v>
      </c>
      <c r="AL512" s="108">
        <v>48374309.973886386</v>
      </c>
      <c r="AM512" s="108">
        <v>56767921.943450831</v>
      </c>
      <c r="AN512" s="108">
        <v>68186656.910791248</v>
      </c>
      <c r="AO512" s="108">
        <v>81037742.463286564</v>
      </c>
      <c r="AP512" s="108">
        <v>84285004.830904812</v>
      </c>
      <c r="AQ512" s="108">
        <v>9949368.6504667178</v>
      </c>
      <c r="AR512" s="108">
        <v>9967189.5336440876</v>
      </c>
      <c r="AS512" s="108">
        <v>11914567.802902797</v>
      </c>
      <c r="AT512" s="108">
        <v>14149117.18248518</v>
      </c>
      <c r="AU512" s="108">
        <v>15649385.381067639</v>
      </c>
      <c r="AV512" s="108">
        <v>15652734.842561688</v>
      </c>
    </row>
    <row r="513" spans="1:48" x14ac:dyDescent="0.35">
      <c r="A513" s="107">
        <f xml:space="preserve"> ROW( slrImpacts[[#This Row],[row_id]] ) - ROW( slrImpacts[[#Headers],[row_id]] )</f>
        <v>512</v>
      </c>
      <c r="B513" s="104">
        <v>2006</v>
      </c>
      <c r="C513" s="104" t="s">
        <v>221</v>
      </c>
      <c r="D513" s="104" t="s">
        <v>208</v>
      </c>
      <c r="E513" s="104" t="s">
        <v>922</v>
      </c>
      <c r="F513" s="104"/>
      <c r="G513" s="105">
        <v>0</v>
      </c>
      <c r="H513" s="105">
        <v>0</v>
      </c>
      <c r="I513" s="105">
        <v>0</v>
      </c>
      <c r="J513" s="105">
        <v>0</v>
      </c>
      <c r="K513" s="105">
        <v>0</v>
      </c>
      <c r="L513" s="105">
        <v>0</v>
      </c>
      <c r="M513" s="106">
        <v>128204808.567397</v>
      </c>
      <c r="N513" s="106">
        <v>134149953.68342492</v>
      </c>
      <c r="O513" s="106">
        <v>157095607.60020381</v>
      </c>
      <c r="P513" s="106">
        <v>211053956.68520367</v>
      </c>
      <c r="Q513" s="106">
        <v>271755183.30870748</v>
      </c>
      <c r="R513" s="106">
        <v>297925781.52402115</v>
      </c>
      <c r="S513" s="105">
        <v>0</v>
      </c>
      <c r="T513" s="105">
        <v>0</v>
      </c>
      <c r="U513" s="105">
        <v>0</v>
      </c>
      <c r="V513" s="105">
        <v>0</v>
      </c>
      <c r="W513" s="105">
        <v>0</v>
      </c>
      <c r="X513" s="105">
        <v>0</v>
      </c>
      <c r="Y513" s="106">
        <v>7517195.5838747062</v>
      </c>
      <c r="Z513" s="106">
        <v>7924105.7991385646</v>
      </c>
      <c r="AA513" s="106">
        <v>8522464.5420263987</v>
      </c>
      <c r="AB513" s="108">
        <v>9238546.5397163462</v>
      </c>
      <c r="AC513" s="108">
        <v>9715512.2310163062</v>
      </c>
      <c r="AD513" s="108">
        <v>9991990.6345662754</v>
      </c>
      <c r="AE513" s="108">
        <v>72127994.931793705</v>
      </c>
      <c r="AF513" s="108">
        <v>75987655.38561824</v>
      </c>
      <c r="AG513" s="108">
        <v>104695975.88188256</v>
      </c>
      <c r="AH513" s="108">
        <v>131155217.57075283</v>
      </c>
      <c r="AI513" s="108">
        <v>32821233.454315711</v>
      </c>
      <c r="AJ513" s="108">
        <v>172459768.14725605</v>
      </c>
      <c r="AK513" s="108">
        <v>47790279.065090679</v>
      </c>
      <c r="AL513" s="108">
        <v>50530955.641164191</v>
      </c>
      <c r="AM513" s="108">
        <v>60192127.055968851</v>
      </c>
      <c r="AN513" s="108">
        <v>73421369.711673453</v>
      </c>
      <c r="AO513" s="108">
        <v>88718386.287154883</v>
      </c>
      <c r="AP513" s="108">
        <v>92042572.589865804</v>
      </c>
      <c r="AQ513" s="108">
        <v>10217132.730890367</v>
      </c>
      <c r="AR513" s="108">
        <v>10269122.157257732</v>
      </c>
      <c r="AS513" s="108">
        <v>12462129.123255739</v>
      </c>
      <c r="AT513" s="108">
        <v>15003337.55164393</v>
      </c>
      <c r="AU513" s="108">
        <v>16794645.922708999</v>
      </c>
      <c r="AV513" s="108">
        <v>16861625.690513343</v>
      </c>
    </row>
    <row r="514" spans="1:48" x14ac:dyDescent="0.35">
      <c r="A514" s="107">
        <f xml:space="preserve"> ROW( slrImpacts[[#This Row],[row_id]] ) - ROW( slrImpacts[[#Headers],[row_id]] )</f>
        <v>513</v>
      </c>
      <c r="B514" s="104">
        <v>2007</v>
      </c>
      <c r="C514" s="104" t="s">
        <v>221</v>
      </c>
      <c r="D514" s="104" t="s">
        <v>208</v>
      </c>
      <c r="E514" s="104" t="s">
        <v>922</v>
      </c>
      <c r="F514" s="104"/>
      <c r="G514" s="105">
        <v>0</v>
      </c>
      <c r="H514" s="105">
        <v>0</v>
      </c>
      <c r="I514" s="105">
        <v>0</v>
      </c>
      <c r="J514" s="105">
        <v>0</v>
      </c>
      <c r="K514" s="105">
        <v>0</v>
      </c>
      <c r="L514" s="105">
        <v>0</v>
      </c>
      <c r="M514" s="106">
        <v>131319818.42460623</v>
      </c>
      <c r="N514" s="106">
        <v>138646193.83411986</v>
      </c>
      <c r="O514" s="106">
        <v>166705517.17703336</v>
      </c>
      <c r="P514" s="106">
        <v>229035587.07679141</v>
      </c>
      <c r="Q514" s="106">
        <v>299739546.12299818</v>
      </c>
      <c r="R514" s="106">
        <v>329882790.72902471</v>
      </c>
      <c r="S514" s="105">
        <v>0</v>
      </c>
      <c r="T514" s="105">
        <v>0</v>
      </c>
      <c r="U514" s="105">
        <v>0</v>
      </c>
      <c r="V514" s="105">
        <v>0</v>
      </c>
      <c r="W514" s="105">
        <v>0</v>
      </c>
      <c r="X514" s="105">
        <v>0</v>
      </c>
      <c r="Y514" s="106">
        <v>7457483.36476159</v>
      </c>
      <c r="Z514" s="106">
        <v>7975930.0977868969</v>
      </c>
      <c r="AA514" s="106">
        <v>8766731.5892779399</v>
      </c>
      <c r="AB514" s="108">
        <v>9630142.2415991127</v>
      </c>
      <c r="AC514" s="108">
        <v>10202006.054482348</v>
      </c>
      <c r="AD514" s="108">
        <v>10545615.507646155</v>
      </c>
      <c r="AE514" s="108">
        <v>74416026.31684047</v>
      </c>
      <c r="AF514" s="108">
        <v>79098495.221876234</v>
      </c>
      <c r="AG514" s="108">
        <v>111192807.77414922</v>
      </c>
      <c r="AH514" s="108">
        <v>140467695.0972324</v>
      </c>
      <c r="AI514" s="108">
        <v>37611649.206987388</v>
      </c>
      <c r="AJ514" s="108">
        <v>190087349.66689306</v>
      </c>
      <c r="AK514" s="108">
        <v>51190244.169986345</v>
      </c>
      <c r="AL514" s="108">
        <v>54641126.840802647</v>
      </c>
      <c r="AM514" s="108">
        <v>66412690.770656131</v>
      </c>
      <c r="AN514" s="108">
        <v>83159068.829434186</v>
      </c>
      <c r="AO514" s="108">
        <v>101982330.3363017</v>
      </c>
      <c r="AP514" s="108">
        <v>106506557.21442108</v>
      </c>
      <c r="AQ514" s="108">
        <v>10730807.43464957</v>
      </c>
      <c r="AR514" s="108">
        <v>10856916.364445958</v>
      </c>
      <c r="AS514" s="108">
        <v>13496498.153630808</v>
      </c>
      <c r="AT514" s="108">
        <v>16582570.809135921</v>
      </c>
      <c r="AU514" s="108">
        <v>18897822.71420154</v>
      </c>
      <c r="AV514" s="108">
        <v>19110538.74218145</v>
      </c>
    </row>
    <row r="515" spans="1:48" x14ac:dyDescent="0.35">
      <c r="A515" s="107">
        <f xml:space="preserve"> ROW( slrImpacts[[#This Row],[row_id]] ) - ROW( slrImpacts[[#Headers],[row_id]] )</f>
        <v>514</v>
      </c>
      <c r="B515" s="104">
        <v>2008</v>
      </c>
      <c r="C515" s="104" t="s">
        <v>221</v>
      </c>
      <c r="D515" s="104" t="s">
        <v>208</v>
      </c>
      <c r="E515" s="104" t="s">
        <v>922</v>
      </c>
      <c r="F515" s="104"/>
      <c r="G515" s="105">
        <v>0</v>
      </c>
      <c r="H515" s="105">
        <v>0</v>
      </c>
      <c r="I515" s="105">
        <v>0</v>
      </c>
      <c r="J515" s="105">
        <v>0</v>
      </c>
      <c r="K515" s="105">
        <v>0</v>
      </c>
      <c r="L515" s="105">
        <v>0</v>
      </c>
      <c r="M515" s="106">
        <v>134661804.95828089</v>
      </c>
      <c r="N515" s="106">
        <v>143500742.35308912</v>
      </c>
      <c r="O515" s="106">
        <v>177130369.12342361</v>
      </c>
      <c r="P515" s="106">
        <v>248797421.2906889</v>
      </c>
      <c r="Q515" s="106">
        <v>330203386.79525387</v>
      </c>
      <c r="R515" s="106">
        <v>365375282.44280922</v>
      </c>
      <c r="S515" s="105">
        <v>0</v>
      </c>
      <c r="T515" s="105">
        <v>0</v>
      </c>
      <c r="U515" s="105">
        <v>0</v>
      </c>
      <c r="V515" s="105">
        <v>0</v>
      </c>
      <c r="W515" s="105">
        <v>0</v>
      </c>
      <c r="X515" s="105">
        <v>0</v>
      </c>
      <c r="Y515" s="106">
        <v>7402616.7595957546</v>
      </c>
      <c r="Z515" s="106">
        <v>8034392.7025839509</v>
      </c>
      <c r="AA515" s="106">
        <v>9026416.7850623485</v>
      </c>
      <c r="AB515" s="108">
        <v>10041491.102195583</v>
      </c>
      <c r="AC515" s="108">
        <v>10711773.843152931</v>
      </c>
      <c r="AD515" s="108">
        <v>11133133.010951994</v>
      </c>
      <c r="AE515" s="108">
        <v>77068681.957265884</v>
      </c>
      <c r="AF515" s="108">
        <v>82689482.626495048</v>
      </c>
      <c r="AG515" s="108">
        <v>118708551.43805139</v>
      </c>
      <c r="AH515" s="108">
        <v>151347782.49985847</v>
      </c>
      <c r="AI515" s="108">
        <v>43166274.84959013</v>
      </c>
      <c r="AJ515" s="108">
        <v>210215883.31593379</v>
      </c>
      <c r="AK515" s="108">
        <v>54915536.367665708</v>
      </c>
      <c r="AL515" s="108">
        <v>59209622.106058732</v>
      </c>
      <c r="AM515" s="108">
        <v>73471350.928170249</v>
      </c>
      <c r="AN515" s="108">
        <v>94348541.010004237</v>
      </c>
      <c r="AO515" s="108">
        <v>117634281.62237197</v>
      </c>
      <c r="AP515" s="108">
        <v>123808528.09005919</v>
      </c>
      <c r="AQ515" s="108">
        <v>11272954.015890323</v>
      </c>
      <c r="AR515" s="108">
        <v>11514253.945294484</v>
      </c>
      <c r="AS515" s="108">
        <v>14624727.147401329</v>
      </c>
      <c r="AT515" s="108">
        <v>18282326.048056636</v>
      </c>
      <c r="AU515" s="108">
        <v>21246569.075685762</v>
      </c>
      <c r="AV515" s="108">
        <v>21703199.542984098</v>
      </c>
    </row>
    <row r="516" spans="1:48" x14ac:dyDescent="0.35">
      <c r="A516" s="107">
        <f xml:space="preserve"> ROW( slrImpacts[[#This Row],[row_id]] ) - ROW( slrImpacts[[#Headers],[row_id]] )</f>
        <v>515</v>
      </c>
      <c r="B516" s="104">
        <v>2009</v>
      </c>
      <c r="C516" s="104" t="s">
        <v>221</v>
      </c>
      <c r="D516" s="104" t="s">
        <v>208</v>
      </c>
      <c r="E516" s="104" t="s">
        <v>922</v>
      </c>
      <c r="F516" s="104"/>
      <c r="G516" s="105">
        <v>0</v>
      </c>
      <c r="H516" s="105">
        <v>0</v>
      </c>
      <c r="I516" s="105">
        <v>0</v>
      </c>
      <c r="J516" s="105">
        <v>0</v>
      </c>
      <c r="K516" s="105">
        <v>0</v>
      </c>
      <c r="L516" s="105">
        <v>0</v>
      </c>
      <c r="M516" s="106">
        <v>138053740.31678501</v>
      </c>
      <c r="N516" s="106">
        <v>148432625.82112283</v>
      </c>
      <c r="O516" s="106">
        <v>188480745.90395519</v>
      </c>
      <c r="P516" s="106">
        <v>270681131.31280649</v>
      </c>
      <c r="Q516" s="106">
        <v>362314573.79389781</v>
      </c>
      <c r="R516" s="106">
        <v>404779906.42019308</v>
      </c>
      <c r="S516" s="105">
        <v>0</v>
      </c>
      <c r="T516" s="105">
        <v>0</v>
      </c>
      <c r="U516" s="105">
        <v>0</v>
      </c>
      <c r="V516" s="105">
        <v>0</v>
      </c>
      <c r="W516" s="105">
        <v>0</v>
      </c>
      <c r="X516" s="105">
        <v>0</v>
      </c>
      <c r="Y516" s="106">
        <v>7352184.6779568186</v>
      </c>
      <c r="Z516" s="106">
        <v>8098193.0291434648</v>
      </c>
      <c r="AA516" s="106">
        <v>9299291.1966929939</v>
      </c>
      <c r="AB516" s="108">
        <v>10470549.315918075</v>
      </c>
      <c r="AC516" s="108">
        <v>11248247.366643371</v>
      </c>
      <c r="AD516" s="108">
        <v>11754616.519045429</v>
      </c>
      <c r="AE516" s="108">
        <v>79969805.206902415</v>
      </c>
      <c r="AF516" s="108">
        <v>86757834.672765881</v>
      </c>
      <c r="AG516" s="108">
        <v>127062308.5617236</v>
      </c>
      <c r="AH516" s="108">
        <v>163969921.95051277</v>
      </c>
      <c r="AI516" s="108">
        <v>49598843.026176006</v>
      </c>
      <c r="AJ516" s="108">
        <v>233394401.63994193</v>
      </c>
      <c r="AK516" s="108">
        <v>59102373.028570049</v>
      </c>
      <c r="AL516" s="108">
        <v>64410718.194930814</v>
      </c>
      <c r="AM516" s="108">
        <v>81659524.75638324</v>
      </c>
      <c r="AN516" s="108">
        <v>107109991.96866462</v>
      </c>
      <c r="AO516" s="108">
        <v>136165941.9178946</v>
      </c>
      <c r="AP516" s="108">
        <v>144555841.55891347</v>
      </c>
      <c r="AQ516" s="108">
        <v>11850110.025431987</v>
      </c>
      <c r="AR516" s="108">
        <v>12252902.64218726</v>
      </c>
      <c r="AS516" s="108">
        <v>15857603.366041116</v>
      </c>
      <c r="AT516" s="108">
        <v>20120473.471910585</v>
      </c>
      <c r="AU516" s="108">
        <v>23873327.978703983</v>
      </c>
      <c r="AV516" s="108">
        <v>24692758.878335025</v>
      </c>
    </row>
    <row r="517" spans="1:48" x14ac:dyDescent="0.35">
      <c r="A517" s="107">
        <f xml:space="preserve"> ROW( slrImpacts[[#This Row],[row_id]] ) - ROW( slrImpacts[[#Headers],[row_id]] )</f>
        <v>516</v>
      </c>
      <c r="B517" s="104">
        <v>2010</v>
      </c>
      <c r="C517" s="104" t="s">
        <v>221</v>
      </c>
      <c r="D517" s="104" t="s">
        <v>208</v>
      </c>
      <c r="E517" s="104" t="s">
        <v>922</v>
      </c>
      <c r="F517" s="104"/>
      <c r="G517" s="105">
        <v>0</v>
      </c>
      <c r="H517" s="105">
        <v>0</v>
      </c>
      <c r="I517" s="105">
        <v>0</v>
      </c>
      <c r="J517" s="105">
        <v>0</v>
      </c>
      <c r="K517" s="105">
        <v>0</v>
      </c>
      <c r="L517" s="105">
        <v>0</v>
      </c>
      <c r="M517" s="106">
        <v>141704217.46198991</v>
      </c>
      <c r="N517" s="106">
        <v>153292342.76588562</v>
      </c>
      <c r="O517" s="106">
        <v>200813034.24735945</v>
      </c>
      <c r="P517" s="106">
        <v>294569440.13463497</v>
      </c>
      <c r="Q517" s="106">
        <v>397642407.61108083</v>
      </c>
      <c r="R517" s="106">
        <v>449019965.00305545</v>
      </c>
      <c r="S517" s="105">
        <v>0</v>
      </c>
      <c r="T517" s="105">
        <v>0</v>
      </c>
      <c r="U517" s="105">
        <v>0</v>
      </c>
      <c r="V517" s="105">
        <v>0</v>
      </c>
      <c r="W517" s="105">
        <v>0</v>
      </c>
      <c r="X517" s="105">
        <v>0</v>
      </c>
      <c r="Y517" s="106">
        <v>7307026.0698170969</v>
      </c>
      <c r="Z517" s="106">
        <v>8169730.7211900605</v>
      </c>
      <c r="AA517" s="106">
        <v>9588766.328987509</v>
      </c>
      <c r="AB517" s="108">
        <v>10920841.136224514</v>
      </c>
      <c r="AC517" s="108">
        <v>11810153.991152743</v>
      </c>
      <c r="AD517" s="108">
        <v>12413485.082639229</v>
      </c>
      <c r="AE517" s="108">
        <v>83085384.6936813</v>
      </c>
      <c r="AF517" s="108">
        <v>91283347.420473978</v>
      </c>
      <c r="AG517" s="108">
        <v>136701098.91808075</v>
      </c>
      <c r="AH517" s="108">
        <v>178727615.21563339</v>
      </c>
      <c r="AI517" s="108">
        <v>57051635.474429727</v>
      </c>
      <c r="AJ517" s="108">
        <v>260157292.56364211</v>
      </c>
      <c r="AK517" s="108">
        <v>63624520.648406968</v>
      </c>
      <c r="AL517" s="108">
        <v>70277656.09767513</v>
      </c>
      <c r="AM517" s="108">
        <v>91023261.162278384</v>
      </c>
      <c r="AN517" s="108">
        <v>121879916.94867504</v>
      </c>
      <c r="AO517" s="108">
        <v>158046976.30301842</v>
      </c>
      <c r="AP517" s="108">
        <v>168292757.51627025</v>
      </c>
      <c r="AQ517" s="108">
        <v>12457063.129451673</v>
      </c>
      <c r="AR517" s="108">
        <v>13072807.878436998</v>
      </c>
      <c r="AS517" s="108">
        <v>17204842.456729382</v>
      </c>
      <c r="AT517" s="108">
        <v>22106359.811203301</v>
      </c>
      <c r="AU517" s="108">
        <v>26790677.783893447</v>
      </c>
      <c r="AV517" s="108">
        <v>28111664.584994841</v>
      </c>
    </row>
    <row r="518" spans="1:48" x14ac:dyDescent="0.35">
      <c r="A518" s="107">
        <f xml:space="preserve"> ROW( slrImpacts[[#This Row],[row_id]] ) - ROW( slrImpacts[[#Headers],[row_id]] )</f>
        <v>517</v>
      </c>
      <c r="B518" s="104">
        <v>2011</v>
      </c>
      <c r="C518" s="104" t="s">
        <v>221</v>
      </c>
      <c r="D518" s="104" t="s">
        <v>208</v>
      </c>
      <c r="E518" s="104" t="s">
        <v>922</v>
      </c>
      <c r="F518" s="104"/>
      <c r="G518" s="105">
        <v>0</v>
      </c>
      <c r="H518" s="105">
        <v>0</v>
      </c>
      <c r="I518" s="105">
        <v>0</v>
      </c>
      <c r="J518" s="105">
        <v>0</v>
      </c>
      <c r="K518" s="105">
        <v>0</v>
      </c>
      <c r="L518" s="105">
        <v>0</v>
      </c>
      <c r="M518" s="106">
        <v>145429787.56651828</v>
      </c>
      <c r="N518" s="106">
        <v>158144298.95561975</v>
      </c>
      <c r="O518" s="106">
        <v>213938657.39419875</v>
      </c>
      <c r="P518" s="106">
        <v>320834134.86470854</v>
      </c>
      <c r="Q518" s="106">
        <v>435268166.23622346</v>
      </c>
      <c r="R518" s="106">
        <v>498942398.66716754</v>
      </c>
      <c r="S518" s="105">
        <v>0</v>
      </c>
      <c r="T518" s="105">
        <v>0</v>
      </c>
      <c r="U518" s="105">
        <v>0</v>
      </c>
      <c r="V518" s="105">
        <v>0</v>
      </c>
      <c r="W518" s="105">
        <v>0</v>
      </c>
      <c r="X518" s="105">
        <v>0</v>
      </c>
      <c r="Y518" s="106">
        <v>7266383.6017114408</v>
      </c>
      <c r="Z518" s="106">
        <v>8248148.9440729581</v>
      </c>
      <c r="AA518" s="106">
        <v>9893702.5259527918</v>
      </c>
      <c r="AB518" s="108">
        <v>11390583.429234389</v>
      </c>
      <c r="AC518" s="108">
        <v>12396529.81062104</v>
      </c>
      <c r="AD518" s="108">
        <v>13110166.12835232</v>
      </c>
      <c r="AE518" s="108">
        <v>86515078.133138597</v>
      </c>
      <c r="AF518" s="108">
        <v>96410795.801790729</v>
      </c>
      <c r="AG518" s="108">
        <v>147125852.17368004</v>
      </c>
      <c r="AH518" s="108">
        <v>196023841.08118302</v>
      </c>
      <c r="AI518" s="108">
        <v>65667409.529401712</v>
      </c>
      <c r="AJ518" s="108">
        <v>290986426.99633414</v>
      </c>
      <c r="AK518" s="108">
        <v>68748215.510023326</v>
      </c>
      <c r="AL518" s="108">
        <v>76986074.179663226</v>
      </c>
      <c r="AM518" s="108">
        <v>101614054.54472496</v>
      </c>
      <c r="AN518" s="108">
        <v>139398430.96238676</v>
      </c>
      <c r="AO518" s="108">
        <v>183466336.72494546</v>
      </c>
      <c r="AP518" s="108">
        <v>196531651.96745321</v>
      </c>
      <c r="AQ518" s="108">
        <v>13099281.426474942</v>
      </c>
      <c r="AR518" s="108">
        <v>13987203.43967195</v>
      </c>
      <c r="AS518" s="108">
        <v>18680080.551590677</v>
      </c>
      <c r="AT518" s="108">
        <v>24240732.034187492</v>
      </c>
      <c r="AU518" s="108">
        <v>30036371.050015427</v>
      </c>
      <c r="AV518" s="108">
        <v>32031189.700193118</v>
      </c>
    </row>
    <row r="519" spans="1:48" x14ac:dyDescent="0.35">
      <c r="A519" s="107">
        <f xml:space="preserve"> ROW( slrImpacts[[#This Row],[row_id]] ) - ROW( slrImpacts[[#Headers],[row_id]] )</f>
        <v>518</v>
      </c>
      <c r="B519" s="104">
        <v>2012</v>
      </c>
      <c r="C519" s="104" t="s">
        <v>221</v>
      </c>
      <c r="D519" s="104" t="s">
        <v>208</v>
      </c>
      <c r="E519" s="104" t="s">
        <v>922</v>
      </c>
      <c r="F519" s="104"/>
      <c r="G519" s="105">
        <v>0</v>
      </c>
      <c r="H519" s="105">
        <v>0</v>
      </c>
      <c r="I519" s="105">
        <v>0</v>
      </c>
      <c r="J519" s="105">
        <v>0</v>
      </c>
      <c r="K519" s="105">
        <v>0</v>
      </c>
      <c r="L519" s="105">
        <v>0</v>
      </c>
      <c r="M519" s="106">
        <v>149237517.66792524</v>
      </c>
      <c r="N519" s="106">
        <v>163143526.93025872</v>
      </c>
      <c r="O519" s="106">
        <v>228036702.56290168</v>
      </c>
      <c r="P519" s="106">
        <v>348533144.53489864</v>
      </c>
      <c r="Q519" s="106">
        <v>477379732.682787</v>
      </c>
      <c r="R519" s="106">
        <v>553132954.34510267</v>
      </c>
      <c r="S519" s="105">
        <v>0</v>
      </c>
      <c r="T519" s="105">
        <v>0</v>
      </c>
      <c r="U519" s="105">
        <v>0</v>
      </c>
      <c r="V519" s="105">
        <v>0</v>
      </c>
      <c r="W519" s="105">
        <v>0</v>
      </c>
      <c r="X519" s="105">
        <v>0</v>
      </c>
      <c r="Y519" s="106">
        <v>7231048.01055835</v>
      </c>
      <c r="Z519" s="106">
        <v>8333645.6109969458</v>
      </c>
      <c r="AA519" s="106">
        <v>10215708.700922262</v>
      </c>
      <c r="AB519" s="108">
        <v>11882144.030912438</v>
      </c>
      <c r="AC519" s="108">
        <v>13012454.2172244</v>
      </c>
      <c r="AD519" s="108">
        <v>13848260.761988234</v>
      </c>
      <c r="AE519" s="108">
        <v>90412442.354284927</v>
      </c>
      <c r="AF519" s="108">
        <v>101896078.41539085</v>
      </c>
      <c r="AG519" s="108">
        <v>157678943.41761103</v>
      </c>
      <c r="AH519" s="108">
        <v>215298557.13448563</v>
      </c>
      <c r="AI519" s="108">
        <v>75626395.637164339</v>
      </c>
      <c r="AJ519" s="108">
        <v>324807742.68709928</v>
      </c>
      <c r="AK519" s="108">
        <v>74467261.560981259</v>
      </c>
      <c r="AL519" s="108">
        <v>84531934.820799947</v>
      </c>
      <c r="AM519" s="108">
        <v>114214024.45938675</v>
      </c>
      <c r="AN519" s="108">
        <v>159924715.47521219</v>
      </c>
      <c r="AO519" s="108">
        <v>212663460.32226539</v>
      </c>
      <c r="AP519" s="108">
        <v>230116665.0283412</v>
      </c>
      <c r="AQ519" s="108">
        <v>13769289.750796024</v>
      </c>
      <c r="AR519" s="108">
        <v>14990757.06241684</v>
      </c>
      <c r="AS519" s="108">
        <v>20285713.240153886</v>
      </c>
      <c r="AT519" s="108">
        <v>26551324.336902406</v>
      </c>
      <c r="AU519" s="108">
        <v>33613109.308271609</v>
      </c>
      <c r="AV519" s="108">
        <v>36473538.243398502</v>
      </c>
    </row>
    <row r="520" spans="1:48" x14ac:dyDescent="0.35">
      <c r="A520" s="107">
        <f xml:space="preserve"> ROW( slrImpacts[[#This Row],[row_id]] ) - ROW( slrImpacts[[#Headers],[row_id]] )</f>
        <v>519</v>
      </c>
      <c r="B520" s="104">
        <v>2013</v>
      </c>
      <c r="C520" s="104" t="s">
        <v>221</v>
      </c>
      <c r="D520" s="104" t="s">
        <v>208</v>
      </c>
      <c r="E520" s="104" t="s">
        <v>922</v>
      </c>
      <c r="F520" s="104"/>
      <c r="G520" s="105">
        <v>0</v>
      </c>
      <c r="H520" s="105">
        <v>0</v>
      </c>
      <c r="I520" s="105">
        <v>0</v>
      </c>
      <c r="J520" s="105">
        <v>0</v>
      </c>
      <c r="K520" s="105">
        <v>0</v>
      </c>
      <c r="L520" s="105">
        <v>0</v>
      </c>
      <c r="M520" s="106">
        <v>153194225.99193236</v>
      </c>
      <c r="N520" s="106">
        <v>168276387.92929134</v>
      </c>
      <c r="O520" s="106">
        <v>243275378.10994104</v>
      </c>
      <c r="P520" s="106">
        <v>378247594.96982896</v>
      </c>
      <c r="Q520" s="106">
        <v>523381354.18400562</v>
      </c>
      <c r="R520" s="106">
        <v>610844481.02617323</v>
      </c>
      <c r="S520" s="105">
        <v>0</v>
      </c>
      <c r="T520" s="105">
        <v>0</v>
      </c>
      <c r="U520" s="105">
        <v>0</v>
      </c>
      <c r="V520" s="105">
        <v>0</v>
      </c>
      <c r="W520" s="105">
        <v>0</v>
      </c>
      <c r="X520" s="105">
        <v>0</v>
      </c>
      <c r="Y520" s="106">
        <v>7201090.3702290254</v>
      </c>
      <c r="Z520" s="106">
        <v>8426059.0195263624</v>
      </c>
      <c r="AA520" s="106">
        <v>10554920.448649507</v>
      </c>
      <c r="AB520" s="108">
        <v>12395709.930107124</v>
      </c>
      <c r="AC520" s="108">
        <v>13655820.102435529</v>
      </c>
      <c r="AD520" s="108">
        <v>14628214.970212612</v>
      </c>
      <c r="AE520" s="108">
        <v>94790244.027807593</v>
      </c>
      <c r="AF520" s="108">
        <v>107871966.03522693</v>
      </c>
      <c r="AG520" s="108">
        <v>169053673.1762808</v>
      </c>
      <c r="AH520" s="108">
        <v>238053777.10142994</v>
      </c>
      <c r="AI520" s="108">
        <v>87139819.539150834</v>
      </c>
      <c r="AJ520" s="108">
        <v>365159787.38239777</v>
      </c>
      <c r="AK520" s="108">
        <v>80878304.981486812</v>
      </c>
      <c r="AL520" s="108">
        <v>92936175.344495028</v>
      </c>
      <c r="AM520" s="108">
        <v>128756385.75590762</v>
      </c>
      <c r="AN520" s="108">
        <v>183808509.76752162</v>
      </c>
      <c r="AO520" s="108">
        <v>247031771.18439654</v>
      </c>
      <c r="AP520" s="108">
        <v>270355136.94061303</v>
      </c>
      <c r="AQ520" s="108">
        <v>14478567.071580095</v>
      </c>
      <c r="AR520" s="108">
        <v>16103910.577620126</v>
      </c>
      <c r="AS520" s="108">
        <v>22036618.039884709</v>
      </c>
      <c r="AT520" s="108">
        <v>29040277.357002791</v>
      </c>
      <c r="AU520" s="108">
        <v>37581536.339142278</v>
      </c>
      <c r="AV520" s="108">
        <v>41530197.07234747</v>
      </c>
    </row>
    <row r="521" spans="1:48" x14ac:dyDescent="0.35">
      <c r="A521" s="107">
        <f xml:space="preserve"> ROW( slrImpacts[[#This Row],[row_id]] ) - ROW( slrImpacts[[#Headers],[row_id]] )</f>
        <v>520</v>
      </c>
      <c r="B521" s="104">
        <v>2014</v>
      </c>
      <c r="C521" s="104" t="s">
        <v>221</v>
      </c>
      <c r="D521" s="104" t="s">
        <v>208</v>
      </c>
      <c r="E521" s="104" t="s">
        <v>922</v>
      </c>
      <c r="F521" s="104"/>
      <c r="G521" s="105">
        <v>0</v>
      </c>
      <c r="H521" s="105">
        <v>0</v>
      </c>
      <c r="I521" s="105">
        <v>0</v>
      </c>
      <c r="J521" s="105">
        <v>0</v>
      </c>
      <c r="K521" s="105">
        <v>0</v>
      </c>
      <c r="L521" s="105">
        <v>0</v>
      </c>
      <c r="M521" s="106">
        <v>156966167.59584394</v>
      </c>
      <c r="N521" s="106">
        <v>173139620.54150477</v>
      </c>
      <c r="O521" s="106">
        <v>259825175.46565655</v>
      </c>
      <c r="P521" s="106">
        <v>410631740.40959829</v>
      </c>
      <c r="Q521" s="106">
        <v>573978861.56615233</v>
      </c>
      <c r="R521" s="106">
        <v>674146270.52101517</v>
      </c>
      <c r="S521" s="105">
        <v>0</v>
      </c>
      <c r="T521" s="105">
        <v>0</v>
      </c>
      <c r="U521" s="105">
        <v>0</v>
      </c>
      <c r="V521" s="105">
        <v>0</v>
      </c>
      <c r="W521" s="105">
        <v>0</v>
      </c>
      <c r="X521" s="105">
        <v>0</v>
      </c>
      <c r="Y521" s="106">
        <v>7177203.9951203344</v>
      </c>
      <c r="Z521" s="106">
        <v>8527604.9913029466</v>
      </c>
      <c r="AA521" s="106">
        <v>10913184.849111641</v>
      </c>
      <c r="AB521" s="108">
        <v>12933475.934376998</v>
      </c>
      <c r="AC521" s="108">
        <v>14329549.365251701</v>
      </c>
      <c r="AD521" s="108">
        <v>15454757.425059291</v>
      </c>
      <c r="AE521" s="108">
        <v>99313627.024706289</v>
      </c>
      <c r="AF521" s="108">
        <v>114378241.51319116</v>
      </c>
      <c r="AG521" s="108">
        <v>181563935.50171039</v>
      </c>
      <c r="AH521" s="108">
        <v>262796483.33156154</v>
      </c>
      <c r="AI521" s="108">
        <v>100128279.99276972</v>
      </c>
      <c r="AJ521" s="108">
        <v>412098039.88469571</v>
      </c>
      <c r="AK521" s="108">
        <v>88108442.739299178</v>
      </c>
      <c r="AL521" s="108">
        <v>102503646.96583034</v>
      </c>
      <c r="AM521" s="108">
        <v>145695331.6950199</v>
      </c>
      <c r="AN521" s="108">
        <v>211391698.58171806</v>
      </c>
      <c r="AO521" s="108">
        <v>287877707.36024988</v>
      </c>
      <c r="AP521" s="108">
        <v>316451952.93182009</v>
      </c>
      <c r="AQ521" s="108">
        <v>15228420.462112851</v>
      </c>
      <c r="AR521" s="108">
        <v>17335000.322191354</v>
      </c>
      <c r="AS521" s="108">
        <v>23941070.637707505</v>
      </c>
      <c r="AT521" s="108">
        <v>31717942.940150831</v>
      </c>
      <c r="AU521" s="108">
        <v>41973361.517955668</v>
      </c>
      <c r="AV521" s="108">
        <v>47269929.509396985</v>
      </c>
    </row>
    <row r="522" spans="1:48" x14ac:dyDescent="0.35">
      <c r="A522" s="107">
        <f xml:space="preserve"> ROW( slrImpacts[[#This Row],[row_id]] ) - ROW( slrImpacts[[#Headers],[row_id]] )</f>
        <v>521</v>
      </c>
      <c r="B522" s="104">
        <v>2015</v>
      </c>
      <c r="C522" s="104" t="s">
        <v>221</v>
      </c>
      <c r="D522" s="104" t="s">
        <v>208</v>
      </c>
      <c r="E522" s="104" t="s">
        <v>922</v>
      </c>
      <c r="F522" s="104"/>
      <c r="G522" s="105">
        <v>0</v>
      </c>
      <c r="H522" s="105">
        <v>0</v>
      </c>
      <c r="I522" s="105">
        <v>0</v>
      </c>
      <c r="J522" s="105">
        <v>0</v>
      </c>
      <c r="K522" s="105">
        <v>0</v>
      </c>
      <c r="L522" s="105">
        <v>0</v>
      </c>
      <c r="M522" s="106">
        <v>160580089.23551238</v>
      </c>
      <c r="N522" s="106">
        <v>178010283.52638185</v>
      </c>
      <c r="O522" s="106">
        <v>277264841.11214811</v>
      </c>
      <c r="P522" s="106">
        <v>445184415.87039673</v>
      </c>
      <c r="Q522" s="106">
        <v>628685942.96032894</v>
      </c>
      <c r="R522" s="106">
        <v>741562053.07091928</v>
      </c>
      <c r="S522" s="105">
        <v>0</v>
      </c>
      <c r="T522" s="105">
        <v>0</v>
      </c>
      <c r="U522" s="105">
        <v>0</v>
      </c>
      <c r="V522" s="105">
        <v>0</v>
      </c>
      <c r="W522" s="105">
        <v>0</v>
      </c>
      <c r="X522" s="105">
        <v>0</v>
      </c>
      <c r="Y522" s="106">
        <v>7154599.7079012059</v>
      </c>
      <c r="Z522" s="106">
        <v>8632472.0108690858</v>
      </c>
      <c r="AA522" s="106">
        <v>11289422.721532702</v>
      </c>
      <c r="AB522" s="108">
        <v>13494070.636217974</v>
      </c>
      <c r="AC522" s="108">
        <v>15032376.540179934</v>
      </c>
      <c r="AD522" s="108">
        <v>16321747.697382754</v>
      </c>
      <c r="AE522" s="108">
        <v>103934554.37849213</v>
      </c>
      <c r="AF522" s="108">
        <v>121447441.23302066</v>
      </c>
      <c r="AG522" s="108">
        <v>195644598.41490984</v>
      </c>
      <c r="AH522" s="108">
        <v>289062184.7727676</v>
      </c>
      <c r="AI522" s="108">
        <v>114481514.18859103</v>
      </c>
      <c r="AJ522" s="108">
        <v>467230420.97656626</v>
      </c>
      <c r="AK522" s="108">
        <v>96151456.368818775</v>
      </c>
      <c r="AL522" s="108">
        <v>113273363.12254234</v>
      </c>
      <c r="AM522" s="108">
        <v>164746006.9922342</v>
      </c>
      <c r="AN522" s="108">
        <v>243447828.41391495</v>
      </c>
      <c r="AO522" s="108">
        <v>334793340.47049695</v>
      </c>
      <c r="AP522" s="108">
        <v>370177790.69511986</v>
      </c>
      <c r="AQ522" s="108">
        <v>16016406.909397343</v>
      </c>
      <c r="AR522" s="108">
        <v>18690165.812386964</v>
      </c>
      <c r="AS522" s="108">
        <v>26008271.252866615</v>
      </c>
      <c r="AT522" s="108">
        <v>34575560.077920571</v>
      </c>
      <c r="AU522" s="108">
        <v>46809718.952266164</v>
      </c>
      <c r="AV522" s="108">
        <v>53750644.094758615</v>
      </c>
    </row>
    <row r="523" spans="1:48" x14ac:dyDescent="0.35">
      <c r="A523" s="107">
        <f xml:space="preserve"> ROW( slrImpacts[[#This Row],[row_id]] ) - ROW( slrImpacts[[#Headers],[row_id]] )</f>
        <v>522</v>
      </c>
      <c r="B523" s="104">
        <v>2016</v>
      </c>
      <c r="C523" s="104" t="s">
        <v>221</v>
      </c>
      <c r="D523" s="104" t="s">
        <v>208</v>
      </c>
      <c r="E523" s="104" t="s">
        <v>922</v>
      </c>
      <c r="F523" s="104"/>
      <c r="G523" s="105">
        <v>0</v>
      </c>
      <c r="H523" s="105">
        <v>0</v>
      </c>
      <c r="I523" s="105">
        <v>0</v>
      </c>
      <c r="J523" s="105">
        <v>0</v>
      </c>
      <c r="K523" s="105">
        <v>0</v>
      </c>
      <c r="L523" s="105">
        <v>0</v>
      </c>
      <c r="M523" s="106">
        <v>165142443.9134247</v>
      </c>
      <c r="N523" s="106">
        <v>183235415.73477402</v>
      </c>
      <c r="O523" s="106">
        <v>296233437.7222299</v>
      </c>
      <c r="P523" s="106">
        <v>483979271.06501579</v>
      </c>
      <c r="Q523" s="106">
        <v>690437845.26098406</v>
      </c>
      <c r="R523" s="106">
        <v>818125119.54933</v>
      </c>
      <c r="S523" s="105">
        <v>0</v>
      </c>
      <c r="T523" s="105">
        <v>0</v>
      </c>
      <c r="U523" s="105">
        <v>0</v>
      </c>
      <c r="V523" s="105">
        <v>0</v>
      </c>
      <c r="W523" s="105">
        <v>0</v>
      </c>
      <c r="X523" s="105">
        <v>0</v>
      </c>
      <c r="Y523" s="106">
        <v>7334591.8468806893</v>
      </c>
      <c r="Z523" s="106">
        <v>8886957.048655441</v>
      </c>
      <c r="AA523" s="106">
        <v>11717641.457661215</v>
      </c>
      <c r="AB523" s="108">
        <v>14101584.971427312</v>
      </c>
      <c r="AC523" s="108">
        <v>15826103.02639256</v>
      </c>
      <c r="AD523" s="108">
        <v>17327083.802229524</v>
      </c>
      <c r="AE523" s="108">
        <v>109195873.78423047</v>
      </c>
      <c r="AF523" s="108">
        <v>129043102.94701672</v>
      </c>
      <c r="AG523" s="108">
        <v>212286809.01688939</v>
      </c>
      <c r="AH523" s="108">
        <v>319695202.61183149</v>
      </c>
      <c r="AI523" s="108">
        <v>132183972.21717551</v>
      </c>
      <c r="AJ523" s="108">
        <v>536889581.94597852</v>
      </c>
      <c r="AK523" s="108">
        <v>104954306.98643813</v>
      </c>
      <c r="AL523" s="108">
        <v>125270516.03904109</v>
      </c>
      <c r="AM523" s="108">
        <v>186881490.42060483</v>
      </c>
      <c r="AN523" s="108">
        <v>281470702.57553124</v>
      </c>
      <c r="AO523" s="108">
        <v>392868458.7408523</v>
      </c>
      <c r="AP523" s="108">
        <v>439125777.2384426</v>
      </c>
      <c r="AQ523" s="108">
        <v>16865785.021186564</v>
      </c>
      <c r="AR523" s="108">
        <v>20147432.280993111</v>
      </c>
      <c r="AS523" s="108">
        <v>28295070.218189418</v>
      </c>
      <c r="AT523" s="108">
        <v>37856976.619054459</v>
      </c>
      <c r="AU523" s="108">
        <v>52484540.316222258</v>
      </c>
      <c r="AV523" s="108">
        <v>61525648.398513302</v>
      </c>
    </row>
    <row r="524" spans="1:48" x14ac:dyDescent="0.35">
      <c r="A524" s="107">
        <f xml:space="preserve"> ROW( slrImpacts[[#This Row],[row_id]] ) - ROW( slrImpacts[[#Headers],[row_id]] )</f>
        <v>523</v>
      </c>
      <c r="B524" s="104">
        <v>2017</v>
      </c>
      <c r="C524" s="104" t="s">
        <v>221</v>
      </c>
      <c r="D524" s="104" t="s">
        <v>208</v>
      </c>
      <c r="E524" s="104" t="s">
        <v>922</v>
      </c>
      <c r="F524" s="104"/>
      <c r="G524" s="105">
        <v>0</v>
      </c>
      <c r="H524" s="105">
        <v>0</v>
      </c>
      <c r="I524" s="105">
        <v>0</v>
      </c>
      <c r="J524" s="105">
        <v>0</v>
      </c>
      <c r="K524" s="105">
        <v>0</v>
      </c>
      <c r="L524" s="105">
        <v>0</v>
      </c>
      <c r="M524" s="106">
        <v>169550430.04477447</v>
      </c>
      <c r="N524" s="106">
        <v>188545614.49832901</v>
      </c>
      <c r="O524" s="106">
        <v>316040918.6016683</v>
      </c>
      <c r="P524" s="106">
        <v>525925579.5542528</v>
      </c>
      <c r="Q524" s="106">
        <v>757358082.45566881</v>
      </c>
      <c r="R524" s="106">
        <v>905692158.74471796</v>
      </c>
      <c r="S524" s="105">
        <v>0</v>
      </c>
      <c r="T524" s="105">
        <v>0</v>
      </c>
      <c r="U524" s="105">
        <v>0</v>
      </c>
      <c r="V524" s="105">
        <v>0</v>
      </c>
      <c r="W524" s="105">
        <v>0</v>
      </c>
      <c r="X524" s="105">
        <v>0</v>
      </c>
      <c r="Y524" s="106">
        <v>7517254.3823745456</v>
      </c>
      <c r="Z524" s="106">
        <v>9149223.9000370651</v>
      </c>
      <c r="AA524" s="106">
        <v>12163872.223611485</v>
      </c>
      <c r="AB524" s="108">
        <v>14749996.819830479</v>
      </c>
      <c r="AC524" s="108">
        <v>16709335.896971662</v>
      </c>
      <c r="AD524" s="108">
        <v>18473938.664199516</v>
      </c>
      <c r="AE524" s="108">
        <v>114824018.99760002</v>
      </c>
      <c r="AF524" s="108">
        <v>136854768.51216805</v>
      </c>
      <c r="AG524" s="108">
        <v>230770827.97811738</v>
      </c>
      <c r="AH524" s="108">
        <v>356269843.97515649</v>
      </c>
      <c r="AI524" s="108">
        <v>153901755.63455215</v>
      </c>
      <c r="AJ524" s="108">
        <v>623147357.53401709</v>
      </c>
      <c r="AK524" s="108">
        <v>114490169.47184187</v>
      </c>
      <c r="AL524" s="108">
        <v>138650928.21329209</v>
      </c>
      <c r="AM524" s="108">
        <v>212502955.27998751</v>
      </c>
      <c r="AN524" s="108">
        <v>326467202.1458742</v>
      </c>
      <c r="AO524" s="108">
        <v>464496501.52452809</v>
      </c>
      <c r="AP524" s="108">
        <v>525743282.99298751</v>
      </c>
      <c r="AQ524" s="108">
        <v>17774944.561064817</v>
      </c>
      <c r="AR524" s="108">
        <v>21679416.484784473</v>
      </c>
      <c r="AS524" s="108">
        <v>30785363.524750125</v>
      </c>
      <c r="AT524" s="108">
        <v>41617514.642978549</v>
      </c>
      <c r="AU524" s="108">
        <v>59103939.954985797</v>
      </c>
      <c r="AV524" s="108">
        <v>70772720.955892965</v>
      </c>
    </row>
    <row r="525" spans="1:48" x14ac:dyDescent="0.35">
      <c r="A525" s="107">
        <f xml:space="preserve"> ROW( slrImpacts[[#This Row],[row_id]] ) - ROW( slrImpacts[[#Headers],[row_id]] )</f>
        <v>524</v>
      </c>
      <c r="B525" s="104">
        <v>2018</v>
      </c>
      <c r="C525" s="104" t="s">
        <v>221</v>
      </c>
      <c r="D525" s="104" t="s">
        <v>208</v>
      </c>
      <c r="E525" s="104" t="s">
        <v>922</v>
      </c>
      <c r="F525" s="104"/>
      <c r="G525" s="105">
        <v>0</v>
      </c>
      <c r="H525" s="105">
        <v>0</v>
      </c>
      <c r="I525" s="105">
        <v>0</v>
      </c>
      <c r="J525" s="105">
        <v>0</v>
      </c>
      <c r="K525" s="105">
        <v>0</v>
      </c>
      <c r="L525" s="105">
        <v>0</v>
      </c>
      <c r="M525" s="106">
        <v>173923554.72796994</v>
      </c>
      <c r="N525" s="106">
        <v>193829692.48278877</v>
      </c>
      <c r="O525" s="106">
        <v>336799810.24133456</v>
      </c>
      <c r="P525" s="106">
        <v>570570200.47809207</v>
      </c>
      <c r="Q525" s="106">
        <v>833913551.59814906</v>
      </c>
      <c r="R525" s="106">
        <v>1003404410.9379086</v>
      </c>
      <c r="S525" s="105">
        <v>0</v>
      </c>
      <c r="T525" s="105">
        <v>0</v>
      </c>
      <c r="U525" s="105">
        <v>0</v>
      </c>
      <c r="V525" s="105">
        <v>0</v>
      </c>
      <c r="W525" s="105">
        <v>0</v>
      </c>
      <c r="X525" s="105">
        <v>0</v>
      </c>
      <c r="Y525" s="106">
        <v>7702645.3448432554</v>
      </c>
      <c r="Z525" s="106">
        <v>9417636.7350511998</v>
      </c>
      <c r="AA525" s="106">
        <v>12631794.95354462</v>
      </c>
      <c r="AB525" s="108">
        <v>15441911.636669144</v>
      </c>
      <c r="AC525" s="108">
        <v>17693339.899659399</v>
      </c>
      <c r="AD525" s="108">
        <v>19780264.075634442</v>
      </c>
      <c r="AE525" s="108">
        <v>120418871.04009351</v>
      </c>
      <c r="AF525" s="108">
        <v>145215485.82667443</v>
      </c>
      <c r="AG525" s="108">
        <v>250873612.30093241</v>
      </c>
      <c r="AH525" s="108">
        <v>397690548.76206738</v>
      </c>
      <c r="AI525" s="108">
        <v>178950272.08104926</v>
      </c>
      <c r="AJ525" s="108">
        <v>715536780.80653155</v>
      </c>
      <c r="AK525" s="108">
        <v>124907042.46835156</v>
      </c>
      <c r="AL525" s="108">
        <v>153761462.36018282</v>
      </c>
      <c r="AM525" s="108">
        <v>242342012.80694851</v>
      </c>
      <c r="AN525" s="108">
        <v>378576040.19788218</v>
      </c>
      <c r="AO525" s="108">
        <v>551805532.75201941</v>
      </c>
      <c r="AP525" s="108">
        <v>634273288.11226726</v>
      </c>
      <c r="AQ525" s="108">
        <v>18741737.230532154</v>
      </c>
      <c r="AR525" s="108">
        <v>23285286.70492924</v>
      </c>
      <c r="AS525" s="108">
        <v>33500633.299519151</v>
      </c>
      <c r="AT525" s="108">
        <v>45925888.808338515</v>
      </c>
      <c r="AU525" s="108">
        <v>66768831.44089216</v>
      </c>
      <c r="AV525" s="108">
        <v>81682201.617701098</v>
      </c>
    </row>
    <row r="526" spans="1:48" x14ac:dyDescent="0.35">
      <c r="A526" s="107">
        <f xml:space="preserve"> ROW( slrImpacts[[#This Row],[row_id]] ) - ROW( slrImpacts[[#Headers],[row_id]] )</f>
        <v>525</v>
      </c>
      <c r="B526" s="104">
        <v>2019</v>
      </c>
      <c r="C526" s="104" t="s">
        <v>221</v>
      </c>
      <c r="D526" s="104" t="s">
        <v>208</v>
      </c>
      <c r="E526" s="104" t="s">
        <v>922</v>
      </c>
      <c r="F526" s="104"/>
      <c r="G526" s="105">
        <v>0</v>
      </c>
      <c r="H526" s="105">
        <v>0</v>
      </c>
      <c r="I526" s="105">
        <v>0</v>
      </c>
      <c r="J526" s="105">
        <v>0</v>
      </c>
      <c r="K526" s="105">
        <v>0</v>
      </c>
      <c r="L526" s="105">
        <v>0</v>
      </c>
      <c r="M526" s="106">
        <v>178396256.55888167</v>
      </c>
      <c r="N526" s="106">
        <v>199014600.73503932</v>
      </c>
      <c r="O526" s="106">
        <v>358944122.40502638</v>
      </c>
      <c r="P526" s="106">
        <v>616717258.92511559</v>
      </c>
      <c r="Q526" s="106">
        <v>917782885.20322907</v>
      </c>
      <c r="R526" s="106">
        <v>1115622672.7147813</v>
      </c>
      <c r="S526" s="105">
        <v>0</v>
      </c>
      <c r="T526" s="105">
        <v>0</v>
      </c>
      <c r="U526" s="105">
        <v>0</v>
      </c>
      <c r="V526" s="105">
        <v>0</v>
      </c>
      <c r="W526" s="105">
        <v>0</v>
      </c>
      <c r="X526" s="105">
        <v>0</v>
      </c>
      <c r="Y526" s="106">
        <v>7891873.5283502266</v>
      </c>
      <c r="Z526" s="106">
        <v>9693371.1649046242</v>
      </c>
      <c r="AA526" s="106">
        <v>13119030.266473949</v>
      </c>
      <c r="AB526" s="108">
        <v>16179293.117757637</v>
      </c>
      <c r="AC526" s="108">
        <v>18782239.258123603</v>
      </c>
      <c r="AD526" s="108">
        <v>21257349.064617194</v>
      </c>
      <c r="AE526" s="108">
        <v>126050351.06124209</v>
      </c>
      <c r="AF526" s="108">
        <v>153675537.47738737</v>
      </c>
      <c r="AG526" s="108">
        <v>271922261.56976736</v>
      </c>
      <c r="AH526" s="108">
        <v>441983215.63782179</v>
      </c>
      <c r="AI526" s="108">
        <v>207924071.5315403</v>
      </c>
      <c r="AJ526" s="108">
        <v>822850674.90515196</v>
      </c>
      <c r="AK526" s="108">
        <v>136278213.60308108</v>
      </c>
      <c r="AL526" s="108">
        <v>170535885.76330003</v>
      </c>
      <c r="AM526" s="108">
        <v>277071675.28041482</v>
      </c>
      <c r="AN526" s="108">
        <v>440303491.42687511</v>
      </c>
      <c r="AO526" s="108">
        <v>657868626.6565398</v>
      </c>
      <c r="AP526" s="108">
        <v>768037847.84628856</v>
      </c>
      <c r="AQ526" s="108">
        <v>19788530.855414163</v>
      </c>
      <c r="AR526" s="108">
        <v>24956434.795142904</v>
      </c>
      <c r="AS526" s="108">
        <v>36470914.254169174</v>
      </c>
      <c r="AT526" s="108">
        <v>50842073.971412137</v>
      </c>
      <c r="AU526" s="108">
        <v>75676843.027368873</v>
      </c>
      <c r="AV526" s="108">
        <v>94466234.818202391</v>
      </c>
    </row>
    <row r="527" spans="1:48" x14ac:dyDescent="0.35">
      <c r="A527" s="107">
        <f xml:space="preserve"> ROW( slrImpacts[[#This Row],[row_id]] ) - ROW( slrImpacts[[#Headers],[row_id]] )</f>
        <v>526</v>
      </c>
      <c r="B527" s="104">
        <v>2020</v>
      </c>
      <c r="C527" s="104" t="s">
        <v>221</v>
      </c>
      <c r="D527" s="104" t="s">
        <v>208</v>
      </c>
      <c r="E527" s="104" t="s">
        <v>922</v>
      </c>
      <c r="F527" s="104"/>
      <c r="G527" s="105">
        <v>0</v>
      </c>
      <c r="H527" s="105">
        <v>0</v>
      </c>
      <c r="I527" s="105">
        <v>0</v>
      </c>
      <c r="J527" s="105">
        <v>0</v>
      </c>
      <c r="K527" s="105">
        <v>0</v>
      </c>
      <c r="L527" s="105">
        <v>0</v>
      </c>
      <c r="M527" s="106">
        <v>182597807.31174806</v>
      </c>
      <c r="N527" s="106">
        <v>204332993.92810413</v>
      </c>
      <c r="O527" s="106">
        <v>382707800.10764784</v>
      </c>
      <c r="P527" s="106">
        <v>664662890.38177633</v>
      </c>
      <c r="Q527" s="106">
        <v>1009547019.1733111</v>
      </c>
      <c r="R527" s="106">
        <v>1242358139.0620048</v>
      </c>
      <c r="S527" s="105">
        <v>0</v>
      </c>
      <c r="T527" s="105">
        <v>0</v>
      </c>
      <c r="U527" s="105">
        <v>0</v>
      </c>
      <c r="V527" s="105">
        <v>0</v>
      </c>
      <c r="W527" s="105">
        <v>0</v>
      </c>
      <c r="X527" s="105">
        <v>0</v>
      </c>
      <c r="Y527" s="106">
        <v>8084360.9028923586</v>
      </c>
      <c r="Z527" s="106">
        <v>9978537.2399507705</v>
      </c>
      <c r="AA527" s="106">
        <v>13631151.34294929</v>
      </c>
      <c r="AB527" s="108">
        <v>16968421.940517098</v>
      </c>
      <c r="AC527" s="108">
        <v>19983926.009411488</v>
      </c>
      <c r="AD527" s="108">
        <v>22930813.377361532</v>
      </c>
      <c r="AE527" s="108">
        <v>131363100.2286552</v>
      </c>
      <c r="AF527" s="108">
        <v>161869320.02619341</v>
      </c>
      <c r="AG527" s="108">
        <v>294148107.59129113</v>
      </c>
      <c r="AH527" s="108">
        <v>489356551.16871613</v>
      </c>
      <c r="AI527" s="108">
        <v>242434987.03298721</v>
      </c>
      <c r="AJ527" s="108">
        <v>942397325.59801507</v>
      </c>
      <c r="AK527" s="108">
        <v>148244852.54559582</v>
      </c>
      <c r="AL527" s="108">
        <v>188767747.36771882</v>
      </c>
      <c r="AM527" s="108">
        <v>315805340.64595211</v>
      </c>
      <c r="AN527" s="108">
        <v>511831538.72984523</v>
      </c>
      <c r="AO527" s="108">
        <v>783250920.16553724</v>
      </c>
      <c r="AP527" s="108">
        <v>929401170.15000832</v>
      </c>
      <c r="AQ527" s="108">
        <v>20899644.034365248</v>
      </c>
      <c r="AR527" s="108">
        <v>26703735.611316752</v>
      </c>
      <c r="AS527" s="108">
        <v>39700441.876176707</v>
      </c>
      <c r="AT527" s="108">
        <v>56421244.065575577</v>
      </c>
      <c r="AU527" s="108">
        <v>85909752.603472918</v>
      </c>
      <c r="AV527" s="108">
        <v>109349130.390908</v>
      </c>
    </row>
    <row r="528" spans="1:48" x14ac:dyDescent="0.35">
      <c r="A528" s="107">
        <f xml:space="preserve"> ROW( slrImpacts[[#This Row],[row_id]] ) - ROW( slrImpacts[[#Headers],[row_id]] )</f>
        <v>527</v>
      </c>
      <c r="B528" s="104">
        <v>2021</v>
      </c>
      <c r="C528" s="104" t="s">
        <v>221</v>
      </c>
      <c r="D528" s="104" t="s">
        <v>208</v>
      </c>
      <c r="E528" s="104" t="s">
        <v>922</v>
      </c>
      <c r="F528" s="104"/>
      <c r="G528" s="105">
        <v>0</v>
      </c>
      <c r="H528" s="105">
        <v>0</v>
      </c>
      <c r="I528" s="105">
        <v>0</v>
      </c>
      <c r="J528" s="105">
        <v>0</v>
      </c>
      <c r="K528" s="105">
        <v>0</v>
      </c>
      <c r="L528" s="105">
        <v>0</v>
      </c>
      <c r="M528" s="106">
        <v>186678181.52576429</v>
      </c>
      <c r="N528" s="106">
        <v>209621862.41201195</v>
      </c>
      <c r="O528" s="106">
        <v>406997661.07374024</v>
      </c>
      <c r="P528" s="106">
        <v>716224439.12340152</v>
      </c>
      <c r="Q528" s="106">
        <v>1103253998.2374089</v>
      </c>
      <c r="R528" s="106">
        <v>1384655263.1140506</v>
      </c>
      <c r="S528" s="105">
        <v>0</v>
      </c>
      <c r="T528" s="105">
        <v>0</v>
      </c>
      <c r="U528" s="105">
        <v>0</v>
      </c>
      <c r="V528" s="105">
        <v>0</v>
      </c>
      <c r="W528" s="105">
        <v>0</v>
      </c>
      <c r="X528" s="105">
        <v>0</v>
      </c>
      <c r="Y528" s="106">
        <v>8278495.9341400526</v>
      </c>
      <c r="Z528" s="106">
        <v>10269796.916638579</v>
      </c>
      <c r="AA528" s="106">
        <v>14166144.649131974</v>
      </c>
      <c r="AB528" s="108">
        <v>17808530.174447905</v>
      </c>
      <c r="AC528" s="108">
        <v>21311201.737606727</v>
      </c>
      <c r="AD528" s="108">
        <v>24810859.975203365</v>
      </c>
      <c r="AE528" s="108">
        <v>137006369.57653999</v>
      </c>
      <c r="AF528" s="108">
        <v>170126791.66086099</v>
      </c>
      <c r="AG528" s="108">
        <v>316597953.36317706</v>
      </c>
      <c r="AH528" s="108">
        <v>536597635.95952499</v>
      </c>
      <c r="AI528" s="108">
        <v>282880562.53335536</v>
      </c>
      <c r="AJ528" s="108">
        <v>1073583804.7507337</v>
      </c>
      <c r="AK528" s="108">
        <v>160802308.06097692</v>
      </c>
      <c r="AL528" s="108">
        <v>207859957.38328931</v>
      </c>
      <c r="AM528" s="108">
        <v>359074795.01966697</v>
      </c>
      <c r="AN528" s="108">
        <v>594378206.67829323</v>
      </c>
      <c r="AO528" s="108">
        <v>936007230.40558922</v>
      </c>
      <c r="AP528" s="108">
        <v>1127349621.7384403</v>
      </c>
      <c r="AQ528" s="108">
        <v>22093932.885989793</v>
      </c>
      <c r="AR528" s="108">
        <v>28519446.616610721</v>
      </c>
      <c r="AS528" s="108">
        <v>43223461.191055365</v>
      </c>
      <c r="AT528" s="108">
        <v>62751198.141397074</v>
      </c>
      <c r="AU528" s="108">
        <v>97673075.705944762</v>
      </c>
      <c r="AV528" s="108">
        <v>126643992.19650632</v>
      </c>
    </row>
    <row r="529" spans="1:48" x14ac:dyDescent="0.35">
      <c r="A529" s="107">
        <f xml:space="preserve"> ROW( slrImpacts[[#This Row],[row_id]] ) - ROW( slrImpacts[[#Headers],[row_id]] )</f>
        <v>528</v>
      </c>
      <c r="B529" s="104">
        <v>2022</v>
      </c>
      <c r="C529" s="104" t="s">
        <v>221</v>
      </c>
      <c r="D529" s="104" t="s">
        <v>208</v>
      </c>
      <c r="E529" s="104" t="s">
        <v>922</v>
      </c>
      <c r="F529" s="104"/>
      <c r="G529" s="105">
        <v>0</v>
      </c>
      <c r="H529" s="105">
        <v>0</v>
      </c>
      <c r="I529" s="105">
        <v>0</v>
      </c>
      <c r="J529" s="105">
        <v>0</v>
      </c>
      <c r="K529" s="105">
        <v>0</v>
      </c>
      <c r="L529" s="105">
        <v>0</v>
      </c>
      <c r="M529" s="106">
        <v>190727906.07088801</v>
      </c>
      <c r="N529" s="106">
        <v>214959228.986871</v>
      </c>
      <c r="O529" s="106">
        <v>431972090.82536197</v>
      </c>
      <c r="P529" s="106">
        <v>771020017.44964409</v>
      </c>
      <c r="Q529" s="106">
        <v>1206547120.3367078</v>
      </c>
      <c r="R529" s="106">
        <v>1540380960.2010736</v>
      </c>
      <c r="S529" s="105">
        <v>0</v>
      </c>
      <c r="T529" s="105">
        <v>0</v>
      </c>
      <c r="U529" s="105">
        <v>0</v>
      </c>
      <c r="V529" s="105">
        <v>0</v>
      </c>
      <c r="W529" s="105">
        <v>0</v>
      </c>
      <c r="X529" s="105">
        <v>0</v>
      </c>
      <c r="Y529" s="106">
        <v>8474656.1758357231</v>
      </c>
      <c r="Z529" s="106">
        <v>10571049.044526309</v>
      </c>
      <c r="AA529" s="106">
        <v>14727229.754039841</v>
      </c>
      <c r="AB529" s="108">
        <v>18708530.32917735</v>
      </c>
      <c r="AC529" s="108">
        <v>22779186.630855538</v>
      </c>
      <c r="AD529" s="108">
        <v>26926743.360202905</v>
      </c>
      <c r="AE529" s="108">
        <v>142515514.66482666</v>
      </c>
      <c r="AF529" s="108">
        <v>177761264.98286694</v>
      </c>
      <c r="AG529" s="108">
        <v>339736856.61447221</v>
      </c>
      <c r="AH529" s="108">
        <v>587623963.02405775</v>
      </c>
      <c r="AI529" s="108">
        <v>330879362.85186571</v>
      </c>
      <c r="AJ529" s="108">
        <v>1221792716.0102229</v>
      </c>
      <c r="AK529" s="108">
        <v>173875107.48529288</v>
      </c>
      <c r="AL529" s="108">
        <v>228972359.5387426</v>
      </c>
      <c r="AM529" s="108">
        <v>409340846.20708501</v>
      </c>
      <c r="AN529" s="108">
        <v>691704133.86836374</v>
      </c>
      <c r="AO529" s="108">
        <v>1114086818.9788558</v>
      </c>
      <c r="AP529" s="108">
        <v>1366952526.861762</v>
      </c>
      <c r="AQ529" s="108">
        <v>23358731.069324013</v>
      </c>
      <c r="AR529" s="108">
        <v>30370786.526554249</v>
      </c>
      <c r="AS529" s="108">
        <v>47039682.720227882</v>
      </c>
      <c r="AT529" s="108">
        <v>69898917.77358067</v>
      </c>
      <c r="AU529" s="108">
        <v>111072293.01547956</v>
      </c>
      <c r="AV529" s="108">
        <v>146621800.88677767</v>
      </c>
    </row>
    <row r="530" spans="1:48" x14ac:dyDescent="0.35">
      <c r="A530" s="107">
        <f xml:space="preserve"> ROW( slrImpacts[[#This Row],[row_id]] ) - ROW( slrImpacts[[#Headers],[row_id]] )</f>
        <v>529</v>
      </c>
      <c r="B530" s="104">
        <v>2023</v>
      </c>
      <c r="C530" s="104" t="s">
        <v>221</v>
      </c>
      <c r="D530" s="104" t="s">
        <v>208</v>
      </c>
      <c r="E530" s="104" t="s">
        <v>922</v>
      </c>
      <c r="F530" s="104"/>
      <c r="G530" s="105">
        <v>0</v>
      </c>
      <c r="H530" s="105">
        <v>0</v>
      </c>
      <c r="I530" s="105">
        <v>0</v>
      </c>
      <c r="J530" s="105">
        <v>0</v>
      </c>
      <c r="K530" s="105">
        <v>0</v>
      </c>
      <c r="L530" s="105">
        <v>0</v>
      </c>
      <c r="M530" s="106">
        <v>194805111.15061423</v>
      </c>
      <c r="N530" s="106">
        <v>220461137.35926339</v>
      </c>
      <c r="O530" s="106">
        <v>458597484.67262936</v>
      </c>
      <c r="P530" s="106">
        <v>828956955.64021647</v>
      </c>
      <c r="Q530" s="106">
        <v>1317633966.6579945</v>
      </c>
      <c r="R530" s="106">
        <v>1708744504.7115376</v>
      </c>
      <c r="S530" s="105">
        <v>0</v>
      </c>
      <c r="T530" s="105">
        <v>0</v>
      </c>
      <c r="U530" s="105">
        <v>0</v>
      </c>
      <c r="V530" s="105">
        <v>0</v>
      </c>
      <c r="W530" s="105">
        <v>0</v>
      </c>
      <c r="X530" s="105">
        <v>0</v>
      </c>
      <c r="Y530" s="106">
        <v>8672782.045483537</v>
      </c>
      <c r="Z530" s="106">
        <v>10881275.499919552</v>
      </c>
      <c r="AA530" s="106">
        <v>15313893.416972186</v>
      </c>
      <c r="AB530" s="108">
        <v>19666277.742073733</v>
      </c>
      <c r="AC530" s="108">
        <v>24391106.28761556</v>
      </c>
      <c r="AD530" s="108">
        <v>29292294.414178148</v>
      </c>
      <c r="AE530" s="108">
        <v>147771004.4282521</v>
      </c>
      <c r="AF530" s="108">
        <v>184720742.66422027</v>
      </c>
      <c r="AG530" s="108">
        <v>363280608.34721351</v>
      </c>
      <c r="AH530" s="108">
        <v>641687644.7305665</v>
      </c>
      <c r="AI530" s="108">
        <v>385930977.69374979</v>
      </c>
      <c r="AJ530" s="108">
        <v>1388171807.3345466</v>
      </c>
      <c r="AK530" s="108">
        <v>188160825.86221385</v>
      </c>
      <c r="AL530" s="108">
        <v>251958917.72943598</v>
      </c>
      <c r="AM530" s="108">
        <v>465404055.15992737</v>
      </c>
      <c r="AN530" s="108">
        <v>801825677.63393283</v>
      </c>
      <c r="AO530" s="108">
        <v>1314554148.2559595</v>
      </c>
      <c r="AP530" s="108">
        <v>1639681860.4292965</v>
      </c>
      <c r="AQ530" s="108">
        <v>24715845.031037401</v>
      </c>
      <c r="AR530" s="108">
        <v>32302949.341929246</v>
      </c>
      <c r="AS530" s="108">
        <v>51100675.410048999</v>
      </c>
      <c r="AT530" s="108">
        <v>77949512.773603112</v>
      </c>
      <c r="AU530" s="108">
        <v>126349504.30343476</v>
      </c>
      <c r="AV530" s="108">
        <v>169679969.2260401</v>
      </c>
    </row>
    <row r="531" spans="1:48" x14ac:dyDescent="0.35">
      <c r="A531" s="107">
        <f xml:space="preserve"> ROW( slrImpacts[[#This Row],[row_id]] ) - ROW( slrImpacts[[#Headers],[row_id]] )</f>
        <v>530</v>
      </c>
      <c r="B531" s="104">
        <v>2024</v>
      </c>
      <c r="C531" s="104" t="s">
        <v>221</v>
      </c>
      <c r="D531" s="104" t="s">
        <v>208</v>
      </c>
      <c r="E531" s="104" t="s">
        <v>922</v>
      </c>
      <c r="F531" s="104"/>
      <c r="G531" s="105">
        <v>0</v>
      </c>
      <c r="H531" s="105">
        <v>0</v>
      </c>
      <c r="I531" s="105">
        <v>0</v>
      </c>
      <c r="J531" s="105">
        <v>0</v>
      </c>
      <c r="K531" s="105">
        <v>0</v>
      </c>
      <c r="L531" s="105">
        <v>0</v>
      </c>
      <c r="M531" s="106">
        <v>198983126.75260177</v>
      </c>
      <c r="N531" s="106">
        <v>226058904.12946332</v>
      </c>
      <c r="O531" s="106">
        <v>486569115.24591941</v>
      </c>
      <c r="P531" s="106">
        <v>890842849.99207044</v>
      </c>
      <c r="Q531" s="106">
        <v>1434694104.0443828</v>
      </c>
      <c r="R531" s="106">
        <v>1889860051.0201938</v>
      </c>
      <c r="S531" s="105">
        <v>0</v>
      </c>
      <c r="T531" s="105">
        <v>0</v>
      </c>
      <c r="U531" s="105">
        <v>0</v>
      </c>
      <c r="V531" s="105">
        <v>0</v>
      </c>
      <c r="W531" s="105">
        <v>0</v>
      </c>
      <c r="X531" s="105">
        <v>0</v>
      </c>
      <c r="Y531" s="106">
        <v>8876021.3353606742</v>
      </c>
      <c r="Z531" s="106">
        <v>11199429.418998962</v>
      </c>
      <c r="AA531" s="106">
        <v>15927496.057023535</v>
      </c>
      <c r="AB531" s="108">
        <v>20683663.28422014</v>
      </c>
      <c r="AC531" s="108">
        <v>26157635.966988843</v>
      </c>
      <c r="AD531" s="108">
        <v>31932318.449032445</v>
      </c>
      <c r="AE531" s="108">
        <v>152578008.85588014</v>
      </c>
      <c r="AF531" s="108">
        <v>191447159.47624266</v>
      </c>
      <c r="AG531" s="108">
        <v>386375042.7558912</v>
      </c>
      <c r="AH531" s="108">
        <v>696059404.34709632</v>
      </c>
      <c r="AI531" s="108">
        <v>447580926.47858906</v>
      </c>
      <c r="AJ531" s="108">
        <v>1572473036.8831518</v>
      </c>
      <c r="AK531" s="108">
        <v>203219722.8225731</v>
      </c>
      <c r="AL531" s="108">
        <v>276684001.24507147</v>
      </c>
      <c r="AM531" s="108">
        <v>527358186.71099162</v>
      </c>
      <c r="AN531" s="108">
        <v>921205806.69955325</v>
      </c>
      <c r="AO531" s="108">
        <v>1541200736.9400761</v>
      </c>
      <c r="AP531" s="108">
        <v>1946675102.7583909</v>
      </c>
      <c r="AQ531" s="108">
        <v>26159144.267129425</v>
      </c>
      <c r="AR531" s="108">
        <v>34283589.180845283</v>
      </c>
      <c r="AS531" s="108">
        <v>55513976.543250978</v>
      </c>
      <c r="AT531" s="108">
        <v>86971042.238775954</v>
      </c>
      <c r="AU531" s="108">
        <v>143671312.45769817</v>
      </c>
      <c r="AV531" s="108">
        <v>196161156.42532763</v>
      </c>
    </row>
    <row r="532" spans="1:48" x14ac:dyDescent="0.35">
      <c r="A532" s="107">
        <f xml:space="preserve"> ROW( slrImpacts[[#This Row],[row_id]] ) - ROW( slrImpacts[[#Headers],[row_id]] )</f>
        <v>531</v>
      </c>
      <c r="B532" s="104">
        <v>2025</v>
      </c>
      <c r="C532" s="104" t="s">
        <v>221</v>
      </c>
      <c r="D532" s="104" t="s">
        <v>208</v>
      </c>
      <c r="E532" s="104" t="s">
        <v>922</v>
      </c>
      <c r="F532" s="104"/>
      <c r="G532" s="105">
        <v>0</v>
      </c>
      <c r="H532" s="105">
        <v>0</v>
      </c>
      <c r="I532" s="105">
        <v>0</v>
      </c>
      <c r="J532" s="105">
        <v>0</v>
      </c>
      <c r="K532" s="105">
        <v>0</v>
      </c>
      <c r="L532" s="105">
        <v>0</v>
      </c>
      <c r="M532" s="106">
        <v>203287254.45171237</v>
      </c>
      <c r="N532" s="106">
        <v>232076021.06618363</v>
      </c>
      <c r="O532" s="106">
        <v>514680936.73707885</v>
      </c>
      <c r="P532" s="106">
        <v>954328193.83969831</v>
      </c>
      <c r="Q532" s="106">
        <v>1554186498.2535131</v>
      </c>
      <c r="R532" s="106">
        <v>2076904417.2021546</v>
      </c>
      <c r="S532" s="105">
        <v>0</v>
      </c>
      <c r="T532" s="105">
        <v>0</v>
      </c>
      <c r="U532" s="105">
        <v>0</v>
      </c>
      <c r="V532" s="105">
        <v>0</v>
      </c>
      <c r="W532" s="105">
        <v>0</v>
      </c>
      <c r="X532" s="105">
        <v>0</v>
      </c>
      <c r="Y532" s="106">
        <v>9089360.8414195161</v>
      </c>
      <c r="Z532" s="106">
        <v>11529591.3495805</v>
      </c>
      <c r="AA532" s="106">
        <v>16567986.769190872</v>
      </c>
      <c r="AB532" s="108">
        <v>21756861.08237445</v>
      </c>
      <c r="AC532" s="108">
        <v>28073194.247318979</v>
      </c>
      <c r="AD532" s="108">
        <v>34850992.467985585</v>
      </c>
      <c r="AE532" s="108">
        <v>157093930.00853151</v>
      </c>
      <c r="AF532" s="108">
        <v>197416293.69367269</v>
      </c>
      <c r="AG532" s="108">
        <v>410854803.86570591</v>
      </c>
      <c r="AH532" s="108">
        <v>755151599.48632038</v>
      </c>
      <c r="AI532" s="108">
        <v>517218044.49868059</v>
      </c>
      <c r="AJ532" s="108">
        <v>1764612164.9432483</v>
      </c>
      <c r="AK532" s="108">
        <v>218727752.5602594</v>
      </c>
      <c r="AL532" s="108">
        <v>303792283.45766348</v>
      </c>
      <c r="AM532" s="108">
        <v>595399732.55290878</v>
      </c>
      <c r="AN532" s="108">
        <v>1045573554.8281888</v>
      </c>
      <c r="AO532" s="108">
        <v>1788584297.9035246</v>
      </c>
      <c r="AP532" s="108">
        <v>2300589697.8919353</v>
      </c>
      <c r="AQ532" s="108">
        <v>27690688.408082396</v>
      </c>
      <c r="AR532" s="108">
        <v>36328956.283359282</v>
      </c>
      <c r="AS532" s="108">
        <v>60281676.983890302</v>
      </c>
      <c r="AT532" s="108">
        <v>97047939.348848656</v>
      </c>
      <c r="AU532" s="108">
        <v>163247541.41395435</v>
      </c>
      <c r="AV532" s="108">
        <v>226433795.01226377</v>
      </c>
    </row>
    <row r="533" spans="1:48" x14ac:dyDescent="0.35">
      <c r="A533" s="107">
        <f xml:space="preserve"> ROW( slrImpacts[[#This Row],[row_id]] ) - ROW( slrImpacts[[#Headers],[row_id]] )</f>
        <v>532</v>
      </c>
      <c r="B533" s="104">
        <v>2026</v>
      </c>
      <c r="C533" s="104" t="s">
        <v>221</v>
      </c>
      <c r="D533" s="104" t="s">
        <v>208</v>
      </c>
      <c r="E533" s="104" t="s">
        <v>922</v>
      </c>
      <c r="F533" s="104"/>
      <c r="G533" s="105">
        <v>0</v>
      </c>
      <c r="H533" s="105">
        <v>0</v>
      </c>
      <c r="I533" s="105">
        <v>0</v>
      </c>
      <c r="J533" s="105">
        <v>0</v>
      </c>
      <c r="K533" s="105">
        <v>0</v>
      </c>
      <c r="L533" s="105">
        <v>0</v>
      </c>
      <c r="M533" s="106">
        <v>207528826.77811873</v>
      </c>
      <c r="N533" s="106">
        <v>238664008.46645212</v>
      </c>
      <c r="O533" s="106">
        <v>542401946.52138066</v>
      </c>
      <c r="P533" s="106">
        <v>1018365657.3635954</v>
      </c>
      <c r="Q533" s="106">
        <v>1676304342.9150636</v>
      </c>
      <c r="R533" s="106">
        <v>2285795045.4474025</v>
      </c>
      <c r="S533" s="105">
        <v>0</v>
      </c>
      <c r="T533" s="105">
        <v>0</v>
      </c>
      <c r="U533" s="105">
        <v>0</v>
      </c>
      <c r="V533" s="105">
        <v>0</v>
      </c>
      <c r="W533" s="105">
        <v>0</v>
      </c>
      <c r="X533" s="105">
        <v>0</v>
      </c>
      <c r="Y533" s="106">
        <v>9310105.0623067133</v>
      </c>
      <c r="Z533" s="106">
        <v>11870913.445137125</v>
      </c>
      <c r="AA533" s="106">
        <v>17252476.417497683</v>
      </c>
      <c r="AB533" s="108">
        <v>22959093.520231765</v>
      </c>
      <c r="AC533" s="108">
        <v>30293112.202576417</v>
      </c>
      <c r="AD533" s="108">
        <v>38255846.17132508</v>
      </c>
      <c r="AE533" s="108">
        <v>161238063.09195566</v>
      </c>
      <c r="AF533" s="108">
        <v>203804331.9934833</v>
      </c>
      <c r="AG533" s="108">
        <v>435393481.45151848</v>
      </c>
      <c r="AH533" s="108">
        <v>819016992.56185794</v>
      </c>
      <c r="AI533" s="108">
        <v>597629422.67143035</v>
      </c>
      <c r="AJ533" s="108">
        <v>1976559462.1905704</v>
      </c>
      <c r="AK533" s="108">
        <v>235937594.3741267</v>
      </c>
      <c r="AL533" s="108">
        <v>333687898.34312421</v>
      </c>
      <c r="AM533" s="108">
        <v>666810764.67434657</v>
      </c>
      <c r="AN533" s="108">
        <v>1187088224.8797481</v>
      </c>
      <c r="AO533" s="108">
        <v>2070058481.3733361</v>
      </c>
      <c r="AP533" s="108">
        <v>2696941534.0615621</v>
      </c>
      <c r="AQ533" s="108">
        <v>29315881.013259046</v>
      </c>
      <c r="AR533" s="108">
        <v>38475471.071026787</v>
      </c>
      <c r="AS533" s="108">
        <v>65553125.975314654</v>
      </c>
      <c r="AT533" s="108">
        <v>108935413.47600234</v>
      </c>
      <c r="AU533" s="108">
        <v>187022021.54782969</v>
      </c>
      <c r="AV533" s="108">
        <v>263789714.03172335</v>
      </c>
    </row>
    <row r="534" spans="1:48" x14ac:dyDescent="0.35">
      <c r="A534" s="107">
        <f xml:space="preserve"> ROW( slrImpacts[[#This Row],[row_id]] ) - ROW( slrImpacts[[#Headers],[row_id]] )</f>
        <v>533</v>
      </c>
      <c r="B534" s="104">
        <v>2027</v>
      </c>
      <c r="C534" s="104" t="s">
        <v>221</v>
      </c>
      <c r="D534" s="104" t="s">
        <v>208</v>
      </c>
      <c r="E534" s="104" t="s">
        <v>922</v>
      </c>
      <c r="F534" s="104"/>
      <c r="G534" s="105">
        <v>0</v>
      </c>
      <c r="H534" s="105">
        <v>0</v>
      </c>
      <c r="I534" s="105">
        <v>0</v>
      </c>
      <c r="J534" s="105">
        <v>0</v>
      </c>
      <c r="K534" s="105">
        <v>0</v>
      </c>
      <c r="L534" s="105">
        <v>0</v>
      </c>
      <c r="M534" s="106">
        <v>211228877.95805523</v>
      </c>
      <c r="N534" s="106">
        <v>245602945.41610849</v>
      </c>
      <c r="O534" s="106">
        <v>570472022.24067199</v>
      </c>
      <c r="P534" s="106">
        <v>1085138455.8720176</v>
      </c>
      <c r="Q534" s="106">
        <v>1801021352.3133214</v>
      </c>
      <c r="R534" s="106">
        <v>2510825938.5105424</v>
      </c>
      <c r="S534" s="105">
        <v>0</v>
      </c>
      <c r="T534" s="105">
        <v>0</v>
      </c>
      <c r="U534" s="105">
        <v>0</v>
      </c>
      <c r="V534" s="105">
        <v>0</v>
      </c>
      <c r="W534" s="105">
        <v>0</v>
      </c>
      <c r="X534" s="105">
        <v>0</v>
      </c>
      <c r="Y534" s="106">
        <v>9535820.9845280778</v>
      </c>
      <c r="Z534" s="106">
        <v>12218321.637307782</v>
      </c>
      <c r="AA534" s="106">
        <v>17974821.809581537</v>
      </c>
      <c r="AB534" s="108">
        <v>24282020.012849044</v>
      </c>
      <c r="AC534" s="108">
        <v>32795900.258320924</v>
      </c>
      <c r="AD534" s="108">
        <v>42107772.603908658</v>
      </c>
      <c r="AE534" s="108">
        <v>165717887.02789438</v>
      </c>
      <c r="AF534" s="108">
        <v>211008490.5280717</v>
      </c>
      <c r="AG534" s="108">
        <v>461119893.85531551</v>
      </c>
      <c r="AH534" s="108">
        <v>889750572.37787652</v>
      </c>
      <c r="AI534" s="108">
        <v>684742660.85920393</v>
      </c>
      <c r="AJ534" s="108">
        <v>2155321933.4532332</v>
      </c>
      <c r="AK534" s="108">
        <v>255235499.55183643</v>
      </c>
      <c r="AL534" s="108">
        <v>367275903.13856453</v>
      </c>
      <c r="AM534" s="108">
        <v>740899711.8233341</v>
      </c>
      <c r="AN534" s="108">
        <v>1343155357.2466705</v>
      </c>
      <c r="AO534" s="108">
        <v>2317551850.6857572</v>
      </c>
      <c r="AP534" s="108">
        <v>3056413949.9875865</v>
      </c>
      <c r="AQ534" s="108">
        <v>31025499.771881178</v>
      </c>
      <c r="AR534" s="108">
        <v>40808577.495671384</v>
      </c>
      <c r="AS534" s="108">
        <v>71328364.33011654</v>
      </c>
      <c r="AT534" s="108">
        <v>122422635.60477102</v>
      </c>
      <c r="AU534" s="108">
        <v>215308348.64302835</v>
      </c>
      <c r="AV534" s="108">
        <v>308958579.14473015</v>
      </c>
    </row>
    <row r="535" spans="1:48" x14ac:dyDescent="0.35">
      <c r="A535" s="107">
        <f xml:space="preserve"> ROW( slrImpacts[[#This Row],[row_id]] ) - ROW( slrImpacts[[#Headers],[row_id]] )</f>
        <v>534</v>
      </c>
      <c r="B535" s="104">
        <v>2028</v>
      </c>
      <c r="C535" s="104" t="s">
        <v>221</v>
      </c>
      <c r="D535" s="104" t="s">
        <v>208</v>
      </c>
      <c r="E535" s="104" t="s">
        <v>922</v>
      </c>
      <c r="F535" s="104"/>
      <c r="G535" s="105">
        <v>0</v>
      </c>
      <c r="H535" s="105">
        <v>0</v>
      </c>
      <c r="I535" s="105">
        <v>0</v>
      </c>
      <c r="J535" s="105">
        <v>0</v>
      </c>
      <c r="K535" s="105">
        <v>0</v>
      </c>
      <c r="L535" s="105">
        <v>0</v>
      </c>
      <c r="M535" s="106">
        <v>215163602.01165968</v>
      </c>
      <c r="N535" s="106">
        <v>252312848.18783826</v>
      </c>
      <c r="O535" s="106">
        <v>599139203.36356568</v>
      </c>
      <c r="P535" s="106">
        <v>1155600464.3013265</v>
      </c>
      <c r="Q535" s="106">
        <v>1931413996.2653089</v>
      </c>
      <c r="R535" s="106">
        <v>2709297704.199996</v>
      </c>
      <c r="S535" s="105">
        <v>0</v>
      </c>
      <c r="T535" s="105">
        <v>0</v>
      </c>
      <c r="U535" s="105">
        <v>0</v>
      </c>
      <c r="V535" s="105">
        <v>0</v>
      </c>
      <c r="W535" s="105">
        <v>0</v>
      </c>
      <c r="X535" s="105">
        <v>0</v>
      </c>
      <c r="Y535" s="106">
        <v>9764044.8767556306</v>
      </c>
      <c r="Z535" s="106">
        <v>12569740.081759082</v>
      </c>
      <c r="AA535" s="106">
        <v>18738417.130888674</v>
      </c>
      <c r="AB535" s="108">
        <v>25736197.551222969</v>
      </c>
      <c r="AC535" s="108">
        <v>35623075.87907733</v>
      </c>
      <c r="AD535" s="108">
        <v>46476217.988758042</v>
      </c>
      <c r="AE535" s="108">
        <v>170048550.65222511</v>
      </c>
      <c r="AF535" s="108">
        <v>218187600.02905226</v>
      </c>
      <c r="AG535" s="108">
        <v>487500574.36800855</v>
      </c>
      <c r="AH535" s="108">
        <v>960157829.71728194</v>
      </c>
      <c r="AI535" s="108">
        <v>778266665.96279263</v>
      </c>
      <c r="AJ535" s="108">
        <v>2318481950.8014894</v>
      </c>
      <c r="AK535" s="108">
        <v>276820124.13373536</v>
      </c>
      <c r="AL535" s="108">
        <v>401725463.51045936</v>
      </c>
      <c r="AM535" s="108">
        <v>822148053.10361266</v>
      </c>
      <c r="AN535" s="108">
        <v>1495766124.548039</v>
      </c>
      <c r="AO535" s="108">
        <v>2566614552.0703068</v>
      </c>
      <c r="AP535" s="108">
        <v>3424255054.0495214</v>
      </c>
      <c r="AQ535" s="108">
        <v>32773701.011906736</v>
      </c>
      <c r="AR535" s="108">
        <v>43242031.318420939</v>
      </c>
      <c r="AS535" s="108">
        <v>77655101.283394963</v>
      </c>
      <c r="AT535" s="108">
        <v>137874208.70491907</v>
      </c>
      <c r="AU535" s="108">
        <v>247631580.25979102</v>
      </c>
      <c r="AV535" s="108">
        <v>361276810.79572463</v>
      </c>
    </row>
    <row r="536" spans="1:48" x14ac:dyDescent="0.35">
      <c r="A536" s="107">
        <f xml:space="preserve"> ROW( slrImpacts[[#This Row],[row_id]] ) - ROW( slrImpacts[[#Headers],[row_id]] )</f>
        <v>535</v>
      </c>
      <c r="B536" s="104">
        <v>2029</v>
      </c>
      <c r="C536" s="104" t="s">
        <v>221</v>
      </c>
      <c r="D536" s="104" t="s">
        <v>208</v>
      </c>
      <c r="E536" s="104" t="s">
        <v>922</v>
      </c>
      <c r="F536" s="104"/>
      <c r="G536" s="105">
        <v>0</v>
      </c>
      <c r="H536" s="105">
        <v>0</v>
      </c>
      <c r="I536" s="105">
        <v>0</v>
      </c>
      <c r="J536" s="105">
        <v>0</v>
      </c>
      <c r="K536" s="105">
        <v>0</v>
      </c>
      <c r="L536" s="105">
        <v>0</v>
      </c>
      <c r="M536" s="106">
        <v>218705223.83701143</v>
      </c>
      <c r="N536" s="106">
        <v>258653877.53966862</v>
      </c>
      <c r="O536" s="106">
        <v>628692001.38363147</v>
      </c>
      <c r="P536" s="106">
        <v>1227641309.0887744</v>
      </c>
      <c r="Q536" s="106">
        <v>2053346953.9226894</v>
      </c>
      <c r="R536" s="106">
        <v>2896884876.2238441</v>
      </c>
      <c r="S536" s="105">
        <v>0</v>
      </c>
      <c r="T536" s="105">
        <v>0</v>
      </c>
      <c r="U536" s="105">
        <v>0</v>
      </c>
      <c r="V536" s="105">
        <v>0</v>
      </c>
      <c r="W536" s="105">
        <v>0</v>
      </c>
      <c r="X536" s="105">
        <v>0</v>
      </c>
      <c r="Y536" s="106">
        <v>9994680.5735211689</v>
      </c>
      <c r="Z536" s="106">
        <v>12927709.890720399</v>
      </c>
      <c r="AA536" s="106">
        <v>19544191.463427704</v>
      </c>
      <c r="AB536" s="108">
        <v>27335185.501236688</v>
      </c>
      <c r="AC536" s="108">
        <v>38802076.04534626</v>
      </c>
      <c r="AD536" s="108">
        <v>51407634.931267187</v>
      </c>
      <c r="AE536" s="108">
        <v>175238322.02023092</v>
      </c>
      <c r="AF536" s="108">
        <v>226082136.02113521</v>
      </c>
      <c r="AG536" s="108">
        <v>517678623.06161898</v>
      </c>
      <c r="AH536" s="108">
        <v>1019445011.8356724</v>
      </c>
      <c r="AI536" s="108">
        <v>879821822.08747101</v>
      </c>
      <c r="AJ536" s="108">
        <v>2486502208.465169</v>
      </c>
      <c r="AK536" s="108">
        <v>299890076.2761808</v>
      </c>
      <c r="AL536" s="108">
        <v>435702258.25601834</v>
      </c>
      <c r="AM536" s="108">
        <v>910976643.42670953</v>
      </c>
      <c r="AN536" s="108">
        <v>1634035434.2769573</v>
      </c>
      <c r="AO536" s="108">
        <v>2836460406.4468813</v>
      </c>
      <c r="AP536" s="108">
        <v>3812134266.1442065</v>
      </c>
      <c r="AQ536" s="108">
        <v>34572572.546434797</v>
      </c>
      <c r="AR536" s="108">
        <v>45776055.449163117</v>
      </c>
      <c r="AS536" s="108">
        <v>84475221.154859021</v>
      </c>
      <c r="AT536" s="108">
        <v>155208422.557825</v>
      </c>
      <c r="AU536" s="108">
        <v>283937698.51739955</v>
      </c>
      <c r="AV536" s="108">
        <v>420582635.57856011</v>
      </c>
    </row>
    <row r="537" spans="1:48" x14ac:dyDescent="0.35">
      <c r="A537" s="107">
        <f xml:space="preserve"> ROW( slrImpacts[[#This Row],[row_id]] ) - ROW( slrImpacts[[#Headers],[row_id]] )</f>
        <v>536</v>
      </c>
      <c r="B537" s="104">
        <v>2030</v>
      </c>
      <c r="C537" s="104" t="s">
        <v>221</v>
      </c>
      <c r="D537" s="104" t="s">
        <v>208</v>
      </c>
      <c r="E537" s="104" t="s">
        <v>922</v>
      </c>
      <c r="F537" s="104"/>
      <c r="G537" s="105">
        <v>0</v>
      </c>
      <c r="H537" s="105">
        <v>0</v>
      </c>
      <c r="I537" s="105">
        <v>0</v>
      </c>
      <c r="J537" s="105">
        <v>0</v>
      </c>
      <c r="K537" s="105">
        <v>0</v>
      </c>
      <c r="L537" s="105">
        <v>0</v>
      </c>
      <c r="M537" s="106">
        <v>222107712.72520131</v>
      </c>
      <c r="N537" s="106">
        <v>265080898.53352863</v>
      </c>
      <c r="O537" s="106">
        <v>658367969.99760675</v>
      </c>
      <c r="P537" s="106">
        <v>1298608622.4823802</v>
      </c>
      <c r="Q537" s="106">
        <v>2164654129.872366</v>
      </c>
      <c r="R537" s="106">
        <v>3080122869.0573196</v>
      </c>
      <c r="S537" s="105">
        <v>0</v>
      </c>
      <c r="T537" s="105">
        <v>0</v>
      </c>
      <c r="U537" s="105">
        <v>0</v>
      </c>
      <c r="V537" s="105">
        <v>0</v>
      </c>
      <c r="W537" s="105">
        <v>0</v>
      </c>
      <c r="X537" s="105">
        <v>0</v>
      </c>
      <c r="Y537" s="106">
        <v>10228850.824727852</v>
      </c>
      <c r="Z537" s="106">
        <v>13292696.437152881</v>
      </c>
      <c r="AA537" s="106">
        <v>20397891.48104924</v>
      </c>
      <c r="AB537" s="108">
        <v>29087467.225039031</v>
      </c>
      <c r="AC537" s="108">
        <v>42368202.344083004</v>
      </c>
      <c r="AD537" s="108">
        <v>56973013.999456935</v>
      </c>
      <c r="AE537" s="108">
        <v>180571913.47535557</v>
      </c>
      <c r="AF537" s="108">
        <v>234833650.8924979</v>
      </c>
      <c r="AG537" s="108">
        <v>549490358.28660989</v>
      </c>
      <c r="AH537" s="108">
        <v>1078004861.9234133</v>
      </c>
      <c r="AI537" s="108">
        <v>990112992.33684254</v>
      </c>
      <c r="AJ537" s="108">
        <v>2647989029.1688995</v>
      </c>
      <c r="AK537" s="108">
        <v>324973678.08939296</v>
      </c>
      <c r="AL537" s="108">
        <v>472013364.37054884</v>
      </c>
      <c r="AM537" s="108">
        <v>1006851884.0129822</v>
      </c>
      <c r="AN537" s="108">
        <v>1779683370.9706039</v>
      </c>
      <c r="AO537" s="108">
        <v>3096266464.2111659</v>
      </c>
      <c r="AP537" s="108">
        <v>3978330926.9621401</v>
      </c>
      <c r="AQ537" s="108">
        <v>36442549.911816098</v>
      </c>
      <c r="AR537" s="108">
        <v>48443995.550864071</v>
      </c>
      <c r="AS537" s="108">
        <v>91902712.128871277</v>
      </c>
      <c r="AT537" s="108">
        <v>174106183.33519143</v>
      </c>
      <c r="AU537" s="108">
        <v>325070274.88529921</v>
      </c>
      <c r="AV537" s="108">
        <v>487715409.28842908</v>
      </c>
    </row>
    <row r="538" spans="1:48" x14ac:dyDescent="0.35">
      <c r="A538" s="107">
        <f xml:space="preserve"> ROW( slrImpacts[[#This Row],[row_id]] ) - ROW( slrImpacts[[#Headers],[row_id]] )</f>
        <v>537</v>
      </c>
      <c r="B538" s="104">
        <v>2031</v>
      </c>
      <c r="C538" s="104" t="s">
        <v>221</v>
      </c>
      <c r="D538" s="104" t="s">
        <v>208</v>
      </c>
      <c r="E538" s="104" t="s">
        <v>922</v>
      </c>
      <c r="F538" s="104"/>
      <c r="G538" s="105">
        <v>0</v>
      </c>
      <c r="H538" s="105">
        <v>0</v>
      </c>
      <c r="I538" s="105">
        <v>0</v>
      </c>
      <c r="J538" s="105">
        <v>0</v>
      </c>
      <c r="K538" s="105">
        <v>0</v>
      </c>
      <c r="L538" s="105">
        <v>0</v>
      </c>
      <c r="M538" s="106">
        <v>225556958.93093237</v>
      </c>
      <c r="N538" s="106">
        <v>271515150.9352538</v>
      </c>
      <c r="O538" s="106">
        <v>687982186.7921195</v>
      </c>
      <c r="P538" s="106">
        <v>1371347568.1192372</v>
      </c>
      <c r="Q538" s="106">
        <v>2281195443.4298267</v>
      </c>
      <c r="R538" s="106">
        <v>3252113795.9148574</v>
      </c>
      <c r="S538" s="105">
        <v>0</v>
      </c>
      <c r="T538" s="105">
        <v>0</v>
      </c>
      <c r="U538" s="105">
        <v>0</v>
      </c>
      <c r="V538" s="105">
        <v>0</v>
      </c>
      <c r="W538" s="105">
        <v>0</v>
      </c>
      <c r="X538" s="105">
        <v>0</v>
      </c>
      <c r="Y538" s="106">
        <v>10465755.298436273</v>
      </c>
      <c r="Z538" s="106">
        <v>13661348.36985391</v>
      </c>
      <c r="AA538" s="106">
        <v>21296353.351950642</v>
      </c>
      <c r="AB538" s="108">
        <v>31001002.120897144</v>
      </c>
      <c r="AC538" s="108">
        <v>46357477.816736899</v>
      </c>
      <c r="AD538" s="108">
        <v>63226353.721663378</v>
      </c>
      <c r="AE538" s="108">
        <v>186754523.33829379</v>
      </c>
      <c r="AF538" s="108">
        <v>244907098.4643313</v>
      </c>
      <c r="AG538" s="108">
        <v>584736523.91345084</v>
      </c>
      <c r="AH538" s="108">
        <v>1132167812.1308911</v>
      </c>
      <c r="AI538" s="108">
        <v>1102913470.0333755</v>
      </c>
      <c r="AJ538" s="108">
        <v>2807748053.5775337</v>
      </c>
      <c r="AK538" s="108">
        <v>351473763.84591752</v>
      </c>
      <c r="AL538" s="108">
        <v>510072760.85620415</v>
      </c>
      <c r="AM538" s="108">
        <v>1092001111.965297</v>
      </c>
      <c r="AN538" s="108">
        <v>1935138990.4072127</v>
      </c>
      <c r="AO538" s="108">
        <v>3165358828.2471209</v>
      </c>
      <c r="AP538" s="108">
        <v>4061288922.4349828</v>
      </c>
      <c r="AQ538" s="108">
        <v>38393249.512081467</v>
      </c>
      <c r="AR538" s="108">
        <v>51186815.794822216</v>
      </c>
      <c r="AS538" s="108">
        <v>99962890.592690185</v>
      </c>
      <c r="AT538" s="108">
        <v>194636645.97921222</v>
      </c>
      <c r="AU538" s="108">
        <v>372636272.41809314</v>
      </c>
      <c r="AV538" s="108">
        <v>566028843.09091508</v>
      </c>
    </row>
    <row r="539" spans="1:48" x14ac:dyDescent="0.35">
      <c r="A539" s="107">
        <f xml:space="preserve"> ROW( slrImpacts[[#This Row],[row_id]] ) - ROW( slrImpacts[[#Headers],[row_id]] )</f>
        <v>538</v>
      </c>
      <c r="B539" s="104">
        <v>2032</v>
      </c>
      <c r="C539" s="104" t="s">
        <v>221</v>
      </c>
      <c r="D539" s="104" t="s">
        <v>208</v>
      </c>
      <c r="E539" s="104" t="s">
        <v>922</v>
      </c>
      <c r="F539" s="104"/>
      <c r="G539" s="105">
        <v>0</v>
      </c>
      <c r="H539" s="105">
        <v>0</v>
      </c>
      <c r="I539" s="105">
        <v>0</v>
      </c>
      <c r="J539" s="105">
        <v>0</v>
      </c>
      <c r="K539" s="105">
        <v>0</v>
      </c>
      <c r="L539" s="105">
        <v>0</v>
      </c>
      <c r="M539" s="106">
        <v>229104599.68298817</v>
      </c>
      <c r="N539" s="106">
        <v>278086086.57669818</v>
      </c>
      <c r="O539" s="106">
        <v>718813420.35402584</v>
      </c>
      <c r="P539" s="106">
        <v>1441721943.9613378</v>
      </c>
      <c r="Q539" s="106">
        <v>2401763285.8771977</v>
      </c>
      <c r="R539" s="106">
        <v>3412682374.8989463</v>
      </c>
      <c r="S539" s="105">
        <v>0</v>
      </c>
      <c r="T539" s="105">
        <v>0</v>
      </c>
      <c r="U539" s="105">
        <v>0</v>
      </c>
      <c r="V539" s="105">
        <v>0</v>
      </c>
      <c r="W539" s="105">
        <v>0</v>
      </c>
      <c r="X539" s="105">
        <v>0</v>
      </c>
      <c r="Y539" s="106">
        <v>10707899.937277351</v>
      </c>
      <c r="Z539" s="106">
        <v>14037374.195583219</v>
      </c>
      <c r="AA539" s="106">
        <v>22249494.607459798</v>
      </c>
      <c r="AB539" s="108">
        <v>33092379.774739318</v>
      </c>
      <c r="AC539" s="108">
        <v>50816000.672516815</v>
      </c>
      <c r="AD539" s="108">
        <v>70259609.040233642</v>
      </c>
      <c r="AE539" s="108">
        <v>192781400.30389777</v>
      </c>
      <c r="AF539" s="108">
        <v>254842353.5927057</v>
      </c>
      <c r="AG539" s="108">
        <v>611693183.68856776</v>
      </c>
      <c r="AH539" s="108">
        <v>1191114780.1401954</v>
      </c>
      <c r="AI539" s="108">
        <v>1216505090.808188</v>
      </c>
      <c r="AJ539" s="108">
        <v>2955527720.9574504</v>
      </c>
      <c r="AK539" s="108">
        <v>379034071.02598059</v>
      </c>
      <c r="AL539" s="108">
        <v>552384526.07953656</v>
      </c>
      <c r="AM539" s="108">
        <v>1171231959.364537</v>
      </c>
      <c r="AN539" s="108">
        <v>2092280737.0920339</v>
      </c>
      <c r="AO539" s="108">
        <v>3198141602.6335044</v>
      </c>
      <c r="AP539" s="108">
        <v>4111288170.1481934</v>
      </c>
      <c r="AQ539" s="108">
        <v>40430856.517704889</v>
      </c>
      <c r="AR539" s="108">
        <v>54116758.301409364</v>
      </c>
      <c r="AS539" s="108">
        <v>108869073.30794966</v>
      </c>
      <c r="AT539" s="108">
        <v>217802734.67881814</v>
      </c>
      <c r="AU539" s="108">
        <v>426320237.53044164</v>
      </c>
      <c r="AV539" s="108">
        <v>656103986.78780878</v>
      </c>
    </row>
    <row r="540" spans="1:48" x14ac:dyDescent="0.35">
      <c r="A540" s="107">
        <f xml:space="preserve"> ROW( slrImpacts[[#This Row],[row_id]] ) - ROW( slrImpacts[[#Headers],[row_id]] )</f>
        <v>539</v>
      </c>
      <c r="B540" s="104">
        <v>2033</v>
      </c>
      <c r="C540" s="104" t="s">
        <v>221</v>
      </c>
      <c r="D540" s="104" t="s">
        <v>208</v>
      </c>
      <c r="E540" s="104" t="s">
        <v>922</v>
      </c>
      <c r="F540" s="104"/>
      <c r="G540" s="105">
        <v>0</v>
      </c>
      <c r="H540" s="105">
        <v>0</v>
      </c>
      <c r="I540" s="105">
        <v>0</v>
      </c>
      <c r="J540" s="105">
        <v>0</v>
      </c>
      <c r="K540" s="105">
        <v>0</v>
      </c>
      <c r="L540" s="105">
        <v>0</v>
      </c>
      <c r="M540" s="106">
        <v>232478595.77345538</v>
      </c>
      <c r="N540" s="106">
        <v>285054120.20288396</v>
      </c>
      <c r="O540" s="106">
        <v>750610311.4773196</v>
      </c>
      <c r="P540" s="106">
        <v>1504388721.9887369</v>
      </c>
      <c r="Q540" s="106">
        <v>2515563558.1359277</v>
      </c>
      <c r="R540" s="106">
        <v>3566412401.0546679</v>
      </c>
      <c r="S540" s="105">
        <v>0</v>
      </c>
      <c r="T540" s="105">
        <v>0</v>
      </c>
      <c r="U540" s="105">
        <v>0</v>
      </c>
      <c r="V540" s="105">
        <v>0</v>
      </c>
      <c r="W540" s="105">
        <v>0</v>
      </c>
      <c r="X540" s="105">
        <v>0</v>
      </c>
      <c r="Y540" s="106">
        <v>10956550.096042674</v>
      </c>
      <c r="Z540" s="106">
        <v>14417737.612053739</v>
      </c>
      <c r="AA540" s="106">
        <v>23254529.952489655</v>
      </c>
      <c r="AB540" s="108">
        <v>35368738.120794736</v>
      </c>
      <c r="AC540" s="108">
        <v>55795772.427245893</v>
      </c>
      <c r="AD540" s="108">
        <v>78162037.766278103</v>
      </c>
      <c r="AE540" s="108">
        <v>199362917.73827186</v>
      </c>
      <c r="AF540" s="108">
        <v>266813083.91396335</v>
      </c>
      <c r="AG540" s="108">
        <v>638010589.04129052</v>
      </c>
      <c r="AH540" s="108">
        <v>1245201075.6297674</v>
      </c>
      <c r="AI540" s="108">
        <v>1329587709.4476027</v>
      </c>
      <c r="AJ540" s="108">
        <v>3060039550.4977117</v>
      </c>
      <c r="AK540" s="108">
        <v>408486579.06223977</v>
      </c>
      <c r="AL540" s="108">
        <v>597836562.76992178</v>
      </c>
      <c r="AM540" s="108">
        <v>1249227657.4996467</v>
      </c>
      <c r="AN540" s="108">
        <v>2240073249.1290946</v>
      </c>
      <c r="AO540" s="108">
        <v>3202605677.5821614</v>
      </c>
      <c r="AP540" s="108">
        <v>4121962932.3369174</v>
      </c>
      <c r="AQ540" s="108">
        <v>42576127.352958985</v>
      </c>
      <c r="AR540" s="108">
        <v>56915118.314905748</v>
      </c>
      <c r="AS540" s="108">
        <v>118433186.45243634</v>
      </c>
      <c r="AT540" s="108">
        <v>243850270.83625525</v>
      </c>
      <c r="AU540" s="108">
        <v>487825560.68251801</v>
      </c>
      <c r="AV540" s="108">
        <v>759272844.84652197</v>
      </c>
    </row>
    <row r="541" spans="1:48" x14ac:dyDescent="0.35">
      <c r="A541" s="107">
        <f xml:space="preserve"> ROW( slrImpacts[[#This Row],[row_id]] ) - ROW( slrImpacts[[#Headers],[row_id]] )</f>
        <v>540</v>
      </c>
      <c r="B541" s="104">
        <v>2034</v>
      </c>
      <c r="C541" s="104" t="s">
        <v>221</v>
      </c>
      <c r="D541" s="104" t="s">
        <v>208</v>
      </c>
      <c r="E541" s="104" t="s">
        <v>922</v>
      </c>
      <c r="F541" s="104"/>
      <c r="G541" s="105">
        <v>0</v>
      </c>
      <c r="H541" s="105">
        <v>0</v>
      </c>
      <c r="I541" s="105">
        <v>0</v>
      </c>
      <c r="J541" s="105">
        <v>0</v>
      </c>
      <c r="K541" s="105">
        <v>0</v>
      </c>
      <c r="L541" s="105">
        <v>0</v>
      </c>
      <c r="M541" s="106">
        <v>236038482.78203145</v>
      </c>
      <c r="N541" s="106">
        <v>291898906.43801332</v>
      </c>
      <c r="O541" s="106">
        <v>782359835.6823256</v>
      </c>
      <c r="P541" s="106">
        <v>1567833094.4130847</v>
      </c>
      <c r="Q541" s="106">
        <v>2623238904.8011217</v>
      </c>
      <c r="R541" s="106">
        <v>3721541508.8123207</v>
      </c>
      <c r="S541" s="105">
        <v>0</v>
      </c>
      <c r="T541" s="105">
        <v>0</v>
      </c>
      <c r="U541" s="105">
        <v>0</v>
      </c>
      <c r="V541" s="105">
        <v>0</v>
      </c>
      <c r="W541" s="105">
        <v>0</v>
      </c>
      <c r="X541" s="105">
        <v>0</v>
      </c>
      <c r="Y541" s="106">
        <v>11209304.814715607</v>
      </c>
      <c r="Z541" s="106">
        <v>14803037.070383456</v>
      </c>
      <c r="AA541" s="106">
        <v>24314817.665850013</v>
      </c>
      <c r="AB541" s="108">
        <v>37849135.04517711</v>
      </c>
      <c r="AC541" s="108">
        <v>61343124.8228916</v>
      </c>
      <c r="AD541" s="108">
        <v>87012097.179130435</v>
      </c>
      <c r="AE541" s="108">
        <v>207261538.80520552</v>
      </c>
      <c r="AF541" s="108">
        <v>281479779.75950193</v>
      </c>
      <c r="AG541" s="108">
        <v>663031406.13859761</v>
      </c>
      <c r="AH541" s="108">
        <v>1299313663.9012809</v>
      </c>
      <c r="AI541" s="108">
        <v>1432888198.8451474</v>
      </c>
      <c r="AJ541" s="108">
        <v>3130942170.8709979</v>
      </c>
      <c r="AK541" s="108">
        <v>440667324.82255375</v>
      </c>
      <c r="AL541" s="108">
        <v>645827895.20731235</v>
      </c>
      <c r="AM541" s="108">
        <v>1329160269.8392329</v>
      </c>
      <c r="AN541" s="108">
        <v>2273626228.3320699</v>
      </c>
      <c r="AO541" s="108">
        <v>3185692298.0859327</v>
      </c>
      <c r="AP541" s="108">
        <v>4102415879.6634312</v>
      </c>
      <c r="AQ541" s="108">
        <v>44731588.484547213</v>
      </c>
      <c r="AR541" s="108">
        <v>59800529.67924618</v>
      </c>
      <c r="AS541" s="108">
        <v>128855083.8729454</v>
      </c>
      <c r="AT541" s="108">
        <v>272810628.30953157</v>
      </c>
      <c r="AU541" s="108">
        <v>557376307.32768548</v>
      </c>
      <c r="AV541" s="108">
        <v>872529883.99783492</v>
      </c>
    </row>
    <row r="542" spans="1:48" x14ac:dyDescent="0.35">
      <c r="A542" s="107">
        <f xml:space="preserve"> ROW( slrImpacts[[#This Row],[row_id]] ) - ROW( slrImpacts[[#Headers],[row_id]] )</f>
        <v>541</v>
      </c>
      <c r="B542" s="104">
        <v>2035</v>
      </c>
      <c r="C542" s="104" t="s">
        <v>221</v>
      </c>
      <c r="D542" s="104" t="s">
        <v>208</v>
      </c>
      <c r="E542" s="104" t="s">
        <v>922</v>
      </c>
      <c r="F542" s="104"/>
      <c r="G542" s="105">
        <v>0</v>
      </c>
      <c r="H542" s="105">
        <v>0</v>
      </c>
      <c r="I542" s="105">
        <v>0</v>
      </c>
      <c r="J542" s="105">
        <v>0</v>
      </c>
      <c r="K542" s="105">
        <v>0</v>
      </c>
      <c r="L542" s="105">
        <v>0</v>
      </c>
      <c r="M542" s="106">
        <v>239565748.75206557</v>
      </c>
      <c r="N542" s="106">
        <v>298903360.88010323</v>
      </c>
      <c r="O542" s="106">
        <v>812480559.62825704</v>
      </c>
      <c r="P542" s="106">
        <v>1628509922.4557478</v>
      </c>
      <c r="Q542" s="106">
        <v>2727038048.5375953</v>
      </c>
      <c r="R542" s="106">
        <v>3881791383.8311143</v>
      </c>
      <c r="S542" s="105">
        <v>0</v>
      </c>
      <c r="T542" s="105">
        <v>0</v>
      </c>
      <c r="U542" s="105">
        <v>0</v>
      </c>
      <c r="V542" s="105">
        <v>0</v>
      </c>
      <c r="W542" s="105">
        <v>0</v>
      </c>
      <c r="X542" s="105">
        <v>0</v>
      </c>
      <c r="Y542" s="106">
        <v>11464158.355367932</v>
      </c>
      <c r="Z542" s="106">
        <v>15195924.730425779</v>
      </c>
      <c r="AA542" s="106">
        <v>25420666.794726115</v>
      </c>
      <c r="AB542" s="108">
        <v>40520555.690203667</v>
      </c>
      <c r="AC542" s="108">
        <v>67226204.119407237</v>
      </c>
      <c r="AD542" s="108">
        <v>96886208.445445135</v>
      </c>
      <c r="AE542" s="108">
        <v>216094685.73087463</v>
      </c>
      <c r="AF542" s="108">
        <v>291962741.98508137</v>
      </c>
      <c r="AG542" s="108">
        <v>688163848.82528591</v>
      </c>
      <c r="AH542" s="108">
        <v>1353188015.6944196</v>
      </c>
      <c r="AI542" s="108">
        <v>1505993999.8860154</v>
      </c>
      <c r="AJ542" s="108">
        <v>3166498611.6995254</v>
      </c>
      <c r="AK542" s="108">
        <v>475083807.77782899</v>
      </c>
      <c r="AL542" s="108">
        <v>683446429.36556256</v>
      </c>
      <c r="AM542" s="108">
        <v>1409566038.5532389</v>
      </c>
      <c r="AN542" s="108">
        <v>2275815715.8697619</v>
      </c>
      <c r="AO542" s="108">
        <v>3142260650.4119592</v>
      </c>
      <c r="AP542" s="108">
        <v>4011422419.8300929</v>
      </c>
      <c r="AQ542" s="108">
        <v>46944157.256495878</v>
      </c>
      <c r="AR542" s="108">
        <v>62803728.314174473</v>
      </c>
      <c r="AS542" s="108">
        <v>139768615.28653276</v>
      </c>
      <c r="AT542" s="108">
        <v>305253402.24578935</v>
      </c>
      <c r="AU542" s="108">
        <v>634333091.6492399</v>
      </c>
      <c r="AV542" s="108">
        <v>1000686141.7233996</v>
      </c>
    </row>
    <row r="543" spans="1:48" x14ac:dyDescent="0.35">
      <c r="A543" s="107">
        <f xml:space="preserve"> ROW( slrImpacts[[#This Row],[row_id]] ) - ROW( slrImpacts[[#Headers],[row_id]] )</f>
        <v>542</v>
      </c>
      <c r="B543" s="104">
        <v>2036</v>
      </c>
      <c r="C543" s="104" t="s">
        <v>221</v>
      </c>
      <c r="D543" s="104" t="s">
        <v>208</v>
      </c>
      <c r="E543" s="104" t="s">
        <v>922</v>
      </c>
      <c r="F543" s="104"/>
      <c r="G543" s="105">
        <v>0</v>
      </c>
      <c r="H543" s="105">
        <v>0</v>
      </c>
      <c r="I543" s="105">
        <v>0</v>
      </c>
      <c r="J543" s="105">
        <v>0</v>
      </c>
      <c r="K543" s="105">
        <v>0</v>
      </c>
      <c r="L543" s="105">
        <v>0</v>
      </c>
      <c r="M543" s="106">
        <v>243435055.28023994</v>
      </c>
      <c r="N543" s="106">
        <v>305785623.02392346</v>
      </c>
      <c r="O543" s="106">
        <v>843220917.05264366</v>
      </c>
      <c r="P543" s="106">
        <v>1691730139.6292348</v>
      </c>
      <c r="Q543" s="106">
        <v>2837514364.3415852</v>
      </c>
      <c r="R543" s="106">
        <v>4033879088.298882</v>
      </c>
      <c r="S543" s="105">
        <v>0</v>
      </c>
      <c r="T543" s="105">
        <v>0</v>
      </c>
      <c r="U543" s="105">
        <v>0</v>
      </c>
      <c r="V543" s="105">
        <v>0</v>
      </c>
      <c r="W543" s="105">
        <v>0</v>
      </c>
      <c r="X543" s="105">
        <v>0</v>
      </c>
      <c r="Y543" s="106">
        <v>11717274.008561458</v>
      </c>
      <c r="Z543" s="106">
        <v>15600740.594280569</v>
      </c>
      <c r="AA543" s="106">
        <v>26630918.090534423</v>
      </c>
      <c r="AB543" s="108">
        <v>43522950.150746502</v>
      </c>
      <c r="AC543" s="108">
        <v>74014414.697984144</v>
      </c>
      <c r="AD543" s="108">
        <v>108515566.94416215</v>
      </c>
      <c r="AE543" s="108">
        <v>226388378.69631588</v>
      </c>
      <c r="AF543" s="108">
        <v>301724363.98395681</v>
      </c>
      <c r="AG543" s="108">
        <v>712725026.56410801</v>
      </c>
      <c r="AH543" s="108">
        <v>1401542258.884737</v>
      </c>
      <c r="AI543" s="108">
        <v>1563876247.6392596</v>
      </c>
      <c r="AJ543" s="108">
        <v>3175184499.3574286</v>
      </c>
      <c r="AK543" s="108">
        <v>512133319.30019194</v>
      </c>
      <c r="AL543" s="108">
        <v>718225523.66097414</v>
      </c>
      <c r="AM543" s="108">
        <v>1493127655.4034836</v>
      </c>
      <c r="AN543" s="108">
        <v>2263108741.0867953</v>
      </c>
      <c r="AO543" s="108">
        <v>3047295443.5964375</v>
      </c>
      <c r="AP543" s="108">
        <v>3868165328.2069407</v>
      </c>
      <c r="AQ543" s="108">
        <v>49213725.439236812</v>
      </c>
      <c r="AR543" s="108">
        <v>66040406.339545235</v>
      </c>
      <c r="AS543" s="108">
        <v>151552700.20415634</v>
      </c>
      <c r="AT543" s="108">
        <v>341122677.04162288</v>
      </c>
      <c r="AU543" s="108">
        <v>721926074.7755115</v>
      </c>
      <c r="AV543" s="108">
        <v>1149772543.7713783</v>
      </c>
    </row>
    <row r="544" spans="1:48" x14ac:dyDescent="0.35">
      <c r="A544" s="107">
        <f xml:space="preserve"> ROW( slrImpacts[[#This Row],[row_id]] ) - ROW( slrImpacts[[#Headers],[row_id]] )</f>
        <v>543</v>
      </c>
      <c r="B544" s="104">
        <v>2037</v>
      </c>
      <c r="C544" s="104" t="s">
        <v>221</v>
      </c>
      <c r="D544" s="104" t="s">
        <v>208</v>
      </c>
      <c r="E544" s="104" t="s">
        <v>922</v>
      </c>
      <c r="F544" s="104"/>
      <c r="G544" s="105">
        <v>0</v>
      </c>
      <c r="H544" s="105">
        <v>0</v>
      </c>
      <c r="I544" s="105">
        <v>0</v>
      </c>
      <c r="J544" s="105">
        <v>0</v>
      </c>
      <c r="K544" s="105">
        <v>0</v>
      </c>
      <c r="L544" s="105">
        <v>0</v>
      </c>
      <c r="M544" s="106">
        <v>247691638.85056612</v>
      </c>
      <c r="N544" s="106">
        <v>312151463.9493311</v>
      </c>
      <c r="O544" s="106">
        <v>874138271.05100727</v>
      </c>
      <c r="P544" s="106">
        <v>1758001500.096585</v>
      </c>
      <c r="Q544" s="106">
        <v>2939351893.6649241</v>
      </c>
      <c r="R544" s="106">
        <v>4157762669.061583</v>
      </c>
      <c r="S544" s="105">
        <v>0</v>
      </c>
      <c r="T544" s="105">
        <v>0</v>
      </c>
      <c r="U544" s="105">
        <v>0</v>
      </c>
      <c r="V544" s="105">
        <v>0</v>
      </c>
      <c r="W544" s="105">
        <v>0</v>
      </c>
      <c r="X544" s="105">
        <v>0</v>
      </c>
      <c r="Y544" s="106">
        <v>11978345.293023255</v>
      </c>
      <c r="Z544" s="106">
        <v>16026958.240758797</v>
      </c>
      <c r="AA544" s="106">
        <v>27926557.821518023</v>
      </c>
      <c r="AB544" s="108">
        <v>46812493.713458404</v>
      </c>
      <c r="AC544" s="108">
        <v>81645532.04453665</v>
      </c>
      <c r="AD544" s="108">
        <v>121900848.48405559</v>
      </c>
      <c r="AE544" s="108">
        <v>237750620.74866283</v>
      </c>
      <c r="AF544" s="108">
        <v>310032299.14878947</v>
      </c>
      <c r="AG544" s="108">
        <v>733261974.77369237</v>
      </c>
      <c r="AH544" s="108">
        <v>1451355174.045522</v>
      </c>
      <c r="AI544" s="108">
        <v>1595710475.1596498</v>
      </c>
      <c r="AJ544" s="108">
        <v>3153730502.2134256</v>
      </c>
      <c r="AK544" s="108">
        <v>549419974.96149051</v>
      </c>
      <c r="AL544" s="108">
        <v>748772722.40795243</v>
      </c>
      <c r="AM544" s="108">
        <v>1581985605.9672074</v>
      </c>
      <c r="AN544" s="108">
        <v>2236532715.6817031</v>
      </c>
      <c r="AO544" s="108">
        <v>2904589365.6170835</v>
      </c>
      <c r="AP544" s="108">
        <v>3681041136.6468816</v>
      </c>
      <c r="AQ544" s="108">
        <v>51548279.979723275</v>
      </c>
      <c r="AR544" s="108">
        <v>69412454.22750473</v>
      </c>
      <c r="AS544" s="108">
        <v>164019125.90206286</v>
      </c>
      <c r="AT544" s="108">
        <v>380052878.23225063</v>
      </c>
      <c r="AU544" s="108">
        <v>821953411.82617259</v>
      </c>
      <c r="AV544" s="108">
        <v>1319797157.5249248</v>
      </c>
    </row>
    <row r="545" spans="1:48" x14ac:dyDescent="0.35">
      <c r="A545" s="107">
        <f xml:space="preserve"> ROW( slrImpacts[[#This Row],[row_id]] ) - ROW( slrImpacts[[#Headers],[row_id]] )</f>
        <v>544</v>
      </c>
      <c r="B545" s="104">
        <v>2038</v>
      </c>
      <c r="C545" s="104" t="s">
        <v>221</v>
      </c>
      <c r="D545" s="104" t="s">
        <v>208</v>
      </c>
      <c r="E545" s="104" t="s">
        <v>922</v>
      </c>
      <c r="F545" s="104"/>
      <c r="G545" s="105">
        <v>0</v>
      </c>
      <c r="H545" s="105">
        <v>0</v>
      </c>
      <c r="I545" s="105">
        <v>0</v>
      </c>
      <c r="J545" s="105">
        <v>0</v>
      </c>
      <c r="K545" s="105">
        <v>0</v>
      </c>
      <c r="L545" s="105">
        <v>0</v>
      </c>
      <c r="M545" s="106">
        <v>251876206.72372344</v>
      </c>
      <c r="N545" s="106">
        <v>318740566.69539893</v>
      </c>
      <c r="O545" s="106">
        <v>906056145.20591831</v>
      </c>
      <c r="P545" s="106">
        <v>1819309602.4744246</v>
      </c>
      <c r="Q545" s="106">
        <v>3036928041.2493334</v>
      </c>
      <c r="R545" s="106">
        <v>4240639373.1959438</v>
      </c>
      <c r="S545" s="105">
        <v>0</v>
      </c>
      <c r="T545" s="105">
        <v>0</v>
      </c>
      <c r="U545" s="105">
        <v>0</v>
      </c>
      <c r="V545" s="105">
        <v>0</v>
      </c>
      <c r="W545" s="105">
        <v>0</v>
      </c>
      <c r="X545" s="105">
        <v>0</v>
      </c>
      <c r="Y545" s="106">
        <v>12244034.009848416</v>
      </c>
      <c r="Z545" s="106">
        <v>16469646.276301196</v>
      </c>
      <c r="AA545" s="106">
        <v>29326603.707708973</v>
      </c>
      <c r="AB545" s="108">
        <v>50407260.389021881</v>
      </c>
      <c r="AC545" s="108">
        <v>90234395.599366605</v>
      </c>
      <c r="AD545" s="108">
        <v>137290295.53088364</v>
      </c>
      <c r="AE545" s="108">
        <v>245453973.89471188</v>
      </c>
      <c r="AF545" s="108">
        <v>316515948.82379693</v>
      </c>
      <c r="AG545" s="108">
        <v>752019512.06414974</v>
      </c>
      <c r="AH545" s="108">
        <v>1495798790.2828362</v>
      </c>
      <c r="AI545" s="108">
        <v>1608086990.1135161</v>
      </c>
      <c r="AJ545" s="108">
        <v>3138278126.9354353</v>
      </c>
      <c r="AK545" s="108">
        <v>578082537.43426538</v>
      </c>
      <c r="AL545" s="108">
        <v>776878186.98931456</v>
      </c>
      <c r="AM545" s="108">
        <v>1590950269.9041982</v>
      </c>
      <c r="AN545" s="108">
        <v>2191242096.0729103</v>
      </c>
      <c r="AO545" s="108">
        <v>2787400132.4340978</v>
      </c>
      <c r="AP545" s="108">
        <v>3517663184.3978171</v>
      </c>
      <c r="AQ545" s="108">
        <v>53894487.076878361</v>
      </c>
      <c r="AR545" s="108">
        <v>72910303.031471193</v>
      </c>
      <c r="AS545" s="108">
        <v>178033396.70855609</v>
      </c>
      <c r="AT545" s="108">
        <v>423590504.80124736</v>
      </c>
      <c r="AU545" s="108">
        <v>931372026.27990389</v>
      </c>
      <c r="AV545" s="108">
        <v>1511274988.6002271</v>
      </c>
    </row>
    <row r="546" spans="1:48" x14ac:dyDescent="0.35">
      <c r="A546" s="107">
        <f xml:space="preserve"> ROW( slrImpacts[[#This Row],[row_id]] ) - ROW( slrImpacts[[#Headers],[row_id]] )</f>
        <v>545</v>
      </c>
      <c r="B546" s="104">
        <v>2039</v>
      </c>
      <c r="C546" s="104" t="s">
        <v>221</v>
      </c>
      <c r="D546" s="104" t="s">
        <v>208</v>
      </c>
      <c r="E546" s="104" t="s">
        <v>922</v>
      </c>
      <c r="F546" s="104"/>
      <c r="G546" s="105">
        <v>0</v>
      </c>
      <c r="H546" s="105">
        <v>0</v>
      </c>
      <c r="I546" s="105">
        <v>0</v>
      </c>
      <c r="J546" s="105">
        <v>0</v>
      </c>
      <c r="K546" s="105">
        <v>0</v>
      </c>
      <c r="L546" s="105">
        <v>0</v>
      </c>
      <c r="M546" s="106">
        <v>255836404.3908883</v>
      </c>
      <c r="N546" s="106">
        <v>325663416.00739413</v>
      </c>
      <c r="O546" s="106">
        <v>937931834.61637461</v>
      </c>
      <c r="P546" s="106">
        <v>1876310290.5531459</v>
      </c>
      <c r="Q546" s="106">
        <v>3120490352.5888433</v>
      </c>
      <c r="R546" s="106">
        <v>4311509293.2897749</v>
      </c>
      <c r="S546" s="105">
        <v>0</v>
      </c>
      <c r="T546" s="105">
        <v>0</v>
      </c>
      <c r="U546" s="105">
        <v>0</v>
      </c>
      <c r="V546" s="105">
        <v>0</v>
      </c>
      <c r="W546" s="105">
        <v>0</v>
      </c>
      <c r="X546" s="105">
        <v>0</v>
      </c>
      <c r="Y546" s="106">
        <v>12514310.909484314</v>
      </c>
      <c r="Z546" s="106">
        <v>16934128.545416526</v>
      </c>
      <c r="AA546" s="106">
        <v>30838210.149794165</v>
      </c>
      <c r="AB546" s="108">
        <v>54339105.625050806</v>
      </c>
      <c r="AC546" s="108">
        <v>99838949.951120034</v>
      </c>
      <c r="AD546" s="108">
        <v>154840229.40450406</v>
      </c>
      <c r="AE546" s="108">
        <v>252076889.22317052</v>
      </c>
      <c r="AF546" s="108">
        <v>323240843.85408533</v>
      </c>
      <c r="AG546" s="108">
        <v>766060518.53998518</v>
      </c>
      <c r="AH546" s="108">
        <v>1518931767.9789937</v>
      </c>
      <c r="AI546" s="108">
        <v>1608157533.1853049</v>
      </c>
      <c r="AJ546" s="108">
        <v>3116080592.5862222</v>
      </c>
      <c r="AK546" s="108">
        <v>596203259.74447775</v>
      </c>
      <c r="AL546" s="108">
        <v>806955778.12985086</v>
      </c>
      <c r="AM546" s="108">
        <v>1577653636.9287322</v>
      </c>
      <c r="AN546" s="108">
        <v>2128484436.3652384</v>
      </c>
      <c r="AO546" s="108">
        <v>2656243802.2177024</v>
      </c>
      <c r="AP546" s="108">
        <v>3239629764.8714323</v>
      </c>
      <c r="AQ546" s="108">
        <v>56346453.961504616</v>
      </c>
      <c r="AR546" s="108">
        <v>76521866.870362327</v>
      </c>
      <c r="AS546" s="108">
        <v>193320081.00086033</v>
      </c>
      <c r="AT546" s="108">
        <v>471100183.72844404</v>
      </c>
      <c r="AU546" s="108">
        <v>1057165893.2050401</v>
      </c>
      <c r="AV546" s="108">
        <v>1716312296.6217346</v>
      </c>
    </row>
    <row r="547" spans="1:48" x14ac:dyDescent="0.35">
      <c r="A547" s="107">
        <f xml:space="preserve"> ROW( slrImpacts[[#This Row],[row_id]] ) - ROW( slrImpacts[[#Headers],[row_id]] )</f>
        <v>546</v>
      </c>
      <c r="B547" s="104">
        <v>2040</v>
      </c>
      <c r="C547" s="104" t="s">
        <v>221</v>
      </c>
      <c r="D547" s="104" t="s">
        <v>208</v>
      </c>
      <c r="E547" s="104" t="s">
        <v>922</v>
      </c>
      <c r="F547" s="104"/>
      <c r="G547" s="105">
        <v>0</v>
      </c>
      <c r="H547" s="105">
        <v>0</v>
      </c>
      <c r="I547" s="105">
        <v>0</v>
      </c>
      <c r="J547" s="105">
        <v>0</v>
      </c>
      <c r="K547" s="105">
        <v>0</v>
      </c>
      <c r="L547" s="105">
        <v>0</v>
      </c>
      <c r="M547" s="106">
        <v>260091143.14950857</v>
      </c>
      <c r="N547" s="106">
        <v>332826595.97099155</v>
      </c>
      <c r="O547" s="106">
        <v>968918757.86661947</v>
      </c>
      <c r="P547" s="106">
        <v>1936081110.2970908</v>
      </c>
      <c r="Q547" s="106">
        <v>3179978638.0474048</v>
      </c>
      <c r="R547" s="106">
        <v>4368186441.2801991</v>
      </c>
      <c r="S547" s="105">
        <v>0</v>
      </c>
      <c r="T547" s="105">
        <v>0</v>
      </c>
      <c r="U547" s="105">
        <v>0</v>
      </c>
      <c r="V547" s="105">
        <v>0</v>
      </c>
      <c r="W547" s="105">
        <v>0</v>
      </c>
      <c r="X547" s="105">
        <v>0</v>
      </c>
      <c r="Y547" s="106">
        <v>12795288.294346338</v>
      </c>
      <c r="Z547" s="106">
        <v>17422903.424718365</v>
      </c>
      <c r="AA547" s="106">
        <v>32458760.952091679</v>
      </c>
      <c r="AB547" s="108">
        <v>58635245.300830953</v>
      </c>
      <c r="AC547" s="108">
        <v>110590307.64579371</v>
      </c>
      <c r="AD547" s="108">
        <v>174793515.50805959</v>
      </c>
      <c r="AE547" s="108">
        <v>255840972.88420779</v>
      </c>
      <c r="AF547" s="108">
        <v>326783220.56811154</v>
      </c>
      <c r="AG547" s="108">
        <v>776787596.36330402</v>
      </c>
      <c r="AH547" s="108">
        <v>1534488288.5942659</v>
      </c>
      <c r="AI547" s="108">
        <v>1594954278.3222561</v>
      </c>
      <c r="AJ547" s="108">
        <v>3072517786.2324829</v>
      </c>
      <c r="AK547" s="108">
        <v>611275314.38034308</v>
      </c>
      <c r="AL547" s="108">
        <v>840869517.58285439</v>
      </c>
      <c r="AM547" s="108">
        <v>1553903681.0191824</v>
      </c>
      <c r="AN547" s="108">
        <v>2073789655.1359658</v>
      </c>
      <c r="AO547" s="108">
        <v>2488266688.6572409</v>
      </c>
      <c r="AP547" s="108">
        <v>2911932304.7630382</v>
      </c>
      <c r="AQ547" s="108">
        <v>58822377.666277632</v>
      </c>
      <c r="AR547" s="108">
        <v>80420239.885183036</v>
      </c>
      <c r="AS547" s="108">
        <v>209880681.48892215</v>
      </c>
      <c r="AT547" s="108">
        <v>524372867.1050998</v>
      </c>
      <c r="AU547" s="108">
        <v>1199161820.0446236</v>
      </c>
      <c r="AV547" s="108">
        <v>1936960361.6584959</v>
      </c>
    </row>
    <row r="548" spans="1:48" x14ac:dyDescent="0.35">
      <c r="A548" s="107">
        <f xml:space="preserve"> ROW( slrImpacts[[#This Row],[row_id]] ) - ROW( slrImpacts[[#Headers],[row_id]] )</f>
        <v>547</v>
      </c>
      <c r="B548" s="104">
        <v>2041</v>
      </c>
      <c r="C548" s="104" t="s">
        <v>221</v>
      </c>
      <c r="D548" s="104" t="s">
        <v>208</v>
      </c>
      <c r="E548" s="104" t="s">
        <v>922</v>
      </c>
      <c r="F548" s="104"/>
      <c r="G548" s="105">
        <v>0</v>
      </c>
      <c r="H548" s="105">
        <v>0</v>
      </c>
      <c r="I548" s="105">
        <v>0</v>
      </c>
      <c r="J548" s="105">
        <v>0</v>
      </c>
      <c r="K548" s="105">
        <v>0</v>
      </c>
      <c r="L548" s="105">
        <v>0</v>
      </c>
      <c r="M548" s="106">
        <v>263939399.16209844</v>
      </c>
      <c r="N548" s="106">
        <v>339828251.44919306</v>
      </c>
      <c r="O548" s="106">
        <v>998335019.5555855</v>
      </c>
      <c r="P548" s="106">
        <v>1998728998.0915606</v>
      </c>
      <c r="Q548" s="106">
        <v>3215853998.6678262</v>
      </c>
      <c r="R548" s="106">
        <v>4423477520.2336302</v>
      </c>
      <c r="S548" s="105">
        <v>0</v>
      </c>
      <c r="T548" s="105">
        <v>0</v>
      </c>
      <c r="U548" s="105">
        <v>0</v>
      </c>
      <c r="V548" s="105">
        <v>0</v>
      </c>
      <c r="W548" s="105">
        <v>0</v>
      </c>
      <c r="X548" s="105">
        <v>0</v>
      </c>
      <c r="Y548" s="106">
        <v>13080768.995469175</v>
      </c>
      <c r="Z548" s="106">
        <v>17933164.079321176</v>
      </c>
      <c r="AA548" s="106">
        <v>34195668.465074405</v>
      </c>
      <c r="AB548" s="108">
        <v>63324809.52909071</v>
      </c>
      <c r="AC548" s="108">
        <v>122598795.184219</v>
      </c>
      <c r="AD548" s="108">
        <v>197373650.61113814</v>
      </c>
      <c r="AE548" s="108">
        <v>259547896.7953108</v>
      </c>
      <c r="AF548" s="108">
        <v>326280924.21727753</v>
      </c>
      <c r="AG548" s="108">
        <v>786859769.99122488</v>
      </c>
      <c r="AH548" s="108">
        <v>1541522575.6670625</v>
      </c>
      <c r="AI548" s="108">
        <v>1567486837.5041223</v>
      </c>
      <c r="AJ548" s="108">
        <v>3020837385.4403334</v>
      </c>
      <c r="AK548" s="108">
        <v>623508663.09798276</v>
      </c>
      <c r="AL548" s="108">
        <v>876864133.64499485</v>
      </c>
      <c r="AM548" s="108">
        <v>1518037123.6303077</v>
      </c>
      <c r="AN548" s="108">
        <v>2001399077.7216463</v>
      </c>
      <c r="AO548" s="108">
        <v>2237333759.3512416</v>
      </c>
      <c r="AP548" s="108">
        <v>2773483608.9875045</v>
      </c>
      <c r="AQ548" s="108">
        <v>61265218.039319582</v>
      </c>
      <c r="AR548" s="108">
        <v>84593264.676699996</v>
      </c>
      <c r="AS548" s="108">
        <v>228224460.68802974</v>
      </c>
      <c r="AT548" s="108">
        <v>583164077.45876312</v>
      </c>
      <c r="AU548" s="108">
        <v>1353705016.2341559</v>
      </c>
      <c r="AV548" s="108">
        <v>2172933142.2733879</v>
      </c>
    </row>
    <row r="549" spans="1:48" x14ac:dyDescent="0.35">
      <c r="A549" s="107">
        <f xml:space="preserve"> ROW( slrImpacts[[#This Row],[row_id]] ) - ROW( slrImpacts[[#Headers],[row_id]] )</f>
        <v>548</v>
      </c>
      <c r="B549" s="104">
        <v>2042</v>
      </c>
      <c r="C549" s="104" t="s">
        <v>221</v>
      </c>
      <c r="D549" s="104" t="s">
        <v>208</v>
      </c>
      <c r="E549" s="104" t="s">
        <v>922</v>
      </c>
      <c r="F549" s="104"/>
      <c r="G549" s="105">
        <v>0</v>
      </c>
      <c r="H549" s="105">
        <v>0</v>
      </c>
      <c r="I549" s="105">
        <v>0</v>
      </c>
      <c r="J549" s="105">
        <v>0</v>
      </c>
      <c r="K549" s="105">
        <v>0</v>
      </c>
      <c r="L549" s="105">
        <v>0</v>
      </c>
      <c r="M549" s="106">
        <v>268003060.63216379</v>
      </c>
      <c r="N549" s="106">
        <v>346629652.96071142</v>
      </c>
      <c r="O549" s="106">
        <v>1025794000.9493132</v>
      </c>
      <c r="P549" s="106">
        <v>2053773276.7257216</v>
      </c>
      <c r="Q549" s="106">
        <v>3229786027.8500652</v>
      </c>
      <c r="R549" s="106">
        <v>4478321459.1427794</v>
      </c>
      <c r="S549" s="105">
        <v>0</v>
      </c>
      <c r="T549" s="105">
        <v>0</v>
      </c>
      <c r="U549" s="105">
        <v>0</v>
      </c>
      <c r="V549" s="105">
        <v>0</v>
      </c>
      <c r="W549" s="105">
        <v>0</v>
      </c>
      <c r="X549" s="105">
        <v>0</v>
      </c>
      <c r="Y549" s="106">
        <v>13374483.296122074</v>
      </c>
      <c r="Z549" s="106">
        <v>18469478.003451407</v>
      </c>
      <c r="AA549" s="106">
        <v>36065755.034720317</v>
      </c>
      <c r="AB549" s="108">
        <v>68441507.87019369</v>
      </c>
      <c r="AC549" s="108">
        <v>135939051.96074766</v>
      </c>
      <c r="AD549" s="108">
        <v>222742920.66704813</v>
      </c>
      <c r="AE549" s="108">
        <v>261070630.79549581</v>
      </c>
      <c r="AF549" s="108">
        <v>322905519.97652066</v>
      </c>
      <c r="AG549" s="108">
        <v>794008602.70291865</v>
      </c>
      <c r="AH549" s="108">
        <v>1545604570.2712362</v>
      </c>
      <c r="AI549" s="108">
        <v>1528043105.986383</v>
      </c>
      <c r="AJ549" s="108">
        <v>2953562236.1623282</v>
      </c>
      <c r="AK549" s="108">
        <v>633337704.21665108</v>
      </c>
      <c r="AL549" s="108">
        <v>913000216.94251561</v>
      </c>
      <c r="AM549" s="108">
        <v>1491871483.6952217</v>
      </c>
      <c r="AN549" s="108">
        <v>1913287746.632586</v>
      </c>
      <c r="AO549" s="108">
        <v>2149634350.9244409</v>
      </c>
      <c r="AP549" s="108">
        <v>2690040160.8568859</v>
      </c>
      <c r="AQ549" s="108">
        <v>63771490.024839632</v>
      </c>
      <c r="AR549" s="108">
        <v>88987603.256035253</v>
      </c>
      <c r="AS549" s="108">
        <v>248643861.92409205</v>
      </c>
      <c r="AT549" s="108">
        <v>649854644.48154199</v>
      </c>
      <c r="AU549" s="108">
        <v>1512734335.424742</v>
      </c>
      <c r="AV549" s="108">
        <v>2426094244.4990177</v>
      </c>
    </row>
    <row r="550" spans="1:48" x14ac:dyDescent="0.35">
      <c r="A550" s="107">
        <f xml:space="preserve"> ROW( slrImpacts[[#This Row],[row_id]] ) - ROW( slrImpacts[[#Headers],[row_id]] )</f>
        <v>549</v>
      </c>
      <c r="B550" s="104">
        <v>2043</v>
      </c>
      <c r="C550" s="104" t="s">
        <v>221</v>
      </c>
      <c r="D550" s="104" t="s">
        <v>208</v>
      </c>
      <c r="E550" s="104" t="s">
        <v>922</v>
      </c>
      <c r="F550" s="104"/>
      <c r="G550" s="105">
        <v>0</v>
      </c>
      <c r="H550" s="105">
        <v>0</v>
      </c>
      <c r="I550" s="105">
        <v>0</v>
      </c>
      <c r="J550" s="105">
        <v>0</v>
      </c>
      <c r="K550" s="105">
        <v>0</v>
      </c>
      <c r="L550" s="105">
        <v>0</v>
      </c>
      <c r="M550" s="106">
        <v>271450932.84207165</v>
      </c>
      <c r="N550" s="106">
        <v>353191228.02899587</v>
      </c>
      <c r="O550" s="106">
        <v>1052848183.4724468</v>
      </c>
      <c r="P550" s="106">
        <v>2099712223.0440099</v>
      </c>
      <c r="Q550" s="106">
        <v>3240144354.1064811</v>
      </c>
      <c r="R550" s="106">
        <v>4521547834.1275358</v>
      </c>
      <c r="S550" s="105">
        <v>0</v>
      </c>
      <c r="T550" s="105">
        <v>0</v>
      </c>
      <c r="U550" s="105">
        <v>0</v>
      </c>
      <c r="V550" s="105">
        <v>0</v>
      </c>
      <c r="W550" s="105">
        <v>0</v>
      </c>
      <c r="X550" s="105">
        <v>0</v>
      </c>
      <c r="Y550" s="106">
        <v>13676701.761993799</v>
      </c>
      <c r="Z550" s="106">
        <v>19026914.574311294</v>
      </c>
      <c r="AA550" s="106">
        <v>38055351.224654794</v>
      </c>
      <c r="AB550" s="108">
        <v>74002459.340654001</v>
      </c>
      <c r="AC550" s="108">
        <v>150757803.95666647</v>
      </c>
      <c r="AD550" s="108">
        <v>249820033.50647011</v>
      </c>
      <c r="AE550" s="108">
        <v>262357495.3654657</v>
      </c>
      <c r="AF550" s="108">
        <v>318339501.69585717</v>
      </c>
      <c r="AG550" s="108">
        <v>808444628.78700626</v>
      </c>
      <c r="AH550" s="108">
        <v>1537688576.5722485</v>
      </c>
      <c r="AI550" s="108">
        <v>1480418173.3188732</v>
      </c>
      <c r="AJ550" s="108">
        <v>2887400235.9515204</v>
      </c>
      <c r="AK550" s="108">
        <v>642942786.2184763</v>
      </c>
      <c r="AL550" s="108">
        <v>949798876.76005256</v>
      </c>
      <c r="AM550" s="108">
        <v>1467942970.4603417</v>
      </c>
      <c r="AN550" s="108">
        <v>1810169376.4184697</v>
      </c>
      <c r="AO550" s="108">
        <v>2064843312.8575907</v>
      </c>
      <c r="AP550" s="108">
        <v>2603156685.4793544</v>
      </c>
      <c r="AQ550" s="108">
        <v>66245925.883619875</v>
      </c>
      <c r="AR550" s="108">
        <v>93603483.22796917</v>
      </c>
      <c r="AS550" s="108">
        <v>270647468.28950018</v>
      </c>
      <c r="AT550" s="108">
        <v>722312768.11590934</v>
      </c>
      <c r="AU550" s="108">
        <v>1683838059.6265221</v>
      </c>
      <c r="AV550" s="108">
        <v>2691010085.6944771</v>
      </c>
    </row>
    <row r="551" spans="1:48" x14ac:dyDescent="0.35">
      <c r="A551" s="107">
        <f xml:space="preserve"> ROW( slrImpacts[[#This Row],[row_id]] ) - ROW( slrImpacts[[#Headers],[row_id]] )</f>
        <v>550</v>
      </c>
      <c r="B551" s="104">
        <v>2044</v>
      </c>
      <c r="C551" s="104" t="s">
        <v>221</v>
      </c>
      <c r="D551" s="104" t="s">
        <v>208</v>
      </c>
      <c r="E551" s="104" t="s">
        <v>922</v>
      </c>
      <c r="F551" s="104"/>
      <c r="G551" s="105">
        <v>0</v>
      </c>
      <c r="H551" s="105">
        <v>0</v>
      </c>
      <c r="I551" s="105">
        <v>0</v>
      </c>
      <c r="J551" s="105">
        <v>0</v>
      </c>
      <c r="K551" s="105">
        <v>0</v>
      </c>
      <c r="L551" s="105">
        <v>0</v>
      </c>
      <c r="M551" s="106">
        <v>274866081.81871206</v>
      </c>
      <c r="N551" s="106">
        <v>358579842.99971503</v>
      </c>
      <c r="O551" s="106">
        <v>1078446592.444345</v>
      </c>
      <c r="P551" s="106">
        <v>2135400507.2823617</v>
      </c>
      <c r="Q551" s="106">
        <v>3245777227.3443551</v>
      </c>
      <c r="R551" s="106">
        <v>4543329027.6256924</v>
      </c>
      <c r="S551" s="105">
        <v>0</v>
      </c>
      <c r="T551" s="105">
        <v>0</v>
      </c>
      <c r="U551" s="105">
        <v>0</v>
      </c>
      <c r="V551" s="105">
        <v>0</v>
      </c>
      <c r="W551" s="105">
        <v>0</v>
      </c>
      <c r="X551" s="105">
        <v>0</v>
      </c>
      <c r="Y551" s="106">
        <v>13985054.357134677</v>
      </c>
      <c r="Z551" s="106">
        <v>19611012.660815738</v>
      </c>
      <c r="AA551" s="106">
        <v>40189639.009329662</v>
      </c>
      <c r="AB551" s="108">
        <v>80053392.258664116</v>
      </c>
      <c r="AC551" s="108">
        <v>167109517.50153828</v>
      </c>
      <c r="AD551" s="108">
        <v>278201976.77539593</v>
      </c>
      <c r="AE551" s="108">
        <v>260678164.23662144</v>
      </c>
      <c r="AF551" s="108">
        <v>311645537.75844711</v>
      </c>
      <c r="AG551" s="108">
        <v>823742579.50267589</v>
      </c>
      <c r="AH551" s="108">
        <v>1526233386.2089646</v>
      </c>
      <c r="AI551" s="108">
        <v>1425220044.1059439</v>
      </c>
      <c r="AJ551" s="108">
        <v>2847717950.686121</v>
      </c>
      <c r="AK551" s="108">
        <v>651713114.76303101</v>
      </c>
      <c r="AL551" s="108">
        <v>944646243.45432293</v>
      </c>
      <c r="AM551" s="108">
        <v>1423923010.9884689</v>
      </c>
      <c r="AN551" s="108">
        <v>1698067505.0452249</v>
      </c>
      <c r="AO551" s="108">
        <v>1977818900.351928</v>
      </c>
      <c r="AP551" s="108">
        <v>2512771332.5328884</v>
      </c>
      <c r="AQ551" s="108">
        <v>68764272.650782689</v>
      </c>
      <c r="AR551" s="108">
        <v>98447017.784847781</v>
      </c>
      <c r="AS551" s="108">
        <v>294773086.25925797</v>
      </c>
      <c r="AT551" s="108">
        <v>802254578.33230245</v>
      </c>
      <c r="AU551" s="108">
        <v>1866401962.0618923</v>
      </c>
      <c r="AV551" s="108">
        <v>2949658211.9882116</v>
      </c>
    </row>
    <row r="552" spans="1:48" x14ac:dyDescent="0.35">
      <c r="A552" s="107">
        <f xml:space="preserve"> ROW( slrImpacts[[#This Row],[row_id]] ) - ROW( slrImpacts[[#Headers],[row_id]] )</f>
        <v>551</v>
      </c>
      <c r="B552" s="104">
        <v>2045</v>
      </c>
      <c r="C552" s="104" t="s">
        <v>221</v>
      </c>
      <c r="D552" s="104" t="s">
        <v>208</v>
      </c>
      <c r="E552" s="104" t="s">
        <v>922</v>
      </c>
      <c r="F552" s="104"/>
      <c r="G552" s="105">
        <v>0</v>
      </c>
      <c r="H552" s="105">
        <v>0</v>
      </c>
      <c r="I552" s="105">
        <v>0</v>
      </c>
      <c r="J552" s="105">
        <v>0</v>
      </c>
      <c r="K552" s="105">
        <v>0</v>
      </c>
      <c r="L552" s="105">
        <v>0</v>
      </c>
      <c r="M552" s="106">
        <v>278235631.3081547</v>
      </c>
      <c r="N552" s="106">
        <v>364238752.67124689</v>
      </c>
      <c r="O552" s="106">
        <v>1103284234.9543171</v>
      </c>
      <c r="P552" s="106">
        <v>2158391144.2454534</v>
      </c>
      <c r="Q552" s="106">
        <v>3238105015.7523046</v>
      </c>
      <c r="R552" s="106">
        <v>4532188166.1692066</v>
      </c>
      <c r="S552" s="105">
        <v>0</v>
      </c>
      <c r="T552" s="105">
        <v>0</v>
      </c>
      <c r="U552" s="105">
        <v>0</v>
      </c>
      <c r="V552" s="105">
        <v>0</v>
      </c>
      <c r="W552" s="105">
        <v>0</v>
      </c>
      <c r="X552" s="105">
        <v>0</v>
      </c>
      <c r="Y552" s="106">
        <v>14329485.182783647</v>
      </c>
      <c r="Z552" s="106">
        <v>20245616.331483584</v>
      </c>
      <c r="AA552" s="106">
        <v>42469401.884350389</v>
      </c>
      <c r="AB552" s="108">
        <v>86631097.12655443</v>
      </c>
      <c r="AC552" s="108">
        <v>184213444.02717045</v>
      </c>
      <c r="AD552" s="108">
        <v>307649936.48202765</v>
      </c>
      <c r="AE552" s="108">
        <v>257514136.84432602</v>
      </c>
      <c r="AF552" s="108">
        <v>303735977.86525035</v>
      </c>
      <c r="AG552" s="108">
        <v>841195612.4470681</v>
      </c>
      <c r="AH552" s="108">
        <v>1505855279.9798577</v>
      </c>
      <c r="AI552" s="108">
        <v>1374064545.3945251</v>
      </c>
      <c r="AJ552" s="108">
        <v>2823672842.6719003</v>
      </c>
      <c r="AK552" s="108">
        <v>657456269.16355681</v>
      </c>
      <c r="AL552" s="108">
        <v>927335618.50638735</v>
      </c>
      <c r="AM552" s="108">
        <v>1370707301.1290908</v>
      </c>
      <c r="AN552" s="108">
        <v>1652462604.8415892</v>
      </c>
      <c r="AO552" s="108">
        <v>1887157423.9572365</v>
      </c>
      <c r="AP552" s="108">
        <v>2417062844.548481</v>
      </c>
      <c r="AQ552" s="108">
        <v>71441958.139826864</v>
      </c>
      <c r="AR552" s="108">
        <v>103387890.06345651</v>
      </c>
      <c r="AS552" s="108">
        <v>321137032.70306402</v>
      </c>
      <c r="AT552" s="108">
        <v>890221553.33488774</v>
      </c>
      <c r="AU552" s="108">
        <v>2059635630.8705239</v>
      </c>
      <c r="AV552" s="108">
        <v>3194107006.551784</v>
      </c>
    </row>
    <row r="553" spans="1:48" x14ac:dyDescent="0.35">
      <c r="A553" s="107">
        <f xml:space="preserve"> ROW( slrImpacts[[#This Row],[row_id]] ) - ROW( slrImpacts[[#Headers],[row_id]] )</f>
        <v>552</v>
      </c>
      <c r="B553" s="104">
        <v>2046</v>
      </c>
      <c r="C553" s="104" t="s">
        <v>221</v>
      </c>
      <c r="D553" s="104" t="s">
        <v>208</v>
      </c>
      <c r="E553" s="104" t="s">
        <v>922</v>
      </c>
      <c r="F553" s="104"/>
      <c r="G553" s="105">
        <v>0</v>
      </c>
      <c r="H553" s="105">
        <v>0</v>
      </c>
      <c r="I553" s="105">
        <v>0</v>
      </c>
      <c r="J553" s="105">
        <v>0</v>
      </c>
      <c r="K553" s="105">
        <v>0</v>
      </c>
      <c r="L553" s="105">
        <v>0</v>
      </c>
      <c r="M553" s="106">
        <v>281694427.62285054</v>
      </c>
      <c r="N553" s="106">
        <v>369504099.10111803</v>
      </c>
      <c r="O553" s="106">
        <v>1131440524.0042844</v>
      </c>
      <c r="P553" s="106">
        <v>2165663061.5545268</v>
      </c>
      <c r="Q553" s="106">
        <v>3216704396.8090692</v>
      </c>
      <c r="R553" s="106">
        <v>4510368004.699192</v>
      </c>
      <c r="S553" s="105">
        <v>0</v>
      </c>
      <c r="T553" s="105">
        <v>0</v>
      </c>
      <c r="U553" s="105">
        <v>0</v>
      </c>
      <c r="V553" s="105">
        <v>0</v>
      </c>
      <c r="W553" s="105">
        <v>0</v>
      </c>
      <c r="X553" s="105">
        <v>0</v>
      </c>
      <c r="Y553" s="106">
        <v>14680682.450296026</v>
      </c>
      <c r="Z553" s="106">
        <v>20899633.463312816</v>
      </c>
      <c r="AA553" s="106">
        <v>44924555.657485791</v>
      </c>
      <c r="AB553" s="108">
        <v>93888517.818376347</v>
      </c>
      <c r="AC553" s="108">
        <v>202481381.38174358</v>
      </c>
      <c r="AD553" s="108">
        <v>339178363.39762014</v>
      </c>
      <c r="AE553" s="108">
        <v>253281878.25245258</v>
      </c>
      <c r="AF553" s="108">
        <v>300293518.5680238</v>
      </c>
      <c r="AG553" s="108">
        <v>855923618.30562901</v>
      </c>
      <c r="AH553" s="108">
        <v>1482511389.5930891</v>
      </c>
      <c r="AI553" s="108">
        <v>1350438310.7880666</v>
      </c>
      <c r="AJ553" s="108">
        <v>2815042785.1726279</v>
      </c>
      <c r="AK553" s="108">
        <v>661554476.48077488</v>
      </c>
      <c r="AL553" s="108">
        <v>911013686.75207591</v>
      </c>
      <c r="AM553" s="108">
        <v>1305708854.4974737</v>
      </c>
      <c r="AN553" s="108">
        <v>1582200918.230962</v>
      </c>
      <c r="AO553" s="108">
        <v>1792074327.8289542</v>
      </c>
      <c r="AP553" s="108">
        <v>2353131686.6965075</v>
      </c>
      <c r="AQ553" s="108">
        <v>74233608.620953873</v>
      </c>
      <c r="AR553" s="108">
        <v>108260458.90627092</v>
      </c>
      <c r="AS553" s="108">
        <v>349541202.18649805</v>
      </c>
      <c r="AT553" s="108">
        <v>979004913.45681453</v>
      </c>
      <c r="AU553" s="108">
        <v>2266758659.659739</v>
      </c>
      <c r="AV553" s="108">
        <v>3414173284.2096152</v>
      </c>
    </row>
    <row r="554" spans="1:48" x14ac:dyDescent="0.35">
      <c r="A554" s="107">
        <f xml:space="preserve"> ROW( slrImpacts[[#This Row],[row_id]] ) - ROW( slrImpacts[[#Headers],[row_id]] )</f>
        <v>553</v>
      </c>
      <c r="B554" s="104">
        <v>2047</v>
      </c>
      <c r="C554" s="104" t="s">
        <v>221</v>
      </c>
      <c r="D554" s="104" t="s">
        <v>208</v>
      </c>
      <c r="E554" s="104" t="s">
        <v>922</v>
      </c>
      <c r="F554" s="104"/>
      <c r="G554" s="105">
        <v>0</v>
      </c>
      <c r="H554" s="105">
        <v>0</v>
      </c>
      <c r="I554" s="105">
        <v>0</v>
      </c>
      <c r="J554" s="105">
        <v>0</v>
      </c>
      <c r="K554" s="105">
        <v>0</v>
      </c>
      <c r="L554" s="105">
        <v>0</v>
      </c>
      <c r="M554" s="106">
        <v>285155063.8540628</v>
      </c>
      <c r="N554" s="106">
        <v>374366061.88132983</v>
      </c>
      <c r="O554" s="106">
        <v>1159818269.3639698</v>
      </c>
      <c r="P554" s="106">
        <v>2164016160.7729363</v>
      </c>
      <c r="Q554" s="106">
        <v>3182783154.5132079</v>
      </c>
      <c r="R554" s="106">
        <v>4479261393.0984421</v>
      </c>
      <c r="S554" s="105">
        <v>0</v>
      </c>
      <c r="T554" s="105">
        <v>0</v>
      </c>
      <c r="U554" s="105">
        <v>0</v>
      </c>
      <c r="V554" s="105">
        <v>0</v>
      </c>
      <c r="W554" s="105">
        <v>0</v>
      </c>
      <c r="X554" s="105">
        <v>0</v>
      </c>
      <c r="Y554" s="106">
        <v>15038668.572732311</v>
      </c>
      <c r="Z554" s="106">
        <v>21562315.321858294</v>
      </c>
      <c r="AA554" s="106">
        <v>47505974.828269526</v>
      </c>
      <c r="AB554" s="108">
        <v>101746583.50150424</v>
      </c>
      <c r="AC554" s="108">
        <v>222420574.39033002</v>
      </c>
      <c r="AD554" s="108">
        <v>373048300.94193184</v>
      </c>
      <c r="AE554" s="108">
        <v>247496115.28568545</v>
      </c>
      <c r="AF554" s="108">
        <v>296720998.57740289</v>
      </c>
      <c r="AG554" s="108">
        <v>861583871.29273057</v>
      </c>
      <c r="AH554" s="108">
        <v>1456692662.2723417</v>
      </c>
      <c r="AI554" s="108">
        <v>1335496706.4636936</v>
      </c>
      <c r="AJ554" s="108">
        <v>2820818716.4908051</v>
      </c>
      <c r="AK554" s="108">
        <v>664705047.26568902</v>
      </c>
      <c r="AL554" s="108">
        <v>895243956.00978279</v>
      </c>
      <c r="AM554" s="108">
        <v>1231062416.3140807</v>
      </c>
      <c r="AN554" s="108">
        <v>1513075482.9882503</v>
      </c>
      <c r="AO554" s="108">
        <v>1722503971.5220563</v>
      </c>
      <c r="AP554" s="108">
        <v>2290196544.1012859</v>
      </c>
      <c r="AQ554" s="108">
        <v>77016768.961019024</v>
      </c>
      <c r="AR554" s="108">
        <v>113247769.52061608</v>
      </c>
      <c r="AS554" s="108">
        <v>380688327.66415209</v>
      </c>
      <c r="AT554" s="108">
        <v>1072191869.6011496</v>
      </c>
      <c r="AU554" s="108">
        <v>2448322515.5483394</v>
      </c>
      <c r="AV554" s="108">
        <v>3594207387.0123014</v>
      </c>
    </row>
    <row r="555" spans="1:48" x14ac:dyDescent="0.35">
      <c r="A555" s="107">
        <f xml:space="preserve"> ROW( slrImpacts[[#This Row],[row_id]] ) - ROW( slrImpacts[[#Headers],[row_id]] )</f>
        <v>554</v>
      </c>
      <c r="B555" s="104">
        <v>2048</v>
      </c>
      <c r="C555" s="104" t="s">
        <v>221</v>
      </c>
      <c r="D555" s="104" t="s">
        <v>208</v>
      </c>
      <c r="E555" s="104" t="s">
        <v>922</v>
      </c>
      <c r="F555" s="104"/>
      <c r="G555" s="105">
        <v>0</v>
      </c>
      <c r="H555" s="105">
        <v>0</v>
      </c>
      <c r="I555" s="105">
        <v>0</v>
      </c>
      <c r="J555" s="105">
        <v>0</v>
      </c>
      <c r="K555" s="105">
        <v>0</v>
      </c>
      <c r="L555" s="105">
        <v>0</v>
      </c>
      <c r="M555" s="106">
        <v>288449528.29176015</v>
      </c>
      <c r="N555" s="106">
        <v>379657729.97913229</v>
      </c>
      <c r="O555" s="106">
        <v>1190054257.1358666</v>
      </c>
      <c r="P555" s="106">
        <v>2160860090.3525124</v>
      </c>
      <c r="Q555" s="106">
        <v>3155469332.214469</v>
      </c>
      <c r="R555" s="106">
        <v>4456590468.3799801</v>
      </c>
      <c r="S555" s="105">
        <v>0</v>
      </c>
      <c r="T555" s="105">
        <v>0</v>
      </c>
      <c r="U555" s="105">
        <v>0</v>
      </c>
      <c r="V555" s="105">
        <v>0</v>
      </c>
      <c r="W555" s="105">
        <v>0</v>
      </c>
      <c r="X555" s="105">
        <v>0</v>
      </c>
      <c r="Y555" s="106">
        <v>15400257.687165959</v>
      </c>
      <c r="Z555" s="106">
        <v>22237550.974910706</v>
      </c>
      <c r="AA555" s="106">
        <v>50236566.50763984</v>
      </c>
      <c r="AB555" s="108">
        <v>110243454.15160631</v>
      </c>
      <c r="AC555" s="108">
        <v>243197345.62197313</v>
      </c>
      <c r="AD555" s="108">
        <v>406882618.28369045</v>
      </c>
      <c r="AE555" s="108">
        <v>240910330.62820187</v>
      </c>
      <c r="AF555" s="108">
        <v>293573791.24101859</v>
      </c>
      <c r="AG555" s="108">
        <v>863823490.49802852</v>
      </c>
      <c r="AH555" s="108">
        <v>1420615001.106705</v>
      </c>
      <c r="AI555" s="108">
        <v>1335556415.0461709</v>
      </c>
      <c r="AJ555" s="108">
        <v>2831959232.8818455</v>
      </c>
      <c r="AK555" s="108">
        <v>667066249.6048578</v>
      </c>
      <c r="AL555" s="108">
        <v>878443260.4547745</v>
      </c>
      <c r="AM555" s="108">
        <v>1148442213.3033836</v>
      </c>
      <c r="AN555" s="108">
        <v>1433081252.9654624</v>
      </c>
      <c r="AO555" s="108">
        <v>1660286488.1159563</v>
      </c>
      <c r="AP555" s="108">
        <v>2220098249.7247677</v>
      </c>
      <c r="AQ555" s="108">
        <v>79867123.574233294</v>
      </c>
      <c r="AR555" s="108">
        <v>118062857.76256001</v>
      </c>
      <c r="AS555" s="108">
        <v>413509203.50487572</v>
      </c>
      <c r="AT555" s="108">
        <v>1172122259.8032622</v>
      </c>
      <c r="AU555" s="108">
        <v>2607798551.4287934</v>
      </c>
      <c r="AV555" s="108">
        <v>3738431629.7790704</v>
      </c>
    </row>
    <row r="556" spans="1:48" x14ac:dyDescent="0.35">
      <c r="A556" s="107">
        <f xml:space="preserve"> ROW( slrImpacts[[#This Row],[row_id]] ) - ROW( slrImpacts[[#Headers],[row_id]] )</f>
        <v>555</v>
      </c>
      <c r="B556" s="104">
        <v>2049</v>
      </c>
      <c r="C556" s="104" t="s">
        <v>221</v>
      </c>
      <c r="D556" s="104" t="s">
        <v>208</v>
      </c>
      <c r="E556" s="104" t="s">
        <v>922</v>
      </c>
      <c r="F556" s="104"/>
      <c r="G556" s="105">
        <v>0</v>
      </c>
      <c r="H556" s="105">
        <v>0</v>
      </c>
      <c r="I556" s="105">
        <v>0</v>
      </c>
      <c r="J556" s="105">
        <v>0</v>
      </c>
      <c r="K556" s="105">
        <v>0</v>
      </c>
      <c r="L556" s="105">
        <v>0</v>
      </c>
      <c r="M556" s="106">
        <v>291695818.58096856</v>
      </c>
      <c r="N556" s="106">
        <v>384447025.54161263</v>
      </c>
      <c r="O556" s="106">
        <v>1220851633.5488999</v>
      </c>
      <c r="P556" s="106">
        <v>2160289736.7206869</v>
      </c>
      <c r="Q556" s="106">
        <v>3120044456.4226475</v>
      </c>
      <c r="R556" s="106">
        <v>4448332969.1458683</v>
      </c>
      <c r="S556" s="105">
        <v>0</v>
      </c>
      <c r="T556" s="105">
        <v>0</v>
      </c>
      <c r="U556" s="105">
        <v>0</v>
      </c>
      <c r="V556" s="105">
        <v>0</v>
      </c>
      <c r="W556" s="105">
        <v>0</v>
      </c>
      <c r="X556" s="105">
        <v>0</v>
      </c>
      <c r="Y556" s="106">
        <v>15767014.904297063</v>
      </c>
      <c r="Z556" s="106">
        <v>22885809.167504761</v>
      </c>
      <c r="AA556" s="106">
        <v>53107546.870348267</v>
      </c>
      <c r="AB556" s="108">
        <v>119464541.39746094</v>
      </c>
      <c r="AC556" s="108">
        <v>265563049.07273328</v>
      </c>
      <c r="AD556" s="108">
        <v>439167586.80690259</v>
      </c>
      <c r="AE556" s="108">
        <v>236255142.95388132</v>
      </c>
      <c r="AF556" s="108">
        <v>290529821.95988697</v>
      </c>
      <c r="AG556" s="108">
        <v>860871237.22669339</v>
      </c>
      <c r="AH556" s="108">
        <v>1377131996.9397492</v>
      </c>
      <c r="AI556" s="108">
        <v>1345940957.0529222</v>
      </c>
      <c r="AJ556" s="108">
        <v>2860304894.6049743</v>
      </c>
      <c r="AK556" s="108">
        <v>661713359.60727656</v>
      </c>
      <c r="AL556" s="108">
        <v>859394843.23088491</v>
      </c>
      <c r="AM556" s="108">
        <v>1141366914.7338548</v>
      </c>
      <c r="AN556" s="108">
        <v>1347985877.1772602</v>
      </c>
      <c r="AO556" s="108">
        <v>1596227513.1159153</v>
      </c>
      <c r="AP556" s="108">
        <v>2148418584.847487</v>
      </c>
      <c r="AQ556" s="108">
        <v>82755940.620047286</v>
      </c>
      <c r="AR556" s="108">
        <v>122837437.97087047</v>
      </c>
      <c r="AS556" s="108">
        <v>447853827.79234862</v>
      </c>
      <c r="AT556" s="108">
        <v>1276730336.0150464</v>
      </c>
      <c r="AU556" s="108">
        <v>2748591499.2424355</v>
      </c>
      <c r="AV556" s="108">
        <v>3863787354.6401877</v>
      </c>
    </row>
    <row r="557" spans="1:48" x14ac:dyDescent="0.35">
      <c r="A557" s="107">
        <f xml:space="preserve"> ROW( slrImpacts[[#This Row],[row_id]] ) - ROW( slrImpacts[[#Headers],[row_id]] )</f>
        <v>556</v>
      </c>
      <c r="B557" s="104">
        <v>2050</v>
      </c>
      <c r="C557" s="104" t="s">
        <v>221</v>
      </c>
      <c r="D557" s="104" t="s">
        <v>208</v>
      </c>
      <c r="E557" s="104" t="s">
        <v>922</v>
      </c>
      <c r="F557" s="104"/>
      <c r="G557" s="105">
        <v>0</v>
      </c>
      <c r="H557" s="105">
        <v>0</v>
      </c>
      <c r="I557" s="105">
        <v>0</v>
      </c>
      <c r="J557" s="105">
        <v>0</v>
      </c>
      <c r="K557" s="105">
        <v>0</v>
      </c>
      <c r="L557" s="105">
        <v>0</v>
      </c>
      <c r="M557" s="106">
        <v>295173345.40345311</v>
      </c>
      <c r="N557" s="106">
        <v>389018934.70538622</v>
      </c>
      <c r="O557" s="106">
        <v>1253804747.1505737</v>
      </c>
      <c r="P557" s="106">
        <v>2159667877.5215821</v>
      </c>
      <c r="Q557" s="106">
        <v>3091028321.3990688</v>
      </c>
      <c r="R557" s="106">
        <v>4474766103.9624786</v>
      </c>
      <c r="S557" s="105">
        <v>0</v>
      </c>
      <c r="T557" s="105">
        <v>0</v>
      </c>
      <c r="U557" s="105">
        <v>0</v>
      </c>
      <c r="V557" s="105">
        <v>0</v>
      </c>
      <c r="W557" s="105">
        <v>0</v>
      </c>
      <c r="X557" s="105">
        <v>0</v>
      </c>
      <c r="Y557" s="106">
        <v>16143208.60100263</v>
      </c>
      <c r="Z557" s="106">
        <v>23493244.705007583</v>
      </c>
      <c r="AA557" s="106">
        <v>56120977.996650584</v>
      </c>
      <c r="AB557" s="108">
        <v>128973977.91823438</v>
      </c>
      <c r="AC557" s="108">
        <v>289334359.14800406</v>
      </c>
      <c r="AD557" s="108">
        <v>469053965.66940039</v>
      </c>
      <c r="AE557" s="108">
        <v>231614612.24212319</v>
      </c>
      <c r="AF557" s="108">
        <v>287038356.75722641</v>
      </c>
      <c r="AG557" s="108">
        <v>857964297.84675288</v>
      </c>
      <c r="AH557" s="108">
        <v>1347519548.1618624</v>
      </c>
      <c r="AI557" s="108">
        <v>1354771378.9958169</v>
      </c>
      <c r="AJ557" s="108">
        <v>2898970474.3665943</v>
      </c>
      <c r="AK557" s="108">
        <v>656076241.12555242</v>
      </c>
      <c r="AL557" s="108">
        <v>829150685.95074797</v>
      </c>
      <c r="AM557" s="108">
        <v>1145415451.0786605</v>
      </c>
      <c r="AN557" s="108">
        <v>1276352647.8860807</v>
      </c>
      <c r="AO557" s="108">
        <v>1530416782.1734943</v>
      </c>
      <c r="AP557" s="108">
        <v>2165070886.5713797</v>
      </c>
      <c r="AQ557" s="108">
        <v>85716805.211202845</v>
      </c>
      <c r="AR557" s="108">
        <v>127520683.39158849</v>
      </c>
      <c r="AS557" s="108">
        <v>484922533.12178099</v>
      </c>
      <c r="AT557" s="108">
        <v>1384715388.1991992</v>
      </c>
      <c r="AU557" s="108">
        <v>2863099417.8264585</v>
      </c>
      <c r="AV557" s="108">
        <v>3977780586.1235471</v>
      </c>
    </row>
    <row r="558" spans="1:48" x14ac:dyDescent="0.35">
      <c r="A558" s="107">
        <f xml:space="preserve"> ROW( slrImpacts[[#This Row],[row_id]] ) - ROW( slrImpacts[[#Headers],[row_id]] )</f>
        <v>557</v>
      </c>
      <c r="B558" s="104">
        <v>2051</v>
      </c>
      <c r="C558" s="104" t="s">
        <v>221</v>
      </c>
      <c r="D558" s="104" t="s">
        <v>208</v>
      </c>
      <c r="E558" s="104" t="s">
        <v>922</v>
      </c>
      <c r="F558" s="104"/>
      <c r="G558" s="105">
        <v>0</v>
      </c>
      <c r="H558" s="105">
        <v>0</v>
      </c>
      <c r="I558" s="105">
        <v>0</v>
      </c>
      <c r="J558" s="105">
        <v>0</v>
      </c>
      <c r="K558" s="105">
        <v>0</v>
      </c>
      <c r="L558" s="105">
        <v>0</v>
      </c>
      <c r="M558" s="106">
        <v>298772073.94962525</v>
      </c>
      <c r="N558" s="106">
        <v>393183880.94646162</v>
      </c>
      <c r="O558" s="106">
        <v>1282513557.4471548</v>
      </c>
      <c r="P558" s="106">
        <v>2151620706.4905086</v>
      </c>
      <c r="Q558" s="106">
        <v>3087205584.232172</v>
      </c>
      <c r="R558" s="106">
        <v>4515499475.217804</v>
      </c>
      <c r="S558" s="105">
        <v>0</v>
      </c>
      <c r="T558" s="105">
        <v>0</v>
      </c>
      <c r="U558" s="105">
        <v>0</v>
      </c>
      <c r="V558" s="105">
        <v>0</v>
      </c>
      <c r="W558" s="105">
        <v>0</v>
      </c>
      <c r="X558" s="105">
        <v>0</v>
      </c>
      <c r="Y558" s="106">
        <v>16523128.89920287</v>
      </c>
      <c r="Z558" s="106">
        <v>24111207.090116691</v>
      </c>
      <c r="AA558" s="106">
        <v>59156439.870629147</v>
      </c>
      <c r="AB558" s="108">
        <v>138677912.78623167</v>
      </c>
      <c r="AC558" s="108">
        <v>312641057.66482824</v>
      </c>
      <c r="AD558" s="108">
        <v>497134453.91062015</v>
      </c>
      <c r="AE558" s="108">
        <v>228580495.8659088</v>
      </c>
      <c r="AF558" s="108">
        <v>285323070.53113431</v>
      </c>
      <c r="AG558" s="108">
        <v>850525412.61599553</v>
      </c>
      <c r="AH558" s="108">
        <v>1330907721.1988814</v>
      </c>
      <c r="AI558" s="108">
        <v>1365890411.4885037</v>
      </c>
      <c r="AJ558" s="108">
        <v>2947563807.8534832</v>
      </c>
      <c r="AK558" s="108">
        <v>650511941.95310414</v>
      </c>
      <c r="AL558" s="108">
        <v>790647266.08600509</v>
      </c>
      <c r="AM558" s="108">
        <v>1116174569.1113791</v>
      </c>
      <c r="AN558" s="108">
        <v>1203459851.4805291</v>
      </c>
      <c r="AO558" s="108">
        <v>1464606867.5901997</v>
      </c>
      <c r="AP558" s="108">
        <v>2188356940.8015323</v>
      </c>
      <c r="AQ558" s="108">
        <v>88779974.716402903</v>
      </c>
      <c r="AR558" s="108">
        <v>131736453.35483316</v>
      </c>
      <c r="AS558" s="108">
        <v>524309598.22035372</v>
      </c>
      <c r="AT558" s="108">
        <v>1497193351.0535591</v>
      </c>
      <c r="AU558" s="108">
        <v>2956337776.8113527</v>
      </c>
      <c r="AV558" s="108">
        <v>4087447380.8681841</v>
      </c>
    </row>
    <row r="559" spans="1:48" x14ac:dyDescent="0.35">
      <c r="A559" s="107">
        <f xml:space="preserve"> ROW( slrImpacts[[#This Row],[row_id]] ) - ROW( slrImpacts[[#Headers],[row_id]] )</f>
        <v>558</v>
      </c>
      <c r="B559" s="104">
        <v>2052</v>
      </c>
      <c r="C559" s="104" t="s">
        <v>221</v>
      </c>
      <c r="D559" s="104" t="s">
        <v>208</v>
      </c>
      <c r="E559" s="104" t="s">
        <v>922</v>
      </c>
      <c r="F559" s="104"/>
      <c r="G559" s="105">
        <v>0</v>
      </c>
      <c r="H559" s="105">
        <v>0</v>
      </c>
      <c r="I559" s="105">
        <v>0</v>
      </c>
      <c r="J559" s="105">
        <v>0</v>
      </c>
      <c r="K559" s="105">
        <v>0</v>
      </c>
      <c r="L559" s="105">
        <v>0</v>
      </c>
      <c r="M559" s="106">
        <v>302546830.09043157</v>
      </c>
      <c r="N559" s="106">
        <v>397545580.99534053</v>
      </c>
      <c r="O559" s="106">
        <v>1307601565.5283785</v>
      </c>
      <c r="P559" s="106">
        <v>2130643696.2862337</v>
      </c>
      <c r="Q559" s="106">
        <v>3109949415.2925668</v>
      </c>
      <c r="R559" s="106">
        <v>4551691451.7676134</v>
      </c>
      <c r="S559" s="105">
        <v>0</v>
      </c>
      <c r="T559" s="105">
        <v>0</v>
      </c>
      <c r="U559" s="105">
        <v>0</v>
      </c>
      <c r="V559" s="105">
        <v>0</v>
      </c>
      <c r="W559" s="105">
        <v>0</v>
      </c>
      <c r="X559" s="105">
        <v>0</v>
      </c>
      <c r="Y559" s="106">
        <v>16911369.548676379</v>
      </c>
      <c r="Z559" s="106">
        <v>24735314.301958624</v>
      </c>
      <c r="AA559" s="106">
        <v>62187802.727797911</v>
      </c>
      <c r="AB559" s="108">
        <v>149083280.81986326</v>
      </c>
      <c r="AC559" s="108">
        <v>334661125.36974365</v>
      </c>
      <c r="AD559" s="108">
        <v>523510581.4871223</v>
      </c>
      <c r="AE559" s="108">
        <v>224934454.46325749</v>
      </c>
      <c r="AF559" s="108">
        <v>286095493.17671573</v>
      </c>
      <c r="AG559" s="108">
        <v>839133338.63191497</v>
      </c>
      <c r="AH559" s="108">
        <v>1316224555.0698578</v>
      </c>
      <c r="AI559" s="108">
        <v>1381322938.3491561</v>
      </c>
      <c r="AJ559" s="108">
        <v>2993798481.3666024</v>
      </c>
      <c r="AK559" s="108">
        <v>646256114.94907451</v>
      </c>
      <c r="AL559" s="108">
        <v>746202520.38156796</v>
      </c>
      <c r="AM559" s="108">
        <v>1063087237.7648034</v>
      </c>
      <c r="AN559" s="108">
        <v>1129780622.8156395</v>
      </c>
      <c r="AO559" s="108">
        <v>1472107281.9550142</v>
      </c>
      <c r="AP559" s="108">
        <v>2217616746.3182611</v>
      </c>
      <c r="AQ559" s="108">
        <v>92016410.133461609</v>
      </c>
      <c r="AR559" s="108">
        <v>135558472.992015</v>
      </c>
      <c r="AS559" s="108">
        <v>564383104.42819011</v>
      </c>
      <c r="AT559" s="108">
        <v>1616503950.535717</v>
      </c>
      <c r="AU559" s="108">
        <v>3038783450.4005899</v>
      </c>
      <c r="AV559" s="108">
        <v>4201218954.7311549</v>
      </c>
    </row>
    <row r="560" spans="1:48" x14ac:dyDescent="0.35">
      <c r="A560" s="107">
        <f xml:space="preserve"> ROW( slrImpacts[[#This Row],[row_id]] ) - ROW( slrImpacts[[#Headers],[row_id]] )</f>
        <v>559</v>
      </c>
      <c r="B560" s="104">
        <v>2053</v>
      </c>
      <c r="C560" s="104" t="s">
        <v>221</v>
      </c>
      <c r="D560" s="104" t="s">
        <v>208</v>
      </c>
      <c r="E560" s="104" t="s">
        <v>922</v>
      </c>
      <c r="F560" s="104"/>
      <c r="G560" s="105">
        <v>0</v>
      </c>
      <c r="H560" s="105">
        <v>0</v>
      </c>
      <c r="I560" s="105">
        <v>0</v>
      </c>
      <c r="J560" s="105">
        <v>0</v>
      </c>
      <c r="K560" s="105">
        <v>0</v>
      </c>
      <c r="L560" s="105">
        <v>0</v>
      </c>
      <c r="M560" s="106">
        <v>306172071.90655589</v>
      </c>
      <c r="N560" s="106">
        <v>401576616.26490748</v>
      </c>
      <c r="O560" s="106">
        <v>1322782931.1443348</v>
      </c>
      <c r="P560" s="106">
        <v>2110141989.4238565</v>
      </c>
      <c r="Q560" s="106">
        <v>3134053561.2434807</v>
      </c>
      <c r="R560" s="106">
        <v>4585108953.7767916</v>
      </c>
      <c r="S560" s="105">
        <v>0</v>
      </c>
      <c r="T560" s="105">
        <v>0</v>
      </c>
      <c r="U560" s="105">
        <v>0</v>
      </c>
      <c r="V560" s="105">
        <v>0</v>
      </c>
      <c r="W560" s="105">
        <v>0</v>
      </c>
      <c r="X560" s="105">
        <v>0</v>
      </c>
      <c r="Y560" s="106">
        <v>17306313.688136749</v>
      </c>
      <c r="Z560" s="106">
        <v>25363794.319976144</v>
      </c>
      <c r="AA560" s="106">
        <v>65373812.165655263</v>
      </c>
      <c r="AB560" s="108">
        <v>159439115.6601257</v>
      </c>
      <c r="AC560" s="108">
        <v>354460656.58050108</v>
      </c>
      <c r="AD560" s="108">
        <v>547595803.78836942</v>
      </c>
      <c r="AE560" s="108">
        <v>222579229.17938858</v>
      </c>
      <c r="AF560" s="108">
        <v>288068910.04098719</v>
      </c>
      <c r="AG560" s="108">
        <v>824529503.68351448</v>
      </c>
      <c r="AH560" s="108">
        <v>1303866683.9170606</v>
      </c>
      <c r="AI560" s="108">
        <v>1398392923.9227262</v>
      </c>
      <c r="AJ560" s="108">
        <v>3037396002.1121907</v>
      </c>
      <c r="AK560" s="108">
        <v>642040316.45907187</v>
      </c>
      <c r="AL560" s="108">
        <v>696310799.72058368</v>
      </c>
      <c r="AM560" s="108">
        <v>1004111328.8647981</v>
      </c>
      <c r="AN560" s="108">
        <v>1049563241.4512796</v>
      </c>
      <c r="AO560" s="108">
        <v>1485945188.5795467</v>
      </c>
      <c r="AP560" s="108">
        <v>2245110121.2310858</v>
      </c>
      <c r="AQ560" s="108">
        <v>95341023.782142252</v>
      </c>
      <c r="AR560" s="108">
        <v>139171154.99096203</v>
      </c>
      <c r="AS560" s="108">
        <v>604042779.16871142</v>
      </c>
      <c r="AT560" s="108">
        <v>1732355915.0404716</v>
      </c>
      <c r="AU560" s="108">
        <v>3116333322.3418813</v>
      </c>
      <c r="AV560" s="108">
        <v>4309154056.783371</v>
      </c>
    </row>
    <row r="561" spans="1:48" x14ac:dyDescent="0.35">
      <c r="A561" s="107">
        <f xml:space="preserve"> ROW( slrImpacts[[#This Row],[row_id]] ) - ROW( slrImpacts[[#Headers],[row_id]] )</f>
        <v>560</v>
      </c>
      <c r="B561" s="104">
        <v>2054</v>
      </c>
      <c r="C561" s="104" t="s">
        <v>221</v>
      </c>
      <c r="D561" s="104" t="s">
        <v>208</v>
      </c>
      <c r="E561" s="104" t="s">
        <v>922</v>
      </c>
      <c r="F561" s="104"/>
      <c r="G561" s="105">
        <v>0</v>
      </c>
      <c r="H561" s="105">
        <v>0</v>
      </c>
      <c r="I561" s="105">
        <v>0</v>
      </c>
      <c r="J561" s="105">
        <v>0</v>
      </c>
      <c r="K561" s="105">
        <v>0</v>
      </c>
      <c r="L561" s="105">
        <v>0</v>
      </c>
      <c r="M561" s="106">
        <v>310147992.29316819</v>
      </c>
      <c r="N561" s="106">
        <v>404891109.69480187</v>
      </c>
      <c r="O561" s="106">
        <v>1326678794.8580668</v>
      </c>
      <c r="P561" s="106">
        <v>2084090786.8345993</v>
      </c>
      <c r="Q561" s="106">
        <v>3151220688.1364751</v>
      </c>
      <c r="R561" s="106">
        <v>4626833060.9213066</v>
      </c>
      <c r="S561" s="105">
        <v>0</v>
      </c>
      <c r="T561" s="105">
        <v>0</v>
      </c>
      <c r="U561" s="105">
        <v>0</v>
      </c>
      <c r="V561" s="105">
        <v>0</v>
      </c>
      <c r="W561" s="105">
        <v>0</v>
      </c>
      <c r="X561" s="105">
        <v>0</v>
      </c>
      <c r="Y561" s="106">
        <v>17704458.786859386</v>
      </c>
      <c r="Z561" s="106">
        <v>25953401.343613334</v>
      </c>
      <c r="AA561" s="106">
        <v>68723310.487600118</v>
      </c>
      <c r="AB561" s="108">
        <v>170336615.36259165</v>
      </c>
      <c r="AC561" s="108">
        <v>373754582.55028969</v>
      </c>
      <c r="AD561" s="108">
        <v>570127436.85797346</v>
      </c>
      <c r="AE561" s="108">
        <v>220403826.60814941</v>
      </c>
      <c r="AF561" s="108">
        <v>291561492.27975672</v>
      </c>
      <c r="AG561" s="108">
        <v>807599517.53994024</v>
      </c>
      <c r="AH561" s="108">
        <v>1298385913.0414016</v>
      </c>
      <c r="AI561" s="108">
        <v>1409475798.2432945</v>
      </c>
      <c r="AJ561" s="108">
        <v>3079710759.3880258</v>
      </c>
      <c r="AK561" s="108">
        <v>629742310.09066653</v>
      </c>
      <c r="AL561" s="108">
        <v>640676458.4995172</v>
      </c>
      <c r="AM561" s="108">
        <v>939362666.39599824</v>
      </c>
      <c r="AN561" s="108">
        <v>970044189.03339791</v>
      </c>
      <c r="AO561" s="108">
        <v>1503362373.7176483</v>
      </c>
      <c r="AP561" s="108">
        <v>2270221041.0472388</v>
      </c>
      <c r="AQ561" s="108">
        <v>98745695.437246248</v>
      </c>
      <c r="AR561" s="108">
        <v>142814695.87057713</v>
      </c>
      <c r="AS561" s="108">
        <v>643370799.16151297</v>
      </c>
      <c r="AT561" s="108">
        <v>1831723474.6050761</v>
      </c>
      <c r="AU561" s="108">
        <v>3187987925.7509761</v>
      </c>
      <c r="AV561" s="108">
        <v>4414175272.4545383</v>
      </c>
    </row>
    <row r="562" spans="1:48" x14ac:dyDescent="0.35">
      <c r="A562" s="107">
        <f xml:space="preserve"> ROW( slrImpacts[[#This Row],[row_id]] ) - ROW( slrImpacts[[#Headers],[row_id]] )</f>
        <v>561</v>
      </c>
      <c r="B562" s="104">
        <v>2055</v>
      </c>
      <c r="C562" s="104" t="s">
        <v>221</v>
      </c>
      <c r="D562" s="104" t="s">
        <v>208</v>
      </c>
      <c r="E562" s="104" t="s">
        <v>922</v>
      </c>
      <c r="F562" s="104"/>
      <c r="G562" s="105">
        <v>0</v>
      </c>
      <c r="H562" s="105">
        <v>0</v>
      </c>
      <c r="I562" s="105">
        <v>0</v>
      </c>
      <c r="J562" s="105">
        <v>0</v>
      </c>
      <c r="K562" s="105">
        <v>0</v>
      </c>
      <c r="L562" s="105">
        <v>0</v>
      </c>
      <c r="M562" s="106">
        <v>314000592.5516336</v>
      </c>
      <c r="N562" s="106">
        <v>408773436.6828506</v>
      </c>
      <c r="O562" s="106">
        <v>1323186959.3894322</v>
      </c>
      <c r="P562" s="106">
        <v>2069477628.8987951</v>
      </c>
      <c r="Q562" s="106">
        <v>3172295980.9642901</v>
      </c>
      <c r="R562" s="106">
        <v>4686685530.2707148</v>
      </c>
      <c r="S562" s="105">
        <v>0</v>
      </c>
      <c r="T562" s="105">
        <v>0</v>
      </c>
      <c r="U562" s="105">
        <v>0</v>
      </c>
      <c r="V562" s="105">
        <v>0</v>
      </c>
      <c r="W562" s="105">
        <v>0</v>
      </c>
      <c r="X562" s="105">
        <v>0</v>
      </c>
      <c r="Y562" s="106">
        <v>18109618.062120337</v>
      </c>
      <c r="Z562" s="106">
        <v>26535344.585094541</v>
      </c>
      <c r="AA562" s="106">
        <v>72199269.655949205</v>
      </c>
      <c r="AB562" s="108">
        <v>181493328.15217376</v>
      </c>
      <c r="AC562" s="108">
        <v>392926628.91339839</v>
      </c>
      <c r="AD562" s="108">
        <v>593659275.13387942</v>
      </c>
      <c r="AE562" s="108">
        <v>220162138.88851741</v>
      </c>
      <c r="AF562" s="108">
        <v>294799005.91620672</v>
      </c>
      <c r="AG562" s="108">
        <v>789222395.767851</v>
      </c>
      <c r="AH562" s="108">
        <v>1294011254.6254604</v>
      </c>
      <c r="AI562" s="108">
        <v>1420902633.3704083</v>
      </c>
      <c r="AJ562" s="108">
        <v>3119062848.674984</v>
      </c>
      <c r="AK562" s="108">
        <v>613625906.67842782</v>
      </c>
      <c r="AL562" s="108">
        <v>621958682.56333244</v>
      </c>
      <c r="AM562" s="108">
        <v>885603969.11841547</v>
      </c>
      <c r="AN562" s="108">
        <v>891742077.59782255</v>
      </c>
      <c r="AO562" s="108">
        <v>1522902155.9140742</v>
      </c>
      <c r="AP562" s="108">
        <v>2291724339.0058327</v>
      </c>
      <c r="AQ562" s="108">
        <v>102191939.97826937</v>
      </c>
      <c r="AR562" s="108">
        <v>146690464.97150409</v>
      </c>
      <c r="AS562" s="108">
        <v>683189708.4995265</v>
      </c>
      <c r="AT562" s="108">
        <v>1916954109.9139526</v>
      </c>
      <c r="AU562" s="108">
        <v>3256589863.5380139</v>
      </c>
      <c r="AV562" s="108">
        <v>4518272674.3103495</v>
      </c>
    </row>
    <row r="563" spans="1:48" x14ac:dyDescent="0.35">
      <c r="A563" s="107">
        <f xml:space="preserve"> ROW( slrImpacts[[#This Row],[row_id]] ) - ROW( slrImpacts[[#Headers],[row_id]] )</f>
        <v>562</v>
      </c>
      <c r="B563" s="104">
        <v>2056</v>
      </c>
      <c r="C563" s="104" t="s">
        <v>221</v>
      </c>
      <c r="D563" s="104" t="s">
        <v>208</v>
      </c>
      <c r="E563" s="104" t="s">
        <v>922</v>
      </c>
      <c r="F563" s="104"/>
      <c r="G563" s="105">
        <v>0</v>
      </c>
      <c r="H563" s="105">
        <v>0</v>
      </c>
      <c r="I563" s="105">
        <v>0</v>
      </c>
      <c r="J563" s="105">
        <v>0</v>
      </c>
      <c r="K563" s="105">
        <v>0</v>
      </c>
      <c r="L563" s="105">
        <v>0</v>
      </c>
      <c r="M563" s="106">
        <v>317552272.22363383</v>
      </c>
      <c r="N563" s="106">
        <v>411422599.27604091</v>
      </c>
      <c r="O563" s="106">
        <v>1315735194.4024425</v>
      </c>
      <c r="P563" s="106">
        <v>2060324989.4074421</v>
      </c>
      <c r="Q563" s="106">
        <v>3200021013.1832652</v>
      </c>
      <c r="R563" s="106">
        <v>4764289753.8403206</v>
      </c>
      <c r="S563" s="105">
        <v>0</v>
      </c>
      <c r="T563" s="105">
        <v>0</v>
      </c>
      <c r="U563" s="105">
        <v>0</v>
      </c>
      <c r="V563" s="105">
        <v>0</v>
      </c>
      <c r="W563" s="105">
        <v>0</v>
      </c>
      <c r="X563" s="105">
        <v>0</v>
      </c>
      <c r="Y563" s="106">
        <v>18494353.221731719</v>
      </c>
      <c r="Z563" s="106">
        <v>27063733.52614728</v>
      </c>
      <c r="AA563" s="106">
        <v>75674777.011390522</v>
      </c>
      <c r="AB563" s="108">
        <v>193643185.41075918</v>
      </c>
      <c r="AC563" s="108">
        <v>412290314.55649757</v>
      </c>
      <c r="AD563" s="108">
        <v>617747582.94180441</v>
      </c>
      <c r="AE563" s="108">
        <v>220239692.59439492</v>
      </c>
      <c r="AF563" s="108">
        <v>296438555.29017156</v>
      </c>
      <c r="AG563" s="108">
        <v>768776553.21226239</v>
      </c>
      <c r="AH563" s="108">
        <v>1295135465.6810505</v>
      </c>
      <c r="AI563" s="108">
        <v>1430754211.0431249</v>
      </c>
      <c r="AJ563" s="108">
        <v>3158912937.8361578</v>
      </c>
      <c r="AK563" s="108">
        <v>595052340.32413602</v>
      </c>
      <c r="AL563" s="108">
        <v>609124629.68972683</v>
      </c>
      <c r="AM563" s="108">
        <v>830257741.50039423</v>
      </c>
      <c r="AN563" s="108">
        <v>844844649.83212841</v>
      </c>
      <c r="AO563" s="108">
        <v>1540183651.0445697</v>
      </c>
      <c r="AP563" s="108">
        <v>2311119914.9224739</v>
      </c>
      <c r="AQ563" s="108">
        <v>105449424.64683199</v>
      </c>
      <c r="AR563" s="108">
        <v>150875756.39266163</v>
      </c>
      <c r="AS563" s="108">
        <v>725205508.9984417</v>
      </c>
      <c r="AT563" s="108">
        <v>1987689707.0454335</v>
      </c>
      <c r="AU563" s="108">
        <v>3317812557.6012759</v>
      </c>
      <c r="AV563" s="108">
        <v>4618916673.2653627</v>
      </c>
    </row>
    <row r="564" spans="1:48" x14ac:dyDescent="0.35">
      <c r="A564" s="107">
        <f xml:space="preserve"> ROW( slrImpacts[[#This Row],[row_id]] ) - ROW( slrImpacts[[#Headers],[row_id]] )</f>
        <v>563</v>
      </c>
      <c r="B564" s="104">
        <v>2057</v>
      </c>
      <c r="C564" s="104" t="s">
        <v>221</v>
      </c>
      <c r="D564" s="104" t="s">
        <v>208</v>
      </c>
      <c r="E564" s="104" t="s">
        <v>922</v>
      </c>
      <c r="F564" s="104"/>
      <c r="G564" s="105">
        <v>0</v>
      </c>
      <c r="H564" s="105">
        <v>0</v>
      </c>
      <c r="I564" s="105">
        <v>0</v>
      </c>
      <c r="J564" s="105">
        <v>0</v>
      </c>
      <c r="K564" s="105">
        <v>0</v>
      </c>
      <c r="L564" s="105">
        <v>0</v>
      </c>
      <c r="M564" s="106">
        <v>320516134.95943433</v>
      </c>
      <c r="N564" s="106">
        <v>412940627.33582795</v>
      </c>
      <c r="O564" s="106">
        <v>1303765635.2342918</v>
      </c>
      <c r="P564" s="106">
        <v>2067393455.4132402</v>
      </c>
      <c r="Q564" s="106">
        <v>3231244518.502594</v>
      </c>
      <c r="R564" s="106">
        <v>4839492419.7264566</v>
      </c>
      <c r="S564" s="105">
        <v>0</v>
      </c>
      <c r="T564" s="105">
        <v>0</v>
      </c>
      <c r="U564" s="105">
        <v>0</v>
      </c>
      <c r="V564" s="105">
        <v>0</v>
      </c>
      <c r="W564" s="105">
        <v>0</v>
      </c>
      <c r="X564" s="105">
        <v>0</v>
      </c>
      <c r="Y564" s="106">
        <v>18885339.086942568</v>
      </c>
      <c r="Z564" s="106">
        <v>27606951.104462843</v>
      </c>
      <c r="AA564" s="106">
        <v>79360351.339066148</v>
      </c>
      <c r="AB564" s="108">
        <v>205208987.03256771</v>
      </c>
      <c r="AC564" s="108">
        <v>430669038.98250461</v>
      </c>
      <c r="AD564" s="108">
        <v>642178535.35651088</v>
      </c>
      <c r="AE564" s="108">
        <v>220460837.59342453</v>
      </c>
      <c r="AF564" s="108">
        <v>297572089.37787646</v>
      </c>
      <c r="AG564" s="108">
        <v>750240331.62854397</v>
      </c>
      <c r="AH564" s="108">
        <v>1297943322.6775215</v>
      </c>
      <c r="AI564" s="108">
        <v>1435656647.9053984</v>
      </c>
      <c r="AJ564" s="108">
        <v>3194781320.6004572</v>
      </c>
      <c r="AK564" s="108">
        <v>573131090.29989231</v>
      </c>
      <c r="AL564" s="108">
        <v>603729332.22596979</v>
      </c>
      <c r="AM564" s="108">
        <v>777653966.08508635</v>
      </c>
      <c r="AN564" s="108">
        <v>841084165.25009191</v>
      </c>
      <c r="AO564" s="108">
        <v>1556306871.8731689</v>
      </c>
      <c r="AP564" s="108">
        <v>2329928748.3338032</v>
      </c>
      <c r="AQ564" s="108">
        <v>108716011.66269949</v>
      </c>
      <c r="AR564" s="108">
        <v>155578807.49551231</v>
      </c>
      <c r="AS564" s="108">
        <v>768323939.46549249</v>
      </c>
      <c r="AT564" s="108">
        <v>2049396456.2202265</v>
      </c>
      <c r="AU564" s="108">
        <v>3357390847.3893428</v>
      </c>
      <c r="AV564" s="108">
        <v>4720609612.4151669</v>
      </c>
    </row>
    <row r="565" spans="1:48" x14ac:dyDescent="0.35">
      <c r="A565" s="107">
        <f xml:space="preserve"> ROW( slrImpacts[[#This Row],[row_id]] ) - ROW( slrImpacts[[#Headers],[row_id]] )</f>
        <v>564</v>
      </c>
      <c r="B565" s="104">
        <v>2058</v>
      </c>
      <c r="C565" s="104" t="s">
        <v>221</v>
      </c>
      <c r="D565" s="104" t="s">
        <v>208</v>
      </c>
      <c r="E565" s="104" t="s">
        <v>922</v>
      </c>
      <c r="F565" s="104"/>
      <c r="G565" s="105">
        <v>0</v>
      </c>
      <c r="H565" s="105">
        <v>0</v>
      </c>
      <c r="I565" s="105">
        <v>0</v>
      </c>
      <c r="J565" s="105">
        <v>0</v>
      </c>
      <c r="K565" s="105">
        <v>0</v>
      </c>
      <c r="L565" s="105">
        <v>0</v>
      </c>
      <c r="M565" s="106">
        <v>323075971.45752013</v>
      </c>
      <c r="N565" s="106">
        <v>414683876.3510769</v>
      </c>
      <c r="O565" s="106">
        <v>1289572930.3791025</v>
      </c>
      <c r="P565" s="106">
        <v>2079866295.7927296</v>
      </c>
      <c r="Q565" s="106">
        <v>3263490337.3859615</v>
      </c>
      <c r="R565" s="106">
        <v>4928429625.6950932</v>
      </c>
      <c r="S565" s="105">
        <v>0</v>
      </c>
      <c r="T565" s="105">
        <v>0</v>
      </c>
      <c r="U565" s="105">
        <v>0</v>
      </c>
      <c r="V565" s="105">
        <v>0</v>
      </c>
      <c r="W565" s="105">
        <v>0</v>
      </c>
      <c r="X565" s="105">
        <v>0</v>
      </c>
      <c r="Y565" s="106">
        <v>19282796.720448863</v>
      </c>
      <c r="Z565" s="106">
        <v>28158406.282757834</v>
      </c>
      <c r="AA565" s="106">
        <v>83266605.620532274</v>
      </c>
      <c r="AB565" s="108">
        <v>217363806.15004948</v>
      </c>
      <c r="AC565" s="108">
        <v>448388545.48491913</v>
      </c>
      <c r="AD565" s="108">
        <v>665885926.53236973</v>
      </c>
      <c r="AE565" s="108">
        <v>220775751.36352554</v>
      </c>
      <c r="AF565" s="108">
        <v>299371419.91994816</v>
      </c>
      <c r="AG565" s="108">
        <v>738460045.78840446</v>
      </c>
      <c r="AH565" s="108">
        <v>1303868085.2417181</v>
      </c>
      <c r="AI565" s="108">
        <v>1439673918.5160363</v>
      </c>
      <c r="AJ565" s="108">
        <v>3229060492.4363909</v>
      </c>
      <c r="AK565" s="108">
        <v>546572713.52718449</v>
      </c>
      <c r="AL565" s="108">
        <v>598164143.51869678</v>
      </c>
      <c r="AM565" s="108">
        <v>722138707.3154403</v>
      </c>
      <c r="AN565" s="108">
        <v>842062503.23066247</v>
      </c>
      <c r="AO565" s="108">
        <v>1571216258.1717532</v>
      </c>
      <c r="AP565" s="108">
        <v>2347443809.3329434</v>
      </c>
      <c r="AQ565" s="108">
        <v>111864841.97925884</v>
      </c>
      <c r="AR565" s="108">
        <v>160309042.95220029</v>
      </c>
      <c r="AS565" s="108">
        <v>813495023.50026059</v>
      </c>
      <c r="AT565" s="108">
        <v>2100505051.6214194</v>
      </c>
      <c r="AU565" s="108">
        <v>3405606030.34372</v>
      </c>
      <c r="AV565" s="108">
        <v>4853494281.7190132</v>
      </c>
    </row>
    <row r="566" spans="1:48" x14ac:dyDescent="0.35">
      <c r="A566" s="107">
        <f xml:space="preserve"> ROW( slrImpacts[[#This Row],[row_id]] ) - ROW( slrImpacts[[#Headers],[row_id]] )</f>
        <v>565</v>
      </c>
      <c r="B566" s="104">
        <v>2059</v>
      </c>
      <c r="C566" s="104" t="s">
        <v>221</v>
      </c>
      <c r="D566" s="104" t="s">
        <v>208</v>
      </c>
      <c r="E566" s="104" t="s">
        <v>922</v>
      </c>
      <c r="F566" s="104"/>
      <c r="G566" s="105">
        <v>0</v>
      </c>
      <c r="H566" s="105">
        <v>0</v>
      </c>
      <c r="I566" s="105">
        <v>0</v>
      </c>
      <c r="J566" s="105">
        <v>0</v>
      </c>
      <c r="K566" s="105">
        <v>0</v>
      </c>
      <c r="L566" s="105">
        <v>0</v>
      </c>
      <c r="M566" s="106">
        <v>325477461.01540691</v>
      </c>
      <c r="N566" s="106">
        <v>415772920.77980047</v>
      </c>
      <c r="O566" s="106">
        <v>1274823563.6358478</v>
      </c>
      <c r="P566" s="106">
        <v>2089987191.8838317</v>
      </c>
      <c r="Q566" s="106">
        <v>3290161733.8761406</v>
      </c>
      <c r="R566" s="106">
        <v>5012834440.7945843</v>
      </c>
      <c r="S566" s="105">
        <v>0</v>
      </c>
      <c r="T566" s="105">
        <v>0</v>
      </c>
      <c r="U566" s="105">
        <v>0</v>
      </c>
      <c r="V566" s="105">
        <v>0</v>
      </c>
      <c r="W566" s="105">
        <v>0</v>
      </c>
      <c r="X566" s="105">
        <v>0</v>
      </c>
      <c r="Y566" s="106">
        <v>19689331.668813627</v>
      </c>
      <c r="Z566" s="106">
        <v>28723378.954924256</v>
      </c>
      <c r="AA566" s="106">
        <v>87315747.809319198</v>
      </c>
      <c r="AB566" s="108">
        <v>229503156.95029959</v>
      </c>
      <c r="AC566" s="108">
        <v>466951033.21816039</v>
      </c>
      <c r="AD566" s="108">
        <v>691395525.14041221</v>
      </c>
      <c r="AE566" s="108">
        <v>221103445.64933413</v>
      </c>
      <c r="AF566" s="108">
        <v>301151428.50363469</v>
      </c>
      <c r="AG566" s="108">
        <v>730302666.34870744</v>
      </c>
      <c r="AH566" s="108">
        <v>1312355251.7681193</v>
      </c>
      <c r="AI566" s="108">
        <v>1444648921.3043146</v>
      </c>
      <c r="AJ566" s="108">
        <v>3259497842.2955761</v>
      </c>
      <c r="AK566" s="108">
        <v>517612851.47016078</v>
      </c>
      <c r="AL566" s="108">
        <v>593629232.79714978</v>
      </c>
      <c r="AM566" s="108">
        <v>662676600.35562968</v>
      </c>
      <c r="AN566" s="108">
        <v>845875461.99878883</v>
      </c>
      <c r="AO566" s="108">
        <v>1586082037.6832569</v>
      </c>
      <c r="AP566" s="108">
        <v>2363948418.750823</v>
      </c>
      <c r="AQ566" s="108">
        <v>115157672.47598052</v>
      </c>
      <c r="AR566" s="108">
        <v>165167019.94902289</v>
      </c>
      <c r="AS566" s="108">
        <v>859731474.80143046</v>
      </c>
      <c r="AT566" s="108">
        <v>2136950571.6938114</v>
      </c>
      <c r="AU566" s="108">
        <v>3462787809.2266731</v>
      </c>
      <c r="AV566" s="108">
        <v>4992803290.9361963</v>
      </c>
    </row>
    <row r="567" spans="1:48" x14ac:dyDescent="0.35">
      <c r="A567" s="107">
        <f xml:space="preserve"> ROW( slrImpacts[[#This Row],[row_id]] ) - ROW( slrImpacts[[#Headers],[row_id]] )</f>
        <v>566</v>
      </c>
      <c r="B567" s="104">
        <v>2060</v>
      </c>
      <c r="C567" s="104" t="s">
        <v>221</v>
      </c>
      <c r="D567" s="104" t="s">
        <v>208</v>
      </c>
      <c r="E567" s="104" t="s">
        <v>922</v>
      </c>
      <c r="F567" s="104"/>
      <c r="G567" s="105">
        <v>0</v>
      </c>
      <c r="H567" s="105">
        <v>0</v>
      </c>
      <c r="I567" s="105">
        <v>0</v>
      </c>
      <c r="J567" s="105">
        <v>0</v>
      </c>
      <c r="K567" s="105">
        <v>0</v>
      </c>
      <c r="L567" s="105">
        <v>0</v>
      </c>
      <c r="M567" s="106">
        <v>327709295.1049611</v>
      </c>
      <c r="N567" s="106">
        <v>416819255.01667291</v>
      </c>
      <c r="O567" s="106">
        <v>1255881360.4981785</v>
      </c>
      <c r="P567" s="106">
        <v>2098548530.5842209</v>
      </c>
      <c r="Q567" s="106">
        <v>3318994390.7507238</v>
      </c>
      <c r="R567" s="106">
        <v>5107646848.2642593</v>
      </c>
      <c r="S567" s="105">
        <v>0</v>
      </c>
      <c r="T567" s="105">
        <v>0</v>
      </c>
      <c r="U567" s="105">
        <v>0</v>
      </c>
      <c r="V567" s="105">
        <v>0</v>
      </c>
      <c r="W567" s="105">
        <v>0</v>
      </c>
      <c r="X567" s="105">
        <v>0</v>
      </c>
      <c r="Y567" s="106">
        <v>20103811.788640112</v>
      </c>
      <c r="Z567" s="106">
        <v>29345662.323259808</v>
      </c>
      <c r="AA567" s="106">
        <v>91390633.382054538</v>
      </c>
      <c r="AB567" s="108">
        <v>241372187.0112161</v>
      </c>
      <c r="AC567" s="108">
        <v>485107763.05364627</v>
      </c>
      <c r="AD567" s="108">
        <v>720389137.05938661</v>
      </c>
      <c r="AE567" s="108">
        <v>222142595.67317986</v>
      </c>
      <c r="AF567" s="108">
        <v>303351839.60239977</v>
      </c>
      <c r="AG567" s="108">
        <v>726164656.96756828</v>
      </c>
      <c r="AH567" s="108">
        <v>1320366065.7825458</v>
      </c>
      <c r="AI567" s="108">
        <v>1451776856.6694212</v>
      </c>
      <c r="AJ567" s="108">
        <v>3285873301.5068512</v>
      </c>
      <c r="AK567" s="108">
        <v>502433647.45675838</v>
      </c>
      <c r="AL567" s="108">
        <v>589014184.95954108</v>
      </c>
      <c r="AM567" s="108">
        <v>600855858.92051661</v>
      </c>
      <c r="AN567" s="108">
        <v>853222236.4977001</v>
      </c>
      <c r="AO567" s="108">
        <v>1599699987.0070331</v>
      </c>
      <c r="AP567" s="108">
        <v>2380853488.3132119</v>
      </c>
      <c r="AQ567" s="108">
        <v>118491739.51226209</v>
      </c>
      <c r="AR567" s="108">
        <v>170323952.09590667</v>
      </c>
      <c r="AS567" s="108">
        <v>905566392.44854236</v>
      </c>
      <c r="AT567" s="108">
        <v>2161631690.1461902</v>
      </c>
      <c r="AU567" s="108">
        <v>3544914942.3640313</v>
      </c>
      <c r="AV567" s="108">
        <v>5127484259.7525663</v>
      </c>
    </row>
    <row r="568" spans="1:48" x14ac:dyDescent="0.35">
      <c r="A568" s="107">
        <f xml:space="preserve"> ROW( slrImpacts[[#This Row],[row_id]] ) - ROW( slrImpacts[[#Headers],[row_id]] )</f>
        <v>567</v>
      </c>
      <c r="B568" s="104">
        <v>2061</v>
      </c>
      <c r="C568" s="104" t="s">
        <v>221</v>
      </c>
      <c r="D568" s="104" t="s">
        <v>208</v>
      </c>
      <c r="E568" s="104" t="s">
        <v>922</v>
      </c>
      <c r="F568" s="104"/>
      <c r="G568" s="105">
        <v>0</v>
      </c>
      <c r="H568" s="105">
        <v>0</v>
      </c>
      <c r="I568" s="105">
        <v>0</v>
      </c>
      <c r="J568" s="105">
        <v>0</v>
      </c>
      <c r="K568" s="105">
        <v>0</v>
      </c>
      <c r="L568" s="105">
        <v>0</v>
      </c>
      <c r="M568" s="106">
        <v>329160477.33166414</v>
      </c>
      <c r="N568" s="106">
        <v>417878699.01793391</v>
      </c>
      <c r="O568" s="106">
        <v>1233865164.5833807</v>
      </c>
      <c r="P568" s="106">
        <v>2097203396.9721498</v>
      </c>
      <c r="Q568" s="106">
        <v>3346459938.796762</v>
      </c>
      <c r="R568" s="106">
        <v>5204520129.8649254</v>
      </c>
      <c r="S568" s="105">
        <v>0</v>
      </c>
      <c r="T568" s="105">
        <v>0</v>
      </c>
      <c r="U568" s="105">
        <v>0</v>
      </c>
      <c r="V568" s="105">
        <v>0</v>
      </c>
      <c r="W568" s="105">
        <v>0</v>
      </c>
      <c r="X568" s="105">
        <v>0</v>
      </c>
      <c r="Y568" s="106">
        <v>20525747.966065876</v>
      </c>
      <c r="Z568" s="106">
        <v>30034213.584764041</v>
      </c>
      <c r="AA568" s="106">
        <v>95709953.418642446</v>
      </c>
      <c r="AB568" s="108">
        <v>254027596.56645152</v>
      </c>
      <c r="AC568" s="108">
        <v>503370641.71315128</v>
      </c>
      <c r="AD568" s="108">
        <v>752917716.57854497</v>
      </c>
      <c r="AE568" s="108">
        <v>223761046.0915975</v>
      </c>
      <c r="AF568" s="108">
        <v>304521846.44890988</v>
      </c>
      <c r="AG568" s="108">
        <v>725208199.66709197</v>
      </c>
      <c r="AH568" s="108">
        <v>1328884870.559809</v>
      </c>
      <c r="AI568" s="108">
        <v>1464034636.5651181</v>
      </c>
      <c r="AJ568" s="108">
        <v>3307371322.8016362</v>
      </c>
      <c r="AK568" s="108">
        <v>494714360.94618022</v>
      </c>
      <c r="AL568" s="108">
        <v>591730313.69658566</v>
      </c>
      <c r="AM568" s="108">
        <v>539202429.79682243</v>
      </c>
      <c r="AN568" s="108">
        <v>860191610.85975456</v>
      </c>
      <c r="AO568" s="108">
        <v>1612086636.53759</v>
      </c>
      <c r="AP568" s="108">
        <v>2396872576.7126131</v>
      </c>
      <c r="AQ568" s="108">
        <v>121905684.01741867</v>
      </c>
      <c r="AR568" s="108">
        <v>175742472.72420087</v>
      </c>
      <c r="AS568" s="108">
        <v>947940701.35267425</v>
      </c>
      <c r="AT568" s="108">
        <v>2172776758.6008248</v>
      </c>
      <c r="AU568" s="108">
        <v>3646383678.1225233</v>
      </c>
      <c r="AV568" s="108">
        <v>5216607690.4159794</v>
      </c>
    </row>
    <row r="569" spans="1:48" x14ac:dyDescent="0.35">
      <c r="A569" s="107">
        <f xml:space="preserve"> ROW( slrImpacts[[#This Row],[row_id]] ) - ROW( slrImpacts[[#Headers],[row_id]] )</f>
        <v>568</v>
      </c>
      <c r="B569" s="104">
        <v>2062</v>
      </c>
      <c r="C569" s="104" t="s">
        <v>221</v>
      </c>
      <c r="D569" s="104" t="s">
        <v>208</v>
      </c>
      <c r="E569" s="104" t="s">
        <v>922</v>
      </c>
      <c r="F569" s="104"/>
      <c r="G569" s="105">
        <v>0</v>
      </c>
      <c r="H569" s="105">
        <v>0</v>
      </c>
      <c r="I569" s="105">
        <v>0</v>
      </c>
      <c r="J569" s="105">
        <v>0</v>
      </c>
      <c r="K569" s="105">
        <v>0</v>
      </c>
      <c r="L569" s="105">
        <v>0</v>
      </c>
      <c r="M569" s="106">
        <v>330104241.40811723</v>
      </c>
      <c r="N569" s="106">
        <v>419836879.19172186</v>
      </c>
      <c r="O569" s="106">
        <v>1215871338.1761672</v>
      </c>
      <c r="P569" s="106">
        <v>2095651480.3729074</v>
      </c>
      <c r="Q569" s="106">
        <v>3368403918.2770572</v>
      </c>
      <c r="R569" s="106">
        <v>5308487225.8137817</v>
      </c>
      <c r="S569" s="105">
        <v>0</v>
      </c>
      <c r="T569" s="105">
        <v>0</v>
      </c>
      <c r="U569" s="105">
        <v>0</v>
      </c>
      <c r="V569" s="105">
        <v>0</v>
      </c>
      <c r="W569" s="105">
        <v>0</v>
      </c>
      <c r="X569" s="105">
        <v>0</v>
      </c>
      <c r="Y569" s="106">
        <v>20954639.272969659</v>
      </c>
      <c r="Z569" s="106">
        <v>30694684.174859177</v>
      </c>
      <c r="AA569" s="106">
        <v>100409202.95621786</v>
      </c>
      <c r="AB569" s="108">
        <v>266747537.2856724</v>
      </c>
      <c r="AC569" s="108">
        <v>523182063.83319789</v>
      </c>
      <c r="AD569" s="108">
        <v>788503374.9712882</v>
      </c>
      <c r="AE569" s="108">
        <v>225375692.13224515</v>
      </c>
      <c r="AF569" s="108">
        <v>305594669.9513188</v>
      </c>
      <c r="AG569" s="108">
        <v>727418742.14003026</v>
      </c>
      <c r="AH569" s="108">
        <v>1338905803.2546749</v>
      </c>
      <c r="AI569" s="108">
        <v>1477229881.4223316</v>
      </c>
      <c r="AJ569" s="108">
        <v>3331117907.5018611</v>
      </c>
      <c r="AK569" s="108">
        <v>487703295.85690123</v>
      </c>
      <c r="AL569" s="108">
        <v>576690093.17615795</v>
      </c>
      <c r="AM569" s="108">
        <v>508947183.52403939</v>
      </c>
      <c r="AN569" s="108">
        <v>866835322.36407244</v>
      </c>
      <c r="AO569" s="108">
        <v>1624600666.9437494</v>
      </c>
      <c r="AP569" s="108">
        <v>2413312319.1913142</v>
      </c>
      <c r="AQ569" s="108">
        <v>125203867.3156707</v>
      </c>
      <c r="AR569" s="108">
        <v>181595571.04142237</v>
      </c>
      <c r="AS569" s="108">
        <v>989564959.15974617</v>
      </c>
      <c r="AT569" s="108">
        <v>2174448266.3300762</v>
      </c>
      <c r="AU569" s="108">
        <v>3754687106.6621299</v>
      </c>
      <c r="AV569" s="108">
        <v>5244219857.8301477</v>
      </c>
    </row>
    <row r="570" spans="1:48" x14ac:dyDescent="0.35">
      <c r="A570" s="107">
        <f xml:space="preserve"> ROW( slrImpacts[[#This Row],[row_id]] ) - ROW( slrImpacts[[#Headers],[row_id]] )</f>
        <v>569</v>
      </c>
      <c r="B570" s="104">
        <v>2063</v>
      </c>
      <c r="C570" s="104" t="s">
        <v>221</v>
      </c>
      <c r="D570" s="104" t="s">
        <v>208</v>
      </c>
      <c r="E570" s="104" t="s">
        <v>922</v>
      </c>
      <c r="F570" s="104"/>
      <c r="G570" s="105">
        <v>0</v>
      </c>
      <c r="H570" s="105">
        <v>0</v>
      </c>
      <c r="I570" s="105">
        <v>0</v>
      </c>
      <c r="J570" s="105">
        <v>0</v>
      </c>
      <c r="K570" s="105">
        <v>0</v>
      </c>
      <c r="L570" s="105">
        <v>0</v>
      </c>
      <c r="M570" s="106">
        <v>330229796.78254718</v>
      </c>
      <c r="N570" s="106">
        <v>421454384.32272661</v>
      </c>
      <c r="O570" s="106">
        <v>1202483813.3933032</v>
      </c>
      <c r="P570" s="106">
        <v>2103331898.2431116</v>
      </c>
      <c r="Q570" s="106">
        <v>3391111731.6438127</v>
      </c>
      <c r="R570" s="106">
        <v>5414074169.4519072</v>
      </c>
      <c r="S570" s="105">
        <v>0</v>
      </c>
      <c r="T570" s="105">
        <v>0</v>
      </c>
      <c r="U570" s="105">
        <v>0</v>
      </c>
      <c r="V570" s="105">
        <v>0</v>
      </c>
      <c r="W570" s="105">
        <v>0</v>
      </c>
      <c r="X570" s="105">
        <v>0</v>
      </c>
      <c r="Y570" s="106">
        <v>21348827.623740856</v>
      </c>
      <c r="Z570" s="106">
        <v>31247890.726196412</v>
      </c>
      <c r="AA570" s="106">
        <v>105529704.58679155</v>
      </c>
      <c r="AB570" s="108">
        <v>278964479.76782709</v>
      </c>
      <c r="AC570" s="108">
        <v>545258360.54730546</v>
      </c>
      <c r="AD570" s="108">
        <v>823932539.3924377</v>
      </c>
      <c r="AE570" s="108">
        <v>227076079.13512316</v>
      </c>
      <c r="AF570" s="108">
        <v>306458931.78340918</v>
      </c>
      <c r="AG570" s="108">
        <v>731431124.41935194</v>
      </c>
      <c r="AH570" s="108">
        <v>1352346623.8466702</v>
      </c>
      <c r="AI570" s="108">
        <v>1489527035.6602154</v>
      </c>
      <c r="AJ570" s="108">
        <v>3357338926.3734517</v>
      </c>
      <c r="AK570" s="108">
        <v>479178867.63967764</v>
      </c>
      <c r="AL570" s="108">
        <v>551751897.34837675</v>
      </c>
      <c r="AM570" s="108">
        <v>502124964.82299387</v>
      </c>
      <c r="AN570" s="108">
        <v>873776665.55064595</v>
      </c>
      <c r="AO570" s="108">
        <v>1636550102.1809893</v>
      </c>
      <c r="AP570" s="108">
        <v>2429984315.6063886</v>
      </c>
      <c r="AQ570" s="108">
        <v>128195260.01402748</v>
      </c>
      <c r="AR570" s="108">
        <v>187588759.11321306</v>
      </c>
      <c r="AS570" s="108">
        <v>1033853936.6310744</v>
      </c>
      <c r="AT570" s="108">
        <v>2170003989.6380968</v>
      </c>
      <c r="AU570" s="108">
        <v>3863245296.8072801</v>
      </c>
      <c r="AV570" s="108">
        <v>5240109808.7851133</v>
      </c>
    </row>
    <row r="571" spans="1:48" x14ac:dyDescent="0.35">
      <c r="A571" s="107">
        <f xml:space="preserve"> ROW( slrImpacts[[#This Row],[row_id]] ) - ROW( slrImpacts[[#Headers],[row_id]] )</f>
        <v>570</v>
      </c>
      <c r="B571" s="104">
        <v>2064</v>
      </c>
      <c r="C571" s="104" t="s">
        <v>221</v>
      </c>
      <c r="D571" s="104" t="s">
        <v>208</v>
      </c>
      <c r="E571" s="104" t="s">
        <v>922</v>
      </c>
      <c r="F571" s="104"/>
      <c r="G571" s="105">
        <v>0</v>
      </c>
      <c r="H571" s="105">
        <v>0</v>
      </c>
      <c r="I571" s="105">
        <v>0</v>
      </c>
      <c r="J571" s="105">
        <v>0</v>
      </c>
      <c r="K571" s="105">
        <v>0</v>
      </c>
      <c r="L571" s="105">
        <v>0</v>
      </c>
      <c r="M571" s="106">
        <v>329885988.67160106</v>
      </c>
      <c r="N571" s="106">
        <v>422795395.00363618</v>
      </c>
      <c r="O571" s="106">
        <v>1200342863.4419837</v>
      </c>
      <c r="P571" s="106">
        <v>2114127724.8247504</v>
      </c>
      <c r="Q571" s="106">
        <v>3421338491.7377019</v>
      </c>
      <c r="R571" s="106">
        <v>5520393261.5658407</v>
      </c>
      <c r="S571" s="105">
        <v>0</v>
      </c>
      <c r="T571" s="105">
        <v>0</v>
      </c>
      <c r="U571" s="105">
        <v>0</v>
      </c>
      <c r="V571" s="105">
        <v>0</v>
      </c>
      <c r="W571" s="105">
        <v>0</v>
      </c>
      <c r="X571" s="105">
        <v>0</v>
      </c>
      <c r="Y571" s="106">
        <v>21702093.277279533</v>
      </c>
      <c r="Z571" s="106">
        <v>31819694.973722469</v>
      </c>
      <c r="AA571" s="106">
        <v>110920507.32788627</v>
      </c>
      <c r="AB571" s="108">
        <v>292150447.29820335</v>
      </c>
      <c r="AC571" s="108">
        <v>568697864.58563387</v>
      </c>
      <c r="AD571" s="108">
        <v>861997830.6205709</v>
      </c>
      <c r="AE571" s="108">
        <v>228741934.47114795</v>
      </c>
      <c r="AF571" s="108">
        <v>307191160.34887892</v>
      </c>
      <c r="AG571" s="108">
        <v>737225496.74837506</v>
      </c>
      <c r="AH571" s="108">
        <v>1367875354.5890713</v>
      </c>
      <c r="AI571" s="108">
        <v>1505942880.2965546</v>
      </c>
      <c r="AJ571" s="108">
        <v>3391739261.5796509</v>
      </c>
      <c r="AK571" s="108">
        <v>470007281.73109776</v>
      </c>
      <c r="AL571" s="108">
        <v>525582899.0506587</v>
      </c>
      <c r="AM571" s="108">
        <v>496439572.98395658</v>
      </c>
      <c r="AN571" s="108">
        <v>882162090.51442385</v>
      </c>
      <c r="AO571" s="108">
        <v>1648126849.7082517</v>
      </c>
      <c r="AP571" s="108">
        <v>2448810253.9004197</v>
      </c>
      <c r="AQ571" s="108">
        <v>130589169.49580441</v>
      </c>
      <c r="AR571" s="108">
        <v>193840859.86950925</v>
      </c>
      <c r="AS571" s="108">
        <v>1080958410.590656</v>
      </c>
      <c r="AT571" s="108">
        <v>2165316941.5046844</v>
      </c>
      <c r="AU571" s="108">
        <v>3975521510.9053335</v>
      </c>
      <c r="AV571" s="108">
        <v>5193122605.0567169</v>
      </c>
    </row>
    <row r="572" spans="1:48" x14ac:dyDescent="0.35">
      <c r="A572" s="107">
        <f xml:space="preserve"> ROW( slrImpacts[[#This Row],[row_id]] ) - ROW( slrImpacts[[#Headers],[row_id]] )</f>
        <v>571</v>
      </c>
      <c r="B572" s="104">
        <v>2065</v>
      </c>
      <c r="C572" s="104" t="s">
        <v>221</v>
      </c>
      <c r="D572" s="104" t="s">
        <v>208</v>
      </c>
      <c r="E572" s="104" t="s">
        <v>922</v>
      </c>
      <c r="F572" s="104"/>
      <c r="G572" s="105">
        <v>0</v>
      </c>
      <c r="H572" s="105">
        <v>0</v>
      </c>
      <c r="I572" s="105">
        <v>0</v>
      </c>
      <c r="J572" s="105">
        <v>0</v>
      </c>
      <c r="K572" s="105">
        <v>0</v>
      </c>
      <c r="L572" s="105">
        <v>0</v>
      </c>
      <c r="M572" s="106">
        <v>328865069.01320148</v>
      </c>
      <c r="N572" s="106">
        <v>425007728.14170516</v>
      </c>
      <c r="O572" s="106">
        <v>1202330025.6160915</v>
      </c>
      <c r="P572" s="106">
        <v>2136280158.058892</v>
      </c>
      <c r="Q572" s="106">
        <v>3448355344.587276</v>
      </c>
      <c r="R572" s="106">
        <v>5631135475.2717028</v>
      </c>
      <c r="S572" s="105">
        <v>0</v>
      </c>
      <c r="T572" s="105">
        <v>0</v>
      </c>
      <c r="U572" s="105">
        <v>0</v>
      </c>
      <c r="V572" s="105">
        <v>0</v>
      </c>
      <c r="W572" s="105">
        <v>0</v>
      </c>
      <c r="X572" s="105">
        <v>0</v>
      </c>
      <c r="Y572" s="106">
        <v>22072368.481862795</v>
      </c>
      <c r="Z572" s="106">
        <v>32457096.093492165</v>
      </c>
      <c r="AA572" s="106">
        <v>116282351.61784425</v>
      </c>
      <c r="AB572" s="108">
        <v>305243599.21616131</v>
      </c>
      <c r="AC572" s="108">
        <v>593764360.6514492</v>
      </c>
      <c r="AD572" s="108">
        <v>902617571.58059657</v>
      </c>
      <c r="AE572" s="108">
        <v>229088344.32025751</v>
      </c>
      <c r="AF572" s="108">
        <v>306000958.5921852</v>
      </c>
      <c r="AG572" s="108">
        <v>742584028.70396864</v>
      </c>
      <c r="AH572" s="108">
        <v>1381752375.0918376</v>
      </c>
      <c r="AI572" s="108">
        <v>1531898771.5129938</v>
      </c>
      <c r="AJ572" s="108">
        <v>3425429753.2906718</v>
      </c>
      <c r="AK572" s="108">
        <v>466892024.50390255</v>
      </c>
      <c r="AL572" s="108">
        <v>497406431.78622526</v>
      </c>
      <c r="AM572" s="108">
        <v>494465164.75895995</v>
      </c>
      <c r="AN572" s="108">
        <v>889481748.3653667</v>
      </c>
      <c r="AO572" s="108">
        <v>1660460555.7647343</v>
      </c>
      <c r="AP572" s="108">
        <v>2467953715.7515769</v>
      </c>
      <c r="AQ572" s="108">
        <v>132787026.52751715</v>
      </c>
      <c r="AR572" s="108">
        <v>199743748.5136447</v>
      </c>
      <c r="AS572" s="108">
        <v>1117811635.5309763</v>
      </c>
      <c r="AT572" s="108">
        <v>2178477145.7907186</v>
      </c>
      <c r="AU572" s="108">
        <v>4063804039.553875</v>
      </c>
      <c r="AV572" s="108">
        <v>5072151484.0684204</v>
      </c>
    </row>
    <row r="573" spans="1:48" x14ac:dyDescent="0.35">
      <c r="A573" s="107">
        <f xml:space="preserve"> ROW( slrImpacts[[#This Row],[row_id]] ) - ROW( slrImpacts[[#Headers],[row_id]] )</f>
        <v>572</v>
      </c>
      <c r="B573" s="104">
        <v>2066</v>
      </c>
      <c r="C573" s="104" t="s">
        <v>221</v>
      </c>
      <c r="D573" s="104" t="s">
        <v>208</v>
      </c>
      <c r="E573" s="104" t="s">
        <v>922</v>
      </c>
      <c r="F573" s="104"/>
      <c r="G573" s="105">
        <v>0</v>
      </c>
      <c r="H573" s="105">
        <v>0</v>
      </c>
      <c r="I573" s="105">
        <v>0</v>
      </c>
      <c r="J573" s="105">
        <v>0</v>
      </c>
      <c r="K573" s="105">
        <v>0</v>
      </c>
      <c r="L573" s="105">
        <v>0</v>
      </c>
      <c r="M573" s="106">
        <v>327334085.48465306</v>
      </c>
      <c r="N573" s="106">
        <v>427449757.83267576</v>
      </c>
      <c r="O573" s="106">
        <v>1208792447.3506474</v>
      </c>
      <c r="P573" s="106">
        <v>2161915354.7180614</v>
      </c>
      <c r="Q573" s="106">
        <v>3477545147.0996032</v>
      </c>
      <c r="R573" s="106">
        <v>5742662134.9112453</v>
      </c>
      <c r="S573" s="105">
        <v>0</v>
      </c>
      <c r="T573" s="105">
        <v>0</v>
      </c>
      <c r="U573" s="105">
        <v>0</v>
      </c>
      <c r="V573" s="105">
        <v>0</v>
      </c>
      <c r="W573" s="105">
        <v>0</v>
      </c>
      <c r="X573" s="105">
        <v>0</v>
      </c>
      <c r="Y573" s="106">
        <v>22454846.669766493</v>
      </c>
      <c r="Z573" s="106">
        <v>33132661.351256739</v>
      </c>
      <c r="AA573" s="106">
        <v>122109378.23907341</v>
      </c>
      <c r="AB573" s="108">
        <v>318987338.25210673</v>
      </c>
      <c r="AC573" s="108">
        <v>620265384.20764387</v>
      </c>
      <c r="AD573" s="108">
        <v>944212351.87353575</v>
      </c>
      <c r="AE573" s="108">
        <v>229309131.67124367</v>
      </c>
      <c r="AF573" s="108">
        <v>304598642.46470511</v>
      </c>
      <c r="AG573" s="108">
        <v>748581112.36650681</v>
      </c>
      <c r="AH573" s="108">
        <v>1399193031.3004255</v>
      </c>
      <c r="AI573" s="108">
        <v>1559993193.0208666</v>
      </c>
      <c r="AJ573" s="108">
        <v>3445125962.4265385</v>
      </c>
      <c r="AK573" s="108">
        <v>465872348.93356806</v>
      </c>
      <c r="AL573" s="108">
        <v>468014216.30561227</v>
      </c>
      <c r="AM573" s="108">
        <v>494641343.7458477</v>
      </c>
      <c r="AN573" s="108">
        <v>896257413.56916463</v>
      </c>
      <c r="AO573" s="108">
        <v>1673292602.225841</v>
      </c>
      <c r="AP573" s="108">
        <v>2489171467.2427921</v>
      </c>
      <c r="AQ573" s="108">
        <v>135127306.27876168</v>
      </c>
      <c r="AR573" s="108">
        <v>205563138.51840931</v>
      </c>
      <c r="AS573" s="108">
        <v>1149245592.9390905</v>
      </c>
      <c r="AT573" s="108">
        <v>2203932222.4706864</v>
      </c>
      <c r="AU573" s="108">
        <v>4085930386.1563392</v>
      </c>
      <c r="AV573" s="108">
        <v>4906051072.7673273</v>
      </c>
    </row>
    <row r="574" spans="1:48" x14ac:dyDescent="0.35">
      <c r="A574" s="107">
        <f xml:space="preserve"> ROW( slrImpacts[[#This Row],[row_id]] ) - ROW( slrImpacts[[#Headers],[row_id]] )</f>
        <v>573</v>
      </c>
      <c r="B574" s="104">
        <v>2067</v>
      </c>
      <c r="C574" s="104" t="s">
        <v>221</v>
      </c>
      <c r="D574" s="104" t="s">
        <v>208</v>
      </c>
      <c r="E574" s="104" t="s">
        <v>922</v>
      </c>
      <c r="F574" s="104"/>
      <c r="G574" s="105">
        <v>0</v>
      </c>
      <c r="H574" s="105">
        <v>0</v>
      </c>
      <c r="I574" s="105">
        <v>0</v>
      </c>
      <c r="J574" s="105">
        <v>0</v>
      </c>
      <c r="K574" s="105">
        <v>0</v>
      </c>
      <c r="L574" s="105">
        <v>0</v>
      </c>
      <c r="M574" s="106">
        <v>325329702.16756874</v>
      </c>
      <c r="N574" s="106">
        <v>429423666.98900908</v>
      </c>
      <c r="O574" s="106">
        <v>1218314360.3179379</v>
      </c>
      <c r="P574" s="106">
        <v>2190747457.5569172</v>
      </c>
      <c r="Q574" s="106">
        <v>3513198161.0788083</v>
      </c>
      <c r="R574" s="106">
        <v>5853754874.3552656</v>
      </c>
      <c r="S574" s="105">
        <v>0</v>
      </c>
      <c r="T574" s="105">
        <v>0</v>
      </c>
      <c r="U574" s="105">
        <v>0</v>
      </c>
      <c r="V574" s="105">
        <v>0</v>
      </c>
      <c r="W574" s="105">
        <v>0</v>
      </c>
      <c r="X574" s="105">
        <v>0</v>
      </c>
      <c r="Y574" s="106">
        <v>22847784.179211378</v>
      </c>
      <c r="Z574" s="106">
        <v>33867804.83665362</v>
      </c>
      <c r="AA574" s="106">
        <v>128139245.78623374</v>
      </c>
      <c r="AB574" s="108">
        <v>330823180.79094207</v>
      </c>
      <c r="AC574" s="108">
        <v>649264073.13899636</v>
      </c>
      <c r="AD574" s="108">
        <v>987975033.81737483</v>
      </c>
      <c r="AE574" s="108">
        <v>229134120.08901823</v>
      </c>
      <c r="AF574" s="108">
        <v>303266192.59871477</v>
      </c>
      <c r="AG574" s="108">
        <v>755810722.13776422</v>
      </c>
      <c r="AH574" s="108">
        <v>1417152405.4428747</v>
      </c>
      <c r="AI574" s="108">
        <v>1589712164.3432581</v>
      </c>
      <c r="AJ574" s="108">
        <v>3465019012.6845393</v>
      </c>
      <c r="AK574" s="108">
        <v>466408589.89969325</v>
      </c>
      <c r="AL574" s="108">
        <v>439028422.8694306</v>
      </c>
      <c r="AM574" s="108">
        <v>494961192.10221344</v>
      </c>
      <c r="AN574" s="108">
        <v>904203695.51243329</v>
      </c>
      <c r="AO574" s="108">
        <v>1690589464.3972051</v>
      </c>
      <c r="AP574" s="108">
        <v>2515531321.5973506</v>
      </c>
      <c r="AQ574" s="108">
        <v>137731850.28449196</v>
      </c>
      <c r="AR574" s="108">
        <v>211510058.47982341</v>
      </c>
      <c r="AS574" s="108">
        <v>1171923530.4559832</v>
      </c>
      <c r="AT574" s="108">
        <v>2240764211.9829383</v>
      </c>
      <c r="AU574" s="108">
        <v>4061256680.7052722</v>
      </c>
      <c r="AV574" s="108">
        <v>4700424136.1875353</v>
      </c>
    </row>
    <row r="575" spans="1:48" x14ac:dyDescent="0.35">
      <c r="A575" s="107">
        <f xml:space="preserve"> ROW( slrImpacts[[#This Row],[row_id]] ) - ROW( slrImpacts[[#Headers],[row_id]] )</f>
        <v>574</v>
      </c>
      <c r="B575" s="104">
        <v>2068</v>
      </c>
      <c r="C575" s="104" t="s">
        <v>221</v>
      </c>
      <c r="D575" s="104" t="s">
        <v>208</v>
      </c>
      <c r="E575" s="104" t="s">
        <v>922</v>
      </c>
      <c r="F575" s="104"/>
      <c r="G575" s="105">
        <v>0</v>
      </c>
      <c r="H575" s="105">
        <v>0</v>
      </c>
      <c r="I575" s="105">
        <v>0</v>
      </c>
      <c r="J575" s="105">
        <v>0</v>
      </c>
      <c r="K575" s="105">
        <v>0</v>
      </c>
      <c r="L575" s="105">
        <v>0</v>
      </c>
      <c r="M575" s="106">
        <v>323539557.81209326</v>
      </c>
      <c r="N575" s="106">
        <v>431201658.40765703</v>
      </c>
      <c r="O575" s="106">
        <v>1226764257.321985</v>
      </c>
      <c r="P575" s="106">
        <v>2216427086.6772308</v>
      </c>
      <c r="Q575" s="106">
        <v>3557952456.2109079</v>
      </c>
      <c r="R575" s="106">
        <v>5969291635.6150723</v>
      </c>
      <c r="S575" s="105">
        <v>0</v>
      </c>
      <c r="T575" s="105">
        <v>0</v>
      </c>
      <c r="U575" s="105">
        <v>0</v>
      </c>
      <c r="V575" s="105">
        <v>0</v>
      </c>
      <c r="W575" s="105">
        <v>0</v>
      </c>
      <c r="X575" s="105">
        <v>0</v>
      </c>
      <c r="Y575" s="106">
        <v>23254066.086425401</v>
      </c>
      <c r="Z575" s="106">
        <v>34630013.85621883</v>
      </c>
      <c r="AA575" s="106">
        <v>134487065.07899278</v>
      </c>
      <c r="AB575" s="108">
        <v>344060561.04742044</v>
      </c>
      <c r="AC575" s="108">
        <v>681521192.5787282</v>
      </c>
      <c r="AD575" s="108">
        <v>1032929176.4087359</v>
      </c>
      <c r="AE575" s="108">
        <v>228920844.34609008</v>
      </c>
      <c r="AF575" s="108">
        <v>301658099.44145852</v>
      </c>
      <c r="AG575" s="108">
        <v>763500651.64778304</v>
      </c>
      <c r="AH575" s="108">
        <v>1433513361.5475016</v>
      </c>
      <c r="AI575" s="108">
        <v>1622635175.811882</v>
      </c>
      <c r="AJ575" s="108">
        <v>3496742038.6019974</v>
      </c>
      <c r="AK575" s="108">
        <v>457071178.7273742</v>
      </c>
      <c r="AL575" s="108">
        <v>408361116.76631904</v>
      </c>
      <c r="AM575" s="108">
        <v>496094669.85730785</v>
      </c>
      <c r="AN575" s="108">
        <v>913600227.58464336</v>
      </c>
      <c r="AO575" s="108">
        <v>1709717283.8048706</v>
      </c>
      <c r="AP575" s="108">
        <v>2542864051.7129579</v>
      </c>
      <c r="AQ575" s="108">
        <v>140360235.19483343</v>
      </c>
      <c r="AR575" s="108">
        <v>217171141.0606918</v>
      </c>
      <c r="AS575" s="108">
        <v>1188833116.4435465</v>
      </c>
      <c r="AT575" s="108">
        <v>2294316674.6097188</v>
      </c>
      <c r="AU575" s="108">
        <v>4013736667.8180084</v>
      </c>
      <c r="AV575" s="108">
        <v>4470650903.5874863</v>
      </c>
    </row>
    <row r="576" spans="1:48" x14ac:dyDescent="0.35">
      <c r="A576" s="107">
        <f xml:space="preserve"> ROW( slrImpacts[[#This Row],[row_id]] ) - ROW( slrImpacts[[#Headers],[row_id]] )</f>
        <v>575</v>
      </c>
      <c r="B576" s="104">
        <v>2069</v>
      </c>
      <c r="C576" s="104" t="s">
        <v>221</v>
      </c>
      <c r="D576" s="104" t="s">
        <v>208</v>
      </c>
      <c r="E576" s="104" t="s">
        <v>922</v>
      </c>
      <c r="F576" s="104"/>
      <c r="G576" s="105">
        <v>0</v>
      </c>
      <c r="H576" s="105">
        <v>0</v>
      </c>
      <c r="I576" s="105">
        <v>0</v>
      </c>
      <c r="J576" s="105">
        <v>0</v>
      </c>
      <c r="K576" s="105">
        <v>0</v>
      </c>
      <c r="L576" s="105">
        <v>0</v>
      </c>
      <c r="M576" s="106">
        <v>321478781.55682981</v>
      </c>
      <c r="N576" s="106">
        <v>431347126.63151973</v>
      </c>
      <c r="O576" s="106">
        <v>1236846793.8403764</v>
      </c>
      <c r="P576" s="106">
        <v>2239834844.032402</v>
      </c>
      <c r="Q576" s="106">
        <v>3607682665.3286304</v>
      </c>
      <c r="R576" s="106">
        <v>6085910195.0625448</v>
      </c>
      <c r="S576" s="105">
        <v>0</v>
      </c>
      <c r="T576" s="105">
        <v>0</v>
      </c>
      <c r="U576" s="105">
        <v>0</v>
      </c>
      <c r="V576" s="105">
        <v>0</v>
      </c>
      <c r="W576" s="105">
        <v>0</v>
      </c>
      <c r="X576" s="105">
        <v>0</v>
      </c>
      <c r="Y576" s="106">
        <v>23674132.173423938</v>
      </c>
      <c r="Z576" s="106">
        <v>35337482.856959715</v>
      </c>
      <c r="AA576" s="106">
        <v>141277178.47355285</v>
      </c>
      <c r="AB576" s="108">
        <v>357463633.13736367</v>
      </c>
      <c r="AC576" s="108">
        <v>715825893.39271915</v>
      </c>
      <c r="AD576" s="108">
        <v>1077412232.3141537</v>
      </c>
      <c r="AE576" s="108">
        <v>228518098.2399438</v>
      </c>
      <c r="AF576" s="108">
        <v>300940423.29659331</v>
      </c>
      <c r="AG576" s="108">
        <v>773104946.244187</v>
      </c>
      <c r="AH576" s="108">
        <v>1451306520.8744164</v>
      </c>
      <c r="AI576" s="108">
        <v>1654242820.7110674</v>
      </c>
      <c r="AJ576" s="108">
        <v>3531211316.1754231</v>
      </c>
      <c r="AK576" s="108">
        <v>439508061.91531527</v>
      </c>
      <c r="AL576" s="108">
        <v>375931582.29602689</v>
      </c>
      <c r="AM576" s="108">
        <v>498162944.15180409</v>
      </c>
      <c r="AN576" s="108">
        <v>924263916.94261885</v>
      </c>
      <c r="AO576" s="108">
        <v>1730102594.328182</v>
      </c>
      <c r="AP576" s="108">
        <v>2572228425.7923098</v>
      </c>
      <c r="AQ576" s="108">
        <v>143299310.72346702</v>
      </c>
      <c r="AR576" s="108">
        <v>222253991.69103041</v>
      </c>
      <c r="AS576" s="108">
        <v>1198229085.5947509</v>
      </c>
      <c r="AT576" s="108">
        <v>2348090260.0694771</v>
      </c>
      <c r="AU576" s="108">
        <v>3950279514.0761681</v>
      </c>
      <c r="AV576" s="108">
        <v>4221833073.4571981</v>
      </c>
    </row>
    <row r="577" spans="1:48" x14ac:dyDescent="0.35">
      <c r="A577" s="107">
        <f xml:space="preserve"> ROW( slrImpacts[[#This Row],[row_id]] ) - ROW( slrImpacts[[#Headers],[row_id]] )</f>
        <v>576</v>
      </c>
      <c r="B577" s="104">
        <v>2070</v>
      </c>
      <c r="C577" s="104" t="s">
        <v>221</v>
      </c>
      <c r="D577" s="104" t="s">
        <v>208</v>
      </c>
      <c r="E577" s="104" t="s">
        <v>922</v>
      </c>
      <c r="F577" s="104"/>
      <c r="G577" s="105">
        <v>0</v>
      </c>
      <c r="H577" s="105">
        <v>0</v>
      </c>
      <c r="I577" s="105">
        <v>0</v>
      </c>
      <c r="J577" s="105">
        <v>0</v>
      </c>
      <c r="K577" s="105">
        <v>0</v>
      </c>
      <c r="L577" s="105">
        <v>0</v>
      </c>
      <c r="M577" s="106">
        <v>319587535.63385111</v>
      </c>
      <c r="N577" s="106">
        <v>430367556.07536882</v>
      </c>
      <c r="O577" s="106">
        <v>1246027059.0632579</v>
      </c>
      <c r="P577" s="106">
        <v>2260631716.1973772</v>
      </c>
      <c r="Q577" s="106">
        <v>3662498766.1974154</v>
      </c>
      <c r="R577" s="106">
        <v>6210372837.6988993</v>
      </c>
      <c r="S577" s="105">
        <v>0</v>
      </c>
      <c r="T577" s="105">
        <v>0</v>
      </c>
      <c r="U577" s="105">
        <v>0</v>
      </c>
      <c r="V577" s="105">
        <v>0</v>
      </c>
      <c r="W577" s="105">
        <v>0</v>
      </c>
      <c r="X577" s="105">
        <v>0</v>
      </c>
      <c r="Y577" s="106">
        <v>24049056.060344692</v>
      </c>
      <c r="Z577" s="106">
        <v>35976331.758758843</v>
      </c>
      <c r="AA577" s="106">
        <v>148143299.00296709</v>
      </c>
      <c r="AB577" s="108">
        <v>371248853.49861425</v>
      </c>
      <c r="AC577" s="108">
        <v>751545871.61988413</v>
      </c>
      <c r="AD577" s="108">
        <v>1121471414.7391126</v>
      </c>
      <c r="AE577" s="108">
        <v>228066966.83616957</v>
      </c>
      <c r="AF577" s="108">
        <v>300392696.13406026</v>
      </c>
      <c r="AG577" s="108">
        <v>786671933.08421612</v>
      </c>
      <c r="AH577" s="108">
        <v>1472408884.6426256</v>
      </c>
      <c r="AI577" s="108">
        <v>1684703681.7724233</v>
      </c>
      <c r="AJ577" s="108">
        <v>3574190320.8297968</v>
      </c>
      <c r="AK577" s="108">
        <v>419473018.33212513</v>
      </c>
      <c r="AL577" s="108">
        <v>343109820.3837924</v>
      </c>
      <c r="AM577" s="108">
        <v>501403572.11456782</v>
      </c>
      <c r="AN577" s="108">
        <v>935872167.84064102</v>
      </c>
      <c r="AO577" s="108">
        <v>1753573718.9153693</v>
      </c>
      <c r="AP577" s="108">
        <v>2614801767.1828976</v>
      </c>
      <c r="AQ577" s="108">
        <v>146156052.73398215</v>
      </c>
      <c r="AR577" s="108">
        <v>227724106.49201787</v>
      </c>
      <c r="AS577" s="108">
        <v>1199258713.0696516</v>
      </c>
      <c r="AT577" s="108">
        <v>2407199972.9169011</v>
      </c>
      <c r="AU577" s="108">
        <v>3831060407.8570065</v>
      </c>
      <c r="AV577" s="108">
        <v>3975188029.9755354</v>
      </c>
    </row>
    <row r="578" spans="1:48" x14ac:dyDescent="0.35">
      <c r="A578" s="107">
        <f xml:space="preserve"> ROW( slrImpacts[[#This Row],[row_id]] ) - ROW( slrImpacts[[#Headers],[row_id]] )</f>
        <v>577</v>
      </c>
      <c r="B578" s="104">
        <v>2071</v>
      </c>
      <c r="C578" s="104" t="s">
        <v>221</v>
      </c>
      <c r="D578" s="104" t="s">
        <v>208</v>
      </c>
      <c r="E578" s="104" t="s">
        <v>922</v>
      </c>
      <c r="F578" s="104"/>
      <c r="G578" s="105">
        <v>0</v>
      </c>
      <c r="H578" s="105">
        <v>0</v>
      </c>
      <c r="I578" s="105">
        <v>0</v>
      </c>
      <c r="J578" s="105">
        <v>0</v>
      </c>
      <c r="K578" s="105">
        <v>0</v>
      </c>
      <c r="L578" s="105">
        <v>0</v>
      </c>
      <c r="M578" s="106">
        <v>317978663.75258088</v>
      </c>
      <c r="N578" s="106">
        <v>428591160.6876772</v>
      </c>
      <c r="O578" s="106">
        <v>1257444881.8943214</v>
      </c>
      <c r="P578" s="106">
        <v>2281435260.7264462</v>
      </c>
      <c r="Q578" s="106">
        <v>3726275743.6104932</v>
      </c>
      <c r="R578" s="106">
        <v>6336379907.9787703</v>
      </c>
      <c r="S578" s="105">
        <v>0</v>
      </c>
      <c r="T578" s="105">
        <v>0</v>
      </c>
      <c r="U578" s="105">
        <v>0</v>
      </c>
      <c r="V578" s="105">
        <v>0</v>
      </c>
      <c r="W578" s="105">
        <v>0</v>
      </c>
      <c r="X578" s="105">
        <v>0</v>
      </c>
      <c r="Y578" s="106">
        <v>24436894.842214048</v>
      </c>
      <c r="Z578" s="106">
        <v>36506977.958460458</v>
      </c>
      <c r="AA578" s="106">
        <v>155192420.91694239</v>
      </c>
      <c r="AB578" s="108">
        <v>386493457.69112581</v>
      </c>
      <c r="AC578" s="108">
        <v>788362002.17539454</v>
      </c>
      <c r="AD578" s="108">
        <v>1164537182.7704349</v>
      </c>
      <c r="AE578" s="108">
        <v>228025949.04939696</v>
      </c>
      <c r="AF578" s="108">
        <v>300605343.92289191</v>
      </c>
      <c r="AG578" s="108">
        <v>801024335.39298117</v>
      </c>
      <c r="AH578" s="108">
        <v>1500852138.3037095</v>
      </c>
      <c r="AI578" s="108">
        <v>1713860145.7642488</v>
      </c>
      <c r="AJ578" s="108">
        <v>3625130636.6040378</v>
      </c>
      <c r="AK578" s="108">
        <v>398428545.52654994</v>
      </c>
      <c r="AL578" s="108">
        <v>309849064.19914848</v>
      </c>
      <c r="AM578" s="108">
        <v>506005015.18309158</v>
      </c>
      <c r="AN578" s="108">
        <v>948126871.23125625</v>
      </c>
      <c r="AO578" s="108">
        <v>1785742575.1643636</v>
      </c>
      <c r="AP578" s="108">
        <v>2661318397.0007505</v>
      </c>
      <c r="AQ578" s="108">
        <v>149300421.15659437</v>
      </c>
      <c r="AR578" s="108">
        <v>233020977.8191033</v>
      </c>
      <c r="AS578" s="108">
        <v>1192348853.3387823</v>
      </c>
      <c r="AT578" s="108">
        <v>2471832463.0786638</v>
      </c>
      <c r="AU578" s="108">
        <v>3671735882.5437021</v>
      </c>
      <c r="AV578" s="108">
        <v>3724674653.1714678</v>
      </c>
    </row>
    <row r="579" spans="1:48" x14ac:dyDescent="0.35">
      <c r="A579" s="107">
        <f xml:space="preserve"> ROW( slrImpacts[[#This Row],[row_id]] ) - ROW( slrImpacts[[#Headers],[row_id]] )</f>
        <v>578</v>
      </c>
      <c r="B579" s="104">
        <v>2072</v>
      </c>
      <c r="C579" s="104" t="s">
        <v>221</v>
      </c>
      <c r="D579" s="104" t="s">
        <v>208</v>
      </c>
      <c r="E579" s="104" t="s">
        <v>922</v>
      </c>
      <c r="F579" s="104"/>
      <c r="G579" s="105">
        <v>0</v>
      </c>
      <c r="H579" s="105">
        <v>0</v>
      </c>
      <c r="I579" s="105">
        <v>0</v>
      </c>
      <c r="J579" s="105">
        <v>0</v>
      </c>
      <c r="K579" s="105">
        <v>0</v>
      </c>
      <c r="L579" s="105">
        <v>0</v>
      </c>
      <c r="M579" s="106">
        <v>316779449.94197196</v>
      </c>
      <c r="N579" s="106">
        <v>426123215.91586643</v>
      </c>
      <c r="O579" s="106">
        <v>1268250478.9458084</v>
      </c>
      <c r="P579" s="106">
        <v>2311318059.4204597</v>
      </c>
      <c r="Q579" s="106">
        <v>3787311517.521925</v>
      </c>
      <c r="R579" s="106">
        <v>6462755677.5346241</v>
      </c>
      <c r="S579" s="105">
        <v>0</v>
      </c>
      <c r="T579" s="105">
        <v>0</v>
      </c>
      <c r="U579" s="105">
        <v>0</v>
      </c>
      <c r="V579" s="105">
        <v>0</v>
      </c>
      <c r="W579" s="105">
        <v>0</v>
      </c>
      <c r="X579" s="105">
        <v>0</v>
      </c>
      <c r="Y579" s="106">
        <v>24785959.823017515</v>
      </c>
      <c r="Z579" s="106">
        <v>37054013.241973914</v>
      </c>
      <c r="AA579" s="106">
        <v>162363300.29231286</v>
      </c>
      <c r="AB579" s="108">
        <v>402789591.38793856</v>
      </c>
      <c r="AC579" s="108">
        <v>826193190.92370796</v>
      </c>
      <c r="AD579" s="108">
        <v>1208111079.9331481</v>
      </c>
      <c r="AE579" s="108">
        <v>228206751.54229051</v>
      </c>
      <c r="AF579" s="108">
        <v>301981716.68807912</v>
      </c>
      <c r="AG579" s="108">
        <v>813910493.49381542</v>
      </c>
      <c r="AH579" s="108">
        <v>1533648104.1474712</v>
      </c>
      <c r="AI579" s="108">
        <v>1741766798.9667313</v>
      </c>
      <c r="AJ579" s="108">
        <v>3685574551.1146326</v>
      </c>
      <c r="AK579" s="108">
        <v>377078612.72981566</v>
      </c>
      <c r="AL579" s="108">
        <v>275792164.17315155</v>
      </c>
      <c r="AM579" s="108">
        <v>509377749.87704659</v>
      </c>
      <c r="AN579" s="108">
        <v>960907035.34658837</v>
      </c>
      <c r="AO579" s="108">
        <v>1821252597.5294046</v>
      </c>
      <c r="AP579" s="108">
        <v>2709565260.414072</v>
      </c>
      <c r="AQ579" s="108">
        <v>152449540.45645764</v>
      </c>
      <c r="AR579" s="108">
        <v>238159506.92228147</v>
      </c>
      <c r="AS579" s="108">
        <v>1184067607.1795025</v>
      </c>
      <c r="AT579" s="108">
        <v>2536439004.8618426</v>
      </c>
      <c r="AU579" s="108">
        <v>3484590991.5496531</v>
      </c>
      <c r="AV579" s="108">
        <v>3509486785.8316436</v>
      </c>
    </row>
    <row r="580" spans="1:48" x14ac:dyDescent="0.35">
      <c r="A580" s="107">
        <f xml:space="preserve"> ROW( slrImpacts[[#This Row],[row_id]] ) - ROW( slrImpacts[[#Headers],[row_id]] )</f>
        <v>579</v>
      </c>
      <c r="B580" s="104">
        <v>2073</v>
      </c>
      <c r="C580" s="104" t="s">
        <v>221</v>
      </c>
      <c r="D580" s="104" t="s">
        <v>208</v>
      </c>
      <c r="E580" s="104" t="s">
        <v>922</v>
      </c>
      <c r="F580" s="104"/>
      <c r="G580" s="105">
        <v>0</v>
      </c>
      <c r="H580" s="105">
        <v>0</v>
      </c>
      <c r="I580" s="105">
        <v>0</v>
      </c>
      <c r="J580" s="105">
        <v>0</v>
      </c>
      <c r="K580" s="105">
        <v>0</v>
      </c>
      <c r="L580" s="105">
        <v>0</v>
      </c>
      <c r="M580" s="106">
        <v>315541958.77831548</v>
      </c>
      <c r="N580" s="106">
        <v>421932899.2121678</v>
      </c>
      <c r="O580" s="106">
        <v>1274784783.2521126</v>
      </c>
      <c r="P580" s="106">
        <v>2343652163.6133823</v>
      </c>
      <c r="Q580" s="106">
        <v>3852013321.2636895</v>
      </c>
      <c r="R580" s="106">
        <v>6590508748.6641073</v>
      </c>
      <c r="S580" s="105">
        <v>0</v>
      </c>
      <c r="T580" s="105">
        <v>0</v>
      </c>
      <c r="U580" s="105">
        <v>0</v>
      </c>
      <c r="V580" s="105">
        <v>0</v>
      </c>
      <c r="W580" s="105">
        <v>0</v>
      </c>
      <c r="X580" s="105">
        <v>0</v>
      </c>
      <c r="Y580" s="106">
        <v>25148038.183441259</v>
      </c>
      <c r="Z580" s="106">
        <v>37618837.413084559</v>
      </c>
      <c r="AA580" s="106">
        <v>169577672.11854753</v>
      </c>
      <c r="AB580" s="108">
        <v>420596887.33645976</v>
      </c>
      <c r="AC580" s="108">
        <v>865268085.1109587</v>
      </c>
      <c r="AD580" s="108">
        <v>1251988221.9982738</v>
      </c>
      <c r="AE580" s="108">
        <v>228774029.04599756</v>
      </c>
      <c r="AF580" s="108">
        <v>303881246.40334386</v>
      </c>
      <c r="AG580" s="108">
        <v>826914831.85354185</v>
      </c>
      <c r="AH580" s="108">
        <v>1569421087.0677321</v>
      </c>
      <c r="AI580" s="108">
        <v>1767466775.079788</v>
      </c>
      <c r="AJ580" s="108">
        <v>3753372863.7549686</v>
      </c>
      <c r="AK580" s="108">
        <v>354933797.21889675</v>
      </c>
      <c r="AL580" s="108">
        <v>262151905.14056736</v>
      </c>
      <c r="AM580" s="108">
        <v>513645189.88091874</v>
      </c>
      <c r="AN580" s="108">
        <v>975014007.13926995</v>
      </c>
      <c r="AO580" s="108">
        <v>1857710155.9848421</v>
      </c>
      <c r="AP580" s="108">
        <v>2760196135.9994173</v>
      </c>
      <c r="AQ580" s="108">
        <v>155849373.72068229</v>
      </c>
      <c r="AR580" s="108">
        <v>243291329.05958942</v>
      </c>
      <c r="AS580" s="108">
        <v>1175786208.9180861</v>
      </c>
      <c r="AT580" s="108">
        <v>2605877889.6620221</v>
      </c>
      <c r="AU580" s="108">
        <v>3271947643.112493</v>
      </c>
      <c r="AV580" s="108">
        <v>3340032721.4173298</v>
      </c>
    </row>
    <row r="581" spans="1:48" x14ac:dyDescent="0.35">
      <c r="A581" s="107">
        <f xml:space="preserve"> ROW( slrImpacts[[#This Row],[row_id]] ) - ROW( slrImpacts[[#Headers],[row_id]] )</f>
        <v>580</v>
      </c>
      <c r="B581" s="104">
        <v>2074</v>
      </c>
      <c r="C581" s="104" t="s">
        <v>221</v>
      </c>
      <c r="D581" s="104" t="s">
        <v>208</v>
      </c>
      <c r="E581" s="104" t="s">
        <v>922</v>
      </c>
      <c r="F581" s="104"/>
      <c r="G581" s="105">
        <v>0</v>
      </c>
      <c r="H581" s="105">
        <v>0</v>
      </c>
      <c r="I581" s="105">
        <v>0</v>
      </c>
      <c r="J581" s="105">
        <v>0</v>
      </c>
      <c r="K581" s="105">
        <v>0</v>
      </c>
      <c r="L581" s="105">
        <v>0</v>
      </c>
      <c r="M581" s="106">
        <v>314527995.91511041</v>
      </c>
      <c r="N581" s="106">
        <v>417455463.91215575</v>
      </c>
      <c r="O581" s="106">
        <v>1276410929.3079128</v>
      </c>
      <c r="P581" s="106">
        <v>2375477902.056016</v>
      </c>
      <c r="Q581" s="106">
        <v>3917641472.4117808</v>
      </c>
      <c r="R581" s="106">
        <v>6717432256.3403053</v>
      </c>
      <c r="S581" s="105">
        <v>0</v>
      </c>
      <c r="T581" s="105">
        <v>0</v>
      </c>
      <c r="U581" s="105">
        <v>0</v>
      </c>
      <c r="V581" s="105">
        <v>0</v>
      </c>
      <c r="W581" s="105">
        <v>0</v>
      </c>
      <c r="X581" s="105">
        <v>0</v>
      </c>
      <c r="Y581" s="106">
        <v>25560748.538936313</v>
      </c>
      <c r="Z581" s="106">
        <v>38320909.408502258</v>
      </c>
      <c r="AA581" s="106">
        <v>176989028.31672069</v>
      </c>
      <c r="AB581" s="108">
        <v>439381248.32126844</v>
      </c>
      <c r="AC581" s="108">
        <v>905947949.41534495</v>
      </c>
      <c r="AD581" s="108">
        <v>1298622002.1080821</v>
      </c>
      <c r="AE581" s="108">
        <v>229640975.37216976</v>
      </c>
      <c r="AF581" s="108">
        <v>306117148.62552428</v>
      </c>
      <c r="AG581" s="108">
        <v>841282252.44559073</v>
      </c>
      <c r="AH581" s="108">
        <v>1609921161.1021421</v>
      </c>
      <c r="AI581" s="108">
        <v>1793440559.1154068</v>
      </c>
      <c r="AJ581" s="108">
        <v>3830213661.3084831</v>
      </c>
      <c r="AK581" s="108">
        <v>332120580.86167866</v>
      </c>
      <c r="AL581" s="108">
        <v>257372370.75148287</v>
      </c>
      <c r="AM581" s="108">
        <v>518647394.83746535</v>
      </c>
      <c r="AN581" s="108">
        <v>996202037.06192589</v>
      </c>
      <c r="AO581" s="108">
        <v>1894884243.3503442</v>
      </c>
      <c r="AP581" s="108">
        <v>2811729424.5307374</v>
      </c>
      <c r="AQ581" s="108">
        <v>159781681.36690655</v>
      </c>
      <c r="AR581" s="108">
        <v>248986461.59382364</v>
      </c>
      <c r="AS581" s="108">
        <v>1163869524.4759636</v>
      </c>
      <c r="AT581" s="108">
        <v>2666157760.6043706</v>
      </c>
      <c r="AU581" s="108">
        <v>3050671495.1438608</v>
      </c>
      <c r="AV581" s="108">
        <v>3169253690.3605914</v>
      </c>
    </row>
    <row r="582" spans="1:48" x14ac:dyDescent="0.35">
      <c r="A582" s="107">
        <f xml:space="preserve"> ROW( slrImpacts[[#This Row],[row_id]] ) - ROW( slrImpacts[[#Headers],[row_id]] )</f>
        <v>581</v>
      </c>
      <c r="B582" s="104">
        <v>2075</v>
      </c>
      <c r="C582" s="104" t="s">
        <v>221</v>
      </c>
      <c r="D582" s="104" t="s">
        <v>208</v>
      </c>
      <c r="E582" s="104" t="s">
        <v>922</v>
      </c>
      <c r="F582" s="104"/>
      <c r="G582" s="105">
        <v>0</v>
      </c>
      <c r="H582" s="105">
        <v>0</v>
      </c>
      <c r="I582" s="105">
        <v>0</v>
      </c>
      <c r="J582" s="105">
        <v>0</v>
      </c>
      <c r="K582" s="105">
        <v>0</v>
      </c>
      <c r="L582" s="105">
        <v>0</v>
      </c>
      <c r="M582" s="106">
        <v>313737887.53818625</v>
      </c>
      <c r="N582" s="106">
        <v>413584641.44226217</v>
      </c>
      <c r="O582" s="106">
        <v>1277252882.9239767</v>
      </c>
      <c r="P582" s="106">
        <v>2408299301.11869</v>
      </c>
      <c r="Q582" s="106">
        <v>3989575706.728085</v>
      </c>
      <c r="R582" s="106">
        <v>6849984956.9653406</v>
      </c>
      <c r="S582" s="105">
        <v>0</v>
      </c>
      <c r="T582" s="105">
        <v>0</v>
      </c>
      <c r="U582" s="105">
        <v>0</v>
      </c>
      <c r="V582" s="105">
        <v>0</v>
      </c>
      <c r="W582" s="105">
        <v>0</v>
      </c>
      <c r="X582" s="105">
        <v>0</v>
      </c>
      <c r="Y582" s="106">
        <v>26032115.418347478</v>
      </c>
      <c r="Z582" s="106">
        <v>39034836.292503096</v>
      </c>
      <c r="AA582" s="106">
        <v>184343445.65204769</v>
      </c>
      <c r="AB582" s="108">
        <v>458847195.707506</v>
      </c>
      <c r="AC582" s="108">
        <v>947610398.61460257</v>
      </c>
      <c r="AD582" s="108">
        <v>1345393461.6746597</v>
      </c>
      <c r="AE582" s="108">
        <v>230655612.1004411</v>
      </c>
      <c r="AF582" s="108">
        <v>309036415.04065102</v>
      </c>
      <c r="AG582" s="108">
        <v>854835310.51641965</v>
      </c>
      <c r="AH582" s="108">
        <v>1652528343.3075843</v>
      </c>
      <c r="AI582" s="108">
        <v>1819104549.5436287</v>
      </c>
      <c r="AJ582" s="108">
        <v>3921995503.1134448</v>
      </c>
      <c r="AK582" s="108">
        <v>309360201.37319237</v>
      </c>
      <c r="AL582" s="108">
        <v>255736240.88164827</v>
      </c>
      <c r="AM582" s="108">
        <v>524443245.63339818</v>
      </c>
      <c r="AN582" s="108">
        <v>1019853095.0103472</v>
      </c>
      <c r="AO582" s="108">
        <v>1936827504.0133991</v>
      </c>
      <c r="AP582" s="108">
        <v>2863694264.4347978</v>
      </c>
      <c r="AQ582" s="108">
        <v>164331406.53470457</v>
      </c>
      <c r="AR582" s="108">
        <v>254476213.29143485</v>
      </c>
      <c r="AS582" s="108">
        <v>1148548164.85919</v>
      </c>
      <c r="AT582" s="108">
        <v>2694993961.6610017</v>
      </c>
      <c r="AU582" s="108">
        <v>2815409104.8011661</v>
      </c>
      <c r="AV582" s="108">
        <v>3018322190.5989971</v>
      </c>
    </row>
    <row r="583" spans="1:48" x14ac:dyDescent="0.35">
      <c r="A583" s="107">
        <f xml:space="preserve"> ROW( slrImpacts[[#This Row],[row_id]] ) - ROW( slrImpacts[[#Headers],[row_id]] )</f>
        <v>582</v>
      </c>
      <c r="B583" s="104">
        <v>2076</v>
      </c>
      <c r="C583" s="104" t="s">
        <v>221</v>
      </c>
      <c r="D583" s="104" t="s">
        <v>208</v>
      </c>
      <c r="E583" s="104" t="s">
        <v>922</v>
      </c>
      <c r="F583" s="104"/>
      <c r="G583" s="105">
        <v>0</v>
      </c>
      <c r="H583" s="105">
        <v>0</v>
      </c>
      <c r="I583" s="105">
        <v>0</v>
      </c>
      <c r="J583" s="105">
        <v>0</v>
      </c>
      <c r="K583" s="105">
        <v>0</v>
      </c>
      <c r="L583" s="105">
        <v>0</v>
      </c>
      <c r="M583" s="106">
        <v>312575603.81567454</v>
      </c>
      <c r="N583" s="106">
        <v>409399852.2650755</v>
      </c>
      <c r="O583" s="106">
        <v>1284387839.9595127</v>
      </c>
      <c r="P583" s="106">
        <v>2445311473.8708181</v>
      </c>
      <c r="Q583" s="106">
        <v>4076967366.5571628</v>
      </c>
      <c r="R583" s="106">
        <v>6980220812.0635881</v>
      </c>
      <c r="S583" s="105">
        <v>0</v>
      </c>
      <c r="T583" s="105">
        <v>0</v>
      </c>
      <c r="U583" s="105">
        <v>0</v>
      </c>
      <c r="V583" s="105">
        <v>0</v>
      </c>
      <c r="W583" s="105">
        <v>0</v>
      </c>
      <c r="X583" s="105">
        <v>0</v>
      </c>
      <c r="Y583" s="106">
        <v>26492441.602090221</v>
      </c>
      <c r="Z583" s="106">
        <v>39715686.185289167</v>
      </c>
      <c r="AA583" s="106">
        <v>192288417.05476683</v>
      </c>
      <c r="AB583" s="108">
        <v>479546339.7272765</v>
      </c>
      <c r="AC583" s="108">
        <v>989081946.46278882</v>
      </c>
      <c r="AD583" s="108">
        <v>1393163401.907716</v>
      </c>
      <c r="AE583" s="108">
        <v>232960694.12591448</v>
      </c>
      <c r="AF583" s="108">
        <v>313316611.68648237</v>
      </c>
      <c r="AG583" s="108">
        <v>872151063.75448501</v>
      </c>
      <c r="AH583" s="108">
        <v>1694566455.8698103</v>
      </c>
      <c r="AI583" s="108">
        <v>1845650758.0511742</v>
      </c>
      <c r="AJ583" s="108">
        <v>4023121929.9932475</v>
      </c>
      <c r="AK583" s="108">
        <v>286595320.37961352</v>
      </c>
      <c r="AL583" s="108">
        <v>255439852.35062179</v>
      </c>
      <c r="AM583" s="108">
        <v>530996796.46246415</v>
      </c>
      <c r="AN583" s="108">
        <v>1045957956.7433451</v>
      </c>
      <c r="AO583" s="108">
        <v>1980877549.8522754</v>
      </c>
      <c r="AP583" s="108">
        <v>2924905152.4865417</v>
      </c>
      <c r="AQ583" s="108">
        <v>168628952.3471067</v>
      </c>
      <c r="AR583" s="108">
        <v>260561698.64213482</v>
      </c>
      <c r="AS583" s="108">
        <v>1143256134.4392762</v>
      </c>
      <c r="AT583" s="108">
        <v>2691029905.1751208</v>
      </c>
      <c r="AU583" s="108">
        <v>2583884522.3434758</v>
      </c>
      <c r="AV583" s="108">
        <v>2917317964.8773904</v>
      </c>
    </row>
    <row r="584" spans="1:48" x14ac:dyDescent="0.35">
      <c r="A584" s="107">
        <f xml:space="preserve"> ROW( slrImpacts[[#This Row],[row_id]] ) - ROW( slrImpacts[[#Headers],[row_id]] )</f>
        <v>583</v>
      </c>
      <c r="B584" s="104">
        <v>2077</v>
      </c>
      <c r="C584" s="104" t="s">
        <v>221</v>
      </c>
      <c r="D584" s="104" t="s">
        <v>208</v>
      </c>
      <c r="E584" s="104" t="s">
        <v>922</v>
      </c>
      <c r="F584" s="104"/>
      <c r="G584" s="105">
        <v>0</v>
      </c>
      <c r="H584" s="105">
        <v>0</v>
      </c>
      <c r="I584" s="105">
        <v>0</v>
      </c>
      <c r="J584" s="105">
        <v>0</v>
      </c>
      <c r="K584" s="105">
        <v>0</v>
      </c>
      <c r="L584" s="105">
        <v>0</v>
      </c>
      <c r="M584" s="106">
        <v>311249877.07952124</v>
      </c>
      <c r="N584" s="106">
        <v>404977819.46414977</v>
      </c>
      <c r="O584" s="106">
        <v>1294881604.320472</v>
      </c>
      <c r="P584" s="106">
        <v>2481887912.2700963</v>
      </c>
      <c r="Q584" s="106">
        <v>4165583374.3893695</v>
      </c>
      <c r="R584" s="106">
        <v>7117019017.3995562</v>
      </c>
      <c r="S584" s="105">
        <v>0</v>
      </c>
      <c r="T584" s="105">
        <v>0</v>
      </c>
      <c r="U584" s="105">
        <v>0</v>
      </c>
      <c r="V584" s="105">
        <v>0</v>
      </c>
      <c r="W584" s="105">
        <v>0</v>
      </c>
      <c r="X584" s="105">
        <v>0</v>
      </c>
      <c r="Y584" s="106">
        <v>26777148.136998288</v>
      </c>
      <c r="Z584" s="106">
        <v>40406079.985940896</v>
      </c>
      <c r="AA584" s="106">
        <v>199730978.15737501</v>
      </c>
      <c r="AB584" s="108">
        <v>501481307.76397634</v>
      </c>
      <c r="AC584" s="108">
        <v>1030022132.312512</v>
      </c>
      <c r="AD584" s="108">
        <v>1440992889.9342573</v>
      </c>
      <c r="AE584" s="108">
        <v>235776873.85827568</v>
      </c>
      <c r="AF584" s="108">
        <v>318486819.97936821</v>
      </c>
      <c r="AG584" s="108">
        <v>889321068.87888908</v>
      </c>
      <c r="AH584" s="108">
        <v>1736501668.7940664</v>
      </c>
      <c r="AI584" s="108">
        <v>1872527938.5998278</v>
      </c>
      <c r="AJ584" s="108">
        <v>4158246731.4805932</v>
      </c>
      <c r="AK584" s="108">
        <v>262413648.34997752</v>
      </c>
      <c r="AL584" s="108">
        <v>255728503.22588015</v>
      </c>
      <c r="AM584" s="108">
        <v>538267162.75798118</v>
      </c>
      <c r="AN584" s="108">
        <v>1074276513.1557932</v>
      </c>
      <c r="AO584" s="108">
        <v>2029542874.4510636</v>
      </c>
      <c r="AP584" s="108">
        <v>2989818412.3435879</v>
      </c>
      <c r="AQ584" s="108">
        <v>172578959.20390522</v>
      </c>
      <c r="AR584" s="108">
        <v>266608325.91293538</v>
      </c>
      <c r="AS584" s="108">
        <v>1143342215.3015575</v>
      </c>
      <c r="AT584" s="108">
        <v>2669756113.4286809</v>
      </c>
      <c r="AU584" s="108">
        <v>2400703290.0115838</v>
      </c>
      <c r="AV584" s="108">
        <v>2852673098.9217525</v>
      </c>
    </row>
    <row r="585" spans="1:48" x14ac:dyDescent="0.35">
      <c r="A585" s="107">
        <f xml:space="preserve"> ROW( slrImpacts[[#This Row],[row_id]] ) - ROW( slrImpacts[[#Headers],[row_id]] )</f>
        <v>584</v>
      </c>
      <c r="B585" s="104">
        <v>2078</v>
      </c>
      <c r="C585" s="104" t="s">
        <v>221</v>
      </c>
      <c r="D585" s="104" t="s">
        <v>208</v>
      </c>
      <c r="E585" s="104" t="s">
        <v>922</v>
      </c>
      <c r="F585" s="104"/>
      <c r="G585" s="105">
        <v>0</v>
      </c>
      <c r="H585" s="105">
        <v>0</v>
      </c>
      <c r="I585" s="105">
        <v>0</v>
      </c>
      <c r="J585" s="105">
        <v>0</v>
      </c>
      <c r="K585" s="105">
        <v>0</v>
      </c>
      <c r="L585" s="105">
        <v>0</v>
      </c>
      <c r="M585" s="106">
        <v>309981754.10913521</v>
      </c>
      <c r="N585" s="106">
        <v>401638853.10867494</v>
      </c>
      <c r="O585" s="106">
        <v>1303814376.2772732</v>
      </c>
      <c r="P585" s="106">
        <v>2519077498.9498205</v>
      </c>
      <c r="Q585" s="106">
        <v>4253029313.12993</v>
      </c>
      <c r="R585" s="106">
        <v>7272847903.2136011</v>
      </c>
      <c r="S585" s="105">
        <v>0</v>
      </c>
      <c r="T585" s="105">
        <v>0</v>
      </c>
      <c r="U585" s="105">
        <v>0</v>
      </c>
      <c r="V585" s="105">
        <v>0</v>
      </c>
      <c r="W585" s="105">
        <v>0</v>
      </c>
      <c r="X585" s="105">
        <v>0</v>
      </c>
      <c r="Y585" s="106">
        <v>27051744.182607803</v>
      </c>
      <c r="Z585" s="106">
        <v>41106929.782896832</v>
      </c>
      <c r="AA585" s="106">
        <v>207177503.17870611</v>
      </c>
      <c r="AB585" s="108">
        <v>526450394.33965951</v>
      </c>
      <c r="AC585" s="108">
        <v>1071181748.4315902</v>
      </c>
      <c r="AD585" s="108">
        <v>1488131042.0678153</v>
      </c>
      <c r="AE585" s="108">
        <v>238602478.96566448</v>
      </c>
      <c r="AF585" s="108">
        <v>323997881.8703506</v>
      </c>
      <c r="AG585" s="108">
        <v>907939340.31831348</v>
      </c>
      <c r="AH585" s="108">
        <v>1782009614.1589234</v>
      </c>
      <c r="AI585" s="108">
        <v>1898331508.7463799</v>
      </c>
      <c r="AJ585" s="108">
        <v>4298995522.6218872</v>
      </c>
      <c r="AK585" s="108">
        <v>237321504.62723425</v>
      </c>
      <c r="AL585" s="108">
        <v>256898697.84490669</v>
      </c>
      <c r="AM585" s="108">
        <v>551502298.01096356</v>
      </c>
      <c r="AN585" s="108">
        <v>1103738583.868361</v>
      </c>
      <c r="AO585" s="108">
        <v>2083403276.0541105</v>
      </c>
      <c r="AP585" s="108">
        <v>3065121596.1015863</v>
      </c>
      <c r="AQ585" s="108">
        <v>176283535.32554951</v>
      </c>
      <c r="AR585" s="108">
        <v>272636865.02666152</v>
      </c>
      <c r="AS585" s="108">
        <v>1150141954.3540828</v>
      </c>
      <c r="AT585" s="108">
        <v>2635337737.4448328</v>
      </c>
      <c r="AU585" s="108">
        <v>2243797265.2384109</v>
      </c>
      <c r="AV585" s="108">
        <v>2832455238.2141705</v>
      </c>
    </row>
    <row r="586" spans="1:48" x14ac:dyDescent="0.35">
      <c r="A586" s="107">
        <f xml:space="preserve"> ROW( slrImpacts[[#This Row],[row_id]] ) - ROW( slrImpacts[[#Headers],[row_id]] )</f>
        <v>585</v>
      </c>
      <c r="B586" s="104">
        <v>2079</v>
      </c>
      <c r="C586" s="104" t="s">
        <v>221</v>
      </c>
      <c r="D586" s="104" t="s">
        <v>208</v>
      </c>
      <c r="E586" s="104" t="s">
        <v>922</v>
      </c>
      <c r="F586" s="104"/>
      <c r="G586" s="105">
        <v>0</v>
      </c>
      <c r="H586" s="105">
        <v>0</v>
      </c>
      <c r="I586" s="105">
        <v>0</v>
      </c>
      <c r="J586" s="105">
        <v>0</v>
      </c>
      <c r="K586" s="105">
        <v>0</v>
      </c>
      <c r="L586" s="105">
        <v>0</v>
      </c>
      <c r="M586" s="106">
        <v>308023869.48714358</v>
      </c>
      <c r="N586" s="106">
        <v>399494165.84178132</v>
      </c>
      <c r="O586" s="106">
        <v>1315276022.1945276</v>
      </c>
      <c r="P586" s="106">
        <v>2559735848.7048602</v>
      </c>
      <c r="Q586" s="106">
        <v>4343415818.9238911</v>
      </c>
      <c r="R586" s="106">
        <v>7425951457.8410378</v>
      </c>
      <c r="S586" s="105">
        <v>0</v>
      </c>
      <c r="T586" s="105">
        <v>0</v>
      </c>
      <c r="U586" s="105">
        <v>0</v>
      </c>
      <c r="V586" s="105">
        <v>0</v>
      </c>
      <c r="W586" s="105">
        <v>0</v>
      </c>
      <c r="X586" s="105">
        <v>0</v>
      </c>
      <c r="Y586" s="106">
        <v>27317273.518289596</v>
      </c>
      <c r="Z586" s="106">
        <v>41814898.70115108</v>
      </c>
      <c r="AA586" s="106">
        <v>214541804.67276093</v>
      </c>
      <c r="AB586" s="108">
        <v>552239767.53254187</v>
      </c>
      <c r="AC586" s="108">
        <v>1112558862.5325704</v>
      </c>
      <c r="AD586" s="108">
        <v>1535349230.3484452</v>
      </c>
      <c r="AE586" s="108">
        <v>240822698.74631044</v>
      </c>
      <c r="AF586" s="108">
        <v>329423628.80122703</v>
      </c>
      <c r="AG586" s="108">
        <v>926623818.83572662</v>
      </c>
      <c r="AH586" s="108">
        <v>1829459914.3575568</v>
      </c>
      <c r="AI586" s="108">
        <v>1923749319.5431974</v>
      </c>
      <c r="AJ586" s="108">
        <v>4436762303.306632</v>
      </c>
      <c r="AK586" s="108">
        <v>223786825.32865781</v>
      </c>
      <c r="AL586" s="108">
        <v>258161981.18492469</v>
      </c>
      <c r="AM586" s="108">
        <v>565329741.18814707</v>
      </c>
      <c r="AN586" s="108">
        <v>1135959756.9879751</v>
      </c>
      <c r="AO586" s="108">
        <v>2138532805.3048093</v>
      </c>
      <c r="AP586" s="108">
        <v>3148504151.2043509</v>
      </c>
      <c r="AQ586" s="108">
        <v>179220938.04911464</v>
      </c>
      <c r="AR586" s="108">
        <v>278713465.95617074</v>
      </c>
      <c r="AS586" s="108">
        <v>1162069816.7671552</v>
      </c>
      <c r="AT586" s="108">
        <v>2571273451.2197967</v>
      </c>
      <c r="AU586" s="108">
        <v>2107259905.8658371</v>
      </c>
      <c r="AV586" s="108">
        <v>2845970028.6006827</v>
      </c>
    </row>
    <row r="587" spans="1:48" x14ac:dyDescent="0.35">
      <c r="A587" s="107">
        <f xml:space="preserve"> ROW( slrImpacts[[#This Row],[row_id]] ) - ROW( slrImpacts[[#Headers],[row_id]] )</f>
        <v>586</v>
      </c>
      <c r="B587" s="104">
        <v>2080</v>
      </c>
      <c r="C587" s="104" t="s">
        <v>221</v>
      </c>
      <c r="D587" s="104" t="s">
        <v>208</v>
      </c>
      <c r="E587" s="104" t="s">
        <v>922</v>
      </c>
      <c r="F587" s="104"/>
      <c r="G587" s="105">
        <v>0</v>
      </c>
      <c r="H587" s="105">
        <v>0</v>
      </c>
      <c r="I587" s="105">
        <v>0</v>
      </c>
      <c r="J587" s="105">
        <v>0</v>
      </c>
      <c r="K587" s="105">
        <v>0</v>
      </c>
      <c r="L587" s="105">
        <v>0</v>
      </c>
      <c r="M587" s="106">
        <v>305808003.57384455</v>
      </c>
      <c r="N587" s="106">
        <v>398886767.82471359</v>
      </c>
      <c r="O587" s="106">
        <v>1325280600.9612093</v>
      </c>
      <c r="P587" s="106">
        <v>2599422393.2030401</v>
      </c>
      <c r="Q587" s="106">
        <v>4432010124.9607086</v>
      </c>
      <c r="R587" s="106">
        <v>7578170691.0698853</v>
      </c>
      <c r="S587" s="105">
        <v>0</v>
      </c>
      <c r="T587" s="105">
        <v>0</v>
      </c>
      <c r="U587" s="105">
        <v>0</v>
      </c>
      <c r="V587" s="105">
        <v>0</v>
      </c>
      <c r="W587" s="105">
        <v>0</v>
      </c>
      <c r="X587" s="105">
        <v>0</v>
      </c>
      <c r="Y587" s="106">
        <v>27569179.67580381</v>
      </c>
      <c r="Z587" s="106">
        <v>42619749.137791626</v>
      </c>
      <c r="AA587" s="106">
        <v>221377561.920003</v>
      </c>
      <c r="AB587" s="108">
        <v>578158331.88402033</v>
      </c>
      <c r="AC587" s="108">
        <v>1153965233.049315</v>
      </c>
      <c r="AD587" s="108">
        <v>1584080380.1363137</v>
      </c>
      <c r="AE587" s="108">
        <v>243122389.39451328</v>
      </c>
      <c r="AF587" s="108">
        <v>334355052.01796961</v>
      </c>
      <c r="AG587" s="108">
        <v>945612478.92470717</v>
      </c>
      <c r="AH587" s="108">
        <v>1876144744.2744474</v>
      </c>
      <c r="AI587" s="108">
        <v>1952119602.0408499</v>
      </c>
      <c r="AJ587" s="108">
        <v>4578955057.7228756</v>
      </c>
      <c r="AK587" s="108">
        <v>220073001.8739219</v>
      </c>
      <c r="AL587" s="108">
        <v>259897691.6050308</v>
      </c>
      <c r="AM587" s="108">
        <v>579558384.4289943</v>
      </c>
      <c r="AN587" s="108">
        <v>1169190288.8882387</v>
      </c>
      <c r="AO587" s="108">
        <v>2197228257.5582967</v>
      </c>
      <c r="AP587" s="108">
        <v>3237011423.2529812</v>
      </c>
      <c r="AQ587" s="108">
        <v>181819663.15628812</v>
      </c>
      <c r="AR587" s="108">
        <v>285386741.17367339</v>
      </c>
      <c r="AS587" s="108">
        <v>1179811217.9529963</v>
      </c>
      <c r="AT587" s="108">
        <v>2461401649.8341713</v>
      </c>
      <c r="AU587" s="108">
        <v>1990671696.504689</v>
      </c>
      <c r="AV587" s="108">
        <v>2867542414.4904165</v>
      </c>
    </row>
    <row r="588" spans="1:48" x14ac:dyDescent="0.35">
      <c r="A588" s="107">
        <f xml:space="preserve"> ROW( slrImpacts[[#This Row],[row_id]] ) - ROW( slrImpacts[[#Headers],[row_id]] )</f>
        <v>587</v>
      </c>
      <c r="B588" s="104">
        <v>2081</v>
      </c>
      <c r="C588" s="104" t="s">
        <v>221</v>
      </c>
      <c r="D588" s="104" t="s">
        <v>208</v>
      </c>
      <c r="E588" s="104" t="s">
        <v>922</v>
      </c>
      <c r="F588" s="104"/>
      <c r="G588" s="105">
        <v>0</v>
      </c>
      <c r="H588" s="105">
        <v>0</v>
      </c>
      <c r="I588" s="105">
        <v>0</v>
      </c>
      <c r="J588" s="105">
        <v>0</v>
      </c>
      <c r="K588" s="105">
        <v>0</v>
      </c>
      <c r="L588" s="105">
        <v>0</v>
      </c>
      <c r="M588" s="106">
        <v>302950303.97417867</v>
      </c>
      <c r="N588" s="106">
        <v>399505614.80053645</v>
      </c>
      <c r="O588" s="106">
        <v>1335025442.9212809</v>
      </c>
      <c r="P588" s="106">
        <v>2643189140.2036943</v>
      </c>
      <c r="Q588" s="106">
        <v>4519673131.9106073</v>
      </c>
      <c r="R588" s="106">
        <v>7728347289.188592</v>
      </c>
      <c r="S588" s="105">
        <v>0</v>
      </c>
      <c r="T588" s="105">
        <v>0</v>
      </c>
      <c r="U588" s="105">
        <v>0</v>
      </c>
      <c r="V588" s="105">
        <v>0</v>
      </c>
      <c r="W588" s="105">
        <v>0</v>
      </c>
      <c r="X588" s="105">
        <v>0</v>
      </c>
      <c r="Y588" s="106">
        <v>27869210.259746749</v>
      </c>
      <c r="Z588" s="106">
        <v>43527341.711046465</v>
      </c>
      <c r="AA588" s="106">
        <v>228546580.55642658</v>
      </c>
      <c r="AB588" s="108">
        <v>605460980.01469934</v>
      </c>
      <c r="AC588" s="108">
        <v>1194868554.2893004</v>
      </c>
      <c r="AD588" s="108">
        <v>1634209090.9336488</v>
      </c>
      <c r="AE588" s="108">
        <v>245651778.1350497</v>
      </c>
      <c r="AF588" s="108">
        <v>339325826.57465684</v>
      </c>
      <c r="AG588" s="108">
        <v>962923470.20447671</v>
      </c>
      <c r="AH588" s="108">
        <v>1920835925.1811254</v>
      </c>
      <c r="AI588" s="108">
        <v>1984480050.813664</v>
      </c>
      <c r="AJ588" s="108">
        <v>4721711698.0059347</v>
      </c>
      <c r="AK588" s="108">
        <v>219183880.63897806</v>
      </c>
      <c r="AL588" s="108">
        <v>261855445.44171953</v>
      </c>
      <c r="AM588" s="108">
        <v>595230520.06533217</v>
      </c>
      <c r="AN588" s="108">
        <v>1202703325.5705054</v>
      </c>
      <c r="AO588" s="108">
        <v>2260482080.8151574</v>
      </c>
      <c r="AP588" s="108">
        <v>3319901506.2399111</v>
      </c>
      <c r="AQ588" s="108">
        <v>184022192.25264737</v>
      </c>
      <c r="AR588" s="108">
        <v>292183213.89532793</v>
      </c>
      <c r="AS588" s="108">
        <v>1204679690.4550636</v>
      </c>
      <c r="AT588" s="108">
        <v>2334891329.6161981</v>
      </c>
      <c r="AU588" s="108">
        <v>1927308467.1587849</v>
      </c>
      <c r="AV588" s="108">
        <v>2890041963.7547688</v>
      </c>
    </row>
    <row r="589" spans="1:48" x14ac:dyDescent="0.35">
      <c r="A589" s="107">
        <f xml:space="preserve"> ROW( slrImpacts[[#This Row],[row_id]] ) - ROW( slrImpacts[[#Headers],[row_id]] )</f>
        <v>588</v>
      </c>
      <c r="B589" s="104">
        <v>2082</v>
      </c>
      <c r="C589" s="104" t="s">
        <v>221</v>
      </c>
      <c r="D589" s="104" t="s">
        <v>208</v>
      </c>
      <c r="E589" s="104" t="s">
        <v>922</v>
      </c>
      <c r="F589" s="104"/>
      <c r="G589" s="105">
        <v>0</v>
      </c>
      <c r="H589" s="105">
        <v>0</v>
      </c>
      <c r="I589" s="105">
        <v>0</v>
      </c>
      <c r="J589" s="105">
        <v>0</v>
      </c>
      <c r="K589" s="105">
        <v>0</v>
      </c>
      <c r="L589" s="105">
        <v>0</v>
      </c>
      <c r="M589" s="106">
        <v>300022551.67586088</v>
      </c>
      <c r="N589" s="106">
        <v>400869539.88551289</v>
      </c>
      <c r="O589" s="106">
        <v>1345562659.0009873</v>
      </c>
      <c r="P589" s="106">
        <v>2687990071.8969135</v>
      </c>
      <c r="Q589" s="106">
        <v>4597246752.4067221</v>
      </c>
      <c r="R589" s="106">
        <v>7875980220.5530157</v>
      </c>
      <c r="S589" s="105">
        <v>0</v>
      </c>
      <c r="T589" s="105">
        <v>0</v>
      </c>
      <c r="U589" s="105">
        <v>0</v>
      </c>
      <c r="V589" s="105">
        <v>0</v>
      </c>
      <c r="W589" s="105">
        <v>0</v>
      </c>
      <c r="X589" s="105">
        <v>0</v>
      </c>
      <c r="Y589" s="106">
        <v>28160481.925856311</v>
      </c>
      <c r="Z589" s="106">
        <v>44576682.125439242</v>
      </c>
      <c r="AA589" s="106">
        <v>236199992.91465127</v>
      </c>
      <c r="AB589" s="108">
        <v>633145544.46468008</v>
      </c>
      <c r="AC589" s="108">
        <v>1236158589.335295</v>
      </c>
      <c r="AD589" s="108">
        <v>1685655254.8478856</v>
      </c>
      <c r="AE589" s="108">
        <v>248020401.52145678</v>
      </c>
      <c r="AF589" s="108">
        <v>343918327.03201371</v>
      </c>
      <c r="AG589" s="108">
        <v>978286753.63032997</v>
      </c>
      <c r="AH589" s="108">
        <v>1961983452.4364843</v>
      </c>
      <c r="AI589" s="108">
        <v>2014283969.8882458</v>
      </c>
      <c r="AJ589" s="108">
        <v>4862480581.137001</v>
      </c>
      <c r="AK589" s="108">
        <v>218757689.00458142</v>
      </c>
      <c r="AL589" s="108">
        <v>262601158.21121737</v>
      </c>
      <c r="AM589" s="108">
        <v>610988800.30913556</v>
      </c>
      <c r="AN589" s="108">
        <v>1238249823.2823451</v>
      </c>
      <c r="AO589" s="108">
        <v>2315696085.6290822</v>
      </c>
      <c r="AP589" s="108">
        <v>3399075782.6126213</v>
      </c>
      <c r="AQ589" s="108">
        <v>185700051.70041299</v>
      </c>
      <c r="AR589" s="108">
        <v>299196362.14380497</v>
      </c>
      <c r="AS589" s="108">
        <v>1238642782.4093733</v>
      </c>
      <c r="AT589" s="108">
        <v>2195768705.9092951</v>
      </c>
      <c r="AU589" s="108">
        <v>1884649216.4344885</v>
      </c>
      <c r="AV589" s="108">
        <v>2911928522.7317753</v>
      </c>
    </row>
    <row r="590" spans="1:48" x14ac:dyDescent="0.35">
      <c r="A590" s="107">
        <f xml:space="preserve"> ROW( slrImpacts[[#This Row],[row_id]] ) - ROW( slrImpacts[[#Headers],[row_id]] )</f>
        <v>589</v>
      </c>
      <c r="B590" s="104">
        <v>2083</v>
      </c>
      <c r="C590" s="104" t="s">
        <v>221</v>
      </c>
      <c r="D590" s="104" t="s">
        <v>208</v>
      </c>
      <c r="E590" s="104" t="s">
        <v>922</v>
      </c>
      <c r="F590" s="104"/>
      <c r="G590" s="105">
        <v>0</v>
      </c>
      <c r="H590" s="105">
        <v>0</v>
      </c>
      <c r="I590" s="105">
        <v>0</v>
      </c>
      <c r="J590" s="105">
        <v>0</v>
      </c>
      <c r="K590" s="105">
        <v>0</v>
      </c>
      <c r="L590" s="105">
        <v>0</v>
      </c>
      <c r="M590" s="106">
        <v>296830451.67899615</v>
      </c>
      <c r="N590" s="106">
        <v>402608970.42615551</v>
      </c>
      <c r="O590" s="106">
        <v>1357587016.5386295</v>
      </c>
      <c r="P590" s="106">
        <v>2733028283.8318701</v>
      </c>
      <c r="Q590" s="106">
        <v>4679274139.3279324</v>
      </c>
      <c r="R590" s="106">
        <v>8021668199.8921366</v>
      </c>
      <c r="S590" s="105">
        <v>0</v>
      </c>
      <c r="T590" s="105">
        <v>0</v>
      </c>
      <c r="U590" s="105">
        <v>0</v>
      </c>
      <c r="V590" s="105">
        <v>0</v>
      </c>
      <c r="W590" s="105">
        <v>0</v>
      </c>
      <c r="X590" s="105">
        <v>0</v>
      </c>
      <c r="Y590" s="106">
        <v>28492544.72116337</v>
      </c>
      <c r="Z590" s="106">
        <v>45635032.279091291</v>
      </c>
      <c r="AA590" s="106">
        <v>244007387.33620721</v>
      </c>
      <c r="AB590" s="108">
        <v>661120814.1261934</v>
      </c>
      <c r="AC590" s="108">
        <v>1277450353.0696113</v>
      </c>
      <c r="AD590" s="108">
        <v>1737059477.1821673</v>
      </c>
      <c r="AE590" s="108">
        <v>250269321.07072657</v>
      </c>
      <c r="AF590" s="108">
        <v>347897251.36114943</v>
      </c>
      <c r="AG590" s="108">
        <v>994687678.06206787</v>
      </c>
      <c r="AH590" s="108">
        <v>1999905848.5249562</v>
      </c>
      <c r="AI590" s="108">
        <v>2048621896.827486</v>
      </c>
      <c r="AJ590" s="108">
        <v>4997428738.1487274</v>
      </c>
      <c r="AK590" s="108">
        <v>218662519.05453399</v>
      </c>
      <c r="AL590" s="108">
        <v>263106163.91516721</v>
      </c>
      <c r="AM590" s="108">
        <v>628051533.22879851</v>
      </c>
      <c r="AN590" s="108">
        <v>1275968483.6961641</v>
      </c>
      <c r="AO590" s="108">
        <v>2371089540.3560205</v>
      </c>
      <c r="AP590" s="108">
        <v>3479010657.6793399</v>
      </c>
      <c r="AQ590" s="108">
        <v>187161442.1800313</v>
      </c>
      <c r="AR590" s="108">
        <v>306208303.98595369</v>
      </c>
      <c r="AS590" s="108">
        <v>1277492697.0618849</v>
      </c>
      <c r="AT590" s="108">
        <v>2044516905.9730153</v>
      </c>
      <c r="AU590" s="108">
        <v>1857154899.4697483</v>
      </c>
      <c r="AV590" s="108">
        <v>2936737106.2371759</v>
      </c>
    </row>
    <row r="591" spans="1:48" x14ac:dyDescent="0.35">
      <c r="A591" s="107">
        <f xml:space="preserve"> ROW( slrImpacts[[#This Row],[row_id]] ) - ROW( slrImpacts[[#Headers],[row_id]] )</f>
        <v>590</v>
      </c>
      <c r="B591" s="104">
        <v>2084</v>
      </c>
      <c r="C591" s="104" t="s">
        <v>221</v>
      </c>
      <c r="D591" s="104" t="s">
        <v>208</v>
      </c>
      <c r="E591" s="104" t="s">
        <v>922</v>
      </c>
      <c r="F591" s="104"/>
      <c r="G591" s="105">
        <v>0</v>
      </c>
      <c r="H591" s="105">
        <v>0</v>
      </c>
      <c r="I591" s="105">
        <v>0</v>
      </c>
      <c r="J591" s="105">
        <v>0</v>
      </c>
      <c r="K591" s="105">
        <v>0</v>
      </c>
      <c r="L591" s="105">
        <v>0</v>
      </c>
      <c r="M591" s="106">
        <v>293326484.71269238</v>
      </c>
      <c r="N591" s="106">
        <v>404990394.97547936</v>
      </c>
      <c r="O591" s="106">
        <v>1373807260.2713244</v>
      </c>
      <c r="P591" s="106">
        <v>2780303943.7587037</v>
      </c>
      <c r="Q591" s="106">
        <v>4762355992.8979673</v>
      </c>
      <c r="R591" s="106">
        <v>8168840465.9534273</v>
      </c>
      <c r="S591" s="105">
        <v>0</v>
      </c>
      <c r="T591" s="105">
        <v>0</v>
      </c>
      <c r="U591" s="105">
        <v>0</v>
      </c>
      <c r="V591" s="105">
        <v>0</v>
      </c>
      <c r="W591" s="105">
        <v>0</v>
      </c>
      <c r="X591" s="105">
        <v>0</v>
      </c>
      <c r="Y591" s="106">
        <v>28811259.841429625</v>
      </c>
      <c r="Z591" s="106">
        <v>46758192.97669258</v>
      </c>
      <c r="AA591" s="106">
        <v>251765591.8635017</v>
      </c>
      <c r="AB591" s="108">
        <v>689454907.35542583</v>
      </c>
      <c r="AC591" s="108">
        <v>1318642545.6155128</v>
      </c>
      <c r="AD591" s="108">
        <v>1788761408.2859659</v>
      </c>
      <c r="AE591" s="108">
        <v>252496954.54971886</v>
      </c>
      <c r="AF591" s="108">
        <v>351299391.42917603</v>
      </c>
      <c r="AG591" s="108">
        <v>1010934135.421772</v>
      </c>
      <c r="AH591" s="108">
        <v>2033589594.2369452</v>
      </c>
      <c r="AI591" s="108">
        <v>2082595313.6945226</v>
      </c>
      <c r="AJ591" s="108">
        <v>5125658102.3546915</v>
      </c>
      <c r="AK591" s="108">
        <v>217751342.86870199</v>
      </c>
      <c r="AL591" s="108">
        <v>266304033.34045371</v>
      </c>
      <c r="AM591" s="108">
        <v>646098330.08020151</v>
      </c>
      <c r="AN591" s="108">
        <v>1312608906.122906</v>
      </c>
      <c r="AO591" s="108">
        <v>2427396508.9291339</v>
      </c>
      <c r="AP591" s="108">
        <v>3556890607.6582685</v>
      </c>
      <c r="AQ591" s="108">
        <v>187939132.35393223</v>
      </c>
      <c r="AR591" s="108">
        <v>313168648.02672464</v>
      </c>
      <c r="AS591" s="108">
        <v>1318262672.6358659</v>
      </c>
      <c r="AT591" s="108">
        <v>1878322221.5382257</v>
      </c>
      <c r="AU591" s="108">
        <v>1850625412.0634775</v>
      </c>
      <c r="AV591" s="108">
        <v>2963448815.342659</v>
      </c>
    </row>
    <row r="592" spans="1:48" x14ac:dyDescent="0.35">
      <c r="A592" s="107">
        <f xml:space="preserve"> ROW( slrImpacts[[#This Row],[row_id]] ) - ROW( slrImpacts[[#Headers],[row_id]] )</f>
        <v>591</v>
      </c>
      <c r="B592" s="104">
        <v>2085</v>
      </c>
      <c r="C592" s="104" t="s">
        <v>221</v>
      </c>
      <c r="D592" s="104" t="s">
        <v>208</v>
      </c>
      <c r="E592" s="104" t="s">
        <v>922</v>
      </c>
      <c r="F592" s="104"/>
      <c r="G592" s="105">
        <v>0</v>
      </c>
      <c r="H592" s="105">
        <v>0</v>
      </c>
      <c r="I592" s="105">
        <v>0</v>
      </c>
      <c r="J592" s="105">
        <v>0</v>
      </c>
      <c r="K592" s="105">
        <v>0</v>
      </c>
      <c r="L592" s="105">
        <v>0</v>
      </c>
      <c r="M592" s="106">
        <v>290320331.9126187</v>
      </c>
      <c r="N592" s="106">
        <v>407576376.97778833</v>
      </c>
      <c r="O592" s="106">
        <v>1390312347.4755554</v>
      </c>
      <c r="P592" s="106">
        <v>2830141753.7568898</v>
      </c>
      <c r="Q592" s="106">
        <v>4845590085.5896282</v>
      </c>
      <c r="R592" s="106">
        <v>8314951491.969903</v>
      </c>
      <c r="S592" s="105">
        <v>0</v>
      </c>
      <c r="T592" s="105">
        <v>0</v>
      </c>
      <c r="U592" s="105">
        <v>0</v>
      </c>
      <c r="V592" s="105">
        <v>0</v>
      </c>
      <c r="W592" s="105">
        <v>0</v>
      </c>
      <c r="X592" s="105">
        <v>0</v>
      </c>
      <c r="Y592" s="106">
        <v>29146033.246677347</v>
      </c>
      <c r="Z592" s="106">
        <v>47883296.542037018</v>
      </c>
      <c r="AA592" s="106">
        <v>257633713.04162544</v>
      </c>
      <c r="AB592" s="108">
        <v>718758375.25593066</v>
      </c>
      <c r="AC592" s="108">
        <v>1359276277.117861</v>
      </c>
      <c r="AD592" s="108">
        <v>1840867503.1337931</v>
      </c>
      <c r="AE592" s="108">
        <v>254650305.930282</v>
      </c>
      <c r="AF592" s="108">
        <v>355190738.389763</v>
      </c>
      <c r="AG592" s="108">
        <v>1026148568.3722144</v>
      </c>
      <c r="AH592" s="108">
        <v>2064636075.1845326</v>
      </c>
      <c r="AI592" s="108">
        <v>2115517272.5751007</v>
      </c>
      <c r="AJ592" s="108">
        <v>5245601592.9253645</v>
      </c>
      <c r="AK592" s="108">
        <v>216320350.58651486</v>
      </c>
      <c r="AL592" s="108">
        <v>270481514.40165722</v>
      </c>
      <c r="AM592" s="108">
        <v>664123819.76197708</v>
      </c>
      <c r="AN592" s="108">
        <v>1344995206.2103567</v>
      </c>
      <c r="AO592" s="108">
        <v>2483683686.9208508</v>
      </c>
      <c r="AP592" s="108">
        <v>3639391482.4386292</v>
      </c>
      <c r="AQ592" s="108">
        <v>188426580.18418974</v>
      </c>
      <c r="AR592" s="108">
        <v>320056320.70761746</v>
      </c>
      <c r="AS592" s="108">
        <v>1354698648.7337072</v>
      </c>
      <c r="AT592" s="108">
        <v>1709950120.2340803</v>
      </c>
      <c r="AU592" s="108">
        <v>1847005856.5848806</v>
      </c>
      <c r="AV592" s="108">
        <v>2996850359.6054225</v>
      </c>
    </row>
    <row r="593" spans="1:48" x14ac:dyDescent="0.35">
      <c r="A593" s="107">
        <f xml:space="preserve"> ROW( slrImpacts[[#This Row],[row_id]] ) - ROW( slrImpacts[[#Headers],[row_id]] )</f>
        <v>592</v>
      </c>
      <c r="B593" s="104">
        <v>2086</v>
      </c>
      <c r="C593" s="104" t="s">
        <v>221</v>
      </c>
      <c r="D593" s="104" t="s">
        <v>208</v>
      </c>
      <c r="E593" s="104" t="s">
        <v>922</v>
      </c>
      <c r="F593" s="104"/>
      <c r="G593" s="105">
        <v>0</v>
      </c>
      <c r="H593" s="105">
        <v>0</v>
      </c>
      <c r="I593" s="105">
        <v>0</v>
      </c>
      <c r="J593" s="105">
        <v>0</v>
      </c>
      <c r="K593" s="105">
        <v>0</v>
      </c>
      <c r="L593" s="105">
        <v>0</v>
      </c>
      <c r="M593" s="106">
        <v>287090403.41952103</v>
      </c>
      <c r="N593" s="106">
        <v>410131900.48150772</v>
      </c>
      <c r="O593" s="106">
        <v>1406654086.4025126</v>
      </c>
      <c r="P593" s="106">
        <v>2880063441.2348666</v>
      </c>
      <c r="Q593" s="106">
        <v>4930109610.4155045</v>
      </c>
      <c r="R593" s="106">
        <v>8461911816.4091749</v>
      </c>
      <c r="S593" s="105">
        <v>0</v>
      </c>
      <c r="T593" s="105">
        <v>0</v>
      </c>
      <c r="U593" s="105">
        <v>0</v>
      </c>
      <c r="V593" s="105">
        <v>0</v>
      </c>
      <c r="W593" s="105">
        <v>0</v>
      </c>
      <c r="X593" s="105">
        <v>0</v>
      </c>
      <c r="Y593" s="106">
        <v>29466871.042170126</v>
      </c>
      <c r="Z593" s="106">
        <v>48789108.313003376</v>
      </c>
      <c r="AA593" s="106">
        <v>263422887.63608703</v>
      </c>
      <c r="AB593" s="108">
        <v>748677985.01114118</v>
      </c>
      <c r="AC593" s="108">
        <v>1402391380.2280583</v>
      </c>
      <c r="AD593" s="108">
        <v>1893901047.9489291</v>
      </c>
      <c r="AE593" s="108">
        <v>256937423.0028435</v>
      </c>
      <c r="AF593" s="108">
        <v>358561520.4327926</v>
      </c>
      <c r="AG593" s="108">
        <v>1041787402.9458247</v>
      </c>
      <c r="AH593" s="108">
        <v>2094938154.6655872</v>
      </c>
      <c r="AI593" s="108">
        <v>2149032381.0293884</v>
      </c>
      <c r="AJ593" s="108">
        <v>5346365195.2723484</v>
      </c>
      <c r="AK593" s="108">
        <v>214883252.36639076</v>
      </c>
      <c r="AL593" s="108">
        <v>274831668.67393929</v>
      </c>
      <c r="AM593" s="108">
        <v>683303333.86965168</v>
      </c>
      <c r="AN593" s="108">
        <v>1381705742.4934859</v>
      </c>
      <c r="AO593" s="108">
        <v>2540993637.164259</v>
      </c>
      <c r="AP593" s="108">
        <v>3721168050.6959519</v>
      </c>
      <c r="AQ593" s="108">
        <v>188264876.13040286</v>
      </c>
      <c r="AR593" s="108">
        <v>327528513.62219852</v>
      </c>
      <c r="AS593" s="108">
        <v>1394245060.3267915</v>
      </c>
      <c r="AT593" s="108">
        <v>1560932848.0935836</v>
      </c>
      <c r="AU593" s="108">
        <v>1848042088.704407</v>
      </c>
      <c r="AV593" s="108">
        <v>3032986333.7076116</v>
      </c>
    </row>
    <row r="594" spans="1:48" x14ac:dyDescent="0.35">
      <c r="A594" s="107">
        <f xml:space="preserve"> ROW( slrImpacts[[#This Row],[row_id]] ) - ROW( slrImpacts[[#Headers],[row_id]] )</f>
        <v>593</v>
      </c>
      <c r="B594" s="104">
        <v>2087</v>
      </c>
      <c r="C594" s="104" t="s">
        <v>221</v>
      </c>
      <c r="D594" s="104" t="s">
        <v>208</v>
      </c>
      <c r="E594" s="104" t="s">
        <v>922</v>
      </c>
      <c r="F594" s="104"/>
      <c r="G594" s="105">
        <v>0</v>
      </c>
      <c r="H594" s="105">
        <v>0</v>
      </c>
      <c r="I594" s="105">
        <v>0</v>
      </c>
      <c r="J594" s="105">
        <v>0</v>
      </c>
      <c r="K594" s="105">
        <v>0</v>
      </c>
      <c r="L594" s="105">
        <v>0</v>
      </c>
      <c r="M594" s="106">
        <v>284349972.59872687</v>
      </c>
      <c r="N594" s="106">
        <v>412920363.36879563</v>
      </c>
      <c r="O594" s="106">
        <v>1421349431.8212495</v>
      </c>
      <c r="P594" s="106">
        <v>2930174380.0083241</v>
      </c>
      <c r="Q594" s="106">
        <v>5011501608.4785576</v>
      </c>
      <c r="R594" s="106">
        <v>8609414938.5594769</v>
      </c>
      <c r="S594" s="105">
        <v>0</v>
      </c>
      <c r="T594" s="105">
        <v>0</v>
      </c>
      <c r="U594" s="105">
        <v>0</v>
      </c>
      <c r="V594" s="105">
        <v>0</v>
      </c>
      <c r="W594" s="105">
        <v>0</v>
      </c>
      <c r="X594" s="105">
        <v>0</v>
      </c>
      <c r="Y594" s="106">
        <v>29787516.672323316</v>
      </c>
      <c r="Z594" s="106">
        <v>49610348.198631942</v>
      </c>
      <c r="AA594" s="106">
        <v>269489634.40055585</v>
      </c>
      <c r="AB594" s="108">
        <v>773858644.21811116</v>
      </c>
      <c r="AC594" s="108">
        <v>1447389890.9256508</v>
      </c>
      <c r="AD594" s="108">
        <v>1946951423.9530907</v>
      </c>
      <c r="AE594" s="108">
        <v>258962044.78143066</v>
      </c>
      <c r="AF594" s="108">
        <v>361949497.3583824</v>
      </c>
      <c r="AG594" s="108">
        <v>1057494872.7443023</v>
      </c>
      <c r="AH594" s="108">
        <v>2126639015.1466789</v>
      </c>
      <c r="AI594" s="108">
        <v>2183167838.4985299</v>
      </c>
      <c r="AJ594" s="108">
        <v>5442708826.4477472</v>
      </c>
      <c r="AK594" s="108">
        <v>213860654.61126885</v>
      </c>
      <c r="AL594" s="108">
        <v>279224013.71103817</v>
      </c>
      <c r="AM594" s="108">
        <v>702481617.7332412</v>
      </c>
      <c r="AN594" s="108">
        <v>1417463681.8513398</v>
      </c>
      <c r="AO594" s="108">
        <v>2602643984.1362271</v>
      </c>
      <c r="AP594" s="108">
        <v>3794398848.7735629</v>
      </c>
      <c r="AQ594" s="108">
        <v>188547386.05800313</v>
      </c>
      <c r="AR594" s="108">
        <v>335010040.9268412</v>
      </c>
      <c r="AS594" s="108">
        <v>1434697786.7601364</v>
      </c>
      <c r="AT594" s="108">
        <v>1435649115.4203374</v>
      </c>
      <c r="AU594" s="108">
        <v>1853911654.1987891</v>
      </c>
      <c r="AV594" s="108">
        <v>3073178896.5029526</v>
      </c>
    </row>
    <row r="595" spans="1:48" x14ac:dyDescent="0.35">
      <c r="A595" s="107">
        <f xml:space="preserve"> ROW( slrImpacts[[#This Row],[row_id]] ) - ROW( slrImpacts[[#Headers],[row_id]] )</f>
        <v>594</v>
      </c>
      <c r="B595" s="104">
        <v>2088</v>
      </c>
      <c r="C595" s="104" t="s">
        <v>221</v>
      </c>
      <c r="D595" s="104" t="s">
        <v>208</v>
      </c>
      <c r="E595" s="104" t="s">
        <v>922</v>
      </c>
      <c r="F595" s="104"/>
      <c r="G595" s="105">
        <v>0</v>
      </c>
      <c r="H595" s="105">
        <v>0</v>
      </c>
      <c r="I595" s="105">
        <v>0</v>
      </c>
      <c r="J595" s="105">
        <v>0</v>
      </c>
      <c r="K595" s="105">
        <v>0</v>
      </c>
      <c r="L595" s="105">
        <v>0</v>
      </c>
      <c r="M595" s="106">
        <v>282132517.81668931</v>
      </c>
      <c r="N595" s="106">
        <v>415630849.54030383</v>
      </c>
      <c r="O595" s="106">
        <v>1435962641.4104114</v>
      </c>
      <c r="P595" s="106">
        <v>2981438356.3111758</v>
      </c>
      <c r="Q595" s="106">
        <v>5092488487.9861364</v>
      </c>
      <c r="R595" s="106">
        <v>8748112893.2310886</v>
      </c>
      <c r="S595" s="105">
        <v>0</v>
      </c>
      <c r="T595" s="105">
        <v>0</v>
      </c>
      <c r="U595" s="105">
        <v>0</v>
      </c>
      <c r="V595" s="105">
        <v>0</v>
      </c>
      <c r="W595" s="105">
        <v>0</v>
      </c>
      <c r="X595" s="105">
        <v>0</v>
      </c>
      <c r="Y595" s="106">
        <v>30277902.308281604</v>
      </c>
      <c r="Z595" s="106">
        <v>50450019.147550195</v>
      </c>
      <c r="AA595" s="106">
        <v>275808648.28346878</v>
      </c>
      <c r="AB595" s="108">
        <v>797670612.03342521</v>
      </c>
      <c r="AC595" s="108">
        <v>1494480258.7849717</v>
      </c>
      <c r="AD595" s="108">
        <v>1997637580.6519849</v>
      </c>
      <c r="AE595" s="108">
        <v>260684818.00016719</v>
      </c>
      <c r="AF595" s="108">
        <v>365219849.95010668</v>
      </c>
      <c r="AG595" s="108">
        <v>1073097632.4037831</v>
      </c>
      <c r="AH595" s="108">
        <v>2156496831.2675252</v>
      </c>
      <c r="AI595" s="108">
        <v>2217046858.5481863</v>
      </c>
      <c r="AJ595" s="108">
        <v>5518076263.0478716</v>
      </c>
      <c r="AK595" s="108">
        <v>215195790.51759329</v>
      </c>
      <c r="AL595" s="108">
        <v>283392647.45919782</v>
      </c>
      <c r="AM595" s="108">
        <v>721915005.06435502</v>
      </c>
      <c r="AN595" s="108">
        <v>1454052934.7859802</v>
      </c>
      <c r="AO595" s="108">
        <v>2660045566.2754202</v>
      </c>
      <c r="AP595" s="108">
        <v>3863106517.6589923</v>
      </c>
      <c r="AQ595" s="108">
        <v>188720446.36922631</v>
      </c>
      <c r="AR595" s="108">
        <v>342801967.78296793</v>
      </c>
      <c r="AS595" s="108">
        <v>1472112185.605788</v>
      </c>
      <c r="AT595" s="108">
        <v>1318687121.4000914</v>
      </c>
      <c r="AU595" s="108">
        <v>1864410699.9262006</v>
      </c>
      <c r="AV595" s="108">
        <v>3115800852.4145288</v>
      </c>
    </row>
    <row r="596" spans="1:48" x14ac:dyDescent="0.35">
      <c r="A596" s="107">
        <f xml:space="preserve"> ROW( slrImpacts[[#This Row],[row_id]] ) - ROW( slrImpacts[[#Headers],[row_id]] )</f>
        <v>595</v>
      </c>
      <c r="B596" s="104">
        <v>2089</v>
      </c>
      <c r="C596" s="104" t="s">
        <v>221</v>
      </c>
      <c r="D596" s="104" t="s">
        <v>208</v>
      </c>
      <c r="E596" s="104" t="s">
        <v>922</v>
      </c>
      <c r="F596" s="104"/>
      <c r="G596" s="105">
        <v>0</v>
      </c>
      <c r="H596" s="105">
        <v>0</v>
      </c>
      <c r="I596" s="105">
        <v>0</v>
      </c>
      <c r="J596" s="105">
        <v>0</v>
      </c>
      <c r="K596" s="105">
        <v>0</v>
      </c>
      <c r="L596" s="105">
        <v>0</v>
      </c>
      <c r="M596" s="106">
        <v>279931267.91492015</v>
      </c>
      <c r="N596" s="106">
        <v>418193801.79172468</v>
      </c>
      <c r="O596" s="106">
        <v>1453230811.4304848</v>
      </c>
      <c r="P596" s="106">
        <v>3034058744.32865</v>
      </c>
      <c r="Q596" s="106">
        <v>5175148805.0273075</v>
      </c>
      <c r="R596" s="106">
        <v>8863412040.0691071</v>
      </c>
      <c r="S596" s="105">
        <v>0</v>
      </c>
      <c r="T596" s="105">
        <v>0</v>
      </c>
      <c r="U596" s="105">
        <v>0</v>
      </c>
      <c r="V596" s="105">
        <v>0</v>
      </c>
      <c r="W596" s="105">
        <v>0</v>
      </c>
      <c r="X596" s="105">
        <v>0</v>
      </c>
      <c r="Y596" s="106">
        <v>30771637.959257979</v>
      </c>
      <c r="Z596" s="106">
        <v>51244966.660494916</v>
      </c>
      <c r="AA596" s="106">
        <v>282124319.92187351</v>
      </c>
      <c r="AB596" s="108">
        <v>821740992.66222358</v>
      </c>
      <c r="AC596" s="108">
        <v>1541772117.7609622</v>
      </c>
      <c r="AD596" s="108">
        <v>2048167280.4660187</v>
      </c>
      <c r="AE596" s="108">
        <v>262235439.46549049</v>
      </c>
      <c r="AF596" s="108">
        <v>368405132.48794258</v>
      </c>
      <c r="AG596" s="108">
        <v>1088891485.6162817</v>
      </c>
      <c r="AH596" s="108">
        <v>2182920896.3723397</v>
      </c>
      <c r="AI596" s="108">
        <v>2251088519.8507829</v>
      </c>
      <c r="AJ596" s="108">
        <v>5586343779.8268223</v>
      </c>
      <c r="AK596" s="108">
        <v>217434529.47628269</v>
      </c>
      <c r="AL596" s="108">
        <v>286792436.65105009</v>
      </c>
      <c r="AM596" s="108">
        <v>736948920.74433875</v>
      </c>
      <c r="AN596" s="108">
        <v>1490778855.3593194</v>
      </c>
      <c r="AO596" s="108">
        <v>2708947700.1865377</v>
      </c>
      <c r="AP596" s="108">
        <v>3919463145.0241122</v>
      </c>
      <c r="AQ596" s="108">
        <v>188680584.35283646</v>
      </c>
      <c r="AR596" s="108">
        <v>350465046.27452332</v>
      </c>
      <c r="AS596" s="108">
        <v>1504493539.7800019</v>
      </c>
      <c r="AT596" s="108">
        <v>1206506186.0059319</v>
      </c>
      <c r="AU596" s="108">
        <v>1884246085.4483545</v>
      </c>
      <c r="AV596" s="108">
        <v>3160201770.587945</v>
      </c>
    </row>
    <row r="597" spans="1:48" x14ac:dyDescent="0.35">
      <c r="A597" s="107">
        <f xml:space="preserve"> ROW( slrImpacts[[#This Row],[row_id]] ) - ROW( slrImpacts[[#Headers],[row_id]] )</f>
        <v>596</v>
      </c>
      <c r="B597" s="104">
        <v>2090</v>
      </c>
      <c r="C597" s="104" t="s">
        <v>221</v>
      </c>
      <c r="D597" s="104" t="s">
        <v>208</v>
      </c>
      <c r="E597" s="104" t="s">
        <v>922</v>
      </c>
      <c r="F597" s="104"/>
      <c r="G597" s="105">
        <v>0</v>
      </c>
      <c r="H597" s="105">
        <v>0</v>
      </c>
      <c r="I597" s="105">
        <v>0</v>
      </c>
      <c r="J597" s="105">
        <v>0</v>
      </c>
      <c r="K597" s="105">
        <v>0</v>
      </c>
      <c r="L597" s="105">
        <v>0</v>
      </c>
      <c r="M597" s="106">
        <v>278153144.651411</v>
      </c>
      <c r="N597" s="106">
        <v>420791508.05642486</v>
      </c>
      <c r="O597" s="106">
        <v>1471113331.3099208</v>
      </c>
      <c r="P597" s="106">
        <v>3084883885.8084288</v>
      </c>
      <c r="Q597" s="106">
        <v>5251440630.3147402</v>
      </c>
      <c r="R597" s="106">
        <v>8980230958.6476116</v>
      </c>
      <c r="S597" s="105">
        <v>0</v>
      </c>
      <c r="T597" s="105">
        <v>0</v>
      </c>
      <c r="U597" s="105">
        <v>0</v>
      </c>
      <c r="V597" s="105">
        <v>0</v>
      </c>
      <c r="W597" s="105">
        <v>0</v>
      </c>
      <c r="X597" s="105">
        <v>0</v>
      </c>
      <c r="Y597" s="106">
        <v>31178429.184646007</v>
      </c>
      <c r="Z597" s="106">
        <v>52006600.811044939</v>
      </c>
      <c r="AA597" s="106">
        <v>289013689.3437528</v>
      </c>
      <c r="AB597" s="108">
        <v>842742400.09989965</v>
      </c>
      <c r="AC597" s="108">
        <v>1589655844.8292704</v>
      </c>
      <c r="AD597" s="108">
        <v>2097664879.3522527</v>
      </c>
      <c r="AE597" s="108">
        <v>264329208.08588535</v>
      </c>
      <c r="AF597" s="108">
        <v>372220380.44267976</v>
      </c>
      <c r="AG597" s="108">
        <v>1104545307.3018889</v>
      </c>
      <c r="AH597" s="108">
        <v>2206585484.320931</v>
      </c>
      <c r="AI597" s="108">
        <v>2283462045.3337507</v>
      </c>
      <c r="AJ597" s="108">
        <v>5643284145.9785366</v>
      </c>
      <c r="AK597" s="108">
        <v>219225611.13776523</v>
      </c>
      <c r="AL597" s="108">
        <v>291265049.39168096</v>
      </c>
      <c r="AM597" s="108">
        <v>751738446.14592803</v>
      </c>
      <c r="AN597" s="108">
        <v>1523260400.1616533</v>
      </c>
      <c r="AO597" s="108">
        <v>2755366752.9319105</v>
      </c>
      <c r="AP597" s="108">
        <v>3969952819.223341</v>
      </c>
      <c r="AQ597" s="108">
        <v>188929005.00279197</v>
      </c>
      <c r="AR597" s="108">
        <v>358779248.53550065</v>
      </c>
      <c r="AS597" s="108">
        <v>1519277699.8509429</v>
      </c>
      <c r="AT597" s="108">
        <v>1111483516.7631531</v>
      </c>
      <c r="AU597" s="108">
        <v>1907140792.9849873</v>
      </c>
      <c r="AV597" s="108">
        <v>3203195238.0632744</v>
      </c>
    </row>
    <row r="598" spans="1:48" x14ac:dyDescent="0.35">
      <c r="A598" s="107">
        <f xml:space="preserve"> ROW( slrImpacts[[#This Row],[row_id]] ) - ROW( slrImpacts[[#Headers],[row_id]] )</f>
        <v>597</v>
      </c>
      <c r="B598" s="104">
        <v>2091</v>
      </c>
      <c r="C598" s="104" t="s">
        <v>221</v>
      </c>
      <c r="D598" s="104" t="s">
        <v>208</v>
      </c>
      <c r="E598" s="104" t="s">
        <v>922</v>
      </c>
      <c r="F598" s="104"/>
      <c r="G598" s="105">
        <v>0</v>
      </c>
      <c r="H598" s="105">
        <v>0</v>
      </c>
      <c r="I598" s="105">
        <v>0</v>
      </c>
      <c r="J598" s="105">
        <v>0</v>
      </c>
      <c r="K598" s="105">
        <v>0</v>
      </c>
      <c r="L598" s="105">
        <v>0</v>
      </c>
      <c r="M598" s="106">
        <v>276765172.66773188</v>
      </c>
      <c r="N598" s="106">
        <v>423177120.4079622</v>
      </c>
      <c r="O598" s="106">
        <v>1489116806.4011581</v>
      </c>
      <c r="P598" s="106">
        <v>3137681511.4211769</v>
      </c>
      <c r="Q598" s="106">
        <v>5328785909.6090326</v>
      </c>
      <c r="R598" s="106">
        <v>9099561584.0557156</v>
      </c>
      <c r="S598" s="105">
        <v>0</v>
      </c>
      <c r="T598" s="105">
        <v>0</v>
      </c>
      <c r="U598" s="105">
        <v>0</v>
      </c>
      <c r="V598" s="105">
        <v>0</v>
      </c>
      <c r="W598" s="105">
        <v>0</v>
      </c>
      <c r="X598" s="105">
        <v>0</v>
      </c>
      <c r="Y598" s="106">
        <v>31544900.056643002</v>
      </c>
      <c r="Z598" s="106">
        <v>52771810.17839393</v>
      </c>
      <c r="AA598" s="106">
        <v>296722906.62039548</v>
      </c>
      <c r="AB598" s="108">
        <v>864740807.36460912</v>
      </c>
      <c r="AC598" s="108">
        <v>1638346062.835623</v>
      </c>
      <c r="AD598" s="108">
        <v>2144502992.8144255</v>
      </c>
      <c r="AE598" s="108">
        <v>266657831.09364486</v>
      </c>
      <c r="AF598" s="108">
        <v>376269275.49769223</v>
      </c>
      <c r="AG598" s="108">
        <v>1118750707.3579926</v>
      </c>
      <c r="AH598" s="108">
        <v>2226165697.877141</v>
      </c>
      <c r="AI598" s="108">
        <v>2314554909.593986</v>
      </c>
      <c r="AJ598" s="108">
        <v>5689341154.6684189</v>
      </c>
      <c r="AK598" s="108">
        <v>220779969.38736084</v>
      </c>
      <c r="AL598" s="108">
        <v>295726965.22158003</v>
      </c>
      <c r="AM598" s="108">
        <v>767552302.60701632</v>
      </c>
      <c r="AN598" s="108">
        <v>1553735614.7767589</v>
      </c>
      <c r="AO598" s="108">
        <v>2799829739.760335</v>
      </c>
      <c r="AP598" s="108">
        <v>4015818023.6329193</v>
      </c>
      <c r="AQ598" s="108">
        <v>189300039.48978117</v>
      </c>
      <c r="AR598" s="108">
        <v>367446129.83534718</v>
      </c>
      <c r="AS598" s="108">
        <v>1517917687.6984332</v>
      </c>
      <c r="AT598" s="108">
        <v>1063497741.8153709</v>
      </c>
      <c r="AU598" s="108">
        <v>1931337431.5027783</v>
      </c>
      <c r="AV598" s="108">
        <v>3244512844.0468245</v>
      </c>
    </row>
    <row r="599" spans="1:48" x14ac:dyDescent="0.35">
      <c r="A599" s="107">
        <f xml:space="preserve"> ROW( slrImpacts[[#This Row],[row_id]] ) - ROW( slrImpacts[[#Headers],[row_id]] )</f>
        <v>598</v>
      </c>
      <c r="B599" s="104">
        <v>2092</v>
      </c>
      <c r="C599" s="104" t="s">
        <v>221</v>
      </c>
      <c r="D599" s="104" t="s">
        <v>208</v>
      </c>
      <c r="E599" s="104" t="s">
        <v>922</v>
      </c>
      <c r="F599" s="104"/>
      <c r="G599" s="105">
        <v>0</v>
      </c>
      <c r="H599" s="105">
        <v>0</v>
      </c>
      <c r="I599" s="105">
        <v>0</v>
      </c>
      <c r="J599" s="105">
        <v>0</v>
      </c>
      <c r="K599" s="105">
        <v>0</v>
      </c>
      <c r="L599" s="105">
        <v>0</v>
      </c>
      <c r="M599" s="106">
        <v>275747315.20151693</v>
      </c>
      <c r="N599" s="106">
        <v>425554095.85689402</v>
      </c>
      <c r="O599" s="106">
        <v>1506253923.5969458</v>
      </c>
      <c r="P599" s="106">
        <v>3191310559.5650568</v>
      </c>
      <c r="Q599" s="106">
        <v>5408642514.1870737</v>
      </c>
      <c r="R599" s="106">
        <v>9210656040.0393848</v>
      </c>
      <c r="S599" s="105">
        <v>0</v>
      </c>
      <c r="T599" s="105">
        <v>0</v>
      </c>
      <c r="U599" s="105">
        <v>0</v>
      </c>
      <c r="V599" s="105">
        <v>0</v>
      </c>
      <c r="W599" s="105">
        <v>0</v>
      </c>
      <c r="X599" s="105">
        <v>0</v>
      </c>
      <c r="Y599" s="106">
        <v>31864845.958733324</v>
      </c>
      <c r="Z599" s="106">
        <v>53529760.394244961</v>
      </c>
      <c r="AA599" s="106">
        <v>303422427.03508943</v>
      </c>
      <c r="AB599" s="108">
        <v>887095840.05063665</v>
      </c>
      <c r="AC599" s="108">
        <v>1687979092.535501</v>
      </c>
      <c r="AD599" s="108">
        <v>2188065599.021832</v>
      </c>
      <c r="AE599" s="108">
        <v>269063940.92829967</v>
      </c>
      <c r="AF599" s="108">
        <v>380305325.68289983</v>
      </c>
      <c r="AG599" s="108">
        <v>1132202225.0629368</v>
      </c>
      <c r="AH599" s="108">
        <v>2243442608.0620103</v>
      </c>
      <c r="AI599" s="108">
        <v>2343519711.5097599</v>
      </c>
      <c r="AJ599" s="108">
        <v>5725542301.3117857</v>
      </c>
      <c r="AK599" s="108">
        <v>221893848.71308377</v>
      </c>
      <c r="AL599" s="108">
        <v>300650595.82134795</v>
      </c>
      <c r="AM599" s="108">
        <v>782738616.33895576</v>
      </c>
      <c r="AN599" s="108">
        <v>1583071213.6782165</v>
      </c>
      <c r="AO599" s="108">
        <v>2836477877.4446259</v>
      </c>
      <c r="AP599" s="108">
        <v>4055430365.4436178</v>
      </c>
      <c r="AQ599" s="108">
        <v>189997917.09823447</v>
      </c>
      <c r="AR599" s="108">
        <v>376253893.27392226</v>
      </c>
      <c r="AS599" s="108">
        <v>1511592741.8788457</v>
      </c>
      <c r="AT599" s="108">
        <v>1028891590.5185627</v>
      </c>
      <c r="AU599" s="108">
        <v>1957192810.8826923</v>
      </c>
      <c r="AV599" s="108">
        <v>3285073211.2481208</v>
      </c>
    </row>
    <row r="600" spans="1:48" x14ac:dyDescent="0.35">
      <c r="A600" s="107">
        <f xml:space="preserve"> ROW( slrImpacts[[#This Row],[row_id]] ) - ROW( slrImpacts[[#Headers],[row_id]] )</f>
        <v>599</v>
      </c>
      <c r="B600" s="104">
        <v>2093</v>
      </c>
      <c r="C600" s="104" t="s">
        <v>221</v>
      </c>
      <c r="D600" s="104" t="s">
        <v>208</v>
      </c>
      <c r="E600" s="104" t="s">
        <v>922</v>
      </c>
      <c r="F600" s="104"/>
      <c r="G600" s="105">
        <v>0</v>
      </c>
      <c r="H600" s="105">
        <v>0</v>
      </c>
      <c r="I600" s="105">
        <v>0</v>
      </c>
      <c r="J600" s="105">
        <v>0</v>
      </c>
      <c r="K600" s="105">
        <v>0</v>
      </c>
      <c r="L600" s="105">
        <v>0</v>
      </c>
      <c r="M600" s="106">
        <v>274803046.34238666</v>
      </c>
      <c r="N600" s="106">
        <v>427941301.82511079</v>
      </c>
      <c r="O600" s="106">
        <v>1523486175.7102921</v>
      </c>
      <c r="P600" s="106">
        <v>3243906734.9461689</v>
      </c>
      <c r="Q600" s="106">
        <v>5496740123.4377632</v>
      </c>
      <c r="R600" s="106">
        <v>9312723546.1134663</v>
      </c>
      <c r="S600" s="105">
        <v>0</v>
      </c>
      <c r="T600" s="105">
        <v>0</v>
      </c>
      <c r="U600" s="105">
        <v>0</v>
      </c>
      <c r="V600" s="105">
        <v>0</v>
      </c>
      <c r="W600" s="105">
        <v>0</v>
      </c>
      <c r="X600" s="105">
        <v>0</v>
      </c>
      <c r="Y600" s="106">
        <v>32099382.566774875</v>
      </c>
      <c r="Z600" s="106">
        <v>54277081.706316344</v>
      </c>
      <c r="AA600" s="106">
        <v>309515409.35391128</v>
      </c>
      <c r="AB600" s="108">
        <v>909608004.87387359</v>
      </c>
      <c r="AC600" s="108">
        <v>1737003332.585469</v>
      </c>
      <c r="AD600" s="108">
        <v>2229799862.2167115</v>
      </c>
      <c r="AE600" s="108">
        <v>271585883.83678502</v>
      </c>
      <c r="AF600" s="108">
        <v>384079280.02048743</v>
      </c>
      <c r="AG600" s="108">
        <v>1145621814.5880303</v>
      </c>
      <c r="AH600" s="108">
        <v>2257433127.7728457</v>
      </c>
      <c r="AI600" s="108">
        <v>2373883752.5682478</v>
      </c>
      <c r="AJ600" s="108">
        <v>5751550916.7148371</v>
      </c>
      <c r="AK600" s="108">
        <v>223064556.55425212</v>
      </c>
      <c r="AL600" s="108">
        <v>306946699.68319523</v>
      </c>
      <c r="AM600" s="108">
        <v>797335786.61461103</v>
      </c>
      <c r="AN600" s="108">
        <v>1610956569.2606041</v>
      </c>
      <c r="AO600" s="108">
        <v>2872935277.0134091</v>
      </c>
      <c r="AP600" s="108">
        <v>4092417785.3725786</v>
      </c>
      <c r="AQ600" s="108">
        <v>190777070.49337053</v>
      </c>
      <c r="AR600" s="108">
        <v>385254501.05765086</v>
      </c>
      <c r="AS600" s="108">
        <v>1502331133.3822391</v>
      </c>
      <c r="AT600" s="108">
        <v>1003474740.9140908</v>
      </c>
      <c r="AU600" s="108">
        <v>1983443493.2015622</v>
      </c>
      <c r="AV600" s="108">
        <v>3325700711.6063299</v>
      </c>
    </row>
    <row r="601" spans="1:48" x14ac:dyDescent="0.35">
      <c r="A601" s="107">
        <f xml:space="preserve"> ROW( slrImpacts[[#This Row],[row_id]] ) - ROW( slrImpacts[[#Headers],[row_id]] )</f>
        <v>600</v>
      </c>
      <c r="B601" s="104">
        <v>2094</v>
      </c>
      <c r="C601" s="104" t="s">
        <v>221</v>
      </c>
      <c r="D601" s="104" t="s">
        <v>208</v>
      </c>
      <c r="E601" s="104" t="s">
        <v>922</v>
      </c>
      <c r="F601" s="104"/>
      <c r="G601" s="105">
        <v>0</v>
      </c>
      <c r="H601" s="105">
        <v>0</v>
      </c>
      <c r="I601" s="105">
        <v>0</v>
      </c>
      <c r="J601" s="105">
        <v>0</v>
      </c>
      <c r="K601" s="105">
        <v>0</v>
      </c>
      <c r="L601" s="105">
        <v>0</v>
      </c>
      <c r="M601" s="106">
        <v>274162803.58032691</v>
      </c>
      <c r="N601" s="106">
        <v>430380641.50933576</v>
      </c>
      <c r="O601" s="106">
        <v>1540396634.2244031</v>
      </c>
      <c r="P601" s="106">
        <v>3294647205.0662894</v>
      </c>
      <c r="Q601" s="106">
        <v>5585904445.6338921</v>
      </c>
      <c r="R601" s="106">
        <v>9409371334.6603489</v>
      </c>
      <c r="S601" s="105">
        <v>0</v>
      </c>
      <c r="T601" s="105">
        <v>0</v>
      </c>
      <c r="U601" s="105">
        <v>0</v>
      </c>
      <c r="V601" s="105">
        <v>0</v>
      </c>
      <c r="W601" s="105">
        <v>0</v>
      </c>
      <c r="X601" s="105">
        <v>0</v>
      </c>
      <c r="Y601" s="106">
        <v>32288626.269112714</v>
      </c>
      <c r="Z601" s="106">
        <v>55054325.134958856</v>
      </c>
      <c r="AA601" s="106">
        <v>314542555.17083961</v>
      </c>
      <c r="AB601" s="108">
        <v>932127061.02455795</v>
      </c>
      <c r="AC601" s="108">
        <v>1784391512.1193867</v>
      </c>
      <c r="AD601" s="108">
        <v>2270311908.3841171</v>
      </c>
      <c r="AE601" s="108">
        <v>273709690.37996906</v>
      </c>
      <c r="AF601" s="108">
        <v>387475463.67655289</v>
      </c>
      <c r="AG601" s="108">
        <v>1156850700.251117</v>
      </c>
      <c r="AH601" s="108">
        <v>2270601213.0822453</v>
      </c>
      <c r="AI601" s="108">
        <v>2398770449.6811314</v>
      </c>
      <c r="AJ601" s="108">
        <v>5768587395.721693</v>
      </c>
      <c r="AK601" s="108">
        <v>224591036.63886121</v>
      </c>
      <c r="AL601" s="108">
        <v>313447876.85199249</v>
      </c>
      <c r="AM601" s="108">
        <v>811270048.2698195</v>
      </c>
      <c r="AN601" s="108">
        <v>1638656698.841871</v>
      </c>
      <c r="AO601" s="108">
        <v>2907156003.5083275</v>
      </c>
      <c r="AP601" s="108">
        <v>4126759145.4462671</v>
      </c>
      <c r="AQ601" s="108">
        <v>191539170.95576021</v>
      </c>
      <c r="AR601" s="108">
        <v>394819137.58945471</v>
      </c>
      <c r="AS601" s="108">
        <v>1489956645.9941578</v>
      </c>
      <c r="AT601" s="108">
        <v>994212566.97029114</v>
      </c>
      <c r="AU601" s="108">
        <v>2009585050.8065314</v>
      </c>
      <c r="AV601" s="108">
        <v>3363136551.9934607</v>
      </c>
    </row>
    <row r="602" spans="1:48" x14ac:dyDescent="0.35">
      <c r="A602" s="107">
        <f xml:space="preserve"> ROW( slrImpacts[[#This Row],[row_id]] ) - ROW( slrImpacts[[#Headers],[row_id]] )</f>
        <v>601</v>
      </c>
      <c r="B602" s="104">
        <v>2095</v>
      </c>
      <c r="C602" s="104" t="s">
        <v>221</v>
      </c>
      <c r="D602" s="104" t="s">
        <v>208</v>
      </c>
      <c r="E602" s="104" t="s">
        <v>922</v>
      </c>
      <c r="F602" s="104"/>
      <c r="G602" s="105">
        <v>0</v>
      </c>
      <c r="H602" s="105">
        <v>0</v>
      </c>
      <c r="I602" s="105">
        <v>0</v>
      </c>
      <c r="J602" s="105">
        <v>0</v>
      </c>
      <c r="K602" s="105">
        <v>0</v>
      </c>
      <c r="L602" s="105">
        <v>0</v>
      </c>
      <c r="M602" s="106">
        <v>272665904.8603788</v>
      </c>
      <c r="N602" s="106">
        <v>431994354.76363289</v>
      </c>
      <c r="O602" s="106">
        <v>1557567812.5545259</v>
      </c>
      <c r="P602" s="106">
        <v>3337715148.0262914</v>
      </c>
      <c r="Q602" s="106">
        <v>5677356609.8998909</v>
      </c>
      <c r="R602" s="106">
        <v>9503893757.7983074</v>
      </c>
      <c r="S602" s="105">
        <v>0</v>
      </c>
      <c r="T602" s="105">
        <v>0</v>
      </c>
      <c r="U602" s="105">
        <v>0</v>
      </c>
      <c r="V602" s="105">
        <v>0</v>
      </c>
      <c r="W602" s="105">
        <v>0</v>
      </c>
      <c r="X602" s="105">
        <v>0</v>
      </c>
      <c r="Y602" s="106">
        <v>32478619.09919294</v>
      </c>
      <c r="Z602" s="106">
        <v>55787701.055151038</v>
      </c>
      <c r="AA602" s="106">
        <v>318492494.04416972</v>
      </c>
      <c r="AB602" s="108">
        <v>947120781.60014033</v>
      </c>
      <c r="AC602" s="108">
        <v>1810548961.5711348</v>
      </c>
      <c r="AD602" s="108">
        <v>2296219060.682538</v>
      </c>
      <c r="AE602" s="108">
        <v>273894383.72934628</v>
      </c>
      <c r="AF602" s="108">
        <v>389209131.57609355</v>
      </c>
      <c r="AG602" s="108">
        <v>1157666917.2061765</v>
      </c>
      <c r="AH602" s="108">
        <v>2284237236.4377518</v>
      </c>
      <c r="AI602" s="108">
        <v>2423877749.3659482</v>
      </c>
      <c r="AJ602" s="108">
        <v>5774952647.1279659</v>
      </c>
      <c r="AK602" s="108">
        <v>227196376.01589864</v>
      </c>
      <c r="AL602" s="108">
        <v>317328148.55818349</v>
      </c>
      <c r="AM602" s="108">
        <v>824273329.79862857</v>
      </c>
      <c r="AN602" s="108">
        <v>1668058038.0623369</v>
      </c>
      <c r="AO602" s="108">
        <v>2935938988.1817923</v>
      </c>
      <c r="AP602" s="108">
        <v>4159222273.3998895</v>
      </c>
      <c r="AQ602" s="108">
        <v>192515473.97785926</v>
      </c>
      <c r="AR602" s="108">
        <v>393183026.43202662</v>
      </c>
      <c r="AS602" s="108">
        <v>1389525358.725347</v>
      </c>
      <c r="AT602" s="108">
        <v>990932892.94769335</v>
      </c>
      <c r="AU602" s="108">
        <v>2035369768.1254115</v>
      </c>
      <c r="AV602" s="108">
        <v>3396293531.7165322</v>
      </c>
    </row>
    <row r="603" spans="1:48" x14ac:dyDescent="0.35">
      <c r="A603" s="107">
        <f xml:space="preserve"> ROW( slrImpacts[[#This Row],[row_id]] ) - ROW( slrImpacts[[#Headers],[row_id]] )</f>
        <v>602</v>
      </c>
      <c r="B603" s="104">
        <v>2096</v>
      </c>
      <c r="C603" s="104" t="s">
        <v>221</v>
      </c>
      <c r="D603" s="104" t="s">
        <v>208</v>
      </c>
      <c r="E603" s="104" t="s">
        <v>922</v>
      </c>
      <c r="F603" s="104"/>
      <c r="G603" s="105">
        <v>0</v>
      </c>
      <c r="H603" s="105">
        <v>0</v>
      </c>
      <c r="I603" s="105">
        <v>0</v>
      </c>
      <c r="J603" s="105">
        <v>0</v>
      </c>
      <c r="K603" s="105">
        <v>0</v>
      </c>
      <c r="L603" s="105">
        <v>0</v>
      </c>
      <c r="M603" s="106">
        <v>272085046.07572502</v>
      </c>
      <c r="N603" s="106">
        <v>433254423.32488364</v>
      </c>
      <c r="O603" s="106">
        <v>1567621615.959651</v>
      </c>
      <c r="P603" s="106">
        <v>3361985555.1252356</v>
      </c>
      <c r="Q603" s="106">
        <v>5726100718.8057556</v>
      </c>
      <c r="R603" s="106">
        <v>9554717061.5698395</v>
      </c>
      <c r="S603" s="105">
        <v>0</v>
      </c>
      <c r="T603" s="105">
        <v>0</v>
      </c>
      <c r="U603" s="105">
        <v>0</v>
      </c>
      <c r="V603" s="105">
        <v>0</v>
      </c>
      <c r="W603" s="105">
        <v>0</v>
      </c>
      <c r="X603" s="105">
        <v>0</v>
      </c>
      <c r="Y603" s="106">
        <v>32585436.733848095</v>
      </c>
      <c r="Z603" s="106">
        <v>55983793.125045501</v>
      </c>
      <c r="AA603" s="106">
        <v>322338086.61737084</v>
      </c>
      <c r="AB603" s="108">
        <v>954925718.78722286</v>
      </c>
      <c r="AC603" s="108">
        <v>1833974361.7829995</v>
      </c>
      <c r="AD603" s="108">
        <v>2315215270.5797977</v>
      </c>
      <c r="AE603" s="108">
        <v>274636165.38994759</v>
      </c>
      <c r="AF603" s="108">
        <v>390739200.91698027</v>
      </c>
      <c r="AG603" s="108">
        <v>1163117242.1391013</v>
      </c>
      <c r="AH603" s="108">
        <v>2292544340.9700971</v>
      </c>
      <c r="AI603" s="108">
        <v>2440133384.1562057</v>
      </c>
      <c r="AJ603" s="108">
        <v>5783504821.6153021</v>
      </c>
      <c r="AK603" s="108">
        <v>229360884.41583234</v>
      </c>
      <c r="AL603" s="108">
        <v>319354068.00177675</v>
      </c>
      <c r="AM603" s="108">
        <v>831384313.73954511</v>
      </c>
      <c r="AN603" s="108">
        <v>1684296985.901217</v>
      </c>
      <c r="AO603" s="108">
        <v>2956955718.3163142</v>
      </c>
      <c r="AP603" s="108">
        <v>4175756407.8905621</v>
      </c>
      <c r="AQ603" s="108">
        <v>192729264.51421836</v>
      </c>
      <c r="AR603" s="108">
        <v>396943076.61807674</v>
      </c>
      <c r="AS603" s="108">
        <v>1374965080.4543135</v>
      </c>
      <c r="AT603" s="108">
        <v>988900806.30359042</v>
      </c>
      <c r="AU603" s="108">
        <v>2047592043.5326638</v>
      </c>
      <c r="AV603" s="108">
        <v>3415109959.7978239</v>
      </c>
    </row>
    <row r="604" spans="1:48" x14ac:dyDescent="0.35">
      <c r="A604" s="107">
        <f xml:space="preserve"> ROW( slrImpacts[[#This Row],[row_id]] ) - ROW( slrImpacts[[#Headers],[row_id]] )</f>
        <v>603</v>
      </c>
      <c r="B604" s="104">
        <v>2097</v>
      </c>
      <c r="C604" s="104" t="s">
        <v>221</v>
      </c>
      <c r="D604" s="104" t="s">
        <v>208</v>
      </c>
      <c r="E604" s="104" t="s">
        <v>922</v>
      </c>
      <c r="F604" s="104"/>
      <c r="G604" s="105">
        <v>0</v>
      </c>
      <c r="H604" s="105">
        <v>0</v>
      </c>
      <c r="I604" s="105">
        <v>0</v>
      </c>
      <c r="J604" s="105">
        <v>0</v>
      </c>
      <c r="K604" s="105">
        <v>0</v>
      </c>
      <c r="L604" s="105">
        <v>0</v>
      </c>
      <c r="M604" s="106">
        <v>271532451.01480079</v>
      </c>
      <c r="N604" s="106">
        <v>434194937.47849602</v>
      </c>
      <c r="O604" s="106">
        <v>1577895937.2385488</v>
      </c>
      <c r="P604" s="106">
        <v>3387063415.9501657</v>
      </c>
      <c r="Q604" s="106">
        <v>5772419329.085618</v>
      </c>
      <c r="R604" s="106">
        <v>9600684377.0602379</v>
      </c>
      <c r="S604" s="105">
        <v>0</v>
      </c>
      <c r="T604" s="105">
        <v>0</v>
      </c>
      <c r="U604" s="105">
        <v>0</v>
      </c>
      <c r="V604" s="105">
        <v>0</v>
      </c>
      <c r="W604" s="105">
        <v>0</v>
      </c>
      <c r="X604" s="105">
        <v>0</v>
      </c>
      <c r="Y604" s="106">
        <v>32666209.991372619</v>
      </c>
      <c r="Z604" s="106">
        <v>56375049.799990468</v>
      </c>
      <c r="AA604" s="106">
        <v>326395354.35703224</v>
      </c>
      <c r="AB604" s="108">
        <v>960914205.61769056</v>
      </c>
      <c r="AC604" s="108">
        <v>1857058195.7661064</v>
      </c>
      <c r="AD604" s="108">
        <v>2332128558.0207129</v>
      </c>
      <c r="AE604" s="108">
        <v>275174829.01910788</v>
      </c>
      <c r="AF604" s="108">
        <v>392485439.69875163</v>
      </c>
      <c r="AG604" s="108">
        <v>1168545778.2135215</v>
      </c>
      <c r="AH604" s="108">
        <v>2298116692.8216219</v>
      </c>
      <c r="AI604" s="108">
        <v>2456080727.3446999</v>
      </c>
      <c r="AJ604" s="108">
        <v>5793750186.478756</v>
      </c>
      <c r="AK604" s="108">
        <v>232350466.85285026</v>
      </c>
      <c r="AL604" s="108">
        <v>320780619.08230186</v>
      </c>
      <c r="AM604" s="108">
        <v>838029802.66597748</v>
      </c>
      <c r="AN604" s="108">
        <v>1694800412.363796</v>
      </c>
      <c r="AO604" s="108">
        <v>2973916479.7372365</v>
      </c>
      <c r="AP604" s="108">
        <v>4191588541.2663527</v>
      </c>
      <c r="AQ604" s="108">
        <v>193310045.5207811</v>
      </c>
      <c r="AR604" s="108">
        <v>400415694.68833989</v>
      </c>
      <c r="AS604" s="108">
        <v>1350759768.6901762</v>
      </c>
      <c r="AT604" s="108">
        <v>992971283.88777959</v>
      </c>
      <c r="AU604" s="108">
        <v>2059929493.4451563</v>
      </c>
      <c r="AV604" s="108">
        <v>3432183833.4021935</v>
      </c>
    </row>
    <row r="605" spans="1:48" x14ac:dyDescent="0.35">
      <c r="A605" s="107">
        <f xml:space="preserve"> ROW( slrImpacts[[#This Row],[row_id]] ) - ROW( slrImpacts[[#Headers],[row_id]] )</f>
        <v>604</v>
      </c>
      <c r="B605" s="104">
        <v>2098</v>
      </c>
      <c r="C605" s="104" t="s">
        <v>221</v>
      </c>
      <c r="D605" s="104" t="s">
        <v>208</v>
      </c>
      <c r="E605" s="104" t="s">
        <v>922</v>
      </c>
      <c r="F605" s="104"/>
      <c r="G605" s="105">
        <v>0</v>
      </c>
      <c r="H605" s="105">
        <v>0</v>
      </c>
      <c r="I605" s="105">
        <v>0</v>
      </c>
      <c r="J605" s="105">
        <v>0</v>
      </c>
      <c r="K605" s="105">
        <v>0</v>
      </c>
      <c r="L605" s="105">
        <v>0</v>
      </c>
      <c r="M605" s="106">
        <v>271156403.59440225</v>
      </c>
      <c r="N605" s="106">
        <v>434858046.71592814</v>
      </c>
      <c r="O605" s="106">
        <v>1589901606.8523226</v>
      </c>
      <c r="P605" s="106">
        <v>3410671941.5398397</v>
      </c>
      <c r="Q605" s="106">
        <v>5816707086.4150848</v>
      </c>
      <c r="R605" s="106">
        <v>9643590387.3102436</v>
      </c>
      <c r="S605" s="105">
        <v>0</v>
      </c>
      <c r="T605" s="105">
        <v>0</v>
      </c>
      <c r="U605" s="105">
        <v>0</v>
      </c>
      <c r="V605" s="105">
        <v>0</v>
      </c>
      <c r="W605" s="105">
        <v>0</v>
      </c>
      <c r="X605" s="105">
        <v>0</v>
      </c>
      <c r="Y605" s="106">
        <v>32710442.282751482</v>
      </c>
      <c r="Z605" s="106">
        <v>56908935.396268234</v>
      </c>
      <c r="AA605" s="106">
        <v>329765107.05894107</v>
      </c>
      <c r="AB605" s="108">
        <v>971605327.50986516</v>
      </c>
      <c r="AC605" s="108">
        <v>1879106141.6810091</v>
      </c>
      <c r="AD605" s="108">
        <v>2346683631.3780575</v>
      </c>
      <c r="AE605" s="108">
        <v>275547814.46594065</v>
      </c>
      <c r="AF605" s="108">
        <v>394134723.10741705</v>
      </c>
      <c r="AG605" s="108">
        <v>1172605605.0889857</v>
      </c>
      <c r="AH605" s="108">
        <v>2303040566.3662663</v>
      </c>
      <c r="AI605" s="108">
        <v>2469310841.9879174</v>
      </c>
      <c r="AJ605" s="108">
        <v>5795112529.2437544</v>
      </c>
      <c r="AK605" s="108">
        <v>235536319.55154535</v>
      </c>
      <c r="AL605" s="108">
        <v>322062617.70556152</v>
      </c>
      <c r="AM605" s="108">
        <v>844793652.50256002</v>
      </c>
      <c r="AN605" s="108">
        <v>1705983278.091552</v>
      </c>
      <c r="AO605" s="108">
        <v>2983472892.2654305</v>
      </c>
      <c r="AP605" s="108">
        <v>4207823925.2427316</v>
      </c>
      <c r="AQ605" s="108">
        <v>193644563.03609222</v>
      </c>
      <c r="AR605" s="108">
        <v>403538298.38641751</v>
      </c>
      <c r="AS605" s="108">
        <v>1316016131.5500178</v>
      </c>
      <c r="AT605" s="108">
        <v>995714379.63778079</v>
      </c>
      <c r="AU605" s="108">
        <v>2076964606.9190435</v>
      </c>
      <c r="AV605" s="108">
        <v>3448610495.764636</v>
      </c>
    </row>
    <row r="606" spans="1:48" x14ac:dyDescent="0.35">
      <c r="A606" s="107">
        <f xml:space="preserve"> ROW( slrImpacts[[#This Row],[row_id]] ) - ROW( slrImpacts[[#Headers],[row_id]] )</f>
        <v>605</v>
      </c>
      <c r="B606" s="104">
        <v>2099</v>
      </c>
      <c r="C606" s="104" t="s">
        <v>221</v>
      </c>
      <c r="D606" s="104" t="s">
        <v>208</v>
      </c>
      <c r="E606" s="104" t="s">
        <v>922</v>
      </c>
      <c r="F606" s="104"/>
      <c r="G606" s="105">
        <v>0</v>
      </c>
      <c r="H606" s="105">
        <v>0</v>
      </c>
      <c r="I606" s="105">
        <v>0</v>
      </c>
      <c r="J606" s="105">
        <v>0</v>
      </c>
      <c r="K606" s="105">
        <v>0</v>
      </c>
      <c r="L606" s="105">
        <v>0</v>
      </c>
      <c r="M606" s="106">
        <v>270795603.29143858</v>
      </c>
      <c r="N606" s="106">
        <v>435645138.59294748</v>
      </c>
      <c r="O606" s="106">
        <v>1601899372.3781016</v>
      </c>
      <c r="P606" s="106">
        <v>3433682244.8882222</v>
      </c>
      <c r="Q606" s="106">
        <v>5859189604.6795969</v>
      </c>
      <c r="R606" s="106">
        <v>9683393936.8847656</v>
      </c>
      <c r="S606" s="105">
        <v>0</v>
      </c>
      <c r="T606" s="105">
        <v>0</v>
      </c>
      <c r="U606" s="105">
        <v>0</v>
      </c>
      <c r="V606" s="105">
        <v>0</v>
      </c>
      <c r="W606" s="105">
        <v>0</v>
      </c>
      <c r="X606" s="105">
        <v>0</v>
      </c>
      <c r="Y606" s="106">
        <v>32697767.237141594</v>
      </c>
      <c r="Z606" s="106">
        <v>57403139.669747517</v>
      </c>
      <c r="AA606" s="106">
        <v>333152295.69491464</v>
      </c>
      <c r="AB606" s="108">
        <v>982893677.71067035</v>
      </c>
      <c r="AC606" s="108">
        <v>1899387017.835634</v>
      </c>
      <c r="AD606" s="108">
        <v>2361998693.8771248</v>
      </c>
      <c r="AE606" s="108">
        <v>276074964.62519503</v>
      </c>
      <c r="AF606" s="108">
        <v>395586426.48091847</v>
      </c>
      <c r="AG606" s="108">
        <v>1176129524.9019525</v>
      </c>
      <c r="AH606" s="108">
        <v>2307153737.9431748</v>
      </c>
      <c r="AI606" s="108">
        <v>2480845150.6636872</v>
      </c>
      <c r="AJ606" s="108">
        <v>5795288845.1421957</v>
      </c>
      <c r="AK606" s="108">
        <v>237119612.5544664</v>
      </c>
      <c r="AL606" s="108">
        <v>323211899.62040401</v>
      </c>
      <c r="AM606" s="108">
        <v>851164210.49757552</v>
      </c>
      <c r="AN606" s="108">
        <v>1714934232.8370702</v>
      </c>
      <c r="AO606" s="108">
        <v>2992352083.1766653</v>
      </c>
      <c r="AP606" s="108">
        <v>4225653084.6836052</v>
      </c>
      <c r="AQ606" s="108">
        <v>194034847.17139739</v>
      </c>
      <c r="AR606" s="108">
        <v>406472331.37758064</v>
      </c>
      <c r="AS606" s="108">
        <v>1270263438.073303</v>
      </c>
      <c r="AT606" s="108">
        <v>998270918.14560175</v>
      </c>
      <c r="AU606" s="108">
        <v>2090767367.10917</v>
      </c>
      <c r="AV606" s="108">
        <v>3465189558.9899187</v>
      </c>
    </row>
    <row r="607" spans="1:48" x14ac:dyDescent="0.35">
      <c r="A607" s="107">
        <f xml:space="preserve"> ROW( slrImpacts[[#This Row],[row_id]] ) - ROW( slrImpacts[[#Headers],[row_id]] )</f>
        <v>606</v>
      </c>
      <c r="B607" s="104">
        <v>2100</v>
      </c>
      <c r="C607" s="104" t="s">
        <v>221</v>
      </c>
      <c r="D607" s="104" t="s">
        <v>208</v>
      </c>
      <c r="E607" s="104" t="s">
        <v>922</v>
      </c>
      <c r="F607" s="104"/>
      <c r="G607" s="105">
        <v>0</v>
      </c>
      <c r="H607" s="105">
        <v>0</v>
      </c>
      <c r="I607" s="105">
        <v>0</v>
      </c>
      <c r="J607" s="105">
        <v>0</v>
      </c>
      <c r="K607" s="105">
        <v>0</v>
      </c>
      <c r="L607" s="105">
        <v>0</v>
      </c>
      <c r="M607" s="106">
        <v>270612368.26462501</v>
      </c>
      <c r="N607" s="106">
        <v>436768852.94213557</v>
      </c>
      <c r="O607" s="106">
        <v>1612656483.9554086</v>
      </c>
      <c r="P607" s="106">
        <v>3455595971.3691282</v>
      </c>
      <c r="Q607" s="106">
        <v>5900150007.8532753</v>
      </c>
      <c r="R607" s="106">
        <v>9734272384.1882763</v>
      </c>
      <c r="S607" s="105">
        <v>0</v>
      </c>
      <c r="T607" s="105">
        <v>0</v>
      </c>
      <c r="U607" s="105">
        <v>0</v>
      </c>
      <c r="V607" s="105">
        <v>0</v>
      </c>
      <c r="W607" s="105">
        <v>0</v>
      </c>
      <c r="X607" s="105">
        <v>0</v>
      </c>
      <c r="Y607" s="106">
        <v>32602790.128646713</v>
      </c>
      <c r="Z607" s="106">
        <v>57952084.631008357</v>
      </c>
      <c r="AA607" s="106">
        <v>336808895.34594393</v>
      </c>
      <c r="AB607" s="108">
        <v>992037844.22869337</v>
      </c>
      <c r="AC607" s="108">
        <v>1917912433.6152565</v>
      </c>
      <c r="AD607" s="108">
        <v>2374667124.4404387</v>
      </c>
      <c r="AE607" s="108">
        <v>276820849.29630876</v>
      </c>
      <c r="AF607" s="108">
        <v>397230375.7415846</v>
      </c>
      <c r="AG607" s="108">
        <v>1175854221.6393833</v>
      </c>
      <c r="AH607" s="108">
        <v>2306983823.5435009</v>
      </c>
      <c r="AI607" s="108">
        <v>2492308320.0165467</v>
      </c>
      <c r="AJ607" s="108">
        <v>5788555902.2320747</v>
      </c>
      <c r="AK607" s="108">
        <v>237682419.40011111</v>
      </c>
      <c r="AL607" s="108">
        <v>325055493.65698928</v>
      </c>
      <c r="AM607" s="108">
        <v>857825541.94279242</v>
      </c>
      <c r="AN607" s="108">
        <v>1722253774.5597136</v>
      </c>
      <c r="AO607" s="108">
        <v>3002276845.3392615</v>
      </c>
      <c r="AP607" s="108">
        <v>4240598724.1351323</v>
      </c>
      <c r="AQ607" s="108">
        <v>194649413.7328268</v>
      </c>
      <c r="AR607" s="108">
        <v>409125492.49721515</v>
      </c>
      <c r="AS607" s="108">
        <v>1211691818.7728684</v>
      </c>
      <c r="AT607" s="108">
        <v>1000461970.3432384</v>
      </c>
      <c r="AU607" s="108">
        <v>2104557924.0759687</v>
      </c>
      <c r="AV607" s="108">
        <v>3482018714.542254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20</vt:i4>
      </vt:variant>
    </vt:vector>
  </HeadingPairs>
  <TitlesOfParts>
    <vt:vector size="30" baseType="lpstr">
      <vt:lpstr>ReadMe</vt:lpstr>
      <vt:lpstr>tableNames</vt:lpstr>
      <vt:lpstr>testDev</vt:lpstr>
      <vt:lpstr>controlTables</vt:lpstr>
      <vt:lpstr>defaultScenario</vt:lpstr>
      <vt:lpstr>slrReadMe</vt:lpstr>
      <vt:lpstr>scalarData</vt:lpstr>
      <vt:lpstr>scaledImpacts</vt:lpstr>
      <vt:lpstr>slr_cm</vt:lpstr>
      <vt:lpstr>slrImpacts</vt:lpstr>
      <vt:lpstr>k_coBillions</vt:lpstr>
      <vt:lpstr>k_coMillions</vt:lpstr>
      <vt:lpstr>k_coThousands</vt:lpstr>
      <vt:lpstr>list_co_gcms</vt:lpstr>
      <vt:lpstr>loc_coAdaptations</vt:lpstr>
      <vt:lpstr>loc_coConstants</vt:lpstr>
      <vt:lpstr>loc_coImpactTypes</vt:lpstr>
      <vt:lpstr>loc_coImpactYears</vt:lpstr>
      <vt:lpstr>loc_coInputScenarioInfo</vt:lpstr>
      <vt:lpstr>loc_colorLegend</vt:lpstr>
      <vt:lpstr>loc_coModels</vt:lpstr>
      <vt:lpstr>loc_coModelTypes</vt:lpstr>
      <vt:lpstr>loc_controlTOC</vt:lpstr>
      <vt:lpstr>loc_coRegions</vt:lpstr>
      <vt:lpstr>loc_coScalars</vt:lpstr>
      <vt:lpstr>loc_coSectors</vt:lpstr>
      <vt:lpstr>loc_coStates</vt:lpstr>
      <vt:lpstr>loc_econMultipliers</vt:lpstr>
      <vt:lpstr>SectorDropDown</vt:lpstr>
      <vt:lpstr>SectorDropDown_1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2021-04-05T21:38:13Z</dcterms:created>
  <dcterms:modified xsi:type="dcterms:W3CDTF">2023-12-28T18:43:10Z</dcterms:modified>
</cp:coreProperties>
</file>